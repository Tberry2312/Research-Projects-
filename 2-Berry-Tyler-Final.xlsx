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berry/Desktop/"/>
    </mc:Choice>
  </mc:AlternateContent>
  <xr:revisionPtr revIDLastSave="0" documentId="8_{7039C9B5-308A-AE42-80DD-EE832A05A623}" xr6:coauthVersionLast="47" xr6:coauthVersionMax="47" xr10:uidLastSave="{00000000-0000-0000-0000-000000000000}"/>
  <bookViews>
    <workbookView xWindow="0" yWindow="860" windowWidth="34200" windowHeight="21380" xr2:uid="{9EA572A4-E17E-4025-A439-DB03234A07D1}"/>
  </bookViews>
  <sheets>
    <sheet name="Sheet1" sheetId="6" r:id="rId1"/>
    <sheet name="Sheet2" sheetId="5" r:id="rId2"/>
    <sheet name="Category 14" sheetId="8" r:id="rId3"/>
    <sheet name="Category 15" sheetId="7" r:id="rId4"/>
    <sheet name="Category 31" sheetId="1" r:id="rId5"/>
    <sheet name="Code" sheetId="3" r:id="rId6"/>
    <sheet name="unitid" sheetId="4" r:id="rId7"/>
    <sheet name="CPI" sheetId="9" r:id="rId8"/>
    <sheet name="Total" sheetId="10" r:id="rId9"/>
    <sheet name="MBaseball" sheetId="11" r:id="rId10"/>
    <sheet name="MBasketball" sheetId="12" r:id="rId11"/>
    <sheet name="MFootball" sheetId="13" r:id="rId12"/>
    <sheet name="MIceHockey" sheetId="14" r:id="rId13"/>
    <sheet name="MLacrosse" sheetId="15" r:id="rId14"/>
    <sheet name="MSoccer" sheetId="16" r:id="rId15"/>
    <sheet name="MVolleyball" sheetId="17" r:id="rId16"/>
    <sheet name="WBasketball" sheetId="18" r:id="rId17"/>
    <sheet name="WFieldHockey" sheetId="19" r:id="rId18"/>
    <sheet name="WIceHockey" sheetId="20" r:id="rId19"/>
    <sheet name="WSoccer" sheetId="22" r:id="rId20"/>
    <sheet name="WLacrosse" sheetId="21" r:id="rId21"/>
    <sheet name="WSoftball" sheetId="23" r:id="rId22"/>
    <sheet name="WVolleyball" sheetId="24" r:id="rId23"/>
  </sheets>
  <externalReferences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6" l="1"/>
  <c r="K41" i="6"/>
  <c r="K42" i="6"/>
  <c r="K21" i="6"/>
  <c r="K22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O82" i="5"/>
  <c r="O81" i="5"/>
  <c r="O77" i="5"/>
  <c r="O72" i="5"/>
  <c r="O71" i="5"/>
  <c r="O69" i="5"/>
  <c r="O65" i="5"/>
  <c r="O64" i="5"/>
  <c r="O54" i="5"/>
  <c r="O60" i="5"/>
  <c r="O55" i="5"/>
  <c r="O52" i="5"/>
  <c r="O48" i="5"/>
  <c r="O47" i="5"/>
  <c r="O43" i="5"/>
  <c r="O38" i="5"/>
  <c r="O37" i="5"/>
  <c r="O35" i="5"/>
  <c r="O31" i="5"/>
  <c r="O30" i="5"/>
  <c r="O26" i="5"/>
  <c r="O21" i="5"/>
  <c r="O20" i="5"/>
  <c r="O18" i="5"/>
  <c r="O14" i="5"/>
  <c r="O13" i="5"/>
  <c r="O9" i="5"/>
  <c r="O4" i="5"/>
  <c r="O3" i="5"/>
  <c r="O2" i="5"/>
  <c r="O86" i="5"/>
  <c r="O88" i="5"/>
  <c r="O89" i="5"/>
  <c r="O94" i="5"/>
  <c r="O98" i="5"/>
  <c r="O99" i="5"/>
  <c r="O103" i="5"/>
  <c r="O105" i="5"/>
  <c r="O106" i="5"/>
  <c r="O111" i="5"/>
  <c r="O115" i="5"/>
  <c r="O116" i="5"/>
  <c r="O120" i="5"/>
  <c r="O121" i="5"/>
  <c r="O122" i="5"/>
  <c r="O123" i="5"/>
  <c r="O126" i="5"/>
  <c r="O131" i="5"/>
  <c r="O133" i="5"/>
  <c r="O136" i="5"/>
  <c r="O138" i="5"/>
  <c r="O139" i="5"/>
  <c r="O143" i="5"/>
  <c r="O145" i="5"/>
  <c r="O146" i="5"/>
  <c r="O147" i="5"/>
  <c r="O150" i="5"/>
  <c r="O155" i="5"/>
  <c r="O157" i="5"/>
  <c r="O160" i="5"/>
  <c r="O162" i="5"/>
  <c r="O163" i="5"/>
  <c r="O167" i="5"/>
  <c r="O169" i="5"/>
  <c r="O170" i="5"/>
  <c r="O171" i="5"/>
  <c r="O174" i="5"/>
  <c r="O179" i="5"/>
  <c r="O181" i="5"/>
  <c r="O184" i="5"/>
  <c r="O186" i="5"/>
  <c r="O187" i="5"/>
  <c r="O191" i="5"/>
  <c r="O193" i="5"/>
  <c r="O194" i="5"/>
  <c r="O195" i="5"/>
  <c r="O198" i="5"/>
  <c r="O203" i="5"/>
  <c r="O205" i="5"/>
  <c r="O208" i="5"/>
  <c r="O210" i="5"/>
  <c r="O211" i="5"/>
  <c r="O215" i="5"/>
  <c r="O217" i="5"/>
  <c r="O218" i="5"/>
  <c r="O219" i="5"/>
  <c r="O222" i="5"/>
  <c r="O227" i="5"/>
  <c r="O229" i="5"/>
  <c r="O232" i="5"/>
  <c r="O234" i="5"/>
  <c r="O235" i="5"/>
  <c r="O239" i="5"/>
  <c r="O241" i="5"/>
  <c r="O242" i="5"/>
  <c r="O243" i="5"/>
  <c r="O246" i="5"/>
  <c r="O251" i="5"/>
  <c r="O253" i="5"/>
  <c r="O256" i="5"/>
  <c r="O258" i="5"/>
  <c r="O259" i="5"/>
  <c r="O263" i="5"/>
  <c r="O265" i="5"/>
  <c r="O266" i="5"/>
  <c r="O267" i="5"/>
  <c r="O270" i="5"/>
  <c r="O275" i="5"/>
  <c r="O277" i="5"/>
  <c r="O280" i="5"/>
  <c r="O282" i="5"/>
  <c r="O283" i="5"/>
  <c r="O287" i="5"/>
  <c r="O289" i="5"/>
  <c r="O290" i="5"/>
  <c r="O294" i="5"/>
  <c r="O296" i="5"/>
  <c r="O298" i="5"/>
  <c r="O301" i="5"/>
  <c r="O302" i="5"/>
  <c r="O303" i="5"/>
  <c r="O307" i="5"/>
  <c r="O309" i="5"/>
  <c r="O311" i="5"/>
  <c r="O314" i="5"/>
  <c r="O315" i="5"/>
  <c r="O316" i="5"/>
  <c r="O320" i="5"/>
  <c r="O322" i="5"/>
  <c r="O324" i="5"/>
  <c r="O327" i="5"/>
  <c r="O328" i="5"/>
  <c r="O329" i="5"/>
  <c r="O333" i="5"/>
  <c r="O335" i="5"/>
  <c r="O337" i="5"/>
  <c r="O340" i="5"/>
  <c r="O341" i="5"/>
  <c r="O342" i="5"/>
  <c r="O346" i="5"/>
  <c r="O348" i="5"/>
  <c r="O350" i="5"/>
  <c r="O353" i="5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4" i="5"/>
  <c r="J185" i="5"/>
  <c r="J186" i="5"/>
  <c r="J188" i="5"/>
  <c r="J189" i="5"/>
  <c r="J190" i="5"/>
  <c r="J191" i="5"/>
  <c r="J192" i="5"/>
  <c r="J196" i="5"/>
  <c r="J197" i="5"/>
  <c r="J198" i="5"/>
  <c r="J200" i="5"/>
  <c r="J201" i="5"/>
  <c r="J202" i="5"/>
  <c r="J203" i="5"/>
  <c r="J208" i="5"/>
  <c r="J209" i="5"/>
  <c r="J210" i="5"/>
  <c r="J214" i="5"/>
  <c r="J215" i="5"/>
  <c r="J220" i="5"/>
  <c r="J221" i="5"/>
  <c r="J222" i="5"/>
  <c r="J226" i="5"/>
  <c r="J227" i="5"/>
  <c r="J232" i="5"/>
  <c r="J233" i="5"/>
  <c r="J234" i="5"/>
  <c r="J238" i="5"/>
  <c r="J239" i="5"/>
  <c r="J244" i="5"/>
  <c r="J245" i="5"/>
  <c r="J246" i="5"/>
  <c r="J250" i="5"/>
  <c r="J251" i="5"/>
  <c r="J256" i="5"/>
  <c r="J257" i="5"/>
  <c r="J262" i="5"/>
  <c r="J263" i="5"/>
  <c r="J268" i="5"/>
  <c r="J274" i="5"/>
  <c r="J275" i="5"/>
  <c r="J385" i="5"/>
  <c r="J391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M4" i="5" a="1"/>
  <c r="M4" i="5" s="1"/>
  <c r="M5" i="5" a="1"/>
  <c r="M5" i="5" s="1"/>
  <c r="M6" i="5" a="1"/>
  <c r="M6" i="5" s="1"/>
  <c r="M7" i="5" a="1"/>
  <c r="M7" i="5" s="1"/>
  <c r="M8" i="5" a="1"/>
  <c r="M8" i="5"/>
  <c r="M10" i="5" a="1"/>
  <c r="M10" i="5" s="1"/>
  <c r="M11" i="5" a="1"/>
  <c r="M11" i="5" s="1"/>
  <c r="M12" i="5" a="1"/>
  <c r="M12" i="5" s="1"/>
  <c r="M13" i="5" a="1"/>
  <c r="M13" i="5" s="1"/>
  <c r="M14" i="5" a="1"/>
  <c r="M14" i="5" s="1"/>
  <c r="M15" i="5" a="1"/>
  <c r="M15" i="5" s="1"/>
  <c r="M16" i="5" a="1"/>
  <c r="M16" i="5" s="1"/>
  <c r="M17" i="5" a="1"/>
  <c r="M17" i="5" s="1"/>
  <c r="M18" i="5" a="1"/>
  <c r="M18" i="5" s="1"/>
  <c r="M19" i="5" a="1"/>
  <c r="M19" i="5" s="1"/>
  <c r="M20" i="5" a="1"/>
  <c r="M20" i="5" s="1"/>
  <c r="M21" i="5" a="1"/>
  <c r="M21" i="5" s="1"/>
  <c r="M22" i="5" a="1"/>
  <c r="M22" i="5" s="1"/>
  <c r="M23" i="5" a="1"/>
  <c r="M23" i="5" s="1"/>
  <c r="M24" i="5" a="1"/>
  <c r="M24" i="5" s="1"/>
  <c r="M25" i="5" a="1"/>
  <c r="M25" i="5" s="1"/>
  <c r="M26" i="5" a="1"/>
  <c r="M26" i="5" s="1"/>
  <c r="M27" i="5" a="1"/>
  <c r="M27" i="5" s="1"/>
  <c r="M28" i="5" a="1"/>
  <c r="M28" i="5" s="1"/>
  <c r="M29" i="5" a="1"/>
  <c r="M29" i="5" s="1"/>
  <c r="M30" i="5" a="1"/>
  <c r="M30" i="5" s="1"/>
  <c r="M31" i="5" a="1"/>
  <c r="M31" i="5" s="1"/>
  <c r="M32" i="5" a="1"/>
  <c r="M32" i="5" s="1"/>
  <c r="M33" i="5" a="1"/>
  <c r="M33" i="5" s="1"/>
  <c r="M34" i="5" a="1"/>
  <c r="M34" i="5" s="1"/>
  <c r="M35" i="5" a="1"/>
  <c r="M35" i="5" s="1"/>
  <c r="M36" i="5" a="1"/>
  <c r="M36" i="5" s="1"/>
  <c r="M37" i="5" a="1"/>
  <c r="M37" i="5" s="1"/>
  <c r="M38" i="5" a="1"/>
  <c r="M38" i="5" s="1"/>
  <c r="M39" i="5" a="1"/>
  <c r="M39" i="5" s="1"/>
  <c r="M40" i="5" a="1"/>
  <c r="M40" i="5" s="1"/>
  <c r="M41" i="5" a="1"/>
  <c r="M41" i="5" s="1"/>
  <c r="M42" i="5" a="1"/>
  <c r="M42" i="5" s="1"/>
  <c r="M43" i="5" a="1"/>
  <c r="M43" i="5" s="1"/>
  <c r="M44" i="5" a="1"/>
  <c r="M44" i="5" s="1"/>
  <c r="M45" i="5" a="1"/>
  <c r="M45" i="5" s="1"/>
  <c r="M46" i="5" a="1"/>
  <c r="M46" i="5" s="1"/>
  <c r="M47" i="5" a="1"/>
  <c r="M47" i="5" s="1"/>
  <c r="M48" i="5" a="1"/>
  <c r="M48" i="5" s="1"/>
  <c r="M49" i="5" a="1"/>
  <c r="M49" i="5" s="1"/>
  <c r="M50" i="5" a="1"/>
  <c r="M50" i="5"/>
  <c r="M51" i="5" a="1"/>
  <c r="M51" i="5" s="1"/>
  <c r="M52" i="5" a="1"/>
  <c r="M52" i="5" s="1"/>
  <c r="M53" i="5" a="1"/>
  <c r="M53" i="5" s="1"/>
  <c r="M54" i="5" a="1"/>
  <c r="M54" i="5" s="1"/>
  <c r="M55" i="5" a="1"/>
  <c r="M55" i="5" s="1"/>
  <c r="M56" i="5" a="1"/>
  <c r="M56" i="5"/>
  <c r="M57" i="5" a="1"/>
  <c r="M57" i="5" s="1"/>
  <c r="M58" i="5" a="1"/>
  <c r="M58" i="5" s="1"/>
  <c r="M59" i="5" a="1"/>
  <c r="M59" i="5" s="1"/>
  <c r="M60" i="5" a="1"/>
  <c r="M60" i="5" s="1"/>
  <c r="M61" i="5" a="1"/>
  <c r="M61" i="5" s="1"/>
  <c r="M62" i="5" a="1"/>
  <c r="M62" i="5" s="1"/>
  <c r="M63" i="5" a="1"/>
  <c r="M63" i="5" s="1"/>
  <c r="M64" i="5" a="1"/>
  <c r="M64" i="5" s="1"/>
  <c r="M65" i="5" a="1"/>
  <c r="M65" i="5" s="1"/>
  <c r="M66" i="5" a="1"/>
  <c r="M66" i="5" s="1"/>
  <c r="M67" i="5" a="1"/>
  <c r="M67" i="5" s="1"/>
  <c r="M68" i="5" a="1"/>
  <c r="M68" i="5"/>
  <c r="M69" i="5" a="1"/>
  <c r="M69" i="5" s="1"/>
  <c r="M70" i="5" a="1"/>
  <c r="M70" i="5" s="1"/>
  <c r="M71" i="5" a="1"/>
  <c r="M71" i="5" s="1"/>
  <c r="M72" i="5" a="1"/>
  <c r="M72" i="5" s="1"/>
  <c r="M73" i="5" a="1"/>
  <c r="M73" i="5" s="1"/>
  <c r="M74" i="5" a="1"/>
  <c r="M74" i="5"/>
  <c r="M75" i="5" a="1"/>
  <c r="M75" i="5" s="1"/>
  <c r="M76" i="5" a="1"/>
  <c r="M76" i="5" s="1"/>
  <c r="M77" i="5" a="1"/>
  <c r="M77" i="5" s="1"/>
  <c r="M78" i="5" a="1"/>
  <c r="M78" i="5" s="1"/>
  <c r="M79" i="5" a="1"/>
  <c r="M79" i="5" s="1"/>
  <c r="M80" i="5" a="1"/>
  <c r="M80" i="5"/>
  <c r="M81" i="5" a="1"/>
  <c r="M81" i="5" s="1"/>
  <c r="M82" i="5" a="1"/>
  <c r="M82" i="5" s="1"/>
  <c r="M83" i="5" a="1"/>
  <c r="M83" i="5" s="1"/>
  <c r="M84" i="5" a="1"/>
  <c r="M84" i="5" s="1"/>
  <c r="M85" i="5" a="1"/>
  <c r="M85" i="5" s="1"/>
  <c r="M86" i="5" a="1"/>
  <c r="M86" i="5" s="1"/>
  <c r="M87" i="5" a="1"/>
  <c r="M87" i="5" s="1"/>
  <c r="M88" i="5" a="1"/>
  <c r="M88" i="5" s="1"/>
  <c r="M89" i="5" a="1"/>
  <c r="M89" i="5" s="1"/>
  <c r="M90" i="5" a="1"/>
  <c r="M90" i="5" s="1"/>
  <c r="M91" i="5" a="1"/>
  <c r="M91" i="5" s="1"/>
  <c r="M92" i="5" a="1"/>
  <c r="M92" i="5" s="1"/>
  <c r="M93" i="5" a="1"/>
  <c r="M93" i="5" s="1"/>
  <c r="M94" i="5" a="1"/>
  <c r="M94" i="5" s="1"/>
  <c r="M95" i="5" a="1"/>
  <c r="M95" i="5" s="1"/>
  <c r="M96" i="5" a="1"/>
  <c r="M96" i="5" s="1"/>
  <c r="M97" i="5" a="1"/>
  <c r="M97" i="5" s="1"/>
  <c r="M98" i="5" a="1"/>
  <c r="M98" i="5" s="1"/>
  <c r="M99" i="5" a="1"/>
  <c r="M99" i="5" s="1"/>
  <c r="M100" i="5" a="1"/>
  <c r="M100" i="5" s="1"/>
  <c r="M101" i="5" a="1"/>
  <c r="M101" i="5" s="1"/>
  <c r="M102" i="5" a="1"/>
  <c r="M102" i="5" s="1"/>
  <c r="M103" i="5" a="1"/>
  <c r="M103" i="5" s="1"/>
  <c r="M104" i="5" a="1"/>
  <c r="M104" i="5" s="1"/>
  <c r="M105" i="5" a="1"/>
  <c r="M105" i="5" s="1"/>
  <c r="M106" i="5" a="1"/>
  <c r="M106" i="5" s="1"/>
  <c r="M107" i="5" a="1"/>
  <c r="M107" i="5" s="1"/>
  <c r="M108" i="5" a="1"/>
  <c r="M108" i="5" s="1"/>
  <c r="M109" i="5" a="1"/>
  <c r="M109" i="5" s="1"/>
  <c r="M110" i="5" a="1"/>
  <c r="M110" i="5" s="1"/>
  <c r="M111" i="5" a="1"/>
  <c r="M111" i="5" s="1"/>
  <c r="M112" i="5" a="1"/>
  <c r="M112" i="5" s="1"/>
  <c r="M113" i="5" a="1"/>
  <c r="M113" i="5" s="1"/>
  <c r="M114" i="5" a="1"/>
  <c r="M114" i="5" s="1"/>
  <c r="M115" i="5" a="1"/>
  <c r="M115" i="5" s="1"/>
  <c r="M116" i="5" a="1"/>
  <c r="M116" i="5"/>
  <c r="M117" i="5" a="1"/>
  <c r="M117" i="5" s="1"/>
  <c r="M118" i="5" a="1"/>
  <c r="M118" i="5" s="1"/>
  <c r="M119" i="5" a="1"/>
  <c r="M119" i="5" s="1"/>
  <c r="M120" i="5" a="1"/>
  <c r="M120" i="5" s="1"/>
  <c r="M121" i="5" a="1"/>
  <c r="M121" i="5" s="1"/>
  <c r="M122" i="5" a="1"/>
  <c r="M122" i="5"/>
  <c r="M123" i="5" a="1"/>
  <c r="M123" i="5" s="1"/>
  <c r="M124" i="5" a="1"/>
  <c r="M124" i="5" s="1"/>
  <c r="M125" i="5" a="1"/>
  <c r="M125" i="5" s="1"/>
  <c r="M126" i="5" a="1"/>
  <c r="M126" i="5" s="1"/>
  <c r="M127" i="5" a="1"/>
  <c r="M127" i="5" s="1"/>
  <c r="M128" i="5" a="1"/>
  <c r="M128" i="5"/>
  <c r="M129" i="5" a="1"/>
  <c r="M129" i="5" s="1"/>
  <c r="M130" i="5" a="1"/>
  <c r="M130" i="5" s="1"/>
  <c r="M131" i="5" a="1"/>
  <c r="M131" i="5" s="1"/>
  <c r="M132" i="5" a="1"/>
  <c r="M132" i="5" s="1"/>
  <c r="M133" i="5" a="1"/>
  <c r="M133" i="5" s="1"/>
  <c r="M134" i="5" a="1"/>
  <c r="M134" i="5" s="1"/>
  <c r="M135" i="5" a="1"/>
  <c r="M135" i="5" s="1"/>
  <c r="M136" i="5" a="1"/>
  <c r="M136" i="5" s="1"/>
  <c r="M137" i="5" a="1"/>
  <c r="M137" i="5" s="1"/>
  <c r="M138" i="5" a="1"/>
  <c r="M138" i="5" s="1"/>
  <c r="M139" i="5" a="1"/>
  <c r="M139" i="5" s="1"/>
  <c r="M140" i="5" a="1"/>
  <c r="M140" i="5" s="1"/>
  <c r="M141" i="5" a="1"/>
  <c r="M141" i="5" s="1"/>
  <c r="M142" i="5" a="1"/>
  <c r="M142" i="5" s="1"/>
  <c r="M143" i="5" a="1"/>
  <c r="M143" i="5" s="1"/>
  <c r="M144" i="5" a="1"/>
  <c r="M144" i="5" s="1"/>
  <c r="M145" i="5" a="1"/>
  <c r="M145" i="5" s="1"/>
  <c r="M146" i="5" a="1"/>
  <c r="M146" i="5"/>
  <c r="M147" i="5" a="1"/>
  <c r="M147" i="5" s="1"/>
  <c r="M148" i="5" a="1"/>
  <c r="M148" i="5" s="1"/>
  <c r="M149" i="5" a="1"/>
  <c r="M149" i="5" s="1"/>
  <c r="M150" i="5" a="1"/>
  <c r="M150" i="5" s="1"/>
  <c r="M151" i="5" a="1"/>
  <c r="M151" i="5" s="1"/>
  <c r="M152" i="5" a="1"/>
  <c r="M152" i="5" s="1"/>
  <c r="M153" i="5" a="1"/>
  <c r="M153" i="5" s="1"/>
  <c r="M154" i="5" a="1"/>
  <c r="M154" i="5" s="1"/>
  <c r="M155" i="5" a="1"/>
  <c r="M155" i="5" s="1"/>
  <c r="M156" i="5" a="1"/>
  <c r="M156" i="5" s="1"/>
  <c r="M157" i="5" a="1"/>
  <c r="M157" i="5" s="1"/>
  <c r="M158" i="5" a="1"/>
  <c r="M158" i="5" s="1"/>
  <c r="M159" i="5" a="1"/>
  <c r="M159" i="5" s="1"/>
  <c r="M160" i="5" a="1"/>
  <c r="M160" i="5" s="1"/>
  <c r="M161" i="5" a="1"/>
  <c r="M161" i="5" s="1"/>
  <c r="M162" i="5" a="1"/>
  <c r="M162" i="5" s="1"/>
  <c r="M163" i="5" a="1"/>
  <c r="M163" i="5" s="1"/>
  <c r="M164" i="5" a="1"/>
  <c r="M164" i="5"/>
  <c r="M165" i="5" a="1"/>
  <c r="M165" i="5" s="1"/>
  <c r="M166" i="5" a="1"/>
  <c r="M166" i="5" s="1"/>
  <c r="M167" i="5" a="1"/>
  <c r="M167" i="5" s="1"/>
  <c r="M168" i="5" a="1"/>
  <c r="M168" i="5" s="1"/>
  <c r="M169" i="5" a="1"/>
  <c r="M169" i="5" s="1"/>
  <c r="M170" i="5" a="1"/>
  <c r="M170" i="5" s="1"/>
  <c r="M171" i="5" a="1"/>
  <c r="M171" i="5" s="1"/>
  <c r="M172" i="5" a="1"/>
  <c r="M172" i="5" s="1"/>
  <c r="M173" i="5" a="1"/>
  <c r="M173" i="5" s="1"/>
  <c r="M174" i="5" a="1"/>
  <c r="M174" i="5" s="1"/>
  <c r="M175" i="5" a="1"/>
  <c r="M175" i="5" s="1"/>
  <c r="M176" i="5" a="1"/>
  <c r="M176" i="5" s="1"/>
  <c r="M177" i="5" a="1"/>
  <c r="M177" i="5" s="1"/>
  <c r="M178" i="5" a="1"/>
  <c r="M178" i="5" s="1"/>
  <c r="M179" i="5" a="1"/>
  <c r="M179" i="5" s="1"/>
  <c r="M180" i="5" a="1"/>
  <c r="M180" i="5" s="1"/>
  <c r="M181" i="5" a="1"/>
  <c r="M181" i="5" s="1"/>
  <c r="M182" i="5" a="1"/>
  <c r="M182" i="5" s="1"/>
  <c r="M183" i="5" a="1"/>
  <c r="M183" i="5" s="1"/>
  <c r="M184" i="5" a="1"/>
  <c r="M184" i="5" s="1"/>
  <c r="M185" i="5" a="1"/>
  <c r="M185" i="5" s="1"/>
  <c r="M186" i="5" a="1"/>
  <c r="M186" i="5" s="1"/>
  <c r="M187" i="5" a="1"/>
  <c r="M187" i="5" s="1"/>
  <c r="M188" i="5" a="1"/>
  <c r="M188" i="5" s="1"/>
  <c r="M189" i="5" a="1"/>
  <c r="M189" i="5" s="1"/>
  <c r="M190" i="5" a="1"/>
  <c r="M190" i="5" s="1"/>
  <c r="M191" i="5" a="1"/>
  <c r="M191" i="5" s="1"/>
  <c r="M192" i="5" a="1"/>
  <c r="M192" i="5" s="1"/>
  <c r="M193" i="5" a="1"/>
  <c r="M193" i="5" s="1"/>
  <c r="M194" i="5" a="1"/>
  <c r="M194" i="5"/>
  <c r="M195" i="5" a="1"/>
  <c r="M195" i="5" s="1"/>
  <c r="M196" i="5" a="1"/>
  <c r="M196" i="5" s="1"/>
  <c r="M197" i="5" a="1"/>
  <c r="M197" i="5" s="1"/>
  <c r="M198" i="5" a="1"/>
  <c r="M198" i="5" s="1"/>
  <c r="M199" i="5" a="1"/>
  <c r="M199" i="5" s="1"/>
  <c r="M200" i="5" a="1"/>
  <c r="M200" i="5"/>
  <c r="M201" i="5" a="1"/>
  <c r="M201" i="5" s="1"/>
  <c r="M202" i="5" a="1"/>
  <c r="M202" i="5" s="1"/>
  <c r="M203" i="5" a="1"/>
  <c r="M203" i="5" s="1"/>
  <c r="M204" i="5" a="1"/>
  <c r="M204" i="5" s="1"/>
  <c r="M205" i="5" a="1"/>
  <c r="M205" i="5" s="1"/>
  <c r="M206" i="5" a="1"/>
  <c r="M206" i="5" s="1"/>
  <c r="M207" i="5" a="1"/>
  <c r="M207" i="5" s="1"/>
  <c r="M208" i="5" a="1"/>
  <c r="M208" i="5" s="1"/>
  <c r="M209" i="5" a="1"/>
  <c r="M209" i="5" s="1"/>
  <c r="M210" i="5" a="1"/>
  <c r="M210" i="5" s="1"/>
  <c r="M211" i="5" a="1"/>
  <c r="M211" i="5" s="1"/>
  <c r="M212" i="5" a="1"/>
  <c r="M212" i="5" s="1"/>
  <c r="M213" i="5" a="1"/>
  <c r="M213" i="5" s="1"/>
  <c r="M214" i="5" a="1"/>
  <c r="M214" i="5" s="1"/>
  <c r="M215" i="5" a="1"/>
  <c r="M215" i="5" s="1"/>
  <c r="M216" i="5" a="1"/>
  <c r="M216" i="5" s="1"/>
  <c r="M217" i="5" a="1"/>
  <c r="M217" i="5" s="1"/>
  <c r="M218" i="5" a="1"/>
  <c r="M218" i="5" s="1"/>
  <c r="M219" i="5" a="1"/>
  <c r="M219" i="5" s="1"/>
  <c r="M220" i="5" a="1"/>
  <c r="M220" i="5" s="1"/>
  <c r="M221" i="5" a="1"/>
  <c r="M221" i="5" s="1"/>
  <c r="M222" i="5" a="1"/>
  <c r="M222" i="5" s="1"/>
  <c r="M223" i="5" a="1"/>
  <c r="M223" i="5" s="1"/>
  <c r="M224" i="5" a="1"/>
  <c r="M224" i="5" s="1"/>
  <c r="M225" i="5" a="1"/>
  <c r="M225" i="5" s="1"/>
  <c r="M226" i="5" a="1"/>
  <c r="M226" i="5" s="1"/>
  <c r="M227" i="5" a="1"/>
  <c r="M227" i="5" s="1"/>
  <c r="M228" i="5" a="1"/>
  <c r="M228" i="5" s="1"/>
  <c r="M229" i="5" a="1"/>
  <c r="M229" i="5" s="1"/>
  <c r="M230" i="5" a="1"/>
  <c r="M230" i="5" s="1"/>
  <c r="M231" i="5" a="1"/>
  <c r="M231" i="5" s="1"/>
  <c r="M232" i="5" a="1"/>
  <c r="M232" i="5" s="1"/>
  <c r="M233" i="5" a="1"/>
  <c r="M233" i="5" s="1"/>
  <c r="M234" i="5" a="1"/>
  <c r="M234" i="5" s="1"/>
  <c r="M235" i="5" a="1"/>
  <c r="M235" i="5" s="1"/>
  <c r="M236" i="5" a="1"/>
  <c r="M236" i="5"/>
  <c r="M237" i="5" a="1"/>
  <c r="M237" i="5" s="1"/>
  <c r="M238" i="5" a="1"/>
  <c r="M238" i="5" s="1"/>
  <c r="M239" i="5" a="1"/>
  <c r="M239" i="5" s="1"/>
  <c r="M240" i="5" a="1"/>
  <c r="M240" i="5" s="1"/>
  <c r="M241" i="5" a="1"/>
  <c r="M241" i="5" s="1"/>
  <c r="M242" i="5" a="1"/>
  <c r="M242" i="5" s="1"/>
  <c r="M243" i="5" a="1"/>
  <c r="M243" i="5" s="1"/>
  <c r="M244" i="5" a="1"/>
  <c r="M244" i="5" s="1"/>
  <c r="M245" i="5" a="1"/>
  <c r="M245" i="5" s="1"/>
  <c r="M246" i="5" a="1"/>
  <c r="M246" i="5" s="1"/>
  <c r="M247" i="5" a="1"/>
  <c r="M247" i="5" s="1"/>
  <c r="M248" i="5" a="1"/>
  <c r="M248" i="5" s="1"/>
  <c r="M249" i="5" a="1"/>
  <c r="M249" i="5" s="1"/>
  <c r="M250" i="5" a="1"/>
  <c r="M250" i="5" s="1"/>
  <c r="M251" i="5" a="1"/>
  <c r="M251" i="5" s="1"/>
  <c r="M252" i="5" a="1"/>
  <c r="M252" i="5" s="1"/>
  <c r="M253" i="5" a="1"/>
  <c r="M253" i="5" s="1"/>
  <c r="M254" i="5" a="1"/>
  <c r="M254" i="5" s="1"/>
  <c r="M255" i="5" a="1"/>
  <c r="M255" i="5" s="1"/>
  <c r="M256" i="5" a="1"/>
  <c r="M256" i="5" s="1"/>
  <c r="M257" i="5" a="1"/>
  <c r="M257" i="5" s="1"/>
  <c r="M258" i="5" a="1"/>
  <c r="M258" i="5" s="1"/>
  <c r="M259" i="5" a="1"/>
  <c r="M259" i="5" s="1"/>
  <c r="M260" i="5" a="1"/>
  <c r="M260" i="5" s="1"/>
  <c r="M261" i="5" a="1"/>
  <c r="M261" i="5" s="1"/>
  <c r="M262" i="5" a="1"/>
  <c r="M262" i="5" s="1"/>
  <c r="M263" i="5" a="1"/>
  <c r="M263" i="5" s="1"/>
  <c r="M264" i="5" a="1"/>
  <c r="M264" i="5" s="1"/>
  <c r="M265" i="5" a="1"/>
  <c r="M265" i="5" s="1"/>
  <c r="M266" i="5" a="1"/>
  <c r="M266" i="5"/>
  <c r="M267" i="5" a="1"/>
  <c r="M267" i="5" s="1"/>
  <c r="M268" i="5" a="1"/>
  <c r="M268" i="5" s="1"/>
  <c r="M269" i="5" a="1"/>
  <c r="M269" i="5" s="1"/>
  <c r="M270" i="5" a="1"/>
  <c r="M270" i="5" s="1"/>
  <c r="M271" i="5" a="1"/>
  <c r="M271" i="5" s="1"/>
  <c r="M272" i="5" a="1"/>
  <c r="M272" i="5"/>
  <c r="M273" i="5" a="1"/>
  <c r="M273" i="5" s="1"/>
  <c r="M274" i="5" a="1"/>
  <c r="M274" i="5" s="1"/>
  <c r="M275" i="5" a="1"/>
  <c r="M275" i="5" s="1"/>
  <c r="M276" i="5" a="1"/>
  <c r="M276" i="5" s="1"/>
  <c r="M277" i="5" a="1"/>
  <c r="M277" i="5" s="1"/>
  <c r="M278" i="5" a="1"/>
  <c r="M278" i="5" s="1"/>
  <c r="M279" i="5" a="1"/>
  <c r="M279" i="5" s="1"/>
  <c r="M280" i="5" a="1"/>
  <c r="M280" i="5" s="1"/>
  <c r="M281" i="5" a="1"/>
  <c r="M281" i="5" s="1"/>
  <c r="M282" i="5" a="1"/>
  <c r="M282" i="5" s="1"/>
  <c r="M283" i="5" a="1"/>
  <c r="M283" i="5" s="1"/>
  <c r="M284" i="5" a="1"/>
  <c r="M284" i="5" s="1"/>
  <c r="M285" i="5" a="1"/>
  <c r="M285" i="5" s="1"/>
  <c r="M286" i="5" a="1"/>
  <c r="M286" i="5" s="1"/>
  <c r="M287" i="5" a="1"/>
  <c r="M287" i="5" s="1"/>
  <c r="M288" i="5" a="1"/>
  <c r="M288" i="5" s="1"/>
  <c r="M289" i="5" a="1"/>
  <c r="M289" i="5" s="1"/>
  <c r="M290" i="5" a="1"/>
  <c r="M290" i="5" s="1"/>
  <c r="M291" i="5" a="1"/>
  <c r="M291" i="5" s="1"/>
  <c r="M292" i="5" a="1"/>
  <c r="M292" i="5" s="1"/>
  <c r="M293" i="5" a="1"/>
  <c r="M293" i="5" s="1"/>
  <c r="M294" i="5" a="1"/>
  <c r="M294" i="5" s="1"/>
  <c r="M295" i="5" a="1"/>
  <c r="M295" i="5" s="1"/>
  <c r="M296" i="5" a="1"/>
  <c r="M296" i="5" s="1"/>
  <c r="M297" i="5" a="1"/>
  <c r="M297" i="5" s="1"/>
  <c r="M298" i="5" a="1"/>
  <c r="M298" i="5" s="1"/>
  <c r="M299" i="5" a="1"/>
  <c r="M299" i="5" s="1"/>
  <c r="M300" i="5" a="1"/>
  <c r="M300" i="5" s="1"/>
  <c r="M301" i="5" a="1"/>
  <c r="M301" i="5" s="1"/>
  <c r="M302" i="5" a="1"/>
  <c r="M302" i="5" s="1"/>
  <c r="M303" i="5" a="1"/>
  <c r="M303" i="5" s="1"/>
  <c r="M304" i="5" a="1"/>
  <c r="M304" i="5" s="1"/>
  <c r="M305" i="5" a="1"/>
  <c r="M305" i="5" s="1"/>
  <c r="M306" i="5" a="1"/>
  <c r="M306" i="5" s="1"/>
  <c r="M307" i="5" a="1"/>
  <c r="M307" i="5" s="1"/>
  <c r="M308" i="5" a="1"/>
  <c r="M308" i="5"/>
  <c r="M309" i="5" a="1"/>
  <c r="M309" i="5" s="1"/>
  <c r="M310" i="5" a="1"/>
  <c r="M310" i="5" s="1"/>
  <c r="M311" i="5" a="1"/>
  <c r="M311" i="5" s="1"/>
  <c r="M312" i="5" a="1"/>
  <c r="M312" i="5" s="1"/>
  <c r="M313" i="5" a="1"/>
  <c r="M313" i="5" s="1"/>
  <c r="M314" i="5" a="1"/>
  <c r="M314" i="5"/>
  <c r="M315" i="5" a="1"/>
  <c r="M315" i="5" s="1"/>
  <c r="M316" i="5" a="1"/>
  <c r="M316" i="5" s="1"/>
  <c r="M317" i="5" a="1"/>
  <c r="M317" i="5" s="1"/>
  <c r="M318" i="5" a="1"/>
  <c r="M318" i="5" s="1"/>
  <c r="M319" i="5" a="1"/>
  <c r="M319" i="5" s="1"/>
  <c r="M320" i="5" a="1"/>
  <c r="M320" i="5" s="1"/>
  <c r="M321" i="5" a="1"/>
  <c r="M321" i="5" s="1"/>
  <c r="M322" i="5" a="1"/>
  <c r="M322" i="5" s="1"/>
  <c r="M323" i="5" a="1"/>
  <c r="M323" i="5" s="1"/>
  <c r="M324" i="5" a="1"/>
  <c r="M324" i="5" s="1"/>
  <c r="M325" i="5" a="1"/>
  <c r="M325" i="5" s="1"/>
  <c r="M326" i="5" a="1"/>
  <c r="M326" i="5" s="1"/>
  <c r="M327" i="5" a="1"/>
  <c r="M327" i="5" s="1"/>
  <c r="M328" i="5" a="1"/>
  <c r="M328" i="5" s="1"/>
  <c r="M329" i="5" a="1"/>
  <c r="M329" i="5" s="1"/>
  <c r="M330" i="5" a="1"/>
  <c r="M330" i="5" s="1"/>
  <c r="M331" i="5" a="1"/>
  <c r="M331" i="5" s="1"/>
  <c r="M332" i="5" a="1"/>
  <c r="M332" i="5" s="1"/>
  <c r="M333" i="5" a="1"/>
  <c r="M333" i="5" s="1"/>
  <c r="M334" i="5" a="1"/>
  <c r="M334" i="5" s="1"/>
  <c r="M335" i="5" a="1"/>
  <c r="M335" i="5" s="1"/>
  <c r="M336" i="5" a="1"/>
  <c r="M336" i="5" s="1"/>
  <c r="M337" i="5" a="1"/>
  <c r="M337" i="5" s="1"/>
  <c r="M338" i="5" a="1"/>
  <c r="M338" i="5"/>
  <c r="M339" i="5" a="1"/>
  <c r="M339" i="5" s="1"/>
  <c r="M340" i="5" a="1"/>
  <c r="M340" i="5" s="1"/>
  <c r="M341" i="5" a="1"/>
  <c r="M341" i="5" s="1"/>
  <c r="M342" i="5" a="1"/>
  <c r="M342" i="5" s="1"/>
  <c r="M343" i="5" a="1"/>
  <c r="M343" i="5" s="1"/>
  <c r="M344" i="5" a="1"/>
  <c r="M344" i="5"/>
  <c r="M345" i="5" a="1"/>
  <c r="M345" i="5" s="1"/>
  <c r="M346" i="5" a="1"/>
  <c r="M346" i="5" s="1"/>
  <c r="M347" i="5" a="1"/>
  <c r="M347" i="5" s="1"/>
  <c r="M348" i="5" a="1"/>
  <c r="M348" i="5" s="1"/>
  <c r="M349" i="5" a="1"/>
  <c r="M349" i="5" s="1"/>
  <c r="M350" i="5" a="1"/>
  <c r="M350" i="5" s="1"/>
  <c r="M351" i="5" a="1"/>
  <c r="M351" i="5" s="1"/>
  <c r="M352" i="5" a="1"/>
  <c r="M352" i="5" s="1"/>
  <c r="M353" i="5" a="1"/>
  <c r="M353" i="5" s="1"/>
  <c r="M354" i="5" a="1"/>
  <c r="M354" i="5" s="1"/>
  <c r="M355" i="5" a="1"/>
  <c r="M355" i="5" s="1"/>
  <c r="M356" i="5" a="1"/>
  <c r="M356" i="5" s="1"/>
  <c r="M357" i="5" a="1"/>
  <c r="M357" i="5" s="1"/>
  <c r="M358" i="5" a="1"/>
  <c r="M358" i="5" s="1"/>
  <c r="M359" i="5" a="1"/>
  <c r="M359" i="5" s="1"/>
  <c r="M360" i="5" a="1"/>
  <c r="M360" i="5" s="1"/>
  <c r="M361" i="5" a="1"/>
  <c r="M361" i="5" s="1"/>
  <c r="M362" i="5" a="1"/>
  <c r="M362" i="5" s="1"/>
  <c r="M363" i="5" a="1"/>
  <c r="M363" i="5" s="1"/>
  <c r="M364" i="5" a="1"/>
  <c r="M364" i="5" s="1"/>
  <c r="M365" i="5" a="1"/>
  <c r="M365" i="5" s="1"/>
  <c r="M366" i="5" a="1"/>
  <c r="M366" i="5" s="1"/>
  <c r="M367" i="5" a="1"/>
  <c r="M367" i="5" s="1"/>
  <c r="M368" i="5" a="1"/>
  <c r="M368" i="5" s="1"/>
  <c r="M369" i="5" a="1"/>
  <c r="M369" i="5" s="1"/>
  <c r="M370" i="5" a="1"/>
  <c r="M370" i="5" s="1"/>
  <c r="M371" i="5" a="1"/>
  <c r="M371" i="5" s="1"/>
  <c r="M372" i="5" a="1"/>
  <c r="M372" i="5" s="1"/>
  <c r="M373" i="5" a="1"/>
  <c r="M373" i="5" s="1"/>
  <c r="M374" i="5" a="1"/>
  <c r="M374" i="5" s="1"/>
  <c r="M375" i="5" a="1"/>
  <c r="M375" i="5" s="1"/>
  <c r="M376" i="5" a="1"/>
  <c r="M376" i="5" s="1"/>
  <c r="M377" i="5" a="1"/>
  <c r="M377" i="5" s="1"/>
  <c r="M378" i="5" a="1"/>
  <c r="M378" i="5" s="1"/>
  <c r="M379" i="5" a="1"/>
  <c r="M379" i="5" s="1"/>
  <c r="M380" i="5" a="1"/>
  <c r="M380" i="5"/>
  <c r="M381" i="5" a="1"/>
  <c r="M381" i="5" s="1"/>
  <c r="M382" i="5" a="1"/>
  <c r="M382" i="5" s="1"/>
  <c r="M383" i="5" a="1"/>
  <c r="M383" i="5" s="1"/>
  <c r="M384" i="5" a="1"/>
  <c r="M384" i="5" s="1"/>
  <c r="M386" i="5" a="1"/>
  <c r="M386" i="5"/>
  <c r="M387" i="5" a="1"/>
  <c r="M387" i="5" s="1"/>
  <c r="M388" i="5" a="1"/>
  <c r="M388" i="5" s="1"/>
  <c r="M389" i="5" a="1"/>
  <c r="M389" i="5" s="1"/>
  <c r="M390" i="5" a="1"/>
  <c r="M390" i="5" s="1"/>
  <c r="M392" i="5" a="1"/>
  <c r="M392" i="5" s="1"/>
  <c r="M393" i="5" a="1"/>
  <c r="M393" i="5" s="1"/>
  <c r="M394" i="5" a="1"/>
  <c r="M394" i="5" s="1"/>
  <c r="M395" i="5" a="1"/>
  <c r="M395" i="5" s="1"/>
  <c r="M396" i="5" a="1"/>
  <c r="M396" i="5" s="1"/>
  <c r="M397" i="5" a="1"/>
  <c r="M397" i="5" s="1"/>
  <c r="M398" i="5" a="1"/>
  <c r="M398" i="5" s="1"/>
  <c r="M399" i="5" a="1"/>
  <c r="M399" i="5" s="1"/>
  <c r="M400" i="5" a="1"/>
  <c r="M400" i="5" s="1"/>
  <c r="M401" i="5" a="1"/>
  <c r="M401" i="5" s="1"/>
  <c r="M402" i="5" a="1"/>
  <c r="M402" i="5" s="1"/>
  <c r="M403" i="5" a="1"/>
  <c r="M403" i="5" s="1"/>
  <c r="M404" i="5" a="1"/>
  <c r="M404" i="5" s="1"/>
  <c r="M405" i="5" a="1"/>
  <c r="M405" i="5" s="1"/>
  <c r="M406" i="5" a="1"/>
  <c r="M406" i="5" s="1"/>
  <c r="M407" i="5" a="1"/>
  <c r="M407" i="5" s="1"/>
  <c r="M408" i="5" a="1"/>
  <c r="M408" i="5" s="1"/>
  <c r="M409" i="5" a="1"/>
  <c r="M409" i="5" s="1"/>
  <c r="M410" i="5" a="1"/>
  <c r="M410" i="5"/>
  <c r="M411" i="5" a="1"/>
  <c r="M411" i="5" s="1"/>
  <c r="M412" i="5" a="1"/>
  <c r="M412" i="5" s="1"/>
  <c r="M413" i="5" a="1"/>
  <c r="M413" i="5" s="1"/>
  <c r="M414" i="5" a="1"/>
  <c r="M414" i="5" s="1"/>
  <c r="M415" i="5" a="1"/>
  <c r="M415" i="5" s="1"/>
  <c r="M416" i="5" a="1"/>
  <c r="M416" i="5"/>
  <c r="M417" i="5" a="1"/>
  <c r="M417" i="5" s="1"/>
  <c r="M418" i="5" a="1"/>
  <c r="M418" i="5" s="1"/>
  <c r="M419" i="5" a="1"/>
  <c r="M419" i="5" s="1"/>
  <c r="M420" i="5" a="1"/>
  <c r="M420" i="5" s="1"/>
  <c r="M421" i="5" a="1"/>
  <c r="M421" i="5" s="1"/>
  <c r="M422" i="5" a="1"/>
  <c r="M422" i="5" s="1"/>
  <c r="M423" i="5" a="1"/>
  <c r="M423" i="5" s="1"/>
  <c r="M424" i="5" a="1"/>
  <c r="M424" i="5" s="1"/>
  <c r="M425" i="5" a="1"/>
  <c r="M425" i="5" s="1"/>
  <c r="M426" i="5" a="1"/>
  <c r="M426" i="5" s="1"/>
  <c r="M427" i="5" a="1"/>
  <c r="M427" i="5" s="1"/>
  <c r="M428" i="5" a="1"/>
  <c r="M428" i="5" s="1"/>
  <c r="M429" i="5" a="1"/>
  <c r="M429" i="5" s="1"/>
  <c r="M430" i="5" a="1"/>
  <c r="M430" i="5" s="1"/>
  <c r="M431" i="5" a="1"/>
  <c r="M431" i="5" s="1"/>
  <c r="M432" i="5" a="1"/>
  <c r="M432" i="5" s="1"/>
  <c r="M433" i="5" a="1"/>
  <c r="M433" i="5" s="1"/>
  <c r="M434" i="5" a="1"/>
  <c r="M434" i="5" s="1"/>
  <c r="M435" i="5" a="1"/>
  <c r="M435" i="5" s="1"/>
  <c r="M436" i="5" a="1"/>
  <c r="M436" i="5" s="1"/>
  <c r="M437" i="5" a="1"/>
  <c r="M437" i="5" s="1"/>
  <c r="M438" i="5" a="1"/>
  <c r="M438" i="5" s="1"/>
  <c r="M439" i="5" a="1"/>
  <c r="M439" i="5" s="1"/>
  <c r="M440" i="5" a="1"/>
  <c r="M440" i="5" s="1"/>
  <c r="M441" i="5" a="1"/>
  <c r="M441" i="5" s="1"/>
  <c r="M442" i="5" a="1"/>
  <c r="M442" i="5" s="1"/>
  <c r="M443" i="5" a="1"/>
  <c r="M443" i="5" s="1"/>
  <c r="M444" i="5" a="1"/>
  <c r="M444" i="5" s="1"/>
  <c r="M445" i="5" a="1"/>
  <c r="M445" i="5" s="1"/>
  <c r="M446" i="5" a="1"/>
  <c r="M446" i="5" s="1"/>
  <c r="M447" i="5" a="1"/>
  <c r="M447" i="5" s="1"/>
  <c r="M448" i="5" a="1"/>
  <c r="M448" i="5" s="1"/>
  <c r="M449" i="5" a="1"/>
  <c r="M449" i="5" s="1"/>
  <c r="M450" i="5" a="1"/>
  <c r="M450" i="5" s="1"/>
  <c r="M451" i="5" a="1"/>
  <c r="M451" i="5" s="1"/>
  <c r="M452" i="5" a="1"/>
  <c r="M452" i="5"/>
  <c r="M453" i="5" a="1"/>
  <c r="M453" i="5" s="1"/>
  <c r="M454" i="5" a="1"/>
  <c r="M454" i="5" s="1"/>
  <c r="M455" i="5" a="1"/>
  <c r="M455" i="5" s="1"/>
  <c r="M456" i="5" a="1"/>
  <c r="M456" i="5" s="1"/>
  <c r="M457" i="5" a="1"/>
  <c r="M457" i="5" s="1"/>
  <c r="M458" i="5" a="1"/>
  <c r="M458" i="5"/>
  <c r="M459" i="5" a="1"/>
  <c r="M459" i="5" s="1"/>
  <c r="M460" i="5" a="1"/>
  <c r="M460" i="5" s="1"/>
  <c r="M461" i="5" a="1"/>
  <c r="M461" i="5" s="1"/>
  <c r="M462" i="5" a="1"/>
  <c r="M462" i="5" s="1"/>
  <c r="M463" i="5" a="1"/>
  <c r="M463" i="5" s="1"/>
  <c r="M464" i="5" a="1"/>
  <c r="M464" i="5" s="1"/>
  <c r="M465" i="5" a="1"/>
  <c r="M465" i="5" s="1"/>
  <c r="M466" i="5" a="1"/>
  <c r="M466" i="5" s="1"/>
  <c r="M467" i="5" a="1"/>
  <c r="M467" i="5" s="1"/>
  <c r="M468" i="5" a="1"/>
  <c r="M468" i="5" s="1"/>
  <c r="M469" i="5" a="1"/>
  <c r="M469" i="5" s="1"/>
  <c r="M470" i="5" a="1"/>
  <c r="M470" i="5" s="1"/>
  <c r="M471" i="5" a="1"/>
  <c r="M471" i="5" s="1"/>
  <c r="M472" i="5" a="1"/>
  <c r="M472" i="5" s="1"/>
  <c r="M473" i="5" a="1"/>
  <c r="M473" i="5" s="1"/>
  <c r="M474" i="5" a="1"/>
  <c r="M474" i="5" s="1"/>
  <c r="M475" i="5" a="1"/>
  <c r="M475" i="5" s="1"/>
  <c r="M476" i="5" a="1"/>
  <c r="M476" i="5" s="1"/>
  <c r="M477" i="5" a="1"/>
  <c r="M477" i="5" s="1"/>
  <c r="M478" i="5" a="1"/>
  <c r="M478" i="5" s="1"/>
  <c r="M479" i="5" a="1"/>
  <c r="M479" i="5" s="1"/>
  <c r="M480" i="5" a="1"/>
  <c r="M480" i="5" s="1"/>
  <c r="M481" i="5" a="1"/>
  <c r="M481" i="5" s="1"/>
  <c r="M482" i="5" a="1"/>
  <c r="M482" i="5"/>
  <c r="M483" i="5" a="1"/>
  <c r="M483" i="5" s="1"/>
  <c r="M484" i="5" a="1"/>
  <c r="M484" i="5" s="1"/>
  <c r="M485" i="5" a="1"/>
  <c r="M485" i="5" s="1"/>
  <c r="M486" i="5" a="1"/>
  <c r="M486" i="5" s="1"/>
  <c r="M487" i="5" a="1"/>
  <c r="M487" i="5" s="1"/>
  <c r="M488" i="5" a="1"/>
  <c r="M488" i="5"/>
  <c r="M489" i="5" a="1"/>
  <c r="M489" i="5" s="1"/>
  <c r="M490" i="5" a="1"/>
  <c r="M490" i="5" s="1"/>
  <c r="M491" i="5" a="1"/>
  <c r="M491" i="5" s="1"/>
  <c r="M492" i="5" a="1"/>
  <c r="M492" i="5" s="1"/>
  <c r="M493" i="5" a="1"/>
  <c r="M493" i="5" s="1"/>
  <c r="M494" i="5" a="1"/>
  <c r="M494" i="5" s="1"/>
  <c r="M495" i="5" a="1"/>
  <c r="M495" i="5" s="1"/>
  <c r="M496" i="5" a="1"/>
  <c r="M496" i="5" s="1"/>
  <c r="M497" i="5" a="1"/>
  <c r="M497" i="5" s="1"/>
  <c r="M498" i="5" a="1"/>
  <c r="M498" i="5" s="1"/>
  <c r="M499" i="5" a="1"/>
  <c r="M499" i="5" s="1"/>
  <c r="M500" i="5" a="1"/>
  <c r="M500" i="5"/>
  <c r="M501" i="5" a="1"/>
  <c r="M501" i="5" s="1"/>
  <c r="M502" i="5" a="1"/>
  <c r="M502" i="5" s="1"/>
  <c r="M503" i="5" a="1"/>
  <c r="M503" i="5" s="1"/>
  <c r="M504" i="5" a="1"/>
  <c r="M504" i="5" s="1"/>
  <c r="M505" i="5" a="1"/>
  <c r="M505" i="5" s="1"/>
  <c r="M506" i="5" a="1"/>
  <c r="M506" i="5" s="1"/>
  <c r="M507" i="5" a="1"/>
  <c r="M507" i="5" s="1"/>
  <c r="M508" i="5" a="1"/>
  <c r="M508" i="5" s="1"/>
  <c r="M509" i="5" a="1"/>
  <c r="M509" i="5" s="1"/>
  <c r="M510" i="5" a="1"/>
  <c r="M510" i="5" s="1"/>
  <c r="M511" i="5" a="1"/>
  <c r="M511" i="5" s="1"/>
  <c r="M512" i="5" a="1"/>
  <c r="M512" i="5" s="1"/>
  <c r="M513" i="5" a="1"/>
  <c r="M513" i="5"/>
  <c r="M514" i="5" a="1"/>
  <c r="M514" i="5" s="1"/>
  <c r="M515" i="5" a="1"/>
  <c r="M515" i="5" s="1"/>
  <c r="M516" i="5" a="1"/>
  <c r="M516" i="5"/>
  <c r="M517" i="5" a="1"/>
  <c r="M517" i="5"/>
  <c r="M518" i="5" a="1"/>
  <c r="M518" i="5" s="1"/>
  <c r="M519" i="5" a="1"/>
  <c r="M519" i="5"/>
  <c r="M520" i="5" a="1"/>
  <c r="M520" i="5" s="1"/>
  <c r="M521" i="5" a="1"/>
  <c r="M521" i="5" s="1"/>
  <c r="M522" i="5" a="1"/>
  <c r="M522" i="5"/>
  <c r="M523" i="5" a="1"/>
  <c r="M523" i="5" s="1"/>
  <c r="M524" i="5" a="1"/>
  <c r="M524" i="5" s="1"/>
  <c r="M525" i="5" a="1"/>
  <c r="M525" i="5"/>
  <c r="M526" i="5" a="1"/>
  <c r="M526" i="5" s="1"/>
  <c r="M527" i="5" a="1"/>
  <c r="M527" i="5" s="1"/>
  <c r="M528" i="5" a="1"/>
  <c r="M528" i="5"/>
  <c r="M529" i="5" a="1"/>
  <c r="M529" i="5" s="1"/>
  <c r="M530" i="5" a="1"/>
  <c r="M530" i="5" s="1"/>
  <c r="M531" i="5" a="1"/>
  <c r="M531" i="5"/>
  <c r="M532" i="5" a="1"/>
  <c r="M532" i="5" s="1"/>
  <c r="M533" i="5" a="1"/>
  <c r="M533" i="5" s="1"/>
  <c r="M534" i="5" a="1"/>
  <c r="M534" i="5"/>
  <c r="M535" i="5" a="1"/>
  <c r="M535" i="5" s="1"/>
  <c r="M536" i="5" a="1"/>
  <c r="M536" i="5" s="1"/>
  <c r="M537" i="5" a="1"/>
  <c r="M537" i="5"/>
  <c r="M538" i="5" a="1"/>
  <c r="M538" i="5" s="1"/>
  <c r="M539" i="5" a="1"/>
  <c r="M539" i="5" s="1"/>
  <c r="M540" i="5" a="1"/>
  <c r="M540" i="5"/>
  <c r="M541" i="5" a="1"/>
  <c r="M541" i="5" s="1"/>
  <c r="M542" i="5" a="1"/>
  <c r="M542" i="5" s="1"/>
  <c r="M543" i="5" a="1"/>
  <c r="M543" i="5"/>
  <c r="M544" i="5" a="1"/>
  <c r="M544" i="5" s="1"/>
  <c r="M545" i="5" a="1"/>
  <c r="M545" i="5" s="1"/>
  <c r="M546" i="5" a="1"/>
  <c r="M546" i="5"/>
  <c r="M547" i="5" a="1"/>
  <c r="M547" i="5" s="1"/>
  <c r="M548" i="5" a="1"/>
  <c r="M548" i="5" s="1"/>
  <c r="M549" i="5" a="1"/>
  <c r="M549" i="5"/>
  <c r="M550" i="5" a="1"/>
  <c r="M550" i="5" s="1"/>
  <c r="M551" i="5" a="1"/>
  <c r="M551" i="5" s="1"/>
  <c r="M552" i="5" a="1"/>
  <c r="M552" i="5"/>
  <c r="M553" i="5" a="1"/>
  <c r="M553" i="5" s="1"/>
  <c r="M554" i="5" a="1"/>
  <c r="M554" i="5" s="1"/>
  <c r="M555" i="5" a="1"/>
  <c r="M555" i="5"/>
  <c r="M556" i="5" a="1"/>
  <c r="M556" i="5" s="1"/>
  <c r="M557" i="5" a="1"/>
  <c r="M557" i="5" s="1"/>
  <c r="M558" i="5" a="1"/>
  <c r="M558" i="5" s="1"/>
  <c r="M559" i="5" a="1"/>
  <c r="M559" i="5" s="1"/>
  <c r="M560" i="5" a="1"/>
  <c r="M560" i="5" s="1"/>
  <c r="M561" i="5" a="1"/>
  <c r="M561" i="5"/>
  <c r="M562" i="5" a="1"/>
  <c r="M562" i="5" s="1"/>
  <c r="M563" i="5" a="1"/>
  <c r="M563" i="5" s="1"/>
  <c r="M564" i="5" a="1"/>
  <c r="M564" i="5" s="1"/>
  <c r="M565" i="5" a="1"/>
  <c r="M565" i="5" s="1"/>
  <c r="M566" i="5" a="1"/>
  <c r="M566" i="5" s="1"/>
  <c r="M567" i="5" a="1"/>
  <c r="M567" i="5" s="1"/>
  <c r="M568" i="5" a="1"/>
  <c r="M568" i="5" s="1"/>
  <c r="M569" i="5" a="1"/>
  <c r="M569" i="5" s="1"/>
  <c r="M570" i="5" a="1"/>
  <c r="M570" i="5" s="1"/>
  <c r="M571" i="5" a="1"/>
  <c r="M571" i="5" s="1"/>
  <c r="M572" i="5" a="1"/>
  <c r="M572" i="5" s="1"/>
  <c r="M573" i="5" a="1"/>
  <c r="M573" i="5" s="1"/>
  <c r="M574" i="5" a="1"/>
  <c r="M574" i="5" s="1"/>
  <c r="M575" i="5" a="1"/>
  <c r="M575" i="5" s="1"/>
  <c r="M576" i="5" a="1"/>
  <c r="M576" i="5" s="1"/>
  <c r="M577" i="5" a="1"/>
  <c r="M577" i="5" s="1"/>
  <c r="M578" i="5" a="1"/>
  <c r="M578" i="5" s="1"/>
  <c r="M579" i="5" a="1"/>
  <c r="M579" i="5" s="1"/>
  <c r="M580" i="5" a="1"/>
  <c r="M580" i="5" s="1"/>
  <c r="M581" i="5" a="1"/>
  <c r="M581" i="5" s="1"/>
  <c r="M582" i="5" a="1"/>
  <c r="M582" i="5" s="1"/>
  <c r="M583" i="5" a="1"/>
  <c r="M583" i="5" s="1"/>
  <c r="M584" i="5" a="1"/>
  <c r="M584" i="5" s="1"/>
  <c r="M585" i="5" a="1"/>
  <c r="M585" i="5" s="1"/>
  <c r="M586" i="5" a="1"/>
  <c r="M586" i="5" s="1"/>
  <c r="M587" i="5" a="1"/>
  <c r="M587" i="5" s="1"/>
  <c r="M588" i="5" a="1"/>
  <c r="M588" i="5" s="1"/>
  <c r="M589" i="5" a="1"/>
  <c r="M589" i="5" s="1"/>
  <c r="M590" i="5" a="1"/>
  <c r="M590" i="5" s="1"/>
  <c r="M591" i="5" a="1"/>
  <c r="M591" i="5" s="1"/>
  <c r="M592" i="5" a="1"/>
  <c r="M592" i="5" s="1"/>
  <c r="M593" i="5" a="1"/>
  <c r="M593" i="5" s="1"/>
  <c r="M594" i="5" a="1"/>
  <c r="M594" i="5" s="1"/>
  <c r="M595" i="5" a="1"/>
  <c r="M595" i="5" s="1"/>
  <c r="M596" i="5" a="1"/>
  <c r="M596" i="5" s="1"/>
  <c r="M597" i="5" a="1"/>
  <c r="M597" i="5" s="1"/>
  <c r="M598" i="5" a="1"/>
  <c r="M598" i="5" s="1"/>
  <c r="M599" i="5" a="1"/>
  <c r="M599" i="5" s="1"/>
  <c r="M600" i="5" a="1"/>
  <c r="M600" i="5" s="1"/>
  <c r="M601" i="5" a="1"/>
  <c r="M601" i="5" s="1"/>
  <c r="M602" i="5" a="1"/>
  <c r="M602" i="5" s="1"/>
  <c r="M603" i="5" a="1"/>
  <c r="M603" i="5" s="1"/>
  <c r="M604" i="5" a="1"/>
  <c r="M604" i="5" s="1"/>
  <c r="M605" i="5" a="1"/>
  <c r="M605" i="5" s="1"/>
  <c r="M606" i="5" a="1"/>
  <c r="M606" i="5" s="1"/>
  <c r="M607" i="5" a="1"/>
  <c r="M607" i="5" s="1"/>
  <c r="M608" i="5" a="1"/>
  <c r="M608" i="5" s="1"/>
  <c r="M609" i="5" a="1"/>
  <c r="M609" i="5" s="1"/>
  <c r="M610" i="5" a="1"/>
  <c r="M610" i="5" s="1"/>
  <c r="M611" i="5" a="1"/>
  <c r="M611" i="5" s="1"/>
  <c r="M612" i="5" a="1"/>
  <c r="M612" i="5" s="1"/>
  <c r="M613" i="5" a="1"/>
  <c r="M613" i="5" s="1"/>
  <c r="M614" i="5" a="1"/>
  <c r="M614" i="5" s="1"/>
  <c r="M615" i="5" a="1"/>
  <c r="M615" i="5" s="1"/>
  <c r="M616" i="5" a="1"/>
  <c r="M616" i="5" s="1"/>
  <c r="M617" i="5" a="1"/>
  <c r="M617" i="5" s="1"/>
  <c r="M618" i="5" a="1"/>
  <c r="M618" i="5" s="1"/>
  <c r="M619" i="5" a="1"/>
  <c r="M619" i="5" s="1"/>
  <c r="M620" i="5" a="1"/>
  <c r="M620" i="5" s="1"/>
  <c r="M621" i="5" a="1"/>
  <c r="M621" i="5" s="1"/>
  <c r="M622" i="5" a="1"/>
  <c r="M622" i="5" s="1"/>
  <c r="M623" i="5" a="1"/>
  <c r="M623" i="5" s="1"/>
  <c r="M624" i="5" a="1"/>
  <c r="M624" i="5" s="1"/>
  <c r="M625" i="5" a="1"/>
  <c r="M625" i="5" s="1"/>
  <c r="M626" i="5" a="1"/>
  <c r="M626" i="5" s="1"/>
  <c r="M627" i="5" a="1"/>
  <c r="M627" i="5" s="1"/>
  <c r="M628" i="5" a="1"/>
  <c r="M628" i="5" s="1"/>
  <c r="M629" i="5" a="1"/>
  <c r="M629" i="5" s="1"/>
  <c r="M630" i="5" a="1"/>
  <c r="M630" i="5" s="1"/>
  <c r="M631" i="5" a="1"/>
  <c r="M631" i="5" s="1"/>
  <c r="M632" i="5" a="1"/>
  <c r="M632" i="5" s="1"/>
  <c r="M633" i="5" a="1"/>
  <c r="M633" i="5" s="1"/>
  <c r="M634" i="5" a="1"/>
  <c r="M634" i="5" s="1"/>
  <c r="M635" i="5" a="1"/>
  <c r="M635" i="5" s="1"/>
  <c r="M636" i="5" a="1"/>
  <c r="M636" i="5" s="1"/>
  <c r="M637" i="5" a="1"/>
  <c r="M637" i="5" s="1"/>
  <c r="M638" i="5" a="1"/>
  <c r="M638" i="5" s="1"/>
  <c r="M639" i="5" a="1"/>
  <c r="M639" i="5" s="1"/>
  <c r="M640" i="5" a="1"/>
  <c r="M640" i="5" s="1"/>
  <c r="M641" i="5" a="1"/>
  <c r="M641" i="5" s="1"/>
  <c r="M642" i="5" a="1"/>
  <c r="M642" i="5" s="1"/>
  <c r="M643" i="5" a="1"/>
  <c r="M643" i="5" s="1"/>
  <c r="M644" i="5" a="1"/>
  <c r="M644" i="5" s="1"/>
  <c r="M645" i="5" a="1"/>
  <c r="M645" i="5" s="1"/>
  <c r="M646" i="5" a="1"/>
  <c r="M646" i="5" s="1"/>
  <c r="M647" i="5" a="1"/>
  <c r="M647" i="5" s="1"/>
  <c r="M648" i="5" a="1"/>
  <c r="M648" i="5" s="1"/>
  <c r="M649" i="5" a="1"/>
  <c r="M649" i="5" s="1"/>
  <c r="M650" i="5" a="1"/>
  <c r="M650" i="5" s="1"/>
  <c r="M651" i="5" a="1"/>
  <c r="M651" i="5" s="1"/>
  <c r="M652" i="5" a="1"/>
  <c r="M652" i="5" s="1"/>
  <c r="M653" i="5" a="1"/>
  <c r="M653" i="5" s="1"/>
  <c r="M654" i="5" a="1"/>
  <c r="M654" i="5" s="1"/>
  <c r="M655" i="5" a="1"/>
  <c r="M655" i="5" s="1"/>
  <c r="M656" i="5" a="1"/>
  <c r="M656" i="5" s="1"/>
  <c r="M657" i="5" a="1"/>
  <c r="M657" i="5" s="1"/>
  <c r="M658" i="5" a="1"/>
  <c r="M658" i="5" s="1"/>
  <c r="M659" i="5" a="1"/>
  <c r="M659" i="5" s="1"/>
  <c r="M660" i="5" a="1"/>
  <c r="M660" i="5" s="1"/>
  <c r="M661" i="5" a="1"/>
  <c r="M661" i="5" s="1"/>
  <c r="M662" i="5" a="1"/>
  <c r="M662" i="5" s="1"/>
  <c r="M663" i="5" a="1"/>
  <c r="M663" i="5" s="1"/>
  <c r="M664" i="5" a="1"/>
  <c r="M664" i="5" s="1"/>
  <c r="M665" i="5" a="1"/>
  <c r="M665" i="5" s="1"/>
  <c r="M666" i="5" a="1"/>
  <c r="M666" i="5" s="1"/>
  <c r="M667" i="5" a="1"/>
  <c r="M667" i="5" s="1"/>
  <c r="M668" i="5" a="1"/>
  <c r="M668" i="5" s="1"/>
  <c r="M669" i="5" a="1"/>
  <c r="M669" i="5" s="1"/>
  <c r="M670" i="5" a="1"/>
  <c r="M670" i="5" s="1"/>
  <c r="M671" i="5" a="1"/>
  <c r="M671" i="5" s="1"/>
  <c r="M672" i="5" a="1"/>
  <c r="M672" i="5" s="1"/>
  <c r="M673" i="5" a="1"/>
  <c r="M673" i="5" s="1"/>
  <c r="M674" i="5" a="1"/>
  <c r="M674" i="5" s="1"/>
  <c r="M675" i="5" a="1"/>
  <c r="M675" i="5" s="1"/>
  <c r="M676" i="5" a="1"/>
  <c r="M676" i="5" s="1"/>
  <c r="M677" i="5" a="1"/>
  <c r="M677" i="5" s="1"/>
  <c r="M678" i="5" a="1"/>
  <c r="M678" i="5" s="1"/>
  <c r="M679" i="5" a="1"/>
  <c r="M679" i="5" s="1"/>
  <c r="M680" i="5" a="1"/>
  <c r="M680" i="5" s="1"/>
  <c r="M681" i="5" a="1"/>
  <c r="M681" i="5" s="1"/>
  <c r="M682" i="5" a="1"/>
  <c r="M682" i="5" s="1"/>
  <c r="M683" i="5" a="1"/>
  <c r="M683" i="5" s="1"/>
  <c r="M684" i="5" a="1"/>
  <c r="M684" i="5" s="1"/>
  <c r="M685" i="5" a="1"/>
  <c r="M685" i="5" s="1"/>
  <c r="M686" i="5" a="1"/>
  <c r="M686" i="5" s="1"/>
  <c r="M687" i="5" a="1"/>
  <c r="M687" i="5" s="1"/>
  <c r="M688" i="5" a="1"/>
  <c r="M688" i="5" s="1"/>
  <c r="M689" i="5" a="1"/>
  <c r="M689" i="5" s="1"/>
  <c r="M690" i="5" a="1"/>
  <c r="M690" i="5" s="1"/>
  <c r="M691" i="5" a="1"/>
  <c r="M691" i="5" s="1"/>
  <c r="M692" i="5" a="1"/>
  <c r="M692" i="5" s="1"/>
  <c r="M693" i="5" a="1"/>
  <c r="M693" i="5" s="1"/>
  <c r="M694" i="5" a="1"/>
  <c r="M694" i="5" s="1"/>
  <c r="M695" i="5" a="1"/>
  <c r="M695" i="5" s="1"/>
  <c r="M696" i="5" a="1"/>
  <c r="M696" i="5" s="1"/>
  <c r="M697" i="5" a="1"/>
  <c r="M697" i="5" s="1"/>
  <c r="M698" i="5" a="1"/>
  <c r="M698" i="5" s="1"/>
  <c r="M699" i="5" a="1"/>
  <c r="M699" i="5" s="1"/>
  <c r="M700" i="5" a="1"/>
  <c r="M700" i="5" s="1"/>
  <c r="M701" i="5" a="1"/>
  <c r="M701" i="5" s="1"/>
  <c r="M702" i="5" a="1"/>
  <c r="M702" i="5" s="1"/>
  <c r="M703" i="5" a="1"/>
  <c r="M703" i="5" s="1"/>
  <c r="M704" i="5" a="1"/>
  <c r="M704" i="5" s="1"/>
  <c r="M705" i="5" a="1"/>
  <c r="M705" i="5" s="1"/>
  <c r="M706" i="5" a="1"/>
  <c r="M706" i="5" s="1"/>
  <c r="M707" i="5" a="1"/>
  <c r="M707" i="5" s="1"/>
  <c r="M708" i="5" a="1"/>
  <c r="M708" i="5" s="1"/>
  <c r="M709" i="5" a="1"/>
  <c r="M709" i="5" s="1"/>
  <c r="M710" i="5" a="1"/>
  <c r="M710" i="5" s="1"/>
  <c r="M711" i="5" a="1"/>
  <c r="M711" i="5" s="1"/>
  <c r="M712" i="5" a="1"/>
  <c r="M712" i="5" s="1"/>
  <c r="M713" i="5" a="1"/>
  <c r="M713" i="5" s="1"/>
  <c r="M714" i="5" a="1"/>
  <c r="M714" i="5" s="1"/>
  <c r="M715" i="5" a="1"/>
  <c r="M715" i="5" s="1"/>
  <c r="M716" i="5" a="1"/>
  <c r="M716" i="5" s="1"/>
  <c r="M717" i="5" a="1"/>
  <c r="M717" i="5" s="1"/>
  <c r="M718" i="5" a="1"/>
  <c r="M718" i="5" s="1"/>
  <c r="M719" i="5" a="1"/>
  <c r="M719" i="5" s="1"/>
  <c r="M720" i="5" a="1"/>
  <c r="M720" i="5" s="1"/>
  <c r="M721" i="5" a="1"/>
  <c r="M721" i="5" s="1"/>
  <c r="M722" i="5" a="1"/>
  <c r="M722" i="5" s="1"/>
  <c r="M723" i="5" a="1"/>
  <c r="M723" i="5" s="1"/>
  <c r="M724" i="5" a="1"/>
  <c r="M724" i="5" s="1"/>
  <c r="M725" i="5" a="1"/>
  <c r="M725" i="5" s="1"/>
  <c r="M726" i="5" a="1"/>
  <c r="M726" i="5" s="1"/>
  <c r="M727" i="5" a="1"/>
  <c r="M727" i="5" s="1"/>
  <c r="M728" i="5" a="1"/>
  <c r="M728" i="5" s="1"/>
  <c r="M729" i="5" a="1"/>
  <c r="M729" i="5" s="1"/>
  <c r="M730" i="5" a="1"/>
  <c r="M730" i="5" s="1"/>
  <c r="M731" i="5" a="1"/>
  <c r="M731" i="5" s="1"/>
  <c r="M732" i="5" a="1"/>
  <c r="M732" i="5" s="1"/>
  <c r="M733" i="5" a="1"/>
  <c r="M733" i="5" s="1"/>
  <c r="M734" i="5" a="1"/>
  <c r="M734" i="5" s="1"/>
  <c r="M735" i="5" a="1"/>
  <c r="M735" i="5" s="1"/>
  <c r="M736" i="5" a="1"/>
  <c r="M736" i="5" s="1"/>
  <c r="M737" i="5" a="1"/>
  <c r="M737" i="5" s="1"/>
  <c r="M738" i="5" a="1"/>
  <c r="M738" i="5" s="1"/>
  <c r="M739" i="5" a="1"/>
  <c r="M739" i="5" s="1"/>
  <c r="M740" i="5" a="1"/>
  <c r="M740" i="5" s="1"/>
  <c r="M741" i="5" a="1"/>
  <c r="M741" i="5" s="1"/>
  <c r="M742" i="5" a="1"/>
  <c r="M742" i="5" s="1"/>
  <c r="M743" i="5" a="1"/>
  <c r="M743" i="5" s="1"/>
  <c r="M744" i="5" a="1"/>
  <c r="M744" i="5" s="1"/>
  <c r="M745" i="5" a="1"/>
  <c r="M745" i="5" s="1"/>
  <c r="M746" i="5" a="1"/>
  <c r="M746" i="5" s="1"/>
  <c r="M747" i="5" a="1"/>
  <c r="M747" i="5" s="1"/>
  <c r="M748" i="5" a="1"/>
  <c r="M748" i="5" s="1"/>
  <c r="M749" i="5" a="1"/>
  <c r="M749" i="5" s="1"/>
  <c r="M750" i="5" a="1"/>
  <c r="M750" i="5" s="1"/>
  <c r="M751" i="5" a="1"/>
  <c r="M751" i="5" s="1"/>
  <c r="M752" i="5" a="1"/>
  <c r="M752" i="5" s="1"/>
  <c r="M753" i="5" a="1"/>
  <c r="M753" i="5" s="1"/>
  <c r="M754" i="5" a="1"/>
  <c r="M754" i="5" s="1"/>
  <c r="M755" i="5" a="1"/>
  <c r="M755" i="5" s="1"/>
  <c r="M756" i="5" a="1"/>
  <c r="M756" i="5" s="1"/>
  <c r="M757" i="5" a="1"/>
  <c r="M757" i="5" s="1"/>
  <c r="M758" i="5" a="1"/>
  <c r="M758" i="5" s="1"/>
  <c r="M759" i="5" a="1"/>
  <c r="M759" i="5" s="1"/>
  <c r="M760" i="5" a="1"/>
  <c r="M760" i="5" s="1"/>
  <c r="M761" i="5" a="1"/>
  <c r="M761" i="5" s="1"/>
  <c r="M762" i="5" a="1"/>
  <c r="M762" i="5" s="1"/>
  <c r="M763" i="5" a="1"/>
  <c r="M763" i="5" s="1"/>
  <c r="M764" i="5" a="1"/>
  <c r="M764" i="5" s="1"/>
  <c r="M765" i="5" a="1"/>
  <c r="M765" i="5" s="1"/>
  <c r="M766" i="5" a="1"/>
  <c r="M766" i="5" s="1"/>
  <c r="M767" i="5" a="1"/>
  <c r="M767" i="5" s="1"/>
  <c r="M768" i="5" a="1"/>
  <c r="M768" i="5" s="1"/>
  <c r="M769" i="5" a="1"/>
  <c r="M769" i="5" s="1"/>
  <c r="M770" i="5" a="1"/>
  <c r="M770" i="5" s="1"/>
  <c r="M771" i="5" a="1"/>
  <c r="M771" i="5" s="1"/>
  <c r="M772" i="5" a="1"/>
  <c r="M772" i="5" s="1"/>
  <c r="M773" i="5" a="1"/>
  <c r="M773" i="5" s="1"/>
  <c r="M774" i="5" a="1"/>
  <c r="M774" i="5" s="1"/>
  <c r="M775" i="5" a="1"/>
  <c r="M775" i="5" s="1"/>
  <c r="M776" i="5" a="1"/>
  <c r="M776" i="5" s="1"/>
  <c r="M777" i="5" a="1"/>
  <c r="M777" i="5" s="1"/>
  <c r="M778" i="5" a="1"/>
  <c r="M778" i="5" s="1"/>
  <c r="M779" i="5" a="1"/>
  <c r="M779" i="5" s="1"/>
  <c r="M780" i="5" a="1"/>
  <c r="M780" i="5" s="1"/>
  <c r="M781" i="5" a="1"/>
  <c r="M781" i="5" s="1"/>
  <c r="M782" i="5" a="1"/>
  <c r="M782" i="5" s="1"/>
  <c r="M783" i="5" a="1"/>
  <c r="M783" i="5" s="1"/>
  <c r="M784" i="5" a="1"/>
  <c r="M784" i="5" s="1"/>
  <c r="M785" i="5" a="1"/>
  <c r="M785" i="5" s="1"/>
  <c r="M786" i="5" a="1"/>
  <c r="M786" i="5" s="1"/>
  <c r="M787" i="5" a="1"/>
  <c r="M787" i="5" s="1"/>
  <c r="M788" i="5" a="1"/>
  <c r="M788" i="5" s="1"/>
  <c r="M789" i="5" a="1"/>
  <c r="M789" i="5" s="1"/>
  <c r="M790" i="5" a="1"/>
  <c r="M790" i="5" s="1"/>
  <c r="M791" i="5" a="1"/>
  <c r="M791" i="5" s="1"/>
  <c r="M792" i="5" a="1"/>
  <c r="M792" i="5" s="1"/>
  <c r="M793" i="5" a="1"/>
  <c r="M793" i="5" s="1"/>
  <c r="M794" i="5" a="1"/>
  <c r="M794" i="5" s="1"/>
  <c r="M795" i="5" a="1"/>
  <c r="M795" i="5" s="1"/>
  <c r="M796" i="5" a="1"/>
  <c r="M796" i="5" s="1"/>
  <c r="M797" i="5" a="1"/>
  <c r="M797" i="5" s="1"/>
  <c r="M798" i="5" a="1"/>
  <c r="M798" i="5" s="1"/>
  <c r="M799" i="5" a="1"/>
  <c r="M799" i="5" s="1"/>
  <c r="M800" i="5" a="1"/>
  <c r="M800" i="5" s="1"/>
  <c r="M801" i="5" a="1"/>
  <c r="M801" i="5" s="1"/>
  <c r="M802" i="5" a="1"/>
  <c r="M802" i="5" s="1"/>
  <c r="M803" i="5" a="1"/>
  <c r="M803" i="5" s="1"/>
  <c r="M804" i="5" a="1"/>
  <c r="M804" i="5" s="1"/>
  <c r="M805" i="5" a="1"/>
  <c r="M805" i="5" s="1"/>
  <c r="M806" i="5" a="1"/>
  <c r="M806" i="5" s="1"/>
  <c r="M807" i="5" a="1"/>
  <c r="M807" i="5" s="1"/>
  <c r="M808" i="5" a="1"/>
  <c r="M808" i="5" s="1"/>
  <c r="M809" i="5" a="1"/>
  <c r="M809" i="5" s="1"/>
  <c r="M810" i="5" a="1"/>
  <c r="M810" i="5" s="1"/>
  <c r="M811" i="5" a="1"/>
  <c r="M811" i="5" s="1"/>
  <c r="M812" i="5" a="1"/>
  <c r="M812" i="5" s="1"/>
  <c r="M813" i="5" a="1"/>
  <c r="M813" i="5" s="1"/>
  <c r="M814" i="5" a="1"/>
  <c r="M814" i="5" s="1"/>
  <c r="M815" i="5" a="1"/>
  <c r="M815" i="5" s="1"/>
  <c r="M816" i="5" a="1"/>
  <c r="M816" i="5" s="1"/>
  <c r="M817" i="5" a="1"/>
  <c r="M817" i="5" s="1"/>
  <c r="M818" i="5" a="1"/>
  <c r="M818" i="5" s="1"/>
  <c r="M819" i="5" a="1"/>
  <c r="M819" i="5" s="1"/>
  <c r="M820" i="5" a="1"/>
  <c r="M820" i="5" s="1"/>
  <c r="M821" i="5" a="1"/>
  <c r="M821" i="5" s="1"/>
  <c r="M822" i="5" a="1"/>
  <c r="M822" i="5" s="1"/>
  <c r="M823" i="5" a="1"/>
  <c r="M823" i="5" s="1"/>
  <c r="M824" i="5" a="1"/>
  <c r="M824" i="5" s="1"/>
  <c r="M825" i="5" a="1"/>
  <c r="M825" i="5" s="1"/>
  <c r="M826" i="5" a="1"/>
  <c r="M826" i="5" s="1"/>
  <c r="M827" i="5" a="1"/>
  <c r="M827" i="5" s="1"/>
  <c r="M828" i="5" a="1"/>
  <c r="M828" i="5" s="1"/>
  <c r="M829" i="5" a="1"/>
  <c r="M829" i="5" s="1"/>
  <c r="M830" i="5" a="1"/>
  <c r="M830" i="5" s="1"/>
  <c r="M831" i="5" a="1"/>
  <c r="M831" i="5" s="1"/>
  <c r="M832" i="5" a="1"/>
  <c r="M832" i="5" s="1"/>
  <c r="M833" i="5" a="1"/>
  <c r="M833" i="5" s="1"/>
  <c r="M834" i="5" a="1"/>
  <c r="M834" i="5" s="1"/>
  <c r="M835" i="5" a="1"/>
  <c r="M835" i="5" s="1"/>
  <c r="M836" i="5" a="1"/>
  <c r="M836" i="5" s="1"/>
  <c r="M837" i="5" a="1"/>
  <c r="M837" i="5" s="1"/>
  <c r="M838" i="5" a="1"/>
  <c r="M838" i="5" s="1"/>
  <c r="M839" i="5" a="1"/>
  <c r="M839" i="5" s="1"/>
  <c r="M840" i="5" a="1"/>
  <c r="M840" i="5" s="1"/>
  <c r="M841" i="5" a="1"/>
  <c r="M841" i="5" s="1"/>
  <c r="M842" i="5" a="1"/>
  <c r="M842" i="5" s="1"/>
  <c r="M843" i="5" a="1"/>
  <c r="M843" i="5" s="1"/>
  <c r="M844" i="5" a="1"/>
  <c r="M844" i="5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K3" i="5" a="1"/>
  <c r="K3" i="5" s="1"/>
  <c r="K4" i="5" a="1"/>
  <c r="K4" i="5" s="1"/>
  <c r="K5" i="5" a="1"/>
  <c r="K5" i="5" s="1"/>
  <c r="K6" i="5" a="1"/>
  <c r="K6" i="5" s="1"/>
  <c r="K7" i="5" a="1"/>
  <c r="K7" i="5" s="1"/>
  <c r="K8" i="5" a="1"/>
  <c r="K8" i="5" s="1"/>
  <c r="K9" i="5" a="1"/>
  <c r="K9" i="5" s="1"/>
  <c r="K10" i="5" a="1"/>
  <c r="K10" i="5" s="1"/>
  <c r="K11" i="5" a="1"/>
  <c r="K11" i="5" s="1"/>
  <c r="K12" i="5" a="1"/>
  <c r="K12" i="5" s="1"/>
  <c r="K13" i="5" a="1"/>
  <c r="K13" i="5" s="1"/>
  <c r="K14" i="5" a="1"/>
  <c r="K14" i="5" s="1"/>
  <c r="K15" i="5" a="1"/>
  <c r="K15" i="5" s="1"/>
  <c r="K16" i="5" a="1"/>
  <c r="K16" i="5" s="1"/>
  <c r="K17" i="5" a="1"/>
  <c r="K17" i="5" s="1"/>
  <c r="K18" i="5" a="1"/>
  <c r="K18" i="5" s="1"/>
  <c r="K19" i="5" a="1"/>
  <c r="K19" i="5" s="1"/>
  <c r="K20" i="5" a="1"/>
  <c r="K20" i="5" s="1"/>
  <c r="K21" i="5" a="1"/>
  <c r="K21" i="5" s="1"/>
  <c r="K22" i="5" a="1"/>
  <c r="K22" i="5" s="1"/>
  <c r="K23" i="5" a="1"/>
  <c r="K23" i="5" s="1"/>
  <c r="K24" i="5" a="1"/>
  <c r="K24" i="5" s="1"/>
  <c r="K25" i="5" a="1"/>
  <c r="K25" i="5" s="1"/>
  <c r="K26" i="5" a="1"/>
  <c r="K26" i="5" s="1"/>
  <c r="K27" i="5" a="1"/>
  <c r="K27" i="5" s="1"/>
  <c r="K28" i="5" a="1"/>
  <c r="K28" i="5" s="1"/>
  <c r="K29" i="5" a="1"/>
  <c r="K29" i="5" s="1"/>
  <c r="K30" i="5" a="1"/>
  <c r="K30" i="5" s="1"/>
  <c r="K31" i="5" a="1"/>
  <c r="K31" i="5" s="1"/>
  <c r="K32" i="5" a="1"/>
  <c r="K32" i="5" s="1"/>
  <c r="K33" i="5" a="1"/>
  <c r="K33" i="5" s="1"/>
  <c r="K34" i="5" a="1"/>
  <c r="K34" i="5" s="1"/>
  <c r="K35" i="5" a="1"/>
  <c r="K35" i="5" s="1"/>
  <c r="K36" i="5" a="1"/>
  <c r="K36" i="5" s="1"/>
  <c r="K37" i="5" a="1"/>
  <c r="K37" i="5" s="1"/>
  <c r="K38" i="5" a="1"/>
  <c r="K38" i="5" s="1"/>
  <c r="K39" i="5" a="1"/>
  <c r="K39" i="5" s="1"/>
  <c r="K40" i="5" a="1"/>
  <c r="K40" i="5" s="1"/>
  <c r="K41" i="5" a="1"/>
  <c r="K41" i="5" s="1"/>
  <c r="K42" i="5" a="1"/>
  <c r="K42" i="5" s="1"/>
  <c r="K43" i="5" a="1"/>
  <c r="K43" i="5" s="1"/>
  <c r="K44" i="5" a="1"/>
  <c r="K44" i="5" s="1"/>
  <c r="K45" i="5" a="1"/>
  <c r="K45" i="5" s="1"/>
  <c r="K46" i="5" a="1"/>
  <c r="K46" i="5" s="1"/>
  <c r="K47" i="5" a="1"/>
  <c r="K47" i="5" s="1"/>
  <c r="K48" i="5" a="1"/>
  <c r="K48" i="5" s="1"/>
  <c r="K49" i="5" a="1"/>
  <c r="K49" i="5" s="1"/>
  <c r="K50" i="5" a="1"/>
  <c r="K50" i="5" s="1"/>
  <c r="K51" i="5" a="1"/>
  <c r="K51" i="5" s="1"/>
  <c r="K52" i="5" a="1"/>
  <c r="K52" i="5" s="1"/>
  <c r="K53" i="5" a="1"/>
  <c r="K53" i="5" s="1"/>
  <c r="K54" i="5" a="1"/>
  <c r="K54" i="5" s="1"/>
  <c r="K55" i="5" a="1"/>
  <c r="K55" i="5" s="1"/>
  <c r="K56" i="5" a="1"/>
  <c r="K56" i="5" s="1"/>
  <c r="K57" i="5" a="1"/>
  <c r="K57" i="5" s="1"/>
  <c r="K58" i="5" a="1"/>
  <c r="K58" i="5" s="1"/>
  <c r="K59" i="5" a="1"/>
  <c r="K59" i="5" s="1"/>
  <c r="K60" i="5" a="1"/>
  <c r="K60" i="5" s="1"/>
  <c r="K61" i="5" a="1"/>
  <c r="K61" i="5" s="1"/>
  <c r="K62" i="5" a="1"/>
  <c r="K62" i="5" s="1"/>
  <c r="K63" i="5" a="1"/>
  <c r="K63" i="5" s="1"/>
  <c r="K64" i="5" a="1"/>
  <c r="K64" i="5" s="1"/>
  <c r="K65" i="5" a="1"/>
  <c r="K65" i="5" s="1"/>
  <c r="K66" i="5" a="1"/>
  <c r="K66" i="5" s="1"/>
  <c r="K67" i="5" a="1"/>
  <c r="K67" i="5" s="1"/>
  <c r="K68" i="5" a="1"/>
  <c r="K68" i="5" s="1"/>
  <c r="K69" i="5" a="1"/>
  <c r="K69" i="5" s="1"/>
  <c r="K70" i="5" a="1"/>
  <c r="K70" i="5" s="1"/>
  <c r="K71" i="5" a="1"/>
  <c r="K71" i="5" s="1"/>
  <c r="K72" i="5" a="1"/>
  <c r="K72" i="5" s="1"/>
  <c r="K73" i="5" a="1"/>
  <c r="K73" i="5" s="1"/>
  <c r="K74" i="5" a="1"/>
  <c r="K74" i="5" s="1"/>
  <c r="K75" i="5" a="1"/>
  <c r="K75" i="5" s="1"/>
  <c r="K76" i="5" a="1"/>
  <c r="K76" i="5" s="1"/>
  <c r="K77" i="5" a="1"/>
  <c r="K77" i="5" s="1"/>
  <c r="K78" i="5" a="1"/>
  <c r="K78" i="5" s="1"/>
  <c r="K79" i="5" a="1"/>
  <c r="K79" i="5" s="1"/>
  <c r="K80" i="5" a="1"/>
  <c r="K80" i="5" s="1"/>
  <c r="K81" i="5" a="1"/>
  <c r="K81" i="5" s="1"/>
  <c r="K82" i="5" a="1"/>
  <c r="K82" i="5" s="1"/>
  <c r="K83" i="5" a="1"/>
  <c r="K83" i="5" s="1"/>
  <c r="K84" i="5" a="1"/>
  <c r="K84" i="5" s="1"/>
  <c r="K85" i="5" a="1"/>
  <c r="K85" i="5" s="1"/>
  <c r="K86" i="5" a="1"/>
  <c r="K86" i="5" s="1"/>
  <c r="K87" i="5" a="1"/>
  <c r="K87" i="5" s="1"/>
  <c r="K88" i="5" a="1"/>
  <c r="K88" i="5" s="1"/>
  <c r="K89" i="5" a="1"/>
  <c r="K89" i="5" s="1"/>
  <c r="K90" i="5" a="1"/>
  <c r="K90" i="5" s="1"/>
  <c r="K91" i="5" a="1"/>
  <c r="K91" i="5" s="1"/>
  <c r="K92" i="5" a="1"/>
  <c r="K92" i="5" s="1"/>
  <c r="K93" i="5" a="1"/>
  <c r="K93" i="5" s="1"/>
  <c r="K94" i="5" a="1"/>
  <c r="K94" i="5" s="1"/>
  <c r="K95" i="5" a="1"/>
  <c r="K95" i="5" s="1"/>
  <c r="K96" i="5" a="1"/>
  <c r="K96" i="5" s="1"/>
  <c r="K97" i="5" a="1"/>
  <c r="K97" i="5" s="1"/>
  <c r="K98" i="5" a="1"/>
  <c r="K98" i="5" s="1"/>
  <c r="K99" i="5" a="1"/>
  <c r="K99" i="5" s="1"/>
  <c r="K100" i="5" a="1"/>
  <c r="K100" i="5" s="1"/>
  <c r="K101" i="5" a="1"/>
  <c r="K101" i="5" s="1"/>
  <c r="K102" i="5" a="1"/>
  <c r="K102" i="5" s="1"/>
  <c r="K103" i="5" a="1"/>
  <c r="K103" i="5" s="1"/>
  <c r="K104" i="5" a="1"/>
  <c r="K104" i="5" s="1"/>
  <c r="K105" i="5" a="1"/>
  <c r="K105" i="5" s="1"/>
  <c r="K106" i="5" a="1"/>
  <c r="K106" i="5" s="1"/>
  <c r="K107" i="5" a="1"/>
  <c r="K107" i="5" s="1"/>
  <c r="K108" i="5" a="1"/>
  <c r="K108" i="5" s="1"/>
  <c r="K109" i="5" a="1"/>
  <c r="K109" i="5" s="1"/>
  <c r="K110" i="5" a="1"/>
  <c r="K110" i="5" s="1"/>
  <c r="K111" i="5" a="1"/>
  <c r="K111" i="5" s="1"/>
  <c r="K112" i="5" a="1"/>
  <c r="K112" i="5" s="1"/>
  <c r="K113" i="5" a="1"/>
  <c r="K113" i="5" s="1"/>
  <c r="K114" i="5" a="1"/>
  <c r="K114" i="5" s="1"/>
  <c r="K115" i="5" a="1"/>
  <c r="K115" i="5" s="1"/>
  <c r="K116" i="5" a="1"/>
  <c r="K116" i="5" s="1"/>
  <c r="K117" i="5" a="1"/>
  <c r="K117" i="5" s="1"/>
  <c r="K118" i="5" a="1"/>
  <c r="K118" i="5" s="1"/>
  <c r="K119" i="5" a="1"/>
  <c r="K119" i="5" s="1"/>
  <c r="K121" i="5" a="1"/>
  <c r="K121" i="5" s="1"/>
  <c r="K122" i="5" a="1"/>
  <c r="K122" i="5" s="1"/>
  <c r="K123" i="5" a="1"/>
  <c r="K123" i="5" s="1"/>
  <c r="K124" i="5" a="1"/>
  <c r="K124" i="5" s="1"/>
  <c r="K125" i="5" a="1"/>
  <c r="K125" i="5" s="1"/>
  <c r="K126" i="5" a="1"/>
  <c r="K126" i="5" s="1"/>
  <c r="K127" i="5" a="1"/>
  <c r="K127" i="5" s="1"/>
  <c r="K128" i="5" a="1"/>
  <c r="K128" i="5" s="1"/>
  <c r="K129" i="5" a="1"/>
  <c r="K129" i="5" s="1"/>
  <c r="K130" i="5" a="1"/>
  <c r="K130" i="5" s="1"/>
  <c r="K131" i="5" a="1"/>
  <c r="K131" i="5" s="1"/>
  <c r="K132" i="5" a="1"/>
  <c r="K132" i="5" s="1"/>
  <c r="K133" i="5" a="1"/>
  <c r="K133" i="5" s="1"/>
  <c r="K134" i="5" a="1"/>
  <c r="K134" i="5" s="1"/>
  <c r="K135" i="5" a="1"/>
  <c r="K135" i="5" s="1"/>
  <c r="K136" i="5" a="1"/>
  <c r="K136" i="5" s="1"/>
  <c r="K137" i="5" a="1"/>
  <c r="K137" i="5" s="1"/>
  <c r="K138" i="5" a="1"/>
  <c r="K138" i="5" s="1"/>
  <c r="K139" i="5" a="1"/>
  <c r="K139" i="5" s="1"/>
  <c r="K140" i="5" a="1"/>
  <c r="K140" i="5" s="1"/>
  <c r="K141" i="5" a="1"/>
  <c r="K141" i="5" s="1"/>
  <c r="K142" i="5" a="1"/>
  <c r="K142" i="5" s="1"/>
  <c r="K143" i="5" a="1"/>
  <c r="K143" i="5" s="1"/>
  <c r="K144" i="5" a="1"/>
  <c r="K144" i="5" s="1"/>
  <c r="K145" i="5" a="1"/>
  <c r="K145" i="5" s="1"/>
  <c r="K146" i="5" a="1"/>
  <c r="K146" i="5" s="1"/>
  <c r="K147" i="5" a="1"/>
  <c r="K147" i="5" s="1"/>
  <c r="K148" i="5" a="1"/>
  <c r="K148" i="5" s="1"/>
  <c r="K149" i="5" a="1"/>
  <c r="K149" i="5" s="1"/>
  <c r="K150" i="5" a="1"/>
  <c r="K150" i="5" s="1"/>
  <c r="K151" i="5" a="1"/>
  <c r="K151" i="5" s="1"/>
  <c r="K152" i="5" a="1"/>
  <c r="K152" i="5" s="1"/>
  <c r="K153" i="5" a="1"/>
  <c r="K153" i="5" s="1"/>
  <c r="K154" i="5" a="1"/>
  <c r="K154" i="5" s="1"/>
  <c r="K155" i="5" a="1"/>
  <c r="K155" i="5" s="1"/>
  <c r="K156" i="5" a="1"/>
  <c r="K156" i="5" s="1"/>
  <c r="K157" i="5" a="1"/>
  <c r="K157" i="5" s="1"/>
  <c r="K158" i="5" a="1"/>
  <c r="K158" i="5" s="1"/>
  <c r="K159" i="5" a="1"/>
  <c r="K159" i="5" s="1"/>
  <c r="K160" i="5" a="1"/>
  <c r="K160" i="5" s="1"/>
  <c r="K161" i="5" a="1"/>
  <c r="K161" i="5" s="1"/>
  <c r="K162" i="5" a="1"/>
  <c r="K162" i="5" s="1"/>
  <c r="K163" i="5" a="1"/>
  <c r="K163" i="5" s="1"/>
  <c r="K164" i="5" a="1"/>
  <c r="K164" i="5" s="1"/>
  <c r="K165" i="5" a="1"/>
  <c r="K165" i="5" s="1"/>
  <c r="K166" i="5" a="1"/>
  <c r="K166" i="5" s="1"/>
  <c r="K167" i="5" a="1"/>
  <c r="K167" i="5" s="1"/>
  <c r="K168" i="5" a="1"/>
  <c r="K168" i="5" s="1"/>
  <c r="K169" i="5" a="1"/>
  <c r="K169" i="5" s="1"/>
  <c r="K170" i="5" a="1"/>
  <c r="K170" i="5" s="1"/>
  <c r="K171" i="5" a="1"/>
  <c r="K171" i="5" s="1"/>
  <c r="K172" i="5" a="1"/>
  <c r="K172" i="5" s="1"/>
  <c r="K173" i="5" a="1"/>
  <c r="K173" i="5" s="1"/>
  <c r="K174" i="5" a="1"/>
  <c r="K174" i="5" s="1"/>
  <c r="K175" i="5" a="1"/>
  <c r="K175" i="5" s="1"/>
  <c r="K176" i="5" a="1"/>
  <c r="K176" i="5" s="1"/>
  <c r="K177" i="5" a="1"/>
  <c r="K177" i="5" s="1"/>
  <c r="K178" i="5" a="1"/>
  <c r="K178" i="5" s="1"/>
  <c r="K179" i="5" a="1"/>
  <c r="K179" i="5" s="1"/>
  <c r="K180" i="5" a="1"/>
  <c r="K180" i="5" s="1"/>
  <c r="K181" i="5" a="1"/>
  <c r="K181" i="5" s="1"/>
  <c r="K182" i="5" a="1"/>
  <c r="K182" i="5" s="1"/>
  <c r="K183" i="5" a="1"/>
  <c r="K183" i="5" s="1"/>
  <c r="K184" i="5" a="1"/>
  <c r="K184" i="5" s="1"/>
  <c r="K185" i="5" a="1"/>
  <c r="K185" i="5" s="1"/>
  <c r="K186" i="5" a="1"/>
  <c r="K186" i="5" s="1"/>
  <c r="K187" i="5" a="1"/>
  <c r="K187" i="5" s="1"/>
  <c r="K188" i="5" a="1"/>
  <c r="K188" i="5" s="1"/>
  <c r="K189" i="5" a="1"/>
  <c r="K189" i="5" s="1"/>
  <c r="K190" i="5" a="1"/>
  <c r="K190" i="5" s="1"/>
  <c r="K191" i="5" a="1"/>
  <c r="K191" i="5" s="1"/>
  <c r="K192" i="5" a="1"/>
  <c r="K192" i="5" s="1"/>
  <c r="K193" i="5" a="1"/>
  <c r="K193" i="5" s="1"/>
  <c r="K194" i="5" a="1"/>
  <c r="K194" i="5" s="1"/>
  <c r="K195" i="5" a="1"/>
  <c r="K195" i="5" s="1"/>
  <c r="K196" i="5" a="1"/>
  <c r="K196" i="5" s="1"/>
  <c r="K197" i="5" a="1"/>
  <c r="K197" i="5" s="1"/>
  <c r="K198" i="5" a="1"/>
  <c r="K198" i="5" s="1"/>
  <c r="K199" i="5" a="1"/>
  <c r="K199" i="5" s="1"/>
  <c r="K200" i="5" a="1"/>
  <c r="K200" i="5" s="1"/>
  <c r="K201" i="5" a="1"/>
  <c r="K201" i="5" s="1"/>
  <c r="K202" i="5" a="1"/>
  <c r="K202" i="5" s="1"/>
  <c r="K203" i="5" a="1"/>
  <c r="K203" i="5" s="1"/>
  <c r="K204" i="5" a="1"/>
  <c r="K204" i="5" s="1"/>
  <c r="K205" i="5" a="1"/>
  <c r="K205" i="5" s="1"/>
  <c r="K206" i="5" a="1"/>
  <c r="K206" i="5" s="1"/>
  <c r="K207" i="5" a="1"/>
  <c r="K207" i="5" s="1"/>
  <c r="K208" i="5" a="1"/>
  <c r="K208" i="5" s="1"/>
  <c r="K209" i="5" a="1"/>
  <c r="K209" i="5" s="1"/>
  <c r="K210" i="5" a="1"/>
  <c r="K210" i="5" s="1"/>
  <c r="K211" i="5" a="1"/>
  <c r="K211" i="5" s="1"/>
  <c r="K212" i="5" a="1"/>
  <c r="K212" i="5" s="1"/>
  <c r="K213" i="5" a="1"/>
  <c r="K213" i="5" s="1"/>
  <c r="K214" i="5" a="1"/>
  <c r="K214" i="5" s="1"/>
  <c r="K215" i="5" a="1"/>
  <c r="K215" i="5" s="1"/>
  <c r="K216" i="5" a="1"/>
  <c r="K216" i="5" s="1"/>
  <c r="K217" i="5" a="1"/>
  <c r="K217" i="5" s="1"/>
  <c r="K218" i="5" a="1"/>
  <c r="K218" i="5" s="1"/>
  <c r="K219" i="5" a="1"/>
  <c r="K219" i="5" s="1"/>
  <c r="K220" i="5" a="1"/>
  <c r="K220" i="5" s="1"/>
  <c r="K221" i="5" a="1"/>
  <c r="K221" i="5" s="1"/>
  <c r="K222" i="5" a="1"/>
  <c r="K222" i="5" s="1"/>
  <c r="K223" i="5" a="1"/>
  <c r="K223" i="5" s="1"/>
  <c r="K224" i="5" a="1"/>
  <c r="K224" i="5" s="1"/>
  <c r="K225" i="5" a="1"/>
  <c r="K225" i="5" s="1"/>
  <c r="K226" i="5" a="1"/>
  <c r="K226" i="5" s="1"/>
  <c r="K227" i="5" a="1"/>
  <c r="K227" i="5" s="1"/>
  <c r="K228" i="5" a="1"/>
  <c r="K228" i="5" s="1"/>
  <c r="K229" i="5" a="1"/>
  <c r="K229" i="5" s="1"/>
  <c r="K230" i="5" a="1"/>
  <c r="K230" i="5" s="1"/>
  <c r="K231" i="5" a="1"/>
  <c r="K231" i="5" s="1"/>
  <c r="K232" i="5" a="1"/>
  <c r="K232" i="5" s="1"/>
  <c r="K233" i="5" a="1"/>
  <c r="K233" i="5" s="1"/>
  <c r="K234" i="5" a="1"/>
  <c r="K234" i="5" s="1"/>
  <c r="K235" i="5" a="1"/>
  <c r="K235" i="5" s="1"/>
  <c r="K236" i="5" a="1"/>
  <c r="K236" i="5" s="1"/>
  <c r="K237" i="5" a="1"/>
  <c r="K237" i="5" s="1"/>
  <c r="K238" i="5" a="1"/>
  <c r="K238" i="5" s="1"/>
  <c r="K239" i="5" a="1"/>
  <c r="K239" i="5" s="1"/>
  <c r="K240" i="5" a="1"/>
  <c r="K240" i="5" s="1"/>
  <c r="K241" i="5" a="1"/>
  <c r="K241" i="5" s="1"/>
  <c r="K242" i="5" a="1"/>
  <c r="K242" i="5" s="1"/>
  <c r="K243" i="5" a="1"/>
  <c r="K243" i="5" s="1"/>
  <c r="K244" i="5" a="1"/>
  <c r="K244" i="5" s="1"/>
  <c r="K245" i="5" a="1"/>
  <c r="K245" i="5" s="1"/>
  <c r="K246" i="5" a="1"/>
  <c r="K246" i="5" s="1"/>
  <c r="K247" i="5" a="1"/>
  <c r="K247" i="5" s="1"/>
  <c r="K248" i="5" a="1"/>
  <c r="K248" i="5" s="1"/>
  <c r="K249" i="5" a="1"/>
  <c r="K249" i="5" s="1"/>
  <c r="K250" i="5" a="1"/>
  <c r="K250" i="5" s="1"/>
  <c r="K251" i="5" a="1"/>
  <c r="K251" i="5" s="1"/>
  <c r="K252" i="5" a="1"/>
  <c r="K252" i="5" s="1"/>
  <c r="K253" i="5" a="1"/>
  <c r="K253" i="5" s="1"/>
  <c r="K254" i="5" a="1"/>
  <c r="K254" i="5" s="1"/>
  <c r="K255" i="5" a="1"/>
  <c r="K255" i="5" s="1"/>
  <c r="K256" i="5" a="1"/>
  <c r="K256" i="5" s="1"/>
  <c r="K257" i="5" a="1"/>
  <c r="K257" i="5" s="1"/>
  <c r="K258" i="5" a="1"/>
  <c r="K258" i="5" s="1"/>
  <c r="K259" i="5" a="1"/>
  <c r="K259" i="5" s="1"/>
  <c r="K260" i="5" a="1"/>
  <c r="K260" i="5" s="1"/>
  <c r="K261" i="5" a="1"/>
  <c r="K261" i="5" s="1"/>
  <c r="K262" i="5" a="1"/>
  <c r="K262" i="5" s="1"/>
  <c r="K263" i="5" a="1"/>
  <c r="K263" i="5" s="1"/>
  <c r="K264" i="5" a="1"/>
  <c r="K264" i="5" s="1"/>
  <c r="K265" i="5" a="1"/>
  <c r="K265" i="5" s="1"/>
  <c r="K266" i="5" a="1"/>
  <c r="K266" i="5" s="1"/>
  <c r="K267" i="5" a="1"/>
  <c r="K267" i="5" s="1"/>
  <c r="K268" i="5" a="1"/>
  <c r="K268" i="5" s="1"/>
  <c r="K269" i="5" a="1"/>
  <c r="K269" i="5" s="1"/>
  <c r="K270" i="5" a="1"/>
  <c r="K270" i="5" s="1"/>
  <c r="K271" i="5" a="1"/>
  <c r="K271" i="5" s="1"/>
  <c r="K272" i="5" a="1"/>
  <c r="K272" i="5" s="1"/>
  <c r="K273" i="5" a="1"/>
  <c r="K273" i="5" s="1"/>
  <c r="K274" i="5" a="1"/>
  <c r="K274" i="5" s="1"/>
  <c r="K275" i="5" a="1"/>
  <c r="K275" i="5" s="1"/>
  <c r="K276" i="5" a="1"/>
  <c r="K276" i="5" s="1"/>
  <c r="K277" i="5" a="1"/>
  <c r="K277" i="5" s="1"/>
  <c r="K278" i="5" a="1"/>
  <c r="K278" i="5" s="1"/>
  <c r="K279" i="5" a="1"/>
  <c r="K279" i="5" s="1"/>
  <c r="K280" i="5" a="1"/>
  <c r="K280" i="5" s="1"/>
  <c r="K281" i="5" a="1"/>
  <c r="K281" i="5" s="1"/>
  <c r="K282" i="5" a="1"/>
  <c r="K282" i="5" s="1"/>
  <c r="K283" i="5" a="1"/>
  <c r="K283" i="5" s="1"/>
  <c r="K284" i="5" a="1"/>
  <c r="K284" i="5" s="1"/>
  <c r="K285" i="5" a="1"/>
  <c r="K285" i="5" s="1"/>
  <c r="K286" i="5" a="1"/>
  <c r="K286" i="5" s="1"/>
  <c r="K287" i="5" a="1"/>
  <c r="K287" i="5" s="1"/>
  <c r="K289" i="5" a="1"/>
  <c r="K289" i="5" s="1"/>
  <c r="K290" i="5" a="1"/>
  <c r="K290" i="5" s="1"/>
  <c r="K291" i="5" a="1"/>
  <c r="K291" i="5" s="1"/>
  <c r="K292" i="5" a="1"/>
  <c r="K292" i="5" s="1"/>
  <c r="K293" i="5" a="1"/>
  <c r="K293" i="5" s="1"/>
  <c r="K294" i="5" a="1"/>
  <c r="K294" i="5" s="1"/>
  <c r="K295" i="5" a="1"/>
  <c r="K295" i="5" s="1"/>
  <c r="K296" i="5" a="1"/>
  <c r="K296" i="5" s="1"/>
  <c r="K297" i="5" a="1"/>
  <c r="K297" i="5" s="1"/>
  <c r="K298" i="5" a="1"/>
  <c r="K298" i="5" s="1"/>
  <c r="K299" i="5" a="1"/>
  <c r="K299" i="5" s="1"/>
  <c r="K300" i="5" a="1"/>
  <c r="K300" i="5" s="1"/>
  <c r="K301" i="5" a="1"/>
  <c r="K301" i="5" s="1"/>
  <c r="K302" i="5" a="1"/>
  <c r="K302" i="5" s="1"/>
  <c r="K303" i="5" a="1"/>
  <c r="K303" i="5" s="1"/>
  <c r="K304" i="5" a="1"/>
  <c r="K304" i="5" s="1"/>
  <c r="K305" i="5" a="1"/>
  <c r="K305" i="5" s="1"/>
  <c r="K306" i="5" a="1"/>
  <c r="K306" i="5" s="1"/>
  <c r="K307" i="5" a="1"/>
  <c r="K307" i="5" s="1"/>
  <c r="K308" i="5" a="1"/>
  <c r="K308" i="5" s="1"/>
  <c r="K309" i="5" a="1"/>
  <c r="K309" i="5" s="1"/>
  <c r="K310" i="5" a="1"/>
  <c r="K310" i="5" s="1"/>
  <c r="K311" i="5" a="1"/>
  <c r="K311" i="5" s="1"/>
  <c r="K312" i="5" a="1"/>
  <c r="K312" i="5" s="1"/>
  <c r="K313" i="5" a="1"/>
  <c r="K313" i="5" s="1"/>
  <c r="K314" i="5" a="1"/>
  <c r="K314" i="5" s="1"/>
  <c r="K315" i="5" a="1"/>
  <c r="K315" i="5" s="1"/>
  <c r="K316" i="5" a="1"/>
  <c r="K316" i="5" s="1"/>
  <c r="K317" i="5" a="1"/>
  <c r="K317" i="5" s="1"/>
  <c r="K318" i="5" a="1"/>
  <c r="K318" i="5" s="1"/>
  <c r="K319" i="5" a="1"/>
  <c r="K319" i="5" s="1"/>
  <c r="K320" i="5" a="1"/>
  <c r="K320" i="5" s="1"/>
  <c r="K321" i="5" a="1"/>
  <c r="K321" i="5" s="1"/>
  <c r="K322" i="5" a="1"/>
  <c r="K322" i="5" s="1"/>
  <c r="K323" i="5" a="1"/>
  <c r="K323" i="5" s="1"/>
  <c r="K324" i="5" a="1"/>
  <c r="K324" i="5" s="1"/>
  <c r="K325" i="5" a="1"/>
  <c r="K325" i="5" s="1"/>
  <c r="K326" i="5" a="1"/>
  <c r="K326" i="5" s="1"/>
  <c r="K327" i="5" a="1"/>
  <c r="K327" i="5" s="1"/>
  <c r="K328" i="5" a="1"/>
  <c r="K328" i="5" s="1"/>
  <c r="K329" i="5" a="1"/>
  <c r="K329" i="5" s="1"/>
  <c r="K330" i="5" a="1"/>
  <c r="K330" i="5" s="1"/>
  <c r="K331" i="5" a="1"/>
  <c r="K331" i="5" s="1"/>
  <c r="K332" i="5" a="1"/>
  <c r="K332" i="5" s="1"/>
  <c r="K333" i="5" a="1"/>
  <c r="K333" i="5" s="1"/>
  <c r="K334" i="5" a="1"/>
  <c r="K334" i="5" s="1"/>
  <c r="K335" i="5" a="1"/>
  <c r="K335" i="5" s="1"/>
  <c r="K336" i="5" a="1"/>
  <c r="K336" i="5" s="1"/>
  <c r="K337" i="5" a="1"/>
  <c r="K337" i="5" s="1"/>
  <c r="K338" i="5" a="1"/>
  <c r="K338" i="5" s="1"/>
  <c r="K339" i="5" a="1"/>
  <c r="K339" i="5" s="1"/>
  <c r="K340" i="5" a="1"/>
  <c r="K340" i="5" s="1"/>
  <c r="K341" i="5" a="1"/>
  <c r="K341" i="5" s="1"/>
  <c r="K342" i="5" a="1"/>
  <c r="K342" i="5" s="1"/>
  <c r="K343" i="5" a="1"/>
  <c r="K343" i="5" s="1"/>
  <c r="K344" i="5" a="1"/>
  <c r="K344" i="5" s="1"/>
  <c r="K345" i="5" a="1"/>
  <c r="K345" i="5" s="1"/>
  <c r="K346" i="5" a="1"/>
  <c r="K346" i="5" s="1"/>
  <c r="K347" i="5" a="1"/>
  <c r="K347" i="5" s="1"/>
  <c r="K348" i="5" a="1"/>
  <c r="K348" i="5" s="1"/>
  <c r="K349" i="5" a="1"/>
  <c r="K349" i="5" s="1"/>
  <c r="K350" i="5" a="1"/>
  <c r="K350" i="5" s="1"/>
  <c r="K351" i="5" a="1"/>
  <c r="K351" i="5" s="1"/>
  <c r="K352" i="5" a="1"/>
  <c r="K352" i="5" s="1"/>
  <c r="K353" i="5" a="1"/>
  <c r="K353" i="5" s="1"/>
  <c r="K354" i="5" a="1"/>
  <c r="K354" i="5" s="1"/>
  <c r="K355" i="5" a="1"/>
  <c r="K355" i="5" s="1"/>
  <c r="K356" i="5" a="1"/>
  <c r="K356" i="5" s="1"/>
  <c r="K357" i="5" a="1"/>
  <c r="K357" i="5" s="1"/>
  <c r="K358" i="5" a="1"/>
  <c r="K358" i="5" s="1"/>
  <c r="K359" i="5" a="1"/>
  <c r="K359" i="5" s="1"/>
  <c r="K360" i="5" a="1"/>
  <c r="K360" i="5" s="1"/>
  <c r="K361" i="5" a="1"/>
  <c r="K361" i="5" s="1"/>
  <c r="K362" i="5" a="1"/>
  <c r="K362" i="5" s="1"/>
  <c r="K363" i="5" a="1"/>
  <c r="K363" i="5" s="1"/>
  <c r="K364" i="5" a="1"/>
  <c r="K364" i="5" s="1"/>
  <c r="K365" i="5" a="1"/>
  <c r="K365" i="5" s="1"/>
  <c r="K366" i="5" a="1"/>
  <c r="K366" i="5" s="1"/>
  <c r="K367" i="5" a="1"/>
  <c r="K367" i="5" s="1"/>
  <c r="K368" i="5" a="1"/>
  <c r="K368" i="5" s="1"/>
  <c r="K369" i="5" a="1"/>
  <c r="K369" i="5" s="1"/>
  <c r="K370" i="5" a="1"/>
  <c r="K370" i="5" s="1"/>
  <c r="K371" i="5" a="1"/>
  <c r="K371" i="5" s="1"/>
  <c r="K372" i="5" a="1"/>
  <c r="K372" i="5" s="1"/>
  <c r="K373" i="5" a="1"/>
  <c r="K373" i="5" s="1"/>
  <c r="K374" i="5" a="1"/>
  <c r="K374" i="5" s="1"/>
  <c r="K375" i="5" a="1"/>
  <c r="K375" i="5" s="1"/>
  <c r="K376" i="5" a="1"/>
  <c r="K376" i="5" s="1"/>
  <c r="K377" i="5" a="1"/>
  <c r="K377" i="5" s="1"/>
  <c r="K378" i="5" a="1"/>
  <c r="K378" i="5" s="1"/>
  <c r="K380" i="5" a="1"/>
  <c r="K380" i="5" s="1"/>
  <c r="K381" i="5" a="1"/>
  <c r="K381" i="5" s="1"/>
  <c r="K382" i="5" a="1"/>
  <c r="K382" i="5" s="1"/>
  <c r="K383" i="5" a="1"/>
  <c r="K383" i="5" s="1"/>
  <c r="K384" i="5" a="1"/>
  <c r="K384" i="5" s="1"/>
  <c r="K386" i="5" a="1"/>
  <c r="K386" i="5" s="1"/>
  <c r="K387" i="5" a="1"/>
  <c r="K387" i="5" s="1"/>
  <c r="K388" i="5" a="1"/>
  <c r="K388" i="5" s="1"/>
  <c r="K389" i="5" a="1"/>
  <c r="K389" i="5" s="1"/>
  <c r="K390" i="5" a="1"/>
  <c r="K390" i="5" s="1"/>
  <c r="K392" i="5" a="1"/>
  <c r="K392" i="5" s="1"/>
  <c r="K393" i="5" a="1"/>
  <c r="K393" i="5" s="1"/>
  <c r="K394" i="5" a="1"/>
  <c r="K394" i="5" s="1"/>
  <c r="K395" i="5" a="1"/>
  <c r="K395" i="5" s="1"/>
  <c r="K396" i="5" a="1"/>
  <c r="K396" i="5" s="1"/>
  <c r="K397" i="5" a="1"/>
  <c r="K397" i="5" s="1"/>
  <c r="K398" i="5" a="1"/>
  <c r="K398" i="5" s="1"/>
  <c r="K399" i="5" a="1"/>
  <c r="K399" i="5" s="1"/>
  <c r="K400" i="5" a="1"/>
  <c r="K400" i="5" s="1"/>
  <c r="K401" i="5" a="1"/>
  <c r="K401" i="5" s="1"/>
  <c r="K402" i="5" a="1"/>
  <c r="K402" i="5" s="1"/>
  <c r="K403" i="5" a="1"/>
  <c r="K403" i="5" s="1"/>
  <c r="K404" i="5" a="1"/>
  <c r="K404" i="5" s="1"/>
  <c r="K405" i="5" a="1"/>
  <c r="K405" i="5" s="1"/>
  <c r="K406" i="5" a="1"/>
  <c r="K406" i="5" s="1"/>
  <c r="K407" i="5" a="1"/>
  <c r="K407" i="5" s="1"/>
  <c r="K408" i="5" a="1"/>
  <c r="K408" i="5" s="1"/>
  <c r="K409" i="5" a="1"/>
  <c r="K409" i="5" s="1"/>
  <c r="K410" i="5" a="1"/>
  <c r="K410" i="5" s="1"/>
  <c r="K411" i="5" a="1"/>
  <c r="K411" i="5" s="1"/>
  <c r="K412" i="5" a="1"/>
  <c r="K412" i="5" s="1"/>
  <c r="K413" i="5" a="1"/>
  <c r="K413" i="5" s="1"/>
  <c r="K414" i="5" a="1"/>
  <c r="K414" i="5" s="1"/>
  <c r="K415" i="5" a="1"/>
  <c r="K415" i="5" s="1"/>
  <c r="K416" i="5" a="1"/>
  <c r="K416" i="5" s="1"/>
  <c r="K417" i="5" a="1"/>
  <c r="K417" i="5" s="1"/>
  <c r="K418" i="5" a="1"/>
  <c r="K418" i="5" s="1"/>
  <c r="K419" i="5" a="1"/>
  <c r="K419" i="5" s="1"/>
  <c r="K420" i="5" a="1"/>
  <c r="K420" i="5" s="1"/>
  <c r="K421" i="5" a="1"/>
  <c r="K421" i="5" s="1"/>
  <c r="K422" i="5" a="1"/>
  <c r="K422" i="5" s="1"/>
  <c r="K423" i="5" a="1"/>
  <c r="K423" i="5" s="1"/>
  <c r="K424" i="5" a="1"/>
  <c r="K424" i="5" s="1"/>
  <c r="K425" i="5" a="1"/>
  <c r="K425" i="5" s="1"/>
  <c r="K426" i="5" a="1"/>
  <c r="K426" i="5" s="1"/>
  <c r="K427" i="5" a="1"/>
  <c r="K427" i="5" s="1"/>
  <c r="K428" i="5" a="1"/>
  <c r="K428" i="5" s="1"/>
  <c r="K429" i="5" a="1"/>
  <c r="K429" i="5" s="1"/>
  <c r="K430" i="5" a="1"/>
  <c r="K430" i="5" s="1"/>
  <c r="K431" i="5" a="1"/>
  <c r="K431" i="5" s="1"/>
  <c r="K432" i="5" a="1"/>
  <c r="K432" i="5" s="1"/>
  <c r="K433" i="5" a="1"/>
  <c r="K433" i="5" s="1"/>
  <c r="K434" i="5" a="1"/>
  <c r="K434" i="5" s="1"/>
  <c r="K435" i="5" a="1"/>
  <c r="K435" i="5" s="1"/>
  <c r="K436" i="5" a="1"/>
  <c r="K436" i="5" s="1"/>
  <c r="K437" i="5" a="1"/>
  <c r="K437" i="5" s="1"/>
  <c r="K438" i="5" a="1"/>
  <c r="K438" i="5" s="1"/>
  <c r="K439" i="5" a="1"/>
  <c r="K439" i="5" s="1"/>
  <c r="K440" i="5" a="1"/>
  <c r="K440" i="5" s="1"/>
  <c r="K441" i="5" a="1"/>
  <c r="K441" i="5" s="1"/>
  <c r="K442" i="5" a="1"/>
  <c r="K442" i="5" s="1"/>
  <c r="K443" i="5" a="1"/>
  <c r="K443" i="5" s="1"/>
  <c r="K444" i="5" a="1"/>
  <c r="K444" i="5" s="1"/>
  <c r="K445" i="5" a="1"/>
  <c r="K445" i="5" s="1"/>
  <c r="K446" i="5" a="1"/>
  <c r="K446" i="5" s="1"/>
  <c r="K447" i="5" a="1"/>
  <c r="K447" i="5" s="1"/>
  <c r="K448" i="5" a="1"/>
  <c r="K448" i="5" s="1"/>
  <c r="K449" i="5" a="1"/>
  <c r="K449" i="5" s="1"/>
  <c r="K450" i="5" a="1"/>
  <c r="K450" i="5" s="1"/>
  <c r="K451" i="5" a="1"/>
  <c r="K451" i="5" s="1"/>
  <c r="K452" i="5" a="1"/>
  <c r="K452" i="5" s="1"/>
  <c r="K453" i="5" a="1"/>
  <c r="K453" i="5" s="1"/>
  <c r="K454" i="5" a="1"/>
  <c r="K454" i="5" s="1"/>
  <c r="K455" i="5" a="1"/>
  <c r="K455" i="5" s="1"/>
  <c r="K456" i="5" a="1"/>
  <c r="K456" i="5" s="1"/>
  <c r="K457" i="5" a="1"/>
  <c r="K457" i="5" s="1"/>
  <c r="K458" i="5" a="1"/>
  <c r="K458" i="5" s="1"/>
  <c r="K459" i="5" a="1"/>
  <c r="K459" i="5" s="1"/>
  <c r="K460" i="5" a="1"/>
  <c r="K460" i="5" s="1"/>
  <c r="K461" i="5" a="1"/>
  <c r="K461" i="5" s="1"/>
  <c r="K462" i="5" a="1"/>
  <c r="K462" i="5" s="1"/>
  <c r="K463" i="5" a="1"/>
  <c r="K463" i="5" s="1"/>
  <c r="K464" i="5" a="1"/>
  <c r="K464" i="5" s="1"/>
  <c r="K465" i="5" a="1"/>
  <c r="K465" i="5" s="1"/>
  <c r="K466" i="5" a="1"/>
  <c r="K466" i="5" s="1"/>
  <c r="K467" i="5" a="1"/>
  <c r="K467" i="5" s="1"/>
  <c r="K468" i="5" a="1"/>
  <c r="K468" i="5" s="1"/>
  <c r="K469" i="5" a="1"/>
  <c r="K469" i="5" s="1"/>
  <c r="K470" i="5" a="1"/>
  <c r="K470" i="5" s="1"/>
  <c r="K471" i="5" a="1"/>
  <c r="K471" i="5" s="1"/>
  <c r="K472" i="5" a="1"/>
  <c r="K472" i="5" s="1"/>
  <c r="K473" i="5" a="1"/>
  <c r="K473" i="5" s="1"/>
  <c r="K474" i="5" a="1"/>
  <c r="K474" i="5" s="1"/>
  <c r="K475" i="5" a="1"/>
  <c r="K475" i="5" s="1"/>
  <c r="K476" i="5" a="1"/>
  <c r="K476" i="5" s="1"/>
  <c r="K477" i="5" a="1"/>
  <c r="K477" i="5" s="1"/>
  <c r="K478" i="5" a="1"/>
  <c r="K478" i="5" s="1"/>
  <c r="K479" i="5" a="1"/>
  <c r="K479" i="5" s="1"/>
  <c r="K480" i="5" a="1"/>
  <c r="K480" i="5" s="1"/>
  <c r="K481" i="5" a="1"/>
  <c r="K481" i="5" s="1"/>
  <c r="K482" i="5" a="1"/>
  <c r="K482" i="5" s="1"/>
  <c r="K483" i="5" a="1"/>
  <c r="K483" i="5" s="1"/>
  <c r="K484" i="5" a="1"/>
  <c r="K484" i="5" s="1"/>
  <c r="K485" i="5" a="1"/>
  <c r="K485" i="5" s="1"/>
  <c r="K486" i="5" a="1"/>
  <c r="K486" i="5" s="1"/>
  <c r="K487" i="5" a="1"/>
  <c r="K487" i="5" s="1"/>
  <c r="K488" i="5" a="1"/>
  <c r="K488" i="5" s="1"/>
  <c r="K489" i="5" a="1"/>
  <c r="K489" i="5" s="1"/>
  <c r="K490" i="5" a="1"/>
  <c r="K490" i="5" s="1"/>
  <c r="K491" i="5" a="1"/>
  <c r="K491" i="5" s="1"/>
  <c r="K492" i="5" a="1"/>
  <c r="K492" i="5" s="1"/>
  <c r="K493" i="5" a="1"/>
  <c r="K493" i="5" s="1"/>
  <c r="K494" i="5" a="1"/>
  <c r="K494" i="5" s="1"/>
  <c r="K495" i="5" a="1"/>
  <c r="K495" i="5" s="1"/>
  <c r="K496" i="5" a="1"/>
  <c r="K496" i="5" s="1"/>
  <c r="K497" i="5" a="1"/>
  <c r="K497" i="5" s="1"/>
  <c r="K498" i="5" a="1"/>
  <c r="K498" i="5" s="1"/>
  <c r="K499" i="5" a="1"/>
  <c r="K499" i="5" s="1"/>
  <c r="K500" i="5" a="1"/>
  <c r="K500" i="5" s="1"/>
  <c r="K501" i="5" a="1"/>
  <c r="K501" i="5" s="1"/>
  <c r="K502" i="5" a="1"/>
  <c r="K502" i="5" s="1"/>
  <c r="K503" i="5" a="1"/>
  <c r="K503" i="5" s="1"/>
  <c r="K504" i="5" a="1"/>
  <c r="K504" i="5" s="1"/>
  <c r="K505" i="5" a="1"/>
  <c r="K505" i="5" s="1"/>
  <c r="K506" i="5" a="1"/>
  <c r="K506" i="5" s="1"/>
  <c r="K507" i="5" a="1"/>
  <c r="K507" i="5" s="1"/>
  <c r="K508" i="5" a="1"/>
  <c r="K508" i="5" s="1"/>
  <c r="K509" i="5" a="1"/>
  <c r="K509" i="5" s="1"/>
  <c r="K510" i="5" a="1"/>
  <c r="K510" i="5" s="1"/>
  <c r="K511" i="5" a="1"/>
  <c r="K511" i="5" s="1"/>
  <c r="K512" i="5" a="1"/>
  <c r="K512" i="5" s="1"/>
  <c r="K513" i="5" a="1"/>
  <c r="K513" i="5"/>
  <c r="K514" i="5" a="1"/>
  <c r="K514" i="5" s="1"/>
  <c r="K515" i="5" a="1"/>
  <c r="K515" i="5" s="1"/>
  <c r="K516" i="5" a="1"/>
  <c r="K516" i="5" s="1"/>
  <c r="K517" i="5" a="1"/>
  <c r="K517" i="5"/>
  <c r="K518" i="5" a="1"/>
  <c r="K518" i="5" s="1"/>
  <c r="K519" i="5" a="1"/>
  <c r="K519" i="5"/>
  <c r="K520" i="5" a="1"/>
  <c r="K520" i="5" s="1"/>
  <c r="K521" i="5" a="1"/>
  <c r="K521" i="5" s="1"/>
  <c r="K522" i="5" a="1"/>
  <c r="K522" i="5" s="1"/>
  <c r="K523" i="5" a="1"/>
  <c r="K523" i="5"/>
  <c r="K524" i="5" a="1"/>
  <c r="K524" i="5" s="1"/>
  <c r="K525" i="5" a="1"/>
  <c r="K525" i="5"/>
  <c r="K526" i="5" a="1"/>
  <c r="K526" i="5" s="1"/>
  <c r="K527" i="5" a="1"/>
  <c r="K527" i="5" s="1"/>
  <c r="K528" i="5" a="1"/>
  <c r="K528" i="5" s="1"/>
  <c r="K529" i="5" a="1"/>
  <c r="K529" i="5"/>
  <c r="K530" i="5" a="1"/>
  <c r="K530" i="5" s="1"/>
  <c r="K531" i="5" a="1"/>
  <c r="K531" i="5"/>
  <c r="K532" i="5" a="1"/>
  <c r="K532" i="5" s="1"/>
  <c r="K533" i="5" a="1"/>
  <c r="K533" i="5" s="1"/>
  <c r="K534" i="5" a="1"/>
  <c r="K534" i="5" s="1"/>
  <c r="K535" i="5" a="1"/>
  <c r="K535" i="5"/>
  <c r="K536" i="5" a="1"/>
  <c r="K536" i="5" s="1"/>
  <c r="K537" i="5" a="1"/>
  <c r="K537" i="5"/>
  <c r="K538" i="5" a="1"/>
  <c r="K538" i="5" s="1"/>
  <c r="K539" i="5" a="1"/>
  <c r="K539" i="5" s="1"/>
  <c r="K540" i="5" a="1"/>
  <c r="K540" i="5" s="1"/>
  <c r="K541" i="5" a="1"/>
  <c r="K541" i="5"/>
  <c r="K542" i="5" a="1"/>
  <c r="K542" i="5" s="1"/>
  <c r="K543" i="5" a="1"/>
  <c r="K543" i="5"/>
  <c r="K544" i="5" a="1"/>
  <c r="K544" i="5" s="1"/>
  <c r="K545" i="5" a="1"/>
  <c r="K545" i="5" s="1"/>
  <c r="K546" i="5" a="1"/>
  <c r="K546" i="5" s="1"/>
  <c r="K547" i="5" a="1"/>
  <c r="K547" i="5"/>
  <c r="K548" i="5" a="1"/>
  <c r="K548" i="5" s="1"/>
  <c r="K549" i="5" a="1"/>
  <c r="K549" i="5" s="1"/>
  <c r="K550" i="5" a="1"/>
  <c r="K550" i="5" s="1"/>
  <c r="K551" i="5" a="1"/>
  <c r="K551" i="5" s="1"/>
  <c r="K552" i="5" a="1"/>
  <c r="K552" i="5" s="1"/>
  <c r="K553" i="5" a="1"/>
  <c r="K553" i="5"/>
  <c r="K554" i="5" a="1"/>
  <c r="K554" i="5" s="1"/>
  <c r="K555" i="5" a="1"/>
  <c r="K555" i="5" s="1"/>
  <c r="K556" i="5" a="1"/>
  <c r="K556" i="5" s="1"/>
  <c r="K557" i="5" a="1"/>
  <c r="K557" i="5" s="1"/>
  <c r="K558" i="5" a="1"/>
  <c r="K558" i="5" s="1"/>
  <c r="K559" i="5" a="1"/>
  <c r="K559" i="5"/>
  <c r="K560" i="5" a="1"/>
  <c r="K560" i="5" s="1"/>
  <c r="K561" i="5" a="1"/>
  <c r="K561" i="5" s="1"/>
  <c r="K562" i="5" a="1"/>
  <c r="K562" i="5" s="1"/>
  <c r="K563" i="5" a="1"/>
  <c r="K563" i="5" s="1"/>
  <c r="K564" i="5" a="1"/>
  <c r="K564" i="5" s="1"/>
  <c r="K565" i="5" a="1"/>
  <c r="K565" i="5"/>
  <c r="K566" i="5" a="1"/>
  <c r="K566" i="5" s="1"/>
  <c r="K567" i="5" a="1"/>
  <c r="K567" i="5" s="1"/>
  <c r="K568" i="5" a="1"/>
  <c r="K568" i="5" s="1"/>
  <c r="K569" i="5" a="1"/>
  <c r="K569" i="5" s="1"/>
  <c r="K570" i="5" a="1"/>
  <c r="K570" i="5" s="1"/>
  <c r="K571" i="5" a="1"/>
  <c r="K571" i="5" s="1"/>
  <c r="K572" i="5" a="1"/>
  <c r="K572" i="5" s="1"/>
  <c r="K573" i="5" a="1"/>
  <c r="K573" i="5" s="1"/>
  <c r="K574" i="5" a="1"/>
  <c r="K574" i="5" s="1"/>
  <c r="K575" i="5" a="1"/>
  <c r="K575" i="5" s="1"/>
  <c r="K576" i="5" a="1"/>
  <c r="K576" i="5" s="1"/>
  <c r="K577" i="5" a="1"/>
  <c r="K577" i="5" s="1"/>
  <c r="K578" i="5" a="1"/>
  <c r="K578" i="5" s="1"/>
  <c r="K579" i="5" a="1"/>
  <c r="K579" i="5" s="1"/>
  <c r="K580" i="5" a="1"/>
  <c r="K580" i="5" s="1"/>
  <c r="K581" i="5" a="1"/>
  <c r="K581" i="5" s="1"/>
  <c r="K582" i="5" a="1"/>
  <c r="K582" i="5" s="1"/>
  <c r="K583" i="5" a="1"/>
  <c r="K583" i="5" s="1"/>
  <c r="K584" i="5" a="1"/>
  <c r="K584" i="5" s="1"/>
  <c r="K585" i="5" a="1"/>
  <c r="K585" i="5" s="1"/>
  <c r="K586" i="5" a="1"/>
  <c r="K586" i="5" s="1"/>
  <c r="K587" i="5" a="1"/>
  <c r="K587" i="5" s="1"/>
  <c r="K588" i="5" a="1"/>
  <c r="K588" i="5" s="1"/>
  <c r="K589" i="5" a="1"/>
  <c r="K589" i="5" s="1"/>
  <c r="K590" i="5" a="1"/>
  <c r="K590" i="5" s="1"/>
  <c r="K591" i="5" a="1"/>
  <c r="K591" i="5" s="1"/>
  <c r="K592" i="5" a="1"/>
  <c r="K592" i="5" s="1"/>
  <c r="K593" i="5" a="1"/>
  <c r="K593" i="5" s="1"/>
  <c r="K594" i="5" a="1"/>
  <c r="K594" i="5" s="1"/>
  <c r="K595" i="5" a="1"/>
  <c r="K595" i="5" s="1"/>
  <c r="K596" i="5" a="1"/>
  <c r="K596" i="5" s="1"/>
  <c r="K597" i="5" a="1"/>
  <c r="K597" i="5" s="1"/>
  <c r="K598" i="5" a="1"/>
  <c r="K598" i="5" s="1"/>
  <c r="K599" i="5" a="1"/>
  <c r="K599" i="5" s="1"/>
  <c r="K600" i="5" a="1"/>
  <c r="K600" i="5" s="1"/>
  <c r="K601" i="5" a="1"/>
  <c r="K601" i="5" s="1"/>
  <c r="K602" i="5" a="1"/>
  <c r="K602" i="5" s="1"/>
  <c r="K603" i="5" a="1"/>
  <c r="K603" i="5" s="1"/>
  <c r="K604" i="5" a="1"/>
  <c r="K604" i="5" s="1"/>
  <c r="K605" i="5" a="1"/>
  <c r="K605" i="5" s="1"/>
  <c r="K606" i="5" a="1"/>
  <c r="K606" i="5" s="1"/>
  <c r="K607" i="5" a="1"/>
  <c r="K607" i="5" s="1"/>
  <c r="K608" i="5" a="1"/>
  <c r="K608" i="5" s="1"/>
  <c r="K609" i="5" a="1"/>
  <c r="K609" i="5" s="1"/>
  <c r="K610" i="5" a="1"/>
  <c r="K610" i="5" s="1"/>
  <c r="K611" i="5" a="1"/>
  <c r="K611" i="5" s="1"/>
  <c r="K612" i="5" a="1"/>
  <c r="K612" i="5" s="1"/>
  <c r="K613" i="5" a="1"/>
  <c r="K613" i="5" s="1"/>
  <c r="K614" i="5" a="1"/>
  <c r="K614" i="5" s="1"/>
  <c r="K615" i="5" a="1"/>
  <c r="K615" i="5" s="1"/>
  <c r="K616" i="5" a="1"/>
  <c r="K616" i="5" s="1"/>
  <c r="K617" i="5" a="1"/>
  <c r="K617" i="5" s="1"/>
  <c r="K618" i="5" a="1"/>
  <c r="K618" i="5" s="1"/>
  <c r="K619" i="5" a="1"/>
  <c r="K619" i="5" s="1"/>
  <c r="K620" i="5" a="1"/>
  <c r="K620" i="5" s="1"/>
  <c r="K621" i="5" a="1"/>
  <c r="K621" i="5" s="1"/>
  <c r="K622" i="5" a="1"/>
  <c r="K622" i="5" s="1"/>
  <c r="K623" i="5" a="1"/>
  <c r="K623" i="5" s="1"/>
  <c r="K624" i="5" a="1"/>
  <c r="K624" i="5" s="1"/>
  <c r="K625" i="5" a="1"/>
  <c r="K625" i="5" s="1"/>
  <c r="K626" i="5" a="1"/>
  <c r="K626" i="5" s="1"/>
  <c r="K627" i="5" a="1"/>
  <c r="K627" i="5" s="1"/>
  <c r="K628" i="5" a="1"/>
  <c r="K628" i="5" s="1"/>
  <c r="K629" i="5" a="1"/>
  <c r="K629" i="5" s="1"/>
  <c r="K630" i="5" a="1"/>
  <c r="K630" i="5" s="1"/>
  <c r="K631" i="5" a="1"/>
  <c r="K631" i="5" s="1"/>
  <c r="K632" i="5" a="1"/>
  <c r="K632" i="5" s="1"/>
  <c r="K633" i="5" a="1"/>
  <c r="K633" i="5" s="1"/>
  <c r="K634" i="5" a="1"/>
  <c r="K634" i="5" s="1"/>
  <c r="K635" i="5" a="1"/>
  <c r="K635" i="5" s="1"/>
  <c r="K636" i="5" a="1"/>
  <c r="K636" i="5" s="1"/>
  <c r="K637" i="5" a="1"/>
  <c r="K637" i="5" s="1"/>
  <c r="K638" i="5" a="1"/>
  <c r="K638" i="5" s="1"/>
  <c r="K639" i="5" a="1"/>
  <c r="K639" i="5" s="1"/>
  <c r="K640" i="5" a="1"/>
  <c r="K640" i="5" s="1"/>
  <c r="K641" i="5" a="1"/>
  <c r="K641" i="5" s="1"/>
  <c r="K642" i="5" a="1"/>
  <c r="K642" i="5" s="1"/>
  <c r="K643" i="5" a="1"/>
  <c r="K643" i="5" s="1"/>
  <c r="K644" i="5" a="1"/>
  <c r="K644" i="5" s="1"/>
  <c r="K645" i="5" a="1"/>
  <c r="K645" i="5" s="1"/>
  <c r="K646" i="5" a="1"/>
  <c r="K646" i="5" s="1"/>
  <c r="K647" i="5" a="1"/>
  <c r="K647" i="5" s="1"/>
  <c r="K648" i="5" a="1"/>
  <c r="K648" i="5" s="1"/>
  <c r="K649" i="5" a="1"/>
  <c r="K649" i="5" s="1"/>
  <c r="K650" i="5" a="1"/>
  <c r="K650" i="5" s="1"/>
  <c r="K651" i="5" a="1"/>
  <c r="K651" i="5" s="1"/>
  <c r="K652" i="5" a="1"/>
  <c r="K652" i="5" s="1"/>
  <c r="K653" i="5" a="1"/>
  <c r="K653" i="5" s="1"/>
  <c r="K654" i="5" a="1"/>
  <c r="K654" i="5" s="1"/>
  <c r="K655" i="5" a="1"/>
  <c r="K655" i="5" s="1"/>
  <c r="K656" i="5" a="1"/>
  <c r="K656" i="5" s="1"/>
  <c r="K657" i="5" a="1"/>
  <c r="K657" i="5" s="1"/>
  <c r="K658" i="5" a="1"/>
  <c r="K658" i="5" s="1"/>
  <c r="K659" i="5" a="1"/>
  <c r="K659" i="5" s="1"/>
  <c r="K660" i="5" a="1"/>
  <c r="K660" i="5" s="1"/>
  <c r="K661" i="5" a="1"/>
  <c r="K661" i="5" s="1"/>
  <c r="K662" i="5" a="1"/>
  <c r="K662" i="5" s="1"/>
  <c r="K663" i="5" a="1"/>
  <c r="K663" i="5" s="1"/>
  <c r="K664" i="5" a="1"/>
  <c r="K664" i="5" s="1"/>
  <c r="K665" i="5" a="1"/>
  <c r="K665" i="5" s="1"/>
  <c r="K666" i="5" a="1"/>
  <c r="K666" i="5" s="1"/>
  <c r="K667" i="5" a="1"/>
  <c r="K667" i="5" s="1"/>
  <c r="K668" i="5" a="1"/>
  <c r="K668" i="5" s="1"/>
  <c r="K669" i="5" a="1"/>
  <c r="K669" i="5" s="1"/>
  <c r="K670" i="5" a="1"/>
  <c r="K670" i="5" s="1"/>
  <c r="K671" i="5" a="1"/>
  <c r="K671" i="5" s="1"/>
  <c r="K672" i="5" a="1"/>
  <c r="K672" i="5" s="1"/>
  <c r="K673" i="5" a="1"/>
  <c r="K673" i="5" s="1"/>
  <c r="K674" i="5" a="1"/>
  <c r="K674" i="5" s="1"/>
  <c r="K675" i="5" a="1"/>
  <c r="K675" i="5" s="1"/>
  <c r="K676" i="5" a="1"/>
  <c r="K676" i="5" s="1"/>
  <c r="K677" i="5" a="1"/>
  <c r="K677" i="5" s="1"/>
  <c r="K678" i="5" a="1"/>
  <c r="K678" i="5" s="1"/>
  <c r="K679" i="5" a="1"/>
  <c r="K679" i="5" s="1"/>
  <c r="K680" i="5" a="1"/>
  <c r="K680" i="5" s="1"/>
  <c r="K681" i="5" a="1"/>
  <c r="K681" i="5" s="1"/>
  <c r="K682" i="5" a="1"/>
  <c r="K682" i="5" s="1"/>
  <c r="K683" i="5" a="1"/>
  <c r="K683" i="5" s="1"/>
  <c r="K684" i="5" a="1"/>
  <c r="K684" i="5" s="1"/>
  <c r="K685" i="5" a="1"/>
  <c r="K685" i="5" s="1"/>
  <c r="K686" i="5" a="1"/>
  <c r="K686" i="5" s="1"/>
  <c r="K687" i="5" a="1"/>
  <c r="K687" i="5" s="1"/>
  <c r="K688" i="5" a="1"/>
  <c r="K688" i="5" s="1"/>
  <c r="K689" i="5" a="1"/>
  <c r="K689" i="5" s="1"/>
  <c r="K690" i="5" a="1"/>
  <c r="K690" i="5" s="1"/>
  <c r="K691" i="5" a="1"/>
  <c r="K691" i="5" s="1"/>
  <c r="K692" i="5" a="1"/>
  <c r="K692" i="5" s="1"/>
  <c r="K693" i="5" a="1"/>
  <c r="K693" i="5" s="1"/>
  <c r="K694" i="5" a="1"/>
  <c r="K694" i="5" s="1"/>
  <c r="K695" i="5" a="1"/>
  <c r="K695" i="5" s="1"/>
  <c r="K696" i="5" a="1"/>
  <c r="K696" i="5" s="1"/>
  <c r="K697" i="5" a="1"/>
  <c r="K697" i="5" s="1"/>
  <c r="K698" i="5" a="1"/>
  <c r="K698" i="5" s="1"/>
  <c r="K699" i="5" a="1"/>
  <c r="K699" i="5" s="1"/>
  <c r="K700" i="5" a="1"/>
  <c r="K700" i="5" s="1"/>
  <c r="K701" i="5" a="1"/>
  <c r="K701" i="5" s="1"/>
  <c r="K702" i="5" a="1"/>
  <c r="K702" i="5" s="1"/>
  <c r="K703" i="5" a="1"/>
  <c r="K703" i="5" s="1"/>
  <c r="K704" i="5" a="1"/>
  <c r="K704" i="5" s="1"/>
  <c r="K705" i="5" a="1"/>
  <c r="K705" i="5" s="1"/>
  <c r="K706" i="5" a="1"/>
  <c r="K706" i="5" s="1"/>
  <c r="K707" i="5" a="1"/>
  <c r="K707" i="5" s="1"/>
  <c r="K708" i="5" a="1"/>
  <c r="K708" i="5" s="1"/>
  <c r="K709" i="5" a="1"/>
  <c r="K709" i="5" s="1"/>
  <c r="K710" i="5" a="1"/>
  <c r="K710" i="5" s="1"/>
  <c r="K711" i="5" a="1"/>
  <c r="K711" i="5" s="1"/>
  <c r="K712" i="5" a="1"/>
  <c r="K712" i="5" s="1"/>
  <c r="K713" i="5" a="1"/>
  <c r="K713" i="5" s="1"/>
  <c r="K714" i="5" a="1"/>
  <c r="K714" i="5" s="1"/>
  <c r="K715" i="5" a="1"/>
  <c r="K715" i="5" s="1"/>
  <c r="K716" i="5" a="1"/>
  <c r="K716" i="5" s="1"/>
  <c r="K717" i="5" a="1"/>
  <c r="K717" i="5" s="1"/>
  <c r="K718" i="5" a="1"/>
  <c r="K718" i="5" s="1"/>
  <c r="K719" i="5" a="1"/>
  <c r="K719" i="5" s="1"/>
  <c r="K720" i="5" a="1"/>
  <c r="K720" i="5" s="1"/>
  <c r="K721" i="5" a="1"/>
  <c r="K721" i="5" s="1"/>
  <c r="K722" i="5" a="1"/>
  <c r="K722" i="5" s="1"/>
  <c r="K723" i="5" a="1"/>
  <c r="K723" i="5" s="1"/>
  <c r="K724" i="5" a="1"/>
  <c r="K724" i="5" s="1"/>
  <c r="K725" i="5" a="1"/>
  <c r="K725" i="5" s="1"/>
  <c r="K726" i="5" a="1"/>
  <c r="K726" i="5" s="1"/>
  <c r="K727" i="5" a="1"/>
  <c r="K727" i="5" s="1"/>
  <c r="K728" i="5" a="1"/>
  <c r="K728" i="5" s="1"/>
  <c r="K729" i="5" a="1"/>
  <c r="K729" i="5" s="1"/>
  <c r="K730" i="5" a="1"/>
  <c r="K730" i="5" s="1"/>
  <c r="K731" i="5" a="1"/>
  <c r="K731" i="5" s="1"/>
  <c r="K732" i="5" a="1"/>
  <c r="K732" i="5" s="1"/>
  <c r="K733" i="5" a="1"/>
  <c r="K733" i="5" s="1"/>
  <c r="K734" i="5" a="1"/>
  <c r="K734" i="5" s="1"/>
  <c r="K735" i="5" a="1"/>
  <c r="K735" i="5" s="1"/>
  <c r="K736" i="5" a="1"/>
  <c r="K736" i="5" s="1"/>
  <c r="K737" i="5" a="1"/>
  <c r="K737" i="5" s="1"/>
  <c r="K738" i="5" a="1"/>
  <c r="K738" i="5" s="1"/>
  <c r="K739" i="5" a="1"/>
  <c r="K739" i="5" s="1"/>
  <c r="K740" i="5" a="1"/>
  <c r="K740" i="5" s="1"/>
  <c r="K741" i="5" a="1"/>
  <c r="K741" i="5" s="1"/>
  <c r="K742" i="5" a="1"/>
  <c r="K742" i="5" s="1"/>
  <c r="K743" i="5" a="1"/>
  <c r="K743" i="5" s="1"/>
  <c r="K744" i="5" a="1"/>
  <c r="K744" i="5" s="1"/>
  <c r="K745" i="5" a="1"/>
  <c r="K745" i="5" s="1"/>
  <c r="K746" i="5" a="1"/>
  <c r="K746" i="5" s="1"/>
  <c r="K747" i="5" a="1"/>
  <c r="K747" i="5" s="1"/>
  <c r="K748" i="5" a="1"/>
  <c r="K748" i="5" s="1"/>
  <c r="K749" i="5" a="1"/>
  <c r="K749" i="5" s="1"/>
  <c r="K750" i="5" a="1"/>
  <c r="K750" i="5" s="1"/>
  <c r="K751" i="5" a="1"/>
  <c r="K751" i="5" s="1"/>
  <c r="K752" i="5" a="1"/>
  <c r="K752" i="5" s="1"/>
  <c r="K753" i="5" a="1"/>
  <c r="K753" i="5" s="1"/>
  <c r="K754" i="5" a="1"/>
  <c r="K754" i="5" s="1"/>
  <c r="K755" i="5" a="1"/>
  <c r="K755" i="5" s="1"/>
  <c r="K756" i="5" a="1"/>
  <c r="K756" i="5" s="1"/>
  <c r="K757" i="5" a="1"/>
  <c r="K757" i="5" s="1"/>
  <c r="K758" i="5" a="1"/>
  <c r="K758" i="5" s="1"/>
  <c r="K759" i="5" a="1"/>
  <c r="K759" i="5" s="1"/>
  <c r="K760" i="5" a="1"/>
  <c r="K760" i="5" s="1"/>
  <c r="K761" i="5" a="1"/>
  <c r="K761" i="5" s="1"/>
  <c r="K762" i="5" a="1"/>
  <c r="K762" i="5" s="1"/>
  <c r="K763" i="5" a="1"/>
  <c r="K763" i="5" s="1"/>
  <c r="K764" i="5" a="1"/>
  <c r="K764" i="5" s="1"/>
  <c r="K765" i="5" a="1"/>
  <c r="K765" i="5" s="1"/>
  <c r="K766" i="5" a="1"/>
  <c r="K766" i="5" s="1"/>
  <c r="K767" i="5" a="1"/>
  <c r="K767" i="5" s="1"/>
  <c r="K768" i="5" a="1"/>
  <c r="K768" i="5" s="1"/>
  <c r="K769" i="5" a="1"/>
  <c r="K769" i="5" s="1"/>
  <c r="K770" i="5" a="1"/>
  <c r="K770" i="5" s="1"/>
  <c r="K771" i="5" a="1"/>
  <c r="K771" i="5" s="1"/>
  <c r="K772" i="5" a="1"/>
  <c r="K772" i="5" s="1"/>
  <c r="K773" i="5" a="1"/>
  <c r="K773" i="5" s="1"/>
  <c r="K774" i="5" a="1"/>
  <c r="K774" i="5" s="1"/>
  <c r="K775" i="5" a="1"/>
  <c r="K775" i="5" s="1"/>
  <c r="K776" i="5" a="1"/>
  <c r="K776" i="5" s="1"/>
  <c r="K777" i="5" a="1"/>
  <c r="K777" i="5" s="1"/>
  <c r="K778" i="5" a="1"/>
  <c r="K778" i="5" s="1"/>
  <c r="K779" i="5" a="1"/>
  <c r="K779" i="5" s="1"/>
  <c r="K780" i="5" a="1"/>
  <c r="K780" i="5" s="1"/>
  <c r="K781" i="5" a="1"/>
  <c r="K781" i="5" s="1"/>
  <c r="K782" i="5" a="1"/>
  <c r="K782" i="5" s="1"/>
  <c r="K783" i="5" a="1"/>
  <c r="K783" i="5" s="1"/>
  <c r="K784" i="5" a="1"/>
  <c r="K784" i="5" s="1"/>
  <c r="K785" i="5" a="1"/>
  <c r="K785" i="5" s="1"/>
  <c r="K786" i="5" a="1"/>
  <c r="K786" i="5" s="1"/>
  <c r="K787" i="5" a="1"/>
  <c r="K787" i="5" s="1"/>
  <c r="K788" i="5" a="1"/>
  <c r="K788" i="5" s="1"/>
  <c r="K789" i="5" a="1"/>
  <c r="K789" i="5" s="1"/>
  <c r="K790" i="5" a="1"/>
  <c r="K790" i="5" s="1"/>
  <c r="K791" i="5" a="1"/>
  <c r="K791" i="5" s="1"/>
  <c r="K792" i="5" a="1"/>
  <c r="K792" i="5" s="1"/>
  <c r="K793" i="5" a="1"/>
  <c r="K793" i="5" s="1"/>
  <c r="K794" i="5" a="1"/>
  <c r="K794" i="5" s="1"/>
  <c r="K795" i="5" a="1"/>
  <c r="K795" i="5" s="1"/>
  <c r="K796" i="5" a="1"/>
  <c r="K796" i="5" s="1"/>
  <c r="K797" i="5" a="1"/>
  <c r="K797" i="5" s="1"/>
  <c r="K798" i="5" a="1"/>
  <c r="K798" i="5" s="1"/>
  <c r="K799" i="5" a="1"/>
  <c r="K799" i="5" s="1"/>
  <c r="K800" i="5" a="1"/>
  <c r="K800" i="5" s="1"/>
  <c r="K801" i="5" a="1"/>
  <c r="K801" i="5" s="1"/>
  <c r="K802" i="5" a="1"/>
  <c r="K802" i="5" s="1"/>
  <c r="K803" i="5" a="1"/>
  <c r="K803" i="5" s="1"/>
  <c r="K804" i="5" a="1"/>
  <c r="K804" i="5" s="1"/>
  <c r="K805" i="5" a="1"/>
  <c r="K805" i="5" s="1"/>
  <c r="K806" i="5" a="1"/>
  <c r="K806" i="5" s="1"/>
  <c r="K807" i="5" a="1"/>
  <c r="K807" i="5" s="1"/>
  <c r="K808" i="5" a="1"/>
  <c r="K808" i="5" s="1"/>
  <c r="K809" i="5" a="1"/>
  <c r="K809" i="5" s="1"/>
  <c r="K810" i="5" a="1"/>
  <c r="K810" i="5" s="1"/>
  <c r="K811" i="5" a="1"/>
  <c r="K811" i="5" s="1"/>
  <c r="K812" i="5" a="1"/>
  <c r="K812" i="5" s="1"/>
  <c r="K813" i="5" a="1"/>
  <c r="K813" i="5" s="1"/>
  <c r="K814" i="5" a="1"/>
  <c r="K814" i="5" s="1"/>
  <c r="K815" i="5" a="1"/>
  <c r="K815" i="5" s="1"/>
  <c r="K816" i="5" a="1"/>
  <c r="K816" i="5" s="1"/>
  <c r="K817" i="5" a="1"/>
  <c r="K817" i="5" s="1"/>
  <c r="K818" i="5" a="1"/>
  <c r="K818" i="5" s="1"/>
  <c r="K819" i="5" a="1"/>
  <c r="K819" i="5" s="1"/>
  <c r="K820" i="5" a="1"/>
  <c r="K820" i="5" s="1"/>
  <c r="K821" i="5" a="1"/>
  <c r="K821" i="5" s="1"/>
  <c r="K822" i="5" a="1"/>
  <c r="K822" i="5" s="1"/>
  <c r="K823" i="5" a="1"/>
  <c r="K823" i="5" s="1"/>
  <c r="K824" i="5" a="1"/>
  <c r="K824" i="5" s="1"/>
  <c r="K825" i="5" a="1"/>
  <c r="K825" i="5" s="1"/>
  <c r="K826" i="5" a="1"/>
  <c r="K826" i="5" s="1"/>
  <c r="K827" i="5" a="1"/>
  <c r="K827" i="5" s="1"/>
  <c r="K828" i="5" a="1"/>
  <c r="K828" i="5" s="1"/>
  <c r="K829" i="5" a="1"/>
  <c r="K829" i="5" s="1"/>
  <c r="K830" i="5" a="1"/>
  <c r="K830" i="5" s="1"/>
  <c r="K831" i="5" a="1"/>
  <c r="K831" i="5" s="1"/>
  <c r="K832" i="5" a="1"/>
  <c r="K832" i="5" s="1"/>
  <c r="K833" i="5" a="1"/>
  <c r="K833" i="5" s="1"/>
  <c r="K834" i="5" a="1"/>
  <c r="K834" i="5" s="1"/>
  <c r="K835" i="5" a="1"/>
  <c r="K835" i="5" s="1"/>
  <c r="K836" i="5" a="1"/>
  <c r="K836" i="5" s="1"/>
  <c r="K837" i="5" a="1"/>
  <c r="K837" i="5" s="1"/>
  <c r="K838" i="5" a="1"/>
  <c r="K838" i="5" s="1"/>
  <c r="K839" i="5" a="1"/>
  <c r="K839" i="5" s="1"/>
  <c r="K840" i="5" a="1"/>
  <c r="K840" i="5" s="1"/>
  <c r="K841" i="5" a="1"/>
  <c r="K841" i="5" s="1"/>
  <c r="K844" i="5" a="1"/>
  <c r="K844" i="5" s="1"/>
  <c r="I3" i="5" a="1"/>
  <c r="I3" i="5" s="1"/>
  <c r="I4" i="5" a="1"/>
  <c r="I4" i="5" s="1"/>
  <c r="I5" i="5" a="1"/>
  <c r="I5" i="5" s="1"/>
  <c r="I6" i="5" a="1"/>
  <c r="I6" i="5" s="1"/>
  <c r="I7" i="5" a="1"/>
  <c r="I7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 s="1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 s="1"/>
  <c r="I68" i="5" a="1"/>
  <c r="I68" i="5" s="1"/>
  <c r="I69" i="5" a="1"/>
  <c r="I69" i="5" s="1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 s="1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 s="1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 s="1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I96" i="5" a="1"/>
  <c r="I96" i="5" s="1"/>
  <c r="I97" i="5" a="1"/>
  <c r="I97" i="5" s="1"/>
  <c r="I98" i="5" a="1"/>
  <c r="I98" i="5" s="1"/>
  <c r="I99" i="5" a="1"/>
  <c r="I99" i="5" s="1"/>
  <c r="I100" i="5" a="1"/>
  <c r="I100" i="5" s="1"/>
  <c r="I101" i="5" a="1"/>
  <c r="I101" i="5" s="1"/>
  <c r="I102" i="5" a="1"/>
  <c r="I102" i="5" s="1"/>
  <c r="I103" i="5" a="1"/>
  <c r="I103" i="5" s="1"/>
  <c r="I104" i="5" a="1"/>
  <c r="I104" i="5" s="1"/>
  <c r="I105" i="5" a="1"/>
  <c r="I105" i="5" s="1"/>
  <c r="I106" i="5" a="1"/>
  <c r="I106" i="5" s="1"/>
  <c r="I107" i="5" a="1"/>
  <c r="I107" i="5" s="1"/>
  <c r="I108" i="5" a="1"/>
  <c r="I108" i="5" s="1"/>
  <c r="I109" i="5" a="1"/>
  <c r="I109" i="5" s="1"/>
  <c r="I110" i="5" a="1"/>
  <c r="I110" i="5" s="1"/>
  <c r="I111" i="5" a="1"/>
  <c r="I111" i="5" s="1"/>
  <c r="I112" i="5" a="1"/>
  <c r="I112" i="5" s="1"/>
  <c r="I113" i="5" a="1"/>
  <c r="I113" i="5" s="1"/>
  <c r="I114" i="5" a="1"/>
  <c r="I114" i="5" s="1"/>
  <c r="I115" i="5" a="1"/>
  <c r="I115" i="5" s="1"/>
  <c r="I116" i="5" a="1"/>
  <c r="I116" i="5" s="1"/>
  <c r="I117" i="5" a="1"/>
  <c r="I117" i="5" s="1"/>
  <c r="I118" i="5" a="1"/>
  <c r="I118" i="5" s="1"/>
  <c r="I119" i="5" a="1"/>
  <c r="I119" i="5" s="1"/>
  <c r="I120" i="5" a="1"/>
  <c r="I120" i="5" s="1"/>
  <c r="I121" i="5" a="1"/>
  <c r="I121" i="5" s="1"/>
  <c r="I122" i="5" a="1"/>
  <c r="I122" i="5" s="1"/>
  <c r="I123" i="5" a="1"/>
  <c r="I123" i="5" s="1"/>
  <c r="I124" i="5" a="1"/>
  <c r="I124" i="5" s="1"/>
  <c r="I125" i="5" a="1"/>
  <c r="I125" i="5" s="1"/>
  <c r="I126" i="5" a="1"/>
  <c r="I126" i="5" s="1"/>
  <c r="I127" i="5" a="1"/>
  <c r="I127" i="5" s="1"/>
  <c r="I128" i="5" a="1"/>
  <c r="I128" i="5" s="1"/>
  <c r="I129" i="5" a="1"/>
  <c r="I129" i="5" s="1"/>
  <c r="I130" i="5" a="1"/>
  <c r="I130" i="5" s="1"/>
  <c r="I131" i="5" a="1"/>
  <c r="I131" i="5" s="1"/>
  <c r="I132" i="5" a="1"/>
  <c r="I132" i="5" s="1"/>
  <c r="I133" i="5" a="1"/>
  <c r="I133" i="5" s="1"/>
  <c r="I134" i="5" a="1"/>
  <c r="I134" i="5" s="1"/>
  <c r="I135" i="5" a="1"/>
  <c r="I135" i="5" s="1"/>
  <c r="I136" i="5" a="1"/>
  <c r="I136" i="5" s="1"/>
  <c r="I137" i="5" a="1"/>
  <c r="I137" i="5" s="1"/>
  <c r="I138" i="5" a="1"/>
  <c r="I138" i="5" s="1"/>
  <c r="I139" i="5" a="1"/>
  <c r="I139" i="5" s="1"/>
  <c r="I140" i="5" a="1"/>
  <c r="I140" i="5" s="1"/>
  <c r="I141" i="5" a="1"/>
  <c r="I141" i="5" s="1"/>
  <c r="I142" i="5" a="1"/>
  <c r="I142" i="5" s="1"/>
  <c r="I143" i="5" a="1"/>
  <c r="I143" i="5" s="1"/>
  <c r="I144" i="5" a="1"/>
  <c r="I144" i="5" s="1"/>
  <c r="I145" i="5" a="1"/>
  <c r="I145" i="5" s="1"/>
  <c r="I146" i="5" a="1"/>
  <c r="I146" i="5" s="1"/>
  <c r="I147" i="5" a="1"/>
  <c r="I147" i="5" s="1"/>
  <c r="I148" i="5" a="1"/>
  <c r="I148" i="5" s="1"/>
  <c r="I149" i="5" a="1"/>
  <c r="I149" i="5" s="1"/>
  <c r="I150" i="5" a="1"/>
  <c r="I150" i="5" s="1"/>
  <c r="I151" i="5" a="1"/>
  <c r="I151" i="5" s="1"/>
  <c r="I152" i="5" a="1"/>
  <c r="I152" i="5" s="1"/>
  <c r="I153" i="5" a="1"/>
  <c r="I153" i="5" s="1"/>
  <c r="I154" i="5" a="1"/>
  <c r="I154" i="5" s="1"/>
  <c r="I155" i="5" a="1"/>
  <c r="I155" i="5" s="1"/>
  <c r="I156" i="5" a="1"/>
  <c r="I156" i="5" s="1"/>
  <c r="I157" i="5" a="1"/>
  <c r="I157" i="5" s="1"/>
  <c r="I158" i="5" a="1"/>
  <c r="I158" i="5" s="1"/>
  <c r="I159" i="5" a="1"/>
  <c r="I159" i="5" s="1"/>
  <c r="I160" i="5" a="1"/>
  <c r="I160" i="5" s="1"/>
  <c r="I161" i="5" a="1"/>
  <c r="I161" i="5" s="1"/>
  <c r="I162" i="5" a="1"/>
  <c r="I162" i="5" s="1"/>
  <c r="I163" i="5" a="1"/>
  <c r="I163" i="5" s="1"/>
  <c r="I164" i="5" a="1"/>
  <c r="I164" i="5" s="1"/>
  <c r="I165" i="5" a="1"/>
  <c r="I165" i="5" s="1"/>
  <c r="I166" i="5" a="1"/>
  <c r="I166" i="5" s="1"/>
  <c r="I167" i="5" a="1"/>
  <c r="I167" i="5" s="1"/>
  <c r="I168" i="5" a="1"/>
  <c r="I168" i="5" s="1"/>
  <c r="I169" i="5" a="1"/>
  <c r="I169" i="5" s="1"/>
  <c r="I170" i="5" a="1"/>
  <c r="I170" i="5" s="1"/>
  <c r="I171" i="5" a="1"/>
  <c r="I171" i="5" s="1"/>
  <c r="I172" i="5" a="1"/>
  <c r="I172" i="5" s="1"/>
  <c r="I173" i="5" a="1"/>
  <c r="I173" i="5" s="1"/>
  <c r="I174" i="5" a="1"/>
  <c r="I174" i="5" s="1"/>
  <c r="I175" i="5" a="1"/>
  <c r="I175" i="5" s="1"/>
  <c r="I176" i="5" a="1"/>
  <c r="I176" i="5" s="1"/>
  <c r="I177" i="5" a="1"/>
  <c r="I177" i="5" s="1"/>
  <c r="I178" i="5" a="1"/>
  <c r="I178" i="5" s="1"/>
  <c r="I179" i="5" a="1"/>
  <c r="I179" i="5" s="1"/>
  <c r="I180" i="5" a="1"/>
  <c r="I180" i="5" s="1"/>
  <c r="I181" i="5" a="1"/>
  <c r="I181" i="5" s="1"/>
  <c r="J181" i="5" s="1"/>
  <c r="I182" i="5" a="1"/>
  <c r="I182" i="5" s="1"/>
  <c r="J182" i="5" s="1"/>
  <c r="I183" i="5" a="1"/>
  <c r="I183" i="5" s="1"/>
  <c r="J183" i="5" s="1"/>
  <c r="I184" i="5" a="1"/>
  <c r="I184" i="5" s="1"/>
  <c r="I185" i="5" a="1"/>
  <c r="I185" i="5" s="1"/>
  <c r="I186" i="5" a="1"/>
  <c r="I186" i="5" s="1"/>
  <c r="I187" i="5" a="1"/>
  <c r="I187" i="5" s="1"/>
  <c r="J187" i="5" s="1"/>
  <c r="I188" i="5" a="1"/>
  <c r="I188" i="5" s="1"/>
  <c r="I189" i="5" a="1"/>
  <c r="I189" i="5" s="1"/>
  <c r="I190" i="5" a="1"/>
  <c r="I190" i="5" s="1"/>
  <c r="I191" i="5" a="1"/>
  <c r="I191" i="5" s="1"/>
  <c r="I192" i="5" a="1"/>
  <c r="I192" i="5" s="1"/>
  <c r="I193" i="5" a="1"/>
  <c r="I193" i="5" s="1"/>
  <c r="J193" i="5" s="1"/>
  <c r="I194" i="5" a="1"/>
  <c r="I194" i="5" s="1"/>
  <c r="J194" i="5" s="1"/>
  <c r="I195" i="5" a="1"/>
  <c r="I195" i="5" s="1"/>
  <c r="J195" i="5" s="1"/>
  <c r="I196" i="5" a="1"/>
  <c r="I196" i="5" s="1"/>
  <c r="I197" i="5" a="1"/>
  <c r="I197" i="5" s="1"/>
  <c r="I198" i="5" a="1"/>
  <c r="I198" i="5" s="1"/>
  <c r="I199" i="5" a="1"/>
  <c r="I199" i="5" s="1"/>
  <c r="J199" i="5" s="1"/>
  <c r="I200" i="5" a="1"/>
  <c r="I200" i="5" s="1"/>
  <c r="I201" i="5" a="1"/>
  <c r="I201" i="5" s="1"/>
  <c r="I202" i="5" a="1"/>
  <c r="I202" i="5" s="1"/>
  <c r="I203" i="5" a="1"/>
  <c r="I203" i="5" s="1"/>
  <c r="I204" i="5" a="1"/>
  <c r="I204" i="5" s="1"/>
  <c r="J204" i="5" s="1"/>
  <c r="I205" i="5" a="1"/>
  <c r="I205" i="5" s="1"/>
  <c r="J205" i="5" s="1"/>
  <c r="I206" i="5" a="1"/>
  <c r="I206" i="5" s="1"/>
  <c r="J206" i="5" s="1"/>
  <c r="I207" i="5" a="1"/>
  <c r="I207" i="5" s="1"/>
  <c r="J207" i="5" s="1"/>
  <c r="I208" i="5" a="1"/>
  <c r="I208" i="5" s="1"/>
  <c r="I209" i="5" a="1"/>
  <c r="I209" i="5" s="1"/>
  <c r="I210" i="5" a="1"/>
  <c r="I210" i="5" s="1"/>
  <c r="I211" i="5" a="1"/>
  <c r="I211" i="5" s="1"/>
  <c r="J211" i="5" s="1"/>
  <c r="I212" i="5" a="1"/>
  <c r="I212" i="5" s="1"/>
  <c r="J212" i="5" s="1"/>
  <c r="I213" i="5" a="1"/>
  <c r="I213" i="5" s="1"/>
  <c r="J213" i="5" s="1"/>
  <c r="I214" i="5" a="1"/>
  <c r="I214" i="5" s="1"/>
  <c r="I215" i="5" a="1"/>
  <c r="I215" i="5" s="1"/>
  <c r="I216" i="5" a="1"/>
  <c r="I216" i="5" s="1"/>
  <c r="J216" i="5" s="1"/>
  <c r="I217" i="5" a="1"/>
  <c r="I217" i="5" s="1"/>
  <c r="J217" i="5" s="1"/>
  <c r="I218" i="5" a="1"/>
  <c r="I218" i="5" s="1"/>
  <c r="J218" i="5" s="1"/>
  <c r="I219" i="5" a="1"/>
  <c r="I219" i="5" s="1"/>
  <c r="J219" i="5" s="1"/>
  <c r="I220" i="5" a="1"/>
  <c r="I220" i="5" s="1"/>
  <c r="I221" i="5" a="1"/>
  <c r="I221" i="5" s="1"/>
  <c r="I222" i="5" a="1"/>
  <c r="I222" i="5" s="1"/>
  <c r="I223" i="5" a="1"/>
  <c r="I223" i="5" s="1"/>
  <c r="J223" i="5" s="1"/>
  <c r="I224" i="5" a="1"/>
  <c r="I224" i="5" s="1"/>
  <c r="J224" i="5" s="1"/>
  <c r="I225" i="5" a="1"/>
  <c r="I225" i="5" s="1"/>
  <c r="J225" i="5" s="1"/>
  <c r="I226" i="5" a="1"/>
  <c r="I226" i="5" s="1"/>
  <c r="I227" i="5" a="1"/>
  <c r="I227" i="5" s="1"/>
  <c r="I228" i="5" a="1"/>
  <c r="I228" i="5" s="1"/>
  <c r="J228" i="5" s="1"/>
  <c r="I229" i="5" a="1"/>
  <c r="I229" i="5" s="1"/>
  <c r="J229" i="5" s="1"/>
  <c r="I230" i="5" a="1"/>
  <c r="I230" i="5" s="1"/>
  <c r="J230" i="5" s="1"/>
  <c r="I231" i="5" a="1"/>
  <c r="I231" i="5" s="1"/>
  <c r="J231" i="5" s="1"/>
  <c r="I232" i="5" a="1"/>
  <c r="I232" i="5" s="1"/>
  <c r="I233" i="5" a="1"/>
  <c r="I233" i="5" s="1"/>
  <c r="I234" i="5" a="1"/>
  <c r="I234" i="5" s="1"/>
  <c r="I235" i="5" a="1"/>
  <c r="I235" i="5" s="1"/>
  <c r="J235" i="5" s="1"/>
  <c r="I236" i="5" a="1"/>
  <c r="I236" i="5" s="1"/>
  <c r="J236" i="5" s="1"/>
  <c r="I237" i="5" a="1"/>
  <c r="I237" i="5" s="1"/>
  <c r="J237" i="5" s="1"/>
  <c r="I238" i="5" a="1"/>
  <c r="I238" i="5" s="1"/>
  <c r="I239" i="5" a="1"/>
  <c r="I239" i="5" s="1"/>
  <c r="I240" i="5" a="1"/>
  <c r="I240" i="5" s="1"/>
  <c r="J240" i="5" s="1"/>
  <c r="I241" i="5" a="1"/>
  <c r="I241" i="5" s="1"/>
  <c r="J241" i="5" s="1"/>
  <c r="I242" i="5" a="1"/>
  <c r="I242" i="5" s="1"/>
  <c r="J242" i="5" s="1"/>
  <c r="I243" i="5" a="1"/>
  <c r="I243" i="5" s="1"/>
  <c r="J243" i="5" s="1"/>
  <c r="I244" i="5" a="1"/>
  <c r="I244" i="5" s="1"/>
  <c r="I245" i="5" a="1"/>
  <c r="I245" i="5" s="1"/>
  <c r="I246" i="5" a="1"/>
  <c r="I246" i="5" s="1"/>
  <c r="I247" i="5" a="1"/>
  <c r="I247" i="5" s="1"/>
  <c r="J247" i="5" s="1"/>
  <c r="I248" i="5" a="1"/>
  <c r="I248" i="5" s="1"/>
  <c r="J248" i="5" s="1"/>
  <c r="I249" i="5" a="1"/>
  <c r="I249" i="5" s="1"/>
  <c r="J249" i="5" s="1"/>
  <c r="I250" i="5" a="1"/>
  <c r="I250" i="5" s="1"/>
  <c r="I251" i="5" a="1"/>
  <c r="I251" i="5" s="1"/>
  <c r="I252" i="5" a="1"/>
  <c r="I252" i="5" s="1"/>
  <c r="J252" i="5" s="1"/>
  <c r="I253" i="5" a="1"/>
  <c r="I253" i="5" s="1"/>
  <c r="J253" i="5" s="1"/>
  <c r="I254" i="5" a="1"/>
  <c r="I254" i="5" s="1"/>
  <c r="J254" i="5" s="1"/>
  <c r="I255" i="5" a="1"/>
  <c r="I255" i="5" s="1"/>
  <c r="J255" i="5" s="1"/>
  <c r="I256" i="5" a="1"/>
  <c r="I256" i="5" s="1"/>
  <c r="I257" i="5" a="1"/>
  <c r="I257" i="5" s="1"/>
  <c r="I258" i="5" a="1"/>
  <c r="I258" i="5" s="1"/>
  <c r="J258" i="5" s="1"/>
  <c r="I259" i="5" a="1"/>
  <c r="I259" i="5" s="1"/>
  <c r="J259" i="5" s="1"/>
  <c r="I260" i="5" a="1"/>
  <c r="I260" i="5" s="1"/>
  <c r="J260" i="5" s="1"/>
  <c r="I261" i="5" a="1"/>
  <c r="I261" i="5" s="1"/>
  <c r="J261" i="5" s="1"/>
  <c r="I262" i="5" a="1"/>
  <c r="I262" i="5" s="1"/>
  <c r="I263" i="5" a="1"/>
  <c r="I263" i="5" s="1"/>
  <c r="I264" i="5" a="1"/>
  <c r="I264" i="5" s="1"/>
  <c r="J264" i="5" s="1"/>
  <c r="I265" i="5" a="1"/>
  <c r="I265" i="5" s="1"/>
  <c r="J265" i="5" s="1"/>
  <c r="I266" i="5" a="1"/>
  <c r="I266" i="5" s="1"/>
  <c r="J266" i="5" s="1"/>
  <c r="I267" i="5" a="1"/>
  <c r="I267" i="5" s="1"/>
  <c r="J267" i="5" s="1"/>
  <c r="I268" i="5" a="1"/>
  <c r="I268" i="5" s="1"/>
  <c r="I269" i="5" a="1"/>
  <c r="I269" i="5" s="1"/>
  <c r="J269" i="5" s="1"/>
  <c r="I270" i="5" a="1"/>
  <c r="I270" i="5" s="1"/>
  <c r="J270" i="5" s="1"/>
  <c r="I271" i="5" a="1"/>
  <c r="I271" i="5" s="1"/>
  <c r="J271" i="5" s="1"/>
  <c r="I272" i="5" a="1"/>
  <c r="I272" i="5" s="1"/>
  <c r="J272" i="5" s="1"/>
  <c r="I273" i="5" a="1"/>
  <c r="I273" i="5" s="1"/>
  <c r="J273" i="5" s="1"/>
  <c r="I274" i="5" a="1"/>
  <c r="I274" i="5" s="1"/>
  <c r="I275" i="5" a="1"/>
  <c r="I275" i="5" s="1"/>
  <c r="I276" i="5" a="1"/>
  <c r="I276" i="5" s="1"/>
  <c r="J276" i="5" s="1"/>
  <c r="I277" i="5" a="1"/>
  <c r="I277" i="5" s="1"/>
  <c r="J277" i="5" s="1"/>
  <c r="I278" i="5" a="1"/>
  <c r="I278" i="5" s="1"/>
  <c r="J278" i="5" s="1"/>
  <c r="I279" i="5" a="1"/>
  <c r="I279" i="5" s="1"/>
  <c r="J279" i="5" s="1"/>
  <c r="I280" i="5" a="1"/>
  <c r="I280" i="5" s="1"/>
  <c r="J280" i="5" s="1"/>
  <c r="I281" i="5" a="1"/>
  <c r="I281" i="5" s="1"/>
  <c r="J281" i="5" s="1"/>
  <c r="I282" i="5" a="1"/>
  <c r="I282" i="5" s="1"/>
  <c r="J282" i="5" s="1"/>
  <c r="I283" i="5" a="1"/>
  <c r="I283" i="5" s="1"/>
  <c r="J283" i="5" s="1"/>
  <c r="I284" i="5" a="1"/>
  <c r="I284" i="5" s="1"/>
  <c r="J284" i="5" s="1"/>
  <c r="I285" i="5" a="1"/>
  <c r="I285" i="5" s="1"/>
  <c r="J285" i="5" s="1"/>
  <c r="I286" i="5" a="1"/>
  <c r="I286" i="5" s="1"/>
  <c r="J286" i="5" s="1"/>
  <c r="I287" i="5" a="1"/>
  <c r="I287" i="5" s="1"/>
  <c r="J287" i="5" s="1"/>
  <c r="I288" i="5" a="1"/>
  <c r="I288" i="5" s="1"/>
  <c r="J288" i="5" s="1"/>
  <c r="I289" i="5" a="1"/>
  <c r="I289" i="5" s="1"/>
  <c r="J289" i="5" s="1"/>
  <c r="I290" i="5" a="1"/>
  <c r="I290" i="5" s="1"/>
  <c r="J290" i="5" s="1"/>
  <c r="I291" i="5" a="1"/>
  <c r="I291" i="5" s="1"/>
  <c r="J291" i="5" s="1"/>
  <c r="I292" i="5" a="1"/>
  <c r="I292" i="5" s="1"/>
  <c r="J292" i="5" s="1"/>
  <c r="I293" i="5" a="1"/>
  <c r="I293" i="5" s="1"/>
  <c r="J293" i="5" s="1"/>
  <c r="I294" i="5" a="1"/>
  <c r="I294" i="5" s="1"/>
  <c r="J294" i="5" s="1"/>
  <c r="I295" i="5" a="1"/>
  <c r="I295" i="5" s="1"/>
  <c r="J295" i="5" s="1"/>
  <c r="I296" i="5" a="1"/>
  <c r="I296" i="5" s="1"/>
  <c r="J296" i="5" s="1"/>
  <c r="I297" i="5" a="1"/>
  <c r="I297" i="5" s="1"/>
  <c r="J297" i="5" s="1"/>
  <c r="I298" i="5" a="1"/>
  <c r="I298" i="5" s="1"/>
  <c r="J298" i="5" s="1"/>
  <c r="I299" i="5" a="1"/>
  <c r="I299" i="5" s="1"/>
  <c r="J299" i="5" s="1"/>
  <c r="I300" i="5" a="1"/>
  <c r="I300" i="5" s="1"/>
  <c r="J300" i="5" s="1"/>
  <c r="I301" i="5" a="1"/>
  <c r="I301" i="5" s="1"/>
  <c r="J301" i="5" s="1"/>
  <c r="I302" i="5" a="1"/>
  <c r="I302" i="5" s="1"/>
  <c r="J302" i="5" s="1"/>
  <c r="I303" i="5" a="1"/>
  <c r="I303" i="5" s="1"/>
  <c r="J303" i="5" s="1"/>
  <c r="I304" i="5" a="1"/>
  <c r="I304" i="5" s="1"/>
  <c r="J304" i="5" s="1"/>
  <c r="I305" i="5" a="1"/>
  <c r="I305" i="5" s="1"/>
  <c r="J305" i="5" s="1"/>
  <c r="I306" i="5" a="1"/>
  <c r="I306" i="5" s="1"/>
  <c r="J306" i="5" s="1"/>
  <c r="I307" i="5" a="1"/>
  <c r="I307" i="5" s="1"/>
  <c r="J307" i="5" s="1"/>
  <c r="I308" i="5" a="1"/>
  <c r="I308" i="5" s="1"/>
  <c r="J308" i="5" s="1"/>
  <c r="I309" i="5" a="1"/>
  <c r="I309" i="5" s="1"/>
  <c r="J309" i="5" s="1"/>
  <c r="I310" i="5" a="1"/>
  <c r="I310" i="5" s="1"/>
  <c r="J310" i="5" s="1"/>
  <c r="I311" i="5" a="1"/>
  <c r="I311" i="5" s="1"/>
  <c r="J311" i="5" s="1"/>
  <c r="I312" i="5" a="1"/>
  <c r="I312" i="5" s="1"/>
  <c r="J312" i="5" s="1"/>
  <c r="I313" i="5" a="1"/>
  <c r="I313" i="5" s="1"/>
  <c r="J313" i="5" s="1"/>
  <c r="I314" i="5" a="1"/>
  <c r="I314" i="5" s="1"/>
  <c r="J314" i="5" s="1"/>
  <c r="I315" i="5" a="1"/>
  <c r="I315" i="5" s="1"/>
  <c r="J315" i="5" s="1"/>
  <c r="I316" i="5" a="1"/>
  <c r="I316" i="5" s="1"/>
  <c r="J316" i="5" s="1"/>
  <c r="I317" i="5" a="1"/>
  <c r="I317" i="5" s="1"/>
  <c r="J317" i="5" s="1"/>
  <c r="I318" i="5" a="1"/>
  <c r="I318" i="5" s="1"/>
  <c r="J318" i="5" s="1"/>
  <c r="I319" i="5" a="1"/>
  <c r="I319" i="5" s="1"/>
  <c r="J319" i="5" s="1"/>
  <c r="I320" i="5" a="1"/>
  <c r="I320" i="5" s="1"/>
  <c r="J320" i="5" s="1"/>
  <c r="I321" i="5" a="1"/>
  <c r="I321" i="5" s="1"/>
  <c r="J321" i="5" s="1"/>
  <c r="I322" i="5" a="1"/>
  <c r="I322" i="5" s="1"/>
  <c r="J322" i="5" s="1"/>
  <c r="I323" i="5" a="1"/>
  <c r="I323" i="5" s="1"/>
  <c r="J323" i="5" s="1"/>
  <c r="I324" i="5" a="1"/>
  <c r="I324" i="5" s="1"/>
  <c r="J324" i="5" s="1"/>
  <c r="I325" i="5" a="1"/>
  <c r="I325" i="5" s="1"/>
  <c r="J325" i="5" s="1"/>
  <c r="I326" i="5" a="1"/>
  <c r="I326" i="5" s="1"/>
  <c r="J326" i="5" s="1"/>
  <c r="I327" i="5" a="1"/>
  <c r="I327" i="5" s="1"/>
  <c r="J327" i="5" s="1"/>
  <c r="I328" i="5" a="1"/>
  <c r="I328" i="5" s="1"/>
  <c r="J328" i="5" s="1"/>
  <c r="I329" i="5" a="1"/>
  <c r="I329" i="5" s="1"/>
  <c r="J329" i="5" s="1"/>
  <c r="I330" i="5" a="1"/>
  <c r="I330" i="5" s="1"/>
  <c r="J330" i="5" s="1"/>
  <c r="I331" i="5" a="1"/>
  <c r="I331" i="5" s="1"/>
  <c r="J331" i="5" s="1"/>
  <c r="I332" i="5" a="1"/>
  <c r="I332" i="5" s="1"/>
  <c r="J332" i="5" s="1"/>
  <c r="I333" i="5" a="1"/>
  <c r="I333" i="5" s="1"/>
  <c r="J333" i="5" s="1"/>
  <c r="I334" i="5" a="1"/>
  <c r="I334" i="5" s="1"/>
  <c r="J334" i="5" s="1"/>
  <c r="I335" i="5" a="1"/>
  <c r="I335" i="5" s="1"/>
  <c r="J335" i="5" s="1"/>
  <c r="I336" i="5" a="1"/>
  <c r="I336" i="5" s="1"/>
  <c r="J336" i="5" s="1"/>
  <c r="I337" i="5" a="1"/>
  <c r="I337" i="5" s="1"/>
  <c r="J337" i="5" s="1"/>
  <c r="I338" i="5" a="1"/>
  <c r="I338" i="5" s="1"/>
  <c r="J338" i="5" s="1"/>
  <c r="I339" i="5" a="1"/>
  <c r="I339" i="5" s="1"/>
  <c r="J339" i="5" s="1"/>
  <c r="I340" i="5" a="1"/>
  <c r="I340" i="5" s="1"/>
  <c r="J340" i="5" s="1"/>
  <c r="I341" i="5" a="1"/>
  <c r="I341" i="5" s="1"/>
  <c r="J341" i="5" s="1"/>
  <c r="I342" i="5" a="1"/>
  <c r="I342" i="5" s="1"/>
  <c r="J342" i="5" s="1"/>
  <c r="I343" i="5" a="1"/>
  <c r="I343" i="5" s="1"/>
  <c r="J343" i="5" s="1"/>
  <c r="I344" i="5" a="1"/>
  <c r="I344" i="5" s="1"/>
  <c r="J344" i="5" s="1"/>
  <c r="I345" i="5" a="1"/>
  <c r="I345" i="5" s="1"/>
  <c r="J345" i="5" s="1"/>
  <c r="I346" i="5" a="1"/>
  <c r="I346" i="5" s="1"/>
  <c r="J346" i="5" s="1"/>
  <c r="I347" i="5" a="1"/>
  <c r="I347" i="5" s="1"/>
  <c r="J347" i="5" s="1"/>
  <c r="I348" i="5" a="1"/>
  <c r="I348" i="5" s="1"/>
  <c r="J348" i="5" s="1"/>
  <c r="I349" i="5" a="1"/>
  <c r="I349" i="5" s="1"/>
  <c r="J349" i="5" s="1"/>
  <c r="I350" i="5" a="1"/>
  <c r="I350" i="5" s="1"/>
  <c r="J350" i="5" s="1"/>
  <c r="I351" i="5" a="1"/>
  <c r="I351" i="5" s="1"/>
  <c r="J351" i="5" s="1"/>
  <c r="I352" i="5" a="1"/>
  <c r="I352" i="5" s="1"/>
  <c r="J352" i="5" s="1"/>
  <c r="I353" i="5" a="1"/>
  <c r="I353" i="5" s="1"/>
  <c r="J353" i="5" s="1"/>
  <c r="I354" i="5" a="1"/>
  <c r="I354" i="5" s="1"/>
  <c r="J354" i="5" s="1"/>
  <c r="I355" i="5" a="1"/>
  <c r="I355" i="5" s="1"/>
  <c r="J355" i="5" s="1"/>
  <c r="I356" i="5" a="1"/>
  <c r="I356" i="5" s="1"/>
  <c r="J356" i="5" s="1"/>
  <c r="I357" i="5" a="1"/>
  <c r="I357" i="5" s="1"/>
  <c r="J357" i="5" s="1"/>
  <c r="I358" i="5" a="1"/>
  <c r="I358" i="5" s="1"/>
  <c r="J358" i="5" s="1"/>
  <c r="I359" i="5" a="1"/>
  <c r="I359" i="5" s="1"/>
  <c r="J359" i="5" s="1"/>
  <c r="I360" i="5" a="1"/>
  <c r="I360" i="5" s="1"/>
  <c r="J360" i="5" s="1"/>
  <c r="I361" i="5" a="1"/>
  <c r="I361" i="5" s="1"/>
  <c r="J361" i="5" s="1"/>
  <c r="I362" i="5" a="1"/>
  <c r="I362" i="5" s="1"/>
  <c r="J362" i="5" s="1"/>
  <c r="I363" i="5" a="1"/>
  <c r="I363" i="5" s="1"/>
  <c r="J363" i="5" s="1"/>
  <c r="I364" i="5" a="1"/>
  <c r="I364" i="5" s="1"/>
  <c r="J364" i="5" s="1"/>
  <c r="I365" i="5" a="1"/>
  <c r="I365" i="5" s="1"/>
  <c r="J365" i="5" s="1"/>
  <c r="I366" i="5" a="1"/>
  <c r="I366" i="5" s="1"/>
  <c r="J366" i="5" s="1"/>
  <c r="I367" i="5" a="1"/>
  <c r="I367" i="5" s="1"/>
  <c r="J367" i="5" s="1"/>
  <c r="I368" i="5" a="1"/>
  <c r="I368" i="5" s="1"/>
  <c r="J368" i="5" s="1"/>
  <c r="I369" i="5" a="1"/>
  <c r="I369" i="5" s="1"/>
  <c r="J369" i="5" s="1"/>
  <c r="I370" i="5" a="1"/>
  <c r="I370" i="5" s="1"/>
  <c r="J370" i="5" s="1"/>
  <c r="I371" i="5" a="1"/>
  <c r="I371" i="5" s="1"/>
  <c r="J371" i="5" s="1"/>
  <c r="I372" i="5" a="1"/>
  <c r="I372" i="5" s="1"/>
  <c r="J372" i="5" s="1"/>
  <c r="I373" i="5" a="1"/>
  <c r="I373" i="5" s="1"/>
  <c r="J373" i="5" s="1"/>
  <c r="I374" i="5" a="1"/>
  <c r="I374" i="5" s="1"/>
  <c r="J374" i="5" s="1"/>
  <c r="I375" i="5" a="1"/>
  <c r="I375" i="5" s="1"/>
  <c r="J375" i="5" s="1"/>
  <c r="I376" i="5" a="1"/>
  <c r="I376" i="5" s="1"/>
  <c r="J376" i="5" s="1"/>
  <c r="I377" i="5" a="1"/>
  <c r="I377" i="5" s="1"/>
  <c r="J377" i="5" s="1"/>
  <c r="I378" i="5" a="1"/>
  <c r="I378" i="5" s="1"/>
  <c r="J378" i="5" s="1"/>
  <c r="I379" i="5" a="1"/>
  <c r="I379" i="5" s="1"/>
  <c r="J379" i="5" s="1"/>
  <c r="I380" i="5" a="1"/>
  <c r="I380" i="5" s="1"/>
  <c r="J380" i="5" s="1"/>
  <c r="I381" i="5" a="1"/>
  <c r="I381" i="5" s="1"/>
  <c r="J381" i="5" s="1"/>
  <c r="I382" i="5" a="1"/>
  <c r="I382" i="5" s="1"/>
  <c r="J382" i="5" s="1"/>
  <c r="I383" i="5" a="1"/>
  <c r="I383" i="5" s="1"/>
  <c r="J383" i="5" s="1"/>
  <c r="I384" i="5" a="1"/>
  <c r="I384" i="5" s="1"/>
  <c r="J384" i="5" s="1"/>
  <c r="I386" i="5" a="1"/>
  <c r="I386" i="5" s="1"/>
  <c r="J386" i="5" s="1"/>
  <c r="I387" i="5" a="1"/>
  <c r="I387" i="5" s="1"/>
  <c r="J387" i="5" s="1"/>
  <c r="I388" i="5" a="1"/>
  <c r="I388" i="5" s="1"/>
  <c r="J388" i="5" s="1"/>
  <c r="I389" i="5" a="1"/>
  <c r="I389" i="5" s="1"/>
  <c r="J389" i="5" s="1"/>
  <c r="I390" i="5" a="1"/>
  <c r="I390" i="5" s="1"/>
  <c r="J390" i="5" s="1"/>
  <c r="I392" i="5" a="1"/>
  <c r="I392" i="5" s="1"/>
  <c r="J392" i="5" s="1"/>
  <c r="I393" i="5" a="1"/>
  <c r="I393" i="5" s="1"/>
  <c r="J393" i="5" s="1"/>
  <c r="I394" i="5" a="1"/>
  <c r="I394" i="5" s="1"/>
  <c r="J394" i="5" s="1"/>
  <c r="I395" i="5" a="1"/>
  <c r="I395" i="5" s="1"/>
  <c r="J395" i="5" s="1"/>
  <c r="I396" i="5" a="1"/>
  <c r="I396" i="5" s="1"/>
  <c r="J396" i="5" s="1"/>
  <c r="I397" i="5" a="1"/>
  <c r="I397" i="5" s="1"/>
  <c r="J397" i="5" s="1"/>
  <c r="I398" i="5" a="1"/>
  <c r="I398" i="5" s="1"/>
  <c r="J398" i="5" s="1"/>
  <c r="I399" i="5" a="1"/>
  <c r="I399" i="5" s="1"/>
  <c r="J399" i="5" s="1"/>
  <c r="I400" i="5" a="1"/>
  <c r="I400" i="5" s="1"/>
  <c r="J400" i="5" s="1"/>
  <c r="I401" i="5" a="1"/>
  <c r="I401" i="5" s="1"/>
  <c r="J401" i="5" s="1"/>
  <c r="I402" i="5" a="1"/>
  <c r="I402" i="5" s="1"/>
  <c r="J402" i="5" s="1"/>
  <c r="I403" i="5" a="1"/>
  <c r="I403" i="5" s="1"/>
  <c r="J403" i="5" s="1"/>
  <c r="I404" i="5" a="1"/>
  <c r="I404" i="5" s="1"/>
  <c r="J404" i="5" s="1"/>
  <c r="I405" i="5" a="1"/>
  <c r="I405" i="5" s="1"/>
  <c r="J405" i="5" s="1"/>
  <c r="I406" i="5" a="1"/>
  <c r="I406" i="5" s="1"/>
  <c r="J406" i="5" s="1"/>
  <c r="I407" i="5" a="1"/>
  <c r="I407" i="5" s="1"/>
  <c r="J407" i="5" s="1"/>
  <c r="I408" i="5" a="1"/>
  <c r="I408" i="5" s="1"/>
  <c r="J408" i="5" s="1"/>
  <c r="I409" i="5" a="1"/>
  <c r="I409" i="5" s="1"/>
  <c r="J409" i="5" s="1"/>
  <c r="I410" i="5" a="1"/>
  <c r="I410" i="5" s="1"/>
  <c r="J410" i="5" s="1"/>
  <c r="I411" i="5" a="1"/>
  <c r="I411" i="5" s="1"/>
  <c r="J411" i="5" s="1"/>
  <c r="I412" i="5" a="1"/>
  <c r="I412" i="5" s="1"/>
  <c r="J412" i="5" s="1"/>
  <c r="I413" i="5" a="1"/>
  <c r="I413" i="5" s="1"/>
  <c r="J413" i="5" s="1"/>
  <c r="I414" i="5" a="1"/>
  <c r="I414" i="5" s="1"/>
  <c r="J414" i="5" s="1"/>
  <c r="I415" i="5" a="1"/>
  <c r="I415" i="5" s="1"/>
  <c r="J415" i="5" s="1"/>
  <c r="I416" i="5" a="1"/>
  <c r="I416" i="5" s="1"/>
  <c r="J416" i="5" s="1"/>
  <c r="I417" i="5" a="1"/>
  <c r="I417" i="5" s="1"/>
  <c r="J417" i="5" s="1"/>
  <c r="I418" i="5" a="1"/>
  <c r="I418" i="5" s="1"/>
  <c r="J418" i="5" s="1"/>
  <c r="I419" i="5" a="1"/>
  <c r="I419" i="5" s="1"/>
  <c r="J419" i="5" s="1"/>
  <c r="I420" i="5" a="1"/>
  <c r="I420" i="5" s="1"/>
  <c r="J420" i="5" s="1"/>
  <c r="I421" i="5" a="1"/>
  <c r="I421" i="5" s="1"/>
  <c r="J421" i="5" s="1"/>
  <c r="I422" i="5" a="1"/>
  <c r="I422" i="5" s="1"/>
  <c r="J422" i="5" s="1"/>
  <c r="I423" i="5" a="1"/>
  <c r="I423" i="5" s="1"/>
  <c r="J423" i="5" s="1"/>
  <c r="I424" i="5" a="1"/>
  <c r="I424" i="5" s="1"/>
  <c r="J424" i="5" s="1"/>
  <c r="I425" i="5" a="1"/>
  <c r="I425" i="5" s="1"/>
  <c r="J425" i="5" s="1"/>
  <c r="I426" i="5" a="1"/>
  <c r="I426" i="5" s="1"/>
  <c r="J426" i="5" s="1"/>
  <c r="I427" i="5" a="1"/>
  <c r="I427" i="5" s="1"/>
  <c r="J427" i="5" s="1"/>
  <c r="I428" i="5" a="1"/>
  <c r="I428" i="5" s="1"/>
  <c r="J428" i="5" s="1"/>
  <c r="I429" i="5" a="1"/>
  <c r="I429" i="5" s="1"/>
  <c r="J429" i="5" s="1"/>
  <c r="I430" i="5" a="1"/>
  <c r="I430" i="5" s="1"/>
  <c r="J430" i="5" s="1"/>
  <c r="I431" i="5" a="1"/>
  <c r="I431" i="5" s="1"/>
  <c r="J431" i="5" s="1"/>
  <c r="I432" i="5" a="1"/>
  <c r="I432" i="5" s="1"/>
  <c r="J432" i="5" s="1"/>
  <c r="I433" i="5" a="1"/>
  <c r="I433" i="5" s="1"/>
  <c r="J433" i="5" s="1"/>
  <c r="I434" i="5" a="1"/>
  <c r="I434" i="5" s="1"/>
  <c r="J434" i="5" s="1"/>
  <c r="I435" i="5" a="1"/>
  <c r="I435" i="5" s="1"/>
  <c r="J435" i="5" s="1"/>
  <c r="I436" i="5" a="1"/>
  <c r="I436" i="5" s="1"/>
  <c r="J436" i="5" s="1"/>
  <c r="I437" i="5" a="1"/>
  <c r="I437" i="5" s="1"/>
  <c r="J437" i="5" s="1"/>
  <c r="I438" i="5" a="1"/>
  <c r="I438" i="5" s="1"/>
  <c r="J438" i="5" s="1"/>
  <c r="I439" i="5" a="1"/>
  <c r="I439" i="5" s="1"/>
  <c r="J439" i="5" s="1"/>
  <c r="I440" i="5" a="1"/>
  <c r="I440" i="5" s="1"/>
  <c r="J440" i="5" s="1"/>
  <c r="I441" i="5" a="1"/>
  <c r="I441" i="5" s="1"/>
  <c r="J441" i="5" s="1"/>
  <c r="I442" i="5" a="1"/>
  <c r="I442" i="5" s="1"/>
  <c r="J442" i="5" s="1"/>
  <c r="I443" i="5" a="1"/>
  <c r="I443" i="5" s="1"/>
  <c r="J443" i="5" s="1"/>
  <c r="I444" i="5" a="1"/>
  <c r="I444" i="5" s="1"/>
  <c r="J444" i="5" s="1"/>
  <c r="I445" i="5" a="1"/>
  <c r="I445" i="5" s="1"/>
  <c r="J445" i="5" s="1"/>
  <c r="I446" i="5" a="1"/>
  <c r="I446" i="5" s="1"/>
  <c r="J446" i="5" s="1"/>
  <c r="I447" i="5" a="1"/>
  <c r="I447" i="5" s="1"/>
  <c r="J447" i="5" s="1"/>
  <c r="I448" i="5" a="1"/>
  <c r="I448" i="5" s="1"/>
  <c r="J448" i="5" s="1"/>
  <c r="I449" i="5" a="1"/>
  <c r="I449" i="5" s="1"/>
  <c r="J449" i="5" s="1"/>
  <c r="I450" i="5" a="1"/>
  <c r="I450" i="5" s="1"/>
  <c r="J450" i="5" s="1"/>
  <c r="I451" i="5" a="1"/>
  <c r="I451" i="5" s="1"/>
  <c r="J451" i="5" s="1"/>
  <c r="I452" i="5" a="1"/>
  <c r="I452" i="5" s="1"/>
  <c r="J452" i="5" s="1"/>
  <c r="I453" i="5" a="1"/>
  <c r="I453" i="5" s="1"/>
  <c r="J453" i="5" s="1"/>
  <c r="I454" i="5" a="1"/>
  <c r="I454" i="5" s="1"/>
  <c r="J454" i="5" s="1"/>
  <c r="I455" i="5" a="1"/>
  <c r="I455" i="5" s="1"/>
  <c r="J455" i="5" s="1"/>
  <c r="I456" i="5" a="1"/>
  <c r="I456" i="5" s="1"/>
  <c r="J456" i="5" s="1"/>
  <c r="I457" i="5" a="1"/>
  <c r="I457" i="5" s="1"/>
  <c r="J457" i="5" s="1"/>
  <c r="I458" i="5" a="1"/>
  <c r="I458" i="5" s="1"/>
  <c r="J458" i="5" s="1"/>
  <c r="I459" i="5" a="1"/>
  <c r="I459" i="5" s="1"/>
  <c r="J459" i="5" s="1"/>
  <c r="I460" i="5" a="1"/>
  <c r="I460" i="5" s="1"/>
  <c r="J460" i="5" s="1"/>
  <c r="I461" i="5" a="1"/>
  <c r="I461" i="5" s="1"/>
  <c r="J461" i="5" s="1"/>
  <c r="I462" i="5" a="1"/>
  <c r="I462" i="5" s="1"/>
  <c r="J462" i="5" s="1"/>
  <c r="I463" i="5" a="1"/>
  <c r="I463" i="5" s="1"/>
  <c r="J463" i="5" s="1"/>
  <c r="I464" i="5" a="1"/>
  <c r="I464" i="5" s="1"/>
  <c r="J464" i="5" s="1"/>
  <c r="I465" i="5" a="1"/>
  <c r="I465" i="5" s="1"/>
  <c r="J465" i="5" s="1"/>
  <c r="I466" i="5" a="1"/>
  <c r="I466" i="5" s="1"/>
  <c r="J466" i="5" s="1"/>
  <c r="I467" i="5" a="1"/>
  <c r="I467" i="5" s="1"/>
  <c r="J467" i="5" s="1"/>
  <c r="I468" i="5" a="1"/>
  <c r="I468" i="5" s="1"/>
  <c r="J468" i="5" s="1"/>
  <c r="I469" i="5" a="1"/>
  <c r="I469" i="5" s="1"/>
  <c r="J469" i="5" s="1"/>
  <c r="I470" i="5" a="1"/>
  <c r="I470" i="5" s="1"/>
  <c r="J470" i="5" s="1"/>
  <c r="I471" i="5" a="1"/>
  <c r="I471" i="5" s="1"/>
  <c r="J471" i="5" s="1"/>
  <c r="I472" i="5" a="1"/>
  <c r="I472" i="5" s="1"/>
  <c r="J472" i="5" s="1"/>
  <c r="I473" i="5" a="1"/>
  <c r="I473" i="5" s="1"/>
  <c r="J473" i="5" s="1"/>
  <c r="I474" i="5" a="1"/>
  <c r="I474" i="5" s="1"/>
  <c r="J474" i="5" s="1"/>
  <c r="I475" i="5" a="1"/>
  <c r="I475" i="5" s="1"/>
  <c r="J475" i="5" s="1"/>
  <c r="I476" i="5" a="1"/>
  <c r="I476" i="5" s="1"/>
  <c r="J476" i="5" s="1"/>
  <c r="I477" i="5" a="1"/>
  <c r="I477" i="5" s="1"/>
  <c r="J477" i="5" s="1"/>
  <c r="I478" i="5" a="1"/>
  <c r="I478" i="5" s="1"/>
  <c r="J478" i="5" s="1"/>
  <c r="I479" i="5" a="1"/>
  <c r="I479" i="5" s="1"/>
  <c r="J479" i="5" s="1"/>
  <c r="I480" i="5" a="1"/>
  <c r="I480" i="5" s="1"/>
  <c r="J480" i="5" s="1"/>
  <c r="I481" i="5" a="1"/>
  <c r="I481" i="5" s="1"/>
  <c r="J481" i="5" s="1"/>
  <c r="I482" i="5" a="1"/>
  <c r="I482" i="5" s="1"/>
  <c r="J482" i="5" s="1"/>
  <c r="I483" i="5" a="1"/>
  <c r="I483" i="5" s="1"/>
  <c r="J483" i="5" s="1"/>
  <c r="I484" i="5" a="1"/>
  <c r="I484" i="5" s="1"/>
  <c r="J484" i="5" s="1"/>
  <c r="I485" i="5" a="1"/>
  <c r="I485" i="5" s="1"/>
  <c r="J485" i="5" s="1"/>
  <c r="I486" i="5" a="1"/>
  <c r="I486" i="5" s="1"/>
  <c r="J486" i="5" s="1"/>
  <c r="I487" i="5" a="1"/>
  <c r="I487" i="5" s="1"/>
  <c r="J487" i="5" s="1"/>
  <c r="I488" i="5" a="1"/>
  <c r="I488" i="5" s="1"/>
  <c r="J488" i="5" s="1"/>
  <c r="I489" i="5" a="1"/>
  <c r="I489" i="5" s="1"/>
  <c r="J489" i="5" s="1"/>
  <c r="I490" i="5" a="1"/>
  <c r="I490" i="5" s="1"/>
  <c r="J490" i="5" s="1"/>
  <c r="I491" i="5" a="1"/>
  <c r="I491" i="5" s="1"/>
  <c r="J491" i="5" s="1"/>
  <c r="I492" i="5" a="1"/>
  <c r="I492" i="5" s="1"/>
  <c r="J492" i="5" s="1"/>
  <c r="I493" i="5" a="1"/>
  <c r="I493" i="5" s="1"/>
  <c r="J493" i="5" s="1"/>
  <c r="I494" i="5" a="1"/>
  <c r="I494" i="5" s="1"/>
  <c r="J494" i="5" s="1"/>
  <c r="I495" i="5" a="1"/>
  <c r="I495" i="5" s="1"/>
  <c r="J495" i="5" s="1"/>
  <c r="I496" i="5" a="1"/>
  <c r="I496" i="5" s="1"/>
  <c r="J496" i="5" s="1"/>
  <c r="I497" i="5" a="1"/>
  <c r="I497" i="5" s="1"/>
  <c r="J497" i="5" s="1"/>
  <c r="I498" i="5" a="1"/>
  <c r="I498" i="5" s="1"/>
  <c r="J498" i="5" s="1"/>
  <c r="I499" i="5" a="1"/>
  <c r="I499" i="5" s="1"/>
  <c r="J499" i="5" s="1"/>
  <c r="I500" i="5" a="1"/>
  <c r="I500" i="5"/>
  <c r="J500" i="5" s="1"/>
  <c r="I501" i="5" a="1"/>
  <c r="I501" i="5" s="1"/>
  <c r="J501" i="5" s="1"/>
  <c r="I502" i="5" a="1"/>
  <c r="I502" i="5" s="1"/>
  <c r="J502" i="5" s="1"/>
  <c r="I503" i="5" a="1"/>
  <c r="I503" i="5" s="1"/>
  <c r="J503" i="5" s="1"/>
  <c r="I504" i="5" a="1"/>
  <c r="I504" i="5" s="1"/>
  <c r="J504" i="5" s="1"/>
  <c r="I505" i="5" a="1"/>
  <c r="I505" i="5" s="1"/>
  <c r="J505" i="5" s="1"/>
  <c r="I506" i="5" a="1"/>
  <c r="I506" i="5"/>
  <c r="J506" i="5" s="1"/>
  <c r="I507" i="5" a="1"/>
  <c r="I507" i="5" s="1"/>
  <c r="J507" i="5" s="1"/>
  <c r="I508" i="5" a="1"/>
  <c r="I508" i="5" s="1"/>
  <c r="J508" i="5" s="1"/>
  <c r="I509" i="5" a="1"/>
  <c r="I509" i="5" s="1"/>
  <c r="J509" i="5" s="1"/>
  <c r="I510" i="5" a="1"/>
  <c r="I510" i="5" s="1"/>
  <c r="J510" i="5" s="1"/>
  <c r="I511" i="5" a="1"/>
  <c r="I511" i="5" s="1"/>
  <c r="J511" i="5" s="1"/>
  <c r="I512" i="5" a="1"/>
  <c r="I512" i="5" s="1"/>
  <c r="J512" i="5" s="1"/>
  <c r="I513" i="5" a="1"/>
  <c r="I513" i="5" s="1"/>
  <c r="J513" i="5" s="1"/>
  <c r="I514" i="5" a="1"/>
  <c r="I514" i="5"/>
  <c r="J514" i="5" s="1"/>
  <c r="I515" i="5" a="1"/>
  <c r="I515" i="5" s="1"/>
  <c r="J515" i="5" s="1"/>
  <c r="I516" i="5" a="1"/>
  <c r="I516" i="5" s="1"/>
  <c r="J516" i="5" s="1"/>
  <c r="I517" i="5" a="1"/>
  <c r="I517" i="5"/>
  <c r="J517" i="5" s="1"/>
  <c r="I518" i="5" a="1"/>
  <c r="I518" i="5" s="1"/>
  <c r="J518" i="5" s="1"/>
  <c r="I519" i="5" a="1"/>
  <c r="I519" i="5" s="1"/>
  <c r="J519" i="5" s="1"/>
  <c r="I520" i="5" a="1"/>
  <c r="I520" i="5" s="1"/>
  <c r="J520" i="5" s="1"/>
  <c r="I521" i="5" a="1"/>
  <c r="I521" i="5" s="1"/>
  <c r="J521" i="5" s="1"/>
  <c r="I522" i="5" a="1"/>
  <c r="I522" i="5"/>
  <c r="J522" i="5" s="1"/>
  <c r="I523" i="5" a="1"/>
  <c r="I523" i="5" s="1"/>
  <c r="J523" i="5" s="1"/>
  <c r="I524" i="5" a="1"/>
  <c r="I524" i="5" s="1"/>
  <c r="J524" i="5" s="1"/>
  <c r="I525" i="5" a="1"/>
  <c r="I525" i="5" s="1"/>
  <c r="J525" i="5" s="1"/>
  <c r="I526" i="5" a="1"/>
  <c r="I526" i="5"/>
  <c r="J526" i="5" s="1"/>
  <c r="I527" i="5" a="1"/>
  <c r="I527" i="5" s="1"/>
  <c r="J527" i="5" s="1"/>
  <c r="I528" i="5" a="1"/>
  <c r="I528" i="5" s="1"/>
  <c r="J528" i="5" s="1"/>
  <c r="I529" i="5" a="1"/>
  <c r="I529" i="5"/>
  <c r="J529" i="5" s="1"/>
  <c r="I530" i="5" a="1"/>
  <c r="I530" i="5" s="1"/>
  <c r="J530" i="5" s="1"/>
  <c r="I531" i="5" a="1"/>
  <c r="I531" i="5" s="1"/>
  <c r="J531" i="5" s="1"/>
  <c r="I532" i="5" a="1"/>
  <c r="I532" i="5" s="1"/>
  <c r="J532" i="5" s="1"/>
  <c r="I533" i="5" a="1"/>
  <c r="I533" i="5" s="1"/>
  <c r="J533" i="5" s="1"/>
  <c r="I534" i="5" a="1"/>
  <c r="I534" i="5"/>
  <c r="J534" i="5" s="1"/>
  <c r="I535" i="5" a="1"/>
  <c r="I535" i="5" s="1"/>
  <c r="J535" i="5" s="1"/>
  <c r="I536" i="5" a="1"/>
  <c r="I536" i="5" s="1"/>
  <c r="J536" i="5" s="1"/>
  <c r="I537" i="5" a="1"/>
  <c r="I537" i="5" s="1"/>
  <c r="J537" i="5" s="1"/>
  <c r="I538" i="5" a="1"/>
  <c r="I538" i="5"/>
  <c r="J538" i="5" s="1"/>
  <c r="I539" i="5" a="1"/>
  <c r="I539" i="5" s="1"/>
  <c r="J539" i="5" s="1"/>
  <c r="I540" i="5" a="1"/>
  <c r="I540" i="5" s="1"/>
  <c r="J540" i="5" s="1"/>
  <c r="I541" i="5" a="1"/>
  <c r="I541" i="5" s="1"/>
  <c r="J541" i="5" s="1"/>
  <c r="I542" i="5" a="1"/>
  <c r="I542" i="5" s="1"/>
  <c r="J542" i="5" s="1"/>
  <c r="I543" i="5" a="1"/>
  <c r="I543" i="5" s="1"/>
  <c r="J543" i="5" s="1"/>
  <c r="I544" i="5" a="1"/>
  <c r="I544" i="5" s="1"/>
  <c r="J544" i="5" s="1"/>
  <c r="I545" i="5" a="1"/>
  <c r="I545" i="5" s="1"/>
  <c r="J545" i="5" s="1"/>
  <c r="I546" i="5" a="1"/>
  <c r="I546" i="5"/>
  <c r="J546" i="5" s="1"/>
  <c r="I547" i="5" a="1"/>
  <c r="I547" i="5" s="1"/>
  <c r="J547" i="5" s="1"/>
  <c r="I548" i="5" a="1"/>
  <c r="I548" i="5" s="1"/>
  <c r="J548" i="5" s="1"/>
  <c r="I549" i="5" a="1"/>
  <c r="I549" i="5" s="1"/>
  <c r="J549" i="5" s="1"/>
  <c r="I550" i="5" a="1"/>
  <c r="I550" i="5" s="1"/>
  <c r="J550" i="5" s="1"/>
  <c r="I551" i="5" a="1"/>
  <c r="I551" i="5" s="1"/>
  <c r="J551" i="5" s="1"/>
  <c r="I552" i="5" a="1"/>
  <c r="I552" i="5"/>
  <c r="J552" i="5" s="1"/>
  <c r="I553" i="5" a="1"/>
  <c r="I553" i="5" s="1"/>
  <c r="J553" i="5" s="1"/>
  <c r="I554" i="5" a="1"/>
  <c r="I554" i="5" s="1"/>
  <c r="J554" i="5" s="1"/>
  <c r="I555" i="5" a="1"/>
  <c r="I555" i="5" s="1"/>
  <c r="J555" i="5" s="1"/>
  <c r="I556" i="5" a="1"/>
  <c r="I556" i="5"/>
  <c r="J556" i="5" s="1"/>
  <c r="I557" i="5" a="1"/>
  <c r="I557" i="5" s="1"/>
  <c r="J557" i="5" s="1"/>
  <c r="I558" i="5" a="1"/>
  <c r="I558" i="5" s="1"/>
  <c r="J558" i="5" s="1"/>
  <c r="I559" i="5" a="1"/>
  <c r="I559" i="5" s="1"/>
  <c r="J559" i="5" s="1"/>
  <c r="I560" i="5" a="1"/>
  <c r="I560" i="5" s="1"/>
  <c r="J560" i="5" s="1"/>
  <c r="I561" i="5" a="1"/>
  <c r="I561" i="5" s="1"/>
  <c r="J561" i="5" s="1"/>
  <c r="I562" i="5" a="1"/>
  <c r="I562" i="5" s="1"/>
  <c r="J562" i="5" s="1"/>
  <c r="I563" i="5" a="1"/>
  <c r="I563" i="5" s="1"/>
  <c r="J563" i="5" s="1"/>
  <c r="I564" i="5" a="1"/>
  <c r="I564" i="5" s="1"/>
  <c r="J564" i="5" s="1"/>
  <c r="I565" i="5" a="1"/>
  <c r="I565" i="5" s="1"/>
  <c r="J565" i="5" s="1"/>
  <c r="I566" i="5" a="1"/>
  <c r="I566" i="5" s="1"/>
  <c r="J566" i="5" s="1"/>
  <c r="I567" i="5" a="1"/>
  <c r="I567" i="5" s="1"/>
  <c r="J567" i="5" s="1"/>
  <c r="I568" i="5" a="1"/>
  <c r="I568" i="5" s="1"/>
  <c r="J568" i="5" s="1"/>
  <c r="I569" i="5" a="1"/>
  <c r="I569" i="5" s="1"/>
  <c r="J569" i="5" s="1"/>
  <c r="I570" i="5" a="1"/>
  <c r="I570" i="5"/>
  <c r="J570" i="5" s="1"/>
  <c r="I571" i="5" a="1"/>
  <c r="I571" i="5" s="1"/>
  <c r="J571" i="5" s="1"/>
  <c r="I572" i="5" a="1"/>
  <c r="I572" i="5" s="1"/>
  <c r="J572" i="5" s="1"/>
  <c r="I573" i="5" a="1"/>
  <c r="I573" i="5" s="1"/>
  <c r="J573" i="5" s="1"/>
  <c r="I574" i="5" a="1"/>
  <c r="I574" i="5" s="1"/>
  <c r="J574" i="5" s="1"/>
  <c r="I575" i="5" a="1"/>
  <c r="I575" i="5" s="1"/>
  <c r="J575" i="5" s="1"/>
  <c r="I576" i="5" a="1"/>
  <c r="I576" i="5" s="1"/>
  <c r="J576" i="5" s="1"/>
  <c r="I577" i="5" a="1"/>
  <c r="I577" i="5" s="1"/>
  <c r="J577" i="5" s="1"/>
  <c r="I578" i="5" a="1"/>
  <c r="I578" i="5" s="1"/>
  <c r="J578" i="5" s="1"/>
  <c r="I579" i="5" a="1"/>
  <c r="I579" i="5" s="1"/>
  <c r="J579" i="5" s="1"/>
  <c r="I580" i="5" a="1"/>
  <c r="I580" i="5" s="1"/>
  <c r="J580" i="5" s="1"/>
  <c r="I581" i="5" a="1"/>
  <c r="I581" i="5" s="1"/>
  <c r="J581" i="5" s="1"/>
  <c r="I582" i="5" a="1"/>
  <c r="I582" i="5" s="1"/>
  <c r="J582" i="5" s="1"/>
  <c r="I583" i="5" a="1"/>
  <c r="I583" i="5" s="1"/>
  <c r="J583" i="5" s="1"/>
  <c r="I584" i="5" a="1"/>
  <c r="I584" i="5" s="1"/>
  <c r="J584" i="5" s="1"/>
  <c r="I585" i="5" a="1"/>
  <c r="I585" i="5" s="1"/>
  <c r="J585" i="5" s="1"/>
  <c r="I586" i="5" a="1"/>
  <c r="I586" i="5" s="1"/>
  <c r="J586" i="5" s="1"/>
  <c r="I587" i="5" a="1"/>
  <c r="I587" i="5" s="1"/>
  <c r="J587" i="5" s="1"/>
  <c r="I588" i="5" a="1"/>
  <c r="I588" i="5" s="1"/>
  <c r="J588" i="5" s="1"/>
  <c r="I589" i="5" a="1"/>
  <c r="I589" i="5" s="1"/>
  <c r="J589" i="5" s="1"/>
  <c r="I590" i="5" a="1"/>
  <c r="I590" i="5" s="1"/>
  <c r="J590" i="5" s="1"/>
  <c r="I591" i="5" a="1"/>
  <c r="I591" i="5" s="1"/>
  <c r="J591" i="5" s="1"/>
  <c r="I592" i="5" a="1"/>
  <c r="I592" i="5" s="1"/>
  <c r="J592" i="5" s="1"/>
  <c r="I593" i="5" a="1"/>
  <c r="I593" i="5" s="1"/>
  <c r="J593" i="5" s="1"/>
  <c r="I594" i="5" a="1"/>
  <c r="I594" i="5" s="1"/>
  <c r="J594" i="5" s="1"/>
  <c r="I595" i="5" a="1"/>
  <c r="I595" i="5" s="1"/>
  <c r="J595" i="5" s="1"/>
  <c r="I596" i="5" a="1"/>
  <c r="I596" i="5" s="1"/>
  <c r="J596" i="5" s="1"/>
  <c r="I597" i="5" a="1"/>
  <c r="I597" i="5" s="1"/>
  <c r="J597" i="5" s="1"/>
  <c r="I598" i="5" a="1"/>
  <c r="I598" i="5" s="1"/>
  <c r="J598" i="5" s="1"/>
  <c r="I599" i="5" a="1"/>
  <c r="I599" i="5" s="1"/>
  <c r="J599" i="5" s="1"/>
  <c r="I600" i="5" a="1"/>
  <c r="I600" i="5" s="1"/>
  <c r="J600" i="5" s="1"/>
  <c r="I601" i="5" a="1"/>
  <c r="I601" i="5" s="1"/>
  <c r="J601" i="5" s="1"/>
  <c r="I602" i="5" a="1"/>
  <c r="I602" i="5" s="1"/>
  <c r="J602" i="5" s="1"/>
  <c r="I603" i="5" a="1"/>
  <c r="I603" i="5" s="1"/>
  <c r="J603" i="5" s="1"/>
  <c r="I604" i="5" a="1"/>
  <c r="I604" i="5" s="1"/>
  <c r="J604" i="5" s="1"/>
  <c r="I605" i="5" a="1"/>
  <c r="I605" i="5" s="1"/>
  <c r="J605" i="5" s="1"/>
  <c r="I606" i="5" a="1"/>
  <c r="I606" i="5" s="1"/>
  <c r="J606" i="5" s="1"/>
  <c r="I607" i="5" a="1"/>
  <c r="I607" i="5" s="1"/>
  <c r="J607" i="5" s="1"/>
  <c r="I608" i="5" a="1"/>
  <c r="I608" i="5" s="1"/>
  <c r="J608" i="5" s="1"/>
  <c r="I609" i="5" a="1"/>
  <c r="I609" i="5" s="1"/>
  <c r="J609" i="5" s="1"/>
  <c r="I610" i="5" a="1"/>
  <c r="I610" i="5" s="1"/>
  <c r="J610" i="5" s="1"/>
  <c r="I611" i="5" a="1"/>
  <c r="I611" i="5" s="1"/>
  <c r="J611" i="5" s="1"/>
  <c r="I612" i="5" a="1"/>
  <c r="I612" i="5" s="1"/>
  <c r="J612" i="5" s="1"/>
  <c r="I613" i="5" a="1"/>
  <c r="I613" i="5" s="1"/>
  <c r="J613" i="5" s="1"/>
  <c r="I614" i="5" a="1"/>
  <c r="I614" i="5" s="1"/>
  <c r="J614" i="5" s="1"/>
  <c r="I615" i="5" a="1"/>
  <c r="I615" i="5" s="1"/>
  <c r="J615" i="5" s="1"/>
  <c r="I616" i="5" a="1"/>
  <c r="I616" i="5" s="1"/>
  <c r="J616" i="5" s="1"/>
  <c r="I617" i="5" a="1"/>
  <c r="I617" i="5" s="1"/>
  <c r="J617" i="5" s="1"/>
  <c r="I618" i="5" a="1"/>
  <c r="I618" i="5" s="1"/>
  <c r="J618" i="5" s="1"/>
  <c r="I619" i="5" a="1"/>
  <c r="I619" i="5" s="1"/>
  <c r="J619" i="5" s="1"/>
  <c r="I620" i="5" a="1"/>
  <c r="I620" i="5" s="1"/>
  <c r="J620" i="5" s="1"/>
  <c r="I621" i="5" a="1"/>
  <c r="I621" i="5" s="1"/>
  <c r="J621" i="5" s="1"/>
  <c r="I622" i="5" a="1"/>
  <c r="I622" i="5" s="1"/>
  <c r="J622" i="5" s="1"/>
  <c r="I623" i="5" a="1"/>
  <c r="I623" i="5" s="1"/>
  <c r="J623" i="5" s="1"/>
  <c r="I624" i="5" a="1"/>
  <c r="I624" i="5" s="1"/>
  <c r="J624" i="5" s="1"/>
  <c r="I625" i="5" a="1"/>
  <c r="I625" i="5" s="1"/>
  <c r="J625" i="5" s="1"/>
  <c r="I626" i="5" a="1"/>
  <c r="I626" i="5" s="1"/>
  <c r="J626" i="5" s="1"/>
  <c r="I627" i="5" a="1"/>
  <c r="I627" i="5" s="1"/>
  <c r="J627" i="5" s="1"/>
  <c r="I628" i="5" a="1"/>
  <c r="I628" i="5" s="1"/>
  <c r="J628" i="5" s="1"/>
  <c r="I629" i="5" a="1"/>
  <c r="I629" i="5" s="1"/>
  <c r="J629" i="5" s="1"/>
  <c r="I630" i="5" a="1"/>
  <c r="I630" i="5" s="1"/>
  <c r="J630" i="5" s="1"/>
  <c r="I631" i="5" a="1"/>
  <c r="I631" i="5" s="1"/>
  <c r="J631" i="5" s="1"/>
  <c r="I632" i="5" a="1"/>
  <c r="I632" i="5" s="1"/>
  <c r="J632" i="5" s="1"/>
  <c r="I633" i="5" a="1"/>
  <c r="I633" i="5" s="1"/>
  <c r="J633" i="5" s="1"/>
  <c r="I634" i="5" a="1"/>
  <c r="I634" i="5" s="1"/>
  <c r="J634" i="5" s="1"/>
  <c r="I635" i="5" a="1"/>
  <c r="I635" i="5" s="1"/>
  <c r="J635" i="5" s="1"/>
  <c r="I636" i="5" a="1"/>
  <c r="I636" i="5" s="1"/>
  <c r="J636" i="5" s="1"/>
  <c r="I637" i="5" a="1"/>
  <c r="I637" i="5" s="1"/>
  <c r="J637" i="5" s="1"/>
  <c r="I638" i="5" a="1"/>
  <c r="I638" i="5" s="1"/>
  <c r="J638" i="5" s="1"/>
  <c r="I639" i="5" a="1"/>
  <c r="I639" i="5" s="1"/>
  <c r="J639" i="5" s="1"/>
  <c r="I640" i="5" a="1"/>
  <c r="I640" i="5" s="1"/>
  <c r="J640" i="5" s="1"/>
  <c r="I641" i="5" a="1"/>
  <c r="I641" i="5" s="1"/>
  <c r="J641" i="5" s="1"/>
  <c r="I642" i="5" a="1"/>
  <c r="I642" i="5" s="1"/>
  <c r="J642" i="5" s="1"/>
  <c r="I643" i="5" a="1"/>
  <c r="I643" i="5" s="1"/>
  <c r="J643" i="5" s="1"/>
  <c r="I644" i="5" a="1"/>
  <c r="I644" i="5" s="1"/>
  <c r="J644" i="5" s="1"/>
  <c r="I645" i="5" a="1"/>
  <c r="I645" i="5" s="1"/>
  <c r="J645" i="5" s="1"/>
  <c r="I646" i="5" a="1"/>
  <c r="I646" i="5" s="1"/>
  <c r="J646" i="5" s="1"/>
  <c r="I647" i="5" a="1"/>
  <c r="I647" i="5" s="1"/>
  <c r="J647" i="5" s="1"/>
  <c r="I648" i="5" a="1"/>
  <c r="I648" i="5" s="1"/>
  <c r="J648" i="5" s="1"/>
  <c r="I649" i="5" a="1"/>
  <c r="I649" i="5" s="1"/>
  <c r="J649" i="5" s="1"/>
  <c r="I650" i="5" a="1"/>
  <c r="I650" i="5" s="1"/>
  <c r="J650" i="5" s="1"/>
  <c r="I651" i="5" a="1"/>
  <c r="I651" i="5" s="1"/>
  <c r="J651" i="5" s="1"/>
  <c r="I652" i="5" a="1"/>
  <c r="I652" i="5" s="1"/>
  <c r="J652" i="5" s="1"/>
  <c r="I653" i="5" a="1"/>
  <c r="I653" i="5" s="1"/>
  <c r="J653" i="5" s="1"/>
  <c r="I654" i="5" a="1"/>
  <c r="I654" i="5" s="1"/>
  <c r="J654" i="5" s="1"/>
  <c r="I655" i="5" a="1"/>
  <c r="I655" i="5" s="1"/>
  <c r="J655" i="5" s="1"/>
  <c r="I656" i="5" a="1"/>
  <c r="I656" i="5" s="1"/>
  <c r="J656" i="5" s="1"/>
  <c r="I657" i="5" a="1"/>
  <c r="I657" i="5" s="1"/>
  <c r="J657" i="5" s="1"/>
  <c r="I658" i="5" a="1"/>
  <c r="I658" i="5" s="1"/>
  <c r="J658" i="5" s="1"/>
  <c r="I659" i="5" a="1"/>
  <c r="I659" i="5" s="1"/>
  <c r="J659" i="5" s="1"/>
  <c r="I660" i="5" a="1"/>
  <c r="I660" i="5" s="1"/>
  <c r="J660" i="5" s="1"/>
  <c r="I661" i="5" a="1"/>
  <c r="I661" i="5" s="1"/>
  <c r="J661" i="5" s="1"/>
  <c r="I662" i="5" a="1"/>
  <c r="I662" i="5" s="1"/>
  <c r="J662" i="5" s="1"/>
  <c r="I663" i="5" a="1"/>
  <c r="I663" i="5" s="1"/>
  <c r="J663" i="5" s="1"/>
  <c r="I664" i="5" a="1"/>
  <c r="I664" i="5" s="1"/>
  <c r="J664" i="5" s="1"/>
  <c r="I665" i="5" a="1"/>
  <c r="I665" i="5" s="1"/>
  <c r="J665" i="5" s="1"/>
  <c r="I666" i="5" a="1"/>
  <c r="I666" i="5" s="1"/>
  <c r="J666" i="5" s="1"/>
  <c r="I667" i="5" a="1"/>
  <c r="I667" i="5" s="1"/>
  <c r="J667" i="5" s="1"/>
  <c r="I668" i="5" a="1"/>
  <c r="I668" i="5" s="1"/>
  <c r="J668" i="5" s="1"/>
  <c r="I669" i="5" a="1"/>
  <c r="I669" i="5" s="1"/>
  <c r="J669" i="5" s="1"/>
  <c r="I670" i="5" a="1"/>
  <c r="I670" i="5" s="1"/>
  <c r="J670" i="5" s="1"/>
  <c r="I671" i="5" a="1"/>
  <c r="I671" i="5" s="1"/>
  <c r="J671" i="5" s="1"/>
  <c r="I672" i="5" a="1"/>
  <c r="I672" i="5" s="1"/>
  <c r="J672" i="5" s="1"/>
  <c r="I673" i="5" a="1"/>
  <c r="I673" i="5" s="1"/>
  <c r="J673" i="5" s="1"/>
  <c r="I674" i="5" a="1"/>
  <c r="I674" i="5" s="1"/>
  <c r="J674" i="5" s="1"/>
  <c r="I675" i="5" a="1"/>
  <c r="I675" i="5" s="1"/>
  <c r="J675" i="5" s="1"/>
  <c r="I676" i="5" a="1"/>
  <c r="I676" i="5" s="1"/>
  <c r="J676" i="5" s="1"/>
  <c r="I677" i="5" a="1"/>
  <c r="I677" i="5" s="1"/>
  <c r="J677" i="5" s="1"/>
  <c r="I678" i="5" a="1"/>
  <c r="I678" i="5" s="1"/>
  <c r="J678" i="5" s="1"/>
  <c r="I679" i="5" a="1"/>
  <c r="I679" i="5" s="1"/>
  <c r="J679" i="5" s="1"/>
  <c r="I680" i="5" a="1"/>
  <c r="I680" i="5" s="1"/>
  <c r="J680" i="5" s="1"/>
  <c r="I681" i="5" a="1"/>
  <c r="I681" i="5" s="1"/>
  <c r="J681" i="5" s="1"/>
  <c r="I682" i="5" a="1"/>
  <c r="I682" i="5" s="1"/>
  <c r="J682" i="5" s="1"/>
  <c r="I683" i="5" a="1"/>
  <c r="I683" i="5" s="1"/>
  <c r="J683" i="5" s="1"/>
  <c r="I684" i="5" a="1"/>
  <c r="I684" i="5" s="1"/>
  <c r="J684" i="5" s="1"/>
  <c r="I685" i="5" a="1"/>
  <c r="I685" i="5" s="1"/>
  <c r="J685" i="5" s="1"/>
  <c r="I686" i="5" a="1"/>
  <c r="I686" i="5" s="1"/>
  <c r="J686" i="5" s="1"/>
  <c r="I687" i="5" a="1"/>
  <c r="I687" i="5" s="1"/>
  <c r="J687" i="5" s="1"/>
  <c r="I688" i="5" a="1"/>
  <c r="I688" i="5" s="1"/>
  <c r="J688" i="5" s="1"/>
  <c r="I689" i="5" a="1"/>
  <c r="I689" i="5" s="1"/>
  <c r="J689" i="5" s="1"/>
  <c r="I690" i="5" a="1"/>
  <c r="I690" i="5" s="1"/>
  <c r="J690" i="5" s="1"/>
  <c r="I691" i="5" a="1"/>
  <c r="I691" i="5" s="1"/>
  <c r="J691" i="5" s="1"/>
  <c r="I692" i="5" a="1"/>
  <c r="I692" i="5" s="1"/>
  <c r="J692" i="5" s="1"/>
  <c r="I693" i="5" a="1"/>
  <c r="I693" i="5" s="1"/>
  <c r="J693" i="5" s="1"/>
  <c r="I694" i="5" a="1"/>
  <c r="I694" i="5" s="1"/>
  <c r="J694" i="5" s="1"/>
  <c r="I695" i="5" a="1"/>
  <c r="I695" i="5" s="1"/>
  <c r="J695" i="5" s="1"/>
  <c r="I696" i="5" a="1"/>
  <c r="I696" i="5" s="1"/>
  <c r="J696" i="5" s="1"/>
  <c r="I697" i="5" a="1"/>
  <c r="I697" i="5" s="1"/>
  <c r="J697" i="5" s="1"/>
  <c r="I698" i="5" a="1"/>
  <c r="I698" i="5" s="1"/>
  <c r="J698" i="5" s="1"/>
  <c r="I699" i="5" a="1"/>
  <c r="I699" i="5" s="1"/>
  <c r="J699" i="5" s="1"/>
  <c r="I700" i="5" a="1"/>
  <c r="I700" i="5" s="1"/>
  <c r="J700" i="5" s="1"/>
  <c r="I701" i="5" a="1"/>
  <c r="I701" i="5" s="1"/>
  <c r="J701" i="5" s="1"/>
  <c r="I702" i="5" a="1"/>
  <c r="I702" i="5" s="1"/>
  <c r="J702" i="5" s="1"/>
  <c r="I703" i="5" a="1"/>
  <c r="I703" i="5" s="1"/>
  <c r="J703" i="5" s="1"/>
  <c r="I704" i="5" a="1"/>
  <c r="I704" i="5" s="1"/>
  <c r="J704" i="5" s="1"/>
  <c r="I705" i="5" a="1"/>
  <c r="I705" i="5" s="1"/>
  <c r="J705" i="5" s="1"/>
  <c r="I706" i="5" a="1"/>
  <c r="I706" i="5" s="1"/>
  <c r="J706" i="5" s="1"/>
  <c r="I707" i="5" a="1"/>
  <c r="I707" i="5" s="1"/>
  <c r="J707" i="5" s="1"/>
  <c r="I708" i="5" a="1"/>
  <c r="I708" i="5" s="1"/>
  <c r="J708" i="5" s="1"/>
  <c r="I709" i="5" a="1"/>
  <c r="I709" i="5" s="1"/>
  <c r="J709" i="5" s="1"/>
  <c r="I710" i="5" a="1"/>
  <c r="I710" i="5" s="1"/>
  <c r="J710" i="5" s="1"/>
  <c r="I711" i="5" a="1"/>
  <c r="I711" i="5" s="1"/>
  <c r="J711" i="5" s="1"/>
  <c r="I712" i="5" a="1"/>
  <c r="I712" i="5" s="1"/>
  <c r="J712" i="5" s="1"/>
  <c r="I713" i="5" a="1"/>
  <c r="I713" i="5" s="1"/>
  <c r="J713" i="5" s="1"/>
  <c r="I714" i="5" a="1"/>
  <c r="I714" i="5" s="1"/>
  <c r="J714" i="5" s="1"/>
  <c r="I715" i="5" a="1"/>
  <c r="I715" i="5" s="1"/>
  <c r="J715" i="5" s="1"/>
  <c r="I716" i="5" a="1"/>
  <c r="I716" i="5" s="1"/>
  <c r="J716" i="5" s="1"/>
  <c r="I717" i="5" a="1"/>
  <c r="I717" i="5" s="1"/>
  <c r="J717" i="5" s="1"/>
  <c r="I718" i="5" a="1"/>
  <c r="I718" i="5" s="1"/>
  <c r="J718" i="5" s="1"/>
  <c r="I719" i="5" a="1"/>
  <c r="I719" i="5" s="1"/>
  <c r="J719" i="5" s="1"/>
  <c r="I720" i="5" a="1"/>
  <c r="I720" i="5" s="1"/>
  <c r="J720" i="5" s="1"/>
  <c r="I721" i="5" a="1"/>
  <c r="I721" i="5" s="1"/>
  <c r="J721" i="5" s="1"/>
  <c r="I722" i="5" a="1"/>
  <c r="I722" i="5" s="1"/>
  <c r="J722" i="5" s="1"/>
  <c r="I723" i="5" a="1"/>
  <c r="I723" i="5" s="1"/>
  <c r="J723" i="5" s="1"/>
  <c r="I724" i="5" a="1"/>
  <c r="I724" i="5" s="1"/>
  <c r="J724" i="5" s="1"/>
  <c r="I725" i="5" a="1"/>
  <c r="I725" i="5" s="1"/>
  <c r="J725" i="5" s="1"/>
  <c r="I726" i="5" a="1"/>
  <c r="I726" i="5" s="1"/>
  <c r="J726" i="5" s="1"/>
  <c r="I727" i="5" a="1"/>
  <c r="I727" i="5" s="1"/>
  <c r="J727" i="5" s="1"/>
  <c r="I728" i="5" a="1"/>
  <c r="I728" i="5" s="1"/>
  <c r="J728" i="5" s="1"/>
  <c r="I729" i="5" a="1"/>
  <c r="I729" i="5" s="1"/>
  <c r="J729" i="5" s="1"/>
  <c r="I730" i="5" a="1"/>
  <c r="I730" i="5" s="1"/>
  <c r="J730" i="5" s="1"/>
  <c r="I731" i="5" a="1"/>
  <c r="I731" i="5" s="1"/>
  <c r="J731" i="5" s="1"/>
  <c r="I732" i="5" a="1"/>
  <c r="I732" i="5" s="1"/>
  <c r="J732" i="5" s="1"/>
  <c r="I733" i="5" a="1"/>
  <c r="I733" i="5" s="1"/>
  <c r="J733" i="5" s="1"/>
  <c r="I734" i="5" a="1"/>
  <c r="I734" i="5" s="1"/>
  <c r="J734" i="5" s="1"/>
  <c r="I735" i="5" a="1"/>
  <c r="I735" i="5" s="1"/>
  <c r="J735" i="5" s="1"/>
  <c r="I736" i="5" a="1"/>
  <c r="I736" i="5" s="1"/>
  <c r="J736" i="5" s="1"/>
  <c r="I737" i="5" a="1"/>
  <c r="I737" i="5" s="1"/>
  <c r="J737" i="5" s="1"/>
  <c r="I738" i="5" a="1"/>
  <c r="I738" i="5" s="1"/>
  <c r="J738" i="5" s="1"/>
  <c r="I739" i="5" a="1"/>
  <c r="I739" i="5" s="1"/>
  <c r="J739" i="5" s="1"/>
  <c r="I740" i="5" a="1"/>
  <c r="I740" i="5" s="1"/>
  <c r="J740" i="5" s="1"/>
  <c r="I741" i="5" a="1"/>
  <c r="I741" i="5" s="1"/>
  <c r="J741" i="5" s="1"/>
  <c r="I742" i="5" a="1"/>
  <c r="I742" i="5" s="1"/>
  <c r="J742" i="5" s="1"/>
  <c r="I743" i="5" a="1"/>
  <c r="I743" i="5" s="1"/>
  <c r="J743" i="5" s="1"/>
  <c r="I744" i="5" a="1"/>
  <c r="I744" i="5" s="1"/>
  <c r="J744" i="5" s="1"/>
  <c r="I745" i="5" a="1"/>
  <c r="I745" i="5" s="1"/>
  <c r="J745" i="5" s="1"/>
  <c r="I746" i="5" a="1"/>
  <c r="I746" i="5" s="1"/>
  <c r="J746" i="5" s="1"/>
  <c r="I747" i="5" a="1"/>
  <c r="I747" i="5" s="1"/>
  <c r="J747" i="5" s="1"/>
  <c r="I748" i="5" a="1"/>
  <c r="I748" i="5" s="1"/>
  <c r="J748" i="5" s="1"/>
  <c r="I749" i="5" a="1"/>
  <c r="I749" i="5" s="1"/>
  <c r="J749" i="5" s="1"/>
  <c r="I750" i="5" a="1"/>
  <c r="I750" i="5" s="1"/>
  <c r="J750" i="5" s="1"/>
  <c r="I751" i="5" a="1"/>
  <c r="I751" i="5" s="1"/>
  <c r="J751" i="5" s="1"/>
  <c r="I752" i="5" a="1"/>
  <c r="I752" i="5" s="1"/>
  <c r="J752" i="5" s="1"/>
  <c r="I753" i="5" a="1"/>
  <c r="I753" i="5" s="1"/>
  <c r="J753" i="5" s="1"/>
  <c r="I754" i="5" a="1"/>
  <c r="I754" i="5" s="1"/>
  <c r="J754" i="5" s="1"/>
  <c r="I755" i="5" a="1"/>
  <c r="I755" i="5" s="1"/>
  <c r="J755" i="5" s="1"/>
  <c r="I756" i="5" a="1"/>
  <c r="I756" i="5" s="1"/>
  <c r="J756" i="5" s="1"/>
  <c r="I757" i="5" a="1"/>
  <c r="I757" i="5" s="1"/>
  <c r="J757" i="5" s="1"/>
  <c r="I758" i="5" a="1"/>
  <c r="I758" i="5" s="1"/>
  <c r="J758" i="5" s="1"/>
  <c r="I759" i="5" a="1"/>
  <c r="I759" i="5" s="1"/>
  <c r="J759" i="5" s="1"/>
  <c r="I760" i="5" a="1"/>
  <c r="I760" i="5" s="1"/>
  <c r="J760" i="5" s="1"/>
  <c r="I761" i="5" a="1"/>
  <c r="I761" i="5" s="1"/>
  <c r="J761" i="5" s="1"/>
  <c r="I762" i="5" a="1"/>
  <c r="I762" i="5" s="1"/>
  <c r="J762" i="5" s="1"/>
  <c r="I763" i="5" a="1"/>
  <c r="I763" i="5" s="1"/>
  <c r="J763" i="5" s="1"/>
  <c r="I764" i="5" a="1"/>
  <c r="I764" i="5" s="1"/>
  <c r="J764" i="5" s="1"/>
  <c r="I765" i="5" a="1"/>
  <c r="I765" i="5" s="1"/>
  <c r="J765" i="5" s="1"/>
  <c r="I766" i="5" a="1"/>
  <c r="I766" i="5" s="1"/>
  <c r="J766" i="5" s="1"/>
  <c r="I767" i="5" a="1"/>
  <c r="I767" i="5" s="1"/>
  <c r="J767" i="5" s="1"/>
  <c r="I768" i="5" a="1"/>
  <c r="I768" i="5" s="1"/>
  <c r="J768" i="5" s="1"/>
  <c r="I769" i="5" a="1"/>
  <c r="I769" i="5" s="1"/>
  <c r="J769" i="5" s="1"/>
  <c r="I770" i="5" a="1"/>
  <c r="I770" i="5" s="1"/>
  <c r="J770" i="5" s="1"/>
  <c r="I771" i="5" a="1"/>
  <c r="I771" i="5" s="1"/>
  <c r="J771" i="5" s="1"/>
  <c r="I772" i="5" a="1"/>
  <c r="I772" i="5" s="1"/>
  <c r="J772" i="5" s="1"/>
  <c r="I773" i="5" a="1"/>
  <c r="I773" i="5" s="1"/>
  <c r="J773" i="5" s="1"/>
  <c r="I774" i="5" a="1"/>
  <c r="I774" i="5" s="1"/>
  <c r="J774" i="5" s="1"/>
  <c r="I775" i="5" a="1"/>
  <c r="I775" i="5" s="1"/>
  <c r="J775" i="5" s="1"/>
  <c r="I776" i="5" a="1"/>
  <c r="I776" i="5" s="1"/>
  <c r="J776" i="5" s="1"/>
  <c r="I777" i="5" a="1"/>
  <c r="I777" i="5" s="1"/>
  <c r="J777" i="5" s="1"/>
  <c r="I778" i="5" a="1"/>
  <c r="I778" i="5" s="1"/>
  <c r="J778" i="5" s="1"/>
  <c r="I779" i="5" a="1"/>
  <c r="I779" i="5" s="1"/>
  <c r="J779" i="5" s="1"/>
  <c r="I780" i="5" a="1"/>
  <c r="I780" i="5" s="1"/>
  <c r="J780" i="5" s="1"/>
  <c r="I781" i="5" a="1"/>
  <c r="I781" i="5" s="1"/>
  <c r="J781" i="5" s="1"/>
  <c r="I782" i="5" a="1"/>
  <c r="I782" i="5" s="1"/>
  <c r="J782" i="5" s="1"/>
  <c r="I783" i="5" a="1"/>
  <c r="I783" i="5" s="1"/>
  <c r="J783" i="5" s="1"/>
  <c r="I784" i="5" a="1"/>
  <c r="I784" i="5" s="1"/>
  <c r="J784" i="5" s="1"/>
  <c r="I785" i="5" a="1"/>
  <c r="I785" i="5" s="1"/>
  <c r="J785" i="5" s="1"/>
  <c r="I786" i="5" a="1"/>
  <c r="I786" i="5" s="1"/>
  <c r="J786" i="5" s="1"/>
  <c r="I787" i="5" a="1"/>
  <c r="I787" i="5" s="1"/>
  <c r="J787" i="5" s="1"/>
  <c r="I788" i="5" a="1"/>
  <c r="I788" i="5" s="1"/>
  <c r="J788" i="5" s="1"/>
  <c r="I789" i="5" a="1"/>
  <c r="I789" i="5" s="1"/>
  <c r="J789" i="5" s="1"/>
  <c r="I790" i="5" a="1"/>
  <c r="I790" i="5" s="1"/>
  <c r="J790" i="5" s="1"/>
  <c r="I791" i="5" a="1"/>
  <c r="I791" i="5" s="1"/>
  <c r="J791" i="5" s="1"/>
  <c r="I792" i="5" a="1"/>
  <c r="I792" i="5" s="1"/>
  <c r="J792" i="5" s="1"/>
  <c r="I793" i="5" a="1"/>
  <c r="I793" i="5" s="1"/>
  <c r="J793" i="5" s="1"/>
  <c r="I794" i="5" a="1"/>
  <c r="I794" i="5" s="1"/>
  <c r="J794" i="5" s="1"/>
  <c r="I795" i="5" a="1"/>
  <c r="I795" i="5" s="1"/>
  <c r="J795" i="5" s="1"/>
  <c r="I796" i="5" a="1"/>
  <c r="I796" i="5" s="1"/>
  <c r="J796" i="5" s="1"/>
  <c r="I797" i="5" a="1"/>
  <c r="I797" i="5" s="1"/>
  <c r="J797" i="5" s="1"/>
  <c r="I798" i="5" a="1"/>
  <c r="I798" i="5" s="1"/>
  <c r="J798" i="5" s="1"/>
  <c r="I799" i="5" a="1"/>
  <c r="I799" i="5" s="1"/>
  <c r="J799" i="5" s="1"/>
  <c r="I800" i="5" a="1"/>
  <c r="I800" i="5" s="1"/>
  <c r="J800" i="5" s="1"/>
  <c r="I801" i="5" a="1"/>
  <c r="I801" i="5" s="1"/>
  <c r="J801" i="5" s="1"/>
  <c r="I802" i="5" a="1"/>
  <c r="I802" i="5" s="1"/>
  <c r="J802" i="5" s="1"/>
  <c r="I803" i="5" a="1"/>
  <c r="I803" i="5" s="1"/>
  <c r="J803" i="5" s="1"/>
  <c r="I804" i="5" a="1"/>
  <c r="I804" i="5" s="1"/>
  <c r="J804" i="5" s="1"/>
  <c r="I805" i="5" a="1"/>
  <c r="I805" i="5" s="1"/>
  <c r="J805" i="5" s="1"/>
  <c r="I806" i="5" a="1"/>
  <c r="I806" i="5" s="1"/>
  <c r="J806" i="5" s="1"/>
  <c r="I807" i="5" a="1"/>
  <c r="I807" i="5" s="1"/>
  <c r="J807" i="5" s="1"/>
  <c r="I808" i="5" a="1"/>
  <c r="I808" i="5" s="1"/>
  <c r="J808" i="5" s="1"/>
  <c r="I809" i="5" a="1"/>
  <c r="I809" i="5" s="1"/>
  <c r="J809" i="5" s="1"/>
  <c r="I810" i="5" a="1"/>
  <c r="I810" i="5" s="1"/>
  <c r="J810" i="5" s="1"/>
  <c r="I811" i="5" a="1"/>
  <c r="I811" i="5" s="1"/>
  <c r="J811" i="5" s="1"/>
  <c r="I812" i="5" a="1"/>
  <c r="I812" i="5" s="1"/>
  <c r="J812" i="5" s="1"/>
  <c r="I813" i="5" a="1"/>
  <c r="I813" i="5" s="1"/>
  <c r="J813" i="5" s="1"/>
  <c r="I814" i="5" a="1"/>
  <c r="I814" i="5" s="1"/>
  <c r="J814" i="5" s="1"/>
  <c r="I815" i="5" a="1"/>
  <c r="I815" i="5" s="1"/>
  <c r="J815" i="5" s="1"/>
  <c r="I816" i="5" a="1"/>
  <c r="I816" i="5" s="1"/>
  <c r="J816" i="5" s="1"/>
  <c r="I817" i="5" a="1"/>
  <c r="I817" i="5" s="1"/>
  <c r="J817" i="5" s="1"/>
  <c r="I818" i="5" a="1"/>
  <c r="I818" i="5" s="1"/>
  <c r="J818" i="5" s="1"/>
  <c r="I819" i="5" a="1"/>
  <c r="I819" i="5" s="1"/>
  <c r="J819" i="5" s="1"/>
  <c r="I820" i="5" a="1"/>
  <c r="I820" i="5" s="1"/>
  <c r="J820" i="5" s="1"/>
  <c r="I821" i="5" a="1"/>
  <c r="I821" i="5" s="1"/>
  <c r="J821" i="5" s="1"/>
  <c r="I822" i="5" a="1"/>
  <c r="I822" i="5" s="1"/>
  <c r="J822" i="5" s="1"/>
  <c r="I823" i="5" a="1"/>
  <c r="I823" i="5" s="1"/>
  <c r="J823" i="5" s="1"/>
  <c r="I824" i="5" a="1"/>
  <c r="I824" i="5" s="1"/>
  <c r="J824" i="5" s="1"/>
  <c r="I825" i="5" a="1"/>
  <c r="I825" i="5" s="1"/>
  <c r="J825" i="5" s="1"/>
  <c r="I826" i="5" a="1"/>
  <c r="I826" i="5" s="1"/>
  <c r="J826" i="5" s="1"/>
  <c r="I827" i="5" a="1"/>
  <c r="I827" i="5" s="1"/>
  <c r="J827" i="5" s="1"/>
  <c r="I828" i="5" a="1"/>
  <c r="I828" i="5" s="1"/>
  <c r="J828" i="5" s="1"/>
  <c r="I829" i="5" a="1"/>
  <c r="I829" i="5" s="1"/>
  <c r="J829" i="5" s="1"/>
  <c r="I830" i="5" a="1"/>
  <c r="I830" i="5" s="1"/>
  <c r="J830" i="5" s="1"/>
  <c r="I831" i="5" a="1"/>
  <c r="I831" i="5" s="1"/>
  <c r="J831" i="5" s="1"/>
  <c r="I832" i="5" a="1"/>
  <c r="I832" i="5" s="1"/>
  <c r="J832" i="5" s="1"/>
  <c r="I833" i="5" a="1"/>
  <c r="I833" i="5" s="1"/>
  <c r="J833" i="5" s="1"/>
  <c r="I834" i="5" a="1"/>
  <c r="I834" i="5" s="1"/>
  <c r="J834" i="5" s="1"/>
  <c r="I835" i="5" a="1"/>
  <c r="I835" i="5" s="1"/>
  <c r="J835" i="5" s="1"/>
  <c r="I836" i="5" a="1"/>
  <c r="I836" i="5" s="1"/>
  <c r="J836" i="5" s="1"/>
  <c r="I837" i="5" a="1"/>
  <c r="I837" i="5" s="1"/>
  <c r="J837" i="5" s="1"/>
  <c r="I838" i="5" a="1"/>
  <c r="I838" i="5" s="1"/>
  <c r="J838" i="5" s="1"/>
  <c r="I839" i="5" a="1"/>
  <c r="I839" i="5" s="1"/>
  <c r="J839" i="5" s="1"/>
  <c r="I840" i="5" a="1"/>
  <c r="I840" i="5" s="1"/>
  <c r="J840" i="5" s="1"/>
  <c r="I841" i="5" a="1"/>
  <c r="I841" i="5" s="1"/>
  <c r="J841" i="5" s="1"/>
  <c r="I842" i="5" a="1"/>
  <c r="I842" i="5" s="1"/>
  <c r="J842" i="5" s="1"/>
  <c r="I843" i="5" a="1"/>
  <c r="I843" i="5" s="1"/>
  <c r="J843" i="5" s="1"/>
  <c r="I844" i="5" a="1"/>
  <c r="I844" i="5" s="1"/>
  <c r="J844" i="5" s="1"/>
  <c r="O844" i="5"/>
  <c r="O841" i="5"/>
  <c r="O840" i="5"/>
  <c r="O838" i="5"/>
  <c r="O834" i="5"/>
  <c r="O832" i="5"/>
  <c r="O829" i="5"/>
  <c r="O826" i="5"/>
  <c r="O822" i="5"/>
  <c r="O828" i="5"/>
  <c r="O820" i="5"/>
  <c r="O817" i="5"/>
  <c r="O816" i="5"/>
  <c r="O814" i="5"/>
  <c r="O810" i="5"/>
  <c r="O808" i="5"/>
  <c r="O805" i="5"/>
  <c r="O804" i="5"/>
  <c r="O802" i="5"/>
  <c r="O798" i="5"/>
  <c r="O796" i="5"/>
  <c r="O793" i="5"/>
  <c r="O792" i="5"/>
  <c r="O790" i="5"/>
  <c r="O786" i="5"/>
  <c r="O784" i="5"/>
  <c r="O781" i="5"/>
  <c r="O780" i="5"/>
  <c r="O778" i="5"/>
  <c r="O774" i="5"/>
  <c r="O772" i="5"/>
  <c r="O769" i="5"/>
  <c r="O768" i="5"/>
  <c r="O766" i="5"/>
  <c r="O762" i="5"/>
  <c r="O760" i="5"/>
  <c r="O757" i="5"/>
  <c r="O756" i="5"/>
  <c r="O754" i="5"/>
  <c r="O751" i="5"/>
  <c r="O749" i="5"/>
  <c r="O746" i="5"/>
  <c r="O745" i="5"/>
  <c r="O743" i="5"/>
  <c r="O740" i="5"/>
  <c r="O738" i="5"/>
  <c r="O735" i="5"/>
  <c r="O734" i="5"/>
  <c r="O732" i="5"/>
  <c r="O729" i="5"/>
  <c r="O728" i="5"/>
  <c r="O727" i="5"/>
  <c r="O724" i="5"/>
  <c r="O723" i="5"/>
  <c r="O721" i="5"/>
  <c r="O718" i="5"/>
  <c r="O716" i="5"/>
  <c r="O713" i="5"/>
  <c r="O712" i="5"/>
  <c r="O710" i="5"/>
  <c r="O707" i="5"/>
  <c r="O705" i="5"/>
  <c r="O702" i="5"/>
  <c r="O701" i="5"/>
  <c r="O699" i="5"/>
  <c r="O696" i="5"/>
  <c r="O694" i="5"/>
  <c r="O691" i="5"/>
  <c r="O690" i="5"/>
  <c r="O688" i="5"/>
  <c r="O685" i="5"/>
  <c r="O833" i="5"/>
  <c r="O821" i="5"/>
  <c r="O809" i="5"/>
  <c r="O797" i="5"/>
  <c r="O785" i="5"/>
  <c r="O773" i="5"/>
  <c r="O761" i="5"/>
  <c r="O750" i="5"/>
  <c r="O739" i="5"/>
  <c r="O717" i="5"/>
  <c r="O706" i="5"/>
  <c r="O695" i="5"/>
  <c r="O684" i="5"/>
  <c r="O683" i="5"/>
  <c r="O681" i="5"/>
  <c r="O680" i="5"/>
  <c r="O676" i="5"/>
  <c r="O674" i="5"/>
  <c r="O672" i="5"/>
  <c r="O671" i="5"/>
  <c r="O669" i="5"/>
  <c r="O653" i="5"/>
  <c r="O667" i="5"/>
  <c r="O666" i="5"/>
  <c r="O662" i="5"/>
  <c r="O660" i="5"/>
  <c r="O658" i="5"/>
  <c r="O657" i="5"/>
  <c r="O655" i="5"/>
  <c r="O652" i="5"/>
  <c r="O646" i="5"/>
  <c r="O648" i="5"/>
  <c r="O644" i="5"/>
  <c r="O643" i="5"/>
  <c r="O642" i="5"/>
  <c r="O641" i="5"/>
  <c r="O639" i="5"/>
  <c r="O638" i="5"/>
  <c r="O634" i="5"/>
  <c r="O632" i="5"/>
  <c r="O630" i="5"/>
  <c r="O629" i="5"/>
  <c r="O627" i="5"/>
  <c r="O624" i="5"/>
  <c r="O623" i="5"/>
  <c r="O619" i="5"/>
  <c r="O617" i="5"/>
  <c r="O615" i="5"/>
  <c r="O614" i="5"/>
  <c r="O612" i="5"/>
  <c r="O609" i="5"/>
  <c r="O608" i="5"/>
  <c r="O604" i="5"/>
  <c r="O602" i="5"/>
  <c r="O600" i="5"/>
  <c r="O599" i="5"/>
  <c r="O597" i="5"/>
  <c r="O594" i="5"/>
  <c r="O593" i="5"/>
  <c r="O589" i="5"/>
  <c r="O587" i="5"/>
  <c r="O585" i="5"/>
  <c r="O584" i="5"/>
  <c r="O598" i="5"/>
  <c r="O582" i="5"/>
  <c r="O578" i="5"/>
  <c r="O577" i="5"/>
  <c r="O574" i="5"/>
  <c r="O570" i="5"/>
  <c r="O568" i="5"/>
  <c r="O566" i="5"/>
  <c r="O562" i="5"/>
  <c r="O561" i="5"/>
  <c r="O558" i="5"/>
  <c r="O554" i="5"/>
  <c r="O552" i="5"/>
  <c r="O550" i="5"/>
  <c r="O546" i="5"/>
  <c r="O545" i="5"/>
  <c r="O542" i="5"/>
  <c r="O538" i="5"/>
  <c r="O536" i="5"/>
  <c r="O534" i="5"/>
  <c r="O530" i="5"/>
  <c r="O529" i="5"/>
  <c r="O526" i="5"/>
  <c r="O522" i="5"/>
  <c r="O520" i="5"/>
  <c r="O506" i="5"/>
  <c r="O518" i="5"/>
  <c r="O514" i="5"/>
  <c r="O513" i="5"/>
  <c r="O510" i="5"/>
  <c r="O504" i="5"/>
  <c r="O502" i="5"/>
  <c r="O498" i="5"/>
  <c r="O497" i="5"/>
  <c r="O494" i="5"/>
  <c r="O490" i="5"/>
  <c r="O488" i="5"/>
  <c r="O486" i="5"/>
  <c r="O482" i="5"/>
  <c r="O481" i="5"/>
  <c r="O478" i="5"/>
  <c r="O474" i="5"/>
  <c r="O472" i="5"/>
  <c r="O670" i="5"/>
  <c r="O656" i="5"/>
  <c r="O628" i="5"/>
  <c r="O613" i="5"/>
  <c r="O583" i="5"/>
  <c r="O567" i="5"/>
  <c r="O551" i="5"/>
  <c r="O535" i="5"/>
  <c r="O519" i="5"/>
  <c r="O503" i="5"/>
  <c r="O487" i="5"/>
  <c r="O471" i="5"/>
  <c r="O470" i="5"/>
  <c r="O467" i="5"/>
  <c r="O466" i="5"/>
  <c r="O465" i="5"/>
  <c r="O464" i="5"/>
  <c r="O461" i="5"/>
  <c r="O460" i="5"/>
  <c r="O459" i="5"/>
  <c r="O457" i="5"/>
  <c r="O454" i="5"/>
  <c r="O453" i="5"/>
  <c r="O452" i="5"/>
  <c r="O451" i="5"/>
  <c r="O448" i="5"/>
  <c r="O447" i="5"/>
  <c r="O446" i="5"/>
  <c r="O444" i="5"/>
  <c r="O441" i="5"/>
  <c r="O440" i="5"/>
  <c r="O439" i="5"/>
  <c r="O438" i="5"/>
  <c r="O435" i="5"/>
  <c r="O434" i="5"/>
  <c r="O433" i="5"/>
  <c r="O431" i="5"/>
  <c r="O428" i="5"/>
  <c r="O427" i="5"/>
  <c r="O426" i="5"/>
  <c r="O425" i="5"/>
  <c r="O422" i="5"/>
  <c r="O421" i="5"/>
  <c r="O420" i="5"/>
  <c r="O418" i="5"/>
  <c r="O415" i="5"/>
  <c r="O414" i="5"/>
  <c r="O413" i="5"/>
  <c r="O412" i="5"/>
  <c r="O409" i="5"/>
  <c r="O408" i="5"/>
  <c r="O407" i="5"/>
  <c r="O405" i="5"/>
  <c r="O402" i="5"/>
  <c r="O401" i="5"/>
  <c r="O400" i="5"/>
  <c r="O399" i="5"/>
  <c r="O396" i="5"/>
  <c r="O395" i="5"/>
  <c r="O394" i="5"/>
  <c r="O392" i="5"/>
  <c r="O389" i="5"/>
  <c r="O388" i="5"/>
  <c r="O387" i="5"/>
  <c r="O386" i="5"/>
  <c r="O383" i="5"/>
  <c r="O382" i="5"/>
  <c r="O381" i="5"/>
  <c r="O458" i="5"/>
  <c r="O445" i="5"/>
  <c r="O432" i="5"/>
  <c r="O419" i="5"/>
  <c r="O406" i="5"/>
  <c r="O393" i="5"/>
  <c r="O380" i="5"/>
  <c r="O379" i="5"/>
  <c r="O376" i="5"/>
  <c r="O374" i="5"/>
  <c r="O372" i="5"/>
  <c r="O368" i="5"/>
  <c r="O366" i="5"/>
  <c r="O363" i="5"/>
  <c r="O361" i="5"/>
  <c r="O359" i="5"/>
  <c r="O355" i="5"/>
  <c r="O354" i="5"/>
  <c r="O367" i="5"/>
  <c r="F1" i="12"/>
  <c r="N354" i="12"/>
  <c r="M354" i="12"/>
  <c r="L354" i="12"/>
  <c r="K354" i="12"/>
  <c r="J354" i="12"/>
  <c r="I354" i="12"/>
  <c r="H354" i="12"/>
  <c r="G354" i="12"/>
  <c r="G193" i="10" s="1"/>
  <c r="F354" i="12"/>
  <c r="E354" i="12"/>
  <c r="N353" i="12"/>
  <c r="M353" i="12"/>
  <c r="L353" i="12"/>
  <c r="K353" i="12"/>
  <c r="J353" i="12"/>
  <c r="I353" i="12"/>
  <c r="H353" i="12"/>
  <c r="G353" i="12"/>
  <c r="F353" i="12"/>
  <c r="E353" i="12"/>
  <c r="N352" i="12"/>
  <c r="M352" i="12"/>
  <c r="L352" i="12"/>
  <c r="K352" i="12"/>
  <c r="J352" i="12"/>
  <c r="I352" i="12"/>
  <c r="H352" i="12"/>
  <c r="G352" i="12"/>
  <c r="F352" i="12"/>
  <c r="E352" i="12"/>
  <c r="N351" i="12"/>
  <c r="M351" i="12"/>
  <c r="L351" i="12"/>
  <c r="K351" i="12"/>
  <c r="J351" i="12"/>
  <c r="I351" i="12"/>
  <c r="I192" i="10" s="1"/>
  <c r="H351" i="12"/>
  <c r="H192" i="10" s="1"/>
  <c r="G351" i="12"/>
  <c r="F351" i="12"/>
  <c r="F192" i="10" s="1"/>
  <c r="E351" i="12"/>
  <c r="E192" i="10" s="1"/>
  <c r="N350" i="12"/>
  <c r="M350" i="12"/>
  <c r="L350" i="12"/>
  <c r="K350" i="12"/>
  <c r="J350" i="12"/>
  <c r="I350" i="12"/>
  <c r="I191" i="10" s="1"/>
  <c r="H350" i="12"/>
  <c r="H191" i="10" s="1"/>
  <c r="G350" i="12"/>
  <c r="G191" i="10" s="1"/>
  <c r="F350" i="12"/>
  <c r="E350" i="12"/>
  <c r="N349" i="12"/>
  <c r="M349" i="12"/>
  <c r="L349" i="12"/>
  <c r="K349" i="12"/>
  <c r="J349" i="12"/>
  <c r="I349" i="12"/>
  <c r="H349" i="12"/>
  <c r="G349" i="12"/>
  <c r="F349" i="12"/>
  <c r="E349" i="12"/>
  <c r="N348" i="12"/>
  <c r="M348" i="12"/>
  <c r="L348" i="12"/>
  <c r="K348" i="12"/>
  <c r="J348" i="12"/>
  <c r="E188" i="10" s="1"/>
  <c r="I348" i="12"/>
  <c r="H348" i="12"/>
  <c r="G348" i="12"/>
  <c r="F348" i="12"/>
  <c r="E348" i="12"/>
  <c r="N347" i="12"/>
  <c r="M347" i="12"/>
  <c r="L347" i="12"/>
  <c r="K347" i="12"/>
  <c r="J347" i="12"/>
  <c r="J199" i="10" s="1"/>
  <c r="I347" i="12"/>
  <c r="H347" i="12"/>
  <c r="G347" i="12"/>
  <c r="F347" i="12"/>
  <c r="E347" i="12"/>
  <c r="N346" i="12"/>
  <c r="M346" i="12"/>
  <c r="L346" i="12"/>
  <c r="K346" i="12"/>
  <c r="J346" i="12"/>
  <c r="I346" i="12"/>
  <c r="H346" i="12"/>
  <c r="H187" i="10" s="1"/>
  <c r="G346" i="12"/>
  <c r="G187" i="10" s="1"/>
  <c r="F346" i="12"/>
  <c r="E346" i="12"/>
  <c r="N345" i="12"/>
  <c r="M345" i="12"/>
  <c r="L345" i="12"/>
  <c r="K345" i="12"/>
  <c r="J345" i="12"/>
  <c r="I345" i="12"/>
  <c r="H345" i="12"/>
  <c r="G345" i="12"/>
  <c r="F345" i="12"/>
  <c r="F186" i="10" s="1"/>
  <c r="E345" i="12"/>
  <c r="E186" i="10" s="1"/>
  <c r="N344" i="12"/>
  <c r="M344" i="12"/>
  <c r="L344" i="12"/>
  <c r="K344" i="12"/>
  <c r="J344" i="12"/>
  <c r="J185" i="10" s="1"/>
  <c r="I344" i="12"/>
  <c r="I185" i="10" s="1"/>
  <c r="H344" i="12"/>
  <c r="H185" i="10" s="1"/>
  <c r="G344" i="12"/>
  <c r="G185" i="10" s="1"/>
  <c r="F344" i="12"/>
  <c r="F185" i="10" s="1"/>
  <c r="E344" i="12"/>
  <c r="N343" i="12"/>
  <c r="M343" i="12"/>
  <c r="L343" i="12"/>
  <c r="K343" i="12"/>
  <c r="J343" i="12"/>
  <c r="I343" i="12"/>
  <c r="I184" i="10" s="1"/>
  <c r="H343" i="12"/>
  <c r="G343" i="12"/>
  <c r="G184" i="10" s="1"/>
  <c r="F343" i="12"/>
  <c r="F184" i="10" s="1"/>
  <c r="E343" i="12"/>
  <c r="E184" i="10" s="1"/>
  <c r="N342" i="12"/>
  <c r="M342" i="12"/>
  <c r="L342" i="12"/>
  <c r="K342" i="12"/>
  <c r="J342" i="12"/>
  <c r="I342" i="12"/>
  <c r="H342" i="12"/>
  <c r="G342" i="12"/>
  <c r="F342" i="12"/>
  <c r="E342" i="12"/>
  <c r="N341" i="12"/>
  <c r="M341" i="12"/>
  <c r="L341" i="12"/>
  <c r="K341" i="12"/>
  <c r="J341" i="12"/>
  <c r="J182" i="10" s="1"/>
  <c r="I341" i="12"/>
  <c r="I182" i="10" s="1"/>
  <c r="H341" i="12"/>
  <c r="G341" i="12"/>
  <c r="F341" i="12"/>
  <c r="E341" i="12"/>
  <c r="N340" i="12"/>
  <c r="M340" i="12"/>
  <c r="L340" i="12"/>
  <c r="K340" i="12"/>
  <c r="J340" i="12"/>
  <c r="J181" i="10" s="1"/>
  <c r="I340" i="12"/>
  <c r="H340" i="12"/>
  <c r="G340" i="12"/>
  <c r="G181" i="10" s="1"/>
  <c r="F340" i="12"/>
  <c r="E340" i="12"/>
  <c r="N339" i="12"/>
  <c r="M339" i="12"/>
  <c r="L339" i="12"/>
  <c r="K339" i="12"/>
  <c r="J339" i="12"/>
  <c r="J180" i="10" s="1"/>
  <c r="I339" i="12"/>
  <c r="I180" i="10" s="1"/>
  <c r="H339" i="12"/>
  <c r="H180" i="10" s="1"/>
  <c r="G339" i="12"/>
  <c r="F339" i="12"/>
  <c r="F180" i="10" s="1"/>
  <c r="E339" i="12"/>
  <c r="N338" i="12"/>
  <c r="M338" i="12"/>
  <c r="L338" i="12"/>
  <c r="K338" i="12"/>
  <c r="J338" i="12"/>
  <c r="I338" i="12"/>
  <c r="I179" i="10" s="1"/>
  <c r="H338" i="12"/>
  <c r="H179" i="10" s="1"/>
  <c r="G338" i="12"/>
  <c r="G179" i="10" s="1"/>
  <c r="F338" i="12"/>
  <c r="F179" i="10" s="1"/>
  <c r="E338" i="12"/>
  <c r="E179" i="10" s="1"/>
  <c r="N337" i="12"/>
  <c r="M337" i="12"/>
  <c r="L337" i="12"/>
  <c r="K337" i="12"/>
  <c r="J337" i="12"/>
  <c r="I337" i="12"/>
  <c r="H337" i="12"/>
  <c r="G337" i="12"/>
  <c r="F337" i="12"/>
  <c r="F178" i="10" s="1"/>
  <c r="E337" i="12"/>
  <c r="E178" i="10" s="1"/>
  <c r="N336" i="12"/>
  <c r="M336" i="12"/>
  <c r="L336" i="12"/>
  <c r="K336" i="12"/>
  <c r="J336" i="12"/>
  <c r="I336" i="12"/>
  <c r="H336" i="12"/>
  <c r="G336" i="12"/>
  <c r="F336" i="12"/>
  <c r="E336" i="12"/>
  <c r="N335" i="12"/>
  <c r="M335" i="12"/>
  <c r="L335" i="12"/>
  <c r="K335" i="12"/>
  <c r="J335" i="12"/>
  <c r="I335" i="12"/>
  <c r="H335" i="12"/>
  <c r="G335" i="12"/>
  <c r="F335" i="12"/>
  <c r="E335" i="12"/>
  <c r="N334" i="12"/>
  <c r="M334" i="12"/>
  <c r="L334" i="12"/>
  <c r="K334" i="12"/>
  <c r="J334" i="12"/>
  <c r="I334" i="12"/>
  <c r="H334" i="12"/>
  <c r="G334" i="12"/>
  <c r="F334" i="12"/>
  <c r="E334" i="12"/>
  <c r="N333" i="12"/>
  <c r="M333" i="12"/>
  <c r="L333" i="12"/>
  <c r="K333" i="12"/>
  <c r="J333" i="12"/>
  <c r="J177" i="10" s="1"/>
  <c r="I333" i="12"/>
  <c r="I177" i="10" s="1"/>
  <c r="H333" i="12"/>
  <c r="H177" i="10" s="1"/>
  <c r="G333" i="12"/>
  <c r="F333" i="12"/>
  <c r="F177" i="10" s="1"/>
  <c r="E333" i="12"/>
  <c r="N332" i="12"/>
  <c r="M332" i="12"/>
  <c r="L332" i="12"/>
  <c r="K332" i="12"/>
  <c r="J332" i="12"/>
  <c r="I332" i="12"/>
  <c r="I176" i="10" s="1"/>
  <c r="H332" i="12"/>
  <c r="H176" i="10" s="1"/>
  <c r="G332" i="12"/>
  <c r="G176" i="10" s="1"/>
  <c r="F332" i="12"/>
  <c r="F176" i="10" s="1"/>
  <c r="E332" i="12"/>
  <c r="N331" i="12"/>
  <c r="M331" i="12"/>
  <c r="L331" i="12"/>
  <c r="K331" i="12"/>
  <c r="J331" i="12"/>
  <c r="I331" i="12"/>
  <c r="H331" i="12"/>
  <c r="G331" i="12"/>
  <c r="F331" i="12"/>
  <c r="E331" i="12"/>
  <c r="N330" i="12"/>
  <c r="M330" i="12"/>
  <c r="L330" i="12"/>
  <c r="K330" i="12"/>
  <c r="J330" i="12"/>
  <c r="I330" i="12"/>
  <c r="H330" i="12"/>
  <c r="G330" i="12"/>
  <c r="G175" i="10" s="1"/>
  <c r="F330" i="12"/>
  <c r="E330" i="12"/>
  <c r="N329" i="12"/>
  <c r="M329" i="12"/>
  <c r="L329" i="12"/>
  <c r="K329" i="12"/>
  <c r="J329" i="12"/>
  <c r="J174" i="10" s="1"/>
  <c r="I329" i="12"/>
  <c r="I174" i="10" s="1"/>
  <c r="H329" i="12"/>
  <c r="G329" i="12"/>
  <c r="F329" i="12"/>
  <c r="E329" i="12"/>
  <c r="N328" i="12"/>
  <c r="M328" i="12"/>
  <c r="L328" i="12"/>
  <c r="K328" i="12"/>
  <c r="J328" i="12"/>
  <c r="I328" i="12"/>
  <c r="H328" i="12"/>
  <c r="G328" i="12"/>
  <c r="F328" i="12"/>
  <c r="E328" i="12"/>
  <c r="N327" i="12"/>
  <c r="M327" i="12"/>
  <c r="L327" i="12"/>
  <c r="K327" i="12"/>
  <c r="J327" i="12"/>
  <c r="I327" i="12"/>
  <c r="H327" i="12"/>
  <c r="G327" i="12"/>
  <c r="F327" i="12"/>
  <c r="E327" i="12"/>
  <c r="N326" i="12"/>
  <c r="M326" i="12"/>
  <c r="L326" i="12"/>
  <c r="K326" i="12"/>
  <c r="J326" i="12"/>
  <c r="I326" i="12"/>
  <c r="I173" i="10" s="1"/>
  <c r="H326" i="12"/>
  <c r="G326" i="12"/>
  <c r="G173" i="10" s="1"/>
  <c r="F326" i="12"/>
  <c r="F173" i="10" s="1"/>
  <c r="E326" i="12"/>
  <c r="N325" i="12"/>
  <c r="M325" i="12"/>
  <c r="L325" i="12"/>
  <c r="K325" i="12"/>
  <c r="J325" i="12"/>
  <c r="I325" i="12"/>
  <c r="H325" i="12"/>
  <c r="G325" i="12"/>
  <c r="G172" i="10" s="1"/>
  <c r="F325" i="12"/>
  <c r="F172" i="10" s="1"/>
  <c r="E325" i="12"/>
  <c r="N324" i="12"/>
  <c r="M324" i="12"/>
  <c r="L324" i="12"/>
  <c r="K324" i="12"/>
  <c r="J324" i="12"/>
  <c r="I324" i="12"/>
  <c r="H324" i="12"/>
  <c r="G324" i="12"/>
  <c r="F324" i="12"/>
  <c r="E324" i="12"/>
  <c r="N323" i="12"/>
  <c r="M323" i="12"/>
  <c r="L323" i="12"/>
  <c r="K323" i="12"/>
  <c r="J323" i="12"/>
  <c r="J170" i="10" s="1"/>
  <c r="I323" i="12"/>
  <c r="H323" i="12"/>
  <c r="G323" i="12"/>
  <c r="F323" i="12"/>
  <c r="E323" i="12"/>
  <c r="N322" i="12"/>
  <c r="M322" i="12"/>
  <c r="L322" i="12"/>
  <c r="K322" i="12"/>
  <c r="J322" i="12"/>
  <c r="I322" i="12"/>
  <c r="I169" i="10" s="1"/>
  <c r="H322" i="12"/>
  <c r="H169" i="10" s="1"/>
  <c r="G322" i="12"/>
  <c r="F322" i="12"/>
  <c r="E322" i="12"/>
  <c r="N321" i="12"/>
  <c r="M321" i="12"/>
  <c r="L321" i="12"/>
  <c r="K321" i="12"/>
  <c r="J321" i="12"/>
  <c r="J168" i="10" s="1"/>
  <c r="I321" i="12"/>
  <c r="I168" i="10" s="1"/>
  <c r="H321" i="12"/>
  <c r="H168" i="10" s="1"/>
  <c r="G321" i="12"/>
  <c r="G168" i="10" s="1"/>
  <c r="F321" i="12"/>
  <c r="F168" i="10" s="1"/>
  <c r="E321" i="12"/>
  <c r="N320" i="12"/>
  <c r="M320" i="12"/>
  <c r="L320" i="12"/>
  <c r="K320" i="12"/>
  <c r="J320" i="12"/>
  <c r="I320" i="12"/>
  <c r="H320" i="12"/>
  <c r="G320" i="12"/>
  <c r="F320" i="12"/>
  <c r="E320" i="12"/>
  <c r="N319" i="12"/>
  <c r="M319" i="12"/>
  <c r="L319" i="12"/>
  <c r="K319" i="12"/>
  <c r="J319" i="12"/>
  <c r="I319" i="12"/>
  <c r="H319" i="12"/>
  <c r="G319" i="12"/>
  <c r="F319" i="12"/>
  <c r="F154" i="10" s="1"/>
  <c r="E319" i="12"/>
  <c r="E154" i="10" s="1"/>
  <c r="N318" i="12"/>
  <c r="M318" i="12"/>
  <c r="L318" i="12"/>
  <c r="K318" i="12"/>
  <c r="J318" i="12"/>
  <c r="I318" i="12"/>
  <c r="H318" i="12"/>
  <c r="G318" i="12"/>
  <c r="F318" i="12"/>
  <c r="E318" i="12"/>
  <c r="N317" i="12"/>
  <c r="M317" i="12"/>
  <c r="L317" i="12"/>
  <c r="K317" i="12"/>
  <c r="J317" i="12"/>
  <c r="J167" i="10" s="1"/>
  <c r="I317" i="12"/>
  <c r="H317" i="12"/>
  <c r="G317" i="12"/>
  <c r="F317" i="12"/>
  <c r="E317" i="12"/>
  <c r="N316" i="12"/>
  <c r="M316" i="12"/>
  <c r="L316" i="12"/>
  <c r="K316" i="12"/>
  <c r="J316" i="12"/>
  <c r="I316" i="12"/>
  <c r="H316" i="12"/>
  <c r="G316" i="12"/>
  <c r="F316" i="12"/>
  <c r="E316" i="12"/>
  <c r="N315" i="12"/>
  <c r="M315" i="12"/>
  <c r="L315" i="12"/>
  <c r="K315" i="12"/>
  <c r="J315" i="12"/>
  <c r="I315" i="12"/>
  <c r="H315" i="12"/>
  <c r="G315" i="12"/>
  <c r="G109" i="10" s="1"/>
  <c r="F315" i="12"/>
  <c r="F109" i="10" s="1"/>
  <c r="E315" i="12"/>
  <c r="N314" i="12"/>
  <c r="M314" i="12"/>
  <c r="L314" i="12"/>
  <c r="K314" i="12"/>
  <c r="J314" i="12"/>
  <c r="I314" i="12"/>
  <c r="H314" i="12"/>
  <c r="G314" i="12"/>
  <c r="G106" i="10" s="1"/>
  <c r="F314" i="12"/>
  <c r="F106" i="10" s="1"/>
  <c r="E314" i="12"/>
  <c r="E106" i="10" s="1"/>
  <c r="N313" i="12"/>
  <c r="M313" i="12"/>
  <c r="L313" i="12"/>
  <c r="K313" i="12"/>
  <c r="J313" i="12"/>
  <c r="I313" i="12"/>
  <c r="H313" i="12"/>
  <c r="G313" i="12"/>
  <c r="F313" i="12"/>
  <c r="E313" i="12"/>
  <c r="E105" i="10" s="1"/>
  <c r="N312" i="12"/>
  <c r="M312" i="12"/>
  <c r="L312" i="12"/>
  <c r="K312" i="12"/>
  <c r="J312" i="12"/>
  <c r="I312" i="12"/>
  <c r="I77" i="10" s="1"/>
  <c r="H312" i="12"/>
  <c r="G312" i="12"/>
  <c r="F312" i="12"/>
  <c r="E312" i="12"/>
  <c r="N311" i="12"/>
  <c r="M311" i="12"/>
  <c r="L311" i="12"/>
  <c r="K311" i="12"/>
  <c r="J311" i="12"/>
  <c r="J76" i="10" s="1"/>
  <c r="I311" i="12"/>
  <c r="H311" i="12"/>
  <c r="G311" i="12"/>
  <c r="F311" i="12"/>
  <c r="E311" i="12"/>
  <c r="N310" i="12"/>
  <c r="M310" i="12"/>
  <c r="L310" i="12"/>
  <c r="K310" i="12"/>
  <c r="J310" i="12"/>
  <c r="J79" i="10" s="1"/>
  <c r="I310" i="12"/>
  <c r="I79" i="10" s="1"/>
  <c r="H310" i="12"/>
  <c r="H79" i="10" s="1"/>
  <c r="G310" i="12"/>
  <c r="G79" i="10" s="1"/>
  <c r="F310" i="12"/>
  <c r="E310" i="12"/>
  <c r="N309" i="12"/>
  <c r="M309" i="12"/>
  <c r="L309" i="12"/>
  <c r="K309" i="12"/>
  <c r="J309" i="12"/>
  <c r="I309" i="12"/>
  <c r="H309" i="12"/>
  <c r="G309" i="12"/>
  <c r="F309" i="12"/>
  <c r="E309" i="12"/>
  <c r="N308" i="12"/>
  <c r="M308" i="12"/>
  <c r="L308" i="12"/>
  <c r="K308" i="12"/>
  <c r="J308" i="12"/>
  <c r="I308" i="12"/>
  <c r="H308" i="12"/>
  <c r="G308" i="12"/>
  <c r="F308" i="12"/>
  <c r="E308" i="12"/>
  <c r="N307" i="12"/>
  <c r="M307" i="12"/>
  <c r="L307" i="12"/>
  <c r="K307" i="12"/>
  <c r="J307" i="12"/>
  <c r="I307" i="12"/>
  <c r="I53" i="10" s="1"/>
  <c r="H307" i="12"/>
  <c r="G307" i="12"/>
  <c r="F307" i="12"/>
  <c r="F53" i="10" s="1"/>
  <c r="E307" i="12"/>
  <c r="N306" i="12"/>
  <c r="M306" i="12"/>
  <c r="L306" i="12"/>
  <c r="K306" i="12"/>
  <c r="J306" i="12"/>
  <c r="I306" i="12"/>
  <c r="H306" i="12"/>
  <c r="G306" i="12"/>
  <c r="F306" i="12"/>
  <c r="E306" i="12"/>
  <c r="N305" i="12"/>
  <c r="M305" i="12"/>
  <c r="L305" i="12"/>
  <c r="K305" i="12"/>
  <c r="J305" i="12"/>
  <c r="J166" i="10" s="1"/>
  <c r="I305" i="12"/>
  <c r="H305" i="12"/>
  <c r="G305" i="12"/>
  <c r="G166" i="10" s="1"/>
  <c r="F305" i="12"/>
  <c r="F166" i="10" s="1"/>
  <c r="E305" i="12"/>
  <c r="N304" i="12"/>
  <c r="M304" i="12"/>
  <c r="L304" i="12"/>
  <c r="K304" i="12"/>
  <c r="J304" i="12"/>
  <c r="J165" i="10" s="1"/>
  <c r="I304" i="12"/>
  <c r="I165" i="10" s="1"/>
  <c r="H304" i="12"/>
  <c r="H165" i="10" s="1"/>
  <c r="G304" i="12"/>
  <c r="G165" i="10" s="1"/>
  <c r="F304" i="12"/>
  <c r="E304" i="12"/>
  <c r="N303" i="12"/>
  <c r="M303" i="12"/>
  <c r="L303" i="12"/>
  <c r="K303" i="12"/>
  <c r="J303" i="12"/>
  <c r="I303" i="12"/>
  <c r="I164" i="10" s="1"/>
  <c r="H303" i="12"/>
  <c r="H164" i="10" s="1"/>
  <c r="G303" i="12"/>
  <c r="F303" i="12"/>
  <c r="F164" i="10" s="1"/>
  <c r="E303" i="12"/>
  <c r="N302" i="12"/>
  <c r="M302" i="12"/>
  <c r="L302" i="12"/>
  <c r="K302" i="12"/>
  <c r="J302" i="12"/>
  <c r="I302" i="12"/>
  <c r="H302" i="12"/>
  <c r="G302" i="12"/>
  <c r="G163" i="10" s="1"/>
  <c r="F302" i="12"/>
  <c r="F163" i="10" s="1"/>
  <c r="E302" i="12"/>
  <c r="N301" i="12"/>
  <c r="M301" i="12"/>
  <c r="L301" i="12"/>
  <c r="K301" i="12"/>
  <c r="J301" i="12"/>
  <c r="I301" i="12"/>
  <c r="I162" i="10" s="1"/>
  <c r="H301" i="12"/>
  <c r="G301" i="12"/>
  <c r="F301" i="12"/>
  <c r="F162" i="10" s="1"/>
  <c r="E301" i="12"/>
  <c r="E162" i="10" s="1"/>
  <c r="N300" i="12"/>
  <c r="M300" i="12"/>
  <c r="L300" i="12"/>
  <c r="K300" i="12"/>
  <c r="J300" i="12"/>
  <c r="I300" i="12"/>
  <c r="I161" i="10" s="1"/>
  <c r="H300" i="12"/>
  <c r="G300" i="12"/>
  <c r="F300" i="12"/>
  <c r="E300" i="12"/>
  <c r="N299" i="12"/>
  <c r="M299" i="12"/>
  <c r="L299" i="12"/>
  <c r="K299" i="12"/>
  <c r="J299" i="12"/>
  <c r="I299" i="12"/>
  <c r="H299" i="12"/>
  <c r="G299" i="12"/>
  <c r="F299" i="12"/>
  <c r="E299" i="12"/>
  <c r="N298" i="12"/>
  <c r="M298" i="12"/>
  <c r="L298" i="12"/>
  <c r="K298" i="12"/>
  <c r="J298" i="12"/>
  <c r="J160" i="10" s="1"/>
  <c r="I298" i="12"/>
  <c r="I160" i="10" s="1"/>
  <c r="H298" i="12"/>
  <c r="H160" i="10" s="1"/>
  <c r="G298" i="12"/>
  <c r="G160" i="10" s="1"/>
  <c r="F298" i="12"/>
  <c r="E298" i="12"/>
  <c r="N297" i="12"/>
  <c r="M297" i="12"/>
  <c r="L297" i="12"/>
  <c r="K297" i="12"/>
  <c r="J297" i="12"/>
  <c r="I297" i="12"/>
  <c r="H297" i="12"/>
  <c r="G297" i="12"/>
  <c r="F297" i="12"/>
  <c r="E297" i="12"/>
  <c r="N296" i="12"/>
  <c r="M296" i="12"/>
  <c r="L296" i="12"/>
  <c r="K296" i="12"/>
  <c r="J296" i="12"/>
  <c r="I296" i="12"/>
  <c r="H296" i="12"/>
  <c r="G296" i="12"/>
  <c r="F296" i="12"/>
  <c r="E296" i="12"/>
  <c r="N295" i="12"/>
  <c r="M295" i="12"/>
  <c r="L295" i="12"/>
  <c r="K295" i="12"/>
  <c r="J295" i="12"/>
  <c r="I295" i="12"/>
  <c r="H295" i="12"/>
  <c r="G295" i="12"/>
  <c r="F295" i="12"/>
  <c r="E295" i="12"/>
  <c r="N294" i="12"/>
  <c r="M294" i="12"/>
  <c r="L294" i="12"/>
  <c r="K294" i="12"/>
  <c r="J294" i="12"/>
  <c r="I294" i="12"/>
  <c r="H294" i="12"/>
  <c r="G294" i="12"/>
  <c r="G159" i="10" s="1"/>
  <c r="F294" i="12"/>
  <c r="E294" i="12"/>
  <c r="N293" i="12"/>
  <c r="M293" i="12"/>
  <c r="L293" i="12"/>
  <c r="K293" i="12"/>
  <c r="J293" i="12"/>
  <c r="J158" i="10" s="1"/>
  <c r="I293" i="12"/>
  <c r="I158" i="10" s="1"/>
  <c r="H293" i="12"/>
  <c r="G293" i="12"/>
  <c r="F293" i="12"/>
  <c r="F158" i="10" s="1"/>
  <c r="E293" i="12"/>
  <c r="N292" i="12"/>
  <c r="M292" i="12"/>
  <c r="L292" i="12"/>
  <c r="K292" i="12"/>
  <c r="J292" i="12"/>
  <c r="I292" i="12"/>
  <c r="H292" i="12"/>
  <c r="G292" i="12"/>
  <c r="F292" i="12"/>
  <c r="E292" i="12"/>
  <c r="N291" i="12"/>
  <c r="M291" i="12"/>
  <c r="L291" i="12"/>
  <c r="K291" i="12"/>
  <c r="J291" i="12"/>
  <c r="I291" i="12"/>
  <c r="I157" i="10" s="1"/>
  <c r="H291" i="12"/>
  <c r="H157" i="10" s="1"/>
  <c r="G291" i="12"/>
  <c r="F291" i="12"/>
  <c r="F157" i="10" s="1"/>
  <c r="E291" i="12"/>
  <c r="N290" i="12"/>
  <c r="M290" i="12"/>
  <c r="L290" i="12"/>
  <c r="K290" i="12"/>
  <c r="J290" i="12"/>
  <c r="I290" i="12"/>
  <c r="I156" i="10" s="1"/>
  <c r="H290" i="12"/>
  <c r="G290" i="12"/>
  <c r="F290" i="12"/>
  <c r="F156" i="10" s="1"/>
  <c r="E290" i="12"/>
  <c r="N289" i="12"/>
  <c r="M289" i="12"/>
  <c r="L289" i="12"/>
  <c r="K289" i="12"/>
  <c r="J289" i="12"/>
  <c r="I289" i="12"/>
  <c r="I155" i="10" s="1"/>
  <c r="H289" i="12"/>
  <c r="H155" i="10" s="1"/>
  <c r="G289" i="12"/>
  <c r="G155" i="10" s="1"/>
  <c r="F289" i="12"/>
  <c r="F155" i="10" s="1"/>
  <c r="E289" i="12"/>
  <c r="E155" i="10" s="1"/>
  <c r="N288" i="12"/>
  <c r="M288" i="12"/>
  <c r="L288" i="12"/>
  <c r="K288" i="12"/>
  <c r="J288" i="12"/>
  <c r="I288" i="12"/>
  <c r="I152" i="10" s="1"/>
  <c r="H288" i="12"/>
  <c r="G288" i="12"/>
  <c r="G152" i="10" s="1"/>
  <c r="F288" i="12"/>
  <c r="E288" i="12"/>
  <c r="N287" i="12"/>
  <c r="M287" i="12"/>
  <c r="L287" i="12"/>
  <c r="K287" i="12"/>
  <c r="J287" i="12"/>
  <c r="J151" i="10" s="1"/>
  <c r="I287" i="12"/>
  <c r="H287" i="12"/>
  <c r="G287" i="12"/>
  <c r="F287" i="12"/>
  <c r="F151" i="10" s="1"/>
  <c r="E287" i="12"/>
  <c r="N286" i="12"/>
  <c r="M286" i="12"/>
  <c r="L286" i="12"/>
  <c r="K286" i="12"/>
  <c r="J286" i="12"/>
  <c r="J150" i="10" s="1"/>
  <c r="I286" i="12"/>
  <c r="H286" i="12"/>
  <c r="H150" i="10" s="1"/>
  <c r="G286" i="12"/>
  <c r="F286" i="12"/>
  <c r="F150" i="10" s="1"/>
  <c r="E286" i="12"/>
  <c r="N285" i="12"/>
  <c r="M285" i="12"/>
  <c r="L285" i="12"/>
  <c r="K285" i="12"/>
  <c r="J285" i="12"/>
  <c r="I285" i="12"/>
  <c r="H285" i="12"/>
  <c r="G285" i="12"/>
  <c r="F285" i="12"/>
  <c r="E285" i="12"/>
  <c r="N284" i="12"/>
  <c r="M284" i="12"/>
  <c r="L284" i="12"/>
  <c r="K284" i="12"/>
  <c r="J284" i="12"/>
  <c r="I284" i="12"/>
  <c r="I148" i="10" s="1"/>
  <c r="H284" i="12"/>
  <c r="G284" i="12"/>
  <c r="G148" i="10" s="1"/>
  <c r="F284" i="12"/>
  <c r="F148" i="10" s="1"/>
  <c r="E284" i="12"/>
  <c r="N283" i="12"/>
  <c r="M283" i="12"/>
  <c r="L283" i="12"/>
  <c r="K283" i="12"/>
  <c r="J283" i="12"/>
  <c r="I283" i="12"/>
  <c r="H283" i="12"/>
  <c r="G283" i="12"/>
  <c r="F283" i="12"/>
  <c r="E283" i="12"/>
  <c r="N282" i="12"/>
  <c r="M282" i="12"/>
  <c r="L282" i="12"/>
  <c r="K282" i="12"/>
  <c r="J282" i="12"/>
  <c r="I282" i="12"/>
  <c r="H282" i="12"/>
  <c r="G282" i="12"/>
  <c r="F282" i="12"/>
  <c r="E282" i="12"/>
  <c r="N281" i="12"/>
  <c r="M281" i="12"/>
  <c r="L281" i="12"/>
  <c r="K281" i="12"/>
  <c r="J281" i="12"/>
  <c r="I281" i="12"/>
  <c r="H281" i="12"/>
  <c r="G281" i="12"/>
  <c r="F281" i="12"/>
  <c r="E281" i="12"/>
  <c r="N280" i="12"/>
  <c r="M280" i="12"/>
  <c r="L280" i="12"/>
  <c r="K280" i="12"/>
  <c r="J280" i="12"/>
  <c r="J147" i="10" s="1"/>
  <c r="I280" i="12"/>
  <c r="I147" i="10" s="1"/>
  <c r="H280" i="12"/>
  <c r="H147" i="10" s="1"/>
  <c r="G280" i="12"/>
  <c r="F280" i="12"/>
  <c r="E280" i="12"/>
  <c r="N279" i="12"/>
  <c r="M279" i="12"/>
  <c r="L279" i="12"/>
  <c r="K279" i="12"/>
  <c r="J279" i="12"/>
  <c r="I279" i="12"/>
  <c r="H279" i="12"/>
  <c r="G279" i="12"/>
  <c r="F279" i="12"/>
  <c r="E279" i="12"/>
  <c r="N278" i="12"/>
  <c r="M278" i="12"/>
  <c r="L278" i="12"/>
  <c r="K278" i="12"/>
  <c r="J278" i="12"/>
  <c r="I278" i="12"/>
  <c r="H278" i="12"/>
  <c r="G278" i="12"/>
  <c r="F278" i="12"/>
  <c r="E278" i="12"/>
  <c r="N277" i="12"/>
  <c r="M277" i="12"/>
  <c r="L277" i="12"/>
  <c r="K277" i="12"/>
  <c r="J277" i="12"/>
  <c r="I277" i="12"/>
  <c r="H277" i="12"/>
  <c r="G277" i="12"/>
  <c r="F277" i="12"/>
  <c r="E277" i="12"/>
  <c r="N276" i="12"/>
  <c r="M276" i="12"/>
  <c r="L276" i="12"/>
  <c r="K276" i="12"/>
  <c r="J276" i="12"/>
  <c r="I276" i="12"/>
  <c r="H276" i="12"/>
  <c r="G276" i="12"/>
  <c r="F276" i="12"/>
  <c r="E276" i="12"/>
  <c r="N275" i="12"/>
  <c r="M275" i="12"/>
  <c r="L275" i="12"/>
  <c r="K275" i="12"/>
  <c r="J275" i="12"/>
  <c r="I275" i="12"/>
  <c r="H275" i="12"/>
  <c r="G275" i="12"/>
  <c r="F275" i="12"/>
  <c r="E275" i="12"/>
  <c r="N274" i="12"/>
  <c r="M274" i="12"/>
  <c r="L274" i="12"/>
  <c r="K274" i="12"/>
  <c r="J274" i="12"/>
  <c r="E145" i="10" s="1"/>
  <c r="I274" i="12"/>
  <c r="I145" i="10" s="1"/>
  <c r="H274" i="12"/>
  <c r="H145" i="10" s="1"/>
  <c r="G274" i="12"/>
  <c r="G145" i="10" s="1"/>
  <c r="F274" i="12"/>
  <c r="E274" i="12"/>
  <c r="N273" i="12"/>
  <c r="M273" i="12"/>
  <c r="L273" i="12"/>
  <c r="K273" i="12"/>
  <c r="J273" i="12"/>
  <c r="I273" i="12"/>
  <c r="H273" i="12"/>
  <c r="G273" i="12"/>
  <c r="G141" i="10" s="1"/>
  <c r="F273" i="12"/>
  <c r="F141" i="10" s="1"/>
  <c r="E273" i="12"/>
  <c r="N272" i="12"/>
  <c r="M272" i="12"/>
  <c r="L272" i="12"/>
  <c r="K272" i="12"/>
  <c r="J272" i="12"/>
  <c r="I272" i="12"/>
  <c r="I144" i="10" s="1"/>
  <c r="H272" i="12"/>
  <c r="G272" i="12"/>
  <c r="F272" i="12"/>
  <c r="E272" i="12"/>
  <c r="N271" i="12"/>
  <c r="M271" i="12"/>
  <c r="L271" i="12"/>
  <c r="K271" i="12"/>
  <c r="J271" i="12"/>
  <c r="I271" i="12"/>
  <c r="H271" i="12"/>
  <c r="G271" i="12"/>
  <c r="G142" i="10" s="1"/>
  <c r="F271" i="12"/>
  <c r="F142" i="10" s="1"/>
  <c r="E271" i="12"/>
  <c r="E142" i="10" s="1"/>
  <c r="N270" i="12"/>
  <c r="M270" i="12"/>
  <c r="L270" i="12"/>
  <c r="K270" i="12"/>
  <c r="J270" i="12"/>
  <c r="I270" i="12"/>
  <c r="H270" i="12"/>
  <c r="G270" i="12"/>
  <c r="F270" i="12"/>
  <c r="E270" i="12"/>
  <c r="N269" i="12"/>
  <c r="M269" i="12"/>
  <c r="L269" i="12"/>
  <c r="K269" i="12"/>
  <c r="J269" i="12"/>
  <c r="I269" i="12"/>
  <c r="H269" i="12"/>
  <c r="G269" i="12"/>
  <c r="F269" i="12"/>
  <c r="E269" i="12"/>
  <c r="N268" i="12"/>
  <c r="M268" i="12"/>
  <c r="L268" i="12"/>
  <c r="K268" i="12"/>
  <c r="J268" i="12"/>
  <c r="I268" i="12"/>
  <c r="I140" i="10" s="1"/>
  <c r="H268" i="12"/>
  <c r="H140" i="10" s="1"/>
  <c r="G268" i="12"/>
  <c r="G140" i="10" s="1"/>
  <c r="F268" i="12"/>
  <c r="E268" i="12"/>
  <c r="N267" i="12"/>
  <c r="M267" i="12"/>
  <c r="L267" i="12"/>
  <c r="K267" i="12"/>
  <c r="J267" i="12"/>
  <c r="J139" i="10" s="1"/>
  <c r="I267" i="12"/>
  <c r="I139" i="10" s="1"/>
  <c r="H267" i="12"/>
  <c r="H139" i="10" s="1"/>
  <c r="G267" i="12"/>
  <c r="F267" i="12"/>
  <c r="F139" i="10" s="1"/>
  <c r="E267" i="12"/>
  <c r="N266" i="12"/>
  <c r="M266" i="12"/>
  <c r="L266" i="12"/>
  <c r="K266" i="12"/>
  <c r="J266" i="12"/>
  <c r="I266" i="12"/>
  <c r="I138" i="10" s="1"/>
  <c r="H266" i="12"/>
  <c r="H138" i="10" s="1"/>
  <c r="G266" i="12"/>
  <c r="G138" i="10" s="1"/>
  <c r="F266" i="12"/>
  <c r="F138" i="10" s="1"/>
  <c r="E266" i="12"/>
  <c r="N265" i="12"/>
  <c r="M265" i="12"/>
  <c r="L265" i="12"/>
  <c r="K265" i="12"/>
  <c r="J265" i="12"/>
  <c r="I265" i="12"/>
  <c r="I137" i="10" s="1"/>
  <c r="H265" i="12"/>
  <c r="G265" i="12"/>
  <c r="G137" i="10" s="1"/>
  <c r="F265" i="12"/>
  <c r="F137" i="10" s="1"/>
  <c r="E265" i="12"/>
  <c r="E137" i="10" s="1"/>
  <c r="N264" i="12"/>
  <c r="M264" i="12"/>
  <c r="L264" i="12"/>
  <c r="K264" i="12"/>
  <c r="J264" i="12"/>
  <c r="I264" i="12"/>
  <c r="H264" i="12"/>
  <c r="G264" i="12"/>
  <c r="F264" i="12"/>
  <c r="E264" i="12"/>
  <c r="N263" i="12"/>
  <c r="M263" i="12"/>
  <c r="L263" i="12"/>
  <c r="K263" i="12"/>
  <c r="J263" i="12"/>
  <c r="I263" i="12"/>
  <c r="I200" i="10" s="1"/>
  <c r="H263" i="12"/>
  <c r="G263" i="12"/>
  <c r="F263" i="12"/>
  <c r="F200" i="10" s="1"/>
  <c r="E263" i="12"/>
  <c r="N262" i="12"/>
  <c r="M262" i="12"/>
  <c r="L262" i="12"/>
  <c r="K262" i="12"/>
  <c r="J262" i="12"/>
  <c r="I262" i="12"/>
  <c r="H262" i="12"/>
  <c r="G262" i="12"/>
  <c r="F262" i="12"/>
  <c r="E262" i="12"/>
  <c r="N261" i="12"/>
  <c r="M261" i="12"/>
  <c r="L261" i="12"/>
  <c r="K261" i="12"/>
  <c r="J261" i="12"/>
  <c r="I261" i="12"/>
  <c r="H261" i="12"/>
  <c r="G261" i="12"/>
  <c r="F261" i="12"/>
  <c r="E261" i="12"/>
  <c r="N260" i="12"/>
  <c r="M260" i="12"/>
  <c r="L260" i="12"/>
  <c r="K260" i="12"/>
  <c r="J260" i="12"/>
  <c r="I260" i="12"/>
  <c r="I143" i="10" s="1"/>
  <c r="H260" i="12"/>
  <c r="H143" i="10" s="1"/>
  <c r="G260" i="12"/>
  <c r="G143" i="10" s="1"/>
  <c r="F260" i="12"/>
  <c r="F143" i="10" s="1"/>
  <c r="E260" i="12"/>
  <c r="N259" i="12"/>
  <c r="M259" i="12"/>
  <c r="L259" i="12"/>
  <c r="K259" i="12"/>
  <c r="J259" i="12"/>
  <c r="I259" i="12"/>
  <c r="H259" i="12"/>
  <c r="G259" i="12"/>
  <c r="F259" i="12"/>
  <c r="E259" i="12"/>
  <c r="N258" i="12"/>
  <c r="M258" i="12"/>
  <c r="L258" i="12"/>
  <c r="K258" i="12"/>
  <c r="J258" i="12"/>
  <c r="I258" i="12"/>
  <c r="H258" i="12"/>
  <c r="G258" i="12"/>
  <c r="G146" i="10" s="1"/>
  <c r="F258" i="12"/>
  <c r="E258" i="12"/>
  <c r="N257" i="12"/>
  <c r="M257" i="12"/>
  <c r="L257" i="12"/>
  <c r="K257" i="12"/>
  <c r="J257" i="12"/>
  <c r="I257" i="12"/>
  <c r="H257" i="12"/>
  <c r="G257" i="12"/>
  <c r="F257" i="12"/>
  <c r="E257" i="12"/>
  <c r="N256" i="12"/>
  <c r="M256" i="12"/>
  <c r="L256" i="12"/>
  <c r="K256" i="12"/>
  <c r="J256" i="12"/>
  <c r="I256" i="12"/>
  <c r="H256" i="12"/>
  <c r="G256" i="12"/>
  <c r="F256" i="12"/>
  <c r="E256" i="12"/>
  <c r="N255" i="12"/>
  <c r="M255" i="12"/>
  <c r="L255" i="12"/>
  <c r="K255" i="12"/>
  <c r="J255" i="12"/>
  <c r="I255" i="12"/>
  <c r="H255" i="12"/>
  <c r="G255" i="12"/>
  <c r="F255" i="12"/>
  <c r="E255" i="12"/>
  <c r="N254" i="12"/>
  <c r="M254" i="12"/>
  <c r="L254" i="12"/>
  <c r="K254" i="12"/>
  <c r="J254" i="12"/>
  <c r="I254" i="12"/>
  <c r="H254" i="12"/>
  <c r="G254" i="12"/>
  <c r="F254" i="12"/>
  <c r="E254" i="12"/>
  <c r="N253" i="12"/>
  <c r="M253" i="12"/>
  <c r="L253" i="12"/>
  <c r="K253" i="12"/>
  <c r="J253" i="12"/>
  <c r="I253" i="12"/>
  <c r="I136" i="10" s="1"/>
  <c r="H253" i="12"/>
  <c r="G253" i="12"/>
  <c r="G136" i="10" s="1"/>
  <c r="F253" i="12"/>
  <c r="F136" i="10" s="1"/>
  <c r="E253" i="12"/>
  <c r="N252" i="12"/>
  <c r="M252" i="12"/>
  <c r="L252" i="12"/>
  <c r="K252" i="12"/>
  <c r="J252" i="12"/>
  <c r="I252" i="12"/>
  <c r="H252" i="12"/>
  <c r="G252" i="12"/>
  <c r="F252" i="12"/>
  <c r="E252" i="12"/>
  <c r="N251" i="12"/>
  <c r="M251" i="12"/>
  <c r="L251" i="12"/>
  <c r="K251" i="12"/>
  <c r="J251" i="12"/>
  <c r="J135" i="10" s="1"/>
  <c r="I251" i="12"/>
  <c r="I135" i="10" s="1"/>
  <c r="H251" i="12"/>
  <c r="G251" i="12"/>
  <c r="F251" i="12"/>
  <c r="F135" i="10" s="1"/>
  <c r="E251" i="12"/>
  <c r="N250" i="12"/>
  <c r="M250" i="12"/>
  <c r="L250" i="12"/>
  <c r="K250" i="12"/>
  <c r="J250" i="12"/>
  <c r="I250" i="12"/>
  <c r="H250" i="12"/>
  <c r="G250" i="12"/>
  <c r="F250" i="12"/>
  <c r="E250" i="12"/>
  <c r="N249" i="12"/>
  <c r="M249" i="12"/>
  <c r="L249" i="12"/>
  <c r="K249" i="12"/>
  <c r="J249" i="12"/>
  <c r="I249" i="12"/>
  <c r="H249" i="12"/>
  <c r="G249" i="12"/>
  <c r="F249" i="12"/>
  <c r="E249" i="12"/>
  <c r="N248" i="12"/>
  <c r="M248" i="12"/>
  <c r="L248" i="12"/>
  <c r="K248" i="12"/>
  <c r="J248" i="12"/>
  <c r="I248" i="12"/>
  <c r="I134" i="10" s="1"/>
  <c r="H248" i="12"/>
  <c r="G248" i="12"/>
  <c r="G134" i="10" s="1"/>
  <c r="F248" i="12"/>
  <c r="F134" i="10" s="1"/>
  <c r="E248" i="12"/>
  <c r="N247" i="12"/>
  <c r="M247" i="12"/>
  <c r="L247" i="12"/>
  <c r="K247" i="12"/>
  <c r="J247" i="12"/>
  <c r="I247" i="12"/>
  <c r="H247" i="12"/>
  <c r="G247" i="12"/>
  <c r="F247" i="12"/>
  <c r="E247" i="12"/>
  <c r="N246" i="12"/>
  <c r="M246" i="12"/>
  <c r="L246" i="12"/>
  <c r="K246" i="12"/>
  <c r="J246" i="12"/>
  <c r="I246" i="12"/>
  <c r="H246" i="12"/>
  <c r="G246" i="12"/>
  <c r="F246" i="12"/>
  <c r="E246" i="12"/>
  <c r="N245" i="12"/>
  <c r="M245" i="12"/>
  <c r="L245" i="12"/>
  <c r="K245" i="12"/>
  <c r="J245" i="12"/>
  <c r="I245" i="12"/>
  <c r="H245" i="12"/>
  <c r="G245" i="12"/>
  <c r="F245" i="12"/>
  <c r="E245" i="12"/>
  <c r="N244" i="12"/>
  <c r="M244" i="12"/>
  <c r="L244" i="12"/>
  <c r="K244" i="12"/>
  <c r="J244" i="12"/>
  <c r="I244" i="12"/>
  <c r="H244" i="12"/>
  <c r="G244" i="12"/>
  <c r="F244" i="12"/>
  <c r="E244" i="12"/>
  <c r="N243" i="12"/>
  <c r="M243" i="12"/>
  <c r="L243" i="12"/>
  <c r="K243" i="12"/>
  <c r="J243" i="12"/>
  <c r="I243" i="12"/>
  <c r="H243" i="12"/>
  <c r="G243" i="12"/>
  <c r="F243" i="12"/>
  <c r="E243" i="12"/>
  <c r="N242" i="12"/>
  <c r="M242" i="12"/>
  <c r="L242" i="12"/>
  <c r="K242" i="12"/>
  <c r="J242" i="12"/>
  <c r="I242" i="12"/>
  <c r="H242" i="12"/>
  <c r="G242" i="12"/>
  <c r="F242" i="12"/>
  <c r="E242" i="12"/>
  <c r="N241" i="12"/>
  <c r="M241" i="12"/>
  <c r="L241" i="12"/>
  <c r="K241" i="12"/>
  <c r="J241" i="12"/>
  <c r="I241" i="12"/>
  <c r="I133" i="10" s="1"/>
  <c r="H241" i="12"/>
  <c r="G241" i="12"/>
  <c r="G133" i="10" s="1"/>
  <c r="F241" i="12"/>
  <c r="F133" i="10" s="1"/>
  <c r="E241" i="12"/>
  <c r="N240" i="12"/>
  <c r="M240" i="12"/>
  <c r="L240" i="12"/>
  <c r="K240" i="12"/>
  <c r="J240" i="12"/>
  <c r="J132" i="10" s="1"/>
  <c r="I240" i="12"/>
  <c r="I132" i="10" s="1"/>
  <c r="H240" i="12"/>
  <c r="H132" i="10" s="1"/>
  <c r="G240" i="12"/>
  <c r="G132" i="10" s="1"/>
  <c r="F240" i="12"/>
  <c r="F132" i="10" s="1"/>
  <c r="E240" i="12"/>
  <c r="N239" i="12"/>
  <c r="M239" i="12"/>
  <c r="L239" i="12"/>
  <c r="K239" i="12"/>
  <c r="J239" i="12"/>
  <c r="I239" i="12"/>
  <c r="H239" i="12"/>
  <c r="G239" i="12"/>
  <c r="F239" i="12"/>
  <c r="E239" i="12"/>
  <c r="N238" i="12"/>
  <c r="M238" i="12"/>
  <c r="L238" i="12"/>
  <c r="K238" i="12"/>
  <c r="J238" i="12"/>
  <c r="I238" i="12"/>
  <c r="H238" i="12"/>
  <c r="G238" i="12"/>
  <c r="F238" i="12"/>
  <c r="E238" i="12"/>
  <c r="N237" i="12"/>
  <c r="M237" i="12"/>
  <c r="L237" i="12"/>
  <c r="K237" i="12"/>
  <c r="J237" i="12"/>
  <c r="I237" i="12"/>
  <c r="H237" i="12"/>
  <c r="G237" i="12"/>
  <c r="F237" i="12"/>
  <c r="E237" i="12"/>
  <c r="N236" i="12"/>
  <c r="M236" i="12"/>
  <c r="L236" i="12"/>
  <c r="K236" i="12"/>
  <c r="J236" i="12"/>
  <c r="I236" i="12"/>
  <c r="H236" i="12"/>
  <c r="G236" i="12"/>
  <c r="F236" i="12"/>
  <c r="E236" i="12"/>
  <c r="N235" i="12"/>
  <c r="M235" i="12"/>
  <c r="L235" i="12"/>
  <c r="K235" i="12"/>
  <c r="J235" i="12"/>
  <c r="I235" i="12"/>
  <c r="I131" i="10" s="1"/>
  <c r="H235" i="12"/>
  <c r="G235" i="12"/>
  <c r="G131" i="10" s="1"/>
  <c r="F235" i="12"/>
  <c r="F131" i="10" s="1"/>
  <c r="E235" i="12"/>
  <c r="N234" i="12"/>
  <c r="M234" i="12"/>
  <c r="L234" i="12"/>
  <c r="K234" i="12"/>
  <c r="J234" i="12"/>
  <c r="I234" i="12"/>
  <c r="H234" i="12"/>
  <c r="G234" i="12"/>
  <c r="F234" i="12"/>
  <c r="E234" i="12"/>
  <c r="N233" i="12"/>
  <c r="M233" i="12"/>
  <c r="L233" i="12"/>
  <c r="K233" i="12"/>
  <c r="J233" i="12"/>
  <c r="I233" i="12"/>
  <c r="H233" i="12"/>
  <c r="G233" i="12"/>
  <c r="F233" i="12"/>
  <c r="E233" i="12"/>
  <c r="N232" i="12"/>
  <c r="M232" i="12"/>
  <c r="L232" i="12"/>
  <c r="K232" i="12"/>
  <c r="J232" i="12"/>
  <c r="J130" i="10" s="1"/>
  <c r="I232" i="12"/>
  <c r="I130" i="10" s="1"/>
  <c r="H232" i="12"/>
  <c r="H130" i="10" s="1"/>
  <c r="G232" i="12"/>
  <c r="G130" i="10" s="1"/>
  <c r="F232" i="12"/>
  <c r="E232" i="12"/>
  <c r="N231" i="12"/>
  <c r="M231" i="12"/>
  <c r="L231" i="12"/>
  <c r="K231" i="12"/>
  <c r="J231" i="12"/>
  <c r="J129" i="10" s="1"/>
  <c r="I231" i="12"/>
  <c r="I129" i="10" s="1"/>
  <c r="H231" i="12"/>
  <c r="H129" i="10" s="1"/>
  <c r="G231" i="12"/>
  <c r="G129" i="10" s="1"/>
  <c r="F231" i="12"/>
  <c r="F129" i="10" s="1"/>
  <c r="E231" i="12"/>
  <c r="N230" i="12"/>
  <c r="M230" i="12"/>
  <c r="L230" i="12"/>
  <c r="K230" i="12"/>
  <c r="J230" i="12"/>
  <c r="I230" i="12"/>
  <c r="H230" i="12"/>
  <c r="G230" i="12"/>
  <c r="F230" i="12"/>
  <c r="E230" i="12"/>
  <c r="N229" i="12"/>
  <c r="M229" i="12"/>
  <c r="L229" i="12"/>
  <c r="K229" i="12"/>
  <c r="J229" i="12"/>
  <c r="I229" i="12"/>
  <c r="H229" i="12"/>
  <c r="G229" i="12"/>
  <c r="F229" i="12"/>
  <c r="E229" i="12"/>
  <c r="N228" i="12"/>
  <c r="M228" i="12"/>
  <c r="L228" i="12"/>
  <c r="K228" i="12"/>
  <c r="J228" i="12"/>
  <c r="I228" i="12"/>
  <c r="H228" i="12"/>
  <c r="G228" i="12"/>
  <c r="F228" i="12"/>
  <c r="E228" i="12"/>
  <c r="N227" i="12"/>
  <c r="M227" i="12"/>
  <c r="L227" i="12"/>
  <c r="K227" i="12"/>
  <c r="J227" i="12"/>
  <c r="J128" i="10" s="1"/>
  <c r="I227" i="12"/>
  <c r="H227" i="12"/>
  <c r="G227" i="12"/>
  <c r="F227" i="12"/>
  <c r="F128" i="10" s="1"/>
  <c r="E227" i="12"/>
  <c r="N226" i="12"/>
  <c r="M226" i="12"/>
  <c r="L226" i="12"/>
  <c r="K226" i="12"/>
  <c r="J226" i="12"/>
  <c r="J127" i="10" s="1"/>
  <c r="I226" i="12"/>
  <c r="I127" i="10" s="1"/>
  <c r="H226" i="12"/>
  <c r="H127" i="10" s="1"/>
  <c r="G226" i="12"/>
  <c r="F226" i="12"/>
  <c r="E226" i="12"/>
  <c r="N225" i="12"/>
  <c r="M225" i="12"/>
  <c r="L225" i="12"/>
  <c r="K225" i="12"/>
  <c r="J225" i="12"/>
  <c r="I225" i="12"/>
  <c r="H225" i="12"/>
  <c r="G225" i="12"/>
  <c r="F225" i="12"/>
  <c r="E225" i="12"/>
  <c r="N224" i="12"/>
  <c r="M224" i="12"/>
  <c r="L224" i="12"/>
  <c r="K224" i="12"/>
  <c r="J224" i="12"/>
  <c r="I224" i="12"/>
  <c r="H224" i="12"/>
  <c r="G224" i="12"/>
  <c r="F224" i="12"/>
  <c r="E224" i="12"/>
  <c r="N223" i="12"/>
  <c r="M223" i="12"/>
  <c r="L223" i="12"/>
  <c r="K223" i="12"/>
  <c r="J223" i="12"/>
  <c r="I223" i="12"/>
  <c r="H223" i="12"/>
  <c r="G223" i="12"/>
  <c r="F223" i="12"/>
  <c r="E223" i="12"/>
  <c r="N222" i="12"/>
  <c r="M222" i="12"/>
  <c r="L222" i="12"/>
  <c r="K222" i="12"/>
  <c r="J222" i="12"/>
  <c r="I222" i="12"/>
  <c r="H222" i="12"/>
  <c r="G222" i="12"/>
  <c r="F222" i="12"/>
  <c r="E222" i="12"/>
  <c r="N221" i="12"/>
  <c r="M221" i="12"/>
  <c r="L221" i="12"/>
  <c r="K221" i="12"/>
  <c r="J221" i="12"/>
  <c r="I221" i="12"/>
  <c r="H221" i="12"/>
  <c r="G221" i="12"/>
  <c r="F221" i="12"/>
  <c r="E221" i="12"/>
  <c r="N220" i="12"/>
  <c r="M220" i="12"/>
  <c r="L220" i="12"/>
  <c r="K220" i="12"/>
  <c r="J220" i="12"/>
  <c r="I220" i="12"/>
  <c r="H220" i="12"/>
  <c r="G220" i="12"/>
  <c r="F220" i="12"/>
  <c r="E220" i="12"/>
  <c r="N219" i="12"/>
  <c r="M219" i="12"/>
  <c r="L219" i="12"/>
  <c r="K219" i="12"/>
  <c r="J219" i="12"/>
  <c r="I219" i="12"/>
  <c r="I125" i="10" s="1"/>
  <c r="H219" i="12"/>
  <c r="G219" i="12"/>
  <c r="F219" i="12"/>
  <c r="F125" i="10" s="1"/>
  <c r="E219" i="12"/>
  <c r="N218" i="12"/>
  <c r="M218" i="12"/>
  <c r="L218" i="12"/>
  <c r="K218" i="12"/>
  <c r="J218" i="12"/>
  <c r="I218" i="12"/>
  <c r="I124" i="10" s="1"/>
  <c r="H218" i="12"/>
  <c r="H124" i="10" s="1"/>
  <c r="G218" i="12"/>
  <c r="G124" i="10" s="1"/>
  <c r="F218" i="12"/>
  <c r="F124" i="10" s="1"/>
  <c r="E218" i="12"/>
  <c r="N217" i="12"/>
  <c r="M217" i="12"/>
  <c r="L217" i="12"/>
  <c r="K217" i="12"/>
  <c r="J217" i="12"/>
  <c r="I217" i="12"/>
  <c r="H217" i="12"/>
  <c r="G217" i="12"/>
  <c r="F217" i="12"/>
  <c r="E217" i="12"/>
  <c r="N216" i="12"/>
  <c r="M216" i="12"/>
  <c r="L216" i="12"/>
  <c r="K216" i="12"/>
  <c r="J216" i="12"/>
  <c r="J96" i="10" s="1"/>
  <c r="I216" i="12"/>
  <c r="H216" i="12"/>
  <c r="H96" i="10" s="1"/>
  <c r="G216" i="12"/>
  <c r="F216" i="12"/>
  <c r="E216" i="12"/>
  <c r="N215" i="12"/>
  <c r="M215" i="12"/>
  <c r="L215" i="12"/>
  <c r="K215" i="12"/>
  <c r="J215" i="12"/>
  <c r="J85" i="10" s="1"/>
  <c r="I215" i="12"/>
  <c r="I85" i="10" s="1"/>
  <c r="H215" i="12"/>
  <c r="G215" i="12"/>
  <c r="F215" i="12"/>
  <c r="E215" i="12"/>
  <c r="N214" i="12"/>
  <c r="M214" i="12"/>
  <c r="L214" i="12"/>
  <c r="K214" i="12"/>
  <c r="J214" i="12"/>
  <c r="J198" i="10" s="1"/>
  <c r="I214" i="12"/>
  <c r="I198" i="10" s="1"/>
  <c r="H214" i="12"/>
  <c r="H198" i="10" s="1"/>
  <c r="G214" i="12"/>
  <c r="F214" i="12"/>
  <c r="E214" i="12"/>
  <c r="N213" i="12"/>
  <c r="M213" i="12"/>
  <c r="L213" i="12"/>
  <c r="K213" i="12"/>
  <c r="J213" i="12"/>
  <c r="I213" i="12"/>
  <c r="I123" i="10" s="1"/>
  <c r="H213" i="12"/>
  <c r="G213" i="12"/>
  <c r="G123" i="10" s="1"/>
  <c r="F213" i="12"/>
  <c r="F123" i="10" s="1"/>
  <c r="E213" i="12"/>
  <c r="N212" i="12"/>
  <c r="M212" i="12"/>
  <c r="L212" i="12"/>
  <c r="K212" i="12"/>
  <c r="J212" i="12"/>
  <c r="E122" i="10" s="1"/>
  <c r="I212" i="12"/>
  <c r="I122" i="10" s="1"/>
  <c r="H212" i="12"/>
  <c r="H122" i="10" s="1"/>
  <c r="G212" i="12"/>
  <c r="G122" i="10" s="1"/>
  <c r="F212" i="12"/>
  <c r="F122" i="10" s="1"/>
  <c r="E212" i="12"/>
  <c r="N211" i="12"/>
  <c r="M211" i="12"/>
  <c r="L211" i="12"/>
  <c r="K211" i="12"/>
  <c r="J211" i="12"/>
  <c r="J121" i="10" s="1"/>
  <c r="I211" i="12"/>
  <c r="I121" i="10" s="1"/>
  <c r="H211" i="12"/>
  <c r="H121" i="10" s="1"/>
  <c r="G211" i="12"/>
  <c r="G121" i="10" s="1"/>
  <c r="F211" i="12"/>
  <c r="F121" i="10" s="1"/>
  <c r="E211" i="12"/>
  <c r="N210" i="12"/>
  <c r="M210" i="12"/>
  <c r="L210" i="12"/>
  <c r="K210" i="12"/>
  <c r="J210" i="12"/>
  <c r="I210" i="12"/>
  <c r="H210" i="12"/>
  <c r="H120" i="10" s="1"/>
  <c r="G210" i="12"/>
  <c r="F210" i="12"/>
  <c r="F120" i="10" s="1"/>
  <c r="E210" i="12"/>
  <c r="N209" i="12"/>
  <c r="M209" i="12"/>
  <c r="L209" i="12"/>
  <c r="K209" i="12"/>
  <c r="J209" i="12"/>
  <c r="I209" i="12"/>
  <c r="I119" i="10" s="1"/>
  <c r="H209" i="12"/>
  <c r="G209" i="12"/>
  <c r="F209" i="12"/>
  <c r="F119" i="10" s="1"/>
  <c r="E209" i="12"/>
  <c r="N208" i="12"/>
  <c r="M208" i="12"/>
  <c r="L208" i="12"/>
  <c r="K208" i="12"/>
  <c r="J208" i="12"/>
  <c r="I208" i="12"/>
  <c r="H208" i="12"/>
  <c r="G208" i="12"/>
  <c r="F208" i="12"/>
  <c r="E208" i="12"/>
  <c r="N207" i="12"/>
  <c r="M207" i="12"/>
  <c r="L207" i="12"/>
  <c r="K207" i="12"/>
  <c r="J207" i="12"/>
  <c r="J118" i="10" s="1"/>
  <c r="I207" i="12"/>
  <c r="I118" i="10" s="1"/>
  <c r="H207" i="12"/>
  <c r="H118" i="10" s="1"/>
  <c r="G207" i="12"/>
  <c r="G118" i="10" s="1"/>
  <c r="F207" i="12"/>
  <c r="F118" i="10" s="1"/>
  <c r="E207" i="12"/>
  <c r="N206" i="12"/>
  <c r="M206" i="12"/>
  <c r="L206" i="12"/>
  <c r="K206" i="12"/>
  <c r="J206" i="12"/>
  <c r="I206" i="12"/>
  <c r="H206" i="12"/>
  <c r="G206" i="12"/>
  <c r="F206" i="12"/>
  <c r="E206" i="12"/>
  <c r="N205" i="12"/>
  <c r="M205" i="12"/>
  <c r="L205" i="12"/>
  <c r="K205" i="12"/>
  <c r="J205" i="12"/>
  <c r="I205" i="12"/>
  <c r="H205" i="12"/>
  <c r="G205" i="12"/>
  <c r="F205" i="12"/>
  <c r="E205" i="12"/>
  <c r="N204" i="12"/>
  <c r="M204" i="12"/>
  <c r="L204" i="12"/>
  <c r="K204" i="12"/>
  <c r="J204" i="12"/>
  <c r="I204" i="12"/>
  <c r="H204" i="12"/>
  <c r="G204" i="12"/>
  <c r="F204" i="12"/>
  <c r="E204" i="12"/>
  <c r="N203" i="12"/>
  <c r="M203" i="12"/>
  <c r="L203" i="12"/>
  <c r="K203" i="12"/>
  <c r="J203" i="12"/>
  <c r="J114" i="10" s="1"/>
  <c r="I203" i="12"/>
  <c r="H203" i="12"/>
  <c r="H114" i="10" s="1"/>
  <c r="G203" i="12"/>
  <c r="F203" i="12"/>
  <c r="E203" i="12"/>
  <c r="N202" i="12"/>
  <c r="M202" i="12"/>
  <c r="L202" i="12"/>
  <c r="K202" i="12"/>
  <c r="J202" i="12"/>
  <c r="I202" i="12"/>
  <c r="H202" i="12"/>
  <c r="G202" i="12"/>
  <c r="F202" i="12"/>
  <c r="E202" i="12"/>
  <c r="N201" i="12"/>
  <c r="M201" i="12"/>
  <c r="L201" i="12"/>
  <c r="K201" i="12"/>
  <c r="J201" i="12"/>
  <c r="J113" i="10" s="1"/>
  <c r="I201" i="12"/>
  <c r="I113" i="10" s="1"/>
  <c r="H201" i="12"/>
  <c r="G201" i="12"/>
  <c r="F201" i="12"/>
  <c r="E201" i="12"/>
  <c r="N200" i="12"/>
  <c r="M200" i="12"/>
  <c r="L200" i="12"/>
  <c r="K200" i="12"/>
  <c r="J200" i="12"/>
  <c r="J112" i="10" s="1"/>
  <c r="I200" i="12"/>
  <c r="I112" i="10" s="1"/>
  <c r="H200" i="12"/>
  <c r="H112" i="10" s="1"/>
  <c r="G200" i="12"/>
  <c r="G112" i="10" s="1"/>
  <c r="F200" i="12"/>
  <c r="F112" i="10" s="1"/>
  <c r="E200" i="12"/>
  <c r="N199" i="12"/>
  <c r="M199" i="12"/>
  <c r="L199" i="12"/>
  <c r="K199" i="12"/>
  <c r="J199" i="12"/>
  <c r="I199" i="12"/>
  <c r="I111" i="10" s="1"/>
  <c r="H199" i="12"/>
  <c r="H111" i="10" s="1"/>
  <c r="G199" i="12"/>
  <c r="F199" i="12"/>
  <c r="F111" i="10" s="1"/>
  <c r="E199" i="12"/>
  <c r="N198" i="12"/>
  <c r="M198" i="12"/>
  <c r="L198" i="12"/>
  <c r="K198" i="12"/>
  <c r="J198" i="12"/>
  <c r="I198" i="12"/>
  <c r="H198" i="12"/>
  <c r="H110" i="10" s="1"/>
  <c r="G198" i="12"/>
  <c r="F198" i="12"/>
  <c r="E198" i="12"/>
  <c r="N197" i="12"/>
  <c r="M197" i="12"/>
  <c r="L197" i="12"/>
  <c r="K197" i="12"/>
  <c r="J197" i="12"/>
  <c r="J103" i="10" s="1"/>
  <c r="I197" i="12"/>
  <c r="I103" i="10" s="1"/>
  <c r="H197" i="12"/>
  <c r="G197" i="12"/>
  <c r="F197" i="12"/>
  <c r="E197" i="12"/>
  <c r="N196" i="12"/>
  <c r="M196" i="12"/>
  <c r="L196" i="12"/>
  <c r="K196" i="12"/>
  <c r="J196" i="12"/>
  <c r="N195" i="12"/>
  <c r="M195" i="12"/>
  <c r="L195" i="12"/>
  <c r="K195" i="12"/>
  <c r="J195" i="12"/>
  <c r="I195" i="12"/>
  <c r="H195" i="12"/>
  <c r="G195" i="12"/>
  <c r="F195" i="12"/>
  <c r="E195" i="12"/>
  <c r="N194" i="12"/>
  <c r="M194" i="12"/>
  <c r="L194" i="12"/>
  <c r="K194" i="12"/>
  <c r="J194" i="12"/>
  <c r="J102" i="10" s="1"/>
  <c r="I194" i="12"/>
  <c r="I102" i="10" s="1"/>
  <c r="H194" i="12"/>
  <c r="H102" i="10" s="1"/>
  <c r="G194" i="12"/>
  <c r="F194" i="12"/>
  <c r="E194" i="12"/>
  <c r="N193" i="12"/>
  <c r="M193" i="12"/>
  <c r="L193" i="12"/>
  <c r="K193" i="12"/>
  <c r="J193" i="12"/>
  <c r="J116" i="10" s="1"/>
  <c r="I193" i="12"/>
  <c r="I116" i="10" s="1"/>
  <c r="H193" i="12"/>
  <c r="G193" i="12"/>
  <c r="F193" i="12"/>
  <c r="F116" i="10" s="1"/>
  <c r="E193" i="12"/>
  <c r="N192" i="12"/>
  <c r="M192" i="12"/>
  <c r="L192" i="12"/>
  <c r="K192" i="12"/>
  <c r="J192" i="12"/>
  <c r="I192" i="12"/>
  <c r="I101" i="10" s="1"/>
  <c r="H192" i="12"/>
  <c r="H101" i="10" s="1"/>
  <c r="G192" i="12"/>
  <c r="G101" i="10" s="1"/>
  <c r="F192" i="12"/>
  <c r="F101" i="10" s="1"/>
  <c r="E192" i="12"/>
  <c r="N191" i="12"/>
  <c r="M191" i="12"/>
  <c r="L191" i="12"/>
  <c r="K191" i="12"/>
  <c r="J191" i="12"/>
  <c r="I191" i="12"/>
  <c r="H191" i="12"/>
  <c r="G191" i="12"/>
  <c r="F191" i="12"/>
  <c r="E191" i="12"/>
  <c r="N190" i="12"/>
  <c r="M190" i="12"/>
  <c r="L190" i="12"/>
  <c r="K190" i="12"/>
  <c r="J190" i="12"/>
  <c r="I190" i="12"/>
  <c r="H190" i="12"/>
  <c r="G190" i="12"/>
  <c r="F190" i="12"/>
  <c r="E190" i="12"/>
  <c r="N189" i="12"/>
  <c r="M189" i="12"/>
  <c r="L189" i="12"/>
  <c r="K189" i="12"/>
  <c r="J189" i="12"/>
  <c r="I189" i="12"/>
  <c r="H189" i="12"/>
  <c r="H100" i="10" s="1"/>
  <c r="G189" i="12"/>
  <c r="G100" i="10" s="1"/>
  <c r="F189" i="12"/>
  <c r="F100" i="10" s="1"/>
  <c r="E189" i="12"/>
  <c r="E100" i="10" s="1"/>
  <c r="N188" i="12"/>
  <c r="M188" i="12"/>
  <c r="L188" i="12"/>
  <c r="K188" i="12"/>
  <c r="J188" i="12"/>
  <c r="J99" i="10" s="1"/>
  <c r="I188" i="12"/>
  <c r="H188" i="12"/>
  <c r="H99" i="10" s="1"/>
  <c r="G188" i="12"/>
  <c r="F188" i="12"/>
  <c r="E188" i="12"/>
  <c r="E99" i="10" s="1"/>
  <c r="N187" i="12"/>
  <c r="M187" i="12"/>
  <c r="L187" i="12"/>
  <c r="K187" i="12"/>
  <c r="J187" i="12"/>
  <c r="J98" i="10" s="1"/>
  <c r="I187" i="12"/>
  <c r="I98" i="10" s="1"/>
  <c r="H187" i="12"/>
  <c r="H98" i="10" s="1"/>
  <c r="G187" i="12"/>
  <c r="F187" i="12"/>
  <c r="E187" i="12"/>
  <c r="N186" i="12"/>
  <c r="M186" i="12"/>
  <c r="L186" i="12"/>
  <c r="K186" i="12"/>
  <c r="J186" i="12"/>
  <c r="J97" i="10" s="1"/>
  <c r="I186" i="12"/>
  <c r="I97" i="10" s="1"/>
  <c r="H186" i="12"/>
  <c r="H97" i="10" s="1"/>
  <c r="G186" i="12"/>
  <c r="G97" i="10" s="1"/>
  <c r="F186" i="12"/>
  <c r="F97" i="10" s="1"/>
  <c r="E186" i="12"/>
  <c r="N185" i="12"/>
  <c r="M185" i="12"/>
  <c r="L185" i="12"/>
  <c r="K185" i="12"/>
  <c r="J185" i="12"/>
  <c r="J95" i="10" s="1"/>
  <c r="I185" i="12"/>
  <c r="I95" i="10" s="1"/>
  <c r="H185" i="12"/>
  <c r="H95" i="10" s="1"/>
  <c r="G185" i="12"/>
  <c r="G95" i="10" s="1"/>
  <c r="F185" i="12"/>
  <c r="F95" i="10" s="1"/>
  <c r="E185" i="12"/>
  <c r="N184" i="12"/>
  <c r="M184" i="12"/>
  <c r="L184" i="12"/>
  <c r="K184" i="12"/>
  <c r="J184" i="12"/>
  <c r="J108" i="10" s="1"/>
  <c r="I184" i="12"/>
  <c r="H184" i="12"/>
  <c r="H108" i="10" s="1"/>
  <c r="G184" i="12"/>
  <c r="F184" i="12"/>
  <c r="F108" i="10" s="1"/>
  <c r="E184" i="12"/>
  <c r="N183" i="12"/>
  <c r="M183" i="12"/>
  <c r="L183" i="12"/>
  <c r="K183" i="12"/>
  <c r="J183" i="12"/>
  <c r="I183" i="12"/>
  <c r="H183" i="12"/>
  <c r="H94" i="10" s="1"/>
  <c r="G183" i="12"/>
  <c r="G94" i="10" s="1"/>
  <c r="F183" i="12"/>
  <c r="F94" i="10" s="1"/>
  <c r="E183" i="12"/>
  <c r="E94" i="10" s="1"/>
  <c r="N182" i="12"/>
  <c r="M182" i="12"/>
  <c r="L182" i="12"/>
  <c r="K182" i="12"/>
  <c r="J182" i="12"/>
  <c r="J107" i="10" s="1"/>
  <c r="I182" i="12"/>
  <c r="I107" i="10" s="1"/>
  <c r="H182" i="12"/>
  <c r="H107" i="10" s="1"/>
  <c r="G182" i="12"/>
  <c r="F182" i="12"/>
  <c r="F107" i="10" s="1"/>
  <c r="E182" i="12"/>
  <c r="N181" i="12"/>
  <c r="M181" i="12"/>
  <c r="L181" i="12"/>
  <c r="K181" i="12"/>
  <c r="J181" i="12"/>
  <c r="I181" i="12"/>
  <c r="I104" i="10" s="1"/>
  <c r="H181" i="12"/>
  <c r="G181" i="12"/>
  <c r="F181" i="12"/>
  <c r="E181" i="12"/>
  <c r="N180" i="12"/>
  <c r="M180" i="12"/>
  <c r="L180" i="12"/>
  <c r="K180" i="12"/>
  <c r="J180" i="12"/>
  <c r="J194" i="10" s="1"/>
  <c r="I180" i="12"/>
  <c r="I194" i="10" s="1"/>
  <c r="H180" i="12"/>
  <c r="H194" i="10" s="1"/>
  <c r="G180" i="12"/>
  <c r="G194" i="10" s="1"/>
  <c r="F180" i="12"/>
  <c r="F194" i="10" s="1"/>
  <c r="E180" i="12"/>
  <c r="N179" i="12"/>
  <c r="M179" i="12"/>
  <c r="L179" i="12"/>
  <c r="K179" i="12"/>
  <c r="J179" i="12"/>
  <c r="I179" i="12"/>
  <c r="H179" i="12"/>
  <c r="G179" i="12"/>
  <c r="F179" i="12"/>
  <c r="E179" i="12"/>
  <c r="N178" i="12"/>
  <c r="M178" i="12"/>
  <c r="L178" i="12"/>
  <c r="K178" i="12"/>
  <c r="J178" i="12"/>
  <c r="J93" i="10" s="1"/>
  <c r="I178" i="12"/>
  <c r="I93" i="10" s="1"/>
  <c r="H178" i="12"/>
  <c r="H93" i="10" s="1"/>
  <c r="G178" i="12"/>
  <c r="F178" i="12"/>
  <c r="F93" i="10" s="1"/>
  <c r="E178" i="12"/>
  <c r="N177" i="12"/>
  <c r="M177" i="12"/>
  <c r="L177" i="12"/>
  <c r="K177" i="12"/>
  <c r="J177" i="12"/>
  <c r="I177" i="12"/>
  <c r="H177" i="12"/>
  <c r="G177" i="12"/>
  <c r="G92" i="10" s="1"/>
  <c r="F177" i="12"/>
  <c r="F92" i="10" s="1"/>
  <c r="E177" i="12"/>
  <c r="E92" i="10" s="1"/>
  <c r="N176" i="12"/>
  <c r="M176" i="12"/>
  <c r="L176" i="12"/>
  <c r="K176" i="12"/>
  <c r="J176" i="12"/>
  <c r="I176" i="12"/>
  <c r="H176" i="12"/>
  <c r="G176" i="12"/>
  <c r="F176" i="12"/>
  <c r="E176" i="12"/>
  <c r="N175" i="12"/>
  <c r="M175" i="12"/>
  <c r="L175" i="12"/>
  <c r="K175" i="12"/>
  <c r="J175" i="12"/>
  <c r="I175" i="12"/>
  <c r="H175" i="12"/>
  <c r="H90" i="10" s="1"/>
  <c r="G175" i="12"/>
  <c r="F175" i="12"/>
  <c r="F90" i="10" s="1"/>
  <c r="E175" i="12"/>
  <c r="N174" i="12"/>
  <c r="M174" i="12"/>
  <c r="L174" i="12"/>
  <c r="K174" i="12"/>
  <c r="J174" i="12"/>
  <c r="I174" i="12"/>
  <c r="H174" i="12"/>
  <c r="G174" i="12"/>
  <c r="F174" i="12"/>
  <c r="E174" i="12"/>
  <c r="N173" i="12"/>
  <c r="M173" i="12"/>
  <c r="L173" i="12"/>
  <c r="K173" i="12"/>
  <c r="J173" i="12"/>
  <c r="J89" i="10" s="1"/>
  <c r="I173" i="12"/>
  <c r="I89" i="10" s="1"/>
  <c r="H173" i="12"/>
  <c r="H89" i="10" s="1"/>
  <c r="G173" i="12"/>
  <c r="G89" i="10" s="1"/>
  <c r="F173" i="12"/>
  <c r="F89" i="10" s="1"/>
  <c r="E173" i="12"/>
  <c r="N172" i="12"/>
  <c r="M172" i="12"/>
  <c r="L172" i="12"/>
  <c r="K172" i="12"/>
  <c r="J172" i="12"/>
  <c r="J87" i="10" s="1"/>
  <c r="I172" i="12"/>
  <c r="H172" i="12"/>
  <c r="H87" i="10" s="1"/>
  <c r="G172" i="12"/>
  <c r="G87" i="10" s="1"/>
  <c r="F172" i="12"/>
  <c r="F87" i="10" s="1"/>
  <c r="E172" i="12"/>
  <c r="N171" i="12"/>
  <c r="M171" i="12"/>
  <c r="L171" i="12"/>
  <c r="K171" i="12"/>
  <c r="J171" i="12"/>
  <c r="I171" i="12"/>
  <c r="H171" i="12"/>
  <c r="G171" i="12"/>
  <c r="F171" i="12"/>
  <c r="E171" i="12"/>
  <c r="N170" i="12"/>
  <c r="M170" i="12"/>
  <c r="L170" i="12"/>
  <c r="K170" i="12"/>
  <c r="J170" i="12"/>
  <c r="E86" i="10" s="1"/>
  <c r="I170" i="12"/>
  <c r="H170" i="12"/>
  <c r="G170" i="12"/>
  <c r="F170" i="12"/>
  <c r="F86" i="10" s="1"/>
  <c r="E170" i="12"/>
  <c r="N169" i="12"/>
  <c r="M169" i="12"/>
  <c r="L169" i="12"/>
  <c r="K169" i="12"/>
  <c r="J169" i="12"/>
  <c r="J84" i="10" s="1"/>
  <c r="I169" i="12"/>
  <c r="I84" i="10" s="1"/>
  <c r="H169" i="12"/>
  <c r="G169" i="12"/>
  <c r="F169" i="12"/>
  <c r="E169" i="12"/>
  <c r="N168" i="12"/>
  <c r="M168" i="12"/>
  <c r="L168" i="12"/>
  <c r="K168" i="12"/>
  <c r="J168" i="12"/>
  <c r="J190" i="10" s="1"/>
  <c r="I168" i="12"/>
  <c r="I190" i="10" s="1"/>
  <c r="H168" i="12"/>
  <c r="H190" i="10" s="1"/>
  <c r="G168" i="12"/>
  <c r="G190" i="10" s="1"/>
  <c r="F168" i="12"/>
  <c r="F190" i="10" s="1"/>
  <c r="E168" i="12"/>
  <c r="E190" i="10" s="1"/>
  <c r="N167" i="12"/>
  <c r="M167" i="12"/>
  <c r="L167" i="12"/>
  <c r="K167" i="12"/>
  <c r="J167" i="12"/>
  <c r="J201" i="10" s="1"/>
  <c r="I167" i="12"/>
  <c r="I201" i="10" s="1"/>
  <c r="H167" i="12"/>
  <c r="H201" i="10" s="1"/>
  <c r="G167" i="12"/>
  <c r="G201" i="10" s="1"/>
  <c r="F167" i="12"/>
  <c r="F201" i="10" s="1"/>
  <c r="E167" i="12"/>
  <c r="N166" i="12"/>
  <c r="M166" i="12"/>
  <c r="L166" i="12"/>
  <c r="K166" i="12"/>
  <c r="J166" i="12"/>
  <c r="E83" i="10" s="1"/>
  <c r="I166" i="12"/>
  <c r="I83" i="10" s="1"/>
  <c r="H166" i="12"/>
  <c r="H83" i="10" s="1"/>
  <c r="G166" i="12"/>
  <c r="F166" i="12"/>
  <c r="F83" i="10" s="1"/>
  <c r="E166" i="12"/>
  <c r="N165" i="12"/>
  <c r="M165" i="12"/>
  <c r="L165" i="12"/>
  <c r="K165" i="12"/>
  <c r="J165" i="12"/>
  <c r="I165" i="12"/>
  <c r="H165" i="12"/>
  <c r="H82" i="10" s="1"/>
  <c r="G165" i="12"/>
  <c r="G82" i="10" s="1"/>
  <c r="F165" i="12"/>
  <c r="F82" i="10" s="1"/>
  <c r="E165" i="12"/>
  <c r="E82" i="10" s="1"/>
  <c r="N164" i="12"/>
  <c r="M164" i="12"/>
  <c r="L164" i="12"/>
  <c r="K164" i="12"/>
  <c r="J164" i="12"/>
  <c r="J81" i="10" s="1"/>
  <c r="I164" i="12"/>
  <c r="H164" i="12"/>
  <c r="H81" i="10" s="1"/>
  <c r="G164" i="12"/>
  <c r="F164" i="12"/>
  <c r="E164" i="12"/>
  <c r="E81" i="10" s="1"/>
  <c r="N163" i="12"/>
  <c r="M163" i="12"/>
  <c r="L163" i="12"/>
  <c r="K163" i="12"/>
  <c r="J163" i="12"/>
  <c r="I163" i="12"/>
  <c r="H163" i="12"/>
  <c r="G163" i="12"/>
  <c r="F163" i="12"/>
  <c r="E163" i="12"/>
  <c r="N162" i="12"/>
  <c r="M162" i="12"/>
  <c r="L162" i="12"/>
  <c r="K162" i="12"/>
  <c r="J162" i="12"/>
  <c r="I162" i="12"/>
  <c r="H162" i="12"/>
  <c r="G162" i="12"/>
  <c r="F162" i="12"/>
  <c r="E162" i="12"/>
  <c r="N161" i="12"/>
  <c r="M161" i="12"/>
  <c r="L161" i="12"/>
  <c r="K161" i="12"/>
  <c r="J161" i="12"/>
  <c r="I161" i="12"/>
  <c r="H161" i="12"/>
  <c r="G161" i="12"/>
  <c r="F161" i="12"/>
  <c r="E161" i="12"/>
  <c r="N160" i="12"/>
  <c r="M160" i="12"/>
  <c r="L160" i="12"/>
  <c r="K160" i="12"/>
  <c r="J160" i="12"/>
  <c r="I160" i="12"/>
  <c r="H160" i="12"/>
  <c r="H80" i="10" s="1"/>
  <c r="G160" i="12"/>
  <c r="F160" i="12"/>
  <c r="F80" i="10" s="1"/>
  <c r="E160" i="12"/>
  <c r="N159" i="12"/>
  <c r="M159" i="12"/>
  <c r="L159" i="12"/>
  <c r="K159" i="12"/>
  <c r="J159" i="12"/>
  <c r="I159" i="12"/>
  <c r="H159" i="12"/>
  <c r="H78" i="10" s="1"/>
  <c r="G159" i="12"/>
  <c r="G78" i="10" s="1"/>
  <c r="F159" i="12"/>
  <c r="F78" i="10" s="1"/>
  <c r="E159" i="12"/>
  <c r="E78" i="10" s="1"/>
  <c r="N158" i="12"/>
  <c r="M158" i="12"/>
  <c r="L158" i="12"/>
  <c r="K158" i="12"/>
  <c r="J158" i="12"/>
  <c r="J75" i="10" s="1"/>
  <c r="I158" i="12"/>
  <c r="I75" i="10" s="1"/>
  <c r="H158" i="12"/>
  <c r="H75" i="10" s="1"/>
  <c r="G158" i="12"/>
  <c r="F158" i="12"/>
  <c r="F75" i="10" s="1"/>
  <c r="E158" i="12"/>
  <c r="E75" i="10" s="1"/>
  <c r="N157" i="12"/>
  <c r="M157" i="12"/>
  <c r="L157" i="12"/>
  <c r="K157" i="12"/>
  <c r="J157" i="12"/>
  <c r="J74" i="10" s="1"/>
  <c r="I157" i="12"/>
  <c r="H157" i="12"/>
  <c r="G157" i="12"/>
  <c r="F157" i="12"/>
  <c r="E157" i="12"/>
  <c r="N156" i="12"/>
  <c r="M156" i="12"/>
  <c r="L156" i="12"/>
  <c r="K156" i="12"/>
  <c r="J156" i="12"/>
  <c r="I156" i="12"/>
  <c r="H156" i="12"/>
  <c r="G156" i="12"/>
  <c r="F156" i="12"/>
  <c r="E156" i="12"/>
  <c r="N155" i="12"/>
  <c r="M155" i="12"/>
  <c r="L155" i="12"/>
  <c r="K155" i="12"/>
  <c r="J155" i="12"/>
  <c r="I155" i="12"/>
  <c r="H155" i="12"/>
  <c r="G155" i="12"/>
  <c r="F155" i="12"/>
  <c r="E155" i="12"/>
  <c r="N154" i="12"/>
  <c r="M154" i="12"/>
  <c r="L154" i="12"/>
  <c r="K154" i="12"/>
  <c r="J154" i="12"/>
  <c r="I154" i="12"/>
  <c r="H154" i="12"/>
  <c r="G154" i="12"/>
  <c r="F154" i="12"/>
  <c r="E154" i="12"/>
  <c r="N153" i="12"/>
  <c r="M153" i="12"/>
  <c r="L153" i="12"/>
  <c r="K153" i="12"/>
  <c r="J153" i="12"/>
  <c r="J73" i="10" s="1"/>
  <c r="I153" i="12"/>
  <c r="I73" i="10" s="1"/>
  <c r="H153" i="12"/>
  <c r="G153" i="12"/>
  <c r="F153" i="12"/>
  <c r="E153" i="12"/>
  <c r="E73" i="10" s="1"/>
  <c r="N152" i="12"/>
  <c r="M152" i="12"/>
  <c r="L152" i="12"/>
  <c r="K152" i="12"/>
  <c r="J152" i="12"/>
  <c r="J72" i="10" s="1"/>
  <c r="I152" i="12"/>
  <c r="H152" i="12"/>
  <c r="H72" i="10" s="1"/>
  <c r="G152" i="12"/>
  <c r="F152" i="12"/>
  <c r="F72" i="10" s="1"/>
  <c r="E152" i="12"/>
  <c r="E72" i="10" s="1"/>
  <c r="N151" i="12"/>
  <c r="M151" i="12"/>
  <c r="L151" i="12"/>
  <c r="K151" i="12"/>
  <c r="J151" i="12"/>
  <c r="I151" i="12"/>
  <c r="H151" i="12"/>
  <c r="G151" i="12"/>
  <c r="F151" i="12"/>
  <c r="E151" i="12"/>
  <c r="N150" i="12"/>
  <c r="M150" i="12"/>
  <c r="L150" i="12"/>
  <c r="K150" i="12"/>
  <c r="J150" i="12"/>
  <c r="I150" i="12"/>
  <c r="H150" i="12"/>
  <c r="G150" i="12"/>
  <c r="F150" i="12"/>
  <c r="E150" i="12"/>
  <c r="N149" i="12"/>
  <c r="M149" i="12"/>
  <c r="L149" i="12"/>
  <c r="K149" i="12"/>
  <c r="J149" i="12"/>
  <c r="J71" i="10" s="1"/>
  <c r="I149" i="12"/>
  <c r="I71" i="10" s="1"/>
  <c r="H149" i="12"/>
  <c r="G149" i="12"/>
  <c r="F149" i="12"/>
  <c r="E149" i="12"/>
  <c r="N148" i="12"/>
  <c r="M148" i="12"/>
  <c r="L148" i="12"/>
  <c r="K148" i="12"/>
  <c r="J148" i="12"/>
  <c r="I148" i="12"/>
  <c r="I70" i="10" s="1"/>
  <c r="H148" i="12"/>
  <c r="H70" i="10" s="1"/>
  <c r="G148" i="12"/>
  <c r="G70" i="10" s="1"/>
  <c r="F148" i="12"/>
  <c r="F70" i="10" s="1"/>
  <c r="E148" i="12"/>
  <c r="N147" i="12"/>
  <c r="M147" i="12"/>
  <c r="L147" i="12"/>
  <c r="K147" i="12"/>
  <c r="J147" i="12"/>
  <c r="I147" i="12"/>
  <c r="H147" i="12"/>
  <c r="H69" i="10" s="1"/>
  <c r="G147" i="12"/>
  <c r="F147" i="12"/>
  <c r="F69" i="10" s="1"/>
  <c r="E147" i="12"/>
  <c r="E69" i="10" s="1"/>
  <c r="N146" i="12"/>
  <c r="M146" i="12"/>
  <c r="L146" i="12"/>
  <c r="K146" i="12"/>
  <c r="J146" i="12"/>
  <c r="E68" i="10" s="1"/>
  <c r="I146" i="12"/>
  <c r="I68" i="10" s="1"/>
  <c r="H146" i="12"/>
  <c r="H68" i="10" s="1"/>
  <c r="G146" i="12"/>
  <c r="F146" i="12"/>
  <c r="E146" i="12"/>
  <c r="N145" i="12"/>
  <c r="M145" i="12"/>
  <c r="L145" i="12"/>
  <c r="K145" i="12"/>
  <c r="J145" i="12"/>
  <c r="J67" i="10" s="1"/>
  <c r="I145" i="12"/>
  <c r="I67" i="10" s="1"/>
  <c r="H145" i="12"/>
  <c r="G145" i="12"/>
  <c r="F145" i="12"/>
  <c r="E145" i="12"/>
  <c r="N144" i="12"/>
  <c r="M144" i="12"/>
  <c r="L144" i="12"/>
  <c r="K144" i="12"/>
  <c r="J144" i="12"/>
  <c r="I144" i="12"/>
  <c r="H144" i="12"/>
  <c r="G144" i="12"/>
  <c r="F144" i="12"/>
  <c r="E144" i="12"/>
  <c r="N143" i="12"/>
  <c r="M143" i="12"/>
  <c r="L143" i="12"/>
  <c r="K143" i="12"/>
  <c r="J143" i="12"/>
  <c r="I143" i="12"/>
  <c r="H143" i="12"/>
  <c r="G143" i="12"/>
  <c r="F143" i="12"/>
  <c r="E143" i="12"/>
  <c r="N142" i="12"/>
  <c r="M142" i="12"/>
  <c r="L142" i="12"/>
  <c r="K142" i="12"/>
  <c r="J142" i="12"/>
  <c r="I142" i="12"/>
  <c r="H142" i="12"/>
  <c r="G142" i="12"/>
  <c r="F142" i="12"/>
  <c r="E142" i="12"/>
  <c r="N141" i="12"/>
  <c r="M141" i="12"/>
  <c r="L141" i="12"/>
  <c r="K141" i="12"/>
  <c r="J141" i="12"/>
  <c r="I141" i="12"/>
  <c r="H141" i="12"/>
  <c r="G141" i="12"/>
  <c r="F141" i="12"/>
  <c r="E141" i="12"/>
  <c r="N140" i="12"/>
  <c r="M140" i="12"/>
  <c r="L140" i="12"/>
  <c r="K140" i="12"/>
  <c r="J140" i="12"/>
  <c r="I140" i="12"/>
  <c r="H140" i="12"/>
  <c r="G140" i="12"/>
  <c r="F140" i="12"/>
  <c r="E140" i="12"/>
  <c r="N139" i="12"/>
  <c r="M139" i="12"/>
  <c r="L139" i="12"/>
  <c r="K139" i="12"/>
  <c r="J139" i="12"/>
  <c r="I139" i="12"/>
  <c r="H139" i="12"/>
  <c r="G139" i="12"/>
  <c r="F139" i="12"/>
  <c r="E139" i="12"/>
  <c r="N138" i="12"/>
  <c r="M138" i="12"/>
  <c r="L138" i="12"/>
  <c r="K138" i="12"/>
  <c r="J138" i="12"/>
  <c r="J66" i="10" s="1"/>
  <c r="I138" i="12"/>
  <c r="I66" i="10" s="1"/>
  <c r="H138" i="12"/>
  <c r="H66" i="10" s="1"/>
  <c r="G138" i="12"/>
  <c r="G66" i="10" s="1"/>
  <c r="F138" i="12"/>
  <c r="F66" i="10" s="1"/>
  <c r="E138" i="12"/>
  <c r="N137" i="12"/>
  <c r="M137" i="12"/>
  <c r="L137" i="12"/>
  <c r="K137" i="12"/>
  <c r="J137" i="12"/>
  <c r="I137" i="12"/>
  <c r="H137" i="12"/>
  <c r="G137" i="12"/>
  <c r="F137" i="12"/>
  <c r="E137" i="12"/>
  <c r="N136" i="12"/>
  <c r="M136" i="12"/>
  <c r="L136" i="12"/>
  <c r="K136" i="12"/>
  <c r="J136" i="12"/>
  <c r="I136" i="12"/>
  <c r="H136" i="12"/>
  <c r="G136" i="12"/>
  <c r="F136" i="12"/>
  <c r="E136" i="12"/>
  <c r="N135" i="12"/>
  <c r="M135" i="12"/>
  <c r="L135" i="12"/>
  <c r="K135" i="12"/>
  <c r="J135" i="12"/>
  <c r="I135" i="12"/>
  <c r="I65" i="10" s="1"/>
  <c r="H135" i="12"/>
  <c r="H65" i="10" s="1"/>
  <c r="G135" i="12"/>
  <c r="G65" i="10" s="1"/>
  <c r="F135" i="12"/>
  <c r="F65" i="10" s="1"/>
  <c r="E135" i="12"/>
  <c r="E65" i="10" s="1"/>
  <c r="N134" i="12"/>
  <c r="M134" i="12"/>
  <c r="L134" i="12"/>
  <c r="K134" i="12"/>
  <c r="J134" i="12"/>
  <c r="J64" i="10" s="1"/>
  <c r="I134" i="12"/>
  <c r="H134" i="12"/>
  <c r="H64" i="10" s="1"/>
  <c r="G134" i="12"/>
  <c r="G64" i="10" s="1"/>
  <c r="F134" i="12"/>
  <c r="F64" i="10" s="1"/>
  <c r="E134" i="12"/>
  <c r="N133" i="12"/>
  <c r="M133" i="12"/>
  <c r="L133" i="12"/>
  <c r="K133" i="12"/>
  <c r="J133" i="12"/>
  <c r="J63" i="10" s="1"/>
  <c r="I133" i="12"/>
  <c r="I63" i="10" s="1"/>
  <c r="H133" i="12"/>
  <c r="H63" i="10" s="1"/>
  <c r="G133" i="12"/>
  <c r="F133" i="12"/>
  <c r="E133" i="12"/>
  <c r="N132" i="12"/>
  <c r="M132" i="12"/>
  <c r="L132" i="12"/>
  <c r="K132" i="12"/>
  <c r="J132" i="12"/>
  <c r="I132" i="12"/>
  <c r="H132" i="12"/>
  <c r="H62" i="10" s="1"/>
  <c r="G132" i="12"/>
  <c r="G62" i="10" s="1"/>
  <c r="F132" i="12"/>
  <c r="F62" i="10" s="1"/>
  <c r="E132" i="12"/>
  <c r="E62" i="10" s="1"/>
  <c r="N131" i="12"/>
  <c r="M131" i="12"/>
  <c r="L131" i="12"/>
  <c r="K131" i="12"/>
  <c r="J131" i="12"/>
  <c r="I131" i="12"/>
  <c r="H131" i="12"/>
  <c r="H88" i="10" s="1"/>
  <c r="G131" i="12"/>
  <c r="G88" i="10" s="1"/>
  <c r="F131" i="12"/>
  <c r="F88" i="10" s="1"/>
  <c r="E131" i="12"/>
  <c r="N130" i="12"/>
  <c r="M130" i="12"/>
  <c r="L130" i="12"/>
  <c r="K130" i="12"/>
  <c r="J130" i="12"/>
  <c r="I130" i="12"/>
  <c r="I61" i="10" s="1"/>
  <c r="H130" i="12"/>
  <c r="H61" i="10" s="1"/>
  <c r="G130" i="12"/>
  <c r="G61" i="10" s="1"/>
  <c r="F130" i="12"/>
  <c r="F61" i="10" s="1"/>
  <c r="E130" i="12"/>
  <c r="N129" i="12"/>
  <c r="M129" i="12"/>
  <c r="L129" i="12"/>
  <c r="K129" i="12"/>
  <c r="J129" i="12"/>
  <c r="I129" i="12"/>
  <c r="I60" i="10" s="1"/>
  <c r="H129" i="12"/>
  <c r="H60" i="10" s="1"/>
  <c r="G129" i="12"/>
  <c r="G60" i="10" s="1"/>
  <c r="F129" i="12"/>
  <c r="F60" i="10" s="1"/>
  <c r="E129" i="12"/>
  <c r="E60" i="10" s="1"/>
  <c r="N128" i="12"/>
  <c r="M128" i="12"/>
  <c r="L128" i="12"/>
  <c r="K128" i="12"/>
  <c r="J128" i="12"/>
  <c r="I128" i="12"/>
  <c r="H128" i="12"/>
  <c r="G128" i="12"/>
  <c r="F128" i="12"/>
  <c r="E128" i="12"/>
  <c r="N127" i="12"/>
  <c r="M127" i="12"/>
  <c r="L127" i="12"/>
  <c r="K127" i="12"/>
  <c r="J127" i="12"/>
  <c r="I127" i="12"/>
  <c r="H127" i="12"/>
  <c r="G127" i="12"/>
  <c r="F127" i="12"/>
  <c r="E127" i="12"/>
  <c r="N126" i="12"/>
  <c r="M126" i="12"/>
  <c r="L126" i="12"/>
  <c r="K126" i="12"/>
  <c r="J126" i="12"/>
  <c r="I126" i="12"/>
  <c r="H126" i="12"/>
  <c r="G126" i="12"/>
  <c r="F126" i="12"/>
  <c r="E126" i="12"/>
  <c r="N125" i="12"/>
  <c r="M125" i="12"/>
  <c r="L125" i="12"/>
  <c r="K125" i="12"/>
  <c r="J125" i="12"/>
  <c r="J59" i="10" s="1"/>
  <c r="I125" i="12"/>
  <c r="I59" i="10" s="1"/>
  <c r="H125" i="12"/>
  <c r="H59" i="10" s="1"/>
  <c r="G125" i="12"/>
  <c r="G59" i="10" s="1"/>
  <c r="F125" i="12"/>
  <c r="F59" i="10" s="1"/>
  <c r="E125" i="12"/>
  <c r="N124" i="12"/>
  <c r="M124" i="12"/>
  <c r="L124" i="12"/>
  <c r="K124" i="12"/>
  <c r="J124" i="12"/>
  <c r="I124" i="12"/>
  <c r="H124" i="12"/>
  <c r="H58" i="10" s="1"/>
  <c r="G124" i="12"/>
  <c r="G58" i="10" s="1"/>
  <c r="F124" i="12"/>
  <c r="E124" i="12"/>
  <c r="N123" i="12"/>
  <c r="M123" i="12"/>
  <c r="L123" i="12"/>
  <c r="K123" i="12"/>
  <c r="J123" i="12"/>
  <c r="I123" i="12"/>
  <c r="H123" i="12"/>
  <c r="G123" i="12"/>
  <c r="G57" i="10" s="1"/>
  <c r="F123" i="12"/>
  <c r="F57" i="10" s="1"/>
  <c r="E123" i="12"/>
  <c r="E57" i="10" s="1"/>
  <c r="N122" i="12"/>
  <c r="M122" i="12"/>
  <c r="L122" i="12"/>
  <c r="K122" i="12"/>
  <c r="J122" i="12"/>
  <c r="I122" i="12"/>
  <c r="H122" i="12"/>
  <c r="G122" i="12"/>
  <c r="F122" i="12"/>
  <c r="E122" i="12"/>
  <c r="N121" i="12"/>
  <c r="M121" i="12"/>
  <c r="L121" i="12"/>
  <c r="K121" i="12"/>
  <c r="J121" i="12"/>
  <c r="I121" i="12"/>
  <c r="I56" i="10" s="1"/>
  <c r="H121" i="12"/>
  <c r="G121" i="12"/>
  <c r="F121" i="12"/>
  <c r="E121" i="12"/>
  <c r="N120" i="12"/>
  <c r="M120" i="12"/>
  <c r="L120" i="12"/>
  <c r="K120" i="12"/>
  <c r="J120" i="12"/>
  <c r="J55" i="10" s="1"/>
  <c r="I120" i="12"/>
  <c r="I55" i="10" s="1"/>
  <c r="H120" i="12"/>
  <c r="H55" i="10" s="1"/>
  <c r="G120" i="12"/>
  <c r="G55" i="10" s="1"/>
  <c r="F120" i="12"/>
  <c r="F55" i="10" s="1"/>
  <c r="E120" i="12"/>
  <c r="E55" i="10" s="1"/>
  <c r="N119" i="12"/>
  <c r="M119" i="12"/>
  <c r="L119" i="12"/>
  <c r="K119" i="12"/>
  <c r="J119" i="12"/>
  <c r="J54" i="10" s="1"/>
  <c r="I119" i="12"/>
  <c r="I54" i="10" s="1"/>
  <c r="H119" i="12"/>
  <c r="H54" i="10" s="1"/>
  <c r="G119" i="12"/>
  <c r="G54" i="10" s="1"/>
  <c r="F119" i="12"/>
  <c r="F54" i="10" s="1"/>
  <c r="E119" i="12"/>
  <c r="N118" i="12"/>
  <c r="M118" i="12"/>
  <c r="L118" i="12"/>
  <c r="K118" i="12"/>
  <c r="J118" i="12"/>
  <c r="I118" i="12"/>
  <c r="I52" i="10" s="1"/>
  <c r="H118" i="12"/>
  <c r="H52" i="10" s="1"/>
  <c r="G118" i="12"/>
  <c r="G52" i="10" s="1"/>
  <c r="F118" i="12"/>
  <c r="F52" i="10" s="1"/>
  <c r="E118" i="12"/>
  <c r="N117" i="12"/>
  <c r="M117" i="12"/>
  <c r="L117" i="12"/>
  <c r="K117" i="12"/>
  <c r="J117" i="12"/>
  <c r="I117" i="12"/>
  <c r="I51" i="10" s="1"/>
  <c r="H117" i="12"/>
  <c r="G117" i="12"/>
  <c r="F117" i="12"/>
  <c r="E117" i="12"/>
  <c r="E51" i="10" s="1"/>
  <c r="N116" i="12"/>
  <c r="M116" i="12"/>
  <c r="L116" i="12"/>
  <c r="K116" i="12"/>
  <c r="J116" i="12"/>
  <c r="J50" i="10" s="1"/>
  <c r="I116" i="12"/>
  <c r="H116" i="12"/>
  <c r="H50" i="10" s="1"/>
  <c r="G116" i="12"/>
  <c r="F116" i="12"/>
  <c r="E116" i="12"/>
  <c r="N115" i="12"/>
  <c r="M115" i="12"/>
  <c r="L115" i="12"/>
  <c r="K115" i="12"/>
  <c r="J115" i="12"/>
  <c r="I115" i="12"/>
  <c r="H115" i="12"/>
  <c r="G115" i="12"/>
  <c r="F115" i="12"/>
  <c r="E115" i="12"/>
  <c r="N114" i="12"/>
  <c r="M114" i="12"/>
  <c r="L114" i="12"/>
  <c r="K114" i="12"/>
  <c r="J114" i="12"/>
  <c r="I114" i="12"/>
  <c r="H114" i="12"/>
  <c r="G114" i="12"/>
  <c r="F114" i="12"/>
  <c r="E114" i="12"/>
  <c r="N113" i="12"/>
  <c r="M113" i="12"/>
  <c r="L113" i="12"/>
  <c r="K113" i="12"/>
  <c r="J113" i="12"/>
  <c r="J49" i="10" s="1"/>
  <c r="I113" i="12"/>
  <c r="I49" i="10" s="1"/>
  <c r="H113" i="12"/>
  <c r="H49" i="10" s="1"/>
  <c r="G113" i="12"/>
  <c r="G49" i="10" s="1"/>
  <c r="F113" i="12"/>
  <c r="F49" i="10" s="1"/>
  <c r="E113" i="12"/>
  <c r="N112" i="12"/>
  <c r="M112" i="12"/>
  <c r="L112" i="12"/>
  <c r="K112" i="12"/>
  <c r="J112" i="12"/>
  <c r="I112" i="12"/>
  <c r="H112" i="12"/>
  <c r="G112" i="12"/>
  <c r="F112" i="12"/>
  <c r="E112" i="12"/>
  <c r="N111" i="12"/>
  <c r="M111" i="12"/>
  <c r="L111" i="12"/>
  <c r="K111" i="12"/>
  <c r="J111" i="12"/>
  <c r="I111" i="12"/>
  <c r="H111" i="12"/>
  <c r="G111" i="12"/>
  <c r="F111" i="12"/>
  <c r="E111" i="12"/>
  <c r="N110" i="12"/>
  <c r="M110" i="12"/>
  <c r="L110" i="12"/>
  <c r="K110" i="12"/>
  <c r="J110" i="12"/>
  <c r="I110" i="12"/>
  <c r="H110" i="12"/>
  <c r="G110" i="12"/>
  <c r="F110" i="12"/>
  <c r="E110" i="12"/>
  <c r="N109" i="12"/>
  <c r="M109" i="12"/>
  <c r="L109" i="12"/>
  <c r="K109" i="12"/>
  <c r="J109" i="12"/>
  <c r="E48" i="10" s="1"/>
  <c r="I109" i="12"/>
  <c r="I48" i="10" s="1"/>
  <c r="H109" i="12"/>
  <c r="H48" i="10" s="1"/>
  <c r="G109" i="12"/>
  <c r="F109" i="12"/>
  <c r="E109" i="12"/>
  <c r="N108" i="12"/>
  <c r="M108" i="12"/>
  <c r="L108" i="12"/>
  <c r="K108" i="12"/>
  <c r="J108" i="12"/>
  <c r="I108" i="12"/>
  <c r="H108" i="12"/>
  <c r="G108" i="12"/>
  <c r="F108" i="12"/>
  <c r="E108" i="12"/>
  <c r="N107" i="12"/>
  <c r="M107" i="12"/>
  <c r="L107" i="12"/>
  <c r="K107" i="12"/>
  <c r="J107" i="12"/>
  <c r="I107" i="12"/>
  <c r="H107" i="12"/>
  <c r="G107" i="12"/>
  <c r="F107" i="12"/>
  <c r="E107" i="12"/>
  <c r="N106" i="12"/>
  <c r="M106" i="12"/>
  <c r="L106" i="12"/>
  <c r="K106" i="12"/>
  <c r="J106" i="12"/>
  <c r="I106" i="12"/>
  <c r="H106" i="12"/>
  <c r="G106" i="12"/>
  <c r="F106" i="12"/>
  <c r="E106" i="12"/>
  <c r="N105" i="12"/>
  <c r="M105" i="12"/>
  <c r="L105" i="12"/>
  <c r="K105" i="12"/>
  <c r="J105" i="12"/>
  <c r="J189" i="10" s="1"/>
  <c r="I105" i="12"/>
  <c r="I189" i="10" s="1"/>
  <c r="H105" i="12"/>
  <c r="G105" i="12"/>
  <c r="G189" i="10" s="1"/>
  <c r="F105" i="12"/>
  <c r="F189" i="10" s="1"/>
  <c r="E105" i="12"/>
  <c r="E189" i="10" s="1"/>
  <c r="N104" i="12"/>
  <c r="M104" i="12"/>
  <c r="L104" i="12"/>
  <c r="K104" i="12"/>
  <c r="J104" i="12"/>
  <c r="I104" i="12"/>
  <c r="H104" i="12"/>
  <c r="G104" i="12"/>
  <c r="F104" i="12"/>
  <c r="E104" i="12"/>
  <c r="N103" i="12"/>
  <c r="M103" i="12"/>
  <c r="L103" i="12"/>
  <c r="K103" i="12"/>
  <c r="J103" i="12"/>
  <c r="J47" i="10" s="1"/>
  <c r="I103" i="12"/>
  <c r="I47" i="10" s="1"/>
  <c r="H103" i="12"/>
  <c r="H47" i="10" s="1"/>
  <c r="G103" i="12"/>
  <c r="F103" i="12"/>
  <c r="F47" i="10" s="1"/>
  <c r="E103" i="12"/>
  <c r="N102" i="12"/>
  <c r="M102" i="12"/>
  <c r="L102" i="12"/>
  <c r="K102" i="12"/>
  <c r="J102" i="12"/>
  <c r="I102" i="12"/>
  <c r="H102" i="12"/>
  <c r="G102" i="12"/>
  <c r="F102" i="12"/>
  <c r="E102" i="12"/>
  <c r="N101" i="12"/>
  <c r="M101" i="12"/>
  <c r="L101" i="12"/>
  <c r="K101" i="12"/>
  <c r="J101" i="12"/>
  <c r="I101" i="12"/>
  <c r="I46" i="10" s="1"/>
  <c r="H101" i="12"/>
  <c r="H46" i="10" s="1"/>
  <c r="G101" i="12"/>
  <c r="G46" i="10" s="1"/>
  <c r="F101" i="12"/>
  <c r="F46" i="10" s="1"/>
  <c r="E101" i="12"/>
  <c r="N100" i="12"/>
  <c r="M100" i="12"/>
  <c r="L100" i="12"/>
  <c r="K100" i="12"/>
  <c r="J100" i="12"/>
  <c r="I100" i="12"/>
  <c r="H100" i="12"/>
  <c r="H45" i="10" s="1"/>
  <c r="G100" i="12"/>
  <c r="G45" i="10" s="1"/>
  <c r="F100" i="12"/>
  <c r="F45" i="10" s="1"/>
  <c r="E100" i="12"/>
  <c r="N99" i="12"/>
  <c r="M99" i="12"/>
  <c r="L99" i="12"/>
  <c r="K99" i="12"/>
  <c r="J99" i="12"/>
  <c r="I99" i="12"/>
  <c r="H99" i="12"/>
  <c r="G99" i="12"/>
  <c r="F99" i="12"/>
  <c r="F43" i="10" s="1"/>
  <c r="E99" i="12"/>
  <c r="N98" i="12"/>
  <c r="M98" i="12"/>
  <c r="L98" i="12"/>
  <c r="K98" i="12"/>
  <c r="J98" i="12"/>
  <c r="I98" i="12"/>
  <c r="H98" i="12"/>
  <c r="G98" i="12"/>
  <c r="F98" i="12"/>
  <c r="E98" i="12"/>
  <c r="N97" i="12"/>
  <c r="M97" i="12"/>
  <c r="L97" i="12"/>
  <c r="K97" i="12"/>
  <c r="J97" i="12"/>
  <c r="I97" i="12"/>
  <c r="H97" i="12"/>
  <c r="G97" i="12"/>
  <c r="F97" i="12"/>
  <c r="E97" i="12"/>
  <c r="N96" i="12"/>
  <c r="M96" i="12"/>
  <c r="L96" i="12"/>
  <c r="K96" i="12"/>
  <c r="J96" i="12"/>
  <c r="I96" i="12"/>
  <c r="H96" i="12"/>
  <c r="G96" i="12"/>
  <c r="F96" i="12"/>
  <c r="E96" i="12"/>
  <c r="N95" i="12"/>
  <c r="M95" i="12"/>
  <c r="L95" i="12"/>
  <c r="K95" i="12"/>
  <c r="J95" i="12"/>
  <c r="I95" i="12"/>
  <c r="H95" i="12"/>
  <c r="G95" i="12"/>
  <c r="F95" i="12"/>
  <c r="E95" i="12"/>
  <c r="N94" i="12"/>
  <c r="M94" i="12"/>
  <c r="L94" i="12"/>
  <c r="K94" i="12"/>
  <c r="J94" i="12"/>
  <c r="J44" i="10" s="1"/>
  <c r="I94" i="12"/>
  <c r="I44" i="10" s="1"/>
  <c r="H94" i="12"/>
  <c r="H44" i="10" s="1"/>
  <c r="G94" i="12"/>
  <c r="G44" i="10" s="1"/>
  <c r="F94" i="12"/>
  <c r="F44" i="10" s="1"/>
  <c r="E94" i="12"/>
  <c r="N93" i="12"/>
  <c r="M93" i="12"/>
  <c r="L93" i="12"/>
  <c r="K93" i="12"/>
  <c r="J93" i="12"/>
  <c r="I93" i="12"/>
  <c r="H93" i="12"/>
  <c r="G93" i="12"/>
  <c r="F93" i="12"/>
  <c r="E93" i="12"/>
  <c r="N92" i="12"/>
  <c r="M92" i="12"/>
  <c r="L92" i="12"/>
  <c r="K92" i="12"/>
  <c r="J92" i="12"/>
  <c r="E42" i="10" s="1"/>
  <c r="I92" i="12"/>
  <c r="H92" i="12"/>
  <c r="H42" i="10" s="1"/>
  <c r="G92" i="12"/>
  <c r="F92" i="12"/>
  <c r="E92" i="12"/>
  <c r="N91" i="12"/>
  <c r="M91" i="12"/>
  <c r="L91" i="12"/>
  <c r="K91" i="12"/>
  <c r="J91" i="12"/>
  <c r="I91" i="12"/>
  <c r="H91" i="12"/>
  <c r="G91" i="12"/>
  <c r="F91" i="12"/>
  <c r="E91" i="12"/>
  <c r="N90" i="12"/>
  <c r="M90" i="12"/>
  <c r="L90" i="12"/>
  <c r="K90" i="12"/>
  <c r="J90" i="12"/>
  <c r="J41" i="10" s="1"/>
  <c r="I90" i="12"/>
  <c r="I41" i="10" s="1"/>
  <c r="H90" i="12"/>
  <c r="H41" i="10" s="1"/>
  <c r="G90" i="12"/>
  <c r="G41" i="10" s="1"/>
  <c r="F90" i="12"/>
  <c r="F41" i="10" s="1"/>
  <c r="E90" i="12"/>
  <c r="E41" i="10" s="1"/>
  <c r="N89" i="12"/>
  <c r="M89" i="12"/>
  <c r="L89" i="12"/>
  <c r="K89" i="12"/>
  <c r="J89" i="12"/>
  <c r="I89" i="12"/>
  <c r="H89" i="12"/>
  <c r="G89" i="12"/>
  <c r="F89" i="12"/>
  <c r="E89" i="12"/>
  <c r="N88" i="12"/>
  <c r="M88" i="12"/>
  <c r="L88" i="12"/>
  <c r="K88" i="12"/>
  <c r="J88" i="12"/>
  <c r="J37" i="10" s="1"/>
  <c r="I88" i="12"/>
  <c r="I37" i="10" s="1"/>
  <c r="H88" i="12"/>
  <c r="H37" i="10" s="1"/>
  <c r="G88" i="12"/>
  <c r="F88" i="12"/>
  <c r="F37" i="10" s="1"/>
  <c r="E88" i="12"/>
  <c r="N87" i="12"/>
  <c r="M87" i="12"/>
  <c r="L87" i="12"/>
  <c r="K87" i="12"/>
  <c r="J87" i="12"/>
  <c r="I87" i="12"/>
  <c r="H87" i="12"/>
  <c r="H38" i="10" s="1"/>
  <c r="G87" i="12"/>
  <c r="F87" i="12"/>
  <c r="F38" i="10" s="1"/>
  <c r="E87" i="12"/>
  <c r="E38" i="10" s="1"/>
  <c r="N86" i="12"/>
  <c r="M86" i="12"/>
  <c r="L86" i="12"/>
  <c r="K86" i="12"/>
  <c r="J86" i="12"/>
  <c r="E40" i="10" s="1"/>
  <c r="I86" i="12"/>
  <c r="I40" i="10" s="1"/>
  <c r="H86" i="12"/>
  <c r="H40" i="10" s="1"/>
  <c r="G86" i="12"/>
  <c r="G40" i="10" s="1"/>
  <c r="F86" i="12"/>
  <c r="F40" i="10" s="1"/>
  <c r="E86" i="12"/>
  <c r="N85" i="12"/>
  <c r="M85" i="12"/>
  <c r="L85" i="12"/>
  <c r="K85" i="12"/>
  <c r="J85" i="12"/>
  <c r="J39" i="10" s="1"/>
  <c r="I85" i="12"/>
  <c r="I39" i="10" s="1"/>
  <c r="H85" i="12"/>
  <c r="H39" i="10" s="1"/>
  <c r="G85" i="12"/>
  <c r="F85" i="12"/>
  <c r="E85" i="12"/>
  <c r="N84" i="12"/>
  <c r="M84" i="12"/>
  <c r="L84" i="12"/>
  <c r="K84" i="12"/>
  <c r="J84" i="12"/>
  <c r="I84" i="12"/>
  <c r="H84" i="12"/>
  <c r="G84" i="12"/>
  <c r="F84" i="12"/>
  <c r="E84" i="12"/>
  <c r="N83" i="12"/>
  <c r="M83" i="12"/>
  <c r="L83" i="12"/>
  <c r="K83" i="12"/>
  <c r="J83" i="12"/>
  <c r="I83" i="12"/>
  <c r="H83" i="12"/>
  <c r="G83" i="12"/>
  <c r="F83" i="12"/>
  <c r="E83" i="12"/>
  <c r="N82" i="12"/>
  <c r="M82" i="12"/>
  <c r="L82" i="12"/>
  <c r="K82" i="12"/>
  <c r="J82" i="12"/>
  <c r="I82" i="12"/>
  <c r="H82" i="12"/>
  <c r="G82" i="12"/>
  <c r="F82" i="12"/>
  <c r="E82" i="12"/>
  <c r="N81" i="12"/>
  <c r="M81" i="12"/>
  <c r="L81" i="12"/>
  <c r="K81" i="12"/>
  <c r="J81" i="12"/>
  <c r="I81" i="12"/>
  <c r="H81" i="12"/>
  <c r="G81" i="12"/>
  <c r="F81" i="12"/>
  <c r="E81" i="12"/>
  <c r="N80" i="12"/>
  <c r="M80" i="12"/>
  <c r="L80" i="12"/>
  <c r="K80" i="12"/>
  <c r="J80" i="12"/>
  <c r="I80" i="12"/>
  <c r="H80" i="12"/>
  <c r="G80" i="12"/>
  <c r="F80" i="12"/>
  <c r="E80" i="12"/>
  <c r="N79" i="12"/>
  <c r="M79" i="12"/>
  <c r="L79" i="12"/>
  <c r="K79" i="12"/>
  <c r="J79" i="12"/>
  <c r="J36" i="10" s="1"/>
  <c r="I79" i="12"/>
  <c r="H79" i="12"/>
  <c r="H36" i="10" s="1"/>
  <c r="G79" i="12"/>
  <c r="F79" i="12"/>
  <c r="E79" i="12"/>
  <c r="N78" i="12"/>
  <c r="M78" i="12"/>
  <c r="L78" i="12"/>
  <c r="K78" i="12"/>
  <c r="J78" i="12"/>
  <c r="J35" i="10" s="1"/>
  <c r="I78" i="12"/>
  <c r="I35" i="10" s="1"/>
  <c r="H78" i="12"/>
  <c r="H35" i="10" s="1"/>
  <c r="G78" i="12"/>
  <c r="G35" i="10" s="1"/>
  <c r="F78" i="12"/>
  <c r="F35" i="10" s="1"/>
  <c r="E78" i="12"/>
  <c r="N77" i="12"/>
  <c r="M77" i="12"/>
  <c r="L77" i="12"/>
  <c r="K77" i="12"/>
  <c r="J77" i="12"/>
  <c r="J34" i="10" s="1"/>
  <c r="I77" i="12"/>
  <c r="I34" i="10" s="1"/>
  <c r="H77" i="12"/>
  <c r="H34" i="10" s="1"/>
  <c r="G77" i="12"/>
  <c r="G34" i="10" s="1"/>
  <c r="F77" i="12"/>
  <c r="F34" i="10" s="1"/>
  <c r="E77" i="12"/>
  <c r="N76" i="12"/>
  <c r="M76" i="12"/>
  <c r="L76" i="12"/>
  <c r="K76" i="12"/>
  <c r="J76" i="12"/>
  <c r="I76" i="12"/>
  <c r="H76" i="12"/>
  <c r="H33" i="10" s="1"/>
  <c r="G76" i="12"/>
  <c r="F76" i="12"/>
  <c r="E76" i="12"/>
  <c r="N75" i="12"/>
  <c r="M75" i="12"/>
  <c r="L75" i="12"/>
  <c r="K75" i="12"/>
  <c r="J75" i="12"/>
  <c r="I75" i="12"/>
  <c r="H75" i="12"/>
  <c r="G75" i="12"/>
  <c r="F75" i="12"/>
  <c r="E75" i="12"/>
  <c r="E32" i="10" s="1"/>
  <c r="N74" i="12"/>
  <c r="M74" i="12"/>
  <c r="L74" i="12"/>
  <c r="K74" i="12"/>
  <c r="J74" i="12"/>
  <c r="I74" i="12"/>
  <c r="H74" i="12"/>
  <c r="G74" i="12"/>
  <c r="F74" i="12"/>
  <c r="E74" i="12"/>
  <c r="N73" i="12"/>
  <c r="M73" i="12"/>
  <c r="L73" i="12"/>
  <c r="K73" i="12"/>
  <c r="J73" i="12"/>
  <c r="I73" i="12"/>
  <c r="H73" i="12"/>
  <c r="G73" i="12"/>
  <c r="F73" i="12"/>
  <c r="E73" i="12"/>
  <c r="N72" i="12"/>
  <c r="M72" i="12"/>
  <c r="L72" i="12"/>
  <c r="K72" i="12"/>
  <c r="J72" i="12"/>
  <c r="I72" i="12"/>
  <c r="H72" i="12"/>
  <c r="G72" i="12"/>
  <c r="F72" i="12"/>
  <c r="E72" i="12"/>
  <c r="N71" i="12"/>
  <c r="M71" i="12"/>
  <c r="L71" i="12"/>
  <c r="K71" i="12"/>
  <c r="J71" i="12"/>
  <c r="I71" i="12"/>
  <c r="H71" i="12"/>
  <c r="G71" i="12"/>
  <c r="F71" i="12"/>
  <c r="E71" i="12"/>
  <c r="N70" i="12"/>
  <c r="M70" i="12"/>
  <c r="L70" i="12"/>
  <c r="K70" i="12"/>
  <c r="J70" i="12"/>
  <c r="I70" i="12"/>
  <c r="H70" i="12"/>
  <c r="G70" i="12"/>
  <c r="F70" i="12"/>
  <c r="E70" i="12"/>
  <c r="N69" i="12"/>
  <c r="M69" i="12"/>
  <c r="L69" i="12"/>
  <c r="K69" i="12"/>
  <c r="J69" i="12"/>
  <c r="I69" i="12"/>
  <c r="H69" i="12"/>
  <c r="G69" i="12"/>
  <c r="F69" i="12"/>
  <c r="E69" i="12"/>
  <c r="N68" i="12"/>
  <c r="M68" i="12"/>
  <c r="L68" i="12"/>
  <c r="K68" i="12"/>
  <c r="J68" i="12"/>
  <c r="I68" i="12"/>
  <c r="H68" i="12"/>
  <c r="G68" i="12"/>
  <c r="F68" i="12"/>
  <c r="E68" i="12"/>
  <c r="N67" i="12"/>
  <c r="M67" i="12"/>
  <c r="L67" i="12"/>
  <c r="K67" i="12"/>
  <c r="J67" i="12"/>
  <c r="I67" i="12"/>
  <c r="H67" i="12"/>
  <c r="G67" i="12"/>
  <c r="F67" i="12"/>
  <c r="E67" i="12"/>
  <c r="N66" i="12"/>
  <c r="M66" i="12"/>
  <c r="L66" i="12"/>
  <c r="K66" i="12"/>
  <c r="J66" i="12"/>
  <c r="I66" i="12"/>
  <c r="H66" i="12"/>
  <c r="G66" i="12"/>
  <c r="F66" i="12"/>
  <c r="E66" i="12"/>
  <c r="N65" i="12"/>
  <c r="M65" i="12"/>
  <c r="L65" i="12"/>
  <c r="K65" i="12"/>
  <c r="J65" i="12"/>
  <c r="I65" i="12"/>
  <c r="H65" i="12"/>
  <c r="G65" i="12"/>
  <c r="F65" i="12"/>
  <c r="E65" i="12"/>
  <c r="N64" i="12"/>
  <c r="M64" i="12"/>
  <c r="L64" i="12"/>
  <c r="K64" i="12"/>
  <c r="J64" i="12"/>
  <c r="I64" i="12"/>
  <c r="H64" i="12"/>
  <c r="G64" i="12"/>
  <c r="F64" i="12"/>
  <c r="E64" i="12"/>
  <c r="N63" i="12"/>
  <c r="M63" i="12"/>
  <c r="L63" i="12"/>
  <c r="K63" i="12"/>
  <c r="J63" i="12"/>
  <c r="I63" i="12"/>
  <c r="H63" i="12"/>
  <c r="G63" i="12"/>
  <c r="F63" i="12"/>
  <c r="E63" i="12"/>
  <c r="N62" i="12"/>
  <c r="M62" i="12"/>
  <c r="L62" i="12"/>
  <c r="K62" i="12"/>
  <c r="J62" i="12"/>
  <c r="I62" i="12"/>
  <c r="I18" i="10" s="1"/>
  <c r="H62" i="12"/>
  <c r="H18" i="10" s="1"/>
  <c r="G62" i="12"/>
  <c r="G18" i="10" s="1"/>
  <c r="F62" i="12"/>
  <c r="F18" i="10" s="1"/>
  <c r="E62" i="12"/>
  <c r="N61" i="12"/>
  <c r="M61" i="12"/>
  <c r="L61" i="12"/>
  <c r="K61" i="12"/>
  <c r="J61" i="12"/>
  <c r="J16" i="10" s="1"/>
  <c r="I61" i="12"/>
  <c r="I16" i="10" s="1"/>
  <c r="H61" i="12"/>
  <c r="H16" i="10" s="1"/>
  <c r="G61" i="12"/>
  <c r="F61" i="12"/>
  <c r="E61" i="12"/>
  <c r="N60" i="12"/>
  <c r="M60" i="12"/>
  <c r="L60" i="12"/>
  <c r="K60" i="12"/>
  <c r="J60" i="12"/>
  <c r="I60" i="12"/>
  <c r="H60" i="12"/>
  <c r="G60" i="12"/>
  <c r="F60" i="12"/>
  <c r="E60" i="12"/>
  <c r="N59" i="12"/>
  <c r="M59" i="12"/>
  <c r="L59" i="12"/>
  <c r="K59" i="12"/>
  <c r="J59" i="12"/>
  <c r="I59" i="12"/>
  <c r="H59" i="12"/>
  <c r="G59" i="12"/>
  <c r="F59" i="12"/>
  <c r="E59" i="12"/>
  <c r="N58" i="12"/>
  <c r="M58" i="12"/>
  <c r="L58" i="12"/>
  <c r="K58" i="12"/>
  <c r="J58" i="12"/>
  <c r="J31" i="10" s="1"/>
  <c r="I58" i="12"/>
  <c r="I31" i="10" s="1"/>
  <c r="H58" i="12"/>
  <c r="H31" i="10" s="1"/>
  <c r="G58" i="12"/>
  <c r="G31" i="10" s="1"/>
  <c r="F58" i="12"/>
  <c r="F31" i="10" s="1"/>
  <c r="E58" i="12"/>
  <c r="N57" i="12"/>
  <c r="M57" i="12"/>
  <c r="L57" i="12"/>
  <c r="K57" i="12"/>
  <c r="J57" i="12"/>
  <c r="I57" i="12"/>
  <c r="H57" i="12"/>
  <c r="G57" i="12"/>
  <c r="F57" i="12"/>
  <c r="E57" i="12"/>
  <c r="N56" i="12"/>
  <c r="M56" i="12"/>
  <c r="L56" i="12"/>
  <c r="K56" i="12"/>
  <c r="J56" i="12"/>
  <c r="J29" i="10" s="1"/>
  <c r="I56" i="12"/>
  <c r="I29" i="10" s="1"/>
  <c r="H56" i="12"/>
  <c r="H29" i="10" s="1"/>
  <c r="G56" i="12"/>
  <c r="F56" i="12"/>
  <c r="F29" i="10" s="1"/>
  <c r="E56" i="12"/>
  <c r="N55" i="12"/>
  <c r="M55" i="12"/>
  <c r="L55" i="12"/>
  <c r="K55" i="12"/>
  <c r="J55" i="12"/>
  <c r="J28" i="10" s="1"/>
  <c r="I55" i="12"/>
  <c r="I28" i="10" s="1"/>
  <c r="H55" i="12"/>
  <c r="H28" i="10" s="1"/>
  <c r="G55" i="12"/>
  <c r="G28" i="10" s="1"/>
  <c r="F55" i="12"/>
  <c r="E55" i="12"/>
  <c r="N54" i="12"/>
  <c r="M54" i="12"/>
  <c r="L54" i="12"/>
  <c r="K54" i="12"/>
  <c r="J54" i="12"/>
  <c r="I54" i="12"/>
  <c r="H54" i="12"/>
  <c r="G54" i="12"/>
  <c r="F54" i="12"/>
  <c r="E54" i="12"/>
  <c r="N53" i="12"/>
  <c r="M53" i="12"/>
  <c r="L53" i="12"/>
  <c r="K53" i="12"/>
  <c r="J53" i="12"/>
  <c r="J27" i="10" s="1"/>
  <c r="I53" i="12"/>
  <c r="I27" i="10" s="1"/>
  <c r="H53" i="12"/>
  <c r="H27" i="10" s="1"/>
  <c r="G53" i="12"/>
  <c r="G27" i="10" s="1"/>
  <c r="F53" i="12"/>
  <c r="F27" i="10" s="1"/>
  <c r="E53" i="12"/>
  <c r="N52" i="12"/>
  <c r="M52" i="12"/>
  <c r="L52" i="12"/>
  <c r="K52" i="12"/>
  <c r="J52" i="12"/>
  <c r="I52" i="12"/>
  <c r="H52" i="12"/>
  <c r="G52" i="12"/>
  <c r="F52" i="12"/>
  <c r="E52" i="12"/>
  <c r="N51" i="12"/>
  <c r="M51" i="12"/>
  <c r="L51" i="12"/>
  <c r="K51" i="12"/>
  <c r="J51" i="12"/>
  <c r="I51" i="12"/>
  <c r="H51" i="12"/>
  <c r="H26" i="10" s="1"/>
  <c r="G51" i="12"/>
  <c r="G26" i="10" s="1"/>
  <c r="F51" i="12"/>
  <c r="F26" i="10" s="1"/>
  <c r="E51" i="12"/>
  <c r="E26" i="10" s="1"/>
  <c r="N50" i="12"/>
  <c r="M50" i="12"/>
  <c r="L50" i="12"/>
  <c r="K50" i="12"/>
  <c r="J50" i="12"/>
  <c r="J25" i="10" s="1"/>
  <c r="I50" i="12"/>
  <c r="I25" i="10" s="1"/>
  <c r="H50" i="12"/>
  <c r="G50" i="12"/>
  <c r="G25" i="10" s="1"/>
  <c r="F50" i="12"/>
  <c r="F25" i="10" s="1"/>
  <c r="E50" i="12"/>
  <c r="N49" i="12"/>
  <c r="M49" i="12"/>
  <c r="L49" i="12"/>
  <c r="K49" i="12"/>
  <c r="J49" i="12"/>
  <c r="J24" i="10" s="1"/>
  <c r="I49" i="12"/>
  <c r="I24" i="10" s="1"/>
  <c r="H49" i="12"/>
  <c r="H24" i="10" s="1"/>
  <c r="G49" i="12"/>
  <c r="G24" i="10" s="1"/>
  <c r="F49" i="12"/>
  <c r="E49" i="12"/>
  <c r="N48" i="12"/>
  <c r="M48" i="12"/>
  <c r="K48" i="12"/>
  <c r="J48" i="12"/>
  <c r="J23" i="10" s="1"/>
  <c r="I48" i="12"/>
  <c r="I23" i="10" s="1"/>
  <c r="H48" i="12"/>
  <c r="H23" i="10" s="1"/>
  <c r="G48" i="12"/>
  <c r="G23" i="10" s="1"/>
  <c r="F48" i="12"/>
  <c r="F23" i="10" s="1"/>
  <c r="E48" i="12"/>
  <c r="E23" i="10" s="1"/>
  <c r="N47" i="12"/>
  <c r="M47" i="12"/>
  <c r="L47" i="12"/>
  <c r="K47" i="12"/>
  <c r="J47" i="12"/>
  <c r="J149" i="10" s="1"/>
  <c r="I47" i="12"/>
  <c r="I149" i="10" s="1"/>
  <c r="H47" i="12"/>
  <c r="H149" i="10" s="1"/>
  <c r="G47" i="12"/>
  <c r="G149" i="10" s="1"/>
  <c r="F47" i="12"/>
  <c r="F149" i="10" s="1"/>
  <c r="E47" i="12"/>
  <c r="N46" i="12"/>
  <c r="M46" i="12"/>
  <c r="L46" i="12"/>
  <c r="K46" i="12"/>
  <c r="J46" i="12"/>
  <c r="J22" i="10" s="1"/>
  <c r="I46" i="12"/>
  <c r="H46" i="12"/>
  <c r="H22" i="10" s="1"/>
  <c r="G46" i="12"/>
  <c r="G22" i="10" s="1"/>
  <c r="F46" i="12"/>
  <c r="F22" i="10" s="1"/>
  <c r="E46" i="12"/>
  <c r="N45" i="12"/>
  <c r="M45" i="12"/>
  <c r="L45" i="12"/>
  <c r="K45" i="12"/>
  <c r="J45" i="12"/>
  <c r="I45" i="12"/>
  <c r="H45" i="12"/>
  <c r="G45" i="12"/>
  <c r="F45" i="12"/>
  <c r="E45" i="12"/>
  <c r="N44" i="12"/>
  <c r="M44" i="12"/>
  <c r="L44" i="12"/>
  <c r="K44" i="12"/>
  <c r="J44" i="12"/>
  <c r="J21" i="10" s="1"/>
  <c r="I44" i="12"/>
  <c r="I21" i="10" s="1"/>
  <c r="H44" i="12"/>
  <c r="G44" i="12"/>
  <c r="G21" i="10" s="1"/>
  <c r="F44" i="12"/>
  <c r="E44" i="12"/>
  <c r="E21" i="10" s="1"/>
  <c r="N43" i="12"/>
  <c r="M43" i="12"/>
  <c r="L43" i="12"/>
  <c r="K43" i="12"/>
  <c r="J43" i="12"/>
  <c r="I43" i="12"/>
  <c r="H43" i="12"/>
  <c r="H20" i="10" s="1"/>
  <c r="G43" i="12"/>
  <c r="G20" i="10" s="1"/>
  <c r="F43" i="12"/>
  <c r="E43" i="12"/>
  <c r="N42" i="12"/>
  <c r="M42" i="12"/>
  <c r="L42" i="12"/>
  <c r="K42" i="12"/>
  <c r="J42" i="12"/>
  <c r="I42" i="12"/>
  <c r="H42" i="12"/>
  <c r="H196" i="10" s="1"/>
  <c r="G42" i="12"/>
  <c r="G196" i="10" s="1"/>
  <c r="F42" i="12"/>
  <c r="F196" i="10" s="1"/>
  <c r="E42" i="12"/>
  <c r="E196" i="10" s="1"/>
  <c r="N41" i="12"/>
  <c r="M41" i="12"/>
  <c r="L41" i="12"/>
  <c r="K41" i="12"/>
  <c r="J41" i="12"/>
  <c r="I41" i="12"/>
  <c r="H41" i="12"/>
  <c r="G41" i="12"/>
  <c r="F41" i="12"/>
  <c r="E41" i="12"/>
  <c r="N40" i="12"/>
  <c r="M40" i="12"/>
  <c r="L40" i="12"/>
  <c r="K40" i="12"/>
  <c r="J40" i="12"/>
  <c r="I40" i="12"/>
  <c r="H40" i="12"/>
  <c r="G40" i="12"/>
  <c r="F40" i="12"/>
  <c r="E40" i="12"/>
  <c r="N39" i="12"/>
  <c r="M39" i="12"/>
  <c r="L39" i="12"/>
  <c r="K39" i="12"/>
  <c r="J39" i="12"/>
  <c r="N38" i="12"/>
  <c r="M38" i="12"/>
  <c r="L38" i="12"/>
  <c r="K38" i="12"/>
  <c r="J38" i="12"/>
  <c r="J19" i="10" s="1"/>
  <c r="I38" i="12"/>
  <c r="I19" i="10" s="1"/>
  <c r="H38" i="12"/>
  <c r="H19" i="10" s="1"/>
  <c r="G38" i="12"/>
  <c r="G19" i="10" s="1"/>
  <c r="F38" i="12"/>
  <c r="F19" i="10" s="1"/>
  <c r="E38" i="12"/>
  <c r="N37" i="12"/>
  <c r="M37" i="12"/>
  <c r="L37" i="12"/>
  <c r="K37" i="12"/>
  <c r="J37" i="12"/>
  <c r="J17" i="10" s="1"/>
  <c r="I37" i="12"/>
  <c r="I17" i="10" s="1"/>
  <c r="H37" i="12"/>
  <c r="H17" i="10" s="1"/>
  <c r="G37" i="12"/>
  <c r="G17" i="10" s="1"/>
  <c r="F37" i="12"/>
  <c r="F17" i="10" s="1"/>
  <c r="E37" i="12"/>
  <c r="N36" i="12"/>
  <c r="M36" i="12"/>
  <c r="L36" i="12"/>
  <c r="K36" i="12"/>
  <c r="J36" i="12"/>
  <c r="I36" i="12"/>
  <c r="H36" i="12"/>
  <c r="G36" i="12"/>
  <c r="F36" i="12"/>
  <c r="F15" i="10" s="1"/>
  <c r="E36" i="12"/>
  <c r="E15" i="10" s="1"/>
  <c r="N35" i="12"/>
  <c r="M35" i="12"/>
  <c r="L35" i="12"/>
  <c r="K35" i="12"/>
  <c r="J35" i="12"/>
  <c r="I35" i="12"/>
  <c r="H35" i="12"/>
  <c r="G35" i="12"/>
  <c r="F35" i="12"/>
  <c r="E35" i="12"/>
  <c r="N34" i="12"/>
  <c r="M34" i="12"/>
  <c r="L34" i="12"/>
  <c r="K34" i="12"/>
  <c r="J34" i="12"/>
  <c r="I34" i="12"/>
  <c r="H34" i="12"/>
  <c r="G34" i="12"/>
  <c r="F34" i="12"/>
  <c r="E34" i="12"/>
  <c r="N33" i="12"/>
  <c r="M33" i="12"/>
  <c r="L33" i="12"/>
  <c r="K33" i="12"/>
  <c r="J33" i="12"/>
  <c r="J14" i="10" s="1"/>
  <c r="I33" i="12"/>
  <c r="I14" i="10" s="1"/>
  <c r="H33" i="12"/>
  <c r="H14" i="10" s="1"/>
  <c r="G33" i="12"/>
  <c r="G14" i="10" s="1"/>
  <c r="F33" i="12"/>
  <c r="F14" i="10" s="1"/>
  <c r="E33" i="12"/>
  <c r="E14" i="10" s="1"/>
  <c r="N32" i="12"/>
  <c r="M32" i="12"/>
  <c r="L32" i="12"/>
  <c r="K32" i="12"/>
  <c r="J32" i="12"/>
  <c r="I32" i="12"/>
  <c r="H32" i="12"/>
  <c r="G32" i="12"/>
  <c r="F32" i="12"/>
  <c r="E32" i="12"/>
  <c r="N31" i="12"/>
  <c r="M31" i="12"/>
  <c r="L31" i="12"/>
  <c r="K31" i="12"/>
  <c r="J31" i="12"/>
  <c r="I31" i="12"/>
  <c r="H31" i="12"/>
  <c r="G31" i="12"/>
  <c r="F31" i="12"/>
  <c r="E31" i="12"/>
  <c r="N30" i="12"/>
  <c r="M30" i="12"/>
  <c r="L30" i="12"/>
  <c r="K30" i="12"/>
  <c r="J30" i="12"/>
  <c r="I30" i="12"/>
  <c r="H30" i="12"/>
  <c r="G30" i="12"/>
  <c r="F30" i="12"/>
  <c r="E30" i="12"/>
  <c r="N29" i="12"/>
  <c r="M29" i="12"/>
  <c r="L29" i="12"/>
  <c r="K29" i="12"/>
  <c r="J29" i="12"/>
  <c r="I29" i="12"/>
  <c r="H29" i="12"/>
  <c r="G29" i="12"/>
  <c r="F29" i="12"/>
  <c r="E29" i="12"/>
  <c r="N28" i="12"/>
  <c r="M28" i="12"/>
  <c r="L28" i="12"/>
  <c r="K28" i="12"/>
  <c r="J28" i="12"/>
  <c r="E13" i="10" s="1"/>
  <c r="I28" i="12"/>
  <c r="I13" i="10" s="1"/>
  <c r="H28" i="12"/>
  <c r="H13" i="10" s="1"/>
  <c r="G28" i="12"/>
  <c r="F28" i="12"/>
  <c r="F13" i="10" s="1"/>
  <c r="E28" i="12"/>
  <c r="N27" i="12"/>
  <c r="M27" i="12"/>
  <c r="L27" i="12"/>
  <c r="K27" i="12"/>
  <c r="J27" i="12"/>
  <c r="I27" i="12"/>
  <c r="H27" i="12"/>
  <c r="G27" i="12"/>
  <c r="F27" i="12"/>
  <c r="E27" i="12"/>
  <c r="N26" i="12"/>
  <c r="M26" i="12"/>
  <c r="L26" i="12"/>
  <c r="K26" i="12"/>
  <c r="J26" i="12"/>
  <c r="I26" i="12"/>
  <c r="H26" i="12"/>
  <c r="G26" i="12"/>
  <c r="F26" i="12"/>
  <c r="E26" i="12"/>
  <c r="N25" i="12"/>
  <c r="M25" i="12"/>
  <c r="L25" i="12"/>
  <c r="K25" i="12"/>
  <c r="J25" i="12"/>
  <c r="J12" i="10" s="1"/>
  <c r="I25" i="12"/>
  <c r="I12" i="10" s="1"/>
  <c r="H25" i="12"/>
  <c r="H12" i="10" s="1"/>
  <c r="G25" i="12"/>
  <c r="G12" i="10" s="1"/>
  <c r="F25" i="12"/>
  <c r="F12" i="10" s="1"/>
  <c r="E25" i="12"/>
  <c r="N24" i="12"/>
  <c r="M24" i="12"/>
  <c r="L24" i="12"/>
  <c r="K24" i="12"/>
  <c r="J24" i="12"/>
  <c r="J11" i="10" s="1"/>
  <c r="I24" i="12"/>
  <c r="I11" i="10" s="1"/>
  <c r="H24" i="12"/>
  <c r="G24" i="12"/>
  <c r="F24" i="12"/>
  <c r="F11" i="10" s="1"/>
  <c r="E24" i="12"/>
  <c r="N23" i="12"/>
  <c r="M23" i="12"/>
  <c r="L23" i="12"/>
  <c r="K23" i="12"/>
  <c r="J23" i="12"/>
  <c r="I23" i="12"/>
  <c r="H23" i="12"/>
  <c r="G23" i="12"/>
  <c r="F23" i="12"/>
  <c r="E23" i="12"/>
  <c r="N22" i="12"/>
  <c r="M22" i="12"/>
  <c r="L22" i="12"/>
  <c r="K22" i="12"/>
  <c r="J22" i="12"/>
  <c r="I22" i="12"/>
  <c r="H22" i="12"/>
  <c r="G22" i="12"/>
  <c r="F22" i="12"/>
  <c r="E22" i="12"/>
  <c r="N21" i="12"/>
  <c r="M21" i="12"/>
  <c r="L21" i="12"/>
  <c r="K21" i="12"/>
  <c r="J21" i="12"/>
  <c r="I21" i="12"/>
  <c r="H21" i="12"/>
  <c r="G21" i="12"/>
  <c r="F21" i="12"/>
  <c r="E21" i="12"/>
  <c r="N20" i="12"/>
  <c r="M20" i="12"/>
  <c r="L20" i="12"/>
  <c r="K20" i="12"/>
  <c r="J20" i="12"/>
  <c r="J10" i="10" s="1"/>
  <c r="I20" i="12"/>
  <c r="H20" i="12"/>
  <c r="H10" i="10" s="1"/>
  <c r="G20" i="12"/>
  <c r="G10" i="10" s="1"/>
  <c r="F20" i="12"/>
  <c r="F10" i="10" s="1"/>
  <c r="E20" i="12"/>
  <c r="N19" i="12"/>
  <c r="M19" i="12"/>
  <c r="L19" i="12"/>
  <c r="K19" i="12"/>
  <c r="J19" i="12"/>
  <c r="I19" i="12"/>
  <c r="I9" i="10" s="1"/>
  <c r="H19" i="12"/>
  <c r="H9" i="10" s="1"/>
  <c r="G19" i="12"/>
  <c r="G9" i="10" s="1"/>
  <c r="F19" i="12"/>
  <c r="F9" i="10" s="1"/>
  <c r="E19" i="12"/>
  <c r="N18" i="12"/>
  <c r="M18" i="12"/>
  <c r="L18" i="12"/>
  <c r="K18" i="12"/>
  <c r="J18" i="12"/>
  <c r="J8" i="10" s="1"/>
  <c r="I18" i="12"/>
  <c r="I8" i="10" s="1"/>
  <c r="H18" i="12"/>
  <c r="H8" i="10" s="1"/>
  <c r="G18" i="12"/>
  <c r="G8" i="10" s="1"/>
  <c r="F18" i="12"/>
  <c r="E18" i="12"/>
  <c r="E8" i="10" s="1"/>
  <c r="N17" i="12"/>
  <c r="M17" i="12"/>
  <c r="L17" i="12"/>
  <c r="K17" i="12"/>
  <c r="J17" i="12"/>
  <c r="I17" i="12"/>
  <c r="H17" i="12"/>
  <c r="G17" i="12"/>
  <c r="F17" i="12"/>
  <c r="E17" i="12"/>
  <c r="N16" i="12"/>
  <c r="M16" i="12"/>
  <c r="L16" i="12"/>
  <c r="K16" i="12"/>
  <c r="J16" i="12"/>
  <c r="J197" i="10" s="1"/>
  <c r="I16" i="12"/>
  <c r="I197" i="10" s="1"/>
  <c r="H16" i="12"/>
  <c r="H197" i="10" s="1"/>
  <c r="G16" i="12"/>
  <c r="F16" i="12"/>
  <c r="F197" i="10" s="1"/>
  <c r="E16" i="12"/>
  <c r="N15" i="12"/>
  <c r="M15" i="12"/>
  <c r="L15" i="12"/>
  <c r="K15" i="12"/>
  <c r="J15" i="12"/>
  <c r="J7" i="10" s="1"/>
  <c r="I15" i="12"/>
  <c r="I7" i="10" s="1"/>
  <c r="H15" i="12"/>
  <c r="H7" i="10" s="1"/>
  <c r="G15" i="12"/>
  <c r="G7" i="10" s="1"/>
  <c r="F15" i="12"/>
  <c r="F7" i="10" s="1"/>
  <c r="E15" i="12"/>
  <c r="E7" i="10" s="1"/>
  <c r="N14" i="12"/>
  <c r="M14" i="12"/>
  <c r="L14" i="12"/>
  <c r="K14" i="12"/>
  <c r="J14" i="12"/>
  <c r="I14" i="12"/>
  <c r="H14" i="12"/>
  <c r="G14" i="12"/>
  <c r="F14" i="12"/>
  <c r="E14" i="12"/>
  <c r="N13" i="12"/>
  <c r="M13" i="12"/>
  <c r="L13" i="12"/>
  <c r="K13" i="12"/>
  <c r="J13" i="12"/>
  <c r="J6" i="10" s="1"/>
  <c r="I13" i="12"/>
  <c r="H13" i="12"/>
  <c r="G13" i="12"/>
  <c r="G6" i="10" s="1"/>
  <c r="F13" i="12"/>
  <c r="F6" i="10" s="1"/>
  <c r="E13" i="12"/>
  <c r="N12" i="12"/>
  <c r="M12" i="12"/>
  <c r="L12" i="12"/>
  <c r="K12" i="12"/>
  <c r="J12" i="12"/>
  <c r="J5" i="10" s="1"/>
  <c r="I12" i="12"/>
  <c r="I5" i="10" s="1"/>
  <c r="H12" i="12"/>
  <c r="G12" i="12"/>
  <c r="G5" i="10" s="1"/>
  <c r="F12" i="12"/>
  <c r="F5" i="10" s="1"/>
  <c r="E12" i="12"/>
  <c r="N11" i="12"/>
  <c r="M11" i="12"/>
  <c r="L11" i="12"/>
  <c r="K11" i="12"/>
  <c r="J11" i="12"/>
  <c r="E4" i="10" s="1"/>
  <c r="I11" i="12"/>
  <c r="H11" i="12"/>
  <c r="H4" i="10" s="1"/>
  <c r="G11" i="12"/>
  <c r="G4" i="10" s="1"/>
  <c r="F11" i="12"/>
  <c r="E11" i="12"/>
  <c r="N10" i="12"/>
  <c r="M10" i="12"/>
  <c r="L10" i="12"/>
  <c r="K10" i="12"/>
  <c r="J10" i="12"/>
  <c r="I10" i="12"/>
  <c r="H10" i="12"/>
  <c r="G10" i="12"/>
  <c r="F10" i="12"/>
  <c r="E10" i="12"/>
  <c r="N9" i="12"/>
  <c r="M9" i="12"/>
  <c r="L9" i="12"/>
  <c r="K9" i="12"/>
  <c r="J9" i="12"/>
  <c r="I9" i="12"/>
  <c r="H9" i="12"/>
  <c r="G9" i="12"/>
  <c r="F9" i="12"/>
  <c r="E9" i="12"/>
  <c r="N8" i="12"/>
  <c r="M8" i="12"/>
  <c r="L8" i="12"/>
  <c r="K8" i="12"/>
  <c r="J8" i="12"/>
  <c r="I8" i="12"/>
  <c r="H8" i="12"/>
  <c r="G8" i="12"/>
  <c r="F8" i="12"/>
  <c r="E8" i="12"/>
  <c r="N7" i="12"/>
  <c r="M7" i="12"/>
  <c r="L7" i="12"/>
  <c r="K7" i="12"/>
  <c r="J7" i="12"/>
  <c r="I7" i="12"/>
  <c r="H7" i="12"/>
  <c r="G7" i="12"/>
  <c r="F7" i="12"/>
  <c r="E7" i="12"/>
  <c r="N6" i="12"/>
  <c r="M6" i="12"/>
  <c r="L6" i="12"/>
  <c r="K6" i="12"/>
  <c r="J6" i="12"/>
  <c r="J3" i="10" s="1"/>
  <c r="I6" i="12"/>
  <c r="I3" i="10" s="1"/>
  <c r="H6" i="12"/>
  <c r="H3" i="10" s="1"/>
  <c r="G6" i="12"/>
  <c r="G3" i="10" s="1"/>
  <c r="F6" i="12"/>
  <c r="F3" i="10" s="1"/>
  <c r="E6" i="12"/>
  <c r="E3" i="10" s="1"/>
  <c r="N5" i="12"/>
  <c r="M5" i="12"/>
  <c r="L5" i="12"/>
  <c r="K5" i="12"/>
  <c r="J5" i="12"/>
  <c r="J2" i="10" s="1"/>
  <c r="I5" i="12"/>
  <c r="H5" i="12"/>
  <c r="G5" i="12"/>
  <c r="F5" i="12"/>
  <c r="F2" i="10" s="1"/>
  <c r="E5" i="12"/>
  <c r="N4" i="12"/>
  <c r="M4" i="12"/>
  <c r="L4" i="12"/>
  <c r="K4" i="12"/>
  <c r="J4" i="12"/>
  <c r="I4" i="12"/>
  <c r="H4" i="12"/>
  <c r="G4" i="12"/>
  <c r="F4" i="12"/>
  <c r="E4" i="12"/>
  <c r="N3" i="12"/>
  <c r="M3" i="12"/>
  <c r="L3" i="12"/>
  <c r="K3" i="12"/>
  <c r="J3" i="12"/>
  <c r="I3" i="12"/>
  <c r="H3" i="12"/>
  <c r="G3" i="12"/>
  <c r="F3" i="12"/>
  <c r="E3" i="12"/>
  <c r="N2" i="12"/>
  <c r="M2" i="12"/>
  <c r="L2" i="12"/>
  <c r="K2" i="12"/>
  <c r="J2" i="12"/>
  <c r="J153" i="10" s="1"/>
  <c r="I2" i="12"/>
  <c r="I153" i="10" s="1"/>
  <c r="H2" i="12"/>
  <c r="H153" i="10" s="1"/>
  <c r="G2" i="12"/>
  <c r="G153" i="10" s="1"/>
  <c r="F2" i="12"/>
  <c r="F153" i="10" s="1"/>
  <c r="E2" i="12"/>
  <c r="G1" i="12"/>
  <c r="H1" i="12" s="1"/>
  <c r="I1" i="12" s="1"/>
  <c r="J1" i="12" s="1"/>
  <c r="K1" i="12" s="1"/>
  <c r="L1" i="12" s="1"/>
  <c r="M1" i="12" s="1"/>
  <c r="N1" i="12" s="1"/>
  <c r="N201" i="10"/>
  <c r="M201" i="10"/>
  <c r="L201" i="10"/>
  <c r="K201" i="10"/>
  <c r="N200" i="10"/>
  <c r="M200" i="10"/>
  <c r="L200" i="10"/>
  <c r="K200" i="10"/>
  <c r="J200" i="10"/>
  <c r="H200" i="10"/>
  <c r="G200" i="10"/>
  <c r="E200" i="10"/>
  <c r="N199" i="10"/>
  <c r="M199" i="10"/>
  <c r="L199" i="10"/>
  <c r="K199" i="10"/>
  <c r="I199" i="10"/>
  <c r="H199" i="10"/>
  <c r="G199" i="10"/>
  <c r="F199" i="10"/>
  <c r="N198" i="10"/>
  <c r="M198" i="10"/>
  <c r="L198" i="10"/>
  <c r="K198" i="10"/>
  <c r="G198" i="10"/>
  <c r="F198" i="10"/>
  <c r="N197" i="10"/>
  <c r="M197" i="10"/>
  <c r="L197" i="10"/>
  <c r="K197" i="10"/>
  <c r="G197" i="10"/>
  <c r="N196" i="10"/>
  <c r="M196" i="10"/>
  <c r="L196" i="10"/>
  <c r="K196" i="10"/>
  <c r="J196" i="10"/>
  <c r="I196" i="10"/>
  <c r="N195" i="10"/>
  <c r="M195" i="10"/>
  <c r="L195" i="10"/>
  <c r="K195" i="10"/>
  <c r="J195" i="10"/>
  <c r="I195" i="10"/>
  <c r="H195" i="10"/>
  <c r="G195" i="10"/>
  <c r="F195" i="10"/>
  <c r="E195" i="10"/>
  <c r="N194" i="10"/>
  <c r="M194" i="10"/>
  <c r="L194" i="10"/>
  <c r="K194" i="10"/>
  <c r="E194" i="10"/>
  <c r="N193" i="10"/>
  <c r="M193" i="10"/>
  <c r="L193" i="10"/>
  <c r="K193" i="10"/>
  <c r="J193" i="10"/>
  <c r="I193" i="10"/>
  <c r="H193" i="10"/>
  <c r="F193" i="10"/>
  <c r="N192" i="10"/>
  <c r="M192" i="10"/>
  <c r="L192" i="10"/>
  <c r="K192" i="10"/>
  <c r="J192" i="10"/>
  <c r="G192" i="10"/>
  <c r="N191" i="10"/>
  <c r="M191" i="10"/>
  <c r="L191" i="10"/>
  <c r="K191" i="10"/>
  <c r="J191" i="10"/>
  <c r="F191" i="10"/>
  <c r="E191" i="10"/>
  <c r="N190" i="10"/>
  <c r="M190" i="10"/>
  <c r="L190" i="10"/>
  <c r="K190" i="10"/>
  <c r="N189" i="10"/>
  <c r="M189" i="10"/>
  <c r="L189" i="10"/>
  <c r="K189" i="10"/>
  <c r="H189" i="10"/>
  <c r="N188" i="10"/>
  <c r="M188" i="10"/>
  <c r="L188" i="10"/>
  <c r="K188" i="10"/>
  <c r="J188" i="10"/>
  <c r="I188" i="10"/>
  <c r="H188" i="10"/>
  <c r="G188" i="10"/>
  <c r="F188" i="10"/>
  <c r="N187" i="10"/>
  <c r="M187" i="10"/>
  <c r="L187" i="10"/>
  <c r="K187" i="10"/>
  <c r="J187" i="10"/>
  <c r="I187" i="10"/>
  <c r="F187" i="10"/>
  <c r="E187" i="10"/>
  <c r="N186" i="10"/>
  <c r="M186" i="10"/>
  <c r="L186" i="10"/>
  <c r="K186" i="10"/>
  <c r="J186" i="10"/>
  <c r="I186" i="10"/>
  <c r="H186" i="10"/>
  <c r="G186" i="10"/>
  <c r="N185" i="10"/>
  <c r="M185" i="10"/>
  <c r="L185" i="10"/>
  <c r="K185" i="10"/>
  <c r="E185" i="10"/>
  <c r="N184" i="10"/>
  <c r="M184" i="10"/>
  <c r="L184" i="10"/>
  <c r="K184" i="10"/>
  <c r="J184" i="10"/>
  <c r="H184" i="10"/>
  <c r="N183" i="10"/>
  <c r="M183" i="10"/>
  <c r="L183" i="10"/>
  <c r="K183" i="10"/>
  <c r="J183" i="10"/>
  <c r="I183" i="10"/>
  <c r="H183" i="10"/>
  <c r="G183" i="10"/>
  <c r="F183" i="10"/>
  <c r="N182" i="10"/>
  <c r="M182" i="10"/>
  <c r="L182" i="10"/>
  <c r="K182" i="10"/>
  <c r="H182" i="10"/>
  <c r="G182" i="10"/>
  <c r="F182" i="10"/>
  <c r="E182" i="10"/>
  <c r="N181" i="10"/>
  <c r="M181" i="10"/>
  <c r="L181" i="10"/>
  <c r="K181" i="10"/>
  <c r="I181" i="10"/>
  <c r="H181" i="10"/>
  <c r="F181" i="10"/>
  <c r="E181" i="10"/>
  <c r="N180" i="10"/>
  <c r="M180" i="10"/>
  <c r="L180" i="10"/>
  <c r="K180" i="10"/>
  <c r="G180" i="10"/>
  <c r="E180" i="10"/>
  <c r="N179" i="10"/>
  <c r="M179" i="10"/>
  <c r="L179" i="10"/>
  <c r="K179" i="10"/>
  <c r="J179" i="10"/>
  <c r="N178" i="10"/>
  <c r="M178" i="10"/>
  <c r="L178" i="10"/>
  <c r="K178" i="10"/>
  <c r="J178" i="10"/>
  <c r="I178" i="10"/>
  <c r="H178" i="10"/>
  <c r="G178" i="10"/>
  <c r="N177" i="10"/>
  <c r="M177" i="10"/>
  <c r="L177" i="10"/>
  <c r="K177" i="10"/>
  <c r="G177" i="10"/>
  <c r="E177" i="10"/>
  <c r="N176" i="10"/>
  <c r="M176" i="10"/>
  <c r="L176" i="10"/>
  <c r="K176" i="10"/>
  <c r="J176" i="10"/>
  <c r="E176" i="10"/>
  <c r="N175" i="10"/>
  <c r="M175" i="10"/>
  <c r="L175" i="10"/>
  <c r="K175" i="10"/>
  <c r="J175" i="10"/>
  <c r="I175" i="10"/>
  <c r="H175" i="10"/>
  <c r="F175" i="10"/>
  <c r="N174" i="10"/>
  <c r="M174" i="10"/>
  <c r="L174" i="10"/>
  <c r="K174" i="10"/>
  <c r="H174" i="10"/>
  <c r="G174" i="10"/>
  <c r="F174" i="10"/>
  <c r="E174" i="10"/>
  <c r="N173" i="10"/>
  <c r="M173" i="10"/>
  <c r="L173" i="10"/>
  <c r="K173" i="10"/>
  <c r="J173" i="10"/>
  <c r="H173" i="10"/>
  <c r="E173" i="10"/>
  <c r="N172" i="10"/>
  <c r="M172" i="10"/>
  <c r="L172" i="10"/>
  <c r="K172" i="10"/>
  <c r="J172" i="10"/>
  <c r="I172" i="10"/>
  <c r="H172" i="10"/>
  <c r="N171" i="10"/>
  <c r="M171" i="10"/>
  <c r="L171" i="10"/>
  <c r="K171" i="10"/>
  <c r="J171" i="10"/>
  <c r="I171" i="10"/>
  <c r="H171" i="10"/>
  <c r="G171" i="10"/>
  <c r="F171" i="10"/>
  <c r="N170" i="10"/>
  <c r="M170" i="10"/>
  <c r="L170" i="10"/>
  <c r="K170" i="10"/>
  <c r="I170" i="10"/>
  <c r="H170" i="10"/>
  <c r="G170" i="10"/>
  <c r="F170" i="10"/>
  <c r="E170" i="10"/>
  <c r="N169" i="10"/>
  <c r="M169" i="10"/>
  <c r="L169" i="10"/>
  <c r="K169" i="10"/>
  <c r="G169" i="10"/>
  <c r="F169" i="10"/>
  <c r="N168" i="10"/>
  <c r="M168" i="10"/>
  <c r="L168" i="10"/>
  <c r="K168" i="10"/>
  <c r="N167" i="10"/>
  <c r="M167" i="10"/>
  <c r="L167" i="10"/>
  <c r="K167" i="10"/>
  <c r="I167" i="10"/>
  <c r="H167" i="10"/>
  <c r="G167" i="10"/>
  <c r="F167" i="10"/>
  <c r="N166" i="10"/>
  <c r="M166" i="10"/>
  <c r="L166" i="10"/>
  <c r="K166" i="10"/>
  <c r="I166" i="10"/>
  <c r="H166" i="10"/>
  <c r="N165" i="10"/>
  <c r="M165" i="10"/>
  <c r="L165" i="10"/>
  <c r="K165" i="10"/>
  <c r="F165" i="10"/>
  <c r="E165" i="10"/>
  <c r="N164" i="10"/>
  <c r="M164" i="10"/>
  <c r="L164" i="10"/>
  <c r="K164" i="10"/>
  <c r="J164" i="10"/>
  <c r="G164" i="10"/>
  <c r="N163" i="10"/>
  <c r="M163" i="10"/>
  <c r="L163" i="10"/>
  <c r="K163" i="10"/>
  <c r="J163" i="10"/>
  <c r="I163" i="10"/>
  <c r="H163" i="10"/>
  <c r="E163" i="10"/>
  <c r="N162" i="10"/>
  <c r="M162" i="10"/>
  <c r="L162" i="10"/>
  <c r="K162" i="10"/>
  <c r="J162" i="10"/>
  <c r="H162" i="10"/>
  <c r="G162" i="10"/>
  <c r="N161" i="10"/>
  <c r="M161" i="10"/>
  <c r="L161" i="10"/>
  <c r="K161" i="10"/>
  <c r="J161" i="10"/>
  <c r="H161" i="10"/>
  <c r="G161" i="10"/>
  <c r="F161" i="10"/>
  <c r="N160" i="10"/>
  <c r="M160" i="10"/>
  <c r="L160" i="10"/>
  <c r="K160" i="10"/>
  <c r="F160" i="10"/>
  <c r="N159" i="10"/>
  <c r="M159" i="10"/>
  <c r="L159" i="10"/>
  <c r="K159" i="10"/>
  <c r="J159" i="10"/>
  <c r="I159" i="10"/>
  <c r="H159" i="10"/>
  <c r="F159" i="10"/>
  <c r="N158" i="10"/>
  <c r="M158" i="10"/>
  <c r="L158" i="10"/>
  <c r="K158" i="10"/>
  <c r="H158" i="10"/>
  <c r="G158" i="10"/>
  <c r="N157" i="10"/>
  <c r="M157" i="10"/>
  <c r="L157" i="10"/>
  <c r="K157" i="10"/>
  <c r="J157" i="10"/>
  <c r="G157" i="10"/>
  <c r="N156" i="10"/>
  <c r="M156" i="10"/>
  <c r="L156" i="10"/>
  <c r="K156" i="10"/>
  <c r="J156" i="10"/>
  <c r="H156" i="10"/>
  <c r="G156" i="10"/>
  <c r="E156" i="10"/>
  <c r="N155" i="10"/>
  <c r="M155" i="10"/>
  <c r="L155" i="10"/>
  <c r="K155" i="10"/>
  <c r="J155" i="10"/>
  <c r="N154" i="10"/>
  <c r="M154" i="10"/>
  <c r="L154" i="10"/>
  <c r="K154" i="10"/>
  <c r="J154" i="10"/>
  <c r="I154" i="10"/>
  <c r="H154" i="10"/>
  <c r="G154" i="10"/>
  <c r="N153" i="10"/>
  <c r="M153" i="10"/>
  <c r="L153" i="10"/>
  <c r="K153" i="10"/>
  <c r="N152" i="10"/>
  <c r="M152" i="10"/>
  <c r="L152" i="10"/>
  <c r="K152" i="10"/>
  <c r="J152" i="10"/>
  <c r="H152" i="10"/>
  <c r="F152" i="10"/>
  <c r="N151" i="10"/>
  <c r="M151" i="10"/>
  <c r="L151" i="10"/>
  <c r="K151" i="10"/>
  <c r="I151" i="10"/>
  <c r="H151" i="10"/>
  <c r="G151" i="10"/>
  <c r="N150" i="10"/>
  <c r="M150" i="10"/>
  <c r="L150" i="10"/>
  <c r="K150" i="10"/>
  <c r="I150" i="10"/>
  <c r="G150" i="10"/>
  <c r="N149" i="10"/>
  <c r="M149" i="10"/>
  <c r="L149" i="10"/>
  <c r="K149" i="10"/>
  <c r="N148" i="10"/>
  <c r="M148" i="10"/>
  <c r="L148" i="10"/>
  <c r="K148" i="10"/>
  <c r="J148" i="10"/>
  <c r="H148" i="10"/>
  <c r="E148" i="10"/>
  <c r="N147" i="10"/>
  <c r="M147" i="10"/>
  <c r="L147" i="10"/>
  <c r="K147" i="10"/>
  <c r="G147" i="10"/>
  <c r="F147" i="10"/>
  <c r="N146" i="10"/>
  <c r="M146" i="10"/>
  <c r="L146" i="10"/>
  <c r="K146" i="10"/>
  <c r="J146" i="10"/>
  <c r="I146" i="10"/>
  <c r="H146" i="10"/>
  <c r="F146" i="10"/>
  <c r="E146" i="10"/>
  <c r="N145" i="10"/>
  <c r="M145" i="10"/>
  <c r="L145" i="10"/>
  <c r="K145" i="10"/>
  <c r="F145" i="10"/>
  <c r="N144" i="10"/>
  <c r="M144" i="10"/>
  <c r="L144" i="10"/>
  <c r="K144" i="10"/>
  <c r="J144" i="10"/>
  <c r="H144" i="10"/>
  <c r="G144" i="10"/>
  <c r="F144" i="10"/>
  <c r="E144" i="10"/>
  <c r="N143" i="10"/>
  <c r="M143" i="10"/>
  <c r="L143" i="10"/>
  <c r="K143" i="10"/>
  <c r="J143" i="10"/>
  <c r="E143" i="10"/>
  <c r="N142" i="10"/>
  <c r="M142" i="10"/>
  <c r="L142" i="10"/>
  <c r="K142" i="10"/>
  <c r="J142" i="10"/>
  <c r="I142" i="10"/>
  <c r="H142" i="10"/>
  <c r="N141" i="10"/>
  <c r="M141" i="10"/>
  <c r="L141" i="10"/>
  <c r="K141" i="10"/>
  <c r="J141" i="10"/>
  <c r="I141" i="10"/>
  <c r="H141" i="10"/>
  <c r="N140" i="10"/>
  <c r="M140" i="10"/>
  <c r="L140" i="10"/>
  <c r="K140" i="10"/>
  <c r="F140" i="10"/>
  <c r="N139" i="10"/>
  <c r="M139" i="10"/>
  <c r="L139" i="10"/>
  <c r="K139" i="10"/>
  <c r="G139" i="10"/>
  <c r="N138" i="10"/>
  <c r="M138" i="10"/>
  <c r="L138" i="10"/>
  <c r="K138" i="10"/>
  <c r="J138" i="10"/>
  <c r="E138" i="10"/>
  <c r="N137" i="10"/>
  <c r="M137" i="10"/>
  <c r="L137" i="10"/>
  <c r="K137" i="10"/>
  <c r="J137" i="10"/>
  <c r="H137" i="10"/>
  <c r="N136" i="10"/>
  <c r="M136" i="10"/>
  <c r="L136" i="10"/>
  <c r="K136" i="10"/>
  <c r="J136" i="10"/>
  <c r="H136" i="10"/>
  <c r="N135" i="10"/>
  <c r="M135" i="10"/>
  <c r="L135" i="10"/>
  <c r="K135" i="10"/>
  <c r="H135" i="10"/>
  <c r="G135" i="10"/>
  <c r="N134" i="10"/>
  <c r="M134" i="10"/>
  <c r="L134" i="10"/>
  <c r="K134" i="10"/>
  <c r="J134" i="10"/>
  <c r="H134" i="10"/>
  <c r="N133" i="10"/>
  <c r="M133" i="10"/>
  <c r="L133" i="10"/>
  <c r="K133" i="10"/>
  <c r="J133" i="10"/>
  <c r="H133" i="10"/>
  <c r="N132" i="10"/>
  <c r="M132" i="10"/>
  <c r="L132" i="10"/>
  <c r="K132" i="10"/>
  <c r="E132" i="10"/>
  <c r="N131" i="10"/>
  <c r="M131" i="10"/>
  <c r="L131" i="10"/>
  <c r="K131" i="10"/>
  <c r="J131" i="10"/>
  <c r="H131" i="10"/>
  <c r="N130" i="10"/>
  <c r="M130" i="10"/>
  <c r="L130" i="10"/>
  <c r="K130" i="10"/>
  <c r="F130" i="10"/>
  <c r="E130" i="10"/>
  <c r="N129" i="10"/>
  <c r="M129" i="10"/>
  <c r="L129" i="10"/>
  <c r="K129" i="10"/>
  <c r="N128" i="10"/>
  <c r="M128" i="10"/>
  <c r="L128" i="10"/>
  <c r="K128" i="10"/>
  <c r="I128" i="10"/>
  <c r="H128" i="10"/>
  <c r="G128" i="10"/>
  <c r="E128" i="10"/>
  <c r="N127" i="10"/>
  <c r="M127" i="10"/>
  <c r="L127" i="10"/>
  <c r="K127" i="10"/>
  <c r="G127" i="10"/>
  <c r="F127" i="10"/>
  <c r="N126" i="10"/>
  <c r="M126" i="10"/>
  <c r="L126" i="10"/>
  <c r="K126" i="10"/>
  <c r="I126" i="10"/>
  <c r="H126" i="10"/>
  <c r="G126" i="10"/>
  <c r="F126" i="10"/>
  <c r="N125" i="10"/>
  <c r="M125" i="10"/>
  <c r="L125" i="10"/>
  <c r="K125" i="10"/>
  <c r="J125" i="10"/>
  <c r="H125" i="10"/>
  <c r="G125" i="10"/>
  <c r="N124" i="10"/>
  <c r="M124" i="10"/>
  <c r="L124" i="10"/>
  <c r="K124" i="10"/>
  <c r="J124" i="10"/>
  <c r="N123" i="10"/>
  <c r="M123" i="10"/>
  <c r="L123" i="10"/>
  <c r="K123" i="10"/>
  <c r="J123" i="10"/>
  <c r="H123" i="10"/>
  <c r="N122" i="10"/>
  <c r="M122" i="10"/>
  <c r="L122" i="10"/>
  <c r="K122" i="10"/>
  <c r="J122" i="10"/>
  <c r="N121" i="10"/>
  <c r="M121" i="10"/>
  <c r="L121" i="10"/>
  <c r="K121" i="10"/>
  <c r="N120" i="10"/>
  <c r="M120" i="10"/>
  <c r="L120" i="10"/>
  <c r="K120" i="10"/>
  <c r="J120" i="10"/>
  <c r="I120" i="10"/>
  <c r="G120" i="10"/>
  <c r="N119" i="10"/>
  <c r="M119" i="10"/>
  <c r="L119" i="10"/>
  <c r="K119" i="10"/>
  <c r="H119" i="10"/>
  <c r="G119" i="10"/>
  <c r="N118" i="10"/>
  <c r="M118" i="10"/>
  <c r="L118" i="10"/>
  <c r="K118" i="10"/>
  <c r="N117" i="10"/>
  <c r="M117" i="10"/>
  <c r="L117" i="10"/>
  <c r="K117" i="10"/>
  <c r="J117" i="10"/>
  <c r="I117" i="10"/>
  <c r="H117" i="10"/>
  <c r="G117" i="10"/>
  <c r="F117" i="10"/>
  <c r="E117" i="10"/>
  <c r="N116" i="10"/>
  <c r="M116" i="10"/>
  <c r="L116" i="10"/>
  <c r="K116" i="10"/>
  <c r="H116" i="10"/>
  <c r="G116" i="10"/>
  <c r="E116" i="10"/>
  <c r="N115" i="10"/>
  <c r="M115" i="10"/>
  <c r="L115" i="10"/>
  <c r="K115" i="10"/>
  <c r="J115" i="10"/>
  <c r="I115" i="10"/>
  <c r="H115" i="10"/>
  <c r="G115" i="10"/>
  <c r="F115" i="10"/>
  <c r="N114" i="10"/>
  <c r="M114" i="10"/>
  <c r="L114" i="10"/>
  <c r="K114" i="10"/>
  <c r="I114" i="10"/>
  <c r="G114" i="10"/>
  <c r="F114" i="10"/>
  <c r="N113" i="10"/>
  <c r="M113" i="10"/>
  <c r="L113" i="10"/>
  <c r="K113" i="10"/>
  <c r="H113" i="10"/>
  <c r="G113" i="10"/>
  <c r="F113" i="10"/>
  <c r="N112" i="10"/>
  <c r="M112" i="10"/>
  <c r="L112" i="10"/>
  <c r="K112" i="10"/>
  <c r="N111" i="10"/>
  <c r="M111" i="10"/>
  <c r="L111" i="10"/>
  <c r="K111" i="10"/>
  <c r="J111" i="10"/>
  <c r="G111" i="10"/>
  <c r="N110" i="10"/>
  <c r="M110" i="10"/>
  <c r="L110" i="10"/>
  <c r="K110" i="10"/>
  <c r="J110" i="10"/>
  <c r="I110" i="10"/>
  <c r="G110" i="10"/>
  <c r="F110" i="10"/>
  <c r="N109" i="10"/>
  <c r="M109" i="10"/>
  <c r="L109" i="10"/>
  <c r="K109" i="10"/>
  <c r="J109" i="10"/>
  <c r="I109" i="10"/>
  <c r="H109" i="10"/>
  <c r="N108" i="10"/>
  <c r="M108" i="10"/>
  <c r="L108" i="10"/>
  <c r="K108" i="10"/>
  <c r="I108" i="10"/>
  <c r="G108" i="10"/>
  <c r="N107" i="10"/>
  <c r="M107" i="10"/>
  <c r="L107" i="10"/>
  <c r="K107" i="10"/>
  <c r="G107" i="10"/>
  <c r="E107" i="10"/>
  <c r="N106" i="10"/>
  <c r="M106" i="10"/>
  <c r="L106" i="10"/>
  <c r="K106" i="10"/>
  <c r="J106" i="10"/>
  <c r="I106" i="10"/>
  <c r="H106" i="10"/>
  <c r="N105" i="10"/>
  <c r="M105" i="10"/>
  <c r="L105" i="10"/>
  <c r="K105" i="10"/>
  <c r="J105" i="10"/>
  <c r="I105" i="10"/>
  <c r="H105" i="10"/>
  <c r="G105" i="10"/>
  <c r="F105" i="10"/>
  <c r="N104" i="10"/>
  <c r="M104" i="10"/>
  <c r="L104" i="10"/>
  <c r="K104" i="10"/>
  <c r="J104" i="10"/>
  <c r="H104" i="10"/>
  <c r="G104" i="10"/>
  <c r="F104" i="10"/>
  <c r="N103" i="10"/>
  <c r="M103" i="10"/>
  <c r="L103" i="10"/>
  <c r="K103" i="10"/>
  <c r="H103" i="10"/>
  <c r="G103" i="10"/>
  <c r="F103" i="10"/>
  <c r="N102" i="10"/>
  <c r="M102" i="10"/>
  <c r="L102" i="10"/>
  <c r="K102" i="10"/>
  <c r="G102" i="10"/>
  <c r="F102" i="10"/>
  <c r="E102" i="10"/>
  <c r="N101" i="10"/>
  <c r="M101" i="10"/>
  <c r="L101" i="10"/>
  <c r="K101" i="10"/>
  <c r="J101" i="10"/>
  <c r="E101" i="10"/>
  <c r="N100" i="10"/>
  <c r="M100" i="10"/>
  <c r="L100" i="10"/>
  <c r="K100" i="10"/>
  <c r="J100" i="10"/>
  <c r="I100" i="10"/>
  <c r="N99" i="10"/>
  <c r="M99" i="10"/>
  <c r="L99" i="10"/>
  <c r="K99" i="10"/>
  <c r="I99" i="10"/>
  <c r="G99" i="10"/>
  <c r="F99" i="10"/>
  <c r="N98" i="10"/>
  <c r="M98" i="10"/>
  <c r="L98" i="10"/>
  <c r="K98" i="10"/>
  <c r="G98" i="10"/>
  <c r="F98" i="10"/>
  <c r="N97" i="10"/>
  <c r="M97" i="10"/>
  <c r="L97" i="10"/>
  <c r="K97" i="10"/>
  <c r="E97" i="10"/>
  <c r="N96" i="10"/>
  <c r="M96" i="10"/>
  <c r="L96" i="10"/>
  <c r="K96" i="10"/>
  <c r="I96" i="10"/>
  <c r="G96" i="10"/>
  <c r="F96" i="10"/>
  <c r="N95" i="10"/>
  <c r="M95" i="10"/>
  <c r="L95" i="10"/>
  <c r="K95" i="10"/>
  <c r="N94" i="10"/>
  <c r="M94" i="10"/>
  <c r="L94" i="10"/>
  <c r="K94" i="10"/>
  <c r="J94" i="10"/>
  <c r="I94" i="10"/>
  <c r="N93" i="10"/>
  <c r="M93" i="10"/>
  <c r="L93" i="10"/>
  <c r="K93" i="10"/>
  <c r="G93" i="10"/>
  <c r="N92" i="10"/>
  <c r="M92" i="10"/>
  <c r="L92" i="10"/>
  <c r="K92" i="10"/>
  <c r="J92" i="10"/>
  <c r="I92" i="10"/>
  <c r="H92" i="10"/>
  <c r="N91" i="10"/>
  <c r="M91" i="10"/>
  <c r="L91" i="10"/>
  <c r="K91" i="10"/>
  <c r="J91" i="10"/>
  <c r="I91" i="10"/>
  <c r="H91" i="10"/>
  <c r="G91" i="10"/>
  <c r="F91" i="10"/>
  <c r="E91" i="10"/>
  <c r="N90" i="10"/>
  <c r="M90" i="10"/>
  <c r="L90" i="10"/>
  <c r="K90" i="10"/>
  <c r="J90" i="10"/>
  <c r="I90" i="10"/>
  <c r="G90" i="10"/>
  <c r="N89" i="10"/>
  <c r="M89" i="10"/>
  <c r="L89" i="10"/>
  <c r="K89" i="10"/>
  <c r="N88" i="10"/>
  <c r="M88" i="10"/>
  <c r="L88" i="10"/>
  <c r="K88" i="10"/>
  <c r="J88" i="10"/>
  <c r="I88" i="10"/>
  <c r="N87" i="10"/>
  <c r="M87" i="10"/>
  <c r="L87" i="10"/>
  <c r="K87" i="10"/>
  <c r="I87" i="10"/>
  <c r="N86" i="10"/>
  <c r="M86" i="10"/>
  <c r="L86" i="10"/>
  <c r="K86" i="10"/>
  <c r="I86" i="10"/>
  <c r="H86" i="10"/>
  <c r="G86" i="10"/>
  <c r="N85" i="10"/>
  <c r="M85" i="10"/>
  <c r="L85" i="10"/>
  <c r="K85" i="10"/>
  <c r="H85" i="10"/>
  <c r="G85" i="10"/>
  <c r="F85" i="10"/>
  <c r="N84" i="10"/>
  <c r="M84" i="10"/>
  <c r="L84" i="10"/>
  <c r="K84" i="10"/>
  <c r="H84" i="10"/>
  <c r="G84" i="10"/>
  <c r="F84" i="10"/>
  <c r="N83" i="10"/>
  <c r="M83" i="10"/>
  <c r="L83" i="10"/>
  <c r="K83" i="10"/>
  <c r="J83" i="10"/>
  <c r="G83" i="10"/>
  <c r="N82" i="10"/>
  <c r="M82" i="10"/>
  <c r="L82" i="10"/>
  <c r="K82" i="10"/>
  <c r="J82" i="10"/>
  <c r="I82" i="10"/>
  <c r="N81" i="10"/>
  <c r="M81" i="10"/>
  <c r="L81" i="10"/>
  <c r="K81" i="10"/>
  <c r="I81" i="10"/>
  <c r="G81" i="10"/>
  <c r="F81" i="10"/>
  <c r="N80" i="10"/>
  <c r="M80" i="10"/>
  <c r="L80" i="10"/>
  <c r="K80" i="10"/>
  <c r="J80" i="10"/>
  <c r="I80" i="10"/>
  <c r="G80" i="10"/>
  <c r="N79" i="10"/>
  <c r="M79" i="10"/>
  <c r="L79" i="10"/>
  <c r="K79" i="10"/>
  <c r="F79" i="10"/>
  <c r="E79" i="10"/>
  <c r="N78" i="10"/>
  <c r="M78" i="10"/>
  <c r="L78" i="10"/>
  <c r="K78" i="10"/>
  <c r="J78" i="10"/>
  <c r="I78" i="10"/>
  <c r="N77" i="10"/>
  <c r="M77" i="10"/>
  <c r="L77" i="10"/>
  <c r="K77" i="10"/>
  <c r="J77" i="10"/>
  <c r="H77" i="10"/>
  <c r="G77" i="10"/>
  <c r="F77" i="10"/>
  <c r="E77" i="10"/>
  <c r="N76" i="10"/>
  <c r="M76" i="10"/>
  <c r="L76" i="10"/>
  <c r="K76" i="10"/>
  <c r="I76" i="10"/>
  <c r="H76" i="10"/>
  <c r="G76" i="10"/>
  <c r="F76" i="10"/>
  <c r="N75" i="10"/>
  <c r="M75" i="10"/>
  <c r="L75" i="10"/>
  <c r="K75" i="10"/>
  <c r="G75" i="10"/>
  <c r="N74" i="10"/>
  <c r="M74" i="10"/>
  <c r="L74" i="10"/>
  <c r="K74" i="10"/>
  <c r="I74" i="10"/>
  <c r="H74" i="10"/>
  <c r="G74" i="10"/>
  <c r="F74" i="10"/>
  <c r="N73" i="10"/>
  <c r="M73" i="10"/>
  <c r="L73" i="10"/>
  <c r="K73" i="10"/>
  <c r="H73" i="10"/>
  <c r="G73" i="10"/>
  <c r="F73" i="10"/>
  <c r="N72" i="10"/>
  <c r="M72" i="10"/>
  <c r="L72" i="10"/>
  <c r="K72" i="10"/>
  <c r="I72" i="10"/>
  <c r="G72" i="10"/>
  <c r="N71" i="10"/>
  <c r="M71" i="10"/>
  <c r="L71" i="10"/>
  <c r="K71" i="10"/>
  <c r="H71" i="10"/>
  <c r="G71" i="10"/>
  <c r="F71" i="10"/>
  <c r="N70" i="10"/>
  <c r="M70" i="10"/>
  <c r="L70" i="10"/>
  <c r="K70" i="10"/>
  <c r="N69" i="10"/>
  <c r="M69" i="10"/>
  <c r="L69" i="10"/>
  <c r="K69" i="10"/>
  <c r="J69" i="10"/>
  <c r="I69" i="10"/>
  <c r="G69" i="10"/>
  <c r="N68" i="10"/>
  <c r="M68" i="10"/>
  <c r="L68" i="10"/>
  <c r="K68" i="10"/>
  <c r="G68" i="10"/>
  <c r="F68" i="10"/>
  <c r="N67" i="10"/>
  <c r="M67" i="10"/>
  <c r="L67" i="10"/>
  <c r="K67" i="10"/>
  <c r="H67" i="10"/>
  <c r="G67" i="10"/>
  <c r="F67" i="10"/>
  <c r="N66" i="10"/>
  <c r="M66" i="10"/>
  <c r="L66" i="10"/>
  <c r="K66" i="10"/>
  <c r="E66" i="10"/>
  <c r="N65" i="10"/>
  <c r="M65" i="10"/>
  <c r="L65" i="10"/>
  <c r="K65" i="10"/>
  <c r="J65" i="10"/>
  <c r="N64" i="10"/>
  <c r="M64" i="10"/>
  <c r="L64" i="10"/>
  <c r="K64" i="10"/>
  <c r="I64" i="10"/>
  <c r="E64" i="10"/>
  <c r="N63" i="10"/>
  <c r="M63" i="10"/>
  <c r="L63" i="10"/>
  <c r="K63" i="10"/>
  <c r="G63" i="10"/>
  <c r="F63" i="10"/>
  <c r="N62" i="10"/>
  <c r="M62" i="10"/>
  <c r="L62" i="10"/>
  <c r="K62" i="10"/>
  <c r="J62" i="10"/>
  <c r="I62" i="10"/>
  <c r="N61" i="10"/>
  <c r="M61" i="10"/>
  <c r="L61" i="10"/>
  <c r="K61" i="10"/>
  <c r="J61" i="10"/>
  <c r="N60" i="10"/>
  <c r="M60" i="10"/>
  <c r="L60" i="10"/>
  <c r="K60" i="10"/>
  <c r="J60" i="10"/>
  <c r="N59" i="10"/>
  <c r="M59" i="10"/>
  <c r="L59" i="10"/>
  <c r="K59" i="10"/>
  <c r="N58" i="10"/>
  <c r="M58" i="10"/>
  <c r="L58" i="10"/>
  <c r="K58" i="10"/>
  <c r="J58" i="10"/>
  <c r="I58" i="10"/>
  <c r="F58" i="10"/>
  <c r="N57" i="10"/>
  <c r="M57" i="10"/>
  <c r="L57" i="10"/>
  <c r="K57" i="10"/>
  <c r="J57" i="10"/>
  <c r="I57" i="10"/>
  <c r="H57" i="10"/>
  <c r="N56" i="10"/>
  <c r="M56" i="10"/>
  <c r="L56" i="10"/>
  <c r="K56" i="10"/>
  <c r="J56" i="10"/>
  <c r="H56" i="10"/>
  <c r="G56" i="10"/>
  <c r="F56" i="10"/>
  <c r="E56" i="10"/>
  <c r="N55" i="10"/>
  <c r="M55" i="10"/>
  <c r="L55" i="10"/>
  <c r="K55" i="10"/>
  <c r="N54" i="10"/>
  <c r="M54" i="10"/>
  <c r="L54" i="10"/>
  <c r="K54" i="10"/>
  <c r="N53" i="10"/>
  <c r="M53" i="10"/>
  <c r="L53" i="10"/>
  <c r="K53" i="10"/>
  <c r="J53" i="10"/>
  <c r="H53" i="10"/>
  <c r="G53" i="10"/>
  <c r="E53" i="10"/>
  <c r="N52" i="10"/>
  <c r="M52" i="10"/>
  <c r="L52" i="10"/>
  <c r="K52" i="10"/>
  <c r="N51" i="10"/>
  <c r="M51" i="10"/>
  <c r="L51" i="10"/>
  <c r="K51" i="10"/>
  <c r="J51" i="10"/>
  <c r="H51" i="10"/>
  <c r="G51" i="10"/>
  <c r="F51" i="10"/>
  <c r="N50" i="10"/>
  <c r="M50" i="10"/>
  <c r="L50" i="10"/>
  <c r="K50" i="10"/>
  <c r="I50" i="10"/>
  <c r="G50" i="10"/>
  <c r="F50" i="10"/>
  <c r="E50" i="10"/>
  <c r="N49" i="10"/>
  <c r="M49" i="10"/>
  <c r="L49" i="10"/>
  <c r="K49" i="10"/>
  <c r="N48" i="10"/>
  <c r="M48" i="10"/>
  <c r="L48" i="10"/>
  <c r="K48" i="10"/>
  <c r="G48" i="10"/>
  <c r="F48" i="10"/>
  <c r="N47" i="10"/>
  <c r="M47" i="10"/>
  <c r="L47" i="10"/>
  <c r="K47" i="10"/>
  <c r="G47" i="10"/>
  <c r="N46" i="10"/>
  <c r="M46" i="10"/>
  <c r="L46" i="10"/>
  <c r="K46" i="10"/>
  <c r="J46" i="10"/>
  <c r="N45" i="10"/>
  <c r="M45" i="10"/>
  <c r="L45" i="10"/>
  <c r="K45" i="10"/>
  <c r="J45" i="10"/>
  <c r="I45" i="10"/>
  <c r="N44" i="10"/>
  <c r="M44" i="10"/>
  <c r="L44" i="10"/>
  <c r="K44" i="10"/>
  <c r="N43" i="10"/>
  <c r="M43" i="10"/>
  <c r="L43" i="10"/>
  <c r="K43" i="10"/>
  <c r="J43" i="10"/>
  <c r="I43" i="10"/>
  <c r="H43" i="10"/>
  <c r="G43" i="10"/>
  <c r="E43" i="10"/>
  <c r="N42" i="10"/>
  <c r="M42" i="10"/>
  <c r="L42" i="10"/>
  <c r="K42" i="10"/>
  <c r="I42" i="10"/>
  <c r="G42" i="10"/>
  <c r="F42" i="10"/>
  <c r="N41" i="10"/>
  <c r="M41" i="10"/>
  <c r="L41" i="10"/>
  <c r="K41" i="10"/>
  <c r="N40" i="10"/>
  <c r="M40" i="10"/>
  <c r="L40" i="10"/>
  <c r="K40" i="10"/>
  <c r="N39" i="10"/>
  <c r="M39" i="10"/>
  <c r="L39" i="10"/>
  <c r="K39" i="10"/>
  <c r="G39" i="10"/>
  <c r="F39" i="10"/>
  <c r="N38" i="10"/>
  <c r="M38" i="10"/>
  <c r="L38" i="10"/>
  <c r="K38" i="10"/>
  <c r="J38" i="10"/>
  <c r="I38" i="10"/>
  <c r="G38" i="10"/>
  <c r="N37" i="10"/>
  <c r="M37" i="10"/>
  <c r="L37" i="10"/>
  <c r="K37" i="10"/>
  <c r="G37" i="10"/>
  <c r="N36" i="10"/>
  <c r="M36" i="10"/>
  <c r="L36" i="10"/>
  <c r="K36" i="10"/>
  <c r="I36" i="10"/>
  <c r="G36" i="10"/>
  <c r="F36" i="10"/>
  <c r="N35" i="10"/>
  <c r="M35" i="10"/>
  <c r="L35" i="10"/>
  <c r="K35" i="10"/>
  <c r="E35" i="10"/>
  <c r="N34" i="10"/>
  <c r="M34" i="10"/>
  <c r="L34" i="10"/>
  <c r="K34" i="10"/>
  <c r="N33" i="10"/>
  <c r="M33" i="10"/>
  <c r="L33" i="10"/>
  <c r="K33" i="10"/>
  <c r="J33" i="10"/>
  <c r="I33" i="10"/>
  <c r="G33" i="10"/>
  <c r="F33" i="10"/>
  <c r="N32" i="10"/>
  <c r="M32" i="10"/>
  <c r="L32" i="10"/>
  <c r="K32" i="10"/>
  <c r="J32" i="10"/>
  <c r="I32" i="10"/>
  <c r="H32" i="10"/>
  <c r="G32" i="10"/>
  <c r="F32" i="10"/>
  <c r="N31" i="10"/>
  <c r="M31" i="10"/>
  <c r="L31" i="10"/>
  <c r="K31" i="10"/>
  <c r="N30" i="10"/>
  <c r="M30" i="10"/>
  <c r="L30" i="10"/>
  <c r="K30" i="10"/>
  <c r="J30" i="10"/>
  <c r="I30" i="10"/>
  <c r="H30" i="10"/>
  <c r="G30" i="10"/>
  <c r="F30" i="10"/>
  <c r="E30" i="10"/>
  <c r="N29" i="10"/>
  <c r="M29" i="10"/>
  <c r="L29" i="10"/>
  <c r="K29" i="10"/>
  <c r="G29" i="10"/>
  <c r="N28" i="10"/>
  <c r="M28" i="10"/>
  <c r="L28" i="10"/>
  <c r="K28" i="10"/>
  <c r="F28" i="10"/>
  <c r="E28" i="10"/>
  <c r="N27" i="10"/>
  <c r="M27" i="10"/>
  <c r="L27" i="10"/>
  <c r="K27" i="10"/>
  <c r="N26" i="10"/>
  <c r="M26" i="10"/>
  <c r="L26" i="10"/>
  <c r="K26" i="10"/>
  <c r="J26" i="10"/>
  <c r="I26" i="10"/>
  <c r="N25" i="10"/>
  <c r="M25" i="10"/>
  <c r="L25" i="10"/>
  <c r="K25" i="10"/>
  <c r="H25" i="10"/>
  <c r="E25" i="10"/>
  <c r="N24" i="10"/>
  <c r="M24" i="10"/>
  <c r="L24" i="10"/>
  <c r="K24" i="10"/>
  <c r="F24" i="10"/>
  <c r="N23" i="10"/>
  <c r="M23" i="10"/>
  <c r="L23" i="10"/>
  <c r="K23" i="10"/>
  <c r="N22" i="10"/>
  <c r="M22" i="10"/>
  <c r="L22" i="10"/>
  <c r="K22" i="10"/>
  <c r="I22" i="10"/>
  <c r="N21" i="10"/>
  <c r="M21" i="10"/>
  <c r="L21" i="10"/>
  <c r="K21" i="10"/>
  <c r="H21" i="10"/>
  <c r="F21" i="10"/>
  <c r="N20" i="10"/>
  <c r="M20" i="10"/>
  <c r="L20" i="10"/>
  <c r="K20" i="10"/>
  <c r="J20" i="10"/>
  <c r="I20" i="10"/>
  <c r="F20" i="10"/>
  <c r="N19" i="10"/>
  <c r="M19" i="10"/>
  <c r="L19" i="10"/>
  <c r="K19" i="10"/>
  <c r="N18" i="10"/>
  <c r="M18" i="10"/>
  <c r="L18" i="10"/>
  <c r="K18" i="10"/>
  <c r="J18" i="10"/>
  <c r="E18" i="10"/>
  <c r="N17" i="10"/>
  <c r="M17" i="10"/>
  <c r="L17" i="10"/>
  <c r="K17" i="10"/>
  <c r="N16" i="10"/>
  <c r="M16" i="10"/>
  <c r="L16" i="10"/>
  <c r="K16" i="10"/>
  <c r="G16" i="10"/>
  <c r="F16" i="10"/>
  <c r="N15" i="10"/>
  <c r="M15" i="10"/>
  <c r="L15" i="10"/>
  <c r="K15" i="10"/>
  <c r="J15" i="10"/>
  <c r="I15" i="10"/>
  <c r="H15" i="10"/>
  <c r="G15" i="10"/>
  <c r="N14" i="10"/>
  <c r="M14" i="10"/>
  <c r="L14" i="10"/>
  <c r="K14" i="10"/>
  <c r="N13" i="10"/>
  <c r="M13" i="10"/>
  <c r="L13" i="10"/>
  <c r="K13" i="10"/>
  <c r="G13" i="10"/>
  <c r="N12" i="10"/>
  <c r="M12" i="10"/>
  <c r="L12" i="10"/>
  <c r="K12" i="10"/>
  <c r="N11" i="10"/>
  <c r="M11" i="10"/>
  <c r="L11" i="10"/>
  <c r="K11" i="10"/>
  <c r="H11" i="10"/>
  <c r="G11" i="10"/>
  <c r="E11" i="10"/>
  <c r="N10" i="10"/>
  <c r="M10" i="10"/>
  <c r="L10" i="10"/>
  <c r="K10" i="10"/>
  <c r="I10" i="10"/>
  <c r="N9" i="10"/>
  <c r="M9" i="10"/>
  <c r="L9" i="10"/>
  <c r="K9" i="10"/>
  <c r="J9" i="10"/>
  <c r="N8" i="10"/>
  <c r="M8" i="10"/>
  <c r="L8" i="10"/>
  <c r="K8" i="10"/>
  <c r="F8" i="10"/>
  <c r="N7" i="10"/>
  <c r="M7" i="10"/>
  <c r="L7" i="10"/>
  <c r="K7" i="10"/>
  <c r="N6" i="10"/>
  <c r="M6" i="10"/>
  <c r="L6" i="10"/>
  <c r="K6" i="10"/>
  <c r="I6" i="10"/>
  <c r="H6" i="10"/>
  <c r="N5" i="10"/>
  <c r="M5" i="10"/>
  <c r="L5" i="10"/>
  <c r="K5" i="10"/>
  <c r="N4" i="10"/>
  <c r="M4" i="10"/>
  <c r="L4" i="10"/>
  <c r="K4" i="10"/>
  <c r="I4" i="10"/>
  <c r="F4" i="10"/>
  <c r="N3" i="10"/>
  <c r="M3" i="10"/>
  <c r="L3" i="10"/>
  <c r="K3" i="10"/>
  <c r="N2" i="10"/>
  <c r="M2" i="10"/>
  <c r="L2" i="10"/>
  <c r="K2" i="10"/>
  <c r="I2" i="10"/>
  <c r="H2" i="10"/>
  <c r="G2" i="10"/>
  <c r="E2" i="10"/>
  <c r="E118" i="10" l="1"/>
  <c r="E125" i="10"/>
  <c r="E139" i="10"/>
  <c r="E157" i="10"/>
  <c r="E164" i="10"/>
  <c r="E109" i="10"/>
  <c r="E168" i="10"/>
  <c r="E10" i="10"/>
  <c r="E134" i="10"/>
  <c r="E76" i="10"/>
  <c r="E114" i="10"/>
  <c r="E36" i="10"/>
  <c r="E166" i="10"/>
  <c r="E17" i="10"/>
  <c r="E31" i="10"/>
  <c r="E44" i="10"/>
  <c r="E67" i="10"/>
  <c r="E150" i="10"/>
  <c r="E131" i="10"/>
  <c r="E133" i="10"/>
  <c r="E136" i="10"/>
  <c r="E127" i="10"/>
  <c r="E152" i="10"/>
  <c r="E159" i="10"/>
  <c r="E161" i="10"/>
  <c r="E171" i="10"/>
  <c r="E175" i="10"/>
  <c r="E183" i="10"/>
  <c r="E193" i="10"/>
  <c r="E29" i="10"/>
  <c r="E151" i="10"/>
  <c r="E158" i="10"/>
  <c r="E167" i="10"/>
  <c r="E199" i="10"/>
  <c r="E135" i="10"/>
  <c r="E198" i="10"/>
  <c r="E197" i="10"/>
  <c r="E24" i="10"/>
  <c r="E16" i="10"/>
  <c r="E39" i="10"/>
  <c r="E47" i="10"/>
  <c r="E63" i="10"/>
  <c r="E74" i="10"/>
  <c r="E84" i="10"/>
  <c r="E90" i="10"/>
  <c r="E104" i="10"/>
  <c r="E98" i="10"/>
  <c r="E103" i="10"/>
  <c r="E147" i="10"/>
  <c r="E160" i="10"/>
  <c r="E119" i="10"/>
  <c r="J119" i="10"/>
  <c r="J4" i="10"/>
  <c r="J40" i="10"/>
  <c r="J48" i="10"/>
  <c r="E169" i="10"/>
  <c r="J169" i="10"/>
  <c r="J68" i="10"/>
  <c r="J42" i="10"/>
  <c r="J13" i="10"/>
  <c r="J145" i="10"/>
  <c r="E5" i="10"/>
  <c r="J86" i="10"/>
  <c r="E140" i="10"/>
  <c r="J140" i="10"/>
  <c r="E52" i="10"/>
  <c r="E58" i="10"/>
  <c r="E61" i="10"/>
  <c r="E70" i="10"/>
  <c r="J52" i="10"/>
  <c r="J70" i="10"/>
  <c r="E124" i="10"/>
  <c r="H5" i="10"/>
  <c r="E110" i="10"/>
  <c r="E120" i="10"/>
  <c r="E126" i="10"/>
  <c r="J126" i="10"/>
  <c r="E172" i="10"/>
  <c r="E12" i="10"/>
  <c r="E121" i="10"/>
  <c r="E20" i="10"/>
  <c r="E113" i="10"/>
  <c r="E123" i="10"/>
  <c r="E129" i="10"/>
  <c r="E141" i="10"/>
  <c r="E34" i="10"/>
  <c r="E49" i="10"/>
  <c r="E59" i="10"/>
  <c r="E88" i="10"/>
  <c r="E201" i="10"/>
  <c r="E95" i="10"/>
  <c r="E112" i="10"/>
  <c r="E19" i="10"/>
  <c r="E153" i="10"/>
  <c r="E27" i="10"/>
  <c r="E46" i="10"/>
  <c r="E54" i="10"/>
  <c r="E71" i="10"/>
  <c r="E89" i="10"/>
  <c r="E85" i="10"/>
  <c r="E6" i="10"/>
  <c r="E22" i="10"/>
  <c r="E111" i="10"/>
  <c r="E149" i="10"/>
  <c r="E9" i="10"/>
  <c r="E33" i="10"/>
  <c r="E37" i="10"/>
  <c r="E45" i="10"/>
  <c r="E80" i="10"/>
  <c r="E87" i="10"/>
  <c r="E93" i="10"/>
  <c r="E108" i="10"/>
  <c r="E96" i="10"/>
  <c r="E115" i="10"/>
  <c r="Q16" i="9" l="1"/>
  <c r="P17" i="9"/>
  <c r="Q17" i="9"/>
  <c r="R17" i="9" s="1"/>
  <c r="P18" i="9"/>
  <c r="Q18" i="9"/>
  <c r="R18" i="9"/>
  <c r="P19" i="9"/>
  <c r="Q19" i="9"/>
  <c r="R19" i="9"/>
  <c r="P20" i="9"/>
  <c r="P21" i="9" s="1"/>
  <c r="P22" i="9" s="1"/>
  <c r="Q20" i="9"/>
  <c r="Q21" i="9"/>
  <c r="R21" i="9" s="1"/>
  <c r="Q22" i="9"/>
  <c r="R20" i="9" s="1"/>
  <c r="R22" i="9"/>
  <c r="R16" i="9" l="1"/>
  <c r="J19" i="5" l="1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B3" i="7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5" i="5"/>
  <c r="C77" i="5"/>
  <c r="C80" i="5"/>
  <c r="C81" i="5"/>
  <c r="C82" i="5"/>
  <c r="C84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2" i="5"/>
  <c r="B2" i="8"/>
  <c r="A57" i="6"/>
  <c r="A56" i="6"/>
  <c r="A55" i="6"/>
  <c r="A54" i="6"/>
  <c r="A53" i="6"/>
  <c r="B52" i="6"/>
  <c r="B53" i="6" s="1"/>
  <c r="A52" i="6"/>
  <c r="A51" i="6"/>
  <c r="A50" i="6"/>
  <c r="A49" i="6"/>
  <c r="A48" i="6"/>
  <c r="A47" i="6"/>
  <c r="B46" i="6"/>
  <c r="B47" i="6" s="1"/>
  <c r="A46" i="6"/>
  <c r="B45" i="6"/>
  <c r="A45" i="6"/>
  <c r="A44" i="6"/>
  <c r="A43" i="6"/>
  <c r="A42" i="6"/>
  <c r="A41" i="6"/>
  <c r="A40" i="6"/>
  <c r="A39" i="6"/>
  <c r="B38" i="6"/>
  <c r="B39" i="6" s="1"/>
  <c r="A38" i="6"/>
  <c r="A37" i="6"/>
  <c r="A36" i="6"/>
  <c r="A35" i="6"/>
  <c r="A34" i="6"/>
  <c r="D33" i="6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A33" i="6"/>
  <c r="D32" i="6"/>
  <c r="A32" i="6"/>
  <c r="D31" i="6"/>
  <c r="B31" i="6"/>
  <c r="B32" i="6" s="1"/>
  <c r="A31" i="6"/>
  <c r="A30" i="6"/>
  <c r="A29" i="6"/>
  <c r="A28" i="6"/>
  <c r="A27" i="6"/>
  <c r="A26" i="6"/>
  <c r="A25" i="6"/>
  <c r="B24" i="6"/>
  <c r="B25" i="6" s="1"/>
  <c r="A24" i="6"/>
  <c r="A23" i="6"/>
  <c r="A22" i="6"/>
  <c r="A21" i="6"/>
  <c r="A20" i="6"/>
  <c r="A19" i="6"/>
  <c r="B18" i="6"/>
  <c r="B19" i="6" s="1"/>
  <c r="A18" i="6"/>
  <c r="B17" i="6"/>
  <c r="A17" i="6"/>
  <c r="A16" i="6"/>
  <c r="A15" i="6"/>
  <c r="A14" i="6"/>
  <c r="A13" i="6"/>
  <c r="A12" i="6"/>
  <c r="B11" i="6"/>
  <c r="B12" i="6" s="1"/>
  <c r="A11" i="6"/>
  <c r="B10" i="6"/>
  <c r="A10" i="6"/>
  <c r="A9" i="6"/>
  <c r="A8" i="6"/>
  <c r="A7" i="6"/>
  <c r="A6" i="6"/>
  <c r="A5" i="6"/>
  <c r="A4" i="6"/>
  <c r="D3" i="6"/>
  <c r="D4" i="6" s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B3" i="6"/>
  <c r="B4" i="6" s="1"/>
  <c r="A3" i="6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8" i="1"/>
  <c r="B56" i="1"/>
  <c r="B55" i="1"/>
  <c r="B54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3" i="1"/>
  <c r="B2" i="1"/>
  <c r="M2" i="5" s="1" a="1"/>
  <c r="M2" i="5" s="1"/>
  <c r="N2" i="5" s="1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59" i="7"/>
  <c r="B57" i="7"/>
  <c r="B56" i="7"/>
  <c r="B55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4" i="7"/>
  <c r="B2" i="7"/>
  <c r="B4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5" i="8"/>
  <c r="B56" i="8"/>
  <c r="B57" i="8"/>
  <c r="B59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26" i="6" l="1"/>
  <c r="B5" i="6"/>
  <c r="B20" i="6"/>
  <c r="B13" i="6"/>
  <c r="B54" i="6"/>
  <c r="B48" i="6"/>
  <c r="B33" i="6"/>
  <c r="B40" i="6"/>
  <c r="B55" i="6" l="1"/>
  <c r="B14" i="6"/>
  <c r="B21" i="6"/>
  <c r="B49" i="6"/>
  <c r="B41" i="6"/>
  <c r="B6" i="6"/>
  <c r="B34" i="6"/>
  <c r="B27" i="6"/>
  <c r="B22" i="6" l="1"/>
  <c r="B50" i="6"/>
  <c r="B42" i="6"/>
  <c r="B28" i="6"/>
  <c r="B15" i="6"/>
  <c r="B35" i="6"/>
  <c r="B56" i="6"/>
  <c r="B7" i="6"/>
  <c r="B29" i="6" l="1"/>
  <c r="B43" i="6"/>
  <c r="B36" i="6"/>
  <c r="B8" i="6"/>
  <c r="B57" i="6"/>
  <c r="B3" i="8" l="1"/>
  <c r="K2" i="5" l="1" a="1"/>
  <c r="K2" i="5" s="1"/>
  <c r="L2" i="5" s="1"/>
  <c r="I2" i="5" a="1"/>
  <c r="I2" i="5" s="1"/>
  <c r="J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<sst xmlns="http://schemas.openxmlformats.org/spreadsheetml/2006/main" count="16609" uniqueCount="601">
  <si>
    <t>Baseball</t>
  </si>
  <si>
    <t>Basketball</t>
  </si>
  <si>
    <t>Football</t>
  </si>
  <si>
    <t>Golf</t>
  </si>
  <si>
    <t>Gymnastics</t>
  </si>
  <si>
    <t>Soccer</t>
  </si>
  <si>
    <t>Softball</t>
  </si>
  <si>
    <t>Swimming and Diving</t>
  </si>
  <si>
    <t>Tennis</t>
  </si>
  <si>
    <t>Track and Field, X- Country</t>
  </si>
  <si>
    <t>Volleyball</t>
  </si>
  <si>
    <t>Others</t>
  </si>
  <si>
    <t>Subtotal All Teams</t>
  </si>
  <si>
    <t>Expenses Not Related to Specific Teams</t>
  </si>
  <si>
    <t>Total Expenses</t>
  </si>
  <si>
    <t>unitid</t>
  </si>
  <si>
    <t>FY</t>
  </si>
  <si>
    <t>University</t>
  </si>
  <si>
    <t>Gender</t>
  </si>
  <si>
    <t>Sport</t>
  </si>
  <si>
    <t>Code</t>
  </si>
  <si>
    <t>Beach Volleyball</t>
  </si>
  <si>
    <t>Bowling</t>
  </si>
  <si>
    <t>Equestrian</t>
  </si>
  <si>
    <t>Fencing</t>
  </si>
  <si>
    <t>Field Hockey</t>
  </si>
  <si>
    <t>Ice Hockey</t>
  </si>
  <si>
    <t>Lacrosse</t>
  </si>
  <si>
    <t>Rifle</t>
  </si>
  <si>
    <t>Rowing</t>
  </si>
  <si>
    <t>Rugby</t>
  </si>
  <si>
    <t>Skiing</t>
  </si>
  <si>
    <t>Track and Field, X Country</t>
  </si>
  <si>
    <t>Triathlon</t>
  </si>
  <si>
    <t>Water Polo</t>
  </si>
  <si>
    <t>Wrestling</t>
  </si>
  <si>
    <t>Track and Field, X-Country</t>
  </si>
  <si>
    <t>Univeristy</t>
  </si>
  <si>
    <t>Air Force</t>
  </si>
  <si>
    <t>Akron</t>
  </si>
  <si>
    <t>Alabama</t>
  </si>
  <si>
    <t>Alabama State</t>
  </si>
  <si>
    <t>Albany</t>
  </si>
  <si>
    <t>Alcorn State</t>
  </si>
  <si>
    <t>Appalachian State</t>
  </si>
  <si>
    <t>Arizona</t>
  </si>
  <si>
    <t>Arizona State</t>
  </si>
  <si>
    <t>Arkansas</t>
  </si>
  <si>
    <t>Arkansas Little Rock</t>
  </si>
  <si>
    <t>Arkansas Pine Bluff</t>
  </si>
  <si>
    <t>Arkansas State</t>
  </si>
  <si>
    <t>Auburn</t>
  </si>
  <si>
    <t>Austin Peay State</t>
  </si>
  <si>
    <t>Army</t>
  </si>
  <si>
    <t>Ball State</t>
  </si>
  <si>
    <t>Binghamton</t>
  </si>
  <si>
    <t>Boise State</t>
  </si>
  <si>
    <t>Bowling Green</t>
  </si>
  <si>
    <t>Buffalo</t>
  </si>
  <si>
    <t>Cal Poly</t>
  </si>
  <si>
    <t>Cal State Bakersfield</t>
  </si>
  <si>
    <t>Cal State Fullerton</t>
  </si>
  <si>
    <t>Cal State Northridge</t>
  </si>
  <si>
    <t>California</t>
  </si>
  <si>
    <t>Central Arkansas</t>
  </si>
  <si>
    <t>Central Connecticut State</t>
  </si>
  <si>
    <t>Central Michigan</t>
  </si>
  <si>
    <t>Charlotte</t>
  </si>
  <si>
    <t>Chicago State</t>
  </si>
  <si>
    <t>Cincinnati</t>
  </si>
  <si>
    <t>Citadel</t>
  </si>
  <si>
    <t>Clemson</t>
  </si>
  <si>
    <t>Cleveland State</t>
  </si>
  <si>
    <t>Coastal Carolina</t>
  </si>
  <si>
    <t>College of Charleston</t>
  </si>
  <si>
    <t>Colorado</t>
  </si>
  <si>
    <t>Colorado State</t>
  </si>
  <si>
    <t>Connecticut</t>
  </si>
  <si>
    <t>Coppin State</t>
  </si>
  <si>
    <t>East Carolina</t>
  </si>
  <si>
    <t>East Tennessee</t>
  </si>
  <si>
    <t>Eastern Illinois</t>
  </si>
  <si>
    <t>Eastern Kentucky</t>
  </si>
  <si>
    <t>Eastern Michigan</t>
  </si>
  <si>
    <t>Eastern Washington</t>
  </si>
  <si>
    <t>Florida</t>
  </si>
  <si>
    <t>Florida Atlantic</t>
  </si>
  <si>
    <t>Florida Gulf Coast</t>
  </si>
  <si>
    <t>Florida International</t>
  </si>
  <si>
    <t>Florida State</t>
  </si>
  <si>
    <t>Fresno State</t>
  </si>
  <si>
    <t>George Mason</t>
  </si>
  <si>
    <t>Georgia</t>
  </si>
  <si>
    <t>Georgia Southern</t>
  </si>
  <si>
    <t>Georgia State</t>
  </si>
  <si>
    <t>Georgia Tech</t>
  </si>
  <si>
    <t>Grambling State</t>
  </si>
  <si>
    <t>Hawaii</t>
  </si>
  <si>
    <t>Houston</t>
  </si>
  <si>
    <t>Idaho</t>
  </si>
  <si>
    <t>Idaho State</t>
  </si>
  <si>
    <t>Illinois</t>
  </si>
  <si>
    <t>Illinois Chicago</t>
  </si>
  <si>
    <t>Illinois State</t>
  </si>
  <si>
    <t>Indiana</t>
  </si>
  <si>
    <t>Indiana State</t>
  </si>
  <si>
    <t>Iowa</t>
  </si>
  <si>
    <t>Iowa State</t>
  </si>
  <si>
    <t>IUPUI</t>
  </si>
  <si>
    <t>Jackson State</t>
  </si>
  <si>
    <t>James Madison</t>
  </si>
  <si>
    <t>Kansas</t>
  </si>
  <si>
    <t>Kansas State</t>
  </si>
  <si>
    <t>Kennesaw State</t>
  </si>
  <si>
    <t>Kent State</t>
  </si>
  <si>
    <t>Kentucky</t>
  </si>
  <si>
    <t>Lamar</t>
  </si>
  <si>
    <t>Long Beach State</t>
  </si>
  <si>
    <t>Longwood</t>
  </si>
  <si>
    <t>Louisiana LaFayette</t>
  </si>
  <si>
    <t>Louisiana Monroe</t>
  </si>
  <si>
    <t>Louisiana Tech</t>
  </si>
  <si>
    <t>Louisville</t>
  </si>
  <si>
    <t>LSU</t>
  </si>
  <si>
    <t>Maine</t>
  </si>
  <si>
    <t>Marshall</t>
  </si>
  <si>
    <t>Maryland</t>
  </si>
  <si>
    <t>Maryland Baltimore County</t>
  </si>
  <si>
    <t>Maryland Eastern Shore</t>
  </si>
  <si>
    <t>Massachusetts</t>
  </si>
  <si>
    <t>Massachusetts Lowell</t>
  </si>
  <si>
    <t>McNeese State</t>
  </si>
  <si>
    <t>Memphis</t>
  </si>
  <si>
    <t>Miami (Ohio)</t>
  </si>
  <si>
    <t>Michigan</t>
  </si>
  <si>
    <t>Michigan State</t>
  </si>
  <si>
    <t>Middle Tennessee State</t>
  </si>
  <si>
    <t>Minnesota</t>
  </si>
  <si>
    <t>Mississippi</t>
  </si>
  <si>
    <t>Mississippi State</t>
  </si>
  <si>
    <t>Mississippi Valley State</t>
  </si>
  <si>
    <t>Missouri</t>
  </si>
  <si>
    <t>Missouri Kansas City</t>
  </si>
  <si>
    <t>Missouri State</t>
  </si>
  <si>
    <t>Montana</t>
  </si>
  <si>
    <t>Montana State</t>
  </si>
  <si>
    <t>Morehead State</t>
  </si>
  <si>
    <t>Morgan State</t>
  </si>
  <si>
    <t>Murray State</t>
  </si>
  <si>
    <t>Navy</t>
  </si>
  <si>
    <t>Nebraska</t>
  </si>
  <si>
    <t>Nebraska Omaha</t>
  </si>
  <si>
    <t>Nevada</t>
  </si>
  <si>
    <t>New Hampshire</t>
  </si>
  <si>
    <t>New Mexico</t>
  </si>
  <si>
    <t>New Mexico State</t>
  </si>
  <si>
    <t>New Orleans</t>
  </si>
  <si>
    <t>Nicholls State</t>
  </si>
  <si>
    <t>NJIT</t>
  </si>
  <si>
    <t>Nolfork State</t>
  </si>
  <si>
    <t>North Carolina</t>
  </si>
  <si>
    <t>North Carolina A&amp;T</t>
  </si>
  <si>
    <t>North Carolina Asheville</t>
  </si>
  <si>
    <t>North Carolina Greensboro</t>
  </si>
  <si>
    <t>North Carolina Central</t>
  </si>
  <si>
    <t>North Carolina State</t>
  </si>
  <si>
    <t>North Carolina Wilmington</t>
  </si>
  <si>
    <t>North Dakota</t>
  </si>
  <si>
    <t>North Dakota State</t>
  </si>
  <si>
    <t>North Florida</t>
  </si>
  <si>
    <t>North Texas</t>
  </si>
  <si>
    <t>Northern Arizona</t>
  </si>
  <si>
    <t>Northern Colorado</t>
  </si>
  <si>
    <t>Northern Illinois</t>
  </si>
  <si>
    <t>Northern Iowa</t>
  </si>
  <si>
    <t>Northwestern State</t>
  </si>
  <si>
    <t>Oakland</t>
  </si>
  <si>
    <t>Ohio</t>
  </si>
  <si>
    <t>Ohio State</t>
  </si>
  <si>
    <t>Oklahoma</t>
  </si>
  <si>
    <t>Oklahoma State</t>
  </si>
  <si>
    <t>Old Dominion</t>
  </si>
  <si>
    <t>Oregon</t>
  </si>
  <si>
    <t>Oregon State</t>
  </si>
  <si>
    <t>Penn State</t>
  </si>
  <si>
    <t>Portland State</t>
  </si>
  <si>
    <t>Prairie View A&amp;M</t>
  </si>
  <si>
    <t>Purdue</t>
  </si>
  <si>
    <t>Purdue Fort Wayne</t>
  </si>
  <si>
    <t>Radford</t>
  </si>
  <si>
    <t>Rhode Island</t>
  </si>
  <si>
    <t>Rutgers</t>
  </si>
  <si>
    <t>Sacramento State</t>
  </si>
  <si>
    <t>Sam Houston State</t>
  </si>
  <si>
    <t>San Diego State</t>
  </si>
  <si>
    <t>San Jose State</t>
  </si>
  <si>
    <t>Savannah State</t>
  </si>
  <si>
    <t>South Alabama</t>
  </si>
  <si>
    <t>South Carolina</t>
  </si>
  <si>
    <t>South Carolina Upstate</t>
  </si>
  <si>
    <t>South Carolina State</t>
  </si>
  <si>
    <t>South Dakota</t>
  </si>
  <si>
    <t>South Dakota State</t>
  </si>
  <si>
    <t>South Florida</t>
  </si>
  <si>
    <t>Southeast Missouri State</t>
  </si>
  <si>
    <t>Southern</t>
  </si>
  <si>
    <t>Southern Illinois</t>
  </si>
  <si>
    <t>Southern Illinois Edwardsville</t>
  </si>
  <si>
    <t>Southern Mississippi</t>
  </si>
  <si>
    <t>Southern Utah</t>
  </si>
  <si>
    <t>Stephen F. Austin</t>
  </si>
  <si>
    <t>Stony Brook</t>
  </si>
  <si>
    <t>Tennessee</t>
  </si>
  <si>
    <t>Tennessee Chattanooga</t>
  </si>
  <si>
    <t>Tennessee Martin</t>
  </si>
  <si>
    <t>Tennessee Tech</t>
  </si>
  <si>
    <t>Texas</t>
  </si>
  <si>
    <t>Texas A&amp;M</t>
  </si>
  <si>
    <t>Texas A&amp;M Corpus Christi</t>
  </si>
  <si>
    <t>Texas Arlington</t>
  </si>
  <si>
    <t>Texas Southern</t>
  </si>
  <si>
    <t>Texas State</t>
  </si>
  <si>
    <t>Texas Tech</t>
  </si>
  <si>
    <t>Toledo</t>
  </si>
  <si>
    <t>Towson</t>
  </si>
  <si>
    <t>Troy</t>
  </si>
  <si>
    <t>UAB</t>
  </si>
  <si>
    <t>UC Davis</t>
  </si>
  <si>
    <t>UC Irvine</t>
  </si>
  <si>
    <t>UC Riverside</t>
  </si>
  <si>
    <t>UC Santa Barbara</t>
  </si>
  <si>
    <t>UCF</t>
  </si>
  <si>
    <t>UCLA</t>
  </si>
  <si>
    <t>UNLV</t>
  </si>
  <si>
    <t>Utah</t>
  </si>
  <si>
    <t>Utah State</t>
  </si>
  <si>
    <t>Utah Valley</t>
  </si>
  <si>
    <t>UTEP</t>
  </si>
  <si>
    <t>UTRGV</t>
  </si>
  <si>
    <t>UTSA</t>
  </si>
  <si>
    <t>VCU</t>
  </si>
  <si>
    <t>Vermont</t>
  </si>
  <si>
    <t>Virginia</t>
  </si>
  <si>
    <t>Virginia Tech</t>
  </si>
  <si>
    <t>Washington</t>
  </si>
  <si>
    <t>Washington State</t>
  </si>
  <si>
    <t>Weber State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</si>
  <si>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</si>
  <si>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</si>
  <si>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</si>
  <si>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</si>
  <si>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</si>
  <si>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</si>
  <si>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</si>
  <si>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</si>
  <si>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</t>
  </si>
  <si>
    <t>Wisconsin Green Bay</t>
  </si>
  <si>
    <t>Wisconsin Milwaukee</t>
  </si>
  <si>
    <t>Wright State</t>
  </si>
  <si>
    <t>Wyoming</t>
  </si>
  <si>
    <t>Youngstown State</t>
  </si>
  <si>
    <t>Cross Country</t>
  </si>
  <si>
    <t>Track, Indoor</t>
  </si>
  <si>
    <t>Track, Outdoor</t>
  </si>
  <si>
    <t>Total Participants</t>
  </si>
  <si>
    <t>Participant Proportion</t>
  </si>
  <si>
    <t>Unduplicated Count of Participants</t>
  </si>
  <si>
    <t>Mens</t>
  </si>
  <si>
    <t>Womens</t>
  </si>
  <si>
    <t>Sex</t>
  </si>
  <si>
    <t>RA6</t>
  </si>
  <si>
    <t>NAG</t>
  </si>
  <si>
    <t>Concessions</t>
  </si>
  <si>
    <t>RealConcessions</t>
  </si>
  <si>
    <t>TotalAttendance</t>
  </si>
  <si>
    <t>TotalConcessions</t>
  </si>
  <si>
    <t>RealTotalConcessions</t>
  </si>
  <si>
    <t>Sport Code</t>
  </si>
  <si>
    <t>RealAdRev</t>
  </si>
  <si>
    <t>AdRev</t>
  </si>
  <si>
    <t>AdExp</t>
  </si>
  <si>
    <t>RealAdExp</t>
  </si>
  <si>
    <t>Revenue Not Related to Specific Teams</t>
  </si>
  <si>
    <t>Total Revenue</t>
  </si>
  <si>
    <t>TotalAdRev</t>
  </si>
  <si>
    <t>RealTotalAdRev</t>
  </si>
  <si>
    <t>TotalAdExp</t>
  </si>
  <si>
    <t>RealTotalAdExp</t>
  </si>
  <si>
    <t>Attendance</t>
  </si>
  <si>
    <t>Male</t>
  </si>
  <si>
    <t>Female</t>
  </si>
  <si>
    <t>Women</t>
  </si>
  <si>
    <t xml:space="preserve">Golf </t>
  </si>
  <si>
    <t xml:space="preserve">Swimming and diving </t>
  </si>
  <si>
    <t xml:space="preserve">Track and Field , X country </t>
  </si>
  <si>
    <t xml:space="preserve">Beach Volleyball </t>
  </si>
  <si>
    <t xml:space="preserve">Football </t>
  </si>
  <si>
    <t>HALF2</t>
  </si>
  <si>
    <t>HALF1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</si>
  <si>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</si>
  <si>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</si>
  <si>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</si>
  <si>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</si>
  <si>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</si>
  <si>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</si>
  <si>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</si>
  <si>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</si>
  <si>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</si>
  <si>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</si>
  <si>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</si>
  <si>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</si>
  <si>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Year</t>
  </si>
  <si>
    <t>2014 to 2024</t>
  </si>
  <si>
    <t>Years:</t>
  </si>
  <si>
    <t>1982-84=100</t>
  </si>
  <si>
    <t>Base Period:</t>
  </si>
  <si>
    <t>All items</t>
  </si>
  <si>
    <t>Item:</t>
  </si>
  <si>
    <t>U.S. city average</t>
  </si>
  <si>
    <t>Area:</t>
  </si>
  <si>
    <t>All items in U.S. city average, all urban consumers, not seasonally adjusted</t>
  </si>
  <si>
    <t>Series Title:</t>
  </si>
  <si>
    <t>Not Seasonally Adjusted</t>
  </si>
  <si>
    <t>CUUR0000SA0</t>
  </si>
  <si>
    <t>Series Id:</t>
  </si>
  <si>
    <t>Original Data Value</t>
  </si>
  <si>
    <t>Consumer Price Index for All Urban Consumers (CPI-U)</t>
  </si>
  <si>
    <t>GeoFips</t>
  </si>
  <si>
    <t>panel</t>
  </si>
  <si>
    <t>College Of Charleston</t>
  </si>
  <si>
    <t>Louisiana Lafayette</t>
  </si>
  <si>
    <t>University2</t>
  </si>
  <si>
    <t>A&amp;M-Corpus Christi</t>
  </si>
  <si>
    <t>Abilene Christian</t>
  </si>
  <si>
    <t>Alabama A&amp;M</t>
  </si>
  <si>
    <t>Alabama St.</t>
  </si>
  <si>
    <t>Alcorn</t>
  </si>
  <si>
    <t>American</t>
  </si>
  <si>
    <t>Appalachian St.</t>
  </si>
  <si>
    <t>App State</t>
  </si>
  <si>
    <t>Arizona St.</t>
  </si>
  <si>
    <t>Ark.-Pine Bluff</t>
  </si>
  <si>
    <t>Arkansas St.</t>
  </si>
  <si>
    <t>Army West Point</t>
  </si>
  <si>
    <t>Austin Peay</t>
  </si>
  <si>
    <t>Ball St.</t>
  </si>
  <si>
    <t>Baylor</t>
  </si>
  <si>
    <t>Belmont</t>
  </si>
  <si>
    <t>Bethune-Cookman</t>
  </si>
  <si>
    <t>Boise St.</t>
  </si>
  <si>
    <t>Boston College</t>
  </si>
  <si>
    <t>Boston U.</t>
  </si>
  <si>
    <t>Bradley</t>
  </si>
  <si>
    <t>Brown</t>
  </si>
  <si>
    <t>Bryant</t>
  </si>
  <si>
    <t>Bucknell</t>
  </si>
  <si>
    <t>Butler</t>
  </si>
  <si>
    <t>BYU</t>
  </si>
  <si>
    <t>Cal St. Fullerton</t>
  </si>
  <si>
    <t>California Baptist</t>
  </si>
  <si>
    <t>Campbell</t>
  </si>
  <si>
    <t>Canisius</t>
  </si>
  <si>
    <t>Central Ark.</t>
  </si>
  <si>
    <t>Central Conn. St.</t>
  </si>
  <si>
    <t>Central Mich.</t>
  </si>
  <si>
    <t>Charleston So.</t>
  </si>
  <si>
    <t>Chattanooga</t>
  </si>
  <si>
    <t>Chicago St.</t>
  </si>
  <si>
    <t>Cleveland St.</t>
  </si>
  <si>
    <t>Coastal Caro.</t>
  </si>
  <si>
    <t>Col. of Charleston</t>
  </si>
  <si>
    <t>Colgate</t>
  </si>
  <si>
    <t>Colorado St.</t>
  </si>
  <si>
    <t>Columbia</t>
  </si>
  <si>
    <t>Coppin St.</t>
  </si>
  <si>
    <t>Cornell</t>
  </si>
  <si>
    <t>Creighton</t>
  </si>
  <si>
    <t>CSU Bakersfield</t>
  </si>
  <si>
    <t>CSUN</t>
  </si>
  <si>
    <t>Dartmouth</t>
  </si>
  <si>
    <t>Davidson</t>
  </si>
  <si>
    <t>Dayton</t>
  </si>
  <si>
    <t>Delaware</t>
  </si>
  <si>
    <t>Delaware St.</t>
  </si>
  <si>
    <t>Denver</t>
  </si>
  <si>
    <t>DePaul</t>
  </si>
  <si>
    <t>Detroit Mercy</t>
  </si>
  <si>
    <t>Drake</t>
  </si>
  <si>
    <t>Drexel</t>
  </si>
  <si>
    <t>Duke</t>
  </si>
  <si>
    <t>Duquesne</t>
  </si>
  <si>
    <t>Eastern Ill.</t>
  </si>
  <si>
    <t>Eastern Ky.</t>
  </si>
  <si>
    <t>Eastern Mich.</t>
  </si>
  <si>
    <t>Eastern Wash.</t>
  </si>
  <si>
    <t>Elon</t>
  </si>
  <si>
    <t>ETSU</t>
  </si>
  <si>
    <t>Evansville</t>
  </si>
  <si>
    <t>Fairfield</t>
  </si>
  <si>
    <t>Fairleigh Dickinson</t>
  </si>
  <si>
    <t>FDU</t>
  </si>
  <si>
    <t>FGCU</t>
  </si>
  <si>
    <t>FIU</t>
  </si>
  <si>
    <t>Fla. Atlantic</t>
  </si>
  <si>
    <t>Florida A&amp;M</t>
  </si>
  <si>
    <t>Florida St.</t>
  </si>
  <si>
    <t>Fordham</t>
  </si>
  <si>
    <t>Fresno St.</t>
  </si>
  <si>
    <t>Furman</t>
  </si>
  <si>
    <t>Ga. Southern</t>
  </si>
  <si>
    <t>Gardner-Webb</t>
  </si>
  <si>
    <t>George Washington</t>
  </si>
  <si>
    <t>Georgetown</t>
  </si>
  <si>
    <t>Georgia St.</t>
  </si>
  <si>
    <t>Gonzaga</t>
  </si>
  <si>
    <t>Grambling</t>
  </si>
  <si>
    <t>Grand Canyon</t>
  </si>
  <si>
    <t>Green Bay</t>
  </si>
  <si>
    <t>Hampton</t>
  </si>
  <si>
    <t>Hartford</t>
  </si>
  <si>
    <t>Harvard</t>
  </si>
  <si>
    <t>High Point</t>
  </si>
  <si>
    <t>Hofstra</t>
  </si>
  <si>
    <t>Holy Cross</t>
  </si>
  <si>
    <t>Houston Baptist</t>
  </si>
  <si>
    <t>Houston Christian</t>
  </si>
  <si>
    <t>Howard</t>
  </si>
  <si>
    <t>Idaho St.</t>
  </si>
  <si>
    <t>Illinois St.</t>
  </si>
  <si>
    <t>Indiana St.</t>
  </si>
  <si>
    <t>Iona</t>
  </si>
  <si>
    <t>Iowa St.</t>
  </si>
  <si>
    <t>Jackson St.</t>
  </si>
  <si>
    <t>Jacksonville</t>
  </si>
  <si>
    <t>Jacksonville St.</t>
  </si>
  <si>
    <t>UMKC</t>
  </si>
  <si>
    <t>Kansas City</t>
  </si>
  <si>
    <t>Kansas St.</t>
  </si>
  <si>
    <t>Kennesaw St.</t>
  </si>
  <si>
    <t>Kent St.</t>
  </si>
  <si>
    <t>La Salle</t>
  </si>
  <si>
    <t>Lafayette</t>
  </si>
  <si>
    <t>Lamar University</t>
  </si>
  <si>
    <t>Lehigh</t>
  </si>
  <si>
    <t>Liberty</t>
  </si>
  <si>
    <t>Lipscomb</t>
  </si>
  <si>
    <t>Little Rock</t>
  </si>
  <si>
    <t>LIU Brooklyn</t>
  </si>
  <si>
    <t>LIU</t>
  </si>
  <si>
    <t>LMU (CA)</t>
  </si>
  <si>
    <t>LMU CA</t>
  </si>
  <si>
    <t>Long Beach St.</t>
  </si>
  <si>
    <t>Louisiana</t>
  </si>
  <si>
    <t>Loyola Chicago</t>
  </si>
  <si>
    <t>Loyola Maryland</t>
  </si>
  <si>
    <t>Manhattan</t>
  </si>
  <si>
    <t>Marist</t>
  </si>
  <si>
    <t>Marquette</t>
  </si>
  <si>
    <t>McNeese</t>
  </si>
  <si>
    <t>Mercer</t>
  </si>
  <si>
    <t>Miami (FL)</t>
  </si>
  <si>
    <t>Miami FL</t>
  </si>
  <si>
    <t>Miami (OH)</t>
  </si>
  <si>
    <t>Miami OH</t>
  </si>
  <si>
    <t>Michigan St.</t>
  </si>
  <si>
    <t>Middle Tenn.</t>
  </si>
  <si>
    <t>Milwaukee</t>
  </si>
  <si>
    <t>Mississippi St.</t>
  </si>
  <si>
    <t>Mississippi Val.</t>
  </si>
  <si>
    <t>Missouri St.</t>
  </si>
  <si>
    <t>Monmouth</t>
  </si>
  <si>
    <t>Montana St.</t>
  </si>
  <si>
    <t>Morehead St.</t>
  </si>
  <si>
    <t>Morgan St.</t>
  </si>
  <si>
    <t>Mount St. Mary's</t>
  </si>
  <si>
    <t>Murray St.</t>
  </si>
  <si>
    <t>N.C. A&amp;T</t>
  </si>
  <si>
    <t>N.C. Central</t>
  </si>
  <si>
    <t>NC State</t>
  </si>
  <si>
    <t>New Mexico St.</t>
  </si>
  <si>
    <t>Niagara</t>
  </si>
  <si>
    <t>Nicholls St.</t>
  </si>
  <si>
    <t>Nicholls</t>
  </si>
  <si>
    <t>Northern Ill.</t>
  </si>
  <si>
    <t>NIU</t>
  </si>
  <si>
    <t>Norfolk St.</t>
  </si>
  <si>
    <t>North Alabama</t>
  </si>
  <si>
    <t>North Ala.</t>
  </si>
  <si>
    <t>North Dakota St.</t>
  </si>
  <si>
    <t>Northeastern</t>
  </si>
  <si>
    <t>Northern Ariz.</t>
  </si>
  <si>
    <t>Northern Colo.</t>
  </si>
  <si>
    <t>Northern Ky.</t>
  </si>
  <si>
    <t>Northwestern</t>
  </si>
  <si>
    <t>Northwestern St.</t>
  </si>
  <si>
    <t>Notre Dame</t>
  </si>
  <si>
    <t>Ohio St.</t>
  </si>
  <si>
    <t>Oklahoma St.</t>
  </si>
  <si>
    <t>Ole Miss</t>
  </si>
  <si>
    <t>Omaha</t>
  </si>
  <si>
    <t>Oral Roberts</t>
  </si>
  <si>
    <t>Oregon St.</t>
  </si>
  <si>
    <t>Pacific</t>
  </si>
  <si>
    <t>Penn</t>
  </si>
  <si>
    <t>Penn St.</t>
  </si>
  <si>
    <t>Pepperdine</t>
  </si>
  <si>
    <t>Pittsburgh</t>
  </si>
  <si>
    <t>Portland</t>
  </si>
  <si>
    <t>Portland St.</t>
  </si>
  <si>
    <t>Prairie View</t>
  </si>
  <si>
    <t>Presbyterian</t>
  </si>
  <si>
    <t>Princeton</t>
  </si>
  <si>
    <t>Providence</t>
  </si>
  <si>
    <t>Quinnipiac</t>
  </si>
  <si>
    <t>Rice</t>
  </si>
  <si>
    <t>Richmond</t>
  </si>
  <si>
    <t>Rider</t>
  </si>
  <si>
    <t>Robert Morris</t>
  </si>
  <si>
    <t>Sacramento St.</t>
  </si>
  <si>
    <t>Sacred Heart</t>
  </si>
  <si>
    <t>Saint Francis (PA)</t>
  </si>
  <si>
    <t>Saint Joseph's</t>
  </si>
  <si>
    <t>Saint Louis</t>
  </si>
  <si>
    <t>Saint Mary's (CA)</t>
  </si>
  <si>
    <t>Saint Peter's</t>
  </si>
  <si>
    <t>Sam Houston St.</t>
  </si>
  <si>
    <t>Sam Houston</t>
  </si>
  <si>
    <t>Samford</t>
  </si>
  <si>
    <t>San Diego</t>
  </si>
  <si>
    <t>San Diego St.</t>
  </si>
  <si>
    <t>San Francisco</t>
  </si>
  <si>
    <t>San Jose St.</t>
  </si>
  <si>
    <t>Santa Clara</t>
  </si>
  <si>
    <t>Seattle U</t>
  </si>
  <si>
    <t>Seton Hall</t>
  </si>
  <si>
    <t>SFA</t>
  </si>
  <si>
    <t>Siena</t>
  </si>
  <si>
    <t>SIUE</t>
  </si>
  <si>
    <t>SMU</t>
  </si>
  <si>
    <t>South Carolina St.</t>
  </si>
  <si>
    <t>South Dakota St.</t>
  </si>
  <si>
    <t>South Fla.</t>
  </si>
  <si>
    <t>Southeast Mo. St.</t>
  </si>
  <si>
    <t>Southeastern La.</t>
  </si>
  <si>
    <t>Southern California</t>
  </si>
  <si>
    <t>Southern Ill.</t>
  </si>
  <si>
    <t>Southern Miss.</t>
  </si>
  <si>
    <t>Southern U.</t>
  </si>
  <si>
    <t>St. Bonaventure</t>
  </si>
  <si>
    <t>St. Francis Brooklyn</t>
  </si>
  <si>
    <t>St. John's (NY)</t>
  </si>
  <si>
    <t>Stanford</t>
  </si>
  <si>
    <t>Stetson</t>
  </si>
  <si>
    <t>Syracuse</t>
  </si>
  <si>
    <t>TCU</t>
  </si>
  <si>
    <t>Temple</t>
  </si>
  <si>
    <t>Tennessee St.</t>
  </si>
  <si>
    <t>Texas St.</t>
  </si>
  <si>
    <t>The Citadel</t>
  </si>
  <si>
    <t>Tulane</t>
  </si>
  <si>
    <t>Tulsa</t>
  </si>
  <si>
    <t>Albany (NY)</t>
  </si>
  <si>
    <t>UAlbany</t>
  </si>
  <si>
    <t>UConn</t>
  </si>
  <si>
    <t>UIC</t>
  </si>
  <si>
    <t>Incarnate Word</t>
  </si>
  <si>
    <t>UIW</t>
  </si>
  <si>
    <t>La.-Monroe</t>
  </si>
  <si>
    <t>ULM</t>
  </si>
  <si>
    <t>UMass Lowell</t>
  </si>
  <si>
    <t>UMBC</t>
  </si>
  <si>
    <t>UMES</t>
  </si>
  <si>
    <t>UNC Asheville</t>
  </si>
  <si>
    <t>UNC Greensboro</t>
  </si>
  <si>
    <t>UNCW</t>
  </si>
  <si>
    <t>UNI</t>
  </si>
  <si>
    <t>USC Upstate</t>
  </si>
  <si>
    <t>UT Arlington</t>
  </si>
  <si>
    <t>UT Martin</t>
  </si>
  <si>
    <t>Utah St.</t>
  </si>
  <si>
    <t>Valparaiso</t>
  </si>
  <si>
    <t>Vanderbilt</t>
  </si>
  <si>
    <t>Villanova</t>
  </si>
  <si>
    <t>VMI</t>
  </si>
  <si>
    <t>Wagner</t>
  </si>
  <si>
    <t>Wake Forest</t>
  </si>
  <si>
    <t>Washington St.</t>
  </si>
  <si>
    <t>Weber St.</t>
  </si>
  <si>
    <t>Western Caro.</t>
  </si>
  <si>
    <t>Western Ill.</t>
  </si>
  <si>
    <t>Western Ky.</t>
  </si>
  <si>
    <t>Western Mich.</t>
  </si>
  <si>
    <t>Wichita St.</t>
  </si>
  <si>
    <t>Wofford</t>
  </si>
  <si>
    <t>Wright St.</t>
  </si>
  <si>
    <t>Xavier</t>
  </si>
  <si>
    <t>Yale</t>
  </si>
  <si>
    <t>Youngstown St.</t>
  </si>
  <si>
    <t>IU Indy</t>
  </si>
  <si>
    <t>Saint Francis</t>
  </si>
  <si>
    <t>Savannah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</si>
</sst>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5" x14ac:knownFonts="1">
    <font>
      <sz val="11"/>
      <color theme="1"/>
      <name val="Aptos Narrow"/>
      <family val="2"/>
      <scheme val="minor"/>
    </font>
    <font>
      <sz val="11"/>
      <color rgb="FF231F2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/>
    <xf numFmtId="3" fontId="0" fillId="0" borderId="0" xfId="0" applyNumberFormat="1"/>
    <xf numFmtId="0" fontId="0" fillId="4" borderId="0" xfId="0" applyFill="1"/>
    <xf numFmtId="0" fontId="0" fillId="5" borderId="0" xfId="0" applyFill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64" fontId="0" fillId="0" borderId="0" xfId="0" applyNumberFormat="1"/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0" fillId="3" borderId="0" xfId="0" applyFill="1"/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Current%20Research/Contributions/Data/Attendance/MensAttendance/MensBasketball.xlsx" TargetMode="External"/><Relationship Id="rId1" Type="http://schemas.openxmlformats.org/officeDocument/2006/relationships/externalLinkPath" Target="file:///D:/ECP3006/Assessments/Final/2025-Fall/Attendance/MensAttendance/MensBasketb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2008-2009"/>
      <sheetName val="2009-2010"/>
      <sheetName val="2010-2011"/>
      <sheetName val="2011-2012"/>
      <sheetName val="2012-2013"/>
      <sheetName val="2013-2014"/>
      <sheetName val="2014-2015"/>
      <sheetName val="2015-2016"/>
      <sheetName val="2016-2017"/>
      <sheetName val="2017-2018"/>
      <sheetName val="2018-2019"/>
      <sheetName val="2019-2020"/>
      <sheetName val="2020-2021"/>
      <sheetName val="2021-2022"/>
      <sheetName val="2022-2023"/>
    </sheetNames>
    <sheetDataSet>
      <sheetData sheetId="0" refreshError="1"/>
      <sheetData sheetId="1">
        <row r="1">
          <cell r="A1" t="str">
            <v>unitid</v>
          </cell>
        </row>
      </sheetData>
      <sheetData sheetId="2">
        <row r="1">
          <cell r="A1" t="str">
            <v>unitid</v>
          </cell>
        </row>
      </sheetData>
      <sheetData sheetId="3">
        <row r="1">
          <cell r="A1" t="str">
            <v>unitid</v>
          </cell>
        </row>
      </sheetData>
      <sheetData sheetId="4">
        <row r="1">
          <cell r="A1" t="str">
            <v>unitid</v>
          </cell>
        </row>
      </sheetData>
      <sheetData sheetId="5">
        <row r="1">
          <cell r="A1" t="str">
            <v>unitid</v>
          </cell>
        </row>
      </sheetData>
      <sheetData sheetId="6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196413</v>
          </cell>
          <cell r="B2" t="str">
            <v>Syracuse</v>
          </cell>
          <cell r="C2" t="str">
            <v>ACC</v>
          </cell>
          <cell r="D2">
            <v>472550</v>
          </cell>
        </row>
        <row r="3">
          <cell r="A3">
            <v>157085</v>
          </cell>
          <cell r="B3" t="str">
            <v>Kentucky</v>
          </cell>
          <cell r="C3" t="str">
            <v>SEC</v>
          </cell>
          <cell r="D3">
            <v>413350</v>
          </cell>
        </row>
        <row r="4">
          <cell r="A4">
            <v>157289</v>
          </cell>
          <cell r="B4" t="str">
            <v>Louisville</v>
          </cell>
          <cell r="C4" t="str">
            <v>N/A</v>
          </cell>
          <cell r="D4">
            <v>383070</v>
          </cell>
        </row>
        <row r="5">
          <cell r="A5">
            <v>204796</v>
          </cell>
          <cell r="B5" t="str">
            <v>Ohio St.</v>
          </cell>
          <cell r="C5" t="str">
            <v>Big Ten</v>
          </cell>
          <cell r="D5">
            <v>329481</v>
          </cell>
        </row>
        <row r="6">
          <cell r="A6">
            <v>199120</v>
          </cell>
          <cell r="B6" t="str">
            <v>North Carolina</v>
          </cell>
          <cell r="C6" t="str">
            <v>ACC</v>
          </cell>
          <cell r="D6">
            <v>324458</v>
          </cell>
        </row>
        <row r="7">
          <cell r="A7">
            <v>151351</v>
          </cell>
          <cell r="B7" t="str">
            <v>Indiana</v>
          </cell>
          <cell r="C7" t="str">
            <v>Big Ten</v>
          </cell>
          <cell r="D7">
            <v>312453</v>
          </cell>
        </row>
        <row r="8">
          <cell r="A8">
            <v>240444</v>
          </cell>
          <cell r="B8" t="str">
            <v>Wisconsin</v>
          </cell>
          <cell r="C8" t="str">
            <v>Big Ten</v>
          </cell>
          <cell r="D8">
            <v>290773</v>
          </cell>
        </row>
        <row r="9">
          <cell r="A9">
            <v>220862</v>
          </cell>
          <cell r="B9" t="str">
            <v>Memphis</v>
          </cell>
          <cell r="C9" t="str">
            <v>The American</v>
          </cell>
          <cell r="D9">
            <v>290183</v>
          </cell>
        </row>
        <row r="10">
          <cell r="A10">
            <v>181002</v>
          </cell>
          <cell r="B10" t="str">
            <v>Creighton</v>
          </cell>
          <cell r="C10" t="str">
            <v>Big East</v>
          </cell>
          <cell r="D10">
            <v>286329</v>
          </cell>
        </row>
        <row r="11">
          <cell r="A11">
            <v>106397</v>
          </cell>
          <cell r="B11" t="str">
            <v>Arkansas</v>
          </cell>
          <cell r="C11" t="str">
            <v>SEC</v>
          </cell>
          <cell r="D11">
            <v>280465</v>
          </cell>
        </row>
        <row r="12">
          <cell r="A12">
            <v>221759</v>
          </cell>
          <cell r="B12" t="str">
            <v>Tennessee</v>
          </cell>
          <cell r="C12" t="str">
            <v>SEC</v>
          </cell>
          <cell r="D12">
            <v>263070</v>
          </cell>
        </row>
        <row r="13">
          <cell r="A13">
            <v>155317</v>
          </cell>
          <cell r="B13" t="str">
            <v>Kansas</v>
          </cell>
          <cell r="C13" t="str">
            <v>Big 12</v>
          </cell>
          <cell r="D13">
            <v>262993</v>
          </cell>
        </row>
        <row r="14">
          <cell r="A14">
            <v>182281</v>
          </cell>
          <cell r="B14" t="str">
            <v>UNLV</v>
          </cell>
          <cell r="C14" t="str">
            <v>Mountain West</v>
          </cell>
          <cell r="D14">
            <v>262501</v>
          </cell>
        </row>
        <row r="15">
          <cell r="A15">
            <v>104179</v>
          </cell>
          <cell r="B15" t="str">
            <v>Arizona</v>
          </cell>
          <cell r="C15" t="str">
            <v>Pac-12</v>
          </cell>
          <cell r="D15">
            <v>258749</v>
          </cell>
        </row>
        <row r="16">
          <cell r="A16">
            <v>153658</v>
          </cell>
          <cell r="B16" t="str">
            <v>Iowa</v>
          </cell>
          <cell r="C16" t="str">
            <v>Big Ten</v>
          </cell>
          <cell r="D16">
            <v>254588</v>
          </cell>
        </row>
        <row r="17">
          <cell r="A17">
            <v>181464</v>
          </cell>
          <cell r="B17" t="str">
            <v>Nebraska</v>
          </cell>
          <cell r="C17" t="str">
            <v>Big Ten</v>
          </cell>
          <cell r="D17">
            <v>246702</v>
          </cell>
        </row>
        <row r="18">
          <cell r="A18">
            <v>239105</v>
          </cell>
          <cell r="B18" t="str">
            <v>Marquette</v>
          </cell>
          <cell r="C18" t="str">
            <v>Big East</v>
          </cell>
          <cell r="D18">
            <v>245232</v>
          </cell>
        </row>
        <row r="19">
          <cell r="A19">
            <v>145637</v>
          </cell>
          <cell r="B19" t="str">
            <v>Illinois</v>
          </cell>
          <cell r="C19" t="str">
            <v>Big Ten</v>
          </cell>
          <cell r="D19">
            <v>243931</v>
          </cell>
        </row>
        <row r="20">
          <cell r="A20">
            <v>199193</v>
          </cell>
          <cell r="B20" t="str">
            <v>NC State</v>
          </cell>
          <cell r="C20" t="str">
            <v>ACC</v>
          </cell>
          <cell r="D20">
            <v>240182</v>
          </cell>
        </row>
        <row r="21">
          <cell r="A21">
            <v>230038</v>
          </cell>
          <cell r="B21" t="str">
            <v>BYU</v>
          </cell>
          <cell r="C21" t="str">
            <v>WCC</v>
          </cell>
          <cell r="D21">
            <v>238131</v>
          </cell>
        </row>
        <row r="22">
          <cell r="A22">
            <v>171100</v>
          </cell>
          <cell r="B22" t="str">
            <v>Michigan St.</v>
          </cell>
          <cell r="C22" t="str">
            <v>Big Ten</v>
          </cell>
          <cell r="D22">
            <v>236752</v>
          </cell>
        </row>
        <row r="23">
          <cell r="A23">
            <v>174066</v>
          </cell>
          <cell r="B23" t="str">
            <v>Minnesota</v>
          </cell>
          <cell r="C23" t="str">
            <v>Big Ten</v>
          </cell>
          <cell r="D23">
            <v>236345</v>
          </cell>
        </row>
        <row r="24">
          <cell r="A24">
            <v>187985</v>
          </cell>
          <cell r="B24" t="str">
            <v>New Mexico</v>
          </cell>
          <cell r="C24" t="str">
            <v>Mountain West</v>
          </cell>
          <cell r="D24">
            <v>228176</v>
          </cell>
        </row>
        <row r="25">
          <cell r="A25">
            <v>153603</v>
          </cell>
          <cell r="B25" t="str">
            <v>Iowa St.</v>
          </cell>
          <cell r="C25" t="str">
            <v>Big 12</v>
          </cell>
          <cell r="D25">
            <v>227079</v>
          </cell>
        </row>
        <row r="26">
          <cell r="A26">
            <v>243780</v>
          </cell>
          <cell r="B26" t="str">
            <v>Purdue</v>
          </cell>
          <cell r="C26" t="str">
            <v>Big Ten</v>
          </cell>
          <cell r="D26">
            <v>216553</v>
          </cell>
        </row>
        <row r="27">
          <cell r="A27">
            <v>202480</v>
          </cell>
          <cell r="B27" t="str">
            <v>Dayton</v>
          </cell>
          <cell r="C27" t="str">
            <v>Atlantic 10</v>
          </cell>
          <cell r="D27">
            <v>209369</v>
          </cell>
        </row>
        <row r="28">
          <cell r="A28">
            <v>230764</v>
          </cell>
          <cell r="B28" t="str">
            <v>Utah</v>
          </cell>
          <cell r="C28" t="str">
            <v>Pac-12</v>
          </cell>
          <cell r="D28">
            <v>206212</v>
          </cell>
        </row>
        <row r="29">
          <cell r="A29">
            <v>155399</v>
          </cell>
          <cell r="B29" t="str">
            <v>Kansas St.</v>
          </cell>
          <cell r="C29" t="str">
            <v>Big 12</v>
          </cell>
          <cell r="D29">
            <v>206123</v>
          </cell>
        </row>
        <row r="30">
          <cell r="A30">
            <v>163286</v>
          </cell>
          <cell r="B30" t="str">
            <v>Maryland</v>
          </cell>
          <cell r="C30" t="str">
            <v>ACC</v>
          </cell>
          <cell r="D30">
            <v>200913</v>
          </cell>
        </row>
        <row r="31">
          <cell r="A31">
            <v>234076</v>
          </cell>
          <cell r="B31" t="str">
            <v>Virginia</v>
          </cell>
          <cell r="C31" t="str">
            <v>ACC</v>
          </cell>
          <cell r="D31">
            <v>198631</v>
          </cell>
        </row>
        <row r="32">
          <cell r="A32">
            <v>122409</v>
          </cell>
          <cell r="B32" t="str">
            <v>San Diego St.</v>
          </cell>
          <cell r="C32" t="str">
            <v>Mountain West</v>
          </cell>
          <cell r="D32">
            <v>198624</v>
          </cell>
        </row>
        <row r="33">
          <cell r="A33">
            <v>215293</v>
          </cell>
          <cell r="B33" t="str">
            <v>Pittsburgh</v>
          </cell>
          <cell r="C33" t="str">
            <v>ACC</v>
          </cell>
          <cell r="D33">
            <v>198078</v>
          </cell>
        </row>
        <row r="34">
          <cell r="A34">
            <v>134130</v>
          </cell>
          <cell r="B34" t="str">
            <v>Florida</v>
          </cell>
          <cell r="C34" t="str">
            <v>SEC</v>
          </cell>
          <cell r="D34">
            <v>195013</v>
          </cell>
        </row>
        <row r="35">
          <cell r="A35">
            <v>170976</v>
          </cell>
          <cell r="B35" t="str">
            <v>Michigan</v>
          </cell>
          <cell r="C35" t="str">
            <v>Big Ten</v>
          </cell>
          <cell r="D35">
            <v>190477</v>
          </cell>
        </row>
        <row r="36">
          <cell r="A36">
            <v>228778</v>
          </cell>
          <cell r="B36" t="str">
            <v>Texas</v>
          </cell>
          <cell r="C36" t="str">
            <v>Big 12</v>
          </cell>
          <cell r="D36">
            <v>183350</v>
          </cell>
        </row>
        <row r="37">
          <cell r="A37">
            <v>100751</v>
          </cell>
          <cell r="B37" t="str">
            <v>Alabama</v>
          </cell>
          <cell r="C37" t="str">
            <v>SEC</v>
          </cell>
          <cell r="D37">
            <v>182825</v>
          </cell>
        </row>
        <row r="38">
          <cell r="A38">
            <v>156125</v>
          </cell>
          <cell r="B38" t="str">
            <v>Wichita St.</v>
          </cell>
          <cell r="C38" t="str">
            <v>MVC</v>
          </cell>
          <cell r="D38">
            <v>182452</v>
          </cell>
        </row>
        <row r="39">
          <cell r="A39">
            <v>129020</v>
          </cell>
          <cell r="B39" t="str">
            <v>UConn</v>
          </cell>
          <cell r="C39" t="str">
            <v>The American</v>
          </cell>
          <cell r="D39">
            <v>182416</v>
          </cell>
        </row>
        <row r="40">
          <cell r="A40">
            <v>207500</v>
          </cell>
          <cell r="B40" t="str">
            <v>Oklahoma</v>
          </cell>
          <cell r="C40" t="str">
            <v>Big 12</v>
          </cell>
          <cell r="D40">
            <v>179206</v>
          </cell>
        </row>
        <row r="41">
          <cell r="A41">
            <v>230728</v>
          </cell>
          <cell r="B41" t="str">
            <v>Utah St.</v>
          </cell>
          <cell r="C41" t="str">
            <v>Mountain West</v>
          </cell>
          <cell r="D41">
            <v>176928</v>
          </cell>
        </row>
        <row r="42">
          <cell r="A42">
            <v>126614</v>
          </cell>
          <cell r="B42" t="str">
            <v>Colorado</v>
          </cell>
          <cell r="C42" t="str">
            <v>Pac-12</v>
          </cell>
          <cell r="D42">
            <v>173429</v>
          </cell>
        </row>
        <row r="43">
          <cell r="A43">
            <v>228796</v>
          </cell>
          <cell r="B43" t="str">
            <v>UTEP</v>
          </cell>
          <cell r="C43" t="str">
            <v>CUSA</v>
          </cell>
          <cell r="D43">
            <v>169851</v>
          </cell>
        </row>
        <row r="44">
          <cell r="A44">
            <v>178396</v>
          </cell>
          <cell r="B44" t="str">
            <v>Missouri</v>
          </cell>
          <cell r="C44" t="str">
            <v>SEC</v>
          </cell>
          <cell r="D44">
            <v>168271</v>
          </cell>
        </row>
        <row r="45">
          <cell r="A45">
            <v>206622</v>
          </cell>
          <cell r="B45" t="str">
            <v>Xavier</v>
          </cell>
          <cell r="C45" t="str">
            <v>Big East</v>
          </cell>
          <cell r="D45">
            <v>168127</v>
          </cell>
        </row>
        <row r="46">
          <cell r="A46">
            <v>207388</v>
          </cell>
          <cell r="B46" t="str">
            <v>Oklahoma St.</v>
          </cell>
          <cell r="C46" t="str">
            <v>Big 12</v>
          </cell>
          <cell r="D46">
            <v>166354</v>
          </cell>
        </row>
        <row r="47">
          <cell r="A47">
            <v>201885</v>
          </cell>
          <cell r="B47" t="str">
            <v>Cincinnati</v>
          </cell>
          <cell r="C47" t="str">
            <v>The American</v>
          </cell>
          <cell r="D47">
            <v>162771</v>
          </cell>
        </row>
        <row r="48">
          <cell r="A48">
            <v>199847</v>
          </cell>
          <cell r="B48" t="str">
            <v>Wake Forest</v>
          </cell>
          <cell r="C48" t="str">
            <v>ACC</v>
          </cell>
          <cell r="D48">
            <v>162005</v>
          </cell>
        </row>
        <row r="49">
          <cell r="A49">
            <v>218663</v>
          </cell>
          <cell r="B49" t="str">
            <v>South Carolina</v>
          </cell>
          <cell r="C49" t="str">
            <v>SEC</v>
          </cell>
          <cell r="D49">
            <v>161177</v>
          </cell>
        </row>
        <row r="50">
          <cell r="A50">
            <v>152080</v>
          </cell>
          <cell r="B50" t="str">
            <v>Notre Dame</v>
          </cell>
          <cell r="C50" t="str">
            <v>ACC</v>
          </cell>
          <cell r="D50">
            <v>158945</v>
          </cell>
        </row>
        <row r="51">
          <cell r="A51">
            <v>198419</v>
          </cell>
          <cell r="B51" t="str">
            <v>Duke</v>
          </cell>
          <cell r="C51" t="str">
            <v>ACC</v>
          </cell>
          <cell r="D51">
            <v>158338</v>
          </cell>
        </row>
        <row r="52">
          <cell r="A52">
            <v>221999</v>
          </cell>
          <cell r="B52" t="str">
            <v>Vanderbilt</v>
          </cell>
          <cell r="C52" t="str">
            <v>SEC</v>
          </cell>
          <cell r="D52">
            <v>152539</v>
          </cell>
        </row>
        <row r="53">
          <cell r="A53">
            <v>195809</v>
          </cell>
          <cell r="B53" t="str">
            <v>St. John's (NY)</v>
          </cell>
          <cell r="C53" t="str">
            <v>Big East</v>
          </cell>
          <cell r="D53">
            <v>148614</v>
          </cell>
        </row>
        <row r="54">
          <cell r="A54">
            <v>110635</v>
          </cell>
          <cell r="B54" t="str">
            <v>California</v>
          </cell>
          <cell r="C54" t="str">
            <v>Pac-12</v>
          </cell>
          <cell r="D54">
            <v>147318</v>
          </cell>
        </row>
        <row r="55">
          <cell r="A55">
            <v>110662</v>
          </cell>
          <cell r="B55" t="str">
            <v>UCLA</v>
          </cell>
          <cell r="C55" t="str">
            <v>Pac-12</v>
          </cell>
          <cell r="D55">
            <v>146455</v>
          </cell>
        </row>
        <row r="56">
          <cell r="A56">
            <v>179159</v>
          </cell>
          <cell r="B56" t="str">
            <v>Saint Louis</v>
          </cell>
          <cell r="C56" t="str">
            <v>Atlantic 10</v>
          </cell>
          <cell r="D56">
            <v>143278</v>
          </cell>
        </row>
        <row r="57">
          <cell r="A57">
            <v>216597</v>
          </cell>
          <cell r="B57" t="str">
            <v>Villanova</v>
          </cell>
          <cell r="C57" t="str">
            <v>Big East</v>
          </cell>
          <cell r="D57">
            <v>143092</v>
          </cell>
        </row>
        <row r="58">
          <cell r="A58">
            <v>159391</v>
          </cell>
          <cell r="B58" t="str">
            <v>LSU</v>
          </cell>
          <cell r="C58" t="str">
            <v>SEC</v>
          </cell>
          <cell r="D58">
            <v>142567</v>
          </cell>
        </row>
        <row r="59">
          <cell r="A59">
            <v>217882</v>
          </cell>
          <cell r="B59" t="str">
            <v>Clemson</v>
          </cell>
          <cell r="C59" t="str">
            <v>ACC</v>
          </cell>
          <cell r="D59">
            <v>142231</v>
          </cell>
        </row>
        <row r="60">
          <cell r="A60">
            <v>209551</v>
          </cell>
          <cell r="B60" t="str">
            <v>Oregon</v>
          </cell>
          <cell r="C60" t="str">
            <v>Pac-12</v>
          </cell>
          <cell r="D60">
            <v>140085</v>
          </cell>
        </row>
        <row r="61">
          <cell r="A61">
            <v>131496</v>
          </cell>
          <cell r="B61" t="str">
            <v>Georgetown</v>
          </cell>
          <cell r="C61" t="str">
            <v>Big East</v>
          </cell>
          <cell r="D61">
            <v>138724</v>
          </cell>
        </row>
        <row r="62">
          <cell r="A62">
            <v>238032</v>
          </cell>
          <cell r="B62" t="str">
            <v>West Virginia</v>
          </cell>
          <cell r="C62" t="str">
            <v>Big 12</v>
          </cell>
          <cell r="D62">
            <v>137206</v>
          </cell>
        </row>
        <row r="63">
          <cell r="A63">
            <v>217402</v>
          </cell>
          <cell r="B63" t="str">
            <v>Providence</v>
          </cell>
          <cell r="C63" t="str">
            <v>Big East</v>
          </cell>
          <cell r="D63">
            <v>133548</v>
          </cell>
        </row>
        <row r="64">
          <cell r="A64">
            <v>229115</v>
          </cell>
          <cell r="B64" t="str">
            <v>Texas Tech</v>
          </cell>
          <cell r="C64" t="str">
            <v>Big 12</v>
          </cell>
          <cell r="D64">
            <v>130145</v>
          </cell>
        </row>
        <row r="65">
          <cell r="A65">
            <v>110556</v>
          </cell>
          <cell r="B65" t="str">
            <v>Fresno St.</v>
          </cell>
          <cell r="C65" t="str">
            <v>Mountain West</v>
          </cell>
          <cell r="D65">
            <v>128737</v>
          </cell>
        </row>
        <row r="66">
          <cell r="A66">
            <v>204857</v>
          </cell>
          <cell r="B66" t="str">
            <v>Ohio</v>
          </cell>
          <cell r="C66" t="str">
            <v>MAC</v>
          </cell>
          <cell r="D66">
            <v>128602</v>
          </cell>
        </row>
        <row r="67">
          <cell r="A67">
            <v>176017</v>
          </cell>
          <cell r="B67" t="str">
            <v>Ole Miss</v>
          </cell>
          <cell r="C67" t="str">
            <v>SEC</v>
          </cell>
          <cell r="D67">
            <v>124583</v>
          </cell>
        </row>
        <row r="68">
          <cell r="A68">
            <v>176080</v>
          </cell>
          <cell r="B68" t="str">
            <v>Mississippi St.</v>
          </cell>
          <cell r="C68" t="str">
            <v>SEC</v>
          </cell>
          <cell r="D68">
            <v>123743</v>
          </cell>
        </row>
        <row r="69">
          <cell r="A69">
            <v>141574</v>
          </cell>
          <cell r="B69" t="str">
            <v>Hawaii</v>
          </cell>
          <cell r="C69" t="str">
            <v>Big West</v>
          </cell>
          <cell r="D69">
            <v>121915</v>
          </cell>
        </row>
        <row r="70">
          <cell r="A70">
            <v>236948</v>
          </cell>
          <cell r="B70" t="str">
            <v>Washington</v>
          </cell>
          <cell r="C70" t="str">
            <v>Pac-12</v>
          </cell>
          <cell r="D70">
            <v>118469</v>
          </cell>
        </row>
        <row r="71">
          <cell r="A71">
            <v>150163</v>
          </cell>
          <cell r="B71" t="str">
            <v>Butler</v>
          </cell>
          <cell r="C71" t="str">
            <v>Big East</v>
          </cell>
          <cell r="D71">
            <v>116816</v>
          </cell>
        </row>
        <row r="72">
          <cell r="A72">
            <v>234030</v>
          </cell>
          <cell r="B72" t="str">
            <v>VCU</v>
          </cell>
          <cell r="C72" t="str">
            <v>Atlantic 10</v>
          </cell>
          <cell r="D72">
            <v>116115</v>
          </cell>
        </row>
        <row r="73">
          <cell r="A73">
            <v>223232</v>
          </cell>
          <cell r="B73" t="str">
            <v>Baylor</v>
          </cell>
          <cell r="C73" t="str">
            <v>Big 12</v>
          </cell>
          <cell r="D73">
            <v>115696</v>
          </cell>
        </row>
        <row r="74">
          <cell r="A74">
            <v>147767</v>
          </cell>
          <cell r="B74" t="str">
            <v>Northwestern</v>
          </cell>
          <cell r="C74" t="str">
            <v>Big Ten</v>
          </cell>
          <cell r="D74">
            <v>114215</v>
          </cell>
        </row>
        <row r="75">
          <cell r="A75">
            <v>186584</v>
          </cell>
          <cell r="B75" t="str">
            <v>Seton Hall</v>
          </cell>
          <cell r="C75" t="str">
            <v>Big East</v>
          </cell>
          <cell r="D75">
            <v>114056</v>
          </cell>
        </row>
        <row r="76">
          <cell r="A76">
            <v>104151</v>
          </cell>
          <cell r="B76" t="str">
            <v>Arizona St.</v>
          </cell>
          <cell r="C76" t="str">
            <v>Pac-12</v>
          </cell>
          <cell r="D76">
            <v>113680</v>
          </cell>
        </row>
        <row r="77">
          <cell r="A77">
            <v>214777</v>
          </cell>
          <cell r="B77" t="str">
            <v>Penn St.</v>
          </cell>
          <cell r="C77" t="str">
            <v>Big Ten</v>
          </cell>
          <cell r="D77">
            <v>112625</v>
          </cell>
        </row>
        <row r="78">
          <cell r="A78">
            <v>143358</v>
          </cell>
          <cell r="B78" t="str">
            <v>Bradley</v>
          </cell>
          <cell r="C78" t="str">
            <v>MVC</v>
          </cell>
          <cell r="D78">
            <v>112335</v>
          </cell>
        </row>
        <row r="79">
          <cell r="A79">
            <v>139755</v>
          </cell>
          <cell r="B79" t="str">
            <v>Georgia Tech</v>
          </cell>
          <cell r="C79" t="str">
            <v>ACC</v>
          </cell>
          <cell r="D79">
            <v>111926</v>
          </cell>
        </row>
        <row r="80">
          <cell r="A80">
            <v>139959</v>
          </cell>
          <cell r="B80" t="str">
            <v>Georgia</v>
          </cell>
          <cell r="C80" t="str">
            <v>SEC</v>
          </cell>
          <cell r="D80">
            <v>110512</v>
          </cell>
        </row>
        <row r="81">
          <cell r="A81">
            <v>230782</v>
          </cell>
          <cell r="B81" t="str">
            <v>Weber St.</v>
          </cell>
          <cell r="C81" t="str">
            <v>Big Sky</v>
          </cell>
          <cell r="D81">
            <v>109340</v>
          </cell>
        </row>
        <row r="82">
          <cell r="A82">
            <v>142115</v>
          </cell>
          <cell r="B82" t="str">
            <v>Boise St.</v>
          </cell>
          <cell r="C82" t="str">
            <v>Mountain West</v>
          </cell>
          <cell r="D82">
            <v>108957</v>
          </cell>
        </row>
        <row r="83">
          <cell r="A83">
            <v>195474</v>
          </cell>
          <cell r="B83" t="str">
            <v>Siena</v>
          </cell>
          <cell r="C83" t="str">
            <v>MAAC</v>
          </cell>
          <cell r="D83">
            <v>108424</v>
          </cell>
        </row>
        <row r="84">
          <cell r="A84">
            <v>144740</v>
          </cell>
          <cell r="B84" t="str">
            <v>DePaul</v>
          </cell>
          <cell r="C84" t="str">
            <v>Big East</v>
          </cell>
          <cell r="D84">
            <v>108178</v>
          </cell>
        </row>
        <row r="85">
          <cell r="A85">
            <v>228246</v>
          </cell>
          <cell r="B85" t="str">
            <v>SMU</v>
          </cell>
          <cell r="C85" t="str">
            <v>The American</v>
          </cell>
          <cell r="D85">
            <v>107412</v>
          </cell>
        </row>
        <row r="86">
          <cell r="A86">
            <v>134097</v>
          </cell>
          <cell r="B86" t="str">
            <v>Florida St.</v>
          </cell>
          <cell r="C86" t="str">
            <v>ACC</v>
          </cell>
          <cell r="D86">
            <v>106849</v>
          </cell>
        </row>
        <row r="87">
          <cell r="A87">
            <v>100858</v>
          </cell>
          <cell r="B87" t="str">
            <v>Auburn</v>
          </cell>
          <cell r="C87" t="str">
            <v>SEC</v>
          </cell>
          <cell r="D87">
            <v>104815</v>
          </cell>
        </row>
        <row r="88">
          <cell r="A88">
            <v>228723</v>
          </cell>
          <cell r="B88" t="str">
            <v>Texas A&amp;M</v>
          </cell>
          <cell r="C88" t="str">
            <v>SEC</v>
          </cell>
          <cell r="D88">
            <v>104325</v>
          </cell>
        </row>
        <row r="89">
          <cell r="A89">
            <v>232982</v>
          </cell>
          <cell r="B89" t="str">
            <v>Old Dominion</v>
          </cell>
          <cell r="C89" t="str">
            <v>CUSA</v>
          </cell>
          <cell r="D89">
            <v>104008</v>
          </cell>
        </row>
        <row r="90">
          <cell r="A90">
            <v>233374</v>
          </cell>
          <cell r="B90" t="str">
            <v>Richmond</v>
          </cell>
          <cell r="C90" t="str">
            <v>Atlantic 10</v>
          </cell>
          <cell r="D90">
            <v>97632</v>
          </cell>
        </row>
        <row r="91">
          <cell r="A91">
            <v>182290</v>
          </cell>
          <cell r="B91" t="str">
            <v>Nevada</v>
          </cell>
          <cell r="C91" t="str">
            <v>Mountain West</v>
          </cell>
          <cell r="D91">
            <v>96997</v>
          </cell>
        </row>
        <row r="92">
          <cell r="A92">
            <v>240727</v>
          </cell>
          <cell r="B92" t="str">
            <v>Wyoming</v>
          </cell>
          <cell r="C92" t="str">
            <v>Mountain West</v>
          </cell>
          <cell r="D92">
            <v>92716</v>
          </cell>
        </row>
        <row r="93">
          <cell r="A93">
            <v>135726</v>
          </cell>
          <cell r="B93" t="str">
            <v>Miami (FL)</v>
          </cell>
          <cell r="C93" t="str">
            <v>ACC</v>
          </cell>
          <cell r="D93">
            <v>92424</v>
          </cell>
        </row>
        <row r="94">
          <cell r="A94">
            <v>132903</v>
          </cell>
          <cell r="B94" t="str">
            <v>UCF</v>
          </cell>
          <cell r="C94" t="str">
            <v>The American</v>
          </cell>
          <cell r="D94">
            <v>90067</v>
          </cell>
        </row>
        <row r="95">
          <cell r="A95">
            <v>235316</v>
          </cell>
          <cell r="B95" t="str">
            <v>Gonzaga</v>
          </cell>
          <cell r="C95" t="str">
            <v>WCC</v>
          </cell>
          <cell r="D95">
            <v>90000</v>
          </cell>
        </row>
        <row r="96">
          <cell r="A96">
            <v>188030</v>
          </cell>
          <cell r="B96" t="str">
            <v>New Mexico St.</v>
          </cell>
          <cell r="C96" t="str">
            <v>WAC</v>
          </cell>
          <cell r="D96">
            <v>89224</v>
          </cell>
        </row>
        <row r="97">
          <cell r="A97">
            <v>179566</v>
          </cell>
          <cell r="B97" t="str">
            <v>Missouri St.</v>
          </cell>
          <cell r="C97" t="str">
            <v>MVC</v>
          </cell>
          <cell r="D97">
            <v>88690</v>
          </cell>
        </row>
        <row r="98">
          <cell r="A98">
            <v>186380</v>
          </cell>
          <cell r="B98" t="str">
            <v>Rutgers</v>
          </cell>
          <cell r="C98" t="str">
            <v>The American</v>
          </cell>
          <cell r="D98">
            <v>88492</v>
          </cell>
        </row>
        <row r="99">
          <cell r="A99">
            <v>233921</v>
          </cell>
          <cell r="B99" t="str">
            <v>Virginia Tech</v>
          </cell>
          <cell r="C99" t="str">
            <v>ACC</v>
          </cell>
          <cell r="D99">
            <v>86612</v>
          </cell>
        </row>
        <row r="100">
          <cell r="A100">
            <v>166629</v>
          </cell>
          <cell r="B100" t="str">
            <v>Massachusetts</v>
          </cell>
          <cell r="C100" t="str">
            <v>Atlantic 10</v>
          </cell>
          <cell r="D100">
            <v>85069</v>
          </cell>
        </row>
        <row r="101">
          <cell r="A101">
            <v>126818</v>
          </cell>
          <cell r="B101" t="str">
            <v>Colorado St.</v>
          </cell>
          <cell r="C101" t="str">
            <v>Mountain West</v>
          </cell>
          <cell r="D101">
            <v>83717</v>
          </cell>
        </row>
        <row r="102">
          <cell r="A102">
            <v>216339</v>
          </cell>
          <cell r="B102" t="str">
            <v>Temple</v>
          </cell>
          <cell r="C102" t="str">
            <v>The American</v>
          </cell>
          <cell r="D102">
            <v>83485</v>
          </cell>
        </row>
        <row r="103">
          <cell r="A103">
            <v>145813</v>
          </cell>
          <cell r="B103" t="str">
            <v>Illinois St.</v>
          </cell>
          <cell r="C103" t="str">
            <v>MVC</v>
          </cell>
          <cell r="D103">
            <v>82319</v>
          </cell>
        </row>
        <row r="104">
          <cell r="A104">
            <v>243744</v>
          </cell>
          <cell r="B104" t="str">
            <v>Stanford</v>
          </cell>
          <cell r="C104" t="str">
            <v>Pac-12</v>
          </cell>
          <cell r="D104">
            <v>81770</v>
          </cell>
        </row>
        <row r="105">
          <cell r="A105">
            <v>157951</v>
          </cell>
          <cell r="B105" t="str">
            <v>Western Ky.</v>
          </cell>
          <cell r="C105" t="str">
            <v>Sun Belt</v>
          </cell>
          <cell r="D105">
            <v>80158</v>
          </cell>
        </row>
        <row r="106">
          <cell r="A106">
            <v>151324</v>
          </cell>
          <cell r="B106" t="str">
            <v>Indiana St.</v>
          </cell>
          <cell r="C106" t="str">
            <v>MVC</v>
          </cell>
          <cell r="D106">
            <v>77300</v>
          </cell>
        </row>
        <row r="107">
          <cell r="A107">
            <v>150534</v>
          </cell>
          <cell r="B107" t="str">
            <v>Evansville</v>
          </cell>
          <cell r="C107" t="str">
            <v>MVC</v>
          </cell>
          <cell r="D107">
            <v>77279</v>
          </cell>
        </row>
        <row r="108">
          <cell r="A108">
            <v>199139</v>
          </cell>
          <cell r="B108" t="str">
            <v>Charlotte</v>
          </cell>
          <cell r="C108" t="str">
            <v>CUSA</v>
          </cell>
          <cell r="D108">
            <v>76666</v>
          </cell>
        </row>
        <row r="109">
          <cell r="A109">
            <v>237525</v>
          </cell>
          <cell r="B109" t="str">
            <v>Marshall</v>
          </cell>
          <cell r="C109" t="str">
            <v>CUSA</v>
          </cell>
          <cell r="D109">
            <v>75411</v>
          </cell>
        </row>
        <row r="110">
          <cell r="A110">
            <v>198464</v>
          </cell>
          <cell r="B110" t="str">
            <v>East Carolina</v>
          </cell>
          <cell r="C110" t="str">
            <v>CUSA</v>
          </cell>
          <cell r="D110">
            <v>75370</v>
          </cell>
        </row>
        <row r="111">
          <cell r="A111">
            <v>206084</v>
          </cell>
          <cell r="B111" t="str">
            <v>Toledo</v>
          </cell>
          <cell r="C111" t="str">
            <v>MAC</v>
          </cell>
          <cell r="D111">
            <v>75030</v>
          </cell>
        </row>
        <row r="112">
          <cell r="A112">
            <v>137351</v>
          </cell>
          <cell r="B112" t="str">
            <v>South Fla.</v>
          </cell>
          <cell r="C112" t="str">
            <v>The American</v>
          </cell>
          <cell r="D112">
            <v>74909</v>
          </cell>
        </row>
        <row r="113">
          <cell r="A113">
            <v>228875</v>
          </cell>
          <cell r="B113" t="str">
            <v>TCU</v>
          </cell>
          <cell r="C113" t="str">
            <v>Big 12</v>
          </cell>
          <cell r="D113">
            <v>74328</v>
          </cell>
        </row>
        <row r="114">
          <cell r="A114">
            <v>433660</v>
          </cell>
          <cell r="B114" t="str">
            <v>FGCU</v>
          </cell>
          <cell r="C114" t="str">
            <v>ASUN</v>
          </cell>
          <cell r="D114">
            <v>73780</v>
          </cell>
        </row>
        <row r="115">
          <cell r="A115">
            <v>100663</v>
          </cell>
          <cell r="B115" t="str">
            <v>UAB</v>
          </cell>
          <cell r="C115" t="str">
            <v>CUSA</v>
          </cell>
          <cell r="D115">
            <v>73161</v>
          </cell>
        </row>
        <row r="116">
          <cell r="A116">
            <v>149222</v>
          </cell>
          <cell r="B116" t="str">
            <v>Southern Ill.</v>
          </cell>
          <cell r="C116" t="str">
            <v>MVC</v>
          </cell>
          <cell r="D116">
            <v>73126</v>
          </cell>
        </row>
        <row r="117">
          <cell r="A117">
            <v>220978</v>
          </cell>
          <cell r="B117" t="str">
            <v>Middle Tenn.</v>
          </cell>
          <cell r="C117" t="str">
            <v>CUSA</v>
          </cell>
          <cell r="D117">
            <v>71446</v>
          </cell>
        </row>
        <row r="118">
          <cell r="A118">
            <v>217484</v>
          </cell>
          <cell r="B118" t="str">
            <v>Rhode Island</v>
          </cell>
          <cell r="C118" t="str">
            <v>Atlantic 10</v>
          </cell>
          <cell r="D118">
            <v>71058</v>
          </cell>
        </row>
        <row r="119">
          <cell r="A119">
            <v>123961</v>
          </cell>
          <cell r="B119" t="str">
            <v>Southern California</v>
          </cell>
          <cell r="C119" t="str">
            <v>Pac-12</v>
          </cell>
          <cell r="D119">
            <v>69913</v>
          </cell>
        </row>
        <row r="120">
          <cell r="A120">
            <v>232186</v>
          </cell>
          <cell r="B120" t="str">
            <v>George Mason</v>
          </cell>
          <cell r="C120" t="str">
            <v>Atlantic 10</v>
          </cell>
          <cell r="D120">
            <v>68822</v>
          </cell>
        </row>
        <row r="121">
          <cell r="A121">
            <v>240277</v>
          </cell>
          <cell r="B121" t="str">
            <v>Green Bay</v>
          </cell>
          <cell r="C121" t="str">
            <v>Horizon</v>
          </cell>
          <cell r="D121">
            <v>67646</v>
          </cell>
        </row>
        <row r="122">
          <cell r="A122">
            <v>209542</v>
          </cell>
          <cell r="B122" t="str">
            <v>Oregon St.</v>
          </cell>
          <cell r="C122" t="str">
            <v>Pac-12</v>
          </cell>
          <cell r="D122">
            <v>67077</v>
          </cell>
        </row>
        <row r="123">
          <cell r="A123">
            <v>176372</v>
          </cell>
          <cell r="B123" t="str">
            <v>Southern Miss.</v>
          </cell>
          <cell r="C123" t="str">
            <v>CUSA</v>
          </cell>
          <cell r="D123">
            <v>66120</v>
          </cell>
        </row>
        <row r="124">
          <cell r="A124">
            <v>206604</v>
          </cell>
          <cell r="B124" t="str">
            <v>Wright St.</v>
          </cell>
          <cell r="C124" t="str">
            <v>Horizon</v>
          </cell>
          <cell r="D124">
            <v>65867</v>
          </cell>
        </row>
        <row r="125">
          <cell r="A125">
            <v>207971</v>
          </cell>
          <cell r="B125" t="str">
            <v>Tulsa</v>
          </cell>
          <cell r="C125" t="str">
            <v>CUSA</v>
          </cell>
          <cell r="D125">
            <v>63389</v>
          </cell>
        </row>
        <row r="126">
          <cell r="A126">
            <v>159647</v>
          </cell>
          <cell r="B126" t="str">
            <v>Louisiana Tech</v>
          </cell>
          <cell r="C126" t="str">
            <v>CUSA</v>
          </cell>
          <cell r="D126">
            <v>62797</v>
          </cell>
        </row>
        <row r="127">
          <cell r="A127">
            <v>157401</v>
          </cell>
          <cell r="B127" t="str">
            <v>Murray St.</v>
          </cell>
          <cell r="C127" t="str">
            <v>OVC</v>
          </cell>
          <cell r="D127">
            <v>61695</v>
          </cell>
        </row>
        <row r="128">
          <cell r="A128">
            <v>154095</v>
          </cell>
          <cell r="B128" t="str">
            <v>UNI</v>
          </cell>
          <cell r="C128" t="str">
            <v>MVC</v>
          </cell>
          <cell r="D128">
            <v>61015</v>
          </cell>
        </row>
        <row r="129">
          <cell r="A129">
            <v>215770</v>
          </cell>
          <cell r="B129" t="str">
            <v>Saint Joseph's</v>
          </cell>
          <cell r="C129" t="str">
            <v>Atlantic 10</v>
          </cell>
          <cell r="D129">
            <v>60850</v>
          </cell>
        </row>
        <row r="130">
          <cell r="A130">
            <v>225511</v>
          </cell>
          <cell r="B130" t="str">
            <v>Houston</v>
          </cell>
          <cell r="C130" t="str">
            <v>The American</v>
          </cell>
          <cell r="D130">
            <v>60520</v>
          </cell>
        </row>
        <row r="131">
          <cell r="A131">
            <v>215062</v>
          </cell>
          <cell r="B131" t="str">
            <v>Penn</v>
          </cell>
          <cell r="C131" t="str">
            <v>Ivy League</v>
          </cell>
          <cell r="D131">
            <v>59975</v>
          </cell>
        </row>
        <row r="132">
          <cell r="A132">
            <v>207582</v>
          </cell>
          <cell r="B132" t="str">
            <v>Oral Roberts</v>
          </cell>
          <cell r="C132" t="str">
            <v>Southland</v>
          </cell>
          <cell r="D132">
            <v>55069</v>
          </cell>
        </row>
        <row r="133">
          <cell r="A133">
            <v>195164</v>
          </cell>
          <cell r="B133" t="str">
            <v>St. Bonaventure</v>
          </cell>
          <cell r="C133" t="str">
            <v>Atlantic 10</v>
          </cell>
          <cell r="D133">
            <v>54990</v>
          </cell>
        </row>
        <row r="134">
          <cell r="A134">
            <v>221740</v>
          </cell>
          <cell r="B134" t="str">
            <v>Chattanooga</v>
          </cell>
          <cell r="C134" t="str">
            <v>SoCon</v>
          </cell>
          <cell r="D134">
            <v>54527</v>
          </cell>
        </row>
        <row r="135">
          <cell r="A135">
            <v>200800</v>
          </cell>
          <cell r="B135" t="str">
            <v>Akron</v>
          </cell>
          <cell r="C135" t="str">
            <v>MAC</v>
          </cell>
          <cell r="D135">
            <v>54129</v>
          </cell>
        </row>
        <row r="136">
          <cell r="A136">
            <v>203517</v>
          </cell>
          <cell r="B136" t="str">
            <v>Kent St.</v>
          </cell>
          <cell r="C136" t="str">
            <v>MAC</v>
          </cell>
          <cell r="D136">
            <v>52814</v>
          </cell>
        </row>
        <row r="137">
          <cell r="A137">
            <v>104717</v>
          </cell>
          <cell r="B137" t="str">
            <v>Grand Canyon</v>
          </cell>
          <cell r="C137" t="str">
            <v>WAC</v>
          </cell>
          <cell r="D137">
            <v>52471</v>
          </cell>
        </row>
        <row r="138">
          <cell r="A138">
            <v>196088</v>
          </cell>
          <cell r="B138" t="str">
            <v>Buffalo</v>
          </cell>
          <cell r="C138" t="str">
            <v>MAC</v>
          </cell>
          <cell r="D138">
            <v>52288</v>
          </cell>
        </row>
        <row r="139">
          <cell r="A139">
            <v>153269</v>
          </cell>
          <cell r="B139" t="str">
            <v>Drake</v>
          </cell>
          <cell r="C139" t="str">
            <v>MVC</v>
          </cell>
          <cell r="D139">
            <v>52161</v>
          </cell>
        </row>
        <row r="140">
          <cell r="A140">
            <v>164924</v>
          </cell>
          <cell r="B140" t="str">
            <v>Boston College</v>
          </cell>
          <cell r="C140" t="str">
            <v>ACC</v>
          </cell>
          <cell r="D140">
            <v>52094</v>
          </cell>
        </row>
        <row r="141">
          <cell r="A141">
            <v>160658</v>
          </cell>
          <cell r="B141" t="str">
            <v>Louisiana</v>
          </cell>
          <cell r="C141" t="str">
            <v>Sun Belt</v>
          </cell>
          <cell r="D141">
            <v>51069</v>
          </cell>
        </row>
        <row r="142">
          <cell r="A142">
            <v>152600</v>
          </cell>
          <cell r="B142" t="str">
            <v>Valparaiso</v>
          </cell>
          <cell r="C142" t="str">
            <v>Horizon</v>
          </cell>
          <cell r="D142">
            <v>51002</v>
          </cell>
        </row>
        <row r="143">
          <cell r="A143">
            <v>220075</v>
          </cell>
          <cell r="B143" t="str">
            <v>ETSU</v>
          </cell>
          <cell r="C143" t="str">
            <v>ASUN</v>
          </cell>
          <cell r="D143">
            <v>50974</v>
          </cell>
        </row>
        <row r="144">
          <cell r="A144">
            <v>123554</v>
          </cell>
          <cell r="B144" t="str">
            <v>Saint Mary's (CA)</v>
          </cell>
          <cell r="C144" t="str">
            <v>WCC</v>
          </cell>
          <cell r="D144">
            <v>50426</v>
          </cell>
        </row>
        <row r="145">
          <cell r="A145">
            <v>180489</v>
          </cell>
          <cell r="B145" t="str">
            <v>Montana</v>
          </cell>
          <cell r="C145" t="str">
            <v>Big Sky</v>
          </cell>
          <cell r="D145">
            <v>49870</v>
          </cell>
        </row>
        <row r="146">
          <cell r="A146">
            <v>217819</v>
          </cell>
          <cell r="B146" t="str">
            <v>Col. of Charleston</v>
          </cell>
          <cell r="C146" t="str">
            <v>CAA</v>
          </cell>
          <cell r="D146">
            <v>49513</v>
          </cell>
        </row>
        <row r="147">
          <cell r="A147">
            <v>199148</v>
          </cell>
          <cell r="B147" t="str">
            <v>UNC Greensboro</v>
          </cell>
          <cell r="C147" t="str">
            <v>SoCon</v>
          </cell>
          <cell r="D147">
            <v>49346</v>
          </cell>
        </row>
        <row r="148">
          <cell r="A148">
            <v>131469</v>
          </cell>
          <cell r="B148" t="str">
            <v>George Washington</v>
          </cell>
          <cell r="C148" t="str">
            <v>Atlantic 10</v>
          </cell>
          <cell r="D148">
            <v>49050</v>
          </cell>
        </row>
        <row r="149">
          <cell r="A149">
            <v>218724</v>
          </cell>
          <cell r="B149" t="str">
            <v>Coastal Carolina</v>
          </cell>
          <cell r="C149" t="str">
            <v>Big South</v>
          </cell>
          <cell r="D149">
            <v>47023</v>
          </cell>
        </row>
        <row r="150">
          <cell r="A150">
            <v>199218</v>
          </cell>
          <cell r="B150" t="str">
            <v>UNCW</v>
          </cell>
          <cell r="C150" t="str">
            <v>CAA</v>
          </cell>
          <cell r="D150">
            <v>45820</v>
          </cell>
        </row>
        <row r="151">
          <cell r="A151">
            <v>236939</v>
          </cell>
          <cell r="B151" t="str">
            <v>Washington St.</v>
          </cell>
          <cell r="C151" t="str">
            <v>Pac-12</v>
          </cell>
          <cell r="D151">
            <v>44804</v>
          </cell>
        </row>
        <row r="152">
          <cell r="A152">
            <v>198385</v>
          </cell>
          <cell r="B152" t="str">
            <v>Davidson</v>
          </cell>
          <cell r="C152" t="str">
            <v>SoCon</v>
          </cell>
          <cell r="D152">
            <v>44545</v>
          </cell>
        </row>
        <row r="153">
          <cell r="A153">
            <v>212106</v>
          </cell>
          <cell r="B153" t="str">
            <v>Duquesne</v>
          </cell>
          <cell r="C153" t="str">
            <v>Atlantic 10</v>
          </cell>
          <cell r="D153">
            <v>43503</v>
          </cell>
        </row>
        <row r="154">
          <cell r="A154">
            <v>200332</v>
          </cell>
          <cell r="B154" t="str">
            <v>North Dakota St.</v>
          </cell>
          <cell r="C154" t="str">
            <v>Summit League</v>
          </cell>
          <cell r="D154">
            <v>43008</v>
          </cell>
        </row>
        <row r="155">
          <cell r="A155">
            <v>150136</v>
          </cell>
          <cell r="B155" t="str">
            <v>Ball St.</v>
          </cell>
          <cell r="C155" t="str">
            <v>MAC</v>
          </cell>
          <cell r="D155">
            <v>42922</v>
          </cell>
        </row>
        <row r="156">
          <cell r="A156">
            <v>140447</v>
          </cell>
          <cell r="B156" t="str">
            <v>Mercer</v>
          </cell>
          <cell r="C156" t="str">
            <v>ASUN</v>
          </cell>
          <cell r="D156">
            <v>42889</v>
          </cell>
        </row>
        <row r="157">
          <cell r="A157">
            <v>106245</v>
          </cell>
          <cell r="B157" t="str">
            <v>Little Rock</v>
          </cell>
          <cell r="C157" t="str">
            <v>Sun Belt</v>
          </cell>
          <cell r="D157">
            <v>41975</v>
          </cell>
        </row>
        <row r="158">
          <cell r="A158">
            <v>213367</v>
          </cell>
          <cell r="B158" t="str">
            <v>La Salle</v>
          </cell>
          <cell r="C158" t="str">
            <v>Atlantic 10</v>
          </cell>
          <cell r="D158">
            <v>41828</v>
          </cell>
        </row>
        <row r="159">
          <cell r="A159">
            <v>156620</v>
          </cell>
          <cell r="B159" t="str">
            <v>Eastern Ky.</v>
          </cell>
          <cell r="C159" t="str">
            <v>OVC</v>
          </cell>
          <cell r="D159">
            <v>41800</v>
          </cell>
        </row>
        <row r="160">
          <cell r="A160">
            <v>232265</v>
          </cell>
          <cell r="B160" t="str">
            <v>Hampton</v>
          </cell>
          <cell r="C160" t="str">
            <v>MEAC</v>
          </cell>
          <cell r="D160">
            <v>41387</v>
          </cell>
        </row>
        <row r="161">
          <cell r="A161">
            <v>164076</v>
          </cell>
          <cell r="B161" t="str">
            <v>Towson</v>
          </cell>
          <cell r="C161" t="str">
            <v>CAA</v>
          </cell>
          <cell r="D161">
            <v>41027</v>
          </cell>
        </row>
        <row r="162">
          <cell r="A162">
            <v>110583</v>
          </cell>
          <cell r="B162" t="str">
            <v>Long Beach St.</v>
          </cell>
          <cell r="C162" t="str">
            <v>Big West</v>
          </cell>
          <cell r="D162">
            <v>40996</v>
          </cell>
        </row>
        <row r="163">
          <cell r="A163">
            <v>145600</v>
          </cell>
          <cell r="B163" t="str">
            <v>UIC</v>
          </cell>
          <cell r="C163" t="str">
            <v>Horizon</v>
          </cell>
          <cell r="D163">
            <v>40545</v>
          </cell>
        </row>
        <row r="164">
          <cell r="A164">
            <v>127060</v>
          </cell>
          <cell r="B164" t="str">
            <v>Denver</v>
          </cell>
          <cell r="C164" t="str">
            <v>Summit League</v>
          </cell>
          <cell r="D164">
            <v>40543</v>
          </cell>
        </row>
        <row r="165">
          <cell r="A165">
            <v>172699</v>
          </cell>
          <cell r="B165" t="str">
            <v>Western Mich.</v>
          </cell>
          <cell r="C165" t="str">
            <v>MAC</v>
          </cell>
          <cell r="D165">
            <v>40119</v>
          </cell>
        </row>
        <row r="166">
          <cell r="A166">
            <v>234085</v>
          </cell>
          <cell r="B166" t="str">
            <v>VMI</v>
          </cell>
          <cell r="C166" t="str">
            <v>Big South</v>
          </cell>
          <cell r="D166">
            <v>40071</v>
          </cell>
        </row>
        <row r="167">
          <cell r="A167">
            <v>231624</v>
          </cell>
          <cell r="B167" t="str">
            <v>William &amp; Mary</v>
          </cell>
          <cell r="C167" t="str">
            <v>CAA</v>
          </cell>
          <cell r="D167">
            <v>39747</v>
          </cell>
        </row>
        <row r="168">
          <cell r="A168">
            <v>211291</v>
          </cell>
          <cell r="B168" t="str">
            <v>Bucknell</v>
          </cell>
          <cell r="C168" t="str">
            <v>Patriot</v>
          </cell>
          <cell r="D168">
            <v>39570</v>
          </cell>
        </row>
        <row r="169">
          <cell r="A169">
            <v>228431</v>
          </cell>
          <cell r="B169" t="str">
            <v>SFA</v>
          </cell>
          <cell r="C169" t="str">
            <v>Southland</v>
          </cell>
          <cell r="D169">
            <v>39360</v>
          </cell>
        </row>
        <row r="170">
          <cell r="A170">
            <v>227216</v>
          </cell>
          <cell r="B170" t="str">
            <v>North Texas</v>
          </cell>
          <cell r="C170" t="str">
            <v>CUSA</v>
          </cell>
          <cell r="D170">
            <v>39242</v>
          </cell>
        </row>
        <row r="171">
          <cell r="A171">
            <v>120883</v>
          </cell>
          <cell r="B171" t="str">
            <v>Pacific</v>
          </cell>
          <cell r="C171" t="str">
            <v>WCC</v>
          </cell>
          <cell r="D171">
            <v>38745</v>
          </cell>
        </row>
        <row r="172">
          <cell r="A172">
            <v>110705</v>
          </cell>
          <cell r="B172" t="str">
            <v>UC Santa Barbara</v>
          </cell>
          <cell r="C172" t="str">
            <v>Big West</v>
          </cell>
          <cell r="D172">
            <v>38488</v>
          </cell>
        </row>
        <row r="173">
          <cell r="A173">
            <v>122612</v>
          </cell>
          <cell r="B173" t="str">
            <v>San Francisco</v>
          </cell>
          <cell r="C173" t="str">
            <v>WCC</v>
          </cell>
          <cell r="D173">
            <v>38439</v>
          </cell>
        </row>
        <row r="174">
          <cell r="A174">
            <v>122436</v>
          </cell>
          <cell r="B174" t="str">
            <v>San Diego</v>
          </cell>
          <cell r="C174" t="str">
            <v>WCC</v>
          </cell>
          <cell r="D174">
            <v>38362</v>
          </cell>
        </row>
        <row r="175">
          <cell r="A175">
            <v>106458</v>
          </cell>
          <cell r="B175" t="str">
            <v>Arkansas St.</v>
          </cell>
          <cell r="C175" t="str">
            <v>Sun Belt</v>
          </cell>
          <cell r="D175">
            <v>38112</v>
          </cell>
        </row>
        <row r="176">
          <cell r="A176">
            <v>219709</v>
          </cell>
          <cell r="B176" t="str">
            <v>Belmont</v>
          </cell>
          <cell r="C176" t="str">
            <v>OVC</v>
          </cell>
          <cell r="D176">
            <v>38067</v>
          </cell>
        </row>
        <row r="177">
          <cell r="A177">
            <v>500002</v>
          </cell>
          <cell r="B177" t="str">
            <v>Air Force</v>
          </cell>
          <cell r="C177" t="str">
            <v>Mountain West</v>
          </cell>
          <cell r="D177">
            <v>38044</v>
          </cell>
        </row>
        <row r="178">
          <cell r="A178">
            <v>219602</v>
          </cell>
          <cell r="B178" t="str">
            <v>Austin Peay</v>
          </cell>
          <cell r="C178" t="str">
            <v>OVC</v>
          </cell>
          <cell r="D178">
            <v>37959</v>
          </cell>
        </row>
        <row r="179">
          <cell r="A179">
            <v>110653</v>
          </cell>
          <cell r="B179" t="str">
            <v>UC Irvine</v>
          </cell>
          <cell r="C179" t="str">
            <v>Big West</v>
          </cell>
          <cell r="D179">
            <v>37666</v>
          </cell>
        </row>
        <row r="180">
          <cell r="A180">
            <v>219356</v>
          </cell>
          <cell r="B180" t="str">
            <v>South Dakota St.</v>
          </cell>
          <cell r="C180" t="str">
            <v>Summit League</v>
          </cell>
          <cell r="D180">
            <v>37254</v>
          </cell>
        </row>
        <row r="181">
          <cell r="A181">
            <v>232557</v>
          </cell>
          <cell r="B181" t="str">
            <v>Liberty</v>
          </cell>
          <cell r="C181" t="str">
            <v>Big South</v>
          </cell>
          <cell r="D181">
            <v>37230</v>
          </cell>
        </row>
        <row r="182">
          <cell r="A182">
            <v>196060</v>
          </cell>
          <cell r="B182" t="str">
            <v>UAlbany</v>
          </cell>
          <cell r="C182" t="str">
            <v>America East</v>
          </cell>
          <cell r="D182">
            <v>37185</v>
          </cell>
        </row>
        <row r="183">
          <cell r="A183">
            <v>169716</v>
          </cell>
          <cell r="B183" t="str">
            <v>Detroit Mercy</v>
          </cell>
          <cell r="C183" t="str">
            <v>Horizon</v>
          </cell>
          <cell r="D183">
            <v>37082</v>
          </cell>
        </row>
        <row r="184">
          <cell r="A184">
            <v>240453</v>
          </cell>
          <cell r="B184" t="str">
            <v>Milwaukee</v>
          </cell>
          <cell r="C184" t="str">
            <v>Horizon</v>
          </cell>
          <cell r="D184">
            <v>37014</v>
          </cell>
        </row>
        <row r="185">
          <cell r="A185">
            <v>232423</v>
          </cell>
          <cell r="B185" t="str">
            <v>James Madison</v>
          </cell>
          <cell r="C185" t="str">
            <v>CAA</v>
          </cell>
          <cell r="D185">
            <v>36115</v>
          </cell>
        </row>
        <row r="186">
          <cell r="A186">
            <v>196079</v>
          </cell>
          <cell r="B186" t="str">
            <v>Binghamton</v>
          </cell>
          <cell r="C186" t="str">
            <v>America East</v>
          </cell>
          <cell r="D186">
            <v>36091</v>
          </cell>
        </row>
        <row r="187">
          <cell r="A187">
            <v>191241</v>
          </cell>
          <cell r="B187" t="str">
            <v>Fordham</v>
          </cell>
          <cell r="C187" t="str">
            <v>Atlantic 10</v>
          </cell>
          <cell r="D187">
            <v>34954</v>
          </cell>
        </row>
        <row r="188">
          <cell r="A188">
            <v>206695</v>
          </cell>
          <cell r="B188" t="str">
            <v>Youngstown St.</v>
          </cell>
          <cell r="C188" t="str">
            <v>Horizon</v>
          </cell>
          <cell r="D188">
            <v>34894</v>
          </cell>
        </row>
        <row r="189">
          <cell r="A189">
            <v>106412</v>
          </cell>
          <cell r="B189" t="str">
            <v>Ark.-Pine Bluff</v>
          </cell>
          <cell r="C189" t="str">
            <v>SWAC</v>
          </cell>
          <cell r="D189">
            <v>34490</v>
          </cell>
        </row>
        <row r="190">
          <cell r="A190">
            <v>202134</v>
          </cell>
          <cell r="B190" t="str">
            <v>Cleveland St.</v>
          </cell>
          <cell r="C190" t="str">
            <v>Horizon</v>
          </cell>
          <cell r="D190">
            <v>33545</v>
          </cell>
        </row>
        <row r="191">
          <cell r="A191">
            <v>102094</v>
          </cell>
          <cell r="B191" t="str">
            <v>South Alabama</v>
          </cell>
          <cell r="C191" t="str">
            <v>Sun Belt</v>
          </cell>
          <cell r="D191">
            <v>33389</v>
          </cell>
        </row>
        <row r="192">
          <cell r="A192">
            <v>130943</v>
          </cell>
          <cell r="B192" t="str">
            <v>Delaware</v>
          </cell>
          <cell r="C192" t="str">
            <v>CAA</v>
          </cell>
          <cell r="D192">
            <v>33309</v>
          </cell>
        </row>
        <row r="193">
          <cell r="A193">
            <v>157386</v>
          </cell>
          <cell r="B193" t="str">
            <v>Morehead St.</v>
          </cell>
          <cell r="C193" t="str">
            <v>OVC</v>
          </cell>
          <cell r="D193">
            <v>33257</v>
          </cell>
        </row>
        <row r="194">
          <cell r="A194">
            <v>230737</v>
          </cell>
          <cell r="B194" t="str">
            <v>Utah Valley</v>
          </cell>
          <cell r="C194" t="str">
            <v>WAC</v>
          </cell>
          <cell r="D194">
            <v>33256</v>
          </cell>
        </row>
        <row r="195">
          <cell r="A195">
            <v>171571</v>
          </cell>
          <cell r="B195" t="str">
            <v>Oakland</v>
          </cell>
          <cell r="C195" t="str">
            <v>Horizon</v>
          </cell>
          <cell r="D195">
            <v>32129</v>
          </cell>
        </row>
        <row r="196">
          <cell r="A196">
            <v>160755</v>
          </cell>
          <cell r="B196" t="str">
            <v>Tulane</v>
          </cell>
          <cell r="C196" t="str">
            <v>CUSA</v>
          </cell>
          <cell r="D196">
            <v>31857</v>
          </cell>
        </row>
        <row r="197">
          <cell r="A197">
            <v>180461</v>
          </cell>
          <cell r="B197" t="str">
            <v>Montana St.</v>
          </cell>
          <cell r="C197" t="str">
            <v>Big Sky</v>
          </cell>
          <cell r="D197">
            <v>31627</v>
          </cell>
        </row>
        <row r="198">
          <cell r="A198">
            <v>100724</v>
          </cell>
          <cell r="B198" t="str">
            <v>Alabama St.</v>
          </cell>
          <cell r="C198" t="str">
            <v>SWAC</v>
          </cell>
          <cell r="D198">
            <v>31242</v>
          </cell>
        </row>
        <row r="199">
          <cell r="A199">
            <v>236595</v>
          </cell>
          <cell r="B199" t="str">
            <v>Seattle U</v>
          </cell>
          <cell r="C199" t="str">
            <v>WAC</v>
          </cell>
          <cell r="D199">
            <v>30699</v>
          </cell>
        </row>
        <row r="200">
          <cell r="A200">
            <v>186131</v>
          </cell>
          <cell r="B200" t="str">
            <v>Princeton</v>
          </cell>
          <cell r="C200" t="str">
            <v>Ivy League</v>
          </cell>
          <cell r="D200">
            <v>29893</v>
          </cell>
        </row>
        <row r="201">
          <cell r="A201">
            <v>231174</v>
          </cell>
          <cell r="B201" t="str">
            <v>Vermont</v>
          </cell>
          <cell r="C201" t="str">
            <v>America East</v>
          </cell>
          <cell r="D201">
            <v>28546</v>
          </cell>
        </row>
        <row r="202">
          <cell r="A202">
            <v>198136</v>
          </cell>
          <cell r="B202" t="str">
            <v>Campbell</v>
          </cell>
          <cell r="C202" t="str">
            <v>Big South</v>
          </cell>
          <cell r="D202">
            <v>28515</v>
          </cell>
        </row>
        <row r="203">
          <cell r="A203">
            <v>209825</v>
          </cell>
          <cell r="B203" t="str">
            <v>Portland</v>
          </cell>
          <cell r="C203" t="str">
            <v>WCC</v>
          </cell>
          <cell r="D203">
            <v>28324</v>
          </cell>
        </row>
        <row r="204">
          <cell r="A204">
            <v>199157</v>
          </cell>
          <cell r="B204" t="str">
            <v>N.C. Central</v>
          </cell>
          <cell r="C204" t="str">
            <v>MEAC</v>
          </cell>
          <cell r="D204">
            <v>27876</v>
          </cell>
        </row>
        <row r="205">
          <cell r="A205">
            <v>190150</v>
          </cell>
          <cell r="B205" t="str">
            <v>Columbia</v>
          </cell>
          <cell r="C205" t="str">
            <v>Ivy League</v>
          </cell>
          <cell r="D205">
            <v>27620</v>
          </cell>
        </row>
        <row r="206">
          <cell r="A206">
            <v>185572</v>
          </cell>
          <cell r="B206" t="str">
            <v>Monmouth</v>
          </cell>
          <cell r="C206" t="str">
            <v>MAAC</v>
          </cell>
          <cell r="D206">
            <v>27502</v>
          </cell>
        </row>
        <row r="207">
          <cell r="A207">
            <v>122931</v>
          </cell>
          <cell r="B207" t="str">
            <v>Santa Clara</v>
          </cell>
          <cell r="C207" t="str">
            <v>WCC</v>
          </cell>
          <cell r="D207">
            <v>27498</v>
          </cell>
        </row>
        <row r="208">
          <cell r="A208">
            <v>139940</v>
          </cell>
          <cell r="B208" t="str">
            <v>Georgia St.</v>
          </cell>
          <cell r="C208" t="str">
            <v>Sun Belt</v>
          </cell>
          <cell r="D208">
            <v>27488</v>
          </cell>
        </row>
        <row r="209">
          <cell r="A209">
            <v>169248</v>
          </cell>
          <cell r="B209" t="str">
            <v>Central Mich.</v>
          </cell>
          <cell r="C209" t="str">
            <v>MAC</v>
          </cell>
          <cell r="D209">
            <v>27101</v>
          </cell>
        </row>
        <row r="210">
          <cell r="A210">
            <v>146719</v>
          </cell>
          <cell r="B210" t="str">
            <v>Loyola Chicago</v>
          </cell>
          <cell r="C210" t="str">
            <v>MVC</v>
          </cell>
          <cell r="D210">
            <v>26993</v>
          </cell>
        </row>
        <row r="211">
          <cell r="A211">
            <v>117946</v>
          </cell>
          <cell r="B211" t="str">
            <v>LMU (CA)</v>
          </cell>
          <cell r="C211" t="str">
            <v>WCC</v>
          </cell>
          <cell r="D211">
            <v>26938</v>
          </cell>
        </row>
        <row r="212">
          <cell r="A212">
            <v>192448</v>
          </cell>
          <cell r="B212" t="str">
            <v>LIU</v>
          </cell>
          <cell r="C212" t="str">
            <v>NEC</v>
          </cell>
          <cell r="D212">
            <v>26843</v>
          </cell>
        </row>
        <row r="213">
          <cell r="A213">
            <v>500000</v>
          </cell>
          <cell r="B213" t="str">
            <v>Navy</v>
          </cell>
          <cell r="C213" t="str">
            <v>Patriot</v>
          </cell>
          <cell r="D213">
            <v>26812</v>
          </cell>
        </row>
        <row r="214">
          <cell r="A214">
            <v>199102</v>
          </cell>
          <cell r="B214" t="str">
            <v>N.C. A&amp;T</v>
          </cell>
          <cell r="C214" t="str">
            <v>MEAC</v>
          </cell>
          <cell r="D214">
            <v>26569</v>
          </cell>
        </row>
        <row r="215">
          <cell r="A215">
            <v>201441</v>
          </cell>
          <cell r="B215" t="str">
            <v>Bowling Green</v>
          </cell>
          <cell r="C215" t="str">
            <v>MAC</v>
          </cell>
          <cell r="D215">
            <v>26384</v>
          </cell>
        </row>
        <row r="216">
          <cell r="A216">
            <v>163338</v>
          </cell>
          <cell r="B216" t="str">
            <v>UMES</v>
          </cell>
          <cell r="C216" t="str">
            <v>MEAC</v>
          </cell>
          <cell r="D216">
            <v>26376</v>
          </cell>
        </row>
        <row r="217">
          <cell r="A217">
            <v>228769</v>
          </cell>
          <cell r="B217" t="str">
            <v>UT Arlington</v>
          </cell>
          <cell r="C217" t="str">
            <v>Sun Belt</v>
          </cell>
          <cell r="D217">
            <v>26212</v>
          </cell>
        </row>
        <row r="218">
          <cell r="A218">
            <v>228459</v>
          </cell>
          <cell r="B218" t="str">
            <v>Texas St.</v>
          </cell>
          <cell r="C218" t="str">
            <v>Sun Belt</v>
          </cell>
          <cell r="D218">
            <v>26207</v>
          </cell>
        </row>
        <row r="219">
          <cell r="A219">
            <v>110422</v>
          </cell>
          <cell r="B219" t="str">
            <v>Cal Poly</v>
          </cell>
          <cell r="C219" t="str">
            <v>Big West</v>
          </cell>
          <cell r="D219">
            <v>26206</v>
          </cell>
        </row>
        <row r="220">
          <cell r="A220">
            <v>226091</v>
          </cell>
          <cell r="B220" t="str">
            <v>Lamar University</v>
          </cell>
          <cell r="C220" t="str">
            <v>Southland</v>
          </cell>
          <cell r="D220">
            <v>25969</v>
          </cell>
        </row>
        <row r="221">
          <cell r="A221">
            <v>157447</v>
          </cell>
          <cell r="B221" t="str">
            <v>Northern Ky.</v>
          </cell>
          <cell r="C221" t="str">
            <v>ASUN</v>
          </cell>
          <cell r="D221">
            <v>25829</v>
          </cell>
        </row>
        <row r="222">
          <cell r="A222">
            <v>221768</v>
          </cell>
          <cell r="B222" t="str">
            <v>UT Martin</v>
          </cell>
          <cell r="C222" t="str">
            <v>OVC</v>
          </cell>
          <cell r="D222">
            <v>25802</v>
          </cell>
        </row>
        <row r="223">
          <cell r="A223">
            <v>179557</v>
          </cell>
          <cell r="B223" t="str">
            <v>Southeast Mo. St.</v>
          </cell>
          <cell r="C223" t="str">
            <v>OVC</v>
          </cell>
          <cell r="D223">
            <v>25779</v>
          </cell>
        </row>
        <row r="224">
          <cell r="A224">
            <v>200280</v>
          </cell>
          <cell r="B224" t="str">
            <v>North Dakota</v>
          </cell>
          <cell r="C224" t="str">
            <v>Big Sky</v>
          </cell>
          <cell r="D224">
            <v>25746</v>
          </cell>
        </row>
        <row r="225">
          <cell r="A225">
            <v>110644</v>
          </cell>
          <cell r="B225" t="str">
            <v>UC Davis</v>
          </cell>
          <cell r="C225" t="str">
            <v>Big West</v>
          </cell>
          <cell r="D225">
            <v>25674</v>
          </cell>
        </row>
        <row r="226">
          <cell r="A226">
            <v>130226</v>
          </cell>
          <cell r="B226" t="str">
            <v>Quinnipiac</v>
          </cell>
          <cell r="C226" t="str">
            <v>MAAC</v>
          </cell>
          <cell r="D226">
            <v>24574</v>
          </cell>
        </row>
        <row r="227">
          <cell r="A227">
            <v>149231</v>
          </cell>
          <cell r="B227" t="str">
            <v>SIUE</v>
          </cell>
          <cell r="C227" t="str">
            <v>OVC</v>
          </cell>
          <cell r="D227">
            <v>24572</v>
          </cell>
        </row>
        <row r="228">
          <cell r="A228">
            <v>166027</v>
          </cell>
          <cell r="B228" t="str">
            <v>Harvard</v>
          </cell>
          <cell r="C228" t="str">
            <v>Ivy League</v>
          </cell>
          <cell r="D228">
            <v>24148</v>
          </cell>
        </row>
        <row r="229">
          <cell r="A229">
            <v>229063</v>
          </cell>
          <cell r="B229" t="str">
            <v>Texas Southern</v>
          </cell>
          <cell r="C229" t="str">
            <v>SWAC</v>
          </cell>
          <cell r="D229">
            <v>23998</v>
          </cell>
        </row>
        <row r="230">
          <cell r="A230">
            <v>129242</v>
          </cell>
          <cell r="B230" t="str">
            <v>Fairfield</v>
          </cell>
          <cell r="C230" t="str">
            <v>MAAC</v>
          </cell>
          <cell r="D230">
            <v>23847</v>
          </cell>
        </row>
        <row r="231">
          <cell r="A231">
            <v>140960</v>
          </cell>
          <cell r="B231" t="str">
            <v>Savannah St.</v>
          </cell>
          <cell r="C231" t="str">
            <v>MEAC</v>
          </cell>
          <cell r="D231">
            <v>23732</v>
          </cell>
        </row>
        <row r="232">
          <cell r="A232">
            <v>218964</v>
          </cell>
          <cell r="B232" t="str">
            <v>Winthrop</v>
          </cell>
          <cell r="C232" t="str">
            <v>Big South</v>
          </cell>
          <cell r="D232">
            <v>23555</v>
          </cell>
        </row>
        <row r="233">
          <cell r="A233">
            <v>160038</v>
          </cell>
          <cell r="B233" t="str">
            <v>Northwestern St.</v>
          </cell>
          <cell r="C233" t="str">
            <v>Southland</v>
          </cell>
          <cell r="D233">
            <v>23547</v>
          </cell>
        </row>
        <row r="234">
          <cell r="A234">
            <v>131159</v>
          </cell>
          <cell r="B234" t="str">
            <v>American</v>
          </cell>
          <cell r="C234" t="str">
            <v>Patriot</v>
          </cell>
          <cell r="D234">
            <v>23528</v>
          </cell>
        </row>
        <row r="235">
          <cell r="A235">
            <v>178402</v>
          </cell>
          <cell r="B235" t="str">
            <v>Kansas City</v>
          </cell>
          <cell r="C235" t="str">
            <v>WAC</v>
          </cell>
          <cell r="D235">
            <v>23475</v>
          </cell>
        </row>
        <row r="236">
          <cell r="A236">
            <v>192703</v>
          </cell>
          <cell r="B236" t="str">
            <v>Manhattan</v>
          </cell>
          <cell r="C236" t="str">
            <v>MAAC</v>
          </cell>
          <cell r="D236">
            <v>23469</v>
          </cell>
        </row>
        <row r="237">
          <cell r="A237">
            <v>191931</v>
          </cell>
          <cell r="B237" t="str">
            <v>Iona</v>
          </cell>
          <cell r="C237" t="str">
            <v>MAAC</v>
          </cell>
          <cell r="D237">
            <v>23451</v>
          </cell>
        </row>
        <row r="238">
          <cell r="A238">
            <v>163453</v>
          </cell>
          <cell r="B238" t="str">
            <v>Morgan St.</v>
          </cell>
          <cell r="C238" t="str">
            <v>MEAC</v>
          </cell>
          <cell r="D238">
            <v>23416</v>
          </cell>
        </row>
        <row r="239">
          <cell r="A239">
            <v>219471</v>
          </cell>
          <cell r="B239" t="str">
            <v>South Dakota</v>
          </cell>
          <cell r="C239" t="str">
            <v>Summit League</v>
          </cell>
          <cell r="D239">
            <v>23354</v>
          </cell>
        </row>
        <row r="240">
          <cell r="A240">
            <v>199111</v>
          </cell>
          <cell r="B240" t="str">
            <v>UNC Asheville</v>
          </cell>
          <cell r="C240" t="str">
            <v>Big South</v>
          </cell>
          <cell r="D240">
            <v>23342</v>
          </cell>
        </row>
        <row r="241">
          <cell r="A241">
            <v>142276</v>
          </cell>
          <cell r="B241" t="str">
            <v>Idaho St.</v>
          </cell>
          <cell r="C241" t="str">
            <v>Big Sky</v>
          </cell>
          <cell r="D241">
            <v>23265</v>
          </cell>
        </row>
        <row r="242">
          <cell r="A242">
            <v>196097</v>
          </cell>
          <cell r="B242" t="str">
            <v>Stony Brook</v>
          </cell>
          <cell r="C242" t="str">
            <v>America East</v>
          </cell>
          <cell r="D242">
            <v>23089</v>
          </cell>
        </row>
        <row r="243">
          <cell r="A243">
            <v>122755</v>
          </cell>
          <cell r="B243" t="str">
            <v>San Jose St.</v>
          </cell>
          <cell r="C243" t="str">
            <v>Mountain West</v>
          </cell>
          <cell r="D243">
            <v>23036</v>
          </cell>
        </row>
        <row r="244">
          <cell r="A244">
            <v>227757</v>
          </cell>
          <cell r="B244" t="str">
            <v>Rice</v>
          </cell>
          <cell r="C244" t="str">
            <v>CUSA</v>
          </cell>
          <cell r="D244">
            <v>22741</v>
          </cell>
        </row>
        <row r="245">
          <cell r="A245">
            <v>212054</v>
          </cell>
          <cell r="B245" t="str">
            <v>Drexel</v>
          </cell>
          <cell r="C245" t="str">
            <v>CAA</v>
          </cell>
          <cell r="D245">
            <v>22555</v>
          </cell>
        </row>
        <row r="246">
          <cell r="A246">
            <v>136172</v>
          </cell>
          <cell r="B246" t="str">
            <v>North Florida</v>
          </cell>
          <cell r="C246" t="str">
            <v>ASUN</v>
          </cell>
          <cell r="D246">
            <v>22506</v>
          </cell>
        </row>
        <row r="247">
          <cell r="A247">
            <v>221847</v>
          </cell>
          <cell r="B247" t="str">
            <v>Tennessee Tech</v>
          </cell>
          <cell r="C247" t="str">
            <v>OVC</v>
          </cell>
          <cell r="D247">
            <v>22471</v>
          </cell>
        </row>
        <row r="248">
          <cell r="A248">
            <v>215655</v>
          </cell>
          <cell r="B248" t="str">
            <v>Robert Morris</v>
          </cell>
          <cell r="C248" t="str">
            <v>NEC</v>
          </cell>
          <cell r="D248">
            <v>22297</v>
          </cell>
        </row>
        <row r="249">
          <cell r="A249">
            <v>133951</v>
          </cell>
          <cell r="B249" t="str">
            <v>FIU</v>
          </cell>
          <cell r="C249" t="str">
            <v>CUSA</v>
          </cell>
          <cell r="D249">
            <v>22111</v>
          </cell>
        </row>
        <row r="250">
          <cell r="A250">
            <v>191649</v>
          </cell>
          <cell r="B250" t="str">
            <v>Hofstra</v>
          </cell>
          <cell r="C250" t="str">
            <v>CAA</v>
          </cell>
          <cell r="D250">
            <v>22023</v>
          </cell>
        </row>
        <row r="251">
          <cell r="A251">
            <v>189705</v>
          </cell>
          <cell r="B251" t="str">
            <v>Canisius</v>
          </cell>
          <cell r="C251" t="str">
            <v>MAAC</v>
          </cell>
          <cell r="D251">
            <v>21998</v>
          </cell>
        </row>
        <row r="252">
          <cell r="A252">
            <v>233277</v>
          </cell>
          <cell r="B252" t="str">
            <v>Radford</v>
          </cell>
          <cell r="C252" t="str">
            <v>Big South</v>
          </cell>
          <cell r="D252">
            <v>21972</v>
          </cell>
        </row>
        <row r="253">
          <cell r="A253">
            <v>129525</v>
          </cell>
          <cell r="B253" t="str">
            <v>Hartford</v>
          </cell>
          <cell r="C253" t="str">
            <v>America East</v>
          </cell>
          <cell r="D253">
            <v>21955</v>
          </cell>
        </row>
        <row r="254">
          <cell r="A254">
            <v>213385</v>
          </cell>
          <cell r="B254" t="str">
            <v>Lafayette</v>
          </cell>
          <cell r="C254" t="str">
            <v>Patriot</v>
          </cell>
          <cell r="D254">
            <v>21423</v>
          </cell>
        </row>
        <row r="255">
          <cell r="A255">
            <v>127741</v>
          </cell>
          <cell r="B255" t="str">
            <v>Northern Colo.</v>
          </cell>
          <cell r="C255" t="str">
            <v>Big Sky</v>
          </cell>
          <cell r="D255">
            <v>21198</v>
          </cell>
        </row>
        <row r="256">
          <cell r="A256">
            <v>102368</v>
          </cell>
          <cell r="B256" t="str">
            <v>Troy</v>
          </cell>
          <cell r="C256" t="str">
            <v>Sun Belt</v>
          </cell>
          <cell r="D256">
            <v>21034</v>
          </cell>
        </row>
        <row r="257">
          <cell r="A257">
            <v>232937</v>
          </cell>
          <cell r="B257" t="str">
            <v>Norfolk St.</v>
          </cell>
          <cell r="C257" t="str">
            <v>MEAC</v>
          </cell>
          <cell r="D257">
            <v>20942</v>
          </cell>
        </row>
        <row r="258">
          <cell r="A258">
            <v>219976</v>
          </cell>
          <cell r="B258" t="str">
            <v>Lipscomb</v>
          </cell>
          <cell r="C258" t="str">
            <v>ASUN</v>
          </cell>
          <cell r="D258">
            <v>20877</v>
          </cell>
        </row>
        <row r="259">
          <cell r="A259">
            <v>200004</v>
          </cell>
          <cell r="B259" t="str">
            <v>Western Caro.</v>
          </cell>
          <cell r="C259" t="str">
            <v>SoCon</v>
          </cell>
          <cell r="D259">
            <v>20869</v>
          </cell>
        </row>
        <row r="260">
          <cell r="A260">
            <v>149772</v>
          </cell>
          <cell r="B260" t="str">
            <v>Western Ill.</v>
          </cell>
          <cell r="C260" t="str">
            <v>Summit League</v>
          </cell>
          <cell r="D260">
            <v>20679</v>
          </cell>
        </row>
        <row r="261">
          <cell r="A261">
            <v>197197</v>
          </cell>
          <cell r="B261" t="str">
            <v>Wagner</v>
          </cell>
          <cell r="C261" t="str">
            <v>NEC</v>
          </cell>
          <cell r="D261">
            <v>20436</v>
          </cell>
        </row>
        <row r="262">
          <cell r="A262">
            <v>221838</v>
          </cell>
          <cell r="B262" t="str">
            <v>Tennessee St.</v>
          </cell>
          <cell r="C262" t="str">
            <v>OVC</v>
          </cell>
          <cell r="D262">
            <v>20378</v>
          </cell>
        </row>
        <row r="263">
          <cell r="A263">
            <v>160621</v>
          </cell>
          <cell r="B263" t="str">
            <v>Southern U.</v>
          </cell>
          <cell r="C263" t="str">
            <v>SWAC</v>
          </cell>
          <cell r="D263">
            <v>20357</v>
          </cell>
        </row>
        <row r="264">
          <cell r="A264">
            <v>133669</v>
          </cell>
          <cell r="B264" t="str">
            <v>Fla. Atlantic</v>
          </cell>
          <cell r="C264" t="str">
            <v>CUSA</v>
          </cell>
          <cell r="D264">
            <v>20188</v>
          </cell>
        </row>
        <row r="265">
          <cell r="A265">
            <v>230603</v>
          </cell>
          <cell r="B265" t="str">
            <v>Southern Utah</v>
          </cell>
          <cell r="C265" t="str">
            <v>Big Sky</v>
          </cell>
          <cell r="D265">
            <v>20130</v>
          </cell>
        </row>
        <row r="266">
          <cell r="A266">
            <v>486840</v>
          </cell>
          <cell r="B266" t="str">
            <v>Kennesaw St.</v>
          </cell>
          <cell r="C266" t="str">
            <v>ASUN</v>
          </cell>
          <cell r="D266">
            <v>20090</v>
          </cell>
        </row>
        <row r="267">
          <cell r="A267">
            <v>198561</v>
          </cell>
          <cell r="B267" t="str">
            <v>Gardner-Webb</v>
          </cell>
          <cell r="C267" t="str">
            <v>Big South</v>
          </cell>
          <cell r="D267">
            <v>20059</v>
          </cell>
        </row>
        <row r="268">
          <cell r="A268">
            <v>102049</v>
          </cell>
          <cell r="B268" t="str">
            <v>Samford</v>
          </cell>
          <cell r="C268" t="str">
            <v>SoCon</v>
          </cell>
          <cell r="D268">
            <v>19711</v>
          </cell>
        </row>
        <row r="269">
          <cell r="A269">
            <v>166124</v>
          </cell>
          <cell r="B269" t="str">
            <v>Holy Cross</v>
          </cell>
          <cell r="C269" t="str">
            <v>Patriot</v>
          </cell>
          <cell r="D269">
            <v>19683</v>
          </cell>
        </row>
        <row r="270">
          <cell r="A270">
            <v>500001</v>
          </cell>
          <cell r="B270" t="str">
            <v>Army West Point</v>
          </cell>
          <cell r="C270" t="str">
            <v>Patriot</v>
          </cell>
          <cell r="D270">
            <v>19583</v>
          </cell>
        </row>
        <row r="271">
          <cell r="A271">
            <v>198516</v>
          </cell>
          <cell r="B271" t="str">
            <v>Elon</v>
          </cell>
          <cell r="C271" t="str">
            <v>SoCon</v>
          </cell>
          <cell r="D271">
            <v>19349</v>
          </cell>
        </row>
        <row r="272">
          <cell r="A272">
            <v>181394</v>
          </cell>
          <cell r="B272" t="str">
            <v>Omaha</v>
          </cell>
          <cell r="C272" t="str">
            <v>Summit League</v>
          </cell>
          <cell r="D272">
            <v>19154</v>
          </cell>
        </row>
        <row r="273">
          <cell r="A273">
            <v>100654</v>
          </cell>
          <cell r="B273" t="str">
            <v>Alabama A&amp;M</v>
          </cell>
          <cell r="C273" t="str">
            <v>SWAC</v>
          </cell>
          <cell r="D273">
            <v>19088</v>
          </cell>
        </row>
        <row r="274">
          <cell r="A274">
            <v>227526</v>
          </cell>
          <cell r="B274" t="str">
            <v>Prairie View</v>
          </cell>
          <cell r="C274" t="str">
            <v>SWAC</v>
          </cell>
          <cell r="D274">
            <v>19022</v>
          </cell>
        </row>
        <row r="275">
          <cell r="A275">
            <v>110565</v>
          </cell>
          <cell r="B275" t="str">
            <v>Cal St. Fullerton</v>
          </cell>
          <cell r="C275" t="str">
            <v>Big West</v>
          </cell>
          <cell r="D275">
            <v>18956</v>
          </cell>
        </row>
        <row r="276">
          <cell r="A276">
            <v>193973</v>
          </cell>
          <cell r="B276" t="str">
            <v>Niagara</v>
          </cell>
          <cell r="C276" t="str">
            <v>MAAC</v>
          </cell>
          <cell r="D276">
            <v>18915</v>
          </cell>
        </row>
        <row r="277">
          <cell r="A277">
            <v>101480</v>
          </cell>
          <cell r="B277" t="str">
            <v>Jacksonville St.</v>
          </cell>
          <cell r="C277" t="str">
            <v>OVC</v>
          </cell>
          <cell r="D277">
            <v>18723</v>
          </cell>
        </row>
        <row r="278">
          <cell r="A278">
            <v>142285</v>
          </cell>
          <cell r="B278" t="str">
            <v>Idaho</v>
          </cell>
          <cell r="C278" t="str">
            <v>WAC</v>
          </cell>
          <cell r="D278">
            <v>18585</v>
          </cell>
        </row>
        <row r="279">
          <cell r="A279">
            <v>190415</v>
          </cell>
          <cell r="B279" t="str">
            <v>Cornell</v>
          </cell>
          <cell r="C279" t="str">
            <v>Ivy League</v>
          </cell>
          <cell r="D279">
            <v>18497</v>
          </cell>
        </row>
        <row r="280">
          <cell r="A280">
            <v>186283</v>
          </cell>
          <cell r="B280" t="str">
            <v>Rider</v>
          </cell>
          <cell r="C280" t="str">
            <v>MAAC</v>
          </cell>
          <cell r="D280">
            <v>18381</v>
          </cell>
        </row>
        <row r="281">
          <cell r="A281">
            <v>159993</v>
          </cell>
          <cell r="B281" t="str">
            <v>ULM</v>
          </cell>
          <cell r="C281" t="str">
            <v>Sun Belt</v>
          </cell>
          <cell r="D281">
            <v>18153</v>
          </cell>
        </row>
        <row r="282">
          <cell r="A282">
            <v>163462</v>
          </cell>
          <cell r="B282" t="str">
            <v>Mount St. Mary's</v>
          </cell>
          <cell r="C282" t="str">
            <v>NEC</v>
          </cell>
          <cell r="D282">
            <v>18066</v>
          </cell>
        </row>
        <row r="283">
          <cell r="A283">
            <v>105330</v>
          </cell>
          <cell r="B283" t="str">
            <v>Northern Ariz.</v>
          </cell>
          <cell r="C283" t="str">
            <v>Big Sky</v>
          </cell>
          <cell r="D283">
            <v>17755</v>
          </cell>
        </row>
        <row r="284">
          <cell r="A284">
            <v>192819</v>
          </cell>
          <cell r="B284" t="str">
            <v>Marist</v>
          </cell>
          <cell r="C284" t="str">
            <v>MAAC</v>
          </cell>
          <cell r="D284">
            <v>17477</v>
          </cell>
        </row>
        <row r="285">
          <cell r="A285">
            <v>159009</v>
          </cell>
          <cell r="B285" t="str">
            <v>Grambling</v>
          </cell>
          <cell r="C285" t="str">
            <v>SWAC</v>
          </cell>
          <cell r="D285">
            <v>17452</v>
          </cell>
        </row>
        <row r="286">
          <cell r="A286">
            <v>121150</v>
          </cell>
          <cell r="B286" t="str">
            <v>Pepperdine</v>
          </cell>
          <cell r="C286" t="str">
            <v>WCC</v>
          </cell>
          <cell r="D286">
            <v>17371</v>
          </cell>
        </row>
        <row r="287">
          <cell r="A287">
            <v>139931</v>
          </cell>
          <cell r="B287" t="str">
            <v>Ga. Southern</v>
          </cell>
          <cell r="C287" t="str">
            <v>SoCon</v>
          </cell>
          <cell r="D287">
            <v>17360</v>
          </cell>
        </row>
        <row r="288">
          <cell r="A288">
            <v>147703</v>
          </cell>
          <cell r="B288" t="str">
            <v>NIU</v>
          </cell>
          <cell r="C288" t="str">
            <v>MAC</v>
          </cell>
          <cell r="D288">
            <v>17202</v>
          </cell>
        </row>
        <row r="289">
          <cell r="A289">
            <v>169798</v>
          </cell>
          <cell r="B289" t="str">
            <v>Eastern Mich.</v>
          </cell>
          <cell r="C289" t="str">
            <v>MAC</v>
          </cell>
          <cell r="D289">
            <v>17114</v>
          </cell>
        </row>
        <row r="290">
          <cell r="A290">
            <v>163268</v>
          </cell>
          <cell r="B290" t="str">
            <v>UMBC</v>
          </cell>
          <cell r="C290" t="str">
            <v>America East</v>
          </cell>
          <cell r="D290">
            <v>17072</v>
          </cell>
        </row>
        <row r="291">
          <cell r="A291">
            <v>161253</v>
          </cell>
          <cell r="B291" t="str">
            <v>Maine</v>
          </cell>
          <cell r="C291" t="str">
            <v>America East</v>
          </cell>
          <cell r="D291">
            <v>17059</v>
          </cell>
        </row>
        <row r="292">
          <cell r="A292">
            <v>133650</v>
          </cell>
          <cell r="B292" t="str">
            <v>Florida A&amp;M</v>
          </cell>
          <cell r="C292" t="str">
            <v>MEAC</v>
          </cell>
          <cell r="D292">
            <v>17057</v>
          </cell>
        </row>
        <row r="293">
          <cell r="A293">
            <v>198695</v>
          </cell>
          <cell r="B293" t="str">
            <v>High Point</v>
          </cell>
          <cell r="C293" t="str">
            <v>Big South</v>
          </cell>
          <cell r="D293">
            <v>17044</v>
          </cell>
        </row>
        <row r="294">
          <cell r="A294">
            <v>235097</v>
          </cell>
          <cell r="B294" t="str">
            <v>Eastern Wash.</v>
          </cell>
          <cell r="C294" t="str">
            <v>Big Sky</v>
          </cell>
          <cell r="D294">
            <v>16926</v>
          </cell>
        </row>
        <row r="295">
          <cell r="A295">
            <v>134945</v>
          </cell>
          <cell r="B295" t="str">
            <v>Jacksonville</v>
          </cell>
          <cell r="C295" t="str">
            <v>ASUN</v>
          </cell>
          <cell r="D295">
            <v>16882</v>
          </cell>
        </row>
        <row r="296">
          <cell r="A296">
            <v>176044</v>
          </cell>
          <cell r="B296" t="str">
            <v>Mississippi Val.</v>
          </cell>
          <cell r="C296" t="str">
            <v>SWAC</v>
          </cell>
          <cell r="D296">
            <v>16871</v>
          </cell>
        </row>
        <row r="297">
          <cell r="A297">
            <v>204024</v>
          </cell>
          <cell r="B297" t="str">
            <v>Miami (OH)</v>
          </cell>
          <cell r="C297" t="str">
            <v>MAC</v>
          </cell>
          <cell r="D297">
            <v>16816</v>
          </cell>
        </row>
        <row r="298">
          <cell r="A298">
            <v>164988</v>
          </cell>
          <cell r="B298" t="str">
            <v>Boston U.</v>
          </cell>
          <cell r="C298" t="str">
            <v>Patriot</v>
          </cell>
          <cell r="D298">
            <v>16713</v>
          </cell>
        </row>
        <row r="299">
          <cell r="A299">
            <v>232566</v>
          </cell>
          <cell r="B299" t="str">
            <v>Longwood</v>
          </cell>
          <cell r="C299" t="str">
            <v>Big South</v>
          </cell>
          <cell r="D299">
            <v>16564</v>
          </cell>
        </row>
        <row r="300">
          <cell r="A300">
            <v>110486</v>
          </cell>
          <cell r="B300" t="str">
            <v>CSU Bakersfield</v>
          </cell>
          <cell r="C300" t="str">
            <v>WAC</v>
          </cell>
          <cell r="D300">
            <v>16438</v>
          </cell>
        </row>
        <row r="301">
          <cell r="A301">
            <v>218070</v>
          </cell>
          <cell r="B301" t="str">
            <v>Furman</v>
          </cell>
          <cell r="C301" t="str">
            <v>SoCon</v>
          </cell>
          <cell r="D301">
            <v>16247</v>
          </cell>
        </row>
        <row r="302">
          <cell r="A302">
            <v>128771</v>
          </cell>
          <cell r="B302" t="str">
            <v>Central Conn. St.</v>
          </cell>
          <cell r="C302" t="str">
            <v>NEC</v>
          </cell>
          <cell r="D302">
            <v>16207</v>
          </cell>
        </row>
        <row r="303">
          <cell r="A303">
            <v>218973</v>
          </cell>
          <cell r="B303" t="str">
            <v>Wofford</v>
          </cell>
          <cell r="C303" t="str">
            <v>SoCon</v>
          </cell>
          <cell r="D303">
            <v>16181</v>
          </cell>
        </row>
        <row r="304">
          <cell r="A304">
            <v>197869</v>
          </cell>
          <cell r="B304" t="str">
            <v>App State</v>
          </cell>
          <cell r="C304" t="str">
            <v>SoCon</v>
          </cell>
          <cell r="D304">
            <v>15815</v>
          </cell>
        </row>
        <row r="305">
          <cell r="A305">
            <v>217165</v>
          </cell>
          <cell r="B305" t="str">
            <v>Bryant</v>
          </cell>
          <cell r="C305" t="str">
            <v>NEC</v>
          </cell>
          <cell r="D305">
            <v>15694</v>
          </cell>
        </row>
        <row r="306">
          <cell r="A306">
            <v>213543</v>
          </cell>
          <cell r="B306" t="str">
            <v>Lehigh</v>
          </cell>
          <cell r="C306" t="str">
            <v>Patriot</v>
          </cell>
          <cell r="D306">
            <v>15674</v>
          </cell>
        </row>
        <row r="307">
          <cell r="A307">
            <v>217864</v>
          </cell>
          <cell r="B307" t="str">
            <v>The Citadel</v>
          </cell>
          <cell r="C307" t="str">
            <v>SoCon</v>
          </cell>
          <cell r="D307">
            <v>15328</v>
          </cell>
        </row>
        <row r="308">
          <cell r="A308">
            <v>227881</v>
          </cell>
          <cell r="B308" t="str">
            <v>Sam Houston</v>
          </cell>
          <cell r="C308" t="str">
            <v>Southland</v>
          </cell>
          <cell r="D308">
            <v>15186</v>
          </cell>
        </row>
        <row r="309">
          <cell r="A309">
            <v>229027</v>
          </cell>
          <cell r="B309" t="str">
            <v>UTSA</v>
          </cell>
          <cell r="C309" t="str">
            <v>CUSA</v>
          </cell>
          <cell r="D309">
            <v>14985</v>
          </cell>
        </row>
        <row r="310">
          <cell r="A310">
            <v>209807</v>
          </cell>
          <cell r="B310" t="str">
            <v>Portland St.</v>
          </cell>
          <cell r="C310" t="str">
            <v>Big Sky</v>
          </cell>
          <cell r="D310">
            <v>14831</v>
          </cell>
        </row>
        <row r="311">
          <cell r="A311">
            <v>217156</v>
          </cell>
          <cell r="B311" t="str">
            <v>Brown</v>
          </cell>
          <cell r="C311" t="str">
            <v>Ivy League</v>
          </cell>
          <cell r="D311">
            <v>14577</v>
          </cell>
        </row>
        <row r="312">
          <cell r="A312">
            <v>106704</v>
          </cell>
          <cell r="B312" t="str">
            <v>Central Ark.</v>
          </cell>
          <cell r="C312" t="str">
            <v>Southland</v>
          </cell>
          <cell r="D312">
            <v>14324</v>
          </cell>
        </row>
        <row r="313">
          <cell r="A313">
            <v>215743</v>
          </cell>
          <cell r="B313" t="str">
            <v>Saint Francis</v>
          </cell>
          <cell r="C313" t="str">
            <v>NEC</v>
          </cell>
          <cell r="D313">
            <v>14313</v>
          </cell>
        </row>
        <row r="314">
          <cell r="A314">
            <v>167358</v>
          </cell>
          <cell r="B314" t="str">
            <v>Northeastern</v>
          </cell>
          <cell r="C314" t="str">
            <v>CAA</v>
          </cell>
          <cell r="D314">
            <v>14090</v>
          </cell>
        </row>
        <row r="315">
          <cell r="A315">
            <v>110671</v>
          </cell>
          <cell r="B315" t="str">
            <v>UC Riverside</v>
          </cell>
          <cell r="C315" t="str">
            <v>Big West</v>
          </cell>
          <cell r="D315">
            <v>13691</v>
          </cell>
        </row>
        <row r="316">
          <cell r="A316">
            <v>227368</v>
          </cell>
          <cell r="B316" t="str">
            <v>UTRGV</v>
          </cell>
          <cell r="C316" t="str">
            <v>WAC</v>
          </cell>
          <cell r="D316">
            <v>13684</v>
          </cell>
        </row>
        <row r="317">
          <cell r="A317">
            <v>151102</v>
          </cell>
          <cell r="B317" t="str">
            <v>Purdue Fort Wayne</v>
          </cell>
          <cell r="C317" t="str">
            <v>Summit League</v>
          </cell>
          <cell r="D317">
            <v>13614</v>
          </cell>
        </row>
        <row r="318">
          <cell r="A318">
            <v>132602</v>
          </cell>
          <cell r="B318" t="str">
            <v>Bethune-Cookman</v>
          </cell>
          <cell r="C318" t="str">
            <v>MEAC</v>
          </cell>
          <cell r="D318">
            <v>13498</v>
          </cell>
        </row>
        <row r="319">
          <cell r="A319">
            <v>222178</v>
          </cell>
          <cell r="B319" t="str">
            <v>Abilene Christian</v>
          </cell>
          <cell r="C319" t="str">
            <v>Southland</v>
          </cell>
          <cell r="D319">
            <v>13350</v>
          </cell>
        </row>
        <row r="320">
          <cell r="A320">
            <v>130794</v>
          </cell>
          <cell r="B320" t="str">
            <v>Yale</v>
          </cell>
          <cell r="C320" t="str">
            <v>Ivy League</v>
          </cell>
          <cell r="D320">
            <v>13302</v>
          </cell>
        </row>
        <row r="321">
          <cell r="A321">
            <v>144005</v>
          </cell>
          <cell r="B321" t="str">
            <v>Chicago St.</v>
          </cell>
          <cell r="C321" t="str">
            <v>WAC</v>
          </cell>
          <cell r="D321">
            <v>13119</v>
          </cell>
        </row>
        <row r="322">
          <cell r="A322">
            <v>144892</v>
          </cell>
          <cell r="B322" t="str">
            <v>Eastern Ill.</v>
          </cell>
          <cell r="C322" t="str">
            <v>OVC</v>
          </cell>
          <cell r="D322">
            <v>12961</v>
          </cell>
        </row>
        <row r="323">
          <cell r="A323">
            <v>163046</v>
          </cell>
          <cell r="B323" t="str">
            <v>Loyola Maryland</v>
          </cell>
          <cell r="C323" t="str">
            <v>Patriot</v>
          </cell>
          <cell r="D323">
            <v>12837</v>
          </cell>
        </row>
        <row r="324">
          <cell r="A324">
            <v>162283</v>
          </cell>
          <cell r="B324" t="str">
            <v>Coppin St.</v>
          </cell>
          <cell r="C324" t="str">
            <v>MEAC</v>
          </cell>
          <cell r="D324">
            <v>12770</v>
          </cell>
        </row>
        <row r="325">
          <cell r="A325">
            <v>131520</v>
          </cell>
          <cell r="B325" t="str">
            <v>Howard</v>
          </cell>
          <cell r="C325" t="str">
            <v>MEAC</v>
          </cell>
          <cell r="D325">
            <v>12728</v>
          </cell>
        </row>
        <row r="326">
          <cell r="A326">
            <v>224147</v>
          </cell>
          <cell r="B326" t="str">
            <v>A&amp;M-Corpus Christi</v>
          </cell>
          <cell r="C326" t="str">
            <v>Southland</v>
          </cell>
          <cell r="D326">
            <v>12492</v>
          </cell>
        </row>
        <row r="327">
          <cell r="A327">
            <v>175856</v>
          </cell>
          <cell r="B327" t="str">
            <v>Jackson St.</v>
          </cell>
          <cell r="C327" t="str">
            <v>SWAC</v>
          </cell>
          <cell r="D327">
            <v>12197</v>
          </cell>
        </row>
        <row r="328">
          <cell r="A328">
            <v>182670</v>
          </cell>
          <cell r="B328" t="str">
            <v>Dartmouth</v>
          </cell>
          <cell r="C328" t="str">
            <v>Ivy League</v>
          </cell>
          <cell r="D328">
            <v>12115</v>
          </cell>
        </row>
        <row r="329">
          <cell r="A329">
            <v>110608</v>
          </cell>
          <cell r="B329" t="str">
            <v>CSUN</v>
          </cell>
          <cell r="C329" t="str">
            <v>Big West</v>
          </cell>
          <cell r="D329">
            <v>12079</v>
          </cell>
        </row>
        <row r="330">
          <cell r="A330">
            <v>130934</v>
          </cell>
          <cell r="B330" t="str">
            <v>Delaware St.</v>
          </cell>
          <cell r="C330" t="str">
            <v>MEAC</v>
          </cell>
          <cell r="D330">
            <v>12047</v>
          </cell>
        </row>
        <row r="331">
          <cell r="A331">
            <v>166513</v>
          </cell>
          <cell r="B331" t="str">
            <v>UMass Lowell</v>
          </cell>
          <cell r="C331" t="str">
            <v>America East</v>
          </cell>
          <cell r="D331">
            <v>10696</v>
          </cell>
        </row>
        <row r="332">
          <cell r="A332">
            <v>190099</v>
          </cell>
          <cell r="B332" t="str">
            <v>Colgate</v>
          </cell>
          <cell r="C332" t="str">
            <v>Patriot</v>
          </cell>
          <cell r="D332">
            <v>10449</v>
          </cell>
        </row>
        <row r="333">
          <cell r="A333">
            <v>110617</v>
          </cell>
          <cell r="B333" t="str">
            <v>Sacramento St.</v>
          </cell>
          <cell r="C333" t="str">
            <v>Big Sky</v>
          </cell>
          <cell r="D333">
            <v>10229</v>
          </cell>
        </row>
        <row r="334">
          <cell r="A334">
            <v>159717</v>
          </cell>
          <cell r="B334" t="str">
            <v>McNeese</v>
          </cell>
          <cell r="C334" t="str">
            <v>Southland</v>
          </cell>
          <cell r="D334">
            <v>10208</v>
          </cell>
        </row>
        <row r="335">
          <cell r="A335">
            <v>218742</v>
          </cell>
          <cell r="B335" t="str">
            <v>USC Upstate</v>
          </cell>
          <cell r="C335" t="str">
            <v>ASUN</v>
          </cell>
          <cell r="D335">
            <v>10176</v>
          </cell>
        </row>
        <row r="336">
          <cell r="A336">
            <v>217688</v>
          </cell>
          <cell r="B336" t="str">
            <v>Charleston So.</v>
          </cell>
          <cell r="C336" t="str">
            <v>Big South</v>
          </cell>
          <cell r="D336">
            <v>10067</v>
          </cell>
        </row>
        <row r="337">
          <cell r="A337">
            <v>175342</v>
          </cell>
          <cell r="B337" t="str">
            <v>Alcorn</v>
          </cell>
          <cell r="C337" t="str">
            <v>SWAC</v>
          </cell>
          <cell r="D337">
            <v>10050</v>
          </cell>
        </row>
        <row r="338">
          <cell r="A338">
            <v>225627</v>
          </cell>
          <cell r="B338" t="str">
            <v>UIW</v>
          </cell>
          <cell r="C338" t="str">
            <v>Southland</v>
          </cell>
          <cell r="D338">
            <v>9779</v>
          </cell>
        </row>
        <row r="339">
          <cell r="A339">
            <v>159939</v>
          </cell>
          <cell r="B339" t="str">
            <v>New Orleans</v>
          </cell>
          <cell r="C339" t="str">
            <v>Southland</v>
          </cell>
          <cell r="D339">
            <v>9588</v>
          </cell>
        </row>
        <row r="340">
          <cell r="A340">
            <v>151111</v>
          </cell>
          <cell r="B340" t="str">
            <v>IU Indy</v>
          </cell>
          <cell r="C340" t="str">
            <v>Summit League</v>
          </cell>
          <cell r="D340">
            <v>9225</v>
          </cell>
        </row>
        <row r="341">
          <cell r="A341">
            <v>225399</v>
          </cell>
          <cell r="B341" t="str">
            <v>Houston Christian</v>
          </cell>
          <cell r="C341" t="str">
            <v>Southland</v>
          </cell>
          <cell r="D341">
            <v>9112</v>
          </cell>
        </row>
        <row r="342">
          <cell r="A342">
            <v>185828</v>
          </cell>
          <cell r="B342" t="str">
            <v>NJIT</v>
          </cell>
          <cell r="C342" t="str">
            <v>Independent</v>
          </cell>
          <cell r="D342">
            <v>8757</v>
          </cell>
        </row>
        <row r="343">
          <cell r="A343">
            <v>218539</v>
          </cell>
          <cell r="B343" t="str">
            <v>Presbyterian</v>
          </cell>
          <cell r="C343" t="str">
            <v>Big South</v>
          </cell>
          <cell r="D343">
            <v>8749</v>
          </cell>
        </row>
        <row r="344">
          <cell r="A344">
            <v>184603</v>
          </cell>
          <cell r="B344" t="str">
            <v>FDU</v>
          </cell>
          <cell r="C344" t="str">
            <v>NEC</v>
          </cell>
          <cell r="D344">
            <v>8605</v>
          </cell>
        </row>
        <row r="345">
          <cell r="A345">
            <v>137546</v>
          </cell>
          <cell r="B345" t="str">
            <v>Stetson</v>
          </cell>
          <cell r="C345" t="str">
            <v>ASUN</v>
          </cell>
          <cell r="D345">
            <v>8583</v>
          </cell>
        </row>
        <row r="346">
          <cell r="A346">
            <v>183044</v>
          </cell>
          <cell r="B346" t="str">
            <v>New Hampshire</v>
          </cell>
          <cell r="C346" t="str">
            <v>America East</v>
          </cell>
          <cell r="D346">
            <v>7454</v>
          </cell>
        </row>
        <row r="347">
          <cell r="A347">
            <v>218733</v>
          </cell>
          <cell r="B347" t="str">
            <v>South Carolina St.</v>
          </cell>
          <cell r="C347" t="str">
            <v>MEAC</v>
          </cell>
          <cell r="D347">
            <v>7197</v>
          </cell>
        </row>
        <row r="348">
          <cell r="A348">
            <v>160612</v>
          </cell>
          <cell r="B348" t="str">
            <v>Southeastern La.</v>
          </cell>
          <cell r="C348" t="str">
            <v>Southland</v>
          </cell>
          <cell r="D348">
            <v>6812</v>
          </cell>
        </row>
        <row r="349">
          <cell r="A349">
            <v>195173</v>
          </cell>
          <cell r="B349" t="str">
            <v>St. Francis Brooklyn</v>
          </cell>
          <cell r="C349" t="str">
            <v>NEC</v>
          </cell>
          <cell r="D349">
            <v>6567</v>
          </cell>
        </row>
        <row r="350">
          <cell r="A350">
            <v>159966</v>
          </cell>
          <cell r="B350" t="str">
            <v>Nicholls</v>
          </cell>
          <cell r="C350" t="str">
            <v>Southland</v>
          </cell>
          <cell r="D350">
            <v>6243</v>
          </cell>
        </row>
        <row r="351">
          <cell r="A351">
            <v>130253</v>
          </cell>
          <cell r="B351" t="str">
            <v>Sacred Heart</v>
          </cell>
          <cell r="C351" t="str">
            <v>NEC</v>
          </cell>
          <cell r="D351">
            <v>5672</v>
          </cell>
        </row>
        <row r="352">
          <cell r="A352">
            <v>186432</v>
          </cell>
          <cell r="B352" t="str">
            <v>Saint Peter's</v>
          </cell>
          <cell r="C352" t="str">
            <v>MAAC</v>
          </cell>
          <cell r="D352">
            <v>3933</v>
          </cell>
        </row>
      </sheetData>
      <sheetData sheetId="7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157085</v>
          </cell>
          <cell r="B2" t="str">
            <v>Kentucky</v>
          </cell>
          <cell r="C2" t="str">
            <v>SEC</v>
          </cell>
          <cell r="D2">
            <v>447874</v>
          </cell>
        </row>
        <row r="3">
          <cell r="A3">
            <v>196413</v>
          </cell>
          <cell r="B3" t="str">
            <v>Syracuse</v>
          </cell>
          <cell r="C3" t="str">
            <v>ACC</v>
          </cell>
          <cell r="D3">
            <v>429378</v>
          </cell>
        </row>
        <row r="4">
          <cell r="A4">
            <v>157289</v>
          </cell>
          <cell r="B4" t="str">
            <v>Louisville</v>
          </cell>
          <cell r="C4" t="str">
            <v>ACC</v>
          </cell>
          <cell r="D4">
            <v>406338</v>
          </cell>
        </row>
        <row r="5">
          <cell r="A5">
            <v>151351</v>
          </cell>
          <cell r="B5" t="str">
            <v>Indiana</v>
          </cell>
          <cell r="C5" t="str">
            <v>Big Ten</v>
          </cell>
          <cell r="D5">
            <v>309477</v>
          </cell>
        </row>
        <row r="6">
          <cell r="A6">
            <v>199193</v>
          </cell>
          <cell r="B6" t="str">
            <v>NC State</v>
          </cell>
          <cell r="C6" t="str">
            <v>ACC</v>
          </cell>
          <cell r="D6">
            <v>308726</v>
          </cell>
        </row>
        <row r="7">
          <cell r="A7">
            <v>106397</v>
          </cell>
          <cell r="B7" t="str">
            <v>Arkansas</v>
          </cell>
          <cell r="C7" t="str">
            <v>SEC</v>
          </cell>
          <cell r="D7">
            <v>294860</v>
          </cell>
        </row>
        <row r="8">
          <cell r="A8">
            <v>199120</v>
          </cell>
          <cell r="B8" t="str">
            <v>North Carolina</v>
          </cell>
          <cell r="C8" t="str">
            <v>ACC</v>
          </cell>
          <cell r="D8">
            <v>293723</v>
          </cell>
        </row>
        <row r="9">
          <cell r="A9">
            <v>204796</v>
          </cell>
          <cell r="B9" t="str">
            <v>Ohio St.</v>
          </cell>
          <cell r="C9" t="str">
            <v>Big Ten</v>
          </cell>
          <cell r="D9">
            <v>292968</v>
          </cell>
        </row>
        <row r="10">
          <cell r="A10">
            <v>181002</v>
          </cell>
          <cell r="B10" t="str">
            <v>Creighton</v>
          </cell>
          <cell r="C10" t="str">
            <v>Big East</v>
          </cell>
          <cell r="D10">
            <v>289808</v>
          </cell>
        </row>
        <row r="11">
          <cell r="A11">
            <v>240444</v>
          </cell>
          <cell r="B11" t="str">
            <v>Wisconsin</v>
          </cell>
          <cell r="C11" t="str">
            <v>Big Ten</v>
          </cell>
          <cell r="D11">
            <v>276464</v>
          </cell>
        </row>
        <row r="12">
          <cell r="A12">
            <v>155317</v>
          </cell>
          <cell r="B12" t="str">
            <v>Kansas</v>
          </cell>
          <cell r="C12" t="str">
            <v>Big 12</v>
          </cell>
          <cell r="D12">
            <v>262127</v>
          </cell>
        </row>
        <row r="13">
          <cell r="A13">
            <v>230038</v>
          </cell>
          <cell r="B13" t="str">
            <v>BYU</v>
          </cell>
          <cell r="C13" t="str">
            <v>WCC</v>
          </cell>
          <cell r="D13">
            <v>258002</v>
          </cell>
        </row>
        <row r="14">
          <cell r="A14">
            <v>153658</v>
          </cell>
          <cell r="B14" t="str">
            <v>Iowa</v>
          </cell>
          <cell r="C14" t="str">
            <v>Big Ten</v>
          </cell>
          <cell r="D14">
            <v>253817</v>
          </cell>
        </row>
        <row r="15">
          <cell r="A15">
            <v>220862</v>
          </cell>
          <cell r="B15" t="str">
            <v>Memphis</v>
          </cell>
          <cell r="C15" t="str">
            <v>The American</v>
          </cell>
          <cell r="D15">
            <v>250478</v>
          </cell>
        </row>
        <row r="16">
          <cell r="A16">
            <v>181464</v>
          </cell>
          <cell r="B16" t="str">
            <v>Nebraska</v>
          </cell>
          <cell r="C16" t="str">
            <v>Big Ten</v>
          </cell>
          <cell r="D16">
            <v>249101</v>
          </cell>
        </row>
        <row r="17">
          <cell r="A17">
            <v>104179</v>
          </cell>
          <cell r="B17" t="str">
            <v>Arizona</v>
          </cell>
          <cell r="C17" t="str">
            <v>Pac-12</v>
          </cell>
          <cell r="D17">
            <v>248046</v>
          </cell>
        </row>
        <row r="18">
          <cell r="A18">
            <v>163286</v>
          </cell>
          <cell r="B18" t="str">
            <v>Maryland</v>
          </cell>
          <cell r="C18" t="str">
            <v>Big Ten</v>
          </cell>
          <cell r="D18">
            <v>241197</v>
          </cell>
        </row>
        <row r="19">
          <cell r="A19">
            <v>221759</v>
          </cell>
          <cell r="B19" t="str">
            <v>Tennessee</v>
          </cell>
          <cell r="C19" t="str">
            <v>SEC</v>
          </cell>
          <cell r="D19">
            <v>241025</v>
          </cell>
        </row>
        <row r="20">
          <cell r="A20">
            <v>171100</v>
          </cell>
          <cell r="B20" t="str">
            <v>Michigan St.</v>
          </cell>
          <cell r="C20" t="str">
            <v>Big Ten</v>
          </cell>
          <cell r="D20">
            <v>236752</v>
          </cell>
        </row>
        <row r="21">
          <cell r="A21">
            <v>145637</v>
          </cell>
          <cell r="B21" t="str">
            <v>Illinois</v>
          </cell>
          <cell r="C21" t="str">
            <v>Big Ten</v>
          </cell>
          <cell r="D21">
            <v>234435</v>
          </cell>
        </row>
        <row r="22">
          <cell r="A22">
            <v>239105</v>
          </cell>
          <cell r="B22" t="str">
            <v>Marquette</v>
          </cell>
          <cell r="C22" t="str">
            <v>Big East</v>
          </cell>
          <cell r="D22">
            <v>232161</v>
          </cell>
        </row>
        <row r="23">
          <cell r="A23">
            <v>153603</v>
          </cell>
          <cell r="B23" t="str">
            <v>Iowa St.</v>
          </cell>
          <cell r="C23" t="str">
            <v>Big 12</v>
          </cell>
          <cell r="D23">
            <v>228714</v>
          </cell>
        </row>
        <row r="24">
          <cell r="A24">
            <v>170976</v>
          </cell>
          <cell r="B24" t="str">
            <v>Michigan</v>
          </cell>
          <cell r="C24" t="str">
            <v>Big Ten</v>
          </cell>
          <cell r="D24">
            <v>221690</v>
          </cell>
        </row>
        <row r="25">
          <cell r="A25">
            <v>174066</v>
          </cell>
          <cell r="B25" t="str">
            <v>Minnesota</v>
          </cell>
          <cell r="C25" t="str">
            <v>Big Ten</v>
          </cell>
          <cell r="D25">
            <v>219389</v>
          </cell>
        </row>
        <row r="26">
          <cell r="A26">
            <v>187985</v>
          </cell>
          <cell r="B26" t="str">
            <v>New Mexico</v>
          </cell>
          <cell r="C26" t="str">
            <v>Mountain West</v>
          </cell>
          <cell r="D26">
            <v>218558</v>
          </cell>
        </row>
        <row r="27">
          <cell r="A27">
            <v>234076</v>
          </cell>
          <cell r="B27" t="str">
            <v>Virginia</v>
          </cell>
          <cell r="C27" t="str">
            <v>ACC</v>
          </cell>
          <cell r="D27">
            <v>218493</v>
          </cell>
        </row>
        <row r="28">
          <cell r="A28">
            <v>202480</v>
          </cell>
          <cell r="B28" t="str">
            <v>Dayton</v>
          </cell>
          <cell r="C28" t="str">
            <v>Atlantic 10</v>
          </cell>
          <cell r="D28">
            <v>216203</v>
          </cell>
        </row>
        <row r="29">
          <cell r="A29">
            <v>129020</v>
          </cell>
          <cell r="B29" t="str">
            <v>UConn</v>
          </cell>
          <cell r="C29" t="str">
            <v>The American</v>
          </cell>
          <cell r="D29">
            <v>213738</v>
          </cell>
        </row>
        <row r="30">
          <cell r="A30">
            <v>155399</v>
          </cell>
          <cell r="B30" t="str">
            <v>Kansas St.</v>
          </cell>
          <cell r="C30" t="str">
            <v>Big 12</v>
          </cell>
          <cell r="D30">
            <v>213337</v>
          </cell>
        </row>
        <row r="31">
          <cell r="A31">
            <v>182281</v>
          </cell>
          <cell r="B31" t="str">
            <v>UNLV</v>
          </cell>
          <cell r="C31" t="str">
            <v>Mountain West</v>
          </cell>
          <cell r="D31">
            <v>211622</v>
          </cell>
        </row>
        <row r="32">
          <cell r="A32">
            <v>122409</v>
          </cell>
          <cell r="B32" t="str">
            <v>San Diego St.</v>
          </cell>
          <cell r="C32" t="str">
            <v>Mountain West</v>
          </cell>
          <cell r="D32">
            <v>211038</v>
          </cell>
        </row>
        <row r="33">
          <cell r="A33">
            <v>230764</v>
          </cell>
          <cell r="B33" t="str">
            <v>Utah</v>
          </cell>
          <cell r="C33" t="str">
            <v>Pac-12</v>
          </cell>
          <cell r="D33">
            <v>205717</v>
          </cell>
        </row>
        <row r="34">
          <cell r="A34">
            <v>228778</v>
          </cell>
          <cell r="B34" t="str">
            <v>Texas</v>
          </cell>
          <cell r="C34" t="str">
            <v>Big 12</v>
          </cell>
          <cell r="D34">
            <v>202489</v>
          </cell>
        </row>
        <row r="35">
          <cell r="A35">
            <v>243780</v>
          </cell>
          <cell r="B35" t="str">
            <v>Purdue</v>
          </cell>
          <cell r="C35" t="str">
            <v>Big Ten</v>
          </cell>
          <cell r="D35">
            <v>195884</v>
          </cell>
        </row>
        <row r="36">
          <cell r="A36">
            <v>100751</v>
          </cell>
          <cell r="B36" t="str">
            <v>Alabama</v>
          </cell>
          <cell r="C36" t="str">
            <v>SEC</v>
          </cell>
          <cell r="D36">
            <v>193362</v>
          </cell>
        </row>
        <row r="37">
          <cell r="A37">
            <v>218663</v>
          </cell>
          <cell r="B37" t="str">
            <v>South Carolina</v>
          </cell>
          <cell r="C37" t="str">
            <v>SEC</v>
          </cell>
          <cell r="D37">
            <v>184314</v>
          </cell>
        </row>
        <row r="38">
          <cell r="A38">
            <v>215293</v>
          </cell>
          <cell r="B38" t="str">
            <v>Pittsburgh</v>
          </cell>
          <cell r="C38" t="str">
            <v>ACC</v>
          </cell>
          <cell r="D38">
            <v>180221</v>
          </cell>
        </row>
        <row r="39">
          <cell r="A39">
            <v>199847</v>
          </cell>
          <cell r="B39" t="str">
            <v>Wake Forest</v>
          </cell>
          <cell r="C39" t="str">
            <v>ACC</v>
          </cell>
          <cell r="D39">
            <v>174336</v>
          </cell>
        </row>
        <row r="40">
          <cell r="A40">
            <v>134130</v>
          </cell>
          <cell r="B40" t="str">
            <v>Florida</v>
          </cell>
          <cell r="C40" t="str">
            <v>SEC</v>
          </cell>
          <cell r="D40">
            <v>169123</v>
          </cell>
        </row>
        <row r="41">
          <cell r="A41">
            <v>221999</v>
          </cell>
          <cell r="B41" t="str">
            <v>Vanderbilt</v>
          </cell>
          <cell r="C41" t="str">
            <v>SEC</v>
          </cell>
          <cell r="D41">
            <v>168377</v>
          </cell>
        </row>
        <row r="42">
          <cell r="A42">
            <v>201885</v>
          </cell>
          <cell r="B42" t="str">
            <v>Cincinnati</v>
          </cell>
          <cell r="C42" t="str">
            <v>The American</v>
          </cell>
          <cell r="D42">
            <v>168011</v>
          </cell>
        </row>
        <row r="43">
          <cell r="A43">
            <v>207500</v>
          </cell>
          <cell r="B43" t="str">
            <v>Oklahoma</v>
          </cell>
          <cell r="C43" t="str">
            <v>Big 12</v>
          </cell>
          <cell r="D43">
            <v>166802</v>
          </cell>
        </row>
        <row r="44">
          <cell r="A44">
            <v>156125</v>
          </cell>
          <cell r="B44" t="str">
            <v>Wichita St.</v>
          </cell>
          <cell r="C44" t="str">
            <v>MVC</v>
          </cell>
          <cell r="D44">
            <v>162088</v>
          </cell>
        </row>
        <row r="45">
          <cell r="A45">
            <v>206622</v>
          </cell>
          <cell r="B45" t="str">
            <v>Xavier</v>
          </cell>
          <cell r="C45" t="str">
            <v>Big East</v>
          </cell>
          <cell r="D45">
            <v>159974</v>
          </cell>
        </row>
        <row r="46">
          <cell r="A46">
            <v>195809</v>
          </cell>
          <cell r="B46" t="str">
            <v>St. John's (NY)</v>
          </cell>
          <cell r="C46" t="str">
            <v>Big East</v>
          </cell>
          <cell r="D46">
            <v>156732</v>
          </cell>
        </row>
        <row r="47">
          <cell r="A47">
            <v>126614</v>
          </cell>
          <cell r="B47" t="str">
            <v>Colorado</v>
          </cell>
          <cell r="C47" t="str">
            <v>Pac-12</v>
          </cell>
          <cell r="D47">
            <v>155298</v>
          </cell>
        </row>
        <row r="48">
          <cell r="A48">
            <v>216597</v>
          </cell>
          <cell r="B48" t="str">
            <v>Villanova</v>
          </cell>
          <cell r="C48" t="str">
            <v>Big East</v>
          </cell>
          <cell r="D48">
            <v>154219</v>
          </cell>
        </row>
        <row r="49">
          <cell r="A49">
            <v>131496</v>
          </cell>
          <cell r="B49" t="str">
            <v>Georgetown</v>
          </cell>
          <cell r="C49" t="str">
            <v>Big East</v>
          </cell>
          <cell r="D49">
            <v>154076</v>
          </cell>
        </row>
        <row r="50">
          <cell r="A50">
            <v>238032</v>
          </cell>
          <cell r="B50" t="str">
            <v>West Virginia</v>
          </cell>
          <cell r="C50" t="str">
            <v>Big 12</v>
          </cell>
          <cell r="D50">
            <v>152837</v>
          </cell>
        </row>
        <row r="51">
          <cell r="A51">
            <v>159391</v>
          </cell>
          <cell r="B51" t="str">
            <v>LSU</v>
          </cell>
          <cell r="C51" t="str">
            <v>SEC</v>
          </cell>
          <cell r="D51">
            <v>151249</v>
          </cell>
        </row>
        <row r="52">
          <cell r="A52">
            <v>198419</v>
          </cell>
          <cell r="B52" t="str">
            <v>Duke</v>
          </cell>
          <cell r="C52" t="str">
            <v>ACC</v>
          </cell>
          <cell r="D52">
            <v>149024</v>
          </cell>
        </row>
        <row r="53">
          <cell r="A53">
            <v>152080</v>
          </cell>
          <cell r="B53" t="str">
            <v>Notre Dame</v>
          </cell>
          <cell r="C53" t="str">
            <v>ACC</v>
          </cell>
          <cell r="D53">
            <v>146576</v>
          </cell>
        </row>
        <row r="54">
          <cell r="A54">
            <v>230728</v>
          </cell>
          <cell r="B54" t="str">
            <v>Utah St.</v>
          </cell>
          <cell r="C54" t="str">
            <v>Mountain West</v>
          </cell>
          <cell r="D54">
            <v>146525</v>
          </cell>
        </row>
        <row r="55">
          <cell r="A55">
            <v>217402</v>
          </cell>
          <cell r="B55" t="str">
            <v>Providence</v>
          </cell>
          <cell r="C55" t="str">
            <v>Big East</v>
          </cell>
          <cell r="D55">
            <v>146444</v>
          </cell>
        </row>
        <row r="56">
          <cell r="A56">
            <v>110635</v>
          </cell>
          <cell r="B56" t="str">
            <v>California</v>
          </cell>
          <cell r="C56" t="str">
            <v>Pac-12</v>
          </cell>
          <cell r="D56">
            <v>145775</v>
          </cell>
        </row>
        <row r="57">
          <cell r="A57">
            <v>232982</v>
          </cell>
          <cell r="B57" t="str">
            <v>Old Dominion</v>
          </cell>
          <cell r="C57" t="str">
            <v>CUSA</v>
          </cell>
          <cell r="D57">
            <v>140072</v>
          </cell>
        </row>
        <row r="58">
          <cell r="A58">
            <v>228796</v>
          </cell>
          <cell r="B58" t="str">
            <v>UTEP</v>
          </cell>
          <cell r="C58" t="str">
            <v>CUSA</v>
          </cell>
          <cell r="D58">
            <v>135322</v>
          </cell>
        </row>
        <row r="59">
          <cell r="A59">
            <v>100858</v>
          </cell>
          <cell r="B59" t="str">
            <v>Auburn</v>
          </cell>
          <cell r="C59" t="str">
            <v>SEC</v>
          </cell>
          <cell r="D59">
            <v>133033</v>
          </cell>
        </row>
        <row r="60">
          <cell r="A60">
            <v>110662</v>
          </cell>
          <cell r="B60" t="str">
            <v>UCLA</v>
          </cell>
          <cell r="C60" t="str">
            <v>Pac-12</v>
          </cell>
          <cell r="D60">
            <v>131079</v>
          </cell>
        </row>
        <row r="61">
          <cell r="A61">
            <v>217882</v>
          </cell>
          <cell r="B61" t="str">
            <v>Clemson</v>
          </cell>
          <cell r="C61" t="str">
            <v>ACC</v>
          </cell>
          <cell r="D61">
            <v>129800</v>
          </cell>
        </row>
        <row r="62">
          <cell r="A62">
            <v>214777</v>
          </cell>
          <cell r="B62" t="str">
            <v>Penn St.</v>
          </cell>
          <cell r="C62" t="str">
            <v>Big Ten</v>
          </cell>
          <cell r="D62">
            <v>128701</v>
          </cell>
        </row>
        <row r="63">
          <cell r="A63">
            <v>179159</v>
          </cell>
          <cell r="B63" t="str">
            <v>Saint Louis</v>
          </cell>
          <cell r="C63" t="str">
            <v>Atlantic 10</v>
          </cell>
          <cell r="D63">
            <v>126576</v>
          </cell>
        </row>
        <row r="64">
          <cell r="A64">
            <v>207388</v>
          </cell>
          <cell r="B64" t="str">
            <v>Oklahoma St.</v>
          </cell>
          <cell r="C64" t="str">
            <v>Big 12</v>
          </cell>
          <cell r="D64">
            <v>126355</v>
          </cell>
        </row>
        <row r="65">
          <cell r="A65">
            <v>229115</v>
          </cell>
          <cell r="B65" t="str">
            <v>Texas Tech</v>
          </cell>
          <cell r="C65" t="str">
            <v>Big 12</v>
          </cell>
          <cell r="D65">
            <v>125832</v>
          </cell>
        </row>
        <row r="66">
          <cell r="A66">
            <v>228246</v>
          </cell>
          <cell r="B66" t="str">
            <v>SMU</v>
          </cell>
          <cell r="C66" t="str">
            <v>The American</v>
          </cell>
          <cell r="D66">
            <v>124986</v>
          </cell>
        </row>
        <row r="67">
          <cell r="A67">
            <v>228723</v>
          </cell>
          <cell r="B67" t="str">
            <v>Texas A&amp;M</v>
          </cell>
          <cell r="C67" t="str">
            <v>SEC</v>
          </cell>
          <cell r="D67">
            <v>124683</v>
          </cell>
        </row>
        <row r="68">
          <cell r="A68">
            <v>147767</v>
          </cell>
          <cell r="B68" t="str">
            <v>Northwestern</v>
          </cell>
          <cell r="C68" t="str">
            <v>Big Ten</v>
          </cell>
          <cell r="D68">
            <v>124451</v>
          </cell>
        </row>
        <row r="69">
          <cell r="A69">
            <v>178396</v>
          </cell>
          <cell r="B69" t="str">
            <v>Missouri</v>
          </cell>
          <cell r="C69" t="str">
            <v>SEC</v>
          </cell>
          <cell r="D69">
            <v>124052</v>
          </cell>
        </row>
        <row r="70">
          <cell r="A70">
            <v>134097</v>
          </cell>
          <cell r="B70" t="str">
            <v>Florida St.</v>
          </cell>
          <cell r="C70" t="str">
            <v>ACC</v>
          </cell>
          <cell r="D70">
            <v>120650</v>
          </cell>
        </row>
        <row r="71">
          <cell r="A71">
            <v>139959</v>
          </cell>
          <cell r="B71" t="str">
            <v>Georgia</v>
          </cell>
          <cell r="C71" t="str">
            <v>SEC</v>
          </cell>
          <cell r="D71">
            <v>120270</v>
          </cell>
        </row>
        <row r="72">
          <cell r="A72">
            <v>240727</v>
          </cell>
          <cell r="B72" t="str">
            <v>Wyoming</v>
          </cell>
          <cell r="C72" t="str">
            <v>Mountain West</v>
          </cell>
          <cell r="D72">
            <v>119897</v>
          </cell>
        </row>
        <row r="73">
          <cell r="A73">
            <v>223232</v>
          </cell>
          <cell r="B73" t="str">
            <v>Baylor</v>
          </cell>
          <cell r="C73" t="str">
            <v>Big 12</v>
          </cell>
          <cell r="D73">
            <v>119691</v>
          </cell>
        </row>
        <row r="74">
          <cell r="A74">
            <v>150163</v>
          </cell>
          <cell r="B74" t="str">
            <v>Butler</v>
          </cell>
          <cell r="C74" t="str">
            <v>Big East</v>
          </cell>
          <cell r="D74">
            <v>117970</v>
          </cell>
        </row>
        <row r="75">
          <cell r="A75">
            <v>209551</v>
          </cell>
          <cell r="B75" t="str">
            <v>Oregon</v>
          </cell>
          <cell r="C75" t="str">
            <v>Pac-12</v>
          </cell>
          <cell r="D75">
            <v>117962</v>
          </cell>
        </row>
        <row r="76">
          <cell r="A76">
            <v>141574</v>
          </cell>
          <cell r="B76" t="str">
            <v>Hawaii</v>
          </cell>
          <cell r="C76" t="str">
            <v>Big West</v>
          </cell>
          <cell r="D76">
            <v>117019</v>
          </cell>
        </row>
        <row r="77">
          <cell r="A77">
            <v>176017</v>
          </cell>
          <cell r="B77" t="str">
            <v>Ole Miss</v>
          </cell>
          <cell r="C77" t="str">
            <v>SEC</v>
          </cell>
          <cell r="D77">
            <v>115196</v>
          </cell>
        </row>
        <row r="78">
          <cell r="A78">
            <v>234030</v>
          </cell>
          <cell r="B78" t="str">
            <v>VCU</v>
          </cell>
          <cell r="C78" t="str">
            <v>Atlantic 10</v>
          </cell>
          <cell r="D78">
            <v>114565</v>
          </cell>
        </row>
        <row r="79">
          <cell r="A79">
            <v>186584</v>
          </cell>
          <cell r="B79" t="str">
            <v>Seton Hall</v>
          </cell>
          <cell r="C79" t="str">
            <v>Big East</v>
          </cell>
          <cell r="D79">
            <v>113804</v>
          </cell>
        </row>
        <row r="80">
          <cell r="A80">
            <v>233374</v>
          </cell>
          <cell r="B80" t="str">
            <v>Richmond</v>
          </cell>
          <cell r="C80" t="str">
            <v>Atlantic 10</v>
          </cell>
          <cell r="D80">
            <v>111983</v>
          </cell>
        </row>
        <row r="81">
          <cell r="A81">
            <v>216339</v>
          </cell>
          <cell r="B81" t="str">
            <v>Temple</v>
          </cell>
          <cell r="C81" t="str">
            <v>The American</v>
          </cell>
          <cell r="D81">
            <v>109620</v>
          </cell>
        </row>
        <row r="82">
          <cell r="A82">
            <v>104717</v>
          </cell>
          <cell r="B82" t="str">
            <v>Grand Canyon</v>
          </cell>
          <cell r="C82" t="str">
            <v>WAC</v>
          </cell>
          <cell r="D82">
            <v>108562</v>
          </cell>
        </row>
        <row r="83">
          <cell r="A83">
            <v>104151</v>
          </cell>
          <cell r="B83" t="str">
            <v>Arizona St.</v>
          </cell>
          <cell r="C83" t="str">
            <v>Pac-12</v>
          </cell>
          <cell r="D83">
            <v>107730</v>
          </cell>
        </row>
        <row r="84">
          <cell r="A84">
            <v>235316</v>
          </cell>
          <cell r="B84" t="str">
            <v>Gonzaga</v>
          </cell>
          <cell r="C84" t="str">
            <v>WCC</v>
          </cell>
          <cell r="D84">
            <v>107521</v>
          </cell>
        </row>
        <row r="85">
          <cell r="A85">
            <v>176080</v>
          </cell>
          <cell r="B85" t="str">
            <v>Mississippi St.</v>
          </cell>
          <cell r="C85" t="str">
            <v>SEC</v>
          </cell>
          <cell r="D85">
            <v>106946</v>
          </cell>
        </row>
        <row r="86">
          <cell r="A86">
            <v>188030</v>
          </cell>
          <cell r="B86" t="str">
            <v>New Mexico St.</v>
          </cell>
          <cell r="C86" t="str">
            <v>WAC</v>
          </cell>
          <cell r="D86">
            <v>104558</v>
          </cell>
        </row>
        <row r="87">
          <cell r="A87">
            <v>233921</v>
          </cell>
          <cell r="B87" t="str">
            <v>Virginia Tech</v>
          </cell>
          <cell r="C87" t="str">
            <v>ACC</v>
          </cell>
          <cell r="D87">
            <v>103401</v>
          </cell>
        </row>
        <row r="88">
          <cell r="A88">
            <v>204857</v>
          </cell>
          <cell r="B88" t="str">
            <v>Ohio</v>
          </cell>
          <cell r="C88" t="str">
            <v>MAC</v>
          </cell>
          <cell r="D88">
            <v>100212</v>
          </cell>
        </row>
        <row r="89">
          <cell r="A89">
            <v>195474</v>
          </cell>
          <cell r="B89" t="str">
            <v>Siena</v>
          </cell>
          <cell r="C89" t="str">
            <v>MAAC</v>
          </cell>
          <cell r="D89">
            <v>99872</v>
          </cell>
        </row>
        <row r="90">
          <cell r="A90">
            <v>144740</v>
          </cell>
          <cell r="B90" t="str">
            <v>DePaul</v>
          </cell>
          <cell r="C90" t="str">
            <v>Big East</v>
          </cell>
          <cell r="D90">
            <v>99805</v>
          </cell>
        </row>
        <row r="91">
          <cell r="A91">
            <v>139755</v>
          </cell>
          <cell r="B91" t="str">
            <v>Georgia Tech</v>
          </cell>
          <cell r="C91" t="str">
            <v>ACC</v>
          </cell>
          <cell r="D91">
            <v>99212</v>
          </cell>
        </row>
        <row r="92">
          <cell r="A92">
            <v>236948</v>
          </cell>
          <cell r="B92" t="str">
            <v>Washington</v>
          </cell>
          <cell r="C92" t="str">
            <v>Pac-12</v>
          </cell>
          <cell r="D92">
            <v>95969</v>
          </cell>
        </row>
        <row r="93">
          <cell r="A93">
            <v>230782</v>
          </cell>
          <cell r="B93" t="str">
            <v>Weber St.</v>
          </cell>
          <cell r="C93" t="str">
            <v>Big Sky</v>
          </cell>
          <cell r="D93">
            <v>95601</v>
          </cell>
        </row>
        <row r="94">
          <cell r="A94">
            <v>209542</v>
          </cell>
          <cell r="B94" t="str">
            <v>Oregon St.</v>
          </cell>
          <cell r="C94" t="str">
            <v>Pac-12</v>
          </cell>
          <cell r="D94">
            <v>95409</v>
          </cell>
        </row>
        <row r="95">
          <cell r="A95">
            <v>186380</v>
          </cell>
          <cell r="B95" t="str">
            <v>Rutgers</v>
          </cell>
          <cell r="C95" t="str">
            <v>Big Ten</v>
          </cell>
          <cell r="D95">
            <v>92315</v>
          </cell>
        </row>
        <row r="96">
          <cell r="A96">
            <v>135726</v>
          </cell>
          <cell r="B96" t="str">
            <v>Miami (FL)</v>
          </cell>
          <cell r="C96" t="str">
            <v>ACC</v>
          </cell>
          <cell r="D96">
            <v>91991</v>
          </cell>
        </row>
        <row r="97">
          <cell r="A97">
            <v>143358</v>
          </cell>
          <cell r="B97" t="str">
            <v>Bradley</v>
          </cell>
          <cell r="C97" t="str">
            <v>MVC</v>
          </cell>
          <cell r="D97">
            <v>91614</v>
          </cell>
        </row>
        <row r="98">
          <cell r="A98">
            <v>145813</v>
          </cell>
          <cell r="B98" t="str">
            <v>Illinois St.</v>
          </cell>
          <cell r="C98" t="str">
            <v>MVC</v>
          </cell>
          <cell r="D98">
            <v>87732</v>
          </cell>
        </row>
        <row r="99">
          <cell r="A99">
            <v>237525</v>
          </cell>
          <cell r="B99" t="str">
            <v>Marshall</v>
          </cell>
          <cell r="C99" t="str">
            <v>CUSA</v>
          </cell>
          <cell r="D99">
            <v>86827</v>
          </cell>
        </row>
        <row r="100">
          <cell r="A100">
            <v>110556</v>
          </cell>
          <cell r="B100" t="str">
            <v>Fresno St.</v>
          </cell>
          <cell r="C100" t="str">
            <v>Mountain West</v>
          </cell>
          <cell r="D100">
            <v>86666</v>
          </cell>
        </row>
        <row r="101">
          <cell r="A101">
            <v>217484</v>
          </cell>
          <cell r="B101" t="str">
            <v>Rhode Island</v>
          </cell>
          <cell r="C101" t="str">
            <v>Atlantic 10</v>
          </cell>
          <cell r="D101">
            <v>86461</v>
          </cell>
        </row>
        <row r="102">
          <cell r="A102">
            <v>207971</v>
          </cell>
          <cell r="B102" t="str">
            <v>Tulsa</v>
          </cell>
          <cell r="C102" t="str">
            <v>The American</v>
          </cell>
          <cell r="D102">
            <v>85778</v>
          </cell>
        </row>
        <row r="103">
          <cell r="A103">
            <v>243744</v>
          </cell>
          <cell r="B103" t="str">
            <v>Stanford</v>
          </cell>
          <cell r="C103" t="str">
            <v>Pac-12</v>
          </cell>
          <cell r="D103">
            <v>84336</v>
          </cell>
        </row>
        <row r="104">
          <cell r="A104">
            <v>126818</v>
          </cell>
          <cell r="B104" t="str">
            <v>Colorado St.</v>
          </cell>
          <cell r="C104" t="str">
            <v>Mountain West</v>
          </cell>
          <cell r="D104">
            <v>82514</v>
          </cell>
        </row>
        <row r="105">
          <cell r="A105">
            <v>182290</v>
          </cell>
          <cell r="B105" t="str">
            <v>Nevada</v>
          </cell>
          <cell r="C105" t="str">
            <v>Mountain West</v>
          </cell>
          <cell r="D105">
            <v>82453</v>
          </cell>
        </row>
        <row r="106">
          <cell r="A106">
            <v>142115</v>
          </cell>
          <cell r="B106" t="str">
            <v>Boise St.</v>
          </cell>
          <cell r="C106" t="str">
            <v>Mountain West</v>
          </cell>
          <cell r="D106">
            <v>80843</v>
          </cell>
        </row>
        <row r="107">
          <cell r="A107">
            <v>150534</v>
          </cell>
          <cell r="B107" t="str">
            <v>Evansville</v>
          </cell>
          <cell r="C107" t="str">
            <v>MVC</v>
          </cell>
          <cell r="D107">
            <v>80263</v>
          </cell>
        </row>
        <row r="108">
          <cell r="A108">
            <v>228875</v>
          </cell>
          <cell r="B108" t="str">
            <v>TCU</v>
          </cell>
          <cell r="C108" t="str">
            <v>Big 12</v>
          </cell>
          <cell r="D108">
            <v>78336</v>
          </cell>
        </row>
        <row r="109">
          <cell r="A109">
            <v>154095</v>
          </cell>
          <cell r="B109" t="str">
            <v>UNI</v>
          </cell>
          <cell r="C109" t="str">
            <v>MVC</v>
          </cell>
          <cell r="D109">
            <v>77557</v>
          </cell>
        </row>
        <row r="110">
          <cell r="A110">
            <v>164924</v>
          </cell>
          <cell r="B110" t="str">
            <v>Boston College</v>
          </cell>
          <cell r="C110" t="str">
            <v>ACC</v>
          </cell>
          <cell r="D110">
            <v>76268</v>
          </cell>
        </row>
        <row r="111">
          <cell r="A111">
            <v>206084</v>
          </cell>
          <cell r="B111" t="str">
            <v>Toledo</v>
          </cell>
          <cell r="C111" t="str">
            <v>MAC</v>
          </cell>
          <cell r="D111">
            <v>75432</v>
          </cell>
        </row>
        <row r="112">
          <cell r="A112">
            <v>198464</v>
          </cell>
          <cell r="B112" t="str">
            <v>East Carolina</v>
          </cell>
          <cell r="C112" t="str">
            <v>The American</v>
          </cell>
          <cell r="D112">
            <v>75138</v>
          </cell>
        </row>
        <row r="113">
          <cell r="A113">
            <v>198385</v>
          </cell>
          <cell r="B113" t="str">
            <v>Davidson</v>
          </cell>
          <cell r="C113" t="str">
            <v>Atlantic 10</v>
          </cell>
          <cell r="D113">
            <v>74809</v>
          </cell>
        </row>
        <row r="114">
          <cell r="A114">
            <v>157401</v>
          </cell>
          <cell r="B114" t="str">
            <v>Murray St.</v>
          </cell>
          <cell r="C114" t="str">
            <v>OVC</v>
          </cell>
          <cell r="D114">
            <v>74311</v>
          </cell>
        </row>
        <row r="115">
          <cell r="A115">
            <v>179566</v>
          </cell>
          <cell r="B115" t="str">
            <v>Missouri St.</v>
          </cell>
          <cell r="C115" t="str">
            <v>MVC</v>
          </cell>
          <cell r="D115">
            <v>74201</v>
          </cell>
        </row>
        <row r="116">
          <cell r="A116">
            <v>157951</v>
          </cell>
          <cell r="B116" t="str">
            <v>Western Ky.</v>
          </cell>
          <cell r="C116" t="str">
            <v>CUSA</v>
          </cell>
          <cell r="D116">
            <v>73993</v>
          </cell>
        </row>
        <row r="117">
          <cell r="A117">
            <v>132903</v>
          </cell>
          <cell r="B117" t="str">
            <v>UCF</v>
          </cell>
          <cell r="C117" t="str">
            <v>The American</v>
          </cell>
          <cell r="D117">
            <v>73559</v>
          </cell>
        </row>
        <row r="118">
          <cell r="A118">
            <v>149222</v>
          </cell>
          <cell r="B118" t="str">
            <v>Southern Ill.</v>
          </cell>
          <cell r="C118" t="str">
            <v>MVC</v>
          </cell>
          <cell r="D118">
            <v>73461</v>
          </cell>
        </row>
        <row r="119">
          <cell r="A119">
            <v>159647</v>
          </cell>
          <cell r="B119" t="str">
            <v>Louisiana Tech</v>
          </cell>
          <cell r="C119" t="str">
            <v>CUSA</v>
          </cell>
          <cell r="D119">
            <v>72136</v>
          </cell>
        </row>
        <row r="120">
          <cell r="A120">
            <v>433660</v>
          </cell>
          <cell r="B120" t="str">
            <v>FGCU</v>
          </cell>
          <cell r="C120" t="str">
            <v>ASUN</v>
          </cell>
          <cell r="D120">
            <v>71890</v>
          </cell>
        </row>
        <row r="121">
          <cell r="A121">
            <v>151324</v>
          </cell>
          <cell r="B121" t="str">
            <v>Indiana St.</v>
          </cell>
          <cell r="C121" t="str">
            <v>MVC</v>
          </cell>
          <cell r="D121">
            <v>70687</v>
          </cell>
        </row>
        <row r="122">
          <cell r="A122">
            <v>166629</v>
          </cell>
          <cell r="B122" t="str">
            <v>Massachusetts</v>
          </cell>
          <cell r="C122" t="str">
            <v>Atlantic 10</v>
          </cell>
          <cell r="D122">
            <v>68291</v>
          </cell>
        </row>
        <row r="123">
          <cell r="A123">
            <v>228431</v>
          </cell>
          <cell r="B123" t="str">
            <v>SFA</v>
          </cell>
          <cell r="C123" t="str">
            <v>Southland</v>
          </cell>
          <cell r="D123">
            <v>65154</v>
          </cell>
        </row>
        <row r="124">
          <cell r="A124">
            <v>232423</v>
          </cell>
          <cell r="B124" t="str">
            <v>James Madison</v>
          </cell>
          <cell r="C124" t="str">
            <v>CAA</v>
          </cell>
          <cell r="D124">
            <v>64907</v>
          </cell>
        </row>
        <row r="125">
          <cell r="A125">
            <v>220978</v>
          </cell>
          <cell r="B125" t="str">
            <v>Middle Tenn.</v>
          </cell>
          <cell r="C125" t="str">
            <v>CUSA</v>
          </cell>
          <cell r="D125">
            <v>64592</v>
          </cell>
        </row>
        <row r="126">
          <cell r="A126">
            <v>180489</v>
          </cell>
          <cell r="B126" t="str">
            <v>Montana</v>
          </cell>
          <cell r="C126" t="str">
            <v>Big Sky</v>
          </cell>
          <cell r="D126">
            <v>64532</v>
          </cell>
        </row>
        <row r="127">
          <cell r="A127">
            <v>160658</v>
          </cell>
          <cell r="B127" t="str">
            <v>Louisiana</v>
          </cell>
          <cell r="C127" t="str">
            <v>Sun Belt</v>
          </cell>
          <cell r="D127">
            <v>63797</v>
          </cell>
        </row>
        <row r="128">
          <cell r="A128">
            <v>206604</v>
          </cell>
          <cell r="B128" t="str">
            <v>Wright St.</v>
          </cell>
          <cell r="C128" t="str">
            <v>Horizon</v>
          </cell>
          <cell r="D128">
            <v>58631</v>
          </cell>
        </row>
        <row r="129">
          <cell r="A129">
            <v>195164</v>
          </cell>
          <cell r="B129" t="str">
            <v>St. Bonaventure</v>
          </cell>
          <cell r="C129" t="str">
            <v>Atlantic 10</v>
          </cell>
          <cell r="D129">
            <v>58336</v>
          </cell>
        </row>
        <row r="130">
          <cell r="A130">
            <v>200800</v>
          </cell>
          <cell r="B130" t="str">
            <v>Akron</v>
          </cell>
          <cell r="C130" t="str">
            <v>MAC</v>
          </cell>
          <cell r="D130">
            <v>57846</v>
          </cell>
        </row>
        <row r="131">
          <cell r="A131">
            <v>137351</v>
          </cell>
          <cell r="B131" t="str">
            <v>South Fla.</v>
          </cell>
          <cell r="C131" t="str">
            <v>The American</v>
          </cell>
          <cell r="D131">
            <v>57821</v>
          </cell>
        </row>
        <row r="132">
          <cell r="A132">
            <v>232186</v>
          </cell>
          <cell r="B132" t="str">
            <v>George Mason</v>
          </cell>
          <cell r="C132" t="str">
            <v>Atlantic 10</v>
          </cell>
          <cell r="D132">
            <v>57415</v>
          </cell>
        </row>
        <row r="133">
          <cell r="A133">
            <v>199139</v>
          </cell>
          <cell r="B133" t="str">
            <v>Charlotte</v>
          </cell>
          <cell r="C133" t="str">
            <v>CUSA</v>
          </cell>
          <cell r="D133">
            <v>56888</v>
          </cell>
        </row>
        <row r="134">
          <cell r="A134">
            <v>123961</v>
          </cell>
          <cell r="B134" t="str">
            <v>Southern California</v>
          </cell>
          <cell r="C134" t="str">
            <v>Pac-12</v>
          </cell>
          <cell r="D134">
            <v>56836</v>
          </cell>
        </row>
        <row r="135">
          <cell r="A135">
            <v>100663</v>
          </cell>
          <cell r="B135" t="str">
            <v>UAB</v>
          </cell>
          <cell r="C135" t="str">
            <v>CUSA</v>
          </cell>
          <cell r="D135">
            <v>55383</v>
          </cell>
        </row>
        <row r="136">
          <cell r="A136">
            <v>221740</v>
          </cell>
          <cell r="B136" t="str">
            <v>Chattanooga</v>
          </cell>
          <cell r="C136" t="str">
            <v>SoCon</v>
          </cell>
          <cell r="D136">
            <v>54969</v>
          </cell>
        </row>
        <row r="137">
          <cell r="A137">
            <v>123554</v>
          </cell>
          <cell r="B137" t="str">
            <v>Saint Mary's (CA)</v>
          </cell>
          <cell r="C137" t="str">
            <v>WCC</v>
          </cell>
          <cell r="D137">
            <v>52965</v>
          </cell>
        </row>
        <row r="138">
          <cell r="A138">
            <v>215770</v>
          </cell>
          <cell r="B138" t="str">
            <v>Saint Joseph's</v>
          </cell>
          <cell r="C138" t="str">
            <v>Atlantic 10</v>
          </cell>
          <cell r="D138">
            <v>52908</v>
          </cell>
        </row>
        <row r="139">
          <cell r="A139">
            <v>196060</v>
          </cell>
          <cell r="B139" t="str">
            <v>UAlbany</v>
          </cell>
          <cell r="C139" t="str">
            <v>America East</v>
          </cell>
          <cell r="D139">
            <v>50852</v>
          </cell>
        </row>
        <row r="140">
          <cell r="A140">
            <v>203517</v>
          </cell>
          <cell r="B140" t="str">
            <v>Kent St.</v>
          </cell>
          <cell r="C140" t="str">
            <v>MAC</v>
          </cell>
          <cell r="D140">
            <v>50463</v>
          </cell>
        </row>
        <row r="141">
          <cell r="A141">
            <v>240277</v>
          </cell>
          <cell r="B141" t="str">
            <v>Green Bay</v>
          </cell>
          <cell r="C141" t="str">
            <v>Horizon</v>
          </cell>
          <cell r="D141">
            <v>50139</v>
          </cell>
        </row>
        <row r="142">
          <cell r="A142">
            <v>176372</v>
          </cell>
          <cell r="B142" t="str">
            <v>Southern Miss.</v>
          </cell>
          <cell r="C142" t="str">
            <v>CUSA</v>
          </cell>
          <cell r="D142">
            <v>49838</v>
          </cell>
        </row>
        <row r="143">
          <cell r="A143">
            <v>152600</v>
          </cell>
          <cell r="B143" t="str">
            <v>Valparaiso</v>
          </cell>
          <cell r="C143" t="str">
            <v>Horizon</v>
          </cell>
          <cell r="D143">
            <v>49063</v>
          </cell>
        </row>
        <row r="144">
          <cell r="A144">
            <v>140447</v>
          </cell>
          <cell r="B144" t="str">
            <v>Mercer</v>
          </cell>
          <cell r="C144" t="str">
            <v>SoCon</v>
          </cell>
          <cell r="D144">
            <v>48758</v>
          </cell>
        </row>
        <row r="145">
          <cell r="A145">
            <v>207582</v>
          </cell>
          <cell r="B145" t="str">
            <v>Oral Roberts</v>
          </cell>
          <cell r="C145" t="str">
            <v>Summit League</v>
          </cell>
          <cell r="D145">
            <v>48411</v>
          </cell>
        </row>
        <row r="146">
          <cell r="A146">
            <v>153269</v>
          </cell>
          <cell r="B146" t="str">
            <v>Drake</v>
          </cell>
          <cell r="C146" t="str">
            <v>MVC</v>
          </cell>
          <cell r="D146">
            <v>47918</v>
          </cell>
        </row>
        <row r="147">
          <cell r="A147">
            <v>131469</v>
          </cell>
          <cell r="B147" t="str">
            <v>George Washington</v>
          </cell>
          <cell r="C147" t="str">
            <v>Atlantic 10</v>
          </cell>
          <cell r="D147">
            <v>47563</v>
          </cell>
        </row>
        <row r="148">
          <cell r="A148">
            <v>199218</v>
          </cell>
          <cell r="B148" t="str">
            <v>UNCW</v>
          </cell>
          <cell r="C148" t="str">
            <v>CAA</v>
          </cell>
          <cell r="D148">
            <v>47459</v>
          </cell>
        </row>
        <row r="149">
          <cell r="A149">
            <v>196088</v>
          </cell>
          <cell r="B149" t="str">
            <v>Buffalo</v>
          </cell>
          <cell r="C149" t="str">
            <v>MAC</v>
          </cell>
          <cell r="D149">
            <v>47311</v>
          </cell>
        </row>
        <row r="150">
          <cell r="A150">
            <v>156620</v>
          </cell>
          <cell r="B150" t="str">
            <v>Eastern Ky.</v>
          </cell>
          <cell r="C150" t="str">
            <v>OVC</v>
          </cell>
          <cell r="D150">
            <v>47000</v>
          </cell>
        </row>
        <row r="151">
          <cell r="A151">
            <v>145600</v>
          </cell>
          <cell r="B151" t="str">
            <v>UIC</v>
          </cell>
          <cell r="C151" t="str">
            <v>Horizon</v>
          </cell>
          <cell r="D151">
            <v>46615</v>
          </cell>
        </row>
        <row r="152">
          <cell r="A152">
            <v>169248</v>
          </cell>
          <cell r="B152" t="str">
            <v>Central Mich.</v>
          </cell>
          <cell r="C152" t="str">
            <v>MAC</v>
          </cell>
          <cell r="D152">
            <v>46051</v>
          </cell>
        </row>
        <row r="153">
          <cell r="A153">
            <v>211291</v>
          </cell>
          <cell r="B153" t="str">
            <v>Bucknell</v>
          </cell>
          <cell r="C153" t="str">
            <v>Patriot</v>
          </cell>
          <cell r="D153">
            <v>45878</v>
          </cell>
        </row>
        <row r="154">
          <cell r="A154">
            <v>225511</v>
          </cell>
          <cell r="B154" t="str">
            <v>Houston</v>
          </cell>
          <cell r="C154" t="str">
            <v>The American</v>
          </cell>
          <cell r="D154">
            <v>44793</v>
          </cell>
        </row>
        <row r="155">
          <cell r="A155">
            <v>236939</v>
          </cell>
          <cell r="B155" t="str">
            <v>Washington St.</v>
          </cell>
          <cell r="C155" t="str">
            <v>Pac-12</v>
          </cell>
          <cell r="D155">
            <v>44662</v>
          </cell>
        </row>
        <row r="156">
          <cell r="A156">
            <v>227216</v>
          </cell>
          <cell r="B156" t="str">
            <v>North Texas</v>
          </cell>
          <cell r="C156" t="str">
            <v>CUSA</v>
          </cell>
          <cell r="D156">
            <v>44307</v>
          </cell>
        </row>
        <row r="157">
          <cell r="A157">
            <v>199148</v>
          </cell>
          <cell r="B157" t="str">
            <v>UNC Greensboro</v>
          </cell>
          <cell r="C157" t="str">
            <v>SoCon</v>
          </cell>
          <cell r="D157">
            <v>44160</v>
          </cell>
        </row>
        <row r="158">
          <cell r="A158">
            <v>196097</v>
          </cell>
          <cell r="B158" t="str">
            <v>Stony Brook</v>
          </cell>
          <cell r="C158" t="str">
            <v>America East</v>
          </cell>
          <cell r="D158">
            <v>44143</v>
          </cell>
        </row>
        <row r="159">
          <cell r="A159">
            <v>215062</v>
          </cell>
          <cell r="B159" t="str">
            <v>Penn</v>
          </cell>
          <cell r="C159" t="str">
            <v>Ivy League</v>
          </cell>
          <cell r="D159">
            <v>43979</v>
          </cell>
        </row>
        <row r="160">
          <cell r="A160">
            <v>240453</v>
          </cell>
          <cell r="B160" t="str">
            <v>Milwaukee</v>
          </cell>
          <cell r="C160" t="str">
            <v>Horizon</v>
          </cell>
          <cell r="D160">
            <v>43880</v>
          </cell>
        </row>
        <row r="161">
          <cell r="A161">
            <v>191931</v>
          </cell>
          <cell r="B161" t="str">
            <v>Iona</v>
          </cell>
          <cell r="C161" t="str">
            <v>MAAC</v>
          </cell>
          <cell r="D161">
            <v>43261</v>
          </cell>
        </row>
        <row r="162">
          <cell r="A162">
            <v>110583</v>
          </cell>
          <cell r="B162" t="str">
            <v>Long Beach St.</v>
          </cell>
          <cell r="C162" t="str">
            <v>Big West</v>
          </cell>
          <cell r="D162">
            <v>42453</v>
          </cell>
        </row>
        <row r="163">
          <cell r="A163">
            <v>172699</v>
          </cell>
          <cell r="B163" t="str">
            <v>Western Mich.</v>
          </cell>
          <cell r="C163" t="str">
            <v>MAC</v>
          </cell>
          <cell r="D163">
            <v>42285</v>
          </cell>
        </row>
        <row r="164">
          <cell r="A164">
            <v>150136</v>
          </cell>
          <cell r="B164" t="str">
            <v>Ball St.</v>
          </cell>
          <cell r="C164" t="str">
            <v>MAC</v>
          </cell>
          <cell r="D164">
            <v>42087</v>
          </cell>
        </row>
        <row r="165">
          <cell r="A165">
            <v>232265</v>
          </cell>
          <cell r="B165" t="str">
            <v>Hampton</v>
          </cell>
          <cell r="C165" t="str">
            <v>MEAC</v>
          </cell>
          <cell r="D165">
            <v>41440</v>
          </cell>
        </row>
        <row r="166">
          <cell r="A166">
            <v>231624</v>
          </cell>
          <cell r="B166" t="str">
            <v>William &amp; Mary</v>
          </cell>
          <cell r="C166" t="str">
            <v>CAA</v>
          </cell>
          <cell r="D166">
            <v>40787</v>
          </cell>
        </row>
        <row r="167">
          <cell r="A167">
            <v>169716</v>
          </cell>
          <cell r="B167" t="str">
            <v>Detroit Mercy</v>
          </cell>
          <cell r="C167" t="str">
            <v>Horizon</v>
          </cell>
          <cell r="D167">
            <v>40620</v>
          </cell>
        </row>
        <row r="168">
          <cell r="A168">
            <v>218724</v>
          </cell>
          <cell r="B168" t="str">
            <v>Coastal Carolina</v>
          </cell>
          <cell r="C168" t="str">
            <v>Big South</v>
          </cell>
          <cell r="D168">
            <v>40054</v>
          </cell>
        </row>
        <row r="169">
          <cell r="A169">
            <v>219356</v>
          </cell>
          <cell r="B169" t="str">
            <v>South Dakota St.</v>
          </cell>
          <cell r="C169" t="str">
            <v>Summit League</v>
          </cell>
          <cell r="D169">
            <v>38912</v>
          </cell>
        </row>
        <row r="170">
          <cell r="A170">
            <v>110705</v>
          </cell>
          <cell r="B170" t="str">
            <v>UC Santa Barbara</v>
          </cell>
          <cell r="C170" t="str">
            <v>Big West</v>
          </cell>
          <cell r="D170">
            <v>38891</v>
          </cell>
        </row>
        <row r="171">
          <cell r="A171">
            <v>220075</v>
          </cell>
          <cell r="B171" t="str">
            <v>ETSU</v>
          </cell>
          <cell r="C171" t="str">
            <v>SoCon</v>
          </cell>
          <cell r="D171">
            <v>38390</v>
          </cell>
        </row>
        <row r="172">
          <cell r="A172">
            <v>217819</v>
          </cell>
          <cell r="B172" t="str">
            <v>Col. of Charleston</v>
          </cell>
          <cell r="C172" t="str">
            <v>CAA</v>
          </cell>
          <cell r="D172">
            <v>38275</v>
          </cell>
        </row>
        <row r="173">
          <cell r="A173">
            <v>136172</v>
          </cell>
          <cell r="B173" t="str">
            <v>North Florida</v>
          </cell>
          <cell r="C173" t="str">
            <v>ASUN</v>
          </cell>
          <cell r="D173">
            <v>38148</v>
          </cell>
        </row>
        <row r="174">
          <cell r="A174">
            <v>159993</v>
          </cell>
          <cell r="B174" t="str">
            <v>ULM</v>
          </cell>
          <cell r="C174" t="str">
            <v>Sun Belt</v>
          </cell>
          <cell r="D174">
            <v>37149</v>
          </cell>
        </row>
        <row r="175">
          <cell r="A175">
            <v>236595</v>
          </cell>
          <cell r="B175" t="str">
            <v>Seattle U</v>
          </cell>
          <cell r="C175" t="str">
            <v>WAC</v>
          </cell>
          <cell r="D175">
            <v>37058</v>
          </cell>
        </row>
        <row r="176">
          <cell r="A176">
            <v>231174</v>
          </cell>
          <cell r="B176" t="str">
            <v>Vermont</v>
          </cell>
          <cell r="C176" t="str">
            <v>America East</v>
          </cell>
          <cell r="D176">
            <v>36909</v>
          </cell>
        </row>
        <row r="177">
          <cell r="A177">
            <v>157386</v>
          </cell>
          <cell r="B177" t="str">
            <v>Morehead St.</v>
          </cell>
          <cell r="C177" t="str">
            <v>OVC</v>
          </cell>
          <cell r="D177">
            <v>36880</v>
          </cell>
        </row>
        <row r="178">
          <cell r="A178">
            <v>171571</v>
          </cell>
          <cell r="B178" t="str">
            <v>Oakland</v>
          </cell>
          <cell r="C178" t="str">
            <v>Horizon</v>
          </cell>
          <cell r="D178">
            <v>36366</v>
          </cell>
        </row>
        <row r="179">
          <cell r="A179">
            <v>212106</v>
          </cell>
          <cell r="B179" t="str">
            <v>Duquesne</v>
          </cell>
          <cell r="C179" t="str">
            <v>Atlantic 10</v>
          </cell>
          <cell r="D179">
            <v>36327</v>
          </cell>
        </row>
        <row r="180">
          <cell r="A180">
            <v>196079</v>
          </cell>
          <cell r="B180" t="str">
            <v>Binghamton</v>
          </cell>
          <cell r="C180" t="str">
            <v>America East</v>
          </cell>
          <cell r="D180">
            <v>35854</v>
          </cell>
        </row>
        <row r="181">
          <cell r="A181">
            <v>120883</v>
          </cell>
          <cell r="B181" t="str">
            <v>Pacific</v>
          </cell>
          <cell r="C181" t="str">
            <v>WCC</v>
          </cell>
          <cell r="D181">
            <v>35772</v>
          </cell>
        </row>
        <row r="182">
          <cell r="A182">
            <v>200332</v>
          </cell>
          <cell r="B182" t="str">
            <v>North Dakota St.</v>
          </cell>
          <cell r="C182" t="str">
            <v>Summit League</v>
          </cell>
          <cell r="D182">
            <v>35174</v>
          </cell>
        </row>
        <row r="183">
          <cell r="A183">
            <v>110644</v>
          </cell>
          <cell r="B183" t="str">
            <v>UC Davis</v>
          </cell>
          <cell r="C183" t="str">
            <v>Big West</v>
          </cell>
          <cell r="D183">
            <v>34902</v>
          </cell>
        </row>
        <row r="184">
          <cell r="A184">
            <v>201441</v>
          </cell>
          <cell r="B184" t="str">
            <v>Bowling Green</v>
          </cell>
          <cell r="C184" t="str">
            <v>MAC</v>
          </cell>
          <cell r="D184">
            <v>34468</v>
          </cell>
        </row>
        <row r="185">
          <cell r="A185">
            <v>209825</v>
          </cell>
          <cell r="B185" t="str">
            <v>Portland</v>
          </cell>
          <cell r="C185" t="str">
            <v>WCC</v>
          </cell>
          <cell r="D185">
            <v>33641</v>
          </cell>
        </row>
        <row r="186">
          <cell r="A186">
            <v>160755</v>
          </cell>
          <cell r="B186" t="str">
            <v>Tulane</v>
          </cell>
          <cell r="C186" t="str">
            <v>The American</v>
          </cell>
          <cell r="D186">
            <v>33338</v>
          </cell>
        </row>
        <row r="187">
          <cell r="A187">
            <v>219602</v>
          </cell>
          <cell r="B187" t="str">
            <v>Austin Peay</v>
          </cell>
          <cell r="C187" t="str">
            <v>OVC</v>
          </cell>
          <cell r="D187">
            <v>33318</v>
          </cell>
        </row>
        <row r="188">
          <cell r="A188">
            <v>146719</v>
          </cell>
          <cell r="B188" t="str">
            <v>Loyola Chicago</v>
          </cell>
          <cell r="C188" t="str">
            <v>MVC</v>
          </cell>
          <cell r="D188">
            <v>33163</v>
          </cell>
        </row>
        <row r="189">
          <cell r="A189">
            <v>213367</v>
          </cell>
          <cell r="B189" t="str">
            <v>La Salle</v>
          </cell>
          <cell r="C189" t="str">
            <v>Atlantic 10</v>
          </cell>
          <cell r="D189">
            <v>32364</v>
          </cell>
        </row>
        <row r="190">
          <cell r="A190">
            <v>179557</v>
          </cell>
          <cell r="B190" t="str">
            <v>Southeast Mo. St.</v>
          </cell>
          <cell r="C190" t="str">
            <v>OVC</v>
          </cell>
          <cell r="D190">
            <v>31104</v>
          </cell>
        </row>
        <row r="191">
          <cell r="A191">
            <v>206695</v>
          </cell>
          <cell r="B191" t="str">
            <v>Youngstown St.</v>
          </cell>
          <cell r="C191" t="str">
            <v>Horizon</v>
          </cell>
          <cell r="D191">
            <v>30587</v>
          </cell>
        </row>
        <row r="192">
          <cell r="A192">
            <v>110653</v>
          </cell>
          <cell r="B192" t="str">
            <v>UC Irvine</v>
          </cell>
          <cell r="C192" t="str">
            <v>Big West</v>
          </cell>
          <cell r="D192">
            <v>30527</v>
          </cell>
        </row>
        <row r="193">
          <cell r="A193">
            <v>226091</v>
          </cell>
          <cell r="B193" t="str">
            <v>Lamar University</v>
          </cell>
          <cell r="C193" t="str">
            <v>Southland</v>
          </cell>
          <cell r="D193">
            <v>30416</v>
          </cell>
        </row>
        <row r="194">
          <cell r="A194">
            <v>157447</v>
          </cell>
          <cell r="B194" t="str">
            <v>Northern Ky.</v>
          </cell>
          <cell r="C194" t="str">
            <v>ASUN</v>
          </cell>
          <cell r="D194">
            <v>30233</v>
          </cell>
        </row>
        <row r="195">
          <cell r="A195">
            <v>129242</v>
          </cell>
          <cell r="B195" t="str">
            <v>Fairfield</v>
          </cell>
          <cell r="C195" t="str">
            <v>MAAC</v>
          </cell>
          <cell r="D195">
            <v>30150</v>
          </cell>
        </row>
        <row r="196">
          <cell r="A196">
            <v>191241</v>
          </cell>
          <cell r="B196" t="str">
            <v>Fordham</v>
          </cell>
          <cell r="C196" t="str">
            <v>Atlantic 10</v>
          </cell>
          <cell r="D196">
            <v>29976</v>
          </cell>
        </row>
        <row r="197">
          <cell r="A197">
            <v>202134</v>
          </cell>
          <cell r="B197" t="str">
            <v>Cleveland St.</v>
          </cell>
          <cell r="C197" t="str">
            <v>Horizon</v>
          </cell>
          <cell r="D197">
            <v>29943</v>
          </cell>
        </row>
        <row r="198">
          <cell r="A198">
            <v>122612</v>
          </cell>
          <cell r="B198" t="str">
            <v>San Francisco</v>
          </cell>
          <cell r="C198" t="str">
            <v>WCC</v>
          </cell>
          <cell r="D198">
            <v>29690</v>
          </cell>
        </row>
        <row r="199">
          <cell r="A199">
            <v>130943</v>
          </cell>
          <cell r="B199" t="str">
            <v>Delaware</v>
          </cell>
          <cell r="C199" t="str">
            <v>CAA</v>
          </cell>
          <cell r="D199">
            <v>29438</v>
          </cell>
        </row>
        <row r="200">
          <cell r="A200">
            <v>233277</v>
          </cell>
          <cell r="B200" t="str">
            <v>Radford</v>
          </cell>
          <cell r="C200" t="str">
            <v>Big South</v>
          </cell>
          <cell r="D200">
            <v>29309</v>
          </cell>
        </row>
        <row r="201">
          <cell r="A201">
            <v>500000</v>
          </cell>
          <cell r="B201" t="str">
            <v>Navy</v>
          </cell>
          <cell r="C201" t="str">
            <v>Patriot</v>
          </cell>
          <cell r="D201">
            <v>29121</v>
          </cell>
        </row>
        <row r="202">
          <cell r="A202">
            <v>160038</v>
          </cell>
          <cell r="B202" t="str">
            <v>Northwestern St.</v>
          </cell>
          <cell r="C202" t="str">
            <v>Southland</v>
          </cell>
          <cell r="D202">
            <v>29034</v>
          </cell>
        </row>
        <row r="203">
          <cell r="A203">
            <v>235097</v>
          </cell>
          <cell r="B203" t="str">
            <v>Eastern Wash.</v>
          </cell>
          <cell r="C203" t="str">
            <v>Big Sky</v>
          </cell>
          <cell r="D203">
            <v>28867</v>
          </cell>
        </row>
        <row r="204">
          <cell r="A204">
            <v>228769</v>
          </cell>
          <cell r="B204" t="str">
            <v>UT Arlington</v>
          </cell>
          <cell r="C204" t="str">
            <v>Sun Belt</v>
          </cell>
          <cell r="D204">
            <v>28718</v>
          </cell>
        </row>
        <row r="205">
          <cell r="A205">
            <v>186131</v>
          </cell>
          <cell r="B205" t="str">
            <v>Princeton</v>
          </cell>
          <cell r="C205" t="str">
            <v>Ivy League</v>
          </cell>
          <cell r="D205">
            <v>27866</v>
          </cell>
        </row>
        <row r="206">
          <cell r="A206">
            <v>219709</v>
          </cell>
          <cell r="B206" t="str">
            <v>Belmont</v>
          </cell>
          <cell r="C206" t="str">
            <v>OVC</v>
          </cell>
          <cell r="D206">
            <v>27793</v>
          </cell>
        </row>
        <row r="207">
          <cell r="A207">
            <v>105330</v>
          </cell>
          <cell r="B207" t="str">
            <v>Northern Ariz.</v>
          </cell>
          <cell r="C207" t="str">
            <v>Big Sky</v>
          </cell>
          <cell r="D207">
            <v>27635</v>
          </cell>
        </row>
        <row r="208">
          <cell r="A208">
            <v>213385</v>
          </cell>
          <cell r="B208" t="str">
            <v>Lafayette</v>
          </cell>
          <cell r="C208" t="str">
            <v>Patriot</v>
          </cell>
          <cell r="D208">
            <v>27621</v>
          </cell>
        </row>
        <row r="209">
          <cell r="A209">
            <v>190415</v>
          </cell>
          <cell r="B209" t="str">
            <v>Cornell</v>
          </cell>
          <cell r="C209" t="str">
            <v>Ivy League</v>
          </cell>
          <cell r="D209">
            <v>27522</v>
          </cell>
        </row>
        <row r="210">
          <cell r="A210">
            <v>191649</v>
          </cell>
          <cell r="B210" t="str">
            <v>Hofstra</v>
          </cell>
          <cell r="C210" t="str">
            <v>CAA</v>
          </cell>
          <cell r="D210">
            <v>27508</v>
          </cell>
        </row>
        <row r="211">
          <cell r="A211">
            <v>221768</v>
          </cell>
          <cell r="B211" t="str">
            <v>UT Martin</v>
          </cell>
          <cell r="C211" t="str">
            <v>OVC</v>
          </cell>
          <cell r="D211">
            <v>27485</v>
          </cell>
        </row>
        <row r="212">
          <cell r="A212">
            <v>130226</v>
          </cell>
          <cell r="B212" t="str">
            <v>Quinnipiac</v>
          </cell>
          <cell r="C212" t="str">
            <v>MAAC</v>
          </cell>
          <cell r="D212">
            <v>27481</v>
          </cell>
        </row>
        <row r="213">
          <cell r="A213">
            <v>228459</v>
          </cell>
          <cell r="B213" t="str">
            <v>Texas St.</v>
          </cell>
          <cell r="C213" t="str">
            <v>Sun Belt</v>
          </cell>
          <cell r="D213">
            <v>27448</v>
          </cell>
        </row>
        <row r="214">
          <cell r="A214">
            <v>232557</v>
          </cell>
          <cell r="B214" t="str">
            <v>Liberty</v>
          </cell>
          <cell r="C214" t="str">
            <v>Big South</v>
          </cell>
          <cell r="D214">
            <v>27400</v>
          </cell>
        </row>
        <row r="215">
          <cell r="A215">
            <v>164076</v>
          </cell>
          <cell r="B215" t="str">
            <v>Towson</v>
          </cell>
          <cell r="C215" t="str">
            <v>CAA</v>
          </cell>
          <cell r="D215">
            <v>27320</v>
          </cell>
        </row>
        <row r="216">
          <cell r="A216">
            <v>230737</v>
          </cell>
          <cell r="B216" t="str">
            <v>Utah Valley</v>
          </cell>
          <cell r="C216" t="str">
            <v>WAC</v>
          </cell>
          <cell r="D216">
            <v>27117</v>
          </cell>
        </row>
        <row r="217">
          <cell r="A217">
            <v>218973</v>
          </cell>
          <cell r="B217" t="str">
            <v>Wofford</v>
          </cell>
          <cell r="C217" t="str">
            <v>SoCon</v>
          </cell>
          <cell r="D217">
            <v>27030</v>
          </cell>
        </row>
        <row r="218">
          <cell r="A218">
            <v>500002</v>
          </cell>
          <cell r="B218" t="str">
            <v>Air Force</v>
          </cell>
          <cell r="C218" t="str">
            <v>Mountain West</v>
          </cell>
          <cell r="D218">
            <v>26925</v>
          </cell>
        </row>
        <row r="219">
          <cell r="A219">
            <v>139931</v>
          </cell>
          <cell r="B219" t="str">
            <v>Ga. Southern</v>
          </cell>
          <cell r="C219" t="str">
            <v>Sun Belt</v>
          </cell>
          <cell r="D219">
            <v>26665</v>
          </cell>
        </row>
        <row r="220">
          <cell r="A220">
            <v>110422</v>
          </cell>
          <cell r="B220" t="str">
            <v>Cal Poly</v>
          </cell>
          <cell r="C220" t="str">
            <v>Big West</v>
          </cell>
          <cell r="D220">
            <v>26536</v>
          </cell>
        </row>
        <row r="221">
          <cell r="A221">
            <v>185572</v>
          </cell>
          <cell r="B221" t="str">
            <v>Monmouth</v>
          </cell>
          <cell r="C221" t="str">
            <v>MAAC</v>
          </cell>
          <cell r="D221">
            <v>26522</v>
          </cell>
        </row>
        <row r="222">
          <cell r="A222">
            <v>122931</v>
          </cell>
          <cell r="B222" t="str">
            <v>Santa Clara</v>
          </cell>
          <cell r="C222" t="str">
            <v>WCC</v>
          </cell>
          <cell r="D222">
            <v>26521</v>
          </cell>
        </row>
        <row r="223">
          <cell r="A223">
            <v>227757</v>
          </cell>
          <cell r="B223" t="str">
            <v>Rice</v>
          </cell>
          <cell r="C223" t="str">
            <v>CUSA</v>
          </cell>
          <cell r="D223">
            <v>26442</v>
          </cell>
        </row>
        <row r="224">
          <cell r="A224">
            <v>122436</v>
          </cell>
          <cell r="B224" t="str">
            <v>San Diego</v>
          </cell>
          <cell r="C224" t="str">
            <v>WCC</v>
          </cell>
          <cell r="D224">
            <v>26101</v>
          </cell>
        </row>
        <row r="225">
          <cell r="A225">
            <v>106458</v>
          </cell>
          <cell r="B225" t="str">
            <v>Arkansas St.</v>
          </cell>
          <cell r="C225" t="str">
            <v>Sun Belt</v>
          </cell>
          <cell r="D225">
            <v>25988</v>
          </cell>
        </row>
        <row r="226">
          <cell r="A226">
            <v>106412</v>
          </cell>
          <cell r="B226" t="str">
            <v>Ark.-Pine Bluff</v>
          </cell>
          <cell r="C226" t="str">
            <v>SWAC</v>
          </cell>
          <cell r="D226">
            <v>25927</v>
          </cell>
        </row>
        <row r="227">
          <cell r="A227">
            <v>102368</v>
          </cell>
          <cell r="B227" t="str">
            <v>Troy</v>
          </cell>
          <cell r="C227" t="str">
            <v>Sun Belt</v>
          </cell>
          <cell r="D227">
            <v>25906</v>
          </cell>
        </row>
        <row r="228">
          <cell r="A228">
            <v>189705</v>
          </cell>
          <cell r="B228" t="str">
            <v>Canisius</v>
          </cell>
          <cell r="C228" t="str">
            <v>MAAC</v>
          </cell>
          <cell r="D228">
            <v>25822</v>
          </cell>
        </row>
        <row r="229">
          <cell r="A229">
            <v>102094</v>
          </cell>
          <cell r="B229" t="str">
            <v>South Alabama</v>
          </cell>
          <cell r="C229" t="str">
            <v>Sun Belt</v>
          </cell>
          <cell r="D229">
            <v>25564</v>
          </cell>
        </row>
        <row r="230">
          <cell r="A230">
            <v>117946</v>
          </cell>
          <cell r="B230" t="str">
            <v>LMU (CA)</v>
          </cell>
          <cell r="C230" t="str">
            <v>WCC</v>
          </cell>
          <cell r="D230">
            <v>25256</v>
          </cell>
        </row>
        <row r="231">
          <cell r="A231">
            <v>166027</v>
          </cell>
          <cell r="B231" t="str">
            <v>Harvard</v>
          </cell>
          <cell r="C231" t="str">
            <v>Ivy League</v>
          </cell>
          <cell r="D231">
            <v>25001</v>
          </cell>
        </row>
        <row r="232">
          <cell r="A232">
            <v>127060</v>
          </cell>
          <cell r="B232" t="str">
            <v>Denver</v>
          </cell>
          <cell r="C232" t="str">
            <v>Summit League</v>
          </cell>
          <cell r="D232">
            <v>24855</v>
          </cell>
        </row>
        <row r="233">
          <cell r="A233">
            <v>229063</v>
          </cell>
          <cell r="B233" t="str">
            <v>Texas Southern</v>
          </cell>
          <cell r="C233" t="str">
            <v>SWAC</v>
          </cell>
          <cell r="D233">
            <v>24599</v>
          </cell>
        </row>
        <row r="234">
          <cell r="A234">
            <v>190150</v>
          </cell>
          <cell r="B234" t="str">
            <v>Columbia</v>
          </cell>
          <cell r="C234" t="str">
            <v>Ivy League</v>
          </cell>
          <cell r="D234">
            <v>24567</v>
          </cell>
        </row>
        <row r="235">
          <cell r="A235">
            <v>129525</v>
          </cell>
          <cell r="B235" t="str">
            <v>Hartford</v>
          </cell>
          <cell r="C235" t="str">
            <v>America East</v>
          </cell>
          <cell r="D235">
            <v>24469</v>
          </cell>
        </row>
        <row r="236">
          <cell r="A236">
            <v>139940</v>
          </cell>
          <cell r="B236" t="str">
            <v>Georgia St.</v>
          </cell>
          <cell r="C236" t="str">
            <v>Sun Belt</v>
          </cell>
          <cell r="D236">
            <v>24303</v>
          </cell>
        </row>
        <row r="237">
          <cell r="A237">
            <v>224147</v>
          </cell>
          <cell r="B237" t="str">
            <v>A&amp;M-Corpus Christi</v>
          </cell>
          <cell r="C237" t="str">
            <v>Southland</v>
          </cell>
          <cell r="D237">
            <v>24186</v>
          </cell>
        </row>
        <row r="238">
          <cell r="A238">
            <v>101480</v>
          </cell>
          <cell r="B238" t="str">
            <v>Jacksonville St.</v>
          </cell>
          <cell r="C238" t="str">
            <v>OVC</v>
          </cell>
          <cell r="D238">
            <v>24173</v>
          </cell>
        </row>
        <row r="239">
          <cell r="A239">
            <v>221847</v>
          </cell>
          <cell r="B239" t="str">
            <v>Tennessee Tech</v>
          </cell>
          <cell r="C239" t="str">
            <v>OVC</v>
          </cell>
          <cell r="D239">
            <v>23524</v>
          </cell>
        </row>
        <row r="240">
          <cell r="A240">
            <v>180461</v>
          </cell>
          <cell r="B240" t="str">
            <v>Montana St.</v>
          </cell>
          <cell r="C240" t="str">
            <v>Big Sky</v>
          </cell>
          <cell r="D240">
            <v>23310</v>
          </cell>
        </row>
        <row r="241">
          <cell r="A241">
            <v>122755</v>
          </cell>
          <cell r="B241" t="str">
            <v>San Jose St.</v>
          </cell>
          <cell r="C241" t="str">
            <v>Mountain West</v>
          </cell>
          <cell r="D241">
            <v>23238</v>
          </cell>
        </row>
        <row r="242">
          <cell r="A242">
            <v>232937</v>
          </cell>
          <cell r="B242" t="str">
            <v>Norfolk St.</v>
          </cell>
          <cell r="C242" t="str">
            <v>MEAC</v>
          </cell>
          <cell r="D242">
            <v>23075</v>
          </cell>
        </row>
        <row r="243">
          <cell r="A243">
            <v>219471</v>
          </cell>
          <cell r="B243" t="str">
            <v>South Dakota</v>
          </cell>
          <cell r="C243" t="str">
            <v>Summit League</v>
          </cell>
          <cell r="D243">
            <v>22685</v>
          </cell>
        </row>
        <row r="244">
          <cell r="A244">
            <v>106245</v>
          </cell>
          <cell r="B244" t="str">
            <v>Little Rock</v>
          </cell>
          <cell r="C244" t="str">
            <v>Sun Belt</v>
          </cell>
          <cell r="D244">
            <v>22527</v>
          </cell>
        </row>
        <row r="245">
          <cell r="A245">
            <v>144892</v>
          </cell>
          <cell r="B245" t="str">
            <v>Eastern Ill.</v>
          </cell>
          <cell r="C245" t="str">
            <v>OVC</v>
          </cell>
          <cell r="D245">
            <v>22421</v>
          </cell>
        </row>
        <row r="246">
          <cell r="A246">
            <v>149231</v>
          </cell>
          <cell r="B246" t="str">
            <v>SIUE</v>
          </cell>
          <cell r="C246" t="str">
            <v>OVC</v>
          </cell>
          <cell r="D246">
            <v>22176</v>
          </cell>
        </row>
        <row r="247">
          <cell r="A247">
            <v>121150</v>
          </cell>
          <cell r="B247" t="str">
            <v>Pepperdine</v>
          </cell>
          <cell r="C247" t="str">
            <v>WCC</v>
          </cell>
          <cell r="D247">
            <v>21775</v>
          </cell>
        </row>
        <row r="248">
          <cell r="A248">
            <v>140960</v>
          </cell>
          <cell r="B248" t="str">
            <v>Savannah St.</v>
          </cell>
          <cell r="C248" t="str">
            <v>MEAC</v>
          </cell>
          <cell r="D248">
            <v>21605</v>
          </cell>
        </row>
        <row r="249">
          <cell r="A249">
            <v>199111</v>
          </cell>
          <cell r="B249" t="str">
            <v>UNC Asheville</v>
          </cell>
          <cell r="C249" t="str">
            <v>Big South</v>
          </cell>
          <cell r="D249">
            <v>21426</v>
          </cell>
        </row>
        <row r="250">
          <cell r="A250">
            <v>217864</v>
          </cell>
          <cell r="B250" t="str">
            <v>The Citadel</v>
          </cell>
          <cell r="C250" t="str">
            <v>SoCon</v>
          </cell>
          <cell r="D250">
            <v>21292</v>
          </cell>
        </row>
        <row r="251">
          <cell r="A251">
            <v>163338</v>
          </cell>
          <cell r="B251" t="str">
            <v>UMES</v>
          </cell>
          <cell r="C251" t="str">
            <v>MEAC</v>
          </cell>
          <cell r="D251">
            <v>21252</v>
          </cell>
        </row>
        <row r="252">
          <cell r="A252">
            <v>234085</v>
          </cell>
          <cell r="B252" t="str">
            <v>VMI</v>
          </cell>
          <cell r="C252" t="str">
            <v>SoCon</v>
          </cell>
          <cell r="D252">
            <v>21002</v>
          </cell>
        </row>
        <row r="253">
          <cell r="A253">
            <v>198695</v>
          </cell>
          <cell r="B253" t="str">
            <v>High Point</v>
          </cell>
          <cell r="C253" t="str">
            <v>Big South</v>
          </cell>
          <cell r="D253">
            <v>20961</v>
          </cell>
        </row>
        <row r="254">
          <cell r="A254">
            <v>199157</v>
          </cell>
          <cell r="B254" t="str">
            <v>N.C. Central</v>
          </cell>
          <cell r="C254" t="str">
            <v>MEAC</v>
          </cell>
          <cell r="D254">
            <v>20913</v>
          </cell>
        </row>
        <row r="255">
          <cell r="A255">
            <v>178402</v>
          </cell>
          <cell r="B255" t="str">
            <v>Kansas City</v>
          </cell>
          <cell r="C255" t="str">
            <v>WAC</v>
          </cell>
          <cell r="D255">
            <v>20763</v>
          </cell>
        </row>
        <row r="256">
          <cell r="A256">
            <v>219976</v>
          </cell>
          <cell r="B256" t="str">
            <v>Lipscomb</v>
          </cell>
          <cell r="C256" t="str">
            <v>ASUN</v>
          </cell>
          <cell r="D256">
            <v>20585</v>
          </cell>
        </row>
        <row r="257">
          <cell r="A257">
            <v>198136</v>
          </cell>
          <cell r="B257" t="str">
            <v>Campbell</v>
          </cell>
          <cell r="C257" t="str">
            <v>Big South</v>
          </cell>
          <cell r="D257">
            <v>20447</v>
          </cell>
        </row>
        <row r="258">
          <cell r="A258">
            <v>200280</v>
          </cell>
          <cell r="B258" t="str">
            <v>North Dakota</v>
          </cell>
          <cell r="C258" t="str">
            <v>Big Sky</v>
          </cell>
          <cell r="D258">
            <v>20394</v>
          </cell>
        </row>
        <row r="259">
          <cell r="A259">
            <v>197197</v>
          </cell>
          <cell r="B259" t="str">
            <v>Wagner</v>
          </cell>
          <cell r="C259" t="str">
            <v>NEC</v>
          </cell>
          <cell r="D259">
            <v>20196</v>
          </cell>
        </row>
        <row r="260">
          <cell r="A260">
            <v>142276</v>
          </cell>
          <cell r="B260" t="str">
            <v>Idaho St.</v>
          </cell>
          <cell r="C260" t="str">
            <v>Big Sky</v>
          </cell>
          <cell r="D260">
            <v>20059</v>
          </cell>
        </row>
        <row r="261">
          <cell r="A261">
            <v>151111</v>
          </cell>
          <cell r="B261" t="str">
            <v>IU Indy</v>
          </cell>
          <cell r="C261" t="str">
            <v>Summit League</v>
          </cell>
          <cell r="D261">
            <v>19853</v>
          </cell>
        </row>
        <row r="262">
          <cell r="A262">
            <v>227881</v>
          </cell>
          <cell r="B262" t="str">
            <v>Sam Houston</v>
          </cell>
          <cell r="C262" t="str">
            <v>Southland</v>
          </cell>
          <cell r="D262">
            <v>19717</v>
          </cell>
        </row>
        <row r="263">
          <cell r="A263">
            <v>197869</v>
          </cell>
          <cell r="B263" t="str">
            <v>App State</v>
          </cell>
          <cell r="C263" t="str">
            <v>Sun Belt</v>
          </cell>
          <cell r="D263">
            <v>19422</v>
          </cell>
        </row>
        <row r="264">
          <cell r="A264">
            <v>500001</v>
          </cell>
          <cell r="B264" t="str">
            <v>Army West Point</v>
          </cell>
          <cell r="C264" t="str">
            <v>Patriot</v>
          </cell>
          <cell r="D264">
            <v>19317</v>
          </cell>
        </row>
        <row r="265">
          <cell r="A265">
            <v>166124</v>
          </cell>
          <cell r="B265" t="str">
            <v>Holy Cross</v>
          </cell>
          <cell r="C265" t="str">
            <v>Patriot</v>
          </cell>
          <cell r="D265">
            <v>19174</v>
          </cell>
        </row>
        <row r="266">
          <cell r="A266">
            <v>186283</v>
          </cell>
          <cell r="B266" t="str">
            <v>Rider</v>
          </cell>
          <cell r="C266" t="str">
            <v>MAAC</v>
          </cell>
          <cell r="D266">
            <v>19058</v>
          </cell>
        </row>
        <row r="267">
          <cell r="A267">
            <v>212054</v>
          </cell>
          <cell r="B267" t="str">
            <v>Drexel</v>
          </cell>
          <cell r="C267" t="str">
            <v>CAA</v>
          </cell>
          <cell r="D267">
            <v>19043</v>
          </cell>
        </row>
        <row r="268">
          <cell r="A268">
            <v>204024</v>
          </cell>
          <cell r="B268" t="str">
            <v>Miami (OH)</v>
          </cell>
          <cell r="C268" t="str">
            <v>MAC</v>
          </cell>
          <cell r="D268">
            <v>18916</v>
          </cell>
        </row>
        <row r="269">
          <cell r="A269">
            <v>198516</v>
          </cell>
          <cell r="B269" t="str">
            <v>Elon</v>
          </cell>
          <cell r="C269" t="str">
            <v>CAA</v>
          </cell>
          <cell r="D269">
            <v>18897</v>
          </cell>
        </row>
        <row r="270">
          <cell r="A270">
            <v>195173</v>
          </cell>
          <cell r="B270" t="str">
            <v>St. Francis Brooklyn</v>
          </cell>
          <cell r="C270" t="str">
            <v>NEC</v>
          </cell>
          <cell r="D270">
            <v>18882</v>
          </cell>
        </row>
        <row r="271">
          <cell r="A271">
            <v>147703</v>
          </cell>
          <cell r="B271" t="str">
            <v>NIU</v>
          </cell>
          <cell r="C271" t="str">
            <v>MAC</v>
          </cell>
          <cell r="D271">
            <v>18771</v>
          </cell>
        </row>
        <row r="272">
          <cell r="A272">
            <v>200004</v>
          </cell>
          <cell r="B272" t="str">
            <v>Western Caro.</v>
          </cell>
          <cell r="C272" t="str">
            <v>SoCon</v>
          </cell>
          <cell r="D272">
            <v>18634</v>
          </cell>
        </row>
        <row r="273">
          <cell r="A273">
            <v>100724</v>
          </cell>
          <cell r="B273" t="str">
            <v>Alabama St.</v>
          </cell>
          <cell r="C273" t="str">
            <v>SWAC</v>
          </cell>
          <cell r="D273">
            <v>18480</v>
          </cell>
        </row>
        <row r="274">
          <cell r="A274">
            <v>127741</v>
          </cell>
          <cell r="B274" t="str">
            <v>Northern Colo.</v>
          </cell>
          <cell r="C274" t="str">
            <v>Big Sky</v>
          </cell>
          <cell r="D274">
            <v>18161</v>
          </cell>
        </row>
        <row r="275">
          <cell r="A275">
            <v>181394</v>
          </cell>
          <cell r="B275" t="str">
            <v>Omaha</v>
          </cell>
          <cell r="C275" t="str">
            <v>Summit League</v>
          </cell>
          <cell r="D275">
            <v>17861</v>
          </cell>
        </row>
        <row r="276">
          <cell r="A276">
            <v>215655</v>
          </cell>
          <cell r="B276" t="str">
            <v>Robert Morris</v>
          </cell>
          <cell r="C276" t="str">
            <v>NEC</v>
          </cell>
          <cell r="D276">
            <v>17693</v>
          </cell>
        </row>
        <row r="277">
          <cell r="A277">
            <v>198561</v>
          </cell>
          <cell r="B277" t="str">
            <v>Gardner-Webb</v>
          </cell>
          <cell r="C277" t="str">
            <v>Big South</v>
          </cell>
          <cell r="D277">
            <v>17658</v>
          </cell>
        </row>
        <row r="278">
          <cell r="A278">
            <v>151102</v>
          </cell>
          <cell r="B278" t="str">
            <v>Purdue Fort Wayne</v>
          </cell>
          <cell r="C278" t="str">
            <v>Summit League</v>
          </cell>
          <cell r="D278">
            <v>17523</v>
          </cell>
        </row>
        <row r="279">
          <cell r="A279">
            <v>221838</v>
          </cell>
          <cell r="B279" t="str">
            <v>Tennessee St.</v>
          </cell>
          <cell r="C279" t="str">
            <v>OVC</v>
          </cell>
          <cell r="D279">
            <v>17378</v>
          </cell>
        </row>
        <row r="280">
          <cell r="A280">
            <v>222178</v>
          </cell>
          <cell r="B280" t="str">
            <v>Abilene Christian</v>
          </cell>
          <cell r="C280" t="str">
            <v>Southland</v>
          </cell>
          <cell r="D280">
            <v>17368</v>
          </cell>
        </row>
        <row r="281">
          <cell r="A281">
            <v>218964</v>
          </cell>
          <cell r="B281" t="str">
            <v>Winthrop</v>
          </cell>
          <cell r="C281" t="str">
            <v>Big South</v>
          </cell>
          <cell r="D281">
            <v>17343</v>
          </cell>
        </row>
        <row r="282">
          <cell r="A282">
            <v>131159</v>
          </cell>
          <cell r="B282" t="str">
            <v>American</v>
          </cell>
          <cell r="C282" t="str">
            <v>Patriot</v>
          </cell>
          <cell r="D282">
            <v>17228</v>
          </cell>
        </row>
        <row r="283">
          <cell r="A283">
            <v>192703</v>
          </cell>
          <cell r="B283" t="str">
            <v>Manhattan</v>
          </cell>
          <cell r="C283" t="str">
            <v>MAAC</v>
          </cell>
          <cell r="D283">
            <v>17134</v>
          </cell>
        </row>
        <row r="284">
          <cell r="A284">
            <v>199102</v>
          </cell>
          <cell r="B284" t="str">
            <v>N.C. A&amp;T</v>
          </cell>
          <cell r="C284" t="str">
            <v>MEAC</v>
          </cell>
          <cell r="D284">
            <v>16932</v>
          </cell>
        </row>
        <row r="285">
          <cell r="A285">
            <v>230603</v>
          </cell>
          <cell r="B285" t="str">
            <v>Southern Utah</v>
          </cell>
          <cell r="C285" t="str">
            <v>Big Sky</v>
          </cell>
          <cell r="D285">
            <v>16901</v>
          </cell>
        </row>
        <row r="286">
          <cell r="A286">
            <v>192448</v>
          </cell>
          <cell r="B286" t="str">
            <v>LIU</v>
          </cell>
          <cell r="C286" t="str">
            <v>NEC</v>
          </cell>
          <cell r="D286">
            <v>16848</v>
          </cell>
        </row>
        <row r="287">
          <cell r="A287">
            <v>163453</v>
          </cell>
          <cell r="B287" t="str">
            <v>Morgan St.</v>
          </cell>
          <cell r="C287" t="str">
            <v>MEAC</v>
          </cell>
          <cell r="D287">
            <v>16775</v>
          </cell>
        </row>
        <row r="288">
          <cell r="A288">
            <v>218070</v>
          </cell>
          <cell r="B288" t="str">
            <v>Furman</v>
          </cell>
          <cell r="C288" t="str">
            <v>SoCon</v>
          </cell>
          <cell r="D288">
            <v>16770</v>
          </cell>
        </row>
        <row r="289">
          <cell r="A289">
            <v>130794</v>
          </cell>
          <cell r="B289" t="str">
            <v>Yale</v>
          </cell>
          <cell r="C289" t="str">
            <v>Ivy League</v>
          </cell>
          <cell r="D289">
            <v>16458</v>
          </cell>
        </row>
        <row r="290">
          <cell r="A290">
            <v>133669</v>
          </cell>
          <cell r="B290" t="str">
            <v>Fla. Atlantic</v>
          </cell>
          <cell r="C290" t="str">
            <v>CUSA</v>
          </cell>
          <cell r="D290">
            <v>16387</v>
          </cell>
        </row>
        <row r="291">
          <cell r="A291">
            <v>169798</v>
          </cell>
          <cell r="B291" t="str">
            <v>Eastern Mich.</v>
          </cell>
          <cell r="C291" t="str">
            <v>MAC</v>
          </cell>
          <cell r="D291">
            <v>16305</v>
          </cell>
        </row>
        <row r="292">
          <cell r="A292">
            <v>142285</v>
          </cell>
          <cell r="B292" t="str">
            <v>Idaho</v>
          </cell>
          <cell r="C292" t="str">
            <v>Big Sky</v>
          </cell>
          <cell r="D292">
            <v>16199</v>
          </cell>
        </row>
        <row r="293">
          <cell r="A293">
            <v>192819</v>
          </cell>
          <cell r="B293" t="str">
            <v>Marist</v>
          </cell>
          <cell r="C293" t="str">
            <v>MAAC</v>
          </cell>
          <cell r="D293">
            <v>16120</v>
          </cell>
        </row>
        <row r="294">
          <cell r="A294">
            <v>163462</v>
          </cell>
          <cell r="B294" t="str">
            <v>Mount St. Mary's</v>
          </cell>
          <cell r="C294" t="str">
            <v>NEC</v>
          </cell>
          <cell r="D294">
            <v>16063</v>
          </cell>
        </row>
        <row r="295">
          <cell r="A295">
            <v>175342</v>
          </cell>
          <cell r="B295" t="str">
            <v>Alcorn</v>
          </cell>
          <cell r="C295" t="str">
            <v>SWAC</v>
          </cell>
          <cell r="D295">
            <v>15958</v>
          </cell>
        </row>
        <row r="296">
          <cell r="A296">
            <v>110608</v>
          </cell>
          <cell r="B296" t="str">
            <v>CSUN</v>
          </cell>
          <cell r="C296" t="str">
            <v>Big West</v>
          </cell>
          <cell r="D296">
            <v>15946</v>
          </cell>
        </row>
        <row r="297">
          <cell r="A297">
            <v>159717</v>
          </cell>
          <cell r="B297" t="str">
            <v>McNeese</v>
          </cell>
          <cell r="C297" t="str">
            <v>Southland</v>
          </cell>
          <cell r="D297">
            <v>15749</v>
          </cell>
        </row>
        <row r="298">
          <cell r="A298">
            <v>110565</v>
          </cell>
          <cell r="B298" t="str">
            <v>Cal St. Fullerton</v>
          </cell>
          <cell r="C298" t="str">
            <v>Big West</v>
          </cell>
          <cell r="D298">
            <v>15648</v>
          </cell>
        </row>
        <row r="299">
          <cell r="A299">
            <v>110486</v>
          </cell>
          <cell r="B299" t="str">
            <v>CSU Bakersfield</v>
          </cell>
          <cell r="C299" t="str">
            <v>WAC</v>
          </cell>
          <cell r="D299">
            <v>15614</v>
          </cell>
        </row>
        <row r="300">
          <cell r="A300">
            <v>130934</v>
          </cell>
          <cell r="B300" t="str">
            <v>Delaware St.</v>
          </cell>
          <cell r="C300" t="str">
            <v>MEAC</v>
          </cell>
          <cell r="D300">
            <v>15580</v>
          </cell>
        </row>
        <row r="301">
          <cell r="A301">
            <v>232566</v>
          </cell>
          <cell r="B301" t="str">
            <v>Longwood</v>
          </cell>
          <cell r="C301" t="str">
            <v>Big South</v>
          </cell>
          <cell r="D301">
            <v>15571</v>
          </cell>
        </row>
        <row r="302">
          <cell r="A302">
            <v>160621</v>
          </cell>
          <cell r="B302" t="str">
            <v>Southern U.</v>
          </cell>
          <cell r="C302" t="str">
            <v>SWAC</v>
          </cell>
          <cell r="D302">
            <v>15561</v>
          </cell>
        </row>
        <row r="303">
          <cell r="A303">
            <v>229027</v>
          </cell>
          <cell r="B303" t="str">
            <v>UTSA</v>
          </cell>
          <cell r="C303" t="str">
            <v>CUSA</v>
          </cell>
          <cell r="D303">
            <v>15456</v>
          </cell>
        </row>
        <row r="304">
          <cell r="A304">
            <v>193973</v>
          </cell>
          <cell r="B304" t="str">
            <v>Niagara</v>
          </cell>
          <cell r="C304" t="str">
            <v>MAAC</v>
          </cell>
          <cell r="D304">
            <v>15336</v>
          </cell>
        </row>
        <row r="305">
          <cell r="A305">
            <v>149772</v>
          </cell>
          <cell r="B305" t="str">
            <v>Western Ill.</v>
          </cell>
          <cell r="C305" t="str">
            <v>Summit League</v>
          </cell>
          <cell r="D305">
            <v>15240</v>
          </cell>
        </row>
        <row r="306">
          <cell r="A306">
            <v>167358</v>
          </cell>
          <cell r="B306" t="str">
            <v>Northeastern</v>
          </cell>
          <cell r="C306" t="str">
            <v>CAA</v>
          </cell>
          <cell r="D306">
            <v>15044</v>
          </cell>
        </row>
        <row r="307">
          <cell r="A307">
            <v>133951</v>
          </cell>
          <cell r="B307" t="str">
            <v>FIU</v>
          </cell>
          <cell r="C307" t="str">
            <v>CUSA</v>
          </cell>
          <cell r="D307">
            <v>14890</v>
          </cell>
        </row>
        <row r="308">
          <cell r="A308">
            <v>185828</v>
          </cell>
          <cell r="B308" t="str">
            <v>NJIT</v>
          </cell>
          <cell r="C308" t="str">
            <v>Independent</v>
          </cell>
          <cell r="D308">
            <v>14804</v>
          </cell>
        </row>
        <row r="309">
          <cell r="A309">
            <v>213543</v>
          </cell>
          <cell r="B309" t="str">
            <v>Lehigh</v>
          </cell>
          <cell r="C309" t="str">
            <v>Patriot</v>
          </cell>
          <cell r="D309">
            <v>14696</v>
          </cell>
        </row>
        <row r="310">
          <cell r="A310">
            <v>161253</v>
          </cell>
          <cell r="B310" t="str">
            <v>Maine</v>
          </cell>
          <cell r="C310" t="str">
            <v>America East</v>
          </cell>
          <cell r="D310">
            <v>14627</v>
          </cell>
        </row>
        <row r="311">
          <cell r="A311">
            <v>137546</v>
          </cell>
          <cell r="B311" t="str">
            <v>Stetson</v>
          </cell>
          <cell r="C311" t="str">
            <v>ASUN</v>
          </cell>
          <cell r="D311">
            <v>14428</v>
          </cell>
        </row>
        <row r="312">
          <cell r="A312">
            <v>486840</v>
          </cell>
          <cell r="B312" t="str">
            <v>Kennesaw St.</v>
          </cell>
          <cell r="C312" t="str">
            <v>ASUN</v>
          </cell>
          <cell r="D312">
            <v>14410</v>
          </cell>
        </row>
        <row r="313">
          <cell r="A313">
            <v>227368</v>
          </cell>
          <cell r="B313" t="str">
            <v>UTRGV</v>
          </cell>
          <cell r="C313" t="str">
            <v>WAC</v>
          </cell>
          <cell r="D313">
            <v>14088</v>
          </cell>
        </row>
        <row r="314">
          <cell r="A314">
            <v>102049</v>
          </cell>
          <cell r="B314" t="str">
            <v>Samford</v>
          </cell>
          <cell r="C314" t="str">
            <v>SoCon</v>
          </cell>
          <cell r="D314">
            <v>13893</v>
          </cell>
        </row>
        <row r="315">
          <cell r="A315">
            <v>100654</v>
          </cell>
          <cell r="B315" t="str">
            <v>Alabama A&amp;M</v>
          </cell>
          <cell r="C315" t="str">
            <v>SWAC</v>
          </cell>
          <cell r="D315">
            <v>13872</v>
          </cell>
        </row>
        <row r="316">
          <cell r="A316">
            <v>218742</v>
          </cell>
          <cell r="B316" t="str">
            <v>USC Upstate</v>
          </cell>
          <cell r="C316" t="str">
            <v>ASUN</v>
          </cell>
          <cell r="D316">
            <v>13750</v>
          </cell>
        </row>
        <row r="317">
          <cell r="A317">
            <v>225627</v>
          </cell>
          <cell r="B317" t="str">
            <v>UIW</v>
          </cell>
          <cell r="C317" t="str">
            <v>Southland</v>
          </cell>
          <cell r="D317">
            <v>13528</v>
          </cell>
        </row>
        <row r="318">
          <cell r="A318">
            <v>215743</v>
          </cell>
          <cell r="B318" t="str">
            <v>Saint Francis</v>
          </cell>
          <cell r="C318" t="str">
            <v>NEC</v>
          </cell>
          <cell r="D318">
            <v>13224</v>
          </cell>
        </row>
        <row r="319">
          <cell r="A319">
            <v>190099</v>
          </cell>
          <cell r="B319" t="str">
            <v>Colgate</v>
          </cell>
          <cell r="C319" t="str">
            <v>Patriot</v>
          </cell>
          <cell r="D319">
            <v>13150</v>
          </cell>
        </row>
        <row r="320">
          <cell r="A320">
            <v>217165</v>
          </cell>
          <cell r="B320" t="str">
            <v>Bryant</v>
          </cell>
          <cell r="C320" t="str">
            <v>NEC</v>
          </cell>
          <cell r="D320">
            <v>13108</v>
          </cell>
        </row>
        <row r="321">
          <cell r="A321">
            <v>106704</v>
          </cell>
          <cell r="B321" t="str">
            <v>Central Ark.</v>
          </cell>
          <cell r="C321" t="str">
            <v>Southland</v>
          </cell>
          <cell r="D321">
            <v>13057</v>
          </cell>
        </row>
        <row r="322">
          <cell r="A322">
            <v>217688</v>
          </cell>
          <cell r="B322" t="str">
            <v>Charleston So.</v>
          </cell>
          <cell r="C322" t="str">
            <v>Big South</v>
          </cell>
          <cell r="D322">
            <v>12922</v>
          </cell>
        </row>
        <row r="323">
          <cell r="A323">
            <v>110617</v>
          </cell>
          <cell r="B323" t="str">
            <v>Sacramento St.</v>
          </cell>
          <cell r="C323" t="str">
            <v>Big Sky</v>
          </cell>
          <cell r="D323">
            <v>12544</v>
          </cell>
        </row>
        <row r="324">
          <cell r="A324">
            <v>183044</v>
          </cell>
          <cell r="B324" t="str">
            <v>New Hampshire</v>
          </cell>
          <cell r="C324" t="str">
            <v>America East</v>
          </cell>
          <cell r="D324">
            <v>11780</v>
          </cell>
        </row>
        <row r="325">
          <cell r="A325">
            <v>110671</v>
          </cell>
          <cell r="B325" t="str">
            <v>UC Riverside</v>
          </cell>
          <cell r="C325" t="str">
            <v>Big West</v>
          </cell>
          <cell r="D325">
            <v>11427</v>
          </cell>
        </row>
        <row r="326">
          <cell r="A326">
            <v>182670</v>
          </cell>
          <cell r="B326" t="str">
            <v>Dartmouth</v>
          </cell>
          <cell r="C326" t="str">
            <v>Ivy League</v>
          </cell>
          <cell r="D326">
            <v>11422</v>
          </cell>
        </row>
        <row r="327">
          <cell r="A327">
            <v>163046</v>
          </cell>
          <cell r="B327" t="str">
            <v>Loyola Maryland</v>
          </cell>
          <cell r="C327" t="str">
            <v>Patriot</v>
          </cell>
          <cell r="D327">
            <v>11205</v>
          </cell>
        </row>
        <row r="328">
          <cell r="A328">
            <v>217156</v>
          </cell>
          <cell r="B328" t="str">
            <v>Brown</v>
          </cell>
          <cell r="C328" t="str">
            <v>Ivy League</v>
          </cell>
          <cell r="D328">
            <v>11088</v>
          </cell>
        </row>
        <row r="329">
          <cell r="A329">
            <v>128771</v>
          </cell>
          <cell r="B329" t="str">
            <v>Central Conn. St.</v>
          </cell>
          <cell r="C329" t="str">
            <v>NEC</v>
          </cell>
          <cell r="D329">
            <v>11010</v>
          </cell>
        </row>
        <row r="330">
          <cell r="A330">
            <v>227526</v>
          </cell>
          <cell r="B330" t="str">
            <v>Prairie View</v>
          </cell>
          <cell r="C330" t="str">
            <v>SWAC</v>
          </cell>
          <cell r="D330">
            <v>10401</v>
          </cell>
        </row>
        <row r="331">
          <cell r="A331">
            <v>166513</v>
          </cell>
          <cell r="B331" t="str">
            <v>UMass Lowell</v>
          </cell>
          <cell r="C331" t="str">
            <v>America East</v>
          </cell>
          <cell r="D331">
            <v>10264</v>
          </cell>
        </row>
        <row r="332">
          <cell r="A332">
            <v>176044</v>
          </cell>
          <cell r="B332" t="str">
            <v>Mississippi Val.</v>
          </cell>
          <cell r="C332" t="str">
            <v>SWAC</v>
          </cell>
          <cell r="D332">
            <v>10248</v>
          </cell>
        </row>
        <row r="333">
          <cell r="A333">
            <v>159966</v>
          </cell>
          <cell r="B333" t="str">
            <v>Nicholls</v>
          </cell>
          <cell r="C333" t="str">
            <v>Southland</v>
          </cell>
          <cell r="D333">
            <v>9980</v>
          </cell>
        </row>
        <row r="334">
          <cell r="A334">
            <v>225399</v>
          </cell>
          <cell r="B334" t="str">
            <v>Houston Christian</v>
          </cell>
          <cell r="C334" t="str">
            <v>Southland</v>
          </cell>
          <cell r="D334">
            <v>9963</v>
          </cell>
        </row>
        <row r="335">
          <cell r="A335">
            <v>133650</v>
          </cell>
          <cell r="B335" t="str">
            <v>Florida A&amp;M</v>
          </cell>
          <cell r="C335" t="str">
            <v>MEAC</v>
          </cell>
          <cell r="D335">
            <v>9902</v>
          </cell>
        </row>
        <row r="336">
          <cell r="A336">
            <v>209807</v>
          </cell>
          <cell r="B336" t="str">
            <v>Portland St.</v>
          </cell>
          <cell r="C336" t="str">
            <v>Big Sky</v>
          </cell>
          <cell r="D336">
            <v>9513</v>
          </cell>
        </row>
        <row r="337">
          <cell r="A337">
            <v>132602</v>
          </cell>
          <cell r="B337" t="str">
            <v>Bethune-Cookman</v>
          </cell>
          <cell r="C337" t="str">
            <v>MEAC</v>
          </cell>
          <cell r="D337">
            <v>9405</v>
          </cell>
        </row>
        <row r="338">
          <cell r="A338">
            <v>163268</v>
          </cell>
          <cell r="B338" t="str">
            <v>UMBC</v>
          </cell>
          <cell r="C338" t="str">
            <v>America East</v>
          </cell>
          <cell r="D338">
            <v>9249</v>
          </cell>
        </row>
        <row r="339">
          <cell r="A339">
            <v>175856</v>
          </cell>
          <cell r="B339" t="str">
            <v>Jackson St.</v>
          </cell>
          <cell r="C339" t="str">
            <v>SWAC</v>
          </cell>
          <cell r="D339">
            <v>9224</v>
          </cell>
        </row>
        <row r="340">
          <cell r="A340">
            <v>218539</v>
          </cell>
          <cell r="B340" t="str">
            <v>Presbyterian</v>
          </cell>
          <cell r="C340" t="str">
            <v>Big South</v>
          </cell>
          <cell r="D340">
            <v>9165</v>
          </cell>
        </row>
        <row r="341">
          <cell r="A341">
            <v>131520</v>
          </cell>
          <cell r="B341" t="str">
            <v>Howard</v>
          </cell>
          <cell r="C341" t="str">
            <v>MEAC</v>
          </cell>
          <cell r="D341">
            <v>9008</v>
          </cell>
        </row>
        <row r="342">
          <cell r="A342">
            <v>184603</v>
          </cell>
          <cell r="B342" t="str">
            <v>FDU</v>
          </cell>
          <cell r="C342" t="str">
            <v>NEC</v>
          </cell>
          <cell r="D342">
            <v>8927</v>
          </cell>
        </row>
        <row r="343">
          <cell r="A343">
            <v>162283</v>
          </cell>
          <cell r="B343" t="str">
            <v>Coppin St.</v>
          </cell>
          <cell r="C343" t="str">
            <v>MEAC</v>
          </cell>
          <cell r="D343">
            <v>8872</v>
          </cell>
        </row>
        <row r="344">
          <cell r="A344">
            <v>159939</v>
          </cell>
          <cell r="B344" t="str">
            <v>New Orleans</v>
          </cell>
          <cell r="C344" t="str">
            <v>Southland</v>
          </cell>
          <cell r="D344">
            <v>8696</v>
          </cell>
        </row>
        <row r="345">
          <cell r="A345">
            <v>130253</v>
          </cell>
          <cell r="B345" t="str">
            <v>Sacred Heart</v>
          </cell>
          <cell r="C345" t="str">
            <v>NEC</v>
          </cell>
          <cell r="D345">
            <v>7334</v>
          </cell>
        </row>
        <row r="346">
          <cell r="A346">
            <v>164988</v>
          </cell>
          <cell r="B346" t="str">
            <v>Boston U.</v>
          </cell>
          <cell r="C346" t="str">
            <v>Patriot</v>
          </cell>
          <cell r="D346">
            <v>7263</v>
          </cell>
        </row>
        <row r="347">
          <cell r="A347">
            <v>160612</v>
          </cell>
          <cell r="B347" t="str">
            <v>Southeastern La.</v>
          </cell>
          <cell r="C347" t="str">
            <v>Southland</v>
          </cell>
          <cell r="D347">
            <v>7176</v>
          </cell>
        </row>
        <row r="348">
          <cell r="A348">
            <v>218733</v>
          </cell>
          <cell r="B348" t="str">
            <v>South Carolina St.</v>
          </cell>
          <cell r="C348" t="str">
            <v>MEAC</v>
          </cell>
          <cell r="D348">
            <v>6914</v>
          </cell>
        </row>
        <row r="349">
          <cell r="A349">
            <v>134945</v>
          </cell>
          <cell r="B349" t="str">
            <v>Jacksonville</v>
          </cell>
          <cell r="C349" t="str">
            <v>ASUN</v>
          </cell>
          <cell r="D349">
            <v>6211</v>
          </cell>
        </row>
        <row r="350">
          <cell r="A350">
            <v>144005</v>
          </cell>
          <cell r="B350" t="str">
            <v>Chicago St.</v>
          </cell>
          <cell r="C350" t="str">
            <v>WAC</v>
          </cell>
          <cell r="D350">
            <v>4927</v>
          </cell>
        </row>
        <row r="351">
          <cell r="A351">
            <v>186432</v>
          </cell>
          <cell r="B351" t="str">
            <v>Saint Peter's</v>
          </cell>
          <cell r="C351" t="str">
            <v>MAAC</v>
          </cell>
          <cell r="D351">
            <v>4817</v>
          </cell>
        </row>
        <row r="352">
          <cell r="A352">
            <v>159009</v>
          </cell>
          <cell r="B352" t="str">
            <v>Grambling</v>
          </cell>
          <cell r="C352" t="str">
            <v>SWAC</v>
          </cell>
          <cell r="D352">
            <v>3104</v>
          </cell>
        </row>
      </sheetData>
      <sheetData sheetId="8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157085</v>
          </cell>
          <cell r="B2" t="str">
            <v>Kentucky</v>
          </cell>
          <cell r="C2" t="str">
            <v>SEC</v>
          </cell>
          <cell r="D2">
            <v>397148</v>
          </cell>
        </row>
        <row r="3">
          <cell r="A3">
            <v>157289</v>
          </cell>
          <cell r="B3" t="str">
            <v>Louisville</v>
          </cell>
          <cell r="C3" t="str">
            <v>ACC</v>
          </cell>
          <cell r="D3">
            <v>396333</v>
          </cell>
        </row>
        <row r="4">
          <cell r="A4">
            <v>196413</v>
          </cell>
          <cell r="B4" t="str">
            <v>Syracuse</v>
          </cell>
          <cell r="C4" t="str">
            <v>ACC</v>
          </cell>
          <cell r="D4">
            <v>367068</v>
          </cell>
        </row>
        <row r="5">
          <cell r="A5">
            <v>240444</v>
          </cell>
          <cell r="B5" t="str">
            <v>Wisconsin</v>
          </cell>
          <cell r="C5" t="str">
            <v>Big Ten</v>
          </cell>
          <cell r="D5">
            <v>311166</v>
          </cell>
        </row>
        <row r="6">
          <cell r="A6">
            <v>163286</v>
          </cell>
          <cell r="B6" t="str">
            <v>Maryland</v>
          </cell>
          <cell r="C6" t="str">
            <v>Big Ten</v>
          </cell>
          <cell r="D6">
            <v>303676</v>
          </cell>
        </row>
        <row r="7">
          <cell r="A7">
            <v>181002</v>
          </cell>
          <cell r="B7" t="str">
            <v>Creighton</v>
          </cell>
          <cell r="C7" t="str">
            <v>Big East</v>
          </cell>
          <cell r="D7">
            <v>302887</v>
          </cell>
        </row>
        <row r="8">
          <cell r="A8">
            <v>199193</v>
          </cell>
          <cell r="B8" t="str">
            <v>NC State</v>
          </cell>
          <cell r="C8" t="str">
            <v>ACC</v>
          </cell>
          <cell r="D8">
            <v>301646</v>
          </cell>
        </row>
        <row r="9">
          <cell r="A9">
            <v>199120</v>
          </cell>
          <cell r="B9" t="str">
            <v>North Carolina</v>
          </cell>
          <cell r="C9" t="str">
            <v>ACC</v>
          </cell>
          <cell r="D9">
            <v>293219</v>
          </cell>
        </row>
        <row r="10">
          <cell r="A10">
            <v>151351</v>
          </cell>
          <cell r="B10" t="str">
            <v>Indiana</v>
          </cell>
          <cell r="C10" t="str">
            <v>Big Ten</v>
          </cell>
          <cell r="D10">
            <v>290809</v>
          </cell>
        </row>
        <row r="11">
          <cell r="A11">
            <v>155317</v>
          </cell>
          <cell r="B11" t="str">
            <v>Kansas</v>
          </cell>
          <cell r="C11" t="str">
            <v>Big 12</v>
          </cell>
          <cell r="D11">
            <v>279412</v>
          </cell>
        </row>
        <row r="12">
          <cell r="A12">
            <v>181464</v>
          </cell>
          <cell r="B12" t="str">
            <v>Nebraska</v>
          </cell>
          <cell r="C12" t="str">
            <v>Big Ten</v>
          </cell>
          <cell r="D12">
            <v>277739</v>
          </cell>
        </row>
        <row r="13">
          <cell r="A13">
            <v>106397</v>
          </cell>
          <cell r="B13" t="str">
            <v>Arkansas</v>
          </cell>
          <cell r="C13" t="str">
            <v>SEC</v>
          </cell>
          <cell r="D13">
            <v>267825</v>
          </cell>
        </row>
        <row r="14">
          <cell r="A14">
            <v>230038</v>
          </cell>
          <cell r="B14" t="str">
            <v>BYU</v>
          </cell>
          <cell r="C14" t="str">
            <v>WCC</v>
          </cell>
          <cell r="D14">
            <v>264588</v>
          </cell>
        </row>
        <row r="15">
          <cell r="A15">
            <v>104179</v>
          </cell>
          <cell r="B15" t="str">
            <v>Arizona</v>
          </cell>
          <cell r="C15" t="str">
            <v>Pac-12</v>
          </cell>
          <cell r="D15">
            <v>261478</v>
          </cell>
        </row>
        <row r="16">
          <cell r="A16">
            <v>204796</v>
          </cell>
          <cell r="B16" t="str">
            <v>Ohio St.</v>
          </cell>
          <cell r="C16" t="str">
            <v>Big Ten</v>
          </cell>
          <cell r="D16">
            <v>257957</v>
          </cell>
        </row>
        <row r="17">
          <cell r="A17">
            <v>239105</v>
          </cell>
          <cell r="B17" t="str">
            <v>Marquette</v>
          </cell>
          <cell r="C17" t="str">
            <v>Big East</v>
          </cell>
          <cell r="D17">
            <v>252858</v>
          </cell>
        </row>
        <row r="18">
          <cell r="A18">
            <v>243780</v>
          </cell>
          <cell r="B18" t="str">
            <v>Purdue</v>
          </cell>
          <cell r="C18" t="str">
            <v>Big Ten</v>
          </cell>
          <cell r="D18">
            <v>245916</v>
          </cell>
        </row>
        <row r="19">
          <cell r="A19">
            <v>122409</v>
          </cell>
          <cell r="B19" t="str">
            <v>San Diego St.</v>
          </cell>
          <cell r="C19" t="str">
            <v>Mountain West</v>
          </cell>
          <cell r="D19">
            <v>244190</v>
          </cell>
        </row>
        <row r="20">
          <cell r="A20">
            <v>220862</v>
          </cell>
          <cell r="B20" t="str">
            <v>Memphis</v>
          </cell>
          <cell r="C20" t="str">
            <v>The American</v>
          </cell>
          <cell r="D20">
            <v>240579</v>
          </cell>
        </row>
        <row r="21">
          <cell r="A21">
            <v>171100</v>
          </cell>
          <cell r="B21" t="str">
            <v>Michigan St.</v>
          </cell>
          <cell r="C21" t="str">
            <v>Big Ten</v>
          </cell>
          <cell r="D21">
            <v>236752</v>
          </cell>
        </row>
        <row r="22">
          <cell r="A22">
            <v>153603</v>
          </cell>
          <cell r="B22" t="str">
            <v>Iowa St.</v>
          </cell>
          <cell r="C22" t="str">
            <v>Big 12</v>
          </cell>
          <cell r="D22">
            <v>228326</v>
          </cell>
        </row>
        <row r="23">
          <cell r="A23">
            <v>218663</v>
          </cell>
          <cell r="B23" t="str">
            <v>South Carolina</v>
          </cell>
          <cell r="C23" t="str">
            <v>SEC</v>
          </cell>
          <cell r="D23">
            <v>227911</v>
          </cell>
        </row>
        <row r="24">
          <cell r="A24">
            <v>221759</v>
          </cell>
          <cell r="B24" t="str">
            <v>Tennessee</v>
          </cell>
          <cell r="C24" t="str">
            <v>SEC</v>
          </cell>
          <cell r="D24">
            <v>227725</v>
          </cell>
        </row>
        <row r="25">
          <cell r="A25">
            <v>230764</v>
          </cell>
          <cell r="B25" t="str">
            <v>Utah</v>
          </cell>
          <cell r="C25" t="str">
            <v>Pac-12</v>
          </cell>
          <cell r="D25">
            <v>220959</v>
          </cell>
        </row>
        <row r="26">
          <cell r="A26">
            <v>202480</v>
          </cell>
          <cell r="B26" t="str">
            <v>Dayton</v>
          </cell>
          <cell r="C26" t="str">
            <v>Atlantic 10</v>
          </cell>
          <cell r="D26">
            <v>220012</v>
          </cell>
        </row>
        <row r="27">
          <cell r="A27">
            <v>228778</v>
          </cell>
          <cell r="B27" t="str">
            <v>Texas</v>
          </cell>
          <cell r="C27" t="str">
            <v>Big 12</v>
          </cell>
          <cell r="D27">
            <v>218082</v>
          </cell>
        </row>
        <row r="28">
          <cell r="A28">
            <v>155399</v>
          </cell>
          <cell r="B28" t="str">
            <v>Kansas St.</v>
          </cell>
          <cell r="C28" t="str">
            <v>Big 12</v>
          </cell>
          <cell r="D28">
            <v>214252</v>
          </cell>
        </row>
        <row r="29">
          <cell r="A29">
            <v>234076</v>
          </cell>
          <cell r="B29" t="str">
            <v>Virginia</v>
          </cell>
          <cell r="C29" t="str">
            <v>ACC</v>
          </cell>
          <cell r="D29">
            <v>211671</v>
          </cell>
        </row>
        <row r="30">
          <cell r="A30">
            <v>187985</v>
          </cell>
          <cell r="B30" t="str">
            <v>New Mexico</v>
          </cell>
          <cell r="C30" t="str">
            <v>Mountain West</v>
          </cell>
          <cell r="D30">
            <v>208492</v>
          </cell>
        </row>
        <row r="31">
          <cell r="A31">
            <v>153658</v>
          </cell>
          <cell r="B31" t="str">
            <v>Iowa</v>
          </cell>
          <cell r="C31" t="str">
            <v>Big Ten</v>
          </cell>
          <cell r="D31">
            <v>207528</v>
          </cell>
        </row>
        <row r="32">
          <cell r="A32">
            <v>159391</v>
          </cell>
          <cell r="B32" t="str">
            <v>LSU</v>
          </cell>
          <cell r="C32" t="str">
            <v>SEC</v>
          </cell>
          <cell r="D32">
            <v>204890</v>
          </cell>
        </row>
        <row r="33">
          <cell r="A33">
            <v>170976</v>
          </cell>
          <cell r="B33" t="str">
            <v>Michigan</v>
          </cell>
          <cell r="C33" t="str">
            <v>Big Ten</v>
          </cell>
          <cell r="D33">
            <v>197398</v>
          </cell>
        </row>
        <row r="34">
          <cell r="A34">
            <v>100751</v>
          </cell>
          <cell r="B34" t="str">
            <v>Alabama</v>
          </cell>
          <cell r="C34" t="str">
            <v>SEC</v>
          </cell>
          <cell r="D34">
            <v>196655</v>
          </cell>
        </row>
        <row r="35">
          <cell r="A35">
            <v>182281</v>
          </cell>
          <cell r="B35" t="str">
            <v>UNLV</v>
          </cell>
          <cell r="C35" t="str">
            <v>Mountain West</v>
          </cell>
          <cell r="D35">
            <v>196219</v>
          </cell>
        </row>
        <row r="36">
          <cell r="A36">
            <v>110635</v>
          </cell>
          <cell r="B36" t="str">
            <v>California</v>
          </cell>
          <cell r="C36" t="str">
            <v>Pac-12</v>
          </cell>
          <cell r="D36">
            <v>183293</v>
          </cell>
        </row>
        <row r="37">
          <cell r="A37">
            <v>174066</v>
          </cell>
          <cell r="B37" t="str">
            <v>Minnesota</v>
          </cell>
          <cell r="C37" t="str">
            <v>Big Ten</v>
          </cell>
          <cell r="D37">
            <v>182006</v>
          </cell>
        </row>
        <row r="38">
          <cell r="A38">
            <v>221999</v>
          </cell>
          <cell r="B38" t="str">
            <v>Vanderbilt</v>
          </cell>
          <cell r="C38" t="str">
            <v>SEC</v>
          </cell>
          <cell r="D38">
            <v>178167</v>
          </cell>
        </row>
        <row r="39">
          <cell r="A39">
            <v>129020</v>
          </cell>
          <cell r="B39" t="str">
            <v>UConn</v>
          </cell>
          <cell r="C39" t="str">
            <v>The American</v>
          </cell>
          <cell r="D39">
            <v>177027</v>
          </cell>
        </row>
        <row r="40">
          <cell r="A40">
            <v>215293</v>
          </cell>
          <cell r="B40" t="str">
            <v>Pittsburgh</v>
          </cell>
          <cell r="C40" t="str">
            <v>ACC</v>
          </cell>
          <cell r="D40">
            <v>172516</v>
          </cell>
        </row>
        <row r="41">
          <cell r="A41">
            <v>198419</v>
          </cell>
          <cell r="B41" t="str">
            <v>Duke</v>
          </cell>
          <cell r="C41" t="str">
            <v>ACC</v>
          </cell>
          <cell r="D41">
            <v>167652</v>
          </cell>
        </row>
        <row r="42">
          <cell r="A42">
            <v>145637</v>
          </cell>
          <cell r="B42" t="str">
            <v>Illinois</v>
          </cell>
          <cell r="C42" t="str">
            <v>Big Ten</v>
          </cell>
          <cell r="D42">
            <v>165409</v>
          </cell>
        </row>
        <row r="43">
          <cell r="A43">
            <v>217402</v>
          </cell>
          <cell r="B43" t="str">
            <v>Providence</v>
          </cell>
          <cell r="C43" t="str">
            <v>Big East</v>
          </cell>
          <cell r="D43">
            <v>164954</v>
          </cell>
        </row>
        <row r="44">
          <cell r="A44">
            <v>206622</v>
          </cell>
          <cell r="B44" t="str">
            <v>Xavier</v>
          </cell>
          <cell r="C44" t="str">
            <v>Big East</v>
          </cell>
          <cell r="D44">
            <v>164501</v>
          </cell>
        </row>
        <row r="45">
          <cell r="A45">
            <v>156125</v>
          </cell>
          <cell r="B45" t="str">
            <v>Wichita St.</v>
          </cell>
          <cell r="C45" t="str">
            <v>MVC</v>
          </cell>
          <cell r="D45">
            <v>162088</v>
          </cell>
        </row>
        <row r="46">
          <cell r="A46">
            <v>228723</v>
          </cell>
          <cell r="B46" t="str">
            <v>Texas A&amp;M</v>
          </cell>
          <cell r="C46" t="str">
            <v>SEC</v>
          </cell>
          <cell r="D46">
            <v>161199</v>
          </cell>
        </row>
        <row r="47">
          <cell r="A47">
            <v>201885</v>
          </cell>
          <cell r="B47" t="str">
            <v>Cincinnati</v>
          </cell>
          <cell r="C47" t="str">
            <v>The American</v>
          </cell>
          <cell r="D47">
            <v>160055</v>
          </cell>
        </row>
        <row r="48">
          <cell r="A48">
            <v>238032</v>
          </cell>
          <cell r="B48" t="str">
            <v>West Virginia</v>
          </cell>
          <cell r="C48" t="str">
            <v>Big 12</v>
          </cell>
          <cell r="D48">
            <v>158750</v>
          </cell>
        </row>
        <row r="49">
          <cell r="A49">
            <v>134130</v>
          </cell>
          <cell r="B49" t="str">
            <v>Florida</v>
          </cell>
          <cell r="C49" t="str">
            <v>SEC</v>
          </cell>
          <cell r="D49">
            <v>154982</v>
          </cell>
        </row>
        <row r="50">
          <cell r="A50">
            <v>131496</v>
          </cell>
          <cell r="B50" t="str">
            <v>Georgetown</v>
          </cell>
          <cell r="C50" t="str">
            <v>Big East</v>
          </cell>
          <cell r="D50">
            <v>150945</v>
          </cell>
        </row>
        <row r="51">
          <cell r="A51">
            <v>207500</v>
          </cell>
          <cell r="B51" t="str">
            <v>Oklahoma</v>
          </cell>
          <cell r="C51" t="str">
            <v>Big 12</v>
          </cell>
          <cell r="D51">
            <v>150003</v>
          </cell>
        </row>
        <row r="52">
          <cell r="A52">
            <v>217882</v>
          </cell>
          <cell r="B52" t="str">
            <v>Clemson</v>
          </cell>
          <cell r="C52" t="str">
            <v>ACC</v>
          </cell>
          <cell r="D52">
            <v>147958</v>
          </cell>
        </row>
        <row r="53">
          <cell r="A53">
            <v>126614</v>
          </cell>
          <cell r="B53" t="str">
            <v>Colorado</v>
          </cell>
          <cell r="C53" t="str">
            <v>Pac-12</v>
          </cell>
          <cell r="D53">
            <v>145180</v>
          </cell>
        </row>
        <row r="54">
          <cell r="A54">
            <v>199847</v>
          </cell>
          <cell r="B54" t="str">
            <v>Wake Forest</v>
          </cell>
          <cell r="C54" t="str">
            <v>ACC</v>
          </cell>
          <cell r="D54">
            <v>142807</v>
          </cell>
        </row>
        <row r="55">
          <cell r="A55">
            <v>230728</v>
          </cell>
          <cell r="B55" t="str">
            <v>Utah St.</v>
          </cell>
          <cell r="C55" t="str">
            <v>Mountain West</v>
          </cell>
          <cell r="D55">
            <v>141989</v>
          </cell>
        </row>
        <row r="56">
          <cell r="A56">
            <v>141574</v>
          </cell>
          <cell r="B56" t="str">
            <v>Hawaii</v>
          </cell>
          <cell r="C56" t="str">
            <v>Big West</v>
          </cell>
          <cell r="D56">
            <v>141637</v>
          </cell>
        </row>
        <row r="57">
          <cell r="A57">
            <v>229115</v>
          </cell>
          <cell r="B57" t="str">
            <v>Texas Tech</v>
          </cell>
          <cell r="C57" t="str">
            <v>Big 12</v>
          </cell>
          <cell r="D57">
            <v>140836</v>
          </cell>
        </row>
        <row r="58">
          <cell r="A58">
            <v>139959</v>
          </cell>
          <cell r="B58" t="str">
            <v>Georgia</v>
          </cell>
          <cell r="C58" t="str">
            <v>SEC</v>
          </cell>
          <cell r="D58">
            <v>139570</v>
          </cell>
        </row>
        <row r="59">
          <cell r="A59">
            <v>110662</v>
          </cell>
          <cell r="B59" t="str">
            <v>UCLA</v>
          </cell>
          <cell r="C59" t="str">
            <v>Pac-12</v>
          </cell>
          <cell r="D59">
            <v>137247</v>
          </cell>
        </row>
        <row r="60">
          <cell r="A60">
            <v>152080</v>
          </cell>
          <cell r="B60" t="str">
            <v>Notre Dame</v>
          </cell>
          <cell r="C60" t="str">
            <v>ACC</v>
          </cell>
          <cell r="D60">
            <v>136282</v>
          </cell>
        </row>
        <row r="61">
          <cell r="A61">
            <v>209551</v>
          </cell>
          <cell r="B61" t="str">
            <v>Oregon</v>
          </cell>
          <cell r="C61" t="str">
            <v>Pac-12</v>
          </cell>
          <cell r="D61">
            <v>134405</v>
          </cell>
        </row>
        <row r="62">
          <cell r="A62">
            <v>228796</v>
          </cell>
          <cell r="B62" t="str">
            <v>UTEP</v>
          </cell>
          <cell r="C62" t="str">
            <v>CUSA</v>
          </cell>
          <cell r="D62">
            <v>132941</v>
          </cell>
        </row>
        <row r="63">
          <cell r="A63">
            <v>150163</v>
          </cell>
          <cell r="B63" t="str">
            <v>Butler</v>
          </cell>
          <cell r="C63" t="str">
            <v>Big East</v>
          </cell>
          <cell r="D63">
            <v>130637</v>
          </cell>
        </row>
        <row r="64">
          <cell r="A64">
            <v>216597</v>
          </cell>
          <cell r="B64" t="str">
            <v>Villanova</v>
          </cell>
          <cell r="C64" t="str">
            <v>Big East</v>
          </cell>
          <cell r="D64">
            <v>129916</v>
          </cell>
        </row>
        <row r="65">
          <cell r="A65">
            <v>234030</v>
          </cell>
          <cell r="B65" t="str">
            <v>VCU</v>
          </cell>
          <cell r="C65" t="str">
            <v>Atlantic 10</v>
          </cell>
          <cell r="D65">
            <v>129829</v>
          </cell>
        </row>
        <row r="66">
          <cell r="A66">
            <v>233921</v>
          </cell>
          <cell r="B66" t="str">
            <v>Virginia Tech</v>
          </cell>
          <cell r="C66" t="str">
            <v>ACC</v>
          </cell>
          <cell r="D66">
            <v>126506</v>
          </cell>
        </row>
        <row r="67">
          <cell r="A67">
            <v>195809</v>
          </cell>
          <cell r="B67" t="str">
            <v>St. John's (NY)</v>
          </cell>
          <cell r="C67" t="str">
            <v>Big East</v>
          </cell>
          <cell r="D67">
            <v>125002</v>
          </cell>
        </row>
        <row r="68">
          <cell r="A68">
            <v>182290</v>
          </cell>
          <cell r="B68" t="str">
            <v>Nevada</v>
          </cell>
          <cell r="C68" t="str">
            <v>Mountain West</v>
          </cell>
          <cell r="D68">
            <v>124535</v>
          </cell>
        </row>
        <row r="69">
          <cell r="A69">
            <v>147767</v>
          </cell>
          <cell r="B69" t="str">
            <v>Northwestern</v>
          </cell>
          <cell r="C69" t="str">
            <v>Big Ten</v>
          </cell>
          <cell r="D69">
            <v>124451</v>
          </cell>
        </row>
        <row r="70">
          <cell r="A70">
            <v>100858</v>
          </cell>
          <cell r="B70" t="str">
            <v>Auburn</v>
          </cell>
          <cell r="C70" t="str">
            <v>SEC</v>
          </cell>
          <cell r="D70">
            <v>123244</v>
          </cell>
        </row>
        <row r="71">
          <cell r="A71">
            <v>236948</v>
          </cell>
          <cell r="B71" t="str">
            <v>Washington</v>
          </cell>
          <cell r="C71" t="str">
            <v>Pac-12</v>
          </cell>
          <cell r="D71">
            <v>122127</v>
          </cell>
        </row>
        <row r="72">
          <cell r="A72">
            <v>223232</v>
          </cell>
          <cell r="B72" t="str">
            <v>Baylor</v>
          </cell>
          <cell r="C72" t="str">
            <v>Big 12</v>
          </cell>
          <cell r="D72">
            <v>121790</v>
          </cell>
        </row>
        <row r="73">
          <cell r="A73">
            <v>179159</v>
          </cell>
          <cell r="B73" t="str">
            <v>Saint Louis</v>
          </cell>
          <cell r="C73" t="str">
            <v>Atlantic 10</v>
          </cell>
          <cell r="D73">
            <v>121633</v>
          </cell>
        </row>
        <row r="74">
          <cell r="A74">
            <v>228246</v>
          </cell>
          <cell r="B74" t="str">
            <v>SMU</v>
          </cell>
          <cell r="C74" t="str">
            <v>The American</v>
          </cell>
          <cell r="D74">
            <v>117420</v>
          </cell>
        </row>
        <row r="75">
          <cell r="A75">
            <v>104717</v>
          </cell>
          <cell r="B75" t="str">
            <v>Grand Canyon</v>
          </cell>
          <cell r="C75" t="str">
            <v>WAC</v>
          </cell>
          <cell r="D75">
            <v>116119</v>
          </cell>
        </row>
        <row r="76">
          <cell r="A76">
            <v>204857</v>
          </cell>
          <cell r="B76" t="str">
            <v>Ohio</v>
          </cell>
          <cell r="C76" t="str">
            <v>MAC</v>
          </cell>
          <cell r="D76">
            <v>114200</v>
          </cell>
        </row>
        <row r="77">
          <cell r="A77">
            <v>110556</v>
          </cell>
          <cell r="B77" t="str">
            <v>Fresno St.</v>
          </cell>
          <cell r="C77" t="str">
            <v>Mountain West</v>
          </cell>
          <cell r="D77">
            <v>113333</v>
          </cell>
        </row>
        <row r="78">
          <cell r="A78">
            <v>186584</v>
          </cell>
          <cell r="B78" t="str">
            <v>Seton Hall</v>
          </cell>
          <cell r="C78" t="str">
            <v>Big East</v>
          </cell>
          <cell r="D78">
            <v>113125</v>
          </cell>
        </row>
        <row r="79">
          <cell r="A79">
            <v>232982</v>
          </cell>
          <cell r="B79" t="str">
            <v>Old Dominion</v>
          </cell>
          <cell r="C79" t="str">
            <v>CUSA</v>
          </cell>
          <cell r="D79">
            <v>112604</v>
          </cell>
        </row>
        <row r="80">
          <cell r="A80">
            <v>135726</v>
          </cell>
          <cell r="B80" t="str">
            <v>Miami (FL)</v>
          </cell>
          <cell r="C80" t="str">
            <v>ACC</v>
          </cell>
          <cell r="D80">
            <v>112110</v>
          </cell>
        </row>
        <row r="81">
          <cell r="A81">
            <v>176017</v>
          </cell>
          <cell r="B81" t="str">
            <v>Ole Miss</v>
          </cell>
          <cell r="C81" t="str">
            <v>SEC</v>
          </cell>
          <cell r="D81">
            <v>111908</v>
          </cell>
        </row>
        <row r="82">
          <cell r="A82">
            <v>139755</v>
          </cell>
          <cell r="B82" t="str">
            <v>Georgia Tech</v>
          </cell>
          <cell r="C82" t="str">
            <v>ACC</v>
          </cell>
          <cell r="D82">
            <v>110804</v>
          </cell>
        </row>
        <row r="83">
          <cell r="A83">
            <v>178396</v>
          </cell>
          <cell r="B83" t="str">
            <v>Missouri</v>
          </cell>
          <cell r="C83" t="str">
            <v>SEC</v>
          </cell>
          <cell r="D83">
            <v>107014</v>
          </cell>
        </row>
        <row r="84">
          <cell r="A84">
            <v>195474</v>
          </cell>
          <cell r="B84" t="str">
            <v>Siena</v>
          </cell>
          <cell r="C84" t="str">
            <v>MAAC</v>
          </cell>
          <cell r="D84">
            <v>106589</v>
          </cell>
        </row>
        <row r="85">
          <cell r="A85">
            <v>209542</v>
          </cell>
          <cell r="B85" t="str">
            <v>Oregon St.</v>
          </cell>
          <cell r="C85" t="str">
            <v>Pac-12</v>
          </cell>
          <cell r="D85">
            <v>106354</v>
          </cell>
        </row>
        <row r="86">
          <cell r="A86">
            <v>134097</v>
          </cell>
          <cell r="B86" t="str">
            <v>Florida St.</v>
          </cell>
          <cell r="C86" t="str">
            <v>ACC</v>
          </cell>
          <cell r="D86">
            <v>105221</v>
          </cell>
        </row>
        <row r="87">
          <cell r="A87">
            <v>214777</v>
          </cell>
          <cell r="B87" t="str">
            <v>Penn St.</v>
          </cell>
          <cell r="C87" t="str">
            <v>Big Ten</v>
          </cell>
          <cell r="D87">
            <v>103648</v>
          </cell>
        </row>
        <row r="88">
          <cell r="A88">
            <v>233374</v>
          </cell>
          <cell r="B88" t="str">
            <v>Richmond</v>
          </cell>
          <cell r="C88" t="str">
            <v>Atlantic 10</v>
          </cell>
          <cell r="D88">
            <v>102965</v>
          </cell>
        </row>
        <row r="89">
          <cell r="A89">
            <v>142115</v>
          </cell>
          <cell r="B89" t="str">
            <v>Boise St.</v>
          </cell>
          <cell r="C89" t="str">
            <v>Mountain West</v>
          </cell>
          <cell r="D89">
            <v>100334</v>
          </cell>
        </row>
        <row r="90">
          <cell r="A90">
            <v>104151</v>
          </cell>
          <cell r="B90" t="str">
            <v>Arizona St.</v>
          </cell>
          <cell r="C90" t="str">
            <v>Pac-12</v>
          </cell>
          <cell r="D90">
            <v>98718</v>
          </cell>
        </row>
        <row r="91">
          <cell r="A91">
            <v>176080</v>
          </cell>
          <cell r="B91" t="str">
            <v>Mississippi St.</v>
          </cell>
          <cell r="C91" t="str">
            <v>SEC</v>
          </cell>
          <cell r="D91">
            <v>98338</v>
          </cell>
        </row>
        <row r="92">
          <cell r="A92">
            <v>228875</v>
          </cell>
          <cell r="B92" t="str">
            <v>TCU</v>
          </cell>
          <cell r="C92" t="str">
            <v>Big 12</v>
          </cell>
          <cell r="D92">
            <v>95668</v>
          </cell>
        </row>
        <row r="93">
          <cell r="A93">
            <v>230782</v>
          </cell>
          <cell r="B93" t="str">
            <v>Weber St.</v>
          </cell>
          <cell r="C93" t="str">
            <v>Big Sky</v>
          </cell>
          <cell r="D93">
            <v>94995</v>
          </cell>
        </row>
        <row r="94">
          <cell r="A94">
            <v>207388</v>
          </cell>
          <cell r="B94" t="str">
            <v>Oklahoma St.</v>
          </cell>
          <cell r="C94" t="str">
            <v>Big 12</v>
          </cell>
          <cell r="D94">
            <v>93713</v>
          </cell>
        </row>
        <row r="95">
          <cell r="A95">
            <v>235316</v>
          </cell>
          <cell r="B95" t="str">
            <v>Gonzaga</v>
          </cell>
          <cell r="C95" t="str">
            <v>WCC</v>
          </cell>
          <cell r="D95">
            <v>90000</v>
          </cell>
        </row>
        <row r="96">
          <cell r="A96">
            <v>143358</v>
          </cell>
          <cell r="B96" t="str">
            <v>Bradley</v>
          </cell>
          <cell r="C96" t="str">
            <v>MVC</v>
          </cell>
          <cell r="D96">
            <v>89299</v>
          </cell>
        </row>
        <row r="97">
          <cell r="A97">
            <v>216339</v>
          </cell>
          <cell r="B97" t="str">
            <v>Temple</v>
          </cell>
          <cell r="C97" t="str">
            <v>The American</v>
          </cell>
          <cell r="D97">
            <v>89223</v>
          </cell>
        </row>
        <row r="98">
          <cell r="A98">
            <v>149222</v>
          </cell>
          <cell r="B98" t="str">
            <v>Southern Ill.</v>
          </cell>
          <cell r="C98" t="str">
            <v>MVC</v>
          </cell>
          <cell r="D98">
            <v>84445</v>
          </cell>
        </row>
        <row r="99">
          <cell r="A99">
            <v>186380</v>
          </cell>
          <cell r="B99" t="str">
            <v>Rutgers</v>
          </cell>
          <cell r="C99" t="str">
            <v>Big Ten</v>
          </cell>
          <cell r="D99">
            <v>83759</v>
          </cell>
        </row>
        <row r="100">
          <cell r="A100">
            <v>145813</v>
          </cell>
          <cell r="B100" t="str">
            <v>Illinois St.</v>
          </cell>
          <cell r="C100" t="str">
            <v>MVC</v>
          </cell>
          <cell r="D100">
            <v>83194</v>
          </cell>
        </row>
        <row r="101">
          <cell r="A101">
            <v>123961</v>
          </cell>
          <cell r="B101" t="str">
            <v>Southern California</v>
          </cell>
          <cell r="C101" t="str">
            <v>Pac-12</v>
          </cell>
          <cell r="D101">
            <v>82918</v>
          </cell>
        </row>
        <row r="102">
          <cell r="A102">
            <v>150534</v>
          </cell>
          <cell r="B102" t="str">
            <v>Evansville</v>
          </cell>
          <cell r="C102" t="str">
            <v>MVC</v>
          </cell>
          <cell r="D102">
            <v>82364</v>
          </cell>
        </row>
        <row r="103">
          <cell r="A103">
            <v>240727</v>
          </cell>
          <cell r="B103" t="str">
            <v>Wyoming</v>
          </cell>
          <cell r="C103" t="str">
            <v>Mountain West</v>
          </cell>
          <cell r="D103">
            <v>82218</v>
          </cell>
        </row>
        <row r="104">
          <cell r="A104">
            <v>217484</v>
          </cell>
          <cell r="B104" t="str">
            <v>Rhode Island</v>
          </cell>
          <cell r="C104" t="str">
            <v>Atlantic 10</v>
          </cell>
          <cell r="D104">
            <v>80198</v>
          </cell>
        </row>
        <row r="105">
          <cell r="A105">
            <v>100663</v>
          </cell>
          <cell r="B105" t="str">
            <v>UAB</v>
          </cell>
          <cell r="C105" t="str">
            <v>CUSA</v>
          </cell>
          <cell r="D105">
            <v>79132</v>
          </cell>
        </row>
        <row r="106">
          <cell r="A106">
            <v>144740</v>
          </cell>
          <cell r="B106" t="str">
            <v>DePaul</v>
          </cell>
          <cell r="C106" t="str">
            <v>Big East</v>
          </cell>
          <cell r="D106">
            <v>77190</v>
          </cell>
        </row>
        <row r="107">
          <cell r="A107">
            <v>237525</v>
          </cell>
          <cell r="B107" t="str">
            <v>Marshall</v>
          </cell>
          <cell r="C107" t="str">
            <v>CUSA</v>
          </cell>
          <cell r="D107">
            <v>76632</v>
          </cell>
        </row>
        <row r="108">
          <cell r="A108">
            <v>188030</v>
          </cell>
          <cell r="B108" t="str">
            <v>New Mexico St.</v>
          </cell>
          <cell r="C108" t="str">
            <v>WAC</v>
          </cell>
          <cell r="D108">
            <v>76283</v>
          </cell>
        </row>
        <row r="109">
          <cell r="A109">
            <v>154095</v>
          </cell>
          <cell r="B109" t="str">
            <v>UNI</v>
          </cell>
          <cell r="C109" t="str">
            <v>MVC</v>
          </cell>
          <cell r="D109">
            <v>75304</v>
          </cell>
        </row>
        <row r="110">
          <cell r="A110">
            <v>243744</v>
          </cell>
          <cell r="B110" t="str">
            <v>Stanford</v>
          </cell>
          <cell r="C110" t="str">
            <v>Pac-12</v>
          </cell>
          <cell r="D110">
            <v>74685</v>
          </cell>
        </row>
        <row r="111">
          <cell r="A111">
            <v>433660</v>
          </cell>
          <cell r="B111" t="str">
            <v>FGCU</v>
          </cell>
          <cell r="C111" t="str">
            <v>ASUN</v>
          </cell>
          <cell r="D111">
            <v>73373</v>
          </cell>
        </row>
        <row r="112">
          <cell r="A112">
            <v>220978</v>
          </cell>
          <cell r="B112" t="str">
            <v>Middle Tenn.</v>
          </cell>
          <cell r="C112" t="str">
            <v>CUSA</v>
          </cell>
          <cell r="D112">
            <v>72569</v>
          </cell>
        </row>
        <row r="113">
          <cell r="A113">
            <v>132903</v>
          </cell>
          <cell r="B113" t="str">
            <v>UCF</v>
          </cell>
          <cell r="C113" t="str">
            <v>The American</v>
          </cell>
          <cell r="D113">
            <v>72215</v>
          </cell>
        </row>
        <row r="114">
          <cell r="A114">
            <v>207971</v>
          </cell>
          <cell r="B114" t="str">
            <v>Tulsa</v>
          </cell>
          <cell r="C114" t="str">
            <v>The American</v>
          </cell>
          <cell r="D114">
            <v>71177</v>
          </cell>
        </row>
        <row r="115">
          <cell r="A115">
            <v>198464</v>
          </cell>
          <cell r="B115" t="str">
            <v>East Carolina</v>
          </cell>
          <cell r="C115" t="str">
            <v>The American</v>
          </cell>
          <cell r="D115">
            <v>71116</v>
          </cell>
        </row>
        <row r="116">
          <cell r="A116">
            <v>199139</v>
          </cell>
          <cell r="B116" t="str">
            <v>Charlotte</v>
          </cell>
          <cell r="C116" t="str">
            <v>CUSA</v>
          </cell>
          <cell r="D116">
            <v>70018</v>
          </cell>
        </row>
        <row r="117">
          <cell r="A117">
            <v>198385</v>
          </cell>
          <cell r="B117" t="str">
            <v>Davidson</v>
          </cell>
          <cell r="C117" t="str">
            <v>Atlantic 10</v>
          </cell>
          <cell r="D117">
            <v>68763</v>
          </cell>
        </row>
        <row r="118">
          <cell r="A118">
            <v>206084</v>
          </cell>
          <cell r="B118" t="str">
            <v>Toledo</v>
          </cell>
          <cell r="C118" t="str">
            <v>MAC</v>
          </cell>
          <cell r="D118">
            <v>67177</v>
          </cell>
        </row>
        <row r="119">
          <cell r="A119">
            <v>225511</v>
          </cell>
          <cell r="B119" t="str">
            <v>Houston</v>
          </cell>
          <cell r="C119" t="str">
            <v>The American</v>
          </cell>
          <cell r="D119">
            <v>66706</v>
          </cell>
        </row>
        <row r="120">
          <cell r="A120">
            <v>159647</v>
          </cell>
          <cell r="B120" t="str">
            <v>Louisiana Tech</v>
          </cell>
          <cell r="C120" t="str">
            <v>CUSA</v>
          </cell>
          <cell r="D120">
            <v>65547</v>
          </cell>
        </row>
        <row r="121">
          <cell r="A121">
            <v>126818</v>
          </cell>
          <cell r="B121" t="str">
            <v>Colorado St.</v>
          </cell>
          <cell r="C121" t="str">
            <v>Mountain West</v>
          </cell>
          <cell r="D121">
            <v>65505</v>
          </cell>
        </row>
        <row r="122">
          <cell r="A122">
            <v>206604</v>
          </cell>
          <cell r="B122" t="str">
            <v>Wright St.</v>
          </cell>
          <cell r="C122" t="str">
            <v>Horizon</v>
          </cell>
          <cell r="D122">
            <v>65331</v>
          </cell>
        </row>
        <row r="123">
          <cell r="A123">
            <v>195164</v>
          </cell>
          <cell r="B123" t="str">
            <v>St. Bonaventure</v>
          </cell>
          <cell r="C123" t="str">
            <v>Atlantic 10</v>
          </cell>
          <cell r="D123">
            <v>64646</v>
          </cell>
        </row>
        <row r="124">
          <cell r="A124">
            <v>232186</v>
          </cell>
          <cell r="B124" t="str">
            <v>George Mason</v>
          </cell>
          <cell r="C124" t="str">
            <v>Atlantic 10</v>
          </cell>
          <cell r="D124">
            <v>64506</v>
          </cell>
        </row>
        <row r="125">
          <cell r="A125">
            <v>152600</v>
          </cell>
          <cell r="B125" t="str">
            <v>Valparaiso</v>
          </cell>
          <cell r="C125" t="str">
            <v>Horizon</v>
          </cell>
          <cell r="D125">
            <v>64309</v>
          </cell>
        </row>
        <row r="126">
          <cell r="A126">
            <v>215770</v>
          </cell>
          <cell r="B126" t="str">
            <v>Saint Joseph's</v>
          </cell>
          <cell r="C126" t="str">
            <v>Atlantic 10</v>
          </cell>
          <cell r="D126">
            <v>62740</v>
          </cell>
        </row>
        <row r="127">
          <cell r="A127">
            <v>179566</v>
          </cell>
          <cell r="B127" t="str">
            <v>Missouri St.</v>
          </cell>
          <cell r="C127" t="str">
            <v>MVC</v>
          </cell>
          <cell r="D127">
            <v>62106</v>
          </cell>
        </row>
        <row r="128">
          <cell r="A128">
            <v>160658</v>
          </cell>
          <cell r="B128" t="str">
            <v>Louisiana</v>
          </cell>
          <cell r="C128" t="str">
            <v>Sun Belt</v>
          </cell>
          <cell r="D128">
            <v>60802</v>
          </cell>
        </row>
        <row r="129">
          <cell r="A129">
            <v>131469</v>
          </cell>
          <cell r="B129" t="str">
            <v>George Washington</v>
          </cell>
          <cell r="C129" t="str">
            <v>Atlantic 10</v>
          </cell>
          <cell r="D129">
            <v>59413</v>
          </cell>
        </row>
        <row r="130">
          <cell r="A130">
            <v>199218</v>
          </cell>
          <cell r="B130" t="str">
            <v>UNCW</v>
          </cell>
          <cell r="C130" t="str">
            <v>CAA</v>
          </cell>
          <cell r="D130">
            <v>58792</v>
          </cell>
        </row>
        <row r="131">
          <cell r="A131">
            <v>157951</v>
          </cell>
          <cell r="B131" t="str">
            <v>Western Ky.</v>
          </cell>
          <cell r="C131" t="str">
            <v>CUSA</v>
          </cell>
          <cell r="D131">
            <v>58745</v>
          </cell>
        </row>
        <row r="132">
          <cell r="A132">
            <v>164924</v>
          </cell>
          <cell r="B132" t="str">
            <v>Boston College</v>
          </cell>
          <cell r="C132" t="str">
            <v>ACC</v>
          </cell>
          <cell r="D132">
            <v>57998</v>
          </cell>
        </row>
        <row r="133">
          <cell r="A133">
            <v>203517</v>
          </cell>
          <cell r="B133" t="str">
            <v>Kent St.</v>
          </cell>
          <cell r="C133" t="str">
            <v>MAC</v>
          </cell>
          <cell r="D133">
            <v>57398</v>
          </cell>
        </row>
        <row r="134">
          <cell r="A134">
            <v>137351</v>
          </cell>
          <cell r="B134" t="str">
            <v>South Fla.</v>
          </cell>
          <cell r="C134" t="str">
            <v>The American</v>
          </cell>
          <cell r="D134">
            <v>55770</v>
          </cell>
        </row>
        <row r="135">
          <cell r="A135">
            <v>180489</v>
          </cell>
          <cell r="B135" t="str">
            <v>Montana</v>
          </cell>
          <cell r="C135" t="str">
            <v>Big Sky</v>
          </cell>
          <cell r="D135">
            <v>55371</v>
          </cell>
        </row>
        <row r="136">
          <cell r="A136">
            <v>123554</v>
          </cell>
          <cell r="B136" t="str">
            <v>Saint Mary's (CA)</v>
          </cell>
          <cell r="C136" t="str">
            <v>WCC</v>
          </cell>
          <cell r="D136">
            <v>54848</v>
          </cell>
        </row>
        <row r="137">
          <cell r="A137">
            <v>196097</v>
          </cell>
          <cell r="B137" t="str">
            <v>Stony Brook</v>
          </cell>
          <cell r="C137" t="str">
            <v>America East</v>
          </cell>
          <cell r="D137">
            <v>54812</v>
          </cell>
        </row>
        <row r="138">
          <cell r="A138">
            <v>232423</v>
          </cell>
          <cell r="B138" t="str">
            <v>James Madison</v>
          </cell>
          <cell r="C138" t="str">
            <v>CAA</v>
          </cell>
          <cell r="D138">
            <v>54026</v>
          </cell>
        </row>
        <row r="139">
          <cell r="A139">
            <v>166629</v>
          </cell>
          <cell r="B139" t="str">
            <v>Massachusetts</v>
          </cell>
          <cell r="C139" t="str">
            <v>Atlantic 10</v>
          </cell>
          <cell r="D139">
            <v>53841</v>
          </cell>
        </row>
        <row r="140">
          <cell r="A140">
            <v>150136</v>
          </cell>
          <cell r="B140" t="str">
            <v>Ball St.</v>
          </cell>
          <cell r="C140" t="str">
            <v>MAC</v>
          </cell>
          <cell r="D140">
            <v>52514</v>
          </cell>
        </row>
        <row r="141">
          <cell r="A141">
            <v>106245</v>
          </cell>
          <cell r="B141" t="str">
            <v>Little Rock</v>
          </cell>
          <cell r="C141" t="str">
            <v>Sun Belt</v>
          </cell>
          <cell r="D141">
            <v>52513</v>
          </cell>
        </row>
        <row r="142">
          <cell r="A142">
            <v>151324</v>
          </cell>
          <cell r="B142" t="str">
            <v>Indiana St.</v>
          </cell>
          <cell r="C142" t="str">
            <v>MVC</v>
          </cell>
          <cell r="D142">
            <v>51421</v>
          </cell>
        </row>
        <row r="143">
          <cell r="A143">
            <v>200800</v>
          </cell>
          <cell r="B143" t="str">
            <v>Akron</v>
          </cell>
          <cell r="C143" t="str">
            <v>MAC</v>
          </cell>
          <cell r="D143">
            <v>50278</v>
          </cell>
        </row>
        <row r="144">
          <cell r="A144">
            <v>221740</v>
          </cell>
          <cell r="B144" t="str">
            <v>Chattanooga</v>
          </cell>
          <cell r="C144" t="str">
            <v>SoCon</v>
          </cell>
          <cell r="D144">
            <v>49415</v>
          </cell>
        </row>
        <row r="145">
          <cell r="A145">
            <v>140447</v>
          </cell>
          <cell r="B145" t="str">
            <v>Mercer</v>
          </cell>
          <cell r="C145" t="str">
            <v>SoCon</v>
          </cell>
          <cell r="D145">
            <v>48808</v>
          </cell>
        </row>
        <row r="146">
          <cell r="A146">
            <v>196088</v>
          </cell>
          <cell r="B146" t="str">
            <v>Buffalo</v>
          </cell>
          <cell r="C146" t="str">
            <v>MAC</v>
          </cell>
          <cell r="D146">
            <v>48642</v>
          </cell>
        </row>
        <row r="147">
          <cell r="A147">
            <v>236939</v>
          </cell>
          <cell r="B147" t="str">
            <v>Washington St.</v>
          </cell>
          <cell r="C147" t="str">
            <v>Pac-12</v>
          </cell>
          <cell r="D147">
            <v>48562</v>
          </cell>
        </row>
        <row r="148">
          <cell r="A148">
            <v>136172</v>
          </cell>
          <cell r="B148" t="str">
            <v>North Florida</v>
          </cell>
          <cell r="C148" t="str">
            <v>ASUN</v>
          </cell>
          <cell r="D148">
            <v>48554</v>
          </cell>
        </row>
        <row r="149">
          <cell r="A149">
            <v>215062</v>
          </cell>
          <cell r="B149" t="str">
            <v>Penn</v>
          </cell>
          <cell r="C149" t="str">
            <v>Ivy League</v>
          </cell>
          <cell r="D149">
            <v>48204</v>
          </cell>
        </row>
        <row r="150">
          <cell r="A150">
            <v>232265</v>
          </cell>
          <cell r="B150" t="str">
            <v>Hampton</v>
          </cell>
          <cell r="C150" t="str">
            <v>MEAC</v>
          </cell>
          <cell r="D150">
            <v>47951</v>
          </cell>
        </row>
        <row r="151">
          <cell r="A151">
            <v>145600</v>
          </cell>
          <cell r="B151" t="str">
            <v>UIC</v>
          </cell>
          <cell r="C151" t="str">
            <v>Horizon</v>
          </cell>
          <cell r="D151">
            <v>47492</v>
          </cell>
        </row>
        <row r="152">
          <cell r="A152">
            <v>196060</v>
          </cell>
          <cell r="B152" t="str">
            <v>UAlbany</v>
          </cell>
          <cell r="C152" t="str">
            <v>America East</v>
          </cell>
          <cell r="D152">
            <v>47411</v>
          </cell>
        </row>
        <row r="153">
          <cell r="A153">
            <v>185572</v>
          </cell>
          <cell r="B153" t="str">
            <v>Monmouth</v>
          </cell>
          <cell r="C153" t="str">
            <v>MAAC</v>
          </cell>
          <cell r="D153">
            <v>47170</v>
          </cell>
        </row>
        <row r="154">
          <cell r="A154">
            <v>157386</v>
          </cell>
          <cell r="B154" t="str">
            <v>Morehead St.</v>
          </cell>
          <cell r="C154" t="str">
            <v>OVC</v>
          </cell>
          <cell r="D154">
            <v>46730</v>
          </cell>
        </row>
        <row r="155">
          <cell r="A155">
            <v>220075</v>
          </cell>
          <cell r="B155" t="str">
            <v>ETSU</v>
          </cell>
          <cell r="C155" t="str">
            <v>SoCon</v>
          </cell>
          <cell r="D155">
            <v>45981</v>
          </cell>
        </row>
        <row r="156">
          <cell r="A156">
            <v>231624</v>
          </cell>
          <cell r="B156" t="str">
            <v>William &amp; Mary</v>
          </cell>
          <cell r="C156" t="str">
            <v>CAA</v>
          </cell>
          <cell r="D156">
            <v>45943</v>
          </cell>
        </row>
        <row r="157">
          <cell r="A157">
            <v>228431</v>
          </cell>
          <cell r="B157" t="str">
            <v>SFA</v>
          </cell>
          <cell r="C157" t="str">
            <v>Southland</v>
          </cell>
          <cell r="D157">
            <v>45839</v>
          </cell>
        </row>
        <row r="158">
          <cell r="A158">
            <v>157401</v>
          </cell>
          <cell r="B158" t="str">
            <v>Murray St.</v>
          </cell>
          <cell r="C158" t="str">
            <v>OVC</v>
          </cell>
          <cell r="D158">
            <v>45737</v>
          </cell>
        </row>
        <row r="159">
          <cell r="A159">
            <v>217819</v>
          </cell>
          <cell r="B159" t="str">
            <v>Col. of Charleston</v>
          </cell>
          <cell r="C159" t="str">
            <v>CAA</v>
          </cell>
          <cell r="D159">
            <v>45630</v>
          </cell>
        </row>
        <row r="160">
          <cell r="A160">
            <v>176372</v>
          </cell>
          <cell r="B160" t="str">
            <v>Southern Miss.</v>
          </cell>
          <cell r="C160" t="str">
            <v>CUSA</v>
          </cell>
          <cell r="D160">
            <v>44908</v>
          </cell>
        </row>
        <row r="161">
          <cell r="A161">
            <v>228769</v>
          </cell>
          <cell r="B161" t="str">
            <v>UT Arlington</v>
          </cell>
          <cell r="C161" t="str">
            <v>Sun Belt</v>
          </cell>
          <cell r="D161">
            <v>43313</v>
          </cell>
        </row>
        <row r="162">
          <cell r="A162">
            <v>153269</v>
          </cell>
          <cell r="B162" t="str">
            <v>Drake</v>
          </cell>
          <cell r="C162" t="str">
            <v>MVC</v>
          </cell>
          <cell r="D162">
            <v>43222</v>
          </cell>
        </row>
        <row r="163">
          <cell r="A163">
            <v>169248</v>
          </cell>
          <cell r="B163" t="str">
            <v>Central Mich.</v>
          </cell>
          <cell r="C163" t="str">
            <v>MAC</v>
          </cell>
          <cell r="D163">
            <v>42496</v>
          </cell>
        </row>
        <row r="164">
          <cell r="A164">
            <v>240277</v>
          </cell>
          <cell r="B164" t="str">
            <v>Green Bay</v>
          </cell>
          <cell r="C164" t="str">
            <v>Horizon</v>
          </cell>
          <cell r="D164">
            <v>42412</v>
          </cell>
        </row>
        <row r="165">
          <cell r="A165">
            <v>110583</v>
          </cell>
          <cell r="B165" t="str">
            <v>Long Beach St.</v>
          </cell>
          <cell r="C165" t="str">
            <v>Big West</v>
          </cell>
          <cell r="D165">
            <v>41801</v>
          </cell>
        </row>
        <row r="166">
          <cell r="A166">
            <v>211291</v>
          </cell>
          <cell r="B166" t="str">
            <v>Bucknell</v>
          </cell>
          <cell r="C166" t="str">
            <v>Patriot</v>
          </cell>
          <cell r="D166">
            <v>41556</v>
          </cell>
        </row>
        <row r="167">
          <cell r="A167">
            <v>191241</v>
          </cell>
          <cell r="B167" t="str">
            <v>Fordham</v>
          </cell>
          <cell r="C167" t="str">
            <v>Atlantic 10</v>
          </cell>
          <cell r="D167">
            <v>40666</v>
          </cell>
        </row>
        <row r="168">
          <cell r="A168">
            <v>209825</v>
          </cell>
          <cell r="B168" t="str">
            <v>Portland</v>
          </cell>
          <cell r="C168" t="str">
            <v>WCC</v>
          </cell>
          <cell r="D168">
            <v>40560</v>
          </cell>
        </row>
        <row r="169">
          <cell r="A169">
            <v>213367</v>
          </cell>
          <cell r="B169" t="str">
            <v>La Salle</v>
          </cell>
          <cell r="C169" t="str">
            <v>Atlantic 10</v>
          </cell>
          <cell r="D169">
            <v>39886</v>
          </cell>
        </row>
        <row r="170">
          <cell r="A170">
            <v>207582</v>
          </cell>
          <cell r="B170" t="str">
            <v>Oral Roberts</v>
          </cell>
          <cell r="C170" t="str">
            <v>Summit League</v>
          </cell>
          <cell r="D170">
            <v>39813</v>
          </cell>
        </row>
        <row r="171">
          <cell r="A171">
            <v>110653</v>
          </cell>
          <cell r="B171" t="str">
            <v>UC Irvine</v>
          </cell>
          <cell r="C171" t="str">
            <v>Big West</v>
          </cell>
          <cell r="D171">
            <v>38723</v>
          </cell>
        </row>
        <row r="172">
          <cell r="A172">
            <v>227757</v>
          </cell>
          <cell r="B172" t="str">
            <v>Rice</v>
          </cell>
          <cell r="C172" t="str">
            <v>CUSA</v>
          </cell>
          <cell r="D172">
            <v>37477</v>
          </cell>
        </row>
        <row r="173">
          <cell r="A173">
            <v>171571</v>
          </cell>
          <cell r="B173" t="str">
            <v>Oakland</v>
          </cell>
          <cell r="C173" t="str">
            <v>Horizon</v>
          </cell>
          <cell r="D173">
            <v>37168</v>
          </cell>
        </row>
        <row r="174">
          <cell r="A174">
            <v>172699</v>
          </cell>
          <cell r="B174" t="str">
            <v>Western Mich.</v>
          </cell>
          <cell r="C174" t="str">
            <v>MAC</v>
          </cell>
          <cell r="D174">
            <v>36544</v>
          </cell>
        </row>
        <row r="175">
          <cell r="A175">
            <v>200332</v>
          </cell>
          <cell r="B175" t="str">
            <v>North Dakota St.</v>
          </cell>
          <cell r="C175" t="str">
            <v>Summit League</v>
          </cell>
          <cell r="D175">
            <v>36124</v>
          </cell>
        </row>
        <row r="176">
          <cell r="A176">
            <v>227216</v>
          </cell>
          <cell r="B176" t="str">
            <v>North Texas</v>
          </cell>
          <cell r="C176" t="str">
            <v>CUSA</v>
          </cell>
          <cell r="D176">
            <v>35624</v>
          </cell>
        </row>
        <row r="177">
          <cell r="A177">
            <v>196079</v>
          </cell>
          <cell r="B177" t="str">
            <v>Binghamton</v>
          </cell>
          <cell r="C177" t="str">
            <v>America East</v>
          </cell>
          <cell r="D177">
            <v>35565</v>
          </cell>
        </row>
        <row r="178">
          <cell r="A178">
            <v>232557</v>
          </cell>
          <cell r="B178" t="str">
            <v>Liberty</v>
          </cell>
          <cell r="C178" t="str">
            <v>Big South</v>
          </cell>
          <cell r="D178">
            <v>35217</v>
          </cell>
        </row>
        <row r="179">
          <cell r="A179">
            <v>221838</v>
          </cell>
          <cell r="B179" t="str">
            <v>Tennessee St.</v>
          </cell>
          <cell r="C179" t="str">
            <v>OVC</v>
          </cell>
          <cell r="D179">
            <v>35007</v>
          </cell>
        </row>
        <row r="180">
          <cell r="A180">
            <v>240453</v>
          </cell>
          <cell r="B180" t="str">
            <v>Milwaukee</v>
          </cell>
          <cell r="C180" t="str">
            <v>Horizon</v>
          </cell>
          <cell r="D180">
            <v>34676</v>
          </cell>
        </row>
        <row r="181">
          <cell r="A181">
            <v>231174</v>
          </cell>
          <cell r="B181" t="str">
            <v>Vermont</v>
          </cell>
          <cell r="C181" t="str">
            <v>America East</v>
          </cell>
          <cell r="D181">
            <v>34030</v>
          </cell>
        </row>
        <row r="182">
          <cell r="A182">
            <v>201441</v>
          </cell>
          <cell r="B182" t="str">
            <v>Bowling Green</v>
          </cell>
          <cell r="C182" t="str">
            <v>MAC</v>
          </cell>
          <cell r="D182">
            <v>33928</v>
          </cell>
        </row>
        <row r="183">
          <cell r="A183">
            <v>190150</v>
          </cell>
          <cell r="B183" t="str">
            <v>Columbia</v>
          </cell>
          <cell r="C183" t="str">
            <v>Ivy League</v>
          </cell>
          <cell r="D183">
            <v>33915</v>
          </cell>
        </row>
        <row r="184">
          <cell r="A184">
            <v>120883</v>
          </cell>
          <cell r="B184" t="str">
            <v>Pacific</v>
          </cell>
          <cell r="C184" t="str">
            <v>WCC</v>
          </cell>
          <cell r="D184">
            <v>33694</v>
          </cell>
        </row>
        <row r="185">
          <cell r="A185">
            <v>219356</v>
          </cell>
          <cell r="B185" t="str">
            <v>South Dakota St.</v>
          </cell>
          <cell r="C185" t="str">
            <v>Summit League</v>
          </cell>
          <cell r="D185">
            <v>33382</v>
          </cell>
        </row>
        <row r="186">
          <cell r="A186">
            <v>230737</v>
          </cell>
          <cell r="B186" t="str">
            <v>Utah Valley</v>
          </cell>
          <cell r="C186" t="str">
            <v>WAC</v>
          </cell>
          <cell r="D186">
            <v>33372</v>
          </cell>
        </row>
        <row r="187">
          <cell r="A187">
            <v>156620</v>
          </cell>
          <cell r="B187" t="str">
            <v>Eastern Ky.</v>
          </cell>
          <cell r="C187" t="str">
            <v>OVC</v>
          </cell>
          <cell r="D187">
            <v>32550</v>
          </cell>
        </row>
        <row r="188">
          <cell r="A188">
            <v>157447</v>
          </cell>
          <cell r="B188" t="str">
            <v>Northern Ky.</v>
          </cell>
          <cell r="C188" t="str">
            <v>Horizon</v>
          </cell>
          <cell r="D188">
            <v>32154</v>
          </cell>
        </row>
        <row r="189">
          <cell r="A189">
            <v>159993</v>
          </cell>
          <cell r="B189" t="str">
            <v>ULM</v>
          </cell>
          <cell r="C189" t="str">
            <v>Sun Belt</v>
          </cell>
          <cell r="D189">
            <v>32123</v>
          </cell>
        </row>
        <row r="190">
          <cell r="A190">
            <v>102094</v>
          </cell>
          <cell r="B190" t="str">
            <v>South Alabama</v>
          </cell>
          <cell r="C190" t="str">
            <v>Sun Belt</v>
          </cell>
          <cell r="D190">
            <v>32068</v>
          </cell>
        </row>
        <row r="191">
          <cell r="A191">
            <v>228459</v>
          </cell>
          <cell r="B191" t="str">
            <v>Texas St.</v>
          </cell>
          <cell r="C191" t="str">
            <v>Sun Belt</v>
          </cell>
          <cell r="D191">
            <v>32053</v>
          </cell>
        </row>
        <row r="192">
          <cell r="A192">
            <v>236595</v>
          </cell>
          <cell r="B192" t="str">
            <v>Seattle U</v>
          </cell>
          <cell r="C192" t="str">
            <v>WAC</v>
          </cell>
          <cell r="D192">
            <v>31830</v>
          </cell>
        </row>
        <row r="193">
          <cell r="A193">
            <v>169716</v>
          </cell>
          <cell r="B193" t="str">
            <v>Detroit Mercy</v>
          </cell>
          <cell r="C193" t="str">
            <v>Horizon</v>
          </cell>
          <cell r="D193">
            <v>31819</v>
          </cell>
        </row>
        <row r="194">
          <cell r="A194">
            <v>218724</v>
          </cell>
          <cell r="B194" t="str">
            <v>Coastal Carolina</v>
          </cell>
          <cell r="C194" t="str">
            <v>Big South</v>
          </cell>
          <cell r="D194">
            <v>31769</v>
          </cell>
        </row>
        <row r="195">
          <cell r="A195">
            <v>110644</v>
          </cell>
          <cell r="B195" t="str">
            <v>UC Davis</v>
          </cell>
          <cell r="C195" t="str">
            <v>Big West</v>
          </cell>
          <cell r="D195">
            <v>31665</v>
          </cell>
        </row>
        <row r="196">
          <cell r="A196">
            <v>212106</v>
          </cell>
          <cell r="B196" t="str">
            <v>Duquesne</v>
          </cell>
          <cell r="C196" t="str">
            <v>Atlantic 10</v>
          </cell>
          <cell r="D196">
            <v>31147</v>
          </cell>
        </row>
        <row r="197">
          <cell r="A197">
            <v>117946</v>
          </cell>
          <cell r="B197" t="str">
            <v>LMU (CA)</v>
          </cell>
          <cell r="C197" t="str">
            <v>WCC</v>
          </cell>
          <cell r="D197">
            <v>31105</v>
          </cell>
        </row>
        <row r="198">
          <cell r="A198">
            <v>219709</v>
          </cell>
          <cell r="B198" t="str">
            <v>Belmont</v>
          </cell>
          <cell r="C198" t="str">
            <v>OVC</v>
          </cell>
          <cell r="D198">
            <v>30438</v>
          </cell>
        </row>
        <row r="199">
          <cell r="A199">
            <v>186131</v>
          </cell>
          <cell r="B199" t="str">
            <v>Princeton</v>
          </cell>
          <cell r="C199" t="str">
            <v>Ivy League</v>
          </cell>
          <cell r="D199">
            <v>30259</v>
          </cell>
        </row>
        <row r="200">
          <cell r="A200">
            <v>199148</v>
          </cell>
          <cell r="B200" t="str">
            <v>UNC Greensboro</v>
          </cell>
          <cell r="C200" t="str">
            <v>SoCon</v>
          </cell>
          <cell r="D200">
            <v>30252</v>
          </cell>
        </row>
        <row r="201">
          <cell r="A201">
            <v>500000</v>
          </cell>
          <cell r="B201" t="str">
            <v>Navy</v>
          </cell>
          <cell r="C201" t="str">
            <v>Patriot</v>
          </cell>
          <cell r="D201">
            <v>30183</v>
          </cell>
        </row>
        <row r="202">
          <cell r="A202">
            <v>181394</v>
          </cell>
          <cell r="B202" t="str">
            <v>Omaha</v>
          </cell>
          <cell r="C202" t="str">
            <v>Summit League</v>
          </cell>
          <cell r="D202">
            <v>29449</v>
          </cell>
        </row>
        <row r="203">
          <cell r="A203">
            <v>146719</v>
          </cell>
          <cell r="B203" t="str">
            <v>Loyola Chicago</v>
          </cell>
          <cell r="C203" t="str">
            <v>MVC</v>
          </cell>
          <cell r="D203">
            <v>29308</v>
          </cell>
        </row>
        <row r="204">
          <cell r="A204">
            <v>219602</v>
          </cell>
          <cell r="B204" t="str">
            <v>Austin Peay</v>
          </cell>
          <cell r="C204" t="str">
            <v>OVC</v>
          </cell>
          <cell r="D204">
            <v>28824</v>
          </cell>
        </row>
        <row r="205">
          <cell r="A205">
            <v>160755</v>
          </cell>
          <cell r="B205" t="str">
            <v>Tulane</v>
          </cell>
          <cell r="C205" t="str">
            <v>The American</v>
          </cell>
          <cell r="D205">
            <v>28793</v>
          </cell>
        </row>
        <row r="206">
          <cell r="A206">
            <v>164076</v>
          </cell>
          <cell r="B206" t="str">
            <v>Towson</v>
          </cell>
          <cell r="C206" t="str">
            <v>CAA</v>
          </cell>
          <cell r="D206">
            <v>28724</v>
          </cell>
        </row>
        <row r="207">
          <cell r="A207">
            <v>202134</v>
          </cell>
          <cell r="B207" t="str">
            <v>Cleveland St.</v>
          </cell>
          <cell r="C207" t="str">
            <v>Horizon</v>
          </cell>
          <cell r="D207">
            <v>28669</v>
          </cell>
        </row>
        <row r="208">
          <cell r="A208">
            <v>226091</v>
          </cell>
          <cell r="B208" t="str">
            <v>Lamar University</v>
          </cell>
          <cell r="C208" t="str">
            <v>Southland</v>
          </cell>
          <cell r="D208">
            <v>28413</v>
          </cell>
        </row>
        <row r="209">
          <cell r="A209">
            <v>206695</v>
          </cell>
          <cell r="B209" t="str">
            <v>Youngstown St.</v>
          </cell>
          <cell r="C209" t="str">
            <v>Horizon</v>
          </cell>
          <cell r="D209">
            <v>28195</v>
          </cell>
        </row>
        <row r="210">
          <cell r="A210">
            <v>221847</v>
          </cell>
          <cell r="B210" t="str">
            <v>Tennessee Tech</v>
          </cell>
          <cell r="C210" t="str">
            <v>OVC</v>
          </cell>
          <cell r="D210">
            <v>27972</v>
          </cell>
        </row>
        <row r="211">
          <cell r="A211">
            <v>147703</v>
          </cell>
          <cell r="B211" t="str">
            <v>NIU</v>
          </cell>
          <cell r="C211" t="str">
            <v>MAC</v>
          </cell>
          <cell r="D211">
            <v>27928</v>
          </cell>
        </row>
        <row r="212">
          <cell r="A212">
            <v>200280</v>
          </cell>
          <cell r="B212" t="str">
            <v>North Dakota</v>
          </cell>
          <cell r="C212" t="str">
            <v>Big Sky</v>
          </cell>
          <cell r="D212">
            <v>27754</v>
          </cell>
        </row>
        <row r="213">
          <cell r="A213">
            <v>110422</v>
          </cell>
          <cell r="B213" t="str">
            <v>Cal Poly</v>
          </cell>
          <cell r="C213" t="str">
            <v>Big West</v>
          </cell>
          <cell r="D213">
            <v>27715</v>
          </cell>
        </row>
        <row r="214">
          <cell r="A214">
            <v>180461</v>
          </cell>
          <cell r="B214" t="str">
            <v>Montana St.</v>
          </cell>
          <cell r="C214" t="str">
            <v>Big Sky</v>
          </cell>
          <cell r="D214">
            <v>27523</v>
          </cell>
        </row>
        <row r="215">
          <cell r="A215">
            <v>233277</v>
          </cell>
          <cell r="B215" t="str">
            <v>Radford</v>
          </cell>
          <cell r="C215" t="str">
            <v>Big South</v>
          </cell>
          <cell r="D215">
            <v>27392</v>
          </cell>
        </row>
        <row r="216">
          <cell r="A216">
            <v>139940</v>
          </cell>
          <cell r="B216" t="str">
            <v>Georgia St.</v>
          </cell>
          <cell r="C216" t="str">
            <v>Sun Belt</v>
          </cell>
          <cell r="D216">
            <v>26943</v>
          </cell>
        </row>
        <row r="217">
          <cell r="A217">
            <v>219976</v>
          </cell>
          <cell r="B217" t="str">
            <v>Lipscomb</v>
          </cell>
          <cell r="C217" t="str">
            <v>ASUN</v>
          </cell>
          <cell r="D217">
            <v>26917</v>
          </cell>
        </row>
        <row r="218">
          <cell r="A218">
            <v>197197</v>
          </cell>
          <cell r="B218" t="str">
            <v>Wagner</v>
          </cell>
          <cell r="C218" t="str">
            <v>NEC</v>
          </cell>
          <cell r="D218">
            <v>26550</v>
          </cell>
        </row>
        <row r="219">
          <cell r="A219">
            <v>163462</v>
          </cell>
          <cell r="B219" t="str">
            <v>Mount St. Mary's</v>
          </cell>
          <cell r="C219" t="str">
            <v>NEC</v>
          </cell>
          <cell r="D219">
            <v>26488</v>
          </cell>
        </row>
        <row r="220">
          <cell r="A220">
            <v>122931</v>
          </cell>
          <cell r="B220" t="str">
            <v>Santa Clara</v>
          </cell>
          <cell r="C220" t="str">
            <v>WCC</v>
          </cell>
          <cell r="D220">
            <v>26455</v>
          </cell>
        </row>
        <row r="221">
          <cell r="A221">
            <v>140960</v>
          </cell>
          <cell r="B221" t="str">
            <v>Savannah St.</v>
          </cell>
          <cell r="C221" t="str">
            <v>MEAC</v>
          </cell>
          <cell r="D221">
            <v>25986</v>
          </cell>
        </row>
        <row r="222">
          <cell r="A222">
            <v>110705</v>
          </cell>
          <cell r="B222" t="str">
            <v>UC Santa Barbara</v>
          </cell>
          <cell r="C222" t="str">
            <v>Big West</v>
          </cell>
          <cell r="D222">
            <v>25985</v>
          </cell>
        </row>
        <row r="223">
          <cell r="A223">
            <v>122612</v>
          </cell>
          <cell r="B223" t="str">
            <v>San Francisco</v>
          </cell>
          <cell r="C223" t="str">
            <v>WCC</v>
          </cell>
          <cell r="D223">
            <v>25922</v>
          </cell>
        </row>
        <row r="224">
          <cell r="A224">
            <v>122436</v>
          </cell>
          <cell r="B224" t="str">
            <v>San Diego</v>
          </cell>
          <cell r="C224" t="str">
            <v>WCC</v>
          </cell>
          <cell r="D224">
            <v>25823</v>
          </cell>
        </row>
        <row r="225">
          <cell r="A225">
            <v>198136</v>
          </cell>
          <cell r="B225" t="str">
            <v>Campbell</v>
          </cell>
          <cell r="C225" t="str">
            <v>Big South</v>
          </cell>
          <cell r="D225">
            <v>25760</v>
          </cell>
        </row>
        <row r="226">
          <cell r="A226">
            <v>130943</v>
          </cell>
          <cell r="B226" t="str">
            <v>Delaware</v>
          </cell>
          <cell r="C226" t="str">
            <v>CAA</v>
          </cell>
          <cell r="D226">
            <v>25686</v>
          </cell>
        </row>
        <row r="227">
          <cell r="A227">
            <v>204024</v>
          </cell>
          <cell r="B227" t="str">
            <v>Miami (OH)</v>
          </cell>
          <cell r="C227" t="str">
            <v>MAC</v>
          </cell>
          <cell r="D227">
            <v>25670</v>
          </cell>
        </row>
        <row r="228">
          <cell r="A228">
            <v>127060</v>
          </cell>
          <cell r="B228" t="str">
            <v>Denver</v>
          </cell>
          <cell r="C228" t="str">
            <v>Summit League</v>
          </cell>
          <cell r="D228">
            <v>25125</v>
          </cell>
        </row>
        <row r="229">
          <cell r="A229">
            <v>500002</v>
          </cell>
          <cell r="B229" t="str">
            <v>Air Force</v>
          </cell>
          <cell r="C229" t="str">
            <v>Mountain West</v>
          </cell>
          <cell r="D229">
            <v>25106</v>
          </cell>
        </row>
        <row r="230">
          <cell r="A230">
            <v>167358</v>
          </cell>
          <cell r="B230" t="str">
            <v>Northeastern</v>
          </cell>
          <cell r="C230" t="str">
            <v>CAA</v>
          </cell>
          <cell r="D230">
            <v>25012</v>
          </cell>
        </row>
        <row r="231">
          <cell r="A231">
            <v>110486</v>
          </cell>
          <cell r="B231" t="str">
            <v>CSU Bakersfield</v>
          </cell>
          <cell r="C231" t="str">
            <v>WAC</v>
          </cell>
          <cell r="D231">
            <v>24863</v>
          </cell>
        </row>
        <row r="232">
          <cell r="A232">
            <v>166027</v>
          </cell>
          <cell r="B232" t="str">
            <v>Harvard</v>
          </cell>
          <cell r="C232" t="str">
            <v>Ivy League</v>
          </cell>
          <cell r="D232">
            <v>23985</v>
          </cell>
        </row>
        <row r="233">
          <cell r="A233">
            <v>142276</v>
          </cell>
          <cell r="B233" t="str">
            <v>Idaho St.</v>
          </cell>
          <cell r="C233" t="str">
            <v>Big Sky</v>
          </cell>
          <cell r="D233">
            <v>23873</v>
          </cell>
        </row>
        <row r="234">
          <cell r="A234">
            <v>191931</v>
          </cell>
          <cell r="B234" t="str">
            <v>Iona</v>
          </cell>
          <cell r="C234" t="str">
            <v>MAAC</v>
          </cell>
          <cell r="D234">
            <v>23741</v>
          </cell>
        </row>
        <row r="235">
          <cell r="A235">
            <v>139931</v>
          </cell>
          <cell r="B235" t="str">
            <v>Ga. Southern</v>
          </cell>
          <cell r="C235" t="str">
            <v>Sun Belt</v>
          </cell>
          <cell r="D235">
            <v>23707</v>
          </cell>
        </row>
        <row r="236">
          <cell r="A236">
            <v>217864</v>
          </cell>
          <cell r="B236" t="str">
            <v>The Citadel</v>
          </cell>
          <cell r="C236" t="str">
            <v>SoCon</v>
          </cell>
          <cell r="D236">
            <v>23597</v>
          </cell>
        </row>
        <row r="237">
          <cell r="A237">
            <v>218070</v>
          </cell>
          <cell r="B237" t="str">
            <v>Furman</v>
          </cell>
          <cell r="C237" t="str">
            <v>SoCon</v>
          </cell>
          <cell r="D237">
            <v>23381</v>
          </cell>
        </row>
        <row r="238">
          <cell r="A238">
            <v>149231</v>
          </cell>
          <cell r="B238" t="str">
            <v>SIUE</v>
          </cell>
          <cell r="C238" t="str">
            <v>OVC</v>
          </cell>
          <cell r="D238">
            <v>23296</v>
          </cell>
        </row>
        <row r="239">
          <cell r="A239">
            <v>160621</v>
          </cell>
          <cell r="B239" t="str">
            <v>Southern U.</v>
          </cell>
          <cell r="C239" t="str">
            <v>SWAC</v>
          </cell>
          <cell r="D239">
            <v>23235</v>
          </cell>
        </row>
        <row r="240">
          <cell r="A240">
            <v>199111</v>
          </cell>
          <cell r="B240" t="str">
            <v>UNC Asheville</v>
          </cell>
          <cell r="C240" t="str">
            <v>Big South</v>
          </cell>
          <cell r="D240">
            <v>23212</v>
          </cell>
        </row>
        <row r="241">
          <cell r="A241">
            <v>122755</v>
          </cell>
          <cell r="B241" t="str">
            <v>San Jose St.</v>
          </cell>
          <cell r="C241" t="str">
            <v>Mountain West</v>
          </cell>
          <cell r="D241">
            <v>23059</v>
          </cell>
        </row>
        <row r="242">
          <cell r="A242">
            <v>198695</v>
          </cell>
          <cell r="B242" t="str">
            <v>High Point</v>
          </cell>
          <cell r="C242" t="str">
            <v>Big South</v>
          </cell>
          <cell r="D242">
            <v>23028</v>
          </cell>
        </row>
        <row r="243">
          <cell r="A243">
            <v>235097</v>
          </cell>
          <cell r="B243" t="str">
            <v>Eastern Wash.</v>
          </cell>
          <cell r="C243" t="str">
            <v>Big Sky</v>
          </cell>
          <cell r="D243">
            <v>22717</v>
          </cell>
        </row>
        <row r="244">
          <cell r="A244">
            <v>166124</v>
          </cell>
          <cell r="B244" t="str">
            <v>Holy Cross</v>
          </cell>
          <cell r="C244" t="str">
            <v>Patriot</v>
          </cell>
          <cell r="D244">
            <v>22566</v>
          </cell>
        </row>
        <row r="245">
          <cell r="A245">
            <v>221768</v>
          </cell>
          <cell r="B245" t="str">
            <v>UT Martin</v>
          </cell>
          <cell r="C245" t="str">
            <v>OVC</v>
          </cell>
          <cell r="D245">
            <v>22491</v>
          </cell>
        </row>
        <row r="246">
          <cell r="A246">
            <v>219471</v>
          </cell>
          <cell r="B246" t="str">
            <v>South Dakota</v>
          </cell>
          <cell r="C246" t="str">
            <v>Summit League</v>
          </cell>
          <cell r="D246">
            <v>22487</v>
          </cell>
        </row>
        <row r="247">
          <cell r="A247">
            <v>133650</v>
          </cell>
          <cell r="B247" t="str">
            <v>Florida A&amp;M</v>
          </cell>
          <cell r="C247" t="str">
            <v>MEAC</v>
          </cell>
          <cell r="D247">
            <v>22253</v>
          </cell>
        </row>
        <row r="248">
          <cell r="A248">
            <v>160038</v>
          </cell>
          <cell r="B248" t="str">
            <v>Northwestern St.</v>
          </cell>
          <cell r="C248" t="str">
            <v>Southland</v>
          </cell>
          <cell r="D248">
            <v>22219</v>
          </cell>
        </row>
        <row r="249">
          <cell r="A249">
            <v>129525</v>
          </cell>
          <cell r="B249" t="str">
            <v>Hartford</v>
          </cell>
          <cell r="C249" t="str">
            <v>America East</v>
          </cell>
          <cell r="D249">
            <v>21980</v>
          </cell>
        </row>
        <row r="250">
          <cell r="A250">
            <v>232937</v>
          </cell>
          <cell r="B250" t="str">
            <v>Norfolk St.</v>
          </cell>
          <cell r="C250" t="str">
            <v>MEAC</v>
          </cell>
          <cell r="D250">
            <v>21902</v>
          </cell>
        </row>
        <row r="251">
          <cell r="A251">
            <v>191649</v>
          </cell>
          <cell r="B251" t="str">
            <v>Hofstra</v>
          </cell>
          <cell r="C251" t="str">
            <v>CAA</v>
          </cell>
          <cell r="D251">
            <v>21901</v>
          </cell>
        </row>
        <row r="252">
          <cell r="A252">
            <v>218964</v>
          </cell>
          <cell r="B252" t="str">
            <v>Winthrop</v>
          </cell>
          <cell r="C252" t="str">
            <v>Big South</v>
          </cell>
          <cell r="D252">
            <v>21816</v>
          </cell>
        </row>
        <row r="253">
          <cell r="A253">
            <v>229063</v>
          </cell>
          <cell r="B253" t="str">
            <v>Texas Southern</v>
          </cell>
          <cell r="C253" t="str">
            <v>SWAC</v>
          </cell>
          <cell r="D253">
            <v>21796</v>
          </cell>
        </row>
        <row r="254">
          <cell r="A254">
            <v>106458</v>
          </cell>
          <cell r="B254" t="str">
            <v>Arkansas St.</v>
          </cell>
          <cell r="C254" t="str">
            <v>Sun Belt</v>
          </cell>
          <cell r="D254">
            <v>21722</v>
          </cell>
        </row>
        <row r="255">
          <cell r="A255">
            <v>190415</v>
          </cell>
          <cell r="B255" t="str">
            <v>Cornell</v>
          </cell>
          <cell r="C255" t="str">
            <v>Ivy League</v>
          </cell>
          <cell r="D255">
            <v>21516</v>
          </cell>
        </row>
        <row r="256">
          <cell r="A256">
            <v>218973</v>
          </cell>
          <cell r="B256" t="str">
            <v>Wofford</v>
          </cell>
          <cell r="C256" t="str">
            <v>SoCon</v>
          </cell>
          <cell r="D256">
            <v>21066</v>
          </cell>
        </row>
        <row r="257">
          <cell r="A257">
            <v>234085</v>
          </cell>
          <cell r="B257" t="str">
            <v>VMI</v>
          </cell>
          <cell r="C257" t="str">
            <v>SoCon</v>
          </cell>
          <cell r="D257">
            <v>21044</v>
          </cell>
        </row>
        <row r="258">
          <cell r="A258">
            <v>224147</v>
          </cell>
          <cell r="B258" t="str">
            <v>A&amp;M-Corpus Christi</v>
          </cell>
          <cell r="C258" t="str">
            <v>Southland</v>
          </cell>
          <cell r="D258">
            <v>21011</v>
          </cell>
        </row>
        <row r="259">
          <cell r="A259">
            <v>142285</v>
          </cell>
          <cell r="B259" t="str">
            <v>Idaho</v>
          </cell>
          <cell r="C259" t="str">
            <v>Big Sky</v>
          </cell>
          <cell r="D259">
            <v>21000</v>
          </cell>
        </row>
        <row r="260">
          <cell r="A260">
            <v>129242</v>
          </cell>
          <cell r="B260" t="str">
            <v>Fairfield</v>
          </cell>
          <cell r="C260" t="str">
            <v>MAAC</v>
          </cell>
          <cell r="D260">
            <v>20953</v>
          </cell>
        </row>
        <row r="261">
          <cell r="A261">
            <v>213543</v>
          </cell>
          <cell r="B261" t="str">
            <v>Lehigh</v>
          </cell>
          <cell r="C261" t="str">
            <v>Patriot</v>
          </cell>
          <cell r="D261">
            <v>20919</v>
          </cell>
        </row>
        <row r="262">
          <cell r="A262">
            <v>169798</v>
          </cell>
          <cell r="B262" t="str">
            <v>Eastern Mich.</v>
          </cell>
          <cell r="C262" t="str">
            <v>MAC</v>
          </cell>
          <cell r="D262">
            <v>20873</v>
          </cell>
        </row>
        <row r="263">
          <cell r="A263">
            <v>102368</v>
          </cell>
          <cell r="B263" t="str">
            <v>Troy</v>
          </cell>
          <cell r="C263" t="str">
            <v>Sun Belt</v>
          </cell>
          <cell r="D263">
            <v>20862</v>
          </cell>
        </row>
        <row r="264">
          <cell r="A264">
            <v>213385</v>
          </cell>
          <cell r="B264" t="str">
            <v>Lafayette</v>
          </cell>
          <cell r="C264" t="str">
            <v>Patriot</v>
          </cell>
          <cell r="D264">
            <v>20847</v>
          </cell>
        </row>
        <row r="265">
          <cell r="A265">
            <v>199157</v>
          </cell>
          <cell r="B265" t="str">
            <v>N.C. Central</v>
          </cell>
          <cell r="C265" t="str">
            <v>MEAC</v>
          </cell>
          <cell r="D265">
            <v>20648</v>
          </cell>
        </row>
        <row r="266">
          <cell r="A266">
            <v>130226</v>
          </cell>
          <cell r="B266" t="str">
            <v>Quinnipiac</v>
          </cell>
          <cell r="C266" t="str">
            <v>MAAC</v>
          </cell>
          <cell r="D266">
            <v>20623</v>
          </cell>
        </row>
        <row r="267">
          <cell r="A267">
            <v>163338</v>
          </cell>
          <cell r="B267" t="str">
            <v>UMES</v>
          </cell>
          <cell r="C267" t="str">
            <v>MEAC</v>
          </cell>
          <cell r="D267">
            <v>20585</v>
          </cell>
        </row>
        <row r="268">
          <cell r="A268">
            <v>121150</v>
          </cell>
          <cell r="B268" t="str">
            <v>Pepperdine</v>
          </cell>
          <cell r="C268" t="str">
            <v>WCC</v>
          </cell>
          <cell r="D268">
            <v>20448</v>
          </cell>
        </row>
        <row r="269">
          <cell r="A269">
            <v>230603</v>
          </cell>
          <cell r="B269" t="str">
            <v>Southern Utah</v>
          </cell>
          <cell r="C269" t="str">
            <v>Big Sky</v>
          </cell>
          <cell r="D269">
            <v>20344</v>
          </cell>
        </row>
        <row r="270">
          <cell r="A270">
            <v>199102</v>
          </cell>
          <cell r="B270" t="str">
            <v>N.C. A&amp;T</v>
          </cell>
          <cell r="C270" t="str">
            <v>MEAC</v>
          </cell>
          <cell r="D270">
            <v>20112</v>
          </cell>
        </row>
        <row r="271">
          <cell r="A271">
            <v>200004</v>
          </cell>
          <cell r="B271" t="str">
            <v>Western Caro.</v>
          </cell>
          <cell r="C271" t="str">
            <v>SoCon</v>
          </cell>
          <cell r="D271">
            <v>20030</v>
          </cell>
        </row>
        <row r="272">
          <cell r="A272">
            <v>222178</v>
          </cell>
          <cell r="B272" t="str">
            <v>Abilene Christian</v>
          </cell>
          <cell r="C272" t="str">
            <v>Southland</v>
          </cell>
          <cell r="D272">
            <v>20002</v>
          </cell>
        </row>
        <row r="273">
          <cell r="A273">
            <v>127741</v>
          </cell>
          <cell r="B273" t="str">
            <v>Northern Colo.</v>
          </cell>
          <cell r="C273" t="str">
            <v>Big Sky</v>
          </cell>
          <cell r="D273">
            <v>19959</v>
          </cell>
        </row>
        <row r="274">
          <cell r="A274">
            <v>178402</v>
          </cell>
          <cell r="B274" t="str">
            <v>Kansas City</v>
          </cell>
          <cell r="C274" t="str">
            <v>WAC</v>
          </cell>
          <cell r="D274">
            <v>19874</v>
          </cell>
        </row>
        <row r="275">
          <cell r="A275">
            <v>179557</v>
          </cell>
          <cell r="B275" t="str">
            <v>Southeast Mo. St.</v>
          </cell>
          <cell r="C275" t="str">
            <v>OVC</v>
          </cell>
          <cell r="D275">
            <v>19842</v>
          </cell>
        </row>
        <row r="276">
          <cell r="A276">
            <v>500001</v>
          </cell>
          <cell r="B276" t="str">
            <v>Army West Point</v>
          </cell>
          <cell r="C276" t="str">
            <v>Patriot</v>
          </cell>
          <cell r="D276">
            <v>19628</v>
          </cell>
        </row>
        <row r="277">
          <cell r="A277">
            <v>186283</v>
          </cell>
          <cell r="B277" t="str">
            <v>Rider</v>
          </cell>
          <cell r="C277" t="str">
            <v>MAAC</v>
          </cell>
          <cell r="D277">
            <v>19391</v>
          </cell>
        </row>
        <row r="278">
          <cell r="A278">
            <v>198516</v>
          </cell>
          <cell r="B278" t="str">
            <v>Elon</v>
          </cell>
          <cell r="C278" t="str">
            <v>CAA</v>
          </cell>
          <cell r="D278">
            <v>19291</v>
          </cell>
        </row>
        <row r="279">
          <cell r="A279">
            <v>486840</v>
          </cell>
          <cell r="B279" t="str">
            <v>Kennesaw St.</v>
          </cell>
          <cell r="C279" t="str">
            <v>ASUN</v>
          </cell>
          <cell r="D279">
            <v>19287</v>
          </cell>
        </row>
        <row r="280">
          <cell r="A280">
            <v>131520</v>
          </cell>
          <cell r="B280" t="str">
            <v>Howard</v>
          </cell>
          <cell r="C280" t="str">
            <v>MEAC</v>
          </cell>
          <cell r="D280">
            <v>19287</v>
          </cell>
        </row>
        <row r="281">
          <cell r="A281">
            <v>133951</v>
          </cell>
          <cell r="B281" t="str">
            <v>FIU</v>
          </cell>
          <cell r="C281" t="str">
            <v>CUSA</v>
          </cell>
          <cell r="D281">
            <v>18394</v>
          </cell>
        </row>
        <row r="282">
          <cell r="A282">
            <v>189705</v>
          </cell>
          <cell r="B282" t="str">
            <v>Canisius</v>
          </cell>
          <cell r="C282" t="str">
            <v>MAAC</v>
          </cell>
          <cell r="D282">
            <v>18367</v>
          </cell>
        </row>
        <row r="283">
          <cell r="A283">
            <v>215655</v>
          </cell>
          <cell r="B283" t="str">
            <v>Robert Morris</v>
          </cell>
          <cell r="C283" t="str">
            <v>NEC</v>
          </cell>
          <cell r="D283">
            <v>18312</v>
          </cell>
        </row>
        <row r="284">
          <cell r="A284">
            <v>130794</v>
          </cell>
          <cell r="B284" t="str">
            <v>Yale</v>
          </cell>
          <cell r="C284" t="str">
            <v>Ivy League</v>
          </cell>
          <cell r="D284">
            <v>18280</v>
          </cell>
        </row>
        <row r="285">
          <cell r="A285">
            <v>192819</v>
          </cell>
          <cell r="B285" t="str">
            <v>Marist</v>
          </cell>
          <cell r="C285" t="str">
            <v>MAAC</v>
          </cell>
          <cell r="D285">
            <v>18209</v>
          </cell>
        </row>
        <row r="286">
          <cell r="A286">
            <v>128771</v>
          </cell>
          <cell r="B286" t="str">
            <v>Central Conn. St.</v>
          </cell>
          <cell r="C286" t="str">
            <v>NEC</v>
          </cell>
          <cell r="D286">
            <v>17845</v>
          </cell>
        </row>
        <row r="287">
          <cell r="A287">
            <v>192703</v>
          </cell>
          <cell r="B287" t="str">
            <v>Manhattan</v>
          </cell>
          <cell r="C287" t="str">
            <v>MAAC</v>
          </cell>
          <cell r="D287">
            <v>17715</v>
          </cell>
        </row>
        <row r="288">
          <cell r="A288">
            <v>100724</v>
          </cell>
          <cell r="B288" t="str">
            <v>Alabama St.</v>
          </cell>
          <cell r="C288" t="str">
            <v>SWAC</v>
          </cell>
          <cell r="D288">
            <v>17605</v>
          </cell>
        </row>
        <row r="289">
          <cell r="A289">
            <v>102049</v>
          </cell>
          <cell r="B289" t="str">
            <v>Samford</v>
          </cell>
          <cell r="C289" t="str">
            <v>SoCon</v>
          </cell>
          <cell r="D289">
            <v>17440</v>
          </cell>
        </row>
        <row r="290">
          <cell r="A290">
            <v>185828</v>
          </cell>
          <cell r="B290" t="str">
            <v>NJIT</v>
          </cell>
          <cell r="C290" t="str">
            <v>ASUN</v>
          </cell>
          <cell r="D290">
            <v>16991</v>
          </cell>
        </row>
        <row r="291">
          <cell r="A291">
            <v>212054</v>
          </cell>
          <cell r="B291" t="str">
            <v>Drexel</v>
          </cell>
          <cell r="C291" t="str">
            <v>CAA</v>
          </cell>
          <cell r="D291">
            <v>16950</v>
          </cell>
        </row>
        <row r="292">
          <cell r="A292">
            <v>161253</v>
          </cell>
          <cell r="B292" t="str">
            <v>Maine</v>
          </cell>
          <cell r="C292" t="str">
            <v>America East</v>
          </cell>
          <cell r="D292">
            <v>16770</v>
          </cell>
        </row>
        <row r="293">
          <cell r="A293">
            <v>151102</v>
          </cell>
          <cell r="B293" t="str">
            <v>Purdue Fort Wayne</v>
          </cell>
          <cell r="C293" t="str">
            <v>Summit League</v>
          </cell>
          <cell r="D293">
            <v>16620</v>
          </cell>
        </row>
        <row r="294">
          <cell r="A294">
            <v>106412</v>
          </cell>
          <cell r="B294" t="str">
            <v>Ark.-Pine Bluff</v>
          </cell>
          <cell r="C294" t="str">
            <v>SWAC</v>
          </cell>
          <cell r="D294">
            <v>16607</v>
          </cell>
        </row>
        <row r="295">
          <cell r="A295">
            <v>232566</v>
          </cell>
          <cell r="B295" t="str">
            <v>Longwood</v>
          </cell>
          <cell r="C295" t="str">
            <v>Big South</v>
          </cell>
          <cell r="D295">
            <v>16491</v>
          </cell>
        </row>
        <row r="296">
          <cell r="A296">
            <v>227881</v>
          </cell>
          <cell r="B296" t="str">
            <v>Sam Houston</v>
          </cell>
          <cell r="C296" t="str">
            <v>Southland</v>
          </cell>
          <cell r="D296">
            <v>16404</v>
          </cell>
        </row>
        <row r="297">
          <cell r="A297">
            <v>101480</v>
          </cell>
          <cell r="B297" t="str">
            <v>Jacksonville St.</v>
          </cell>
          <cell r="C297" t="str">
            <v>OVC</v>
          </cell>
          <cell r="D297">
            <v>16385</v>
          </cell>
        </row>
        <row r="298">
          <cell r="A298">
            <v>192448</v>
          </cell>
          <cell r="B298" t="str">
            <v>LIU</v>
          </cell>
          <cell r="C298" t="str">
            <v>NEC</v>
          </cell>
          <cell r="D298">
            <v>16284</v>
          </cell>
        </row>
        <row r="299">
          <cell r="A299">
            <v>175856</v>
          </cell>
          <cell r="B299" t="str">
            <v>Jackson St.</v>
          </cell>
          <cell r="C299" t="str">
            <v>SWAC</v>
          </cell>
          <cell r="D299">
            <v>16131</v>
          </cell>
        </row>
        <row r="300">
          <cell r="A300">
            <v>144892</v>
          </cell>
          <cell r="B300" t="str">
            <v>Eastern Ill.</v>
          </cell>
          <cell r="C300" t="str">
            <v>OVC</v>
          </cell>
          <cell r="D300">
            <v>15921</v>
          </cell>
        </row>
        <row r="301">
          <cell r="A301">
            <v>130934</v>
          </cell>
          <cell r="B301" t="str">
            <v>Delaware St.</v>
          </cell>
          <cell r="C301" t="str">
            <v>MEAC</v>
          </cell>
          <cell r="D301">
            <v>15904</v>
          </cell>
        </row>
        <row r="302">
          <cell r="A302">
            <v>197869</v>
          </cell>
          <cell r="B302" t="str">
            <v>App State</v>
          </cell>
          <cell r="C302" t="str">
            <v>Sun Belt</v>
          </cell>
          <cell r="D302">
            <v>15765</v>
          </cell>
        </row>
        <row r="303">
          <cell r="A303">
            <v>193973</v>
          </cell>
          <cell r="B303" t="str">
            <v>Niagara</v>
          </cell>
          <cell r="C303" t="str">
            <v>MAAC</v>
          </cell>
          <cell r="D303">
            <v>15570</v>
          </cell>
        </row>
        <row r="304">
          <cell r="A304">
            <v>215743</v>
          </cell>
          <cell r="B304" t="str">
            <v>Saint Francis</v>
          </cell>
          <cell r="C304" t="str">
            <v>NEC</v>
          </cell>
          <cell r="D304">
            <v>15258</v>
          </cell>
        </row>
        <row r="305">
          <cell r="A305">
            <v>217156</v>
          </cell>
          <cell r="B305" t="str">
            <v>Brown</v>
          </cell>
          <cell r="C305" t="str">
            <v>Ivy League</v>
          </cell>
          <cell r="D305">
            <v>15246</v>
          </cell>
        </row>
        <row r="306">
          <cell r="A306">
            <v>229027</v>
          </cell>
          <cell r="B306" t="str">
            <v>UTSA</v>
          </cell>
          <cell r="C306" t="str">
            <v>CUSA</v>
          </cell>
          <cell r="D306">
            <v>15012</v>
          </cell>
        </row>
        <row r="307">
          <cell r="A307">
            <v>198561</v>
          </cell>
          <cell r="B307" t="str">
            <v>Gardner-Webb</v>
          </cell>
          <cell r="C307" t="str">
            <v>Big South</v>
          </cell>
          <cell r="D307">
            <v>14891</v>
          </cell>
        </row>
        <row r="308">
          <cell r="A308">
            <v>105330</v>
          </cell>
          <cell r="B308" t="str">
            <v>Northern Ariz.</v>
          </cell>
          <cell r="C308" t="str">
            <v>Big Sky</v>
          </cell>
          <cell r="D308">
            <v>14823</v>
          </cell>
        </row>
        <row r="309">
          <cell r="A309">
            <v>227368</v>
          </cell>
          <cell r="B309" t="str">
            <v>UTRGV</v>
          </cell>
          <cell r="C309" t="str">
            <v>WAC</v>
          </cell>
          <cell r="D309">
            <v>14743</v>
          </cell>
        </row>
        <row r="310">
          <cell r="A310">
            <v>144005</v>
          </cell>
          <cell r="B310" t="str">
            <v>Chicago St.</v>
          </cell>
          <cell r="C310" t="str">
            <v>WAC</v>
          </cell>
          <cell r="D310">
            <v>14193</v>
          </cell>
        </row>
        <row r="311">
          <cell r="A311">
            <v>149772</v>
          </cell>
          <cell r="B311" t="str">
            <v>Western Ill.</v>
          </cell>
          <cell r="C311" t="str">
            <v>Summit League</v>
          </cell>
          <cell r="D311">
            <v>14139</v>
          </cell>
        </row>
        <row r="312">
          <cell r="A312">
            <v>110565</v>
          </cell>
          <cell r="B312" t="str">
            <v>Cal St. Fullerton</v>
          </cell>
          <cell r="C312" t="str">
            <v>Big West</v>
          </cell>
          <cell r="D312">
            <v>14001</v>
          </cell>
        </row>
        <row r="313">
          <cell r="A313">
            <v>133669</v>
          </cell>
          <cell r="B313" t="str">
            <v>Fla. Atlantic</v>
          </cell>
          <cell r="C313" t="str">
            <v>CUSA</v>
          </cell>
          <cell r="D313">
            <v>13793</v>
          </cell>
        </row>
        <row r="314">
          <cell r="A314">
            <v>110608</v>
          </cell>
          <cell r="B314" t="str">
            <v>CSUN</v>
          </cell>
          <cell r="C314" t="str">
            <v>Big West</v>
          </cell>
          <cell r="D314">
            <v>13584</v>
          </cell>
        </row>
        <row r="315">
          <cell r="A315">
            <v>110671</v>
          </cell>
          <cell r="B315" t="str">
            <v>UC Riverside</v>
          </cell>
          <cell r="C315" t="str">
            <v>Big West</v>
          </cell>
          <cell r="D315">
            <v>13469</v>
          </cell>
        </row>
        <row r="316">
          <cell r="A316">
            <v>110617</v>
          </cell>
          <cell r="B316" t="str">
            <v>Sacramento St.</v>
          </cell>
          <cell r="C316" t="str">
            <v>Big Sky</v>
          </cell>
          <cell r="D316">
            <v>12898</v>
          </cell>
        </row>
        <row r="317">
          <cell r="A317">
            <v>100654</v>
          </cell>
          <cell r="B317" t="str">
            <v>Alabama A&amp;M</v>
          </cell>
          <cell r="C317" t="str">
            <v>SWAC</v>
          </cell>
          <cell r="D317">
            <v>12868</v>
          </cell>
        </row>
        <row r="318">
          <cell r="A318">
            <v>163268</v>
          </cell>
          <cell r="B318" t="str">
            <v>UMBC</v>
          </cell>
          <cell r="C318" t="str">
            <v>America East</v>
          </cell>
          <cell r="D318">
            <v>12621</v>
          </cell>
        </row>
        <row r="319">
          <cell r="A319">
            <v>175342</v>
          </cell>
          <cell r="B319" t="str">
            <v>Alcorn</v>
          </cell>
          <cell r="C319" t="str">
            <v>SWAC</v>
          </cell>
          <cell r="D319">
            <v>12530</v>
          </cell>
        </row>
        <row r="320">
          <cell r="A320">
            <v>166513</v>
          </cell>
          <cell r="B320" t="str">
            <v>UMass Lowell</v>
          </cell>
          <cell r="C320" t="str">
            <v>America East</v>
          </cell>
          <cell r="D320">
            <v>12516</v>
          </cell>
        </row>
        <row r="321">
          <cell r="A321">
            <v>163453</v>
          </cell>
          <cell r="B321" t="str">
            <v>Morgan St.</v>
          </cell>
          <cell r="C321" t="str">
            <v>MEAC</v>
          </cell>
          <cell r="D321">
            <v>12103</v>
          </cell>
        </row>
        <row r="322">
          <cell r="A322">
            <v>225627</v>
          </cell>
          <cell r="B322" t="str">
            <v>UIW</v>
          </cell>
          <cell r="C322" t="str">
            <v>Southland</v>
          </cell>
          <cell r="D322">
            <v>12022</v>
          </cell>
        </row>
        <row r="323">
          <cell r="A323">
            <v>151111</v>
          </cell>
          <cell r="B323" t="str">
            <v>IU Indy</v>
          </cell>
          <cell r="C323" t="str">
            <v>Summit League</v>
          </cell>
          <cell r="D323">
            <v>11609</v>
          </cell>
        </row>
        <row r="324">
          <cell r="A324">
            <v>184603</v>
          </cell>
          <cell r="B324" t="str">
            <v>FDU</v>
          </cell>
          <cell r="C324" t="str">
            <v>NEC</v>
          </cell>
          <cell r="D324">
            <v>11548</v>
          </cell>
        </row>
        <row r="325">
          <cell r="A325">
            <v>106704</v>
          </cell>
          <cell r="B325" t="str">
            <v>Central Ark.</v>
          </cell>
          <cell r="C325" t="str">
            <v>Southland</v>
          </cell>
          <cell r="D325">
            <v>11515</v>
          </cell>
        </row>
        <row r="326">
          <cell r="A326">
            <v>176044</v>
          </cell>
          <cell r="B326" t="str">
            <v>Mississippi Val.</v>
          </cell>
          <cell r="C326" t="str">
            <v>SWAC</v>
          </cell>
          <cell r="D326">
            <v>11426</v>
          </cell>
        </row>
        <row r="327">
          <cell r="A327">
            <v>162283</v>
          </cell>
          <cell r="B327" t="str">
            <v>Coppin St.</v>
          </cell>
          <cell r="C327" t="str">
            <v>MEAC</v>
          </cell>
          <cell r="D327">
            <v>11401</v>
          </cell>
        </row>
        <row r="328">
          <cell r="A328">
            <v>182670</v>
          </cell>
          <cell r="B328" t="str">
            <v>Dartmouth</v>
          </cell>
          <cell r="C328" t="str">
            <v>Ivy League</v>
          </cell>
          <cell r="D328">
            <v>11363</v>
          </cell>
        </row>
        <row r="329">
          <cell r="A329">
            <v>137546</v>
          </cell>
          <cell r="B329" t="str">
            <v>Stetson</v>
          </cell>
          <cell r="C329" t="str">
            <v>ASUN</v>
          </cell>
          <cell r="D329">
            <v>11264</v>
          </cell>
        </row>
        <row r="330">
          <cell r="A330">
            <v>225399</v>
          </cell>
          <cell r="B330" t="str">
            <v>Houston Christian</v>
          </cell>
          <cell r="C330" t="str">
            <v>Southland</v>
          </cell>
          <cell r="D330">
            <v>11250</v>
          </cell>
        </row>
        <row r="331">
          <cell r="A331">
            <v>159966</v>
          </cell>
          <cell r="B331" t="str">
            <v>Nicholls</v>
          </cell>
          <cell r="C331" t="str">
            <v>Southland</v>
          </cell>
          <cell r="D331">
            <v>11038</v>
          </cell>
        </row>
        <row r="332">
          <cell r="A332">
            <v>183044</v>
          </cell>
          <cell r="B332" t="str">
            <v>New Hampshire</v>
          </cell>
          <cell r="C332" t="str">
            <v>America East</v>
          </cell>
          <cell r="D332">
            <v>11033</v>
          </cell>
        </row>
        <row r="333">
          <cell r="A333">
            <v>163046</v>
          </cell>
          <cell r="B333" t="str">
            <v>Loyola Maryland</v>
          </cell>
          <cell r="C333" t="str">
            <v>Patriot</v>
          </cell>
          <cell r="D333">
            <v>10549</v>
          </cell>
        </row>
        <row r="334">
          <cell r="A334">
            <v>164988</v>
          </cell>
          <cell r="B334" t="str">
            <v>Boston U.</v>
          </cell>
          <cell r="C334" t="str">
            <v>Patriot</v>
          </cell>
          <cell r="D334">
            <v>10508</v>
          </cell>
        </row>
        <row r="335">
          <cell r="A335">
            <v>217688</v>
          </cell>
          <cell r="B335" t="str">
            <v>Charleston So.</v>
          </cell>
          <cell r="C335" t="str">
            <v>Big South</v>
          </cell>
          <cell r="D335">
            <v>10349</v>
          </cell>
        </row>
        <row r="336">
          <cell r="A336">
            <v>160612</v>
          </cell>
          <cell r="B336" t="str">
            <v>Southeastern La.</v>
          </cell>
          <cell r="C336" t="str">
            <v>Southland</v>
          </cell>
          <cell r="D336">
            <v>10054</v>
          </cell>
        </row>
        <row r="337">
          <cell r="A337">
            <v>218539</v>
          </cell>
          <cell r="B337" t="str">
            <v>Presbyterian</v>
          </cell>
          <cell r="C337" t="str">
            <v>Big South</v>
          </cell>
          <cell r="D337">
            <v>9737</v>
          </cell>
        </row>
        <row r="338">
          <cell r="A338">
            <v>134945</v>
          </cell>
          <cell r="B338" t="str">
            <v>Jacksonville</v>
          </cell>
          <cell r="C338" t="str">
            <v>ASUN</v>
          </cell>
          <cell r="D338">
            <v>9582</v>
          </cell>
        </row>
        <row r="339">
          <cell r="A339">
            <v>190099</v>
          </cell>
          <cell r="B339" t="str">
            <v>Colgate</v>
          </cell>
          <cell r="C339" t="str">
            <v>Patriot</v>
          </cell>
          <cell r="D339">
            <v>9493</v>
          </cell>
        </row>
        <row r="340">
          <cell r="A340">
            <v>209807</v>
          </cell>
          <cell r="B340" t="str">
            <v>Portland St.</v>
          </cell>
          <cell r="C340" t="str">
            <v>Big Sky</v>
          </cell>
          <cell r="D340">
            <v>9281</v>
          </cell>
        </row>
        <row r="341">
          <cell r="A341">
            <v>131159</v>
          </cell>
          <cell r="B341" t="str">
            <v>American</v>
          </cell>
          <cell r="C341" t="str">
            <v>Patriot</v>
          </cell>
          <cell r="D341">
            <v>9263</v>
          </cell>
        </row>
        <row r="342">
          <cell r="A342">
            <v>218742</v>
          </cell>
          <cell r="B342" t="str">
            <v>USC Upstate</v>
          </cell>
          <cell r="C342" t="str">
            <v>ASUN</v>
          </cell>
          <cell r="D342">
            <v>8883</v>
          </cell>
        </row>
        <row r="343">
          <cell r="A343">
            <v>159009</v>
          </cell>
          <cell r="B343" t="str">
            <v>Grambling</v>
          </cell>
          <cell r="C343" t="str">
            <v>SWAC</v>
          </cell>
          <cell r="D343">
            <v>8499</v>
          </cell>
        </row>
        <row r="344">
          <cell r="A344">
            <v>159717</v>
          </cell>
          <cell r="B344" t="str">
            <v>McNeese</v>
          </cell>
          <cell r="C344" t="str">
            <v>Southland</v>
          </cell>
          <cell r="D344">
            <v>8497</v>
          </cell>
        </row>
        <row r="345">
          <cell r="A345">
            <v>132602</v>
          </cell>
          <cell r="B345" t="str">
            <v>Bethune-Cookman</v>
          </cell>
          <cell r="C345" t="str">
            <v>MEAC</v>
          </cell>
          <cell r="D345">
            <v>8326</v>
          </cell>
        </row>
        <row r="346">
          <cell r="A346">
            <v>227526</v>
          </cell>
          <cell r="B346" t="str">
            <v>Prairie View</v>
          </cell>
          <cell r="C346" t="str">
            <v>SWAC</v>
          </cell>
          <cell r="D346">
            <v>8246</v>
          </cell>
        </row>
        <row r="347">
          <cell r="A347">
            <v>159939</v>
          </cell>
          <cell r="B347" t="str">
            <v>New Orleans</v>
          </cell>
          <cell r="C347" t="str">
            <v>Southland</v>
          </cell>
          <cell r="D347">
            <v>7582</v>
          </cell>
        </row>
        <row r="348">
          <cell r="A348">
            <v>130253</v>
          </cell>
          <cell r="B348" t="str">
            <v>Sacred Heart</v>
          </cell>
          <cell r="C348" t="str">
            <v>NEC</v>
          </cell>
          <cell r="D348">
            <v>6840</v>
          </cell>
        </row>
        <row r="349">
          <cell r="A349">
            <v>195173</v>
          </cell>
          <cell r="B349" t="str">
            <v>St. Francis Brooklyn</v>
          </cell>
          <cell r="C349" t="str">
            <v>NEC</v>
          </cell>
          <cell r="D349">
            <v>6821</v>
          </cell>
        </row>
        <row r="350">
          <cell r="A350">
            <v>186432</v>
          </cell>
          <cell r="B350" t="str">
            <v>Saint Peter's</v>
          </cell>
          <cell r="C350" t="str">
            <v>MAAC</v>
          </cell>
          <cell r="D350">
            <v>6709</v>
          </cell>
        </row>
        <row r="351">
          <cell r="A351">
            <v>217165</v>
          </cell>
          <cell r="B351" t="str">
            <v>Bryant</v>
          </cell>
          <cell r="C351" t="str">
            <v>NEC</v>
          </cell>
          <cell r="D351">
            <v>6108</v>
          </cell>
        </row>
        <row r="352">
          <cell r="A352">
            <v>218733</v>
          </cell>
          <cell r="B352" t="str">
            <v>South Carolina St.</v>
          </cell>
          <cell r="C352" t="str">
            <v>MEAC</v>
          </cell>
          <cell r="D352">
            <v>4834</v>
          </cell>
        </row>
      </sheetData>
      <sheetData sheetId="9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196413</v>
          </cell>
          <cell r="B2" t="str">
            <v>Syracuse</v>
          </cell>
          <cell r="C2" t="str">
            <v>ACC</v>
          </cell>
          <cell r="D2">
            <v>444809</v>
          </cell>
        </row>
        <row r="3">
          <cell r="A3">
            <v>157085</v>
          </cell>
          <cell r="B3" t="str">
            <v>Kentucky</v>
          </cell>
          <cell r="C3" t="str">
            <v>SEC</v>
          </cell>
          <cell r="D3">
            <v>398850</v>
          </cell>
        </row>
        <row r="4">
          <cell r="A4">
            <v>157289</v>
          </cell>
          <cell r="B4" t="str">
            <v>Louisville</v>
          </cell>
          <cell r="C4" t="str">
            <v>ACC</v>
          </cell>
          <cell r="D4">
            <v>354390</v>
          </cell>
        </row>
        <row r="5">
          <cell r="A5">
            <v>163286</v>
          </cell>
          <cell r="B5" t="str">
            <v>Maryland</v>
          </cell>
          <cell r="C5" t="str">
            <v>Big Ten</v>
          </cell>
          <cell r="D5">
            <v>299306</v>
          </cell>
        </row>
        <row r="6">
          <cell r="A6">
            <v>181002</v>
          </cell>
          <cell r="B6" t="str">
            <v>Creighton</v>
          </cell>
          <cell r="C6" t="str">
            <v>Big East</v>
          </cell>
          <cell r="D6">
            <v>296013</v>
          </cell>
        </row>
        <row r="7">
          <cell r="A7">
            <v>151351</v>
          </cell>
          <cell r="B7" t="str">
            <v>Indiana</v>
          </cell>
          <cell r="C7" t="str">
            <v>Big Ten</v>
          </cell>
          <cell r="D7">
            <v>294549</v>
          </cell>
        </row>
        <row r="8">
          <cell r="A8">
            <v>240444</v>
          </cell>
          <cell r="B8" t="str">
            <v>Wisconsin</v>
          </cell>
          <cell r="C8" t="str">
            <v>Big Ten</v>
          </cell>
          <cell r="D8">
            <v>293870</v>
          </cell>
        </row>
        <row r="9">
          <cell r="A9">
            <v>199120</v>
          </cell>
          <cell r="B9" t="str">
            <v>North Carolina</v>
          </cell>
          <cell r="C9" t="str">
            <v>ACC</v>
          </cell>
          <cell r="D9">
            <v>289075</v>
          </cell>
        </row>
        <row r="10">
          <cell r="A10">
            <v>199193</v>
          </cell>
          <cell r="B10" t="str">
            <v>NC State</v>
          </cell>
          <cell r="C10" t="str">
            <v>ACC</v>
          </cell>
          <cell r="D10">
            <v>286322</v>
          </cell>
        </row>
        <row r="11">
          <cell r="A11">
            <v>106397</v>
          </cell>
          <cell r="B11" t="str">
            <v>Arkansas</v>
          </cell>
          <cell r="C11" t="str">
            <v>SEC</v>
          </cell>
          <cell r="D11">
            <v>274446</v>
          </cell>
        </row>
        <row r="12">
          <cell r="A12">
            <v>155317</v>
          </cell>
          <cell r="B12" t="str">
            <v>Kansas</v>
          </cell>
          <cell r="C12" t="str">
            <v>Big 12</v>
          </cell>
          <cell r="D12">
            <v>262320</v>
          </cell>
        </row>
        <row r="13">
          <cell r="A13">
            <v>230038</v>
          </cell>
          <cell r="B13" t="str">
            <v>BYU</v>
          </cell>
          <cell r="C13" t="str">
            <v>WCC</v>
          </cell>
          <cell r="D13">
            <v>260569</v>
          </cell>
        </row>
        <row r="14">
          <cell r="A14">
            <v>153658</v>
          </cell>
          <cell r="B14" t="str">
            <v>Iowa</v>
          </cell>
          <cell r="C14" t="str">
            <v>Big Ten</v>
          </cell>
          <cell r="D14">
            <v>250959</v>
          </cell>
        </row>
        <row r="15">
          <cell r="A15">
            <v>181464</v>
          </cell>
          <cell r="B15" t="str">
            <v>Nebraska</v>
          </cell>
          <cell r="C15" t="str">
            <v>Big Ten</v>
          </cell>
          <cell r="D15">
            <v>246832</v>
          </cell>
        </row>
        <row r="16">
          <cell r="A16">
            <v>218663</v>
          </cell>
          <cell r="B16" t="str">
            <v>South Carolina</v>
          </cell>
          <cell r="C16" t="str">
            <v>SEC</v>
          </cell>
          <cell r="D16">
            <v>241126</v>
          </cell>
        </row>
        <row r="17">
          <cell r="A17">
            <v>171100</v>
          </cell>
          <cell r="B17" t="str">
            <v>Michigan St.</v>
          </cell>
          <cell r="C17" t="str">
            <v>Big Ten</v>
          </cell>
          <cell r="D17">
            <v>236752</v>
          </cell>
        </row>
        <row r="18">
          <cell r="A18">
            <v>243780</v>
          </cell>
          <cell r="B18" t="str">
            <v>Purdue</v>
          </cell>
          <cell r="C18" t="str">
            <v>Big Ten</v>
          </cell>
          <cell r="D18">
            <v>234930</v>
          </cell>
        </row>
        <row r="19">
          <cell r="A19">
            <v>204796</v>
          </cell>
          <cell r="B19" t="str">
            <v>Ohio St.</v>
          </cell>
          <cell r="C19" t="str">
            <v>Big Ten</v>
          </cell>
          <cell r="D19">
            <v>234156</v>
          </cell>
        </row>
        <row r="20">
          <cell r="A20">
            <v>239105</v>
          </cell>
          <cell r="B20" t="str">
            <v>Marquette</v>
          </cell>
          <cell r="C20" t="str">
            <v>Big East</v>
          </cell>
          <cell r="D20">
            <v>233169</v>
          </cell>
        </row>
        <row r="21">
          <cell r="A21">
            <v>104179</v>
          </cell>
          <cell r="B21" t="str">
            <v>Arizona</v>
          </cell>
          <cell r="C21" t="str">
            <v>Pac-12</v>
          </cell>
          <cell r="D21">
            <v>230560</v>
          </cell>
        </row>
        <row r="22">
          <cell r="A22">
            <v>234076</v>
          </cell>
          <cell r="B22" t="str">
            <v>Virginia</v>
          </cell>
          <cell r="C22" t="str">
            <v>ACC</v>
          </cell>
          <cell r="D22">
            <v>227922</v>
          </cell>
        </row>
        <row r="23">
          <cell r="A23">
            <v>221759</v>
          </cell>
          <cell r="B23" t="str">
            <v>Tennessee</v>
          </cell>
          <cell r="C23" t="str">
            <v>SEC</v>
          </cell>
          <cell r="D23">
            <v>218190</v>
          </cell>
        </row>
        <row r="24">
          <cell r="A24">
            <v>230764</v>
          </cell>
          <cell r="B24" t="str">
            <v>Utah</v>
          </cell>
          <cell r="C24" t="str">
            <v>Pac-12</v>
          </cell>
          <cell r="D24">
            <v>216914</v>
          </cell>
        </row>
        <row r="25">
          <cell r="A25">
            <v>145637</v>
          </cell>
          <cell r="B25" t="str">
            <v>Illinois</v>
          </cell>
          <cell r="C25" t="str">
            <v>Big Ten</v>
          </cell>
          <cell r="D25">
            <v>216257</v>
          </cell>
        </row>
        <row r="26">
          <cell r="A26">
            <v>153603</v>
          </cell>
          <cell r="B26" t="str">
            <v>Iowa St.</v>
          </cell>
          <cell r="C26" t="str">
            <v>Big 12</v>
          </cell>
          <cell r="D26">
            <v>214130</v>
          </cell>
        </row>
        <row r="27">
          <cell r="A27">
            <v>202480</v>
          </cell>
          <cell r="B27" t="str">
            <v>Dayton</v>
          </cell>
          <cell r="C27" t="str">
            <v>Atlantic 10</v>
          </cell>
          <cell r="D27">
            <v>208291</v>
          </cell>
        </row>
        <row r="28">
          <cell r="A28">
            <v>174066</v>
          </cell>
          <cell r="B28" t="str">
            <v>Minnesota</v>
          </cell>
          <cell r="C28" t="str">
            <v>Big Ten</v>
          </cell>
          <cell r="D28">
            <v>206171</v>
          </cell>
        </row>
        <row r="29">
          <cell r="A29">
            <v>238032</v>
          </cell>
          <cell r="B29" t="str">
            <v>West Virginia</v>
          </cell>
          <cell r="C29" t="str">
            <v>Big 12</v>
          </cell>
          <cell r="D29">
            <v>204742</v>
          </cell>
        </row>
        <row r="30">
          <cell r="A30">
            <v>100751</v>
          </cell>
          <cell r="B30" t="str">
            <v>Alabama</v>
          </cell>
          <cell r="C30" t="str">
            <v>SEC</v>
          </cell>
          <cell r="D30">
            <v>203109</v>
          </cell>
        </row>
        <row r="31">
          <cell r="A31">
            <v>170976</v>
          </cell>
          <cell r="B31" t="str">
            <v>Michigan</v>
          </cell>
          <cell r="C31" t="str">
            <v>Big Ten</v>
          </cell>
          <cell r="D31">
            <v>200190</v>
          </cell>
        </row>
        <row r="32">
          <cell r="A32">
            <v>155399</v>
          </cell>
          <cell r="B32" t="str">
            <v>Kansas St.</v>
          </cell>
          <cell r="C32" t="str">
            <v>Big 12</v>
          </cell>
          <cell r="D32">
            <v>195111</v>
          </cell>
        </row>
        <row r="33">
          <cell r="A33">
            <v>182281</v>
          </cell>
          <cell r="B33" t="str">
            <v>UNLV</v>
          </cell>
          <cell r="C33" t="str">
            <v>Mountain West</v>
          </cell>
          <cell r="D33">
            <v>192281</v>
          </cell>
        </row>
        <row r="34">
          <cell r="A34">
            <v>110662</v>
          </cell>
          <cell r="B34" t="str">
            <v>UCLA</v>
          </cell>
          <cell r="C34" t="str">
            <v>Pac-12</v>
          </cell>
          <cell r="D34">
            <v>190108</v>
          </cell>
        </row>
        <row r="35">
          <cell r="A35">
            <v>156125</v>
          </cell>
          <cell r="B35" t="str">
            <v>Wichita St.</v>
          </cell>
          <cell r="C35" t="str">
            <v>MVC</v>
          </cell>
          <cell r="D35">
            <v>182558</v>
          </cell>
        </row>
        <row r="36">
          <cell r="A36">
            <v>228778</v>
          </cell>
          <cell r="B36" t="str">
            <v>Texas</v>
          </cell>
          <cell r="C36" t="str">
            <v>Big 12</v>
          </cell>
          <cell r="D36">
            <v>178343</v>
          </cell>
        </row>
        <row r="37">
          <cell r="A37">
            <v>201885</v>
          </cell>
          <cell r="B37" t="str">
            <v>Cincinnati</v>
          </cell>
          <cell r="C37" t="str">
            <v>The American</v>
          </cell>
          <cell r="D37">
            <v>177575</v>
          </cell>
        </row>
        <row r="38">
          <cell r="A38">
            <v>187985</v>
          </cell>
          <cell r="B38" t="str">
            <v>New Mexico</v>
          </cell>
          <cell r="C38" t="str">
            <v>Mountain West</v>
          </cell>
          <cell r="D38">
            <v>176532</v>
          </cell>
        </row>
        <row r="39">
          <cell r="A39">
            <v>220862</v>
          </cell>
          <cell r="B39" t="str">
            <v>Memphis</v>
          </cell>
          <cell r="C39" t="str">
            <v>The American</v>
          </cell>
          <cell r="D39">
            <v>173208</v>
          </cell>
        </row>
        <row r="40">
          <cell r="A40">
            <v>229115</v>
          </cell>
          <cell r="B40" t="str">
            <v>Texas Tech</v>
          </cell>
          <cell r="C40" t="str">
            <v>Big 12</v>
          </cell>
          <cell r="D40">
            <v>171508</v>
          </cell>
        </row>
        <row r="41">
          <cell r="A41">
            <v>122409</v>
          </cell>
          <cell r="B41" t="str">
            <v>San Diego St.</v>
          </cell>
          <cell r="C41" t="str">
            <v>Mountain West</v>
          </cell>
          <cell r="D41">
            <v>170742</v>
          </cell>
        </row>
        <row r="42">
          <cell r="A42">
            <v>110635</v>
          </cell>
          <cell r="B42" t="str">
            <v>California</v>
          </cell>
          <cell r="C42" t="str">
            <v>Pac-12</v>
          </cell>
          <cell r="D42">
            <v>169298</v>
          </cell>
        </row>
        <row r="43">
          <cell r="A43">
            <v>178396</v>
          </cell>
          <cell r="B43" t="str">
            <v>Missouri</v>
          </cell>
          <cell r="C43" t="str">
            <v>SEC</v>
          </cell>
          <cell r="D43">
            <v>168818</v>
          </cell>
        </row>
        <row r="44">
          <cell r="A44">
            <v>209551</v>
          </cell>
          <cell r="B44" t="str">
            <v>Oregon</v>
          </cell>
          <cell r="C44" t="str">
            <v>Pac-12</v>
          </cell>
          <cell r="D44">
            <v>168208</v>
          </cell>
        </row>
        <row r="45">
          <cell r="A45">
            <v>206622</v>
          </cell>
          <cell r="B45" t="str">
            <v>Xavier</v>
          </cell>
          <cell r="C45" t="str">
            <v>Big East</v>
          </cell>
          <cell r="D45">
            <v>164520</v>
          </cell>
        </row>
        <row r="46">
          <cell r="A46">
            <v>221999</v>
          </cell>
          <cell r="B46" t="str">
            <v>Vanderbilt</v>
          </cell>
          <cell r="C46" t="str">
            <v>SEC</v>
          </cell>
          <cell r="D46">
            <v>154169</v>
          </cell>
        </row>
        <row r="47">
          <cell r="A47">
            <v>217402</v>
          </cell>
          <cell r="B47" t="str">
            <v>Providence</v>
          </cell>
          <cell r="C47" t="str">
            <v>Big East</v>
          </cell>
          <cell r="D47">
            <v>152867</v>
          </cell>
        </row>
        <row r="48">
          <cell r="A48">
            <v>198419</v>
          </cell>
          <cell r="B48" t="str">
            <v>Duke</v>
          </cell>
          <cell r="C48" t="str">
            <v>ACC</v>
          </cell>
          <cell r="D48">
            <v>149024</v>
          </cell>
        </row>
        <row r="49">
          <cell r="A49">
            <v>207500</v>
          </cell>
          <cell r="B49" t="str">
            <v>Oklahoma</v>
          </cell>
          <cell r="C49" t="str">
            <v>Big 12</v>
          </cell>
          <cell r="D49">
            <v>148748</v>
          </cell>
        </row>
        <row r="50">
          <cell r="A50">
            <v>152080</v>
          </cell>
          <cell r="B50" t="str">
            <v>Notre Dame</v>
          </cell>
          <cell r="C50" t="str">
            <v>ACC</v>
          </cell>
          <cell r="D50">
            <v>148583</v>
          </cell>
        </row>
        <row r="51">
          <cell r="A51">
            <v>216597</v>
          </cell>
          <cell r="B51" t="str">
            <v>Villanova</v>
          </cell>
          <cell r="C51" t="str">
            <v>Big East</v>
          </cell>
          <cell r="D51">
            <v>146591</v>
          </cell>
        </row>
        <row r="52">
          <cell r="A52">
            <v>129020</v>
          </cell>
          <cell r="B52" t="str">
            <v>UConn</v>
          </cell>
          <cell r="C52" t="str">
            <v>The American</v>
          </cell>
          <cell r="D52">
            <v>144591</v>
          </cell>
        </row>
        <row r="53">
          <cell r="A53">
            <v>131496</v>
          </cell>
          <cell r="B53" t="str">
            <v>Georgetown</v>
          </cell>
          <cell r="C53" t="str">
            <v>Big East</v>
          </cell>
          <cell r="D53">
            <v>144143</v>
          </cell>
        </row>
        <row r="54">
          <cell r="A54">
            <v>195809</v>
          </cell>
          <cell r="B54" t="str">
            <v>St. John's (NY)</v>
          </cell>
          <cell r="C54" t="str">
            <v>Big East</v>
          </cell>
          <cell r="D54">
            <v>143632</v>
          </cell>
        </row>
        <row r="55">
          <cell r="A55">
            <v>134097</v>
          </cell>
          <cell r="B55" t="str">
            <v>Florida St.</v>
          </cell>
          <cell r="C55" t="str">
            <v>ACC</v>
          </cell>
          <cell r="D55">
            <v>143302</v>
          </cell>
        </row>
        <row r="56">
          <cell r="A56">
            <v>215293</v>
          </cell>
          <cell r="B56" t="str">
            <v>Pittsburgh</v>
          </cell>
          <cell r="C56" t="str">
            <v>ACC</v>
          </cell>
          <cell r="D56">
            <v>141568</v>
          </cell>
        </row>
        <row r="57">
          <cell r="A57">
            <v>176017</v>
          </cell>
          <cell r="B57" t="str">
            <v>Ole Miss</v>
          </cell>
          <cell r="C57" t="str">
            <v>SEC</v>
          </cell>
          <cell r="D57">
            <v>140524</v>
          </cell>
        </row>
        <row r="58">
          <cell r="A58">
            <v>199847</v>
          </cell>
          <cell r="B58" t="str">
            <v>Wake Forest</v>
          </cell>
          <cell r="C58" t="str">
            <v>ACC</v>
          </cell>
          <cell r="D58">
            <v>137560</v>
          </cell>
        </row>
        <row r="59">
          <cell r="A59">
            <v>207388</v>
          </cell>
          <cell r="B59" t="str">
            <v>Oklahoma St.</v>
          </cell>
          <cell r="C59" t="str">
            <v>Big 12</v>
          </cell>
          <cell r="D59">
            <v>134988</v>
          </cell>
        </row>
        <row r="60">
          <cell r="A60">
            <v>150163</v>
          </cell>
          <cell r="B60" t="str">
            <v>Butler</v>
          </cell>
          <cell r="C60" t="str">
            <v>Big East</v>
          </cell>
          <cell r="D60">
            <v>133724</v>
          </cell>
        </row>
        <row r="61">
          <cell r="A61">
            <v>126614</v>
          </cell>
          <cell r="B61" t="str">
            <v>Colorado</v>
          </cell>
          <cell r="C61" t="str">
            <v>Pac-12</v>
          </cell>
          <cell r="D61">
            <v>132119</v>
          </cell>
        </row>
        <row r="62">
          <cell r="A62">
            <v>228723</v>
          </cell>
          <cell r="B62" t="str">
            <v>Texas A&amp;M</v>
          </cell>
          <cell r="C62" t="str">
            <v>SEC</v>
          </cell>
          <cell r="D62">
            <v>130582</v>
          </cell>
        </row>
        <row r="63">
          <cell r="A63">
            <v>139959</v>
          </cell>
          <cell r="B63" t="str">
            <v>Georgia</v>
          </cell>
          <cell r="C63" t="str">
            <v>SEC</v>
          </cell>
          <cell r="D63">
            <v>129939</v>
          </cell>
        </row>
        <row r="64">
          <cell r="A64">
            <v>228875</v>
          </cell>
          <cell r="B64" t="str">
            <v>TCU</v>
          </cell>
          <cell r="C64" t="str">
            <v>Big 12</v>
          </cell>
          <cell r="D64">
            <v>128658</v>
          </cell>
        </row>
        <row r="65">
          <cell r="A65">
            <v>233921</v>
          </cell>
          <cell r="B65" t="str">
            <v>Virginia Tech</v>
          </cell>
          <cell r="C65" t="str">
            <v>ACC</v>
          </cell>
          <cell r="D65">
            <v>127096</v>
          </cell>
        </row>
        <row r="66">
          <cell r="A66">
            <v>139755</v>
          </cell>
          <cell r="B66" t="str">
            <v>Georgia Tech</v>
          </cell>
          <cell r="C66" t="str">
            <v>ACC</v>
          </cell>
          <cell r="D66">
            <v>126718</v>
          </cell>
        </row>
        <row r="67">
          <cell r="A67">
            <v>147767</v>
          </cell>
          <cell r="B67" t="str">
            <v>Northwestern</v>
          </cell>
          <cell r="C67" t="str">
            <v>Big Ten</v>
          </cell>
          <cell r="D67">
            <v>126145</v>
          </cell>
        </row>
        <row r="68">
          <cell r="A68">
            <v>182290</v>
          </cell>
          <cell r="B68" t="str">
            <v>Nevada</v>
          </cell>
          <cell r="C68" t="str">
            <v>Mountain West</v>
          </cell>
          <cell r="D68">
            <v>124920</v>
          </cell>
        </row>
        <row r="69">
          <cell r="A69">
            <v>176080</v>
          </cell>
          <cell r="B69" t="str">
            <v>Mississippi St.</v>
          </cell>
          <cell r="C69" t="str">
            <v>SEC</v>
          </cell>
          <cell r="D69">
            <v>124346</v>
          </cell>
        </row>
        <row r="70">
          <cell r="A70">
            <v>228246</v>
          </cell>
          <cell r="B70" t="str">
            <v>SMU</v>
          </cell>
          <cell r="C70" t="str">
            <v>The American</v>
          </cell>
          <cell r="D70">
            <v>124198</v>
          </cell>
        </row>
        <row r="71">
          <cell r="A71">
            <v>236948</v>
          </cell>
          <cell r="B71" t="str">
            <v>Washington</v>
          </cell>
          <cell r="C71" t="str">
            <v>Pac-12</v>
          </cell>
          <cell r="D71">
            <v>123698</v>
          </cell>
        </row>
        <row r="72">
          <cell r="A72">
            <v>217882</v>
          </cell>
          <cell r="B72" t="str">
            <v>Clemson</v>
          </cell>
          <cell r="C72" t="str">
            <v>ACC</v>
          </cell>
          <cell r="D72">
            <v>123442</v>
          </cell>
        </row>
        <row r="73">
          <cell r="A73">
            <v>104717</v>
          </cell>
          <cell r="B73" t="str">
            <v>Grand Canyon</v>
          </cell>
          <cell r="C73" t="str">
            <v>WAC</v>
          </cell>
          <cell r="D73">
            <v>122708</v>
          </cell>
        </row>
        <row r="74">
          <cell r="A74">
            <v>223232</v>
          </cell>
          <cell r="B74" t="str">
            <v>Baylor</v>
          </cell>
          <cell r="C74" t="str">
            <v>Big 12</v>
          </cell>
          <cell r="D74">
            <v>122609</v>
          </cell>
        </row>
        <row r="75">
          <cell r="A75">
            <v>234030</v>
          </cell>
          <cell r="B75" t="str">
            <v>VCU</v>
          </cell>
          <cell r="C75" t="str">
            <v>Atlantic 10</v>
          </cell>
          <cell r="D75">
            <v>122192</v>
          </cell>
        </row>
        <row r="76">
          <cell r="A76">
            <v>141574</v>
          </cell>
          <cell r="B76" t="str">
            <v>Hawaii</v>
          </cell>
          <cell r="C76" t="str">
            <v>Big West</v>
          </cell>
          <cell r="D76">
            <v>118444</v>
          </cell>
        </row>
        <row r="77">
          <cell r="A77">
            <v>100858</v>
          </cell>
          <cell r="B77" t="str">
            <v>Auburn</v>
          </cell>
          <cell r="C77" t="str">
            <v>SEC</v>
          </cell>
          <cell r="D77">
            <v>117490</v>
          </cell>
        </row>
        <row r="78">
          <cell r="A78">
            <v>135726</v>
          </cell>
          <cell r="B78" t="str">
            <v>Miami (FL)</v>
          </cell>
          <cell r="C78" t="str">
            <v>ACC</v>
          </cell>
          <cell r="D78">
            <v>113701</v>
          </cell>
        </row>
        <row r="79">
          <cell r="A79">
            <v>159391</v>
          </cell>
          <cell r="B79" t="str">
            <v>LSU</v>
          </cell>
          <cell r="C79" t="str">
            <v>SEC</v>
          </cell>
          <cell r="D79">
            <v>112307</v>
          </cell>
        </row>
        <row r="80">
          <cell r="A80">
            <v>214777</v>
          </cell>
          <cell r="B80" t="str">
            <v>Penn St.</v>
          </cell>
          <cell r="C80" t="str">
            <v>Big Ten</v>
          </cell>
          <cell r="D80">
            <v>111868</v>
          </cell>
        </row>
        <row r="81">
          <cell r="A81">
            <v>186584</v>
          </cell>
          <cell r="B81" t="str">
            <v>Seton Hall</v>
          </cell>
          <cell r="C81" t="str">
            <v>Big East</v>
          </cell>
          <cell r="D81">
            <v>111350</v>
          </cell>
        </row>
        <row r="82">
          <cell r="A82">
            <v>134130</v>
          </cell>
          <cell r="B82" t="str">
            <v>Florida</v>
          </cell>
          <cell r="C82" t="str">
            <v>SEC</v>
          </cell>
          <cell r="D82">
            <v>106905</v>
          </cell>
        </row>
        <row r="83">
          <cell r="A83">
            <v>104151</v>
          </cell>
          <cell r="B83" t="str">
            <v>Arizona St.</v>
          </cell>
          <cell r="C83" t="str">
            <v>Pac-12</v>
          </cell>
          <cell r="D83">
            <v>104011</v>
          </cell>
        </row>
        <row r="84">
          <cell r="A84">
            <v>230728</v>
          </cell>
          <cell r="B84" t="str">
            <v>Utah St.</v>
          </cell>
          <cell r="C84" t="str">
            <v>Mountain West</v>
          </cell>
          <cell r="D84">
            <v>103082</v>
          </cell>
        </row>
        <row r="85">
          <cell r="A85">
            <v>228796</v>
          </cell>
          <cell r="B85" t="str">
            <v>UTEP</v>
          </cell>
          <cell r="C85" t="str">
            <v>CUSA</v>
          </cell>
          <cell r="D85">
            <v>102403</v>
          </cell>
        </row>
        <row r="86">
          <cell r="A86">
            <v>204857</v>
          </cell>
          <cell r="B86" t="str">
            <v>Ohio</v>
          </cell>
          <cell r="C86" t="str">
            <v>MAC</v>
          </cell>
          <cell r="D86">
            <v>101956</v>
          </cell>
        </row>
        <row r="87">
          <cell r="A87">
            <v>145813</v>
          </cell>
          <cell r="B87" t="str">
            <v>Illinois St.</v>
          </cell>
          <cell r="C87" t="str">
            <v>MVC</v>
          </cell>
          <cell r="D87">
            <v>101035</v>
          </cell>
        </row>
        <row r="88">
          <cell r="A88">
            <v>195474</v>
          </cell>
          <cell r="B88" t="str">
            <v>Siena</v>
          </cell>
          <cell r="C88" t="str">
            <v>MAAC</v>
          </cell>
          <cell r="D88">
            <v>100728</v>
          </cell>
        </row>
        <row r="89">
          <cell r="A89">
            <v>179159</v>
          </cell>
          <cell r="B89" t="str">
            <v>Saint Louis</v>
          </cell>
          <cell r="C89" t="str">
            <v>Atlantic 10</v>
          </cell>
          <cell r="D89">
            <v>100675</v>
          </cell>
        </row>
        <row r="90">
          <cell r="A90">
            <v>240727</v>
          </cell>
          <cell r="B90" t="str">
            <v>Wyoming</v>
          </cell>
          <cell r="C90" t="str">
            <v>Mountain West</v>
          </cell>
          <cell r="D90">
            <v>100581</v>
          </cell>
        </row>
        <row r="91">
          <cell r="A91">
            <v>233374</v>
          </cell>
          <cell r="B91" t="str">
            <v>Richmond</v>
          </cell>
          <cell r="C91" t="str">
            <v>Atlantic 10</v>
          </cell>
          <cell r="D91">
            <v>100188</v>
          </cell>
        </row>
        <row r="92">
          <cell r="A92">
            <v>110556</v>
          </cell>
          <cell r="B92" t="str">
            <v>Fresno St.</v>
          </cell>
          <cell r="C92" t="str">
            <v>Mountain West</v>
          </cell>
          <cell r="D92">
            <v>98790</v>
          </cell>
        </row>
        <row r="93">
          <cell r="A93">
            <v>232982</v>
          </cell>
          <cell r="B93" t="str">
            <v>Old Dominion</v>
          </cell>
          <cell r="C93" t="str">
            <v>CUSA</v>
          </cell>
          <cell r="D93">
            <v>98590</v>
          </cell>
        </row>
        <row r="94">
          <cell r="A94">
            <v>235316</v>
          </cell>
          <cell r="B94" t="str">
            <v>Gonzaga</v>
          </cell>
          <cell r="C94" t="str">
            <v>WCC</v>
          </cell>
          <cell r="D94">
            <v>96000</v>
          </cell>
        </row>
        <row r="95">
          <cell r="A95">
            <v>237525</v>
          </cell>
          <cell r="B95" t="str">
            <v>Marshall</v>
          </cell>
          <cell r="C95" t="str">
            <v>CUSA</v>
          </cell>
          <cell r="D95">
            <v>93045</v>
          </cell>
        </row>
        <row r="96">
          <cell r="A96">
            <v>216339</v>
          </cell>
          <cell r="B96" t="str">
            <v>Temple</v>
          </cell>
          <cell r="C96" t="str">
            <v>The American</v>
          </cell>
          <cell r="D96">
            <v>92880</v>
          </cell>
        </row>
        <row r="97">
          <cell r="A97">
            <v>230782</v>
          </cell>
          <cell r="B97" t="str">
            <v>Weber St.</v>
          </cell>
          <cell r="C97" t="str">
            <v>Big Sky</v>
          </cell>
          <cell r="D97">
            <v>89298</v>
          </cell>
        </row>
        <row r="98">
          <cell r="A98">
            <v>220978</v>
          </cell>
          <cell r="B98" t="str">
            <v>Middle Tenn.</v>
          </cell>
          <cell r="C98" t="str">
            <v>CUSA</v>
          </cell>
          <cell r="D98">
            <v>88628</v>
          </cell>
        </row>
        <row r="99">
          <cell r="A99">
            <v>144740</v>
          </cell>
          <cell r="B99" t="str">
            <v>DePaul</v>
          </cell>
          <cell r="C99" t="str">
            <v>Big East</v>
          </cell>
          <cell r="D99">
            <v>88610</v>
          </cell>
        </row>
        <row r="100">
          <cell r="A100">
            <v>209542</v>
          </cell>
          <cell r="B100" t="str">
            <v>Oregon St.</v>
          </cell>
          <cell r="C100" t="str">
            <v>Pac-12</v>
          </cell>
          <cell r="D100">
            <v>84887</v>
          </cell>
        </row>
        <row r="101">
          <cell r="A101">
            <v>132903</v>
          </cell>
          <cell r="B101" t="str">
            <v>UCF</v>
          </cell>
          <cell r="C101" t="str">
            <v>The American</v>
          </cell>
          <cell r="D101">
            <v>83168</v>
          </cell>
        </row>
        <row r="102">
          <cell r="A102">
            <v>188030</v>
          </cell>
          <cell r="B102" t="str">
            <v>New Mexico St.</v>
          </cell>
          <cell r="C102" t="str">
            <v>WAC</v>
          </cell>
          <cell r="D102">
            <v>83065</v>
          </cell>
        </row>
        <row r="103">
          <cell r="A103">
            <v>217484</v>
          </cell>
          <cell r="B103" t="str">
            <v>Rhode Island</v>
          </cell>
          <cell r="C103" t="str">
            <v>Atlantic 10</v>
          </cell>
          <cell r="D103">
            <v>82761</v>
          </cell>
        </row>
        <row r="104">
          <cell r="A104">
            <v>126818</v>
          </cell>
          <cell r="B104" t="str">
            <v>Colorado St.</v>
          </cell>
          <cell r="C104" t="str">
            <v>Mountain West</v>
          </cell>
          <cell r="D104">
            <v>82449</v>
          </cell>
        </row>
        <row r="105">
          <cell r="A105">
            <v>143358</v>
          </cell>
          <cell r="B105" t="str">
            <v>Bradley</v>
          </cell>
          <cell r="C105" t="str">
            <v>MVC</v>
          </cell>
          <cell r="D105">
            <v>82318</v>
          </cell>
        </row>
        <row r="106">
          <cell r="A106">
            <v>123961</v>
          </cell>
          <cell r="B106" t="str">
            <v>Southern California</v>
          </cell>
          <cell r="C106" t="str">
            <v>Pac-12</v>
          </cell>
          <cell r="D106">
            <v>78632</v>
          </cell>
        </row>
        <row r="107">
          <cell r="A107">
            <v>164924</v>
          </cell>
          <cell r="B107" t="str">
            <v>Boston College</v>
          </cell>
          <cell r="C107" t="str">
            <v>ACC</v>
          </cell>
          <cell r="D107">
            <v>76371</v>
          </cell>
        </row>
        <row r="108">
          <cell r="A108">
            <v>149222</v>
          </cell>
          <cell r="B108" t="str">
            <v>Southern Ill.</v>
          </cell>
          <cell r="C108" t="str">
            <v>MVC</v>
          </cell>
          <cell r="D108">
            <v>76214</v>
          </cell>
        </row>
        <row r="109">
          <cell r="A109">
            <v>433660</v>
          </cell>
          <cell r="B109" t="str">
            <v>FGCU</v>
          </cell>
          <cell r="C109" t="str">
            <v>ASUN</v>
          </cell>
          <cell r="D109">
            <v>75598</v>
          </cell>
        </row>
        <row r="110">
          <cell r="A110">
            <v>142115</v>
          </cell>
          <cell r="B110" t="str">
            <v>Boise St.</v>
          </cell>
          <cell r="C110" t="str">
            <v>Mountain West</v>
          </cell>
          <cell r="D110">
            <v>75553</v>
          </cell>
        </row>
        <row r="111">
          <cell r="A111">
            <v>186380</v>
          </cell>
          <cell r="B111" t="str">
            <v>Rutgers</v>
          </cell>
          <cell r="C111" t="str">
            <v>Big Ten</v>
          </cell>
          <cell r="D111">
            <v>74874</v>
          </cell>
        </row>
        <row r="112">
          <cell r="A112">
            <v>232186</v>
          </cell>
          <cell r="B112" t="str">
            <v>George Mason</v>
          </cell>
          <cell r="C112" t="str">
            <v>N/A</v>
          </cell>
          <cell r="D112">
            <v>71990</v>
          </cell>
        </row>
        <row r="113">
          <cell r="A113">
            <v>179566</v>
          </cell>
          <cell r="B113" t="str">
            <v>Missouri St.</v>
          </cell>
          <cell r="C113" t="str">
            <v>MVC</v>
          </cell>
          <cell r="D113">
            <v>71161</v>
          </cell>
        </row>
        <row r="114">
          <cell r="A114">
            <v>150534</v>
          </cell>
          <cell r="B114" t="str">
            <v>Evansville</v>
          </cell>
          <cell r="C114" t="str">
            <v>MVC</v>
          </cell>
          <cell r="D114">
            <v>69966</v>
          </cell>
        </row>
        <row r="115">
          <cell r="A115">
            <v>225511</v>
          </cell>
          <cell r="B115" t="str">
            <v>Houston</v>
          </cell>
          <cell r="C115" t="str">
            <v>The American</v>
          </cell>
          <cell r="D115">
            <v>69941</v>
          </cell>
        </row>
        <row r="116">
          <cell r="A116">
            <v>199139</v>
          </cell>
          <cell r="B116" t="str">
            <v>Charlotte</v>
          </cell>
          <cell r="C116" t="str">
            <v>CUSA</v>
          </cell>
          <cell r="D116">
            <v>68265</v>
          </cell>
        </row>
        <row r="117">
          <cell r="A117">
            <v>198464</v>
          </cell>
          <cell r="B117" t="str">
            <v>East Carolina</v>
          </cell>
          <cell r="C117" t="str">
            <v>The American</v>
          </cell>
          <cell r="D117">
            <v>68090</v>
          </cell>
        </row>
        <row r="118">
          <cell r="A118">
            <v>206084</v>
          </cell>
          <cell r="B118" t="str">
            <v>Toledo</v>
          </cell>
          <cell r="C118" t="str">
            <v>MAC</v>
          </cell>
          <cell r="D118">
            <v>66303</v>
          </cell>
        </row>
        <row r="119">
          <cell r="A119">
            <v>100663</v>
          </cell>
          <cell r="B119" t="str">
            <v>UAB</v>
          </cell>
          <cell r="C119" t="str">
            <v>CUSA</v>
          </cell>
          <cell r="D119">
            <v>66146</v>
          </cell>
        </row>
        <row r="120">
          <cell r="A120">
            <v>199218</v>
          </cell>
          <cell r="B120" t="str">
            <v>UNCW</v>
          </cell>
          <cell r="C120" t="str">
            <v>CAA</v>
          </cell>
          <cell r="D120">
            <v>65788</v>
          </cell>
        </row>
        <row r="121">
          <cell r="A121">
            <v>207971</v>
          </cell>
          <cell r="B121" t="str">
            <v>Tulsa</v>
          </cell>
          <cell r="C121" t="str">
            <v>The American</v>
          </cell>
          <cell r="D121">
            <v>64876</v>
          </cell>
        </row>
        <row r="122">
          <cell r="A122">
            <v>206604</v>
          </cell>
          <cell r="B122" t="str">
            <v>Wright St.</v>
          </cell>
          <cell r="C122" t="str">
            <v>Horizon</v>
          </cell>
          <cell r="D122">
            <v>64535</v>
          </cell>
        </row>
        <row r="123">
          <cell r="A123">
            <v>220075</v>
          </cell>
          <cell r="B123" t="str">
            <v>ETSU</v>
          </cell>
          <cell r="C123" t="str">
            <v>SoCon</v>
          </cell>
          <cell r="D123">
            <v>60809</v>
          </cell>
        </row>
        <row r="124">
          <cell r="A124">
            <v>166629</v>
          </cell>
          <cell r="B124" t="str">
            <v>Massachusetts</v>
          </cell>
          <cell r="C124" t="str">
            <v>Atlantic 10</v>
          </cell>
          <cell r="D124">
            <v>59338</v>
          </cell>
        </row>
        <row r="125">
          <cell r="A125">
            <v>154095</v>
          </cell>
          <cell r="B125" t="str">
            <v>UNI</v>
          </cell>
          <cell r="C125" t="str">
            <v>MVC</v>
          </cell>
          <cell r="D125">
            <v>58966</v>
          </cell>
        </row>
        <row r="126">
          <cell r="A126">
            <v>215770</v>
          </cell>
          <cell r="B126" t="str">
            <v>Saint Joseph's</v>
          </cell>
          <cell r="C126" t="str">
            <v>Atlantic 10</v>
          </cell>
          <cell r="D126">
            <v>58501</v>
          </cell>
        </row>
        <row r="127">
          <cell r="A127">
            <v>160658</v>
          </cell>
          <cell r="B127" t="str">
            <v>Louisiana</v>
          </cell>
          <cell r="C127" t="str">
            <v>Sun Belt</v>
          </cell>
          <cell r="D127">
            <v>58472</v>
          </cell>
        </row>
        <row r="128">
          <cell r="A128">
            <v>217819</v>
          </cell>
          <cell r="B128" t="str">
            <v>Col. of Charleston</v>
          </cell>
          <cell r="C128" t="str">
            <v>CAA</v>
          </cell>
          <cell r="D128">
            <v>57921</v>
          </cell>
        </row>
        <row r="129">
          <cell r="A129">
            <v>243744</v>
          </cell>
          <cell r="B129" t="str">
            <v>Stanford</v>
          </cell>
          <cell r="C129" t="str">
            <v>Pac-12</v>
          </cell>
          <cell r="D129">
            <v>57856</v>
          </cell>
        </row>
        <row r="130">
          <cell r="A130">
            <v>195164</v>
          </cell>
          <cell r="B130" t="str">
            <v>St. Bonaventure</v>
          </cell>
          <cell r="C130" t="str">
            <v>Atlantic 10</v>
          </cell>
          <cell r="D130">
            <v>57728</v>
          </cell>
        </row>
        <row r="131">
          <cell r="A131">
            <v>157951</v>
          </cell>
          <cell r="B131" t="str">
            <v>Western Ky.</v>
          </cell>
          <cell r="C131" t="str">
            <v>CUSA</v>
          </cell>
          <cell r="D131">
            <v>54811</v>
          </cell>
        </row>
        <row r="132">
          <cell r="A132">
            <v>198385</v>
          </cell>
          <cell r="B132" t="str">
            <v>Davidson</v>
          </cell>
          <cell r="C132" t="str">
            <v>Atlantic 10</v>
          </cell>
          <cell r="D132">
            <v>54806</v>
          </cell>
        </row>
        <row r="133">
          <cell r="A133">
            <v>221740</v>
          </cell>
          <cell r="B133" t="str">
            <v>Chattanooga</v>
          </cell>
          <cell r="C133" t="str">
            <v>SoCon</v>
          </cell>
          <cell r="D133">
            <v>53851</v>
          </cell>
        </row>
        <row r="134">
          <cell r="A134">
            <v>123554</v>
          </cell>
          <cell r="B134" t="str">
            <v>Saint Mary's (CA)</v>
          </cell>
          <cell r="C134" t="str">
            <v>WCC</v>
          </cell>
          <cell r="D134">
            <v>52574</v>
          </cell>
        </row>
        <row r="135">
          <cell r="A135">
            <v>152600</v>
          </cell>
          <cell r="B135" t="str">
            <v>Valparaiso</v>
          </cell>
          <cell r="C135" t="str">
            <v>Horizon</v>
          </cell>
          <cell r="D135">
            <v>52468</v>
          </cell>
        </row>
        <row r="136">
          <cell r="A136">
            <v>196097</v>
          </cell>
          <cell r="B136" t="str">
            <v>Stony Brook</v>
          </cell>
          <cell r="C136" t="str">
            <v>America East</v>
          </cell>
          <cell r="D136">
            <v>51532</v>
          </cell>
        </row>
        <row r="137">
          <cell r="A137">
            <v>151324</v>
          </cell>
          <cell r="B137" t="str">
            <v>Indiana St.</v>
          </cell>
          <cell r="C137" t="str">
            <v>MVC</v>
          </cell>
          <cell r="D137">
            <v>51368</v>
          </cell>
        </row>
        <row r="138">
          <cell r="A138">
            <v>228431</v>
          </cell>
          <cell r="B138" t="str">
            <v>SFA</v>
          </cell>
          <cell r="C138" t="str">
            <v>Southland</v>
          </cell>
          <cell r="D138">
            <v>51346</v>
          </cell>
        </row>
        <row r="139">
          <cell r="A139">
            <v>215062</v>
          </cell>
          <cell r="B139" t="str">
            <v>Penn</v>
          </cell>
          <cell r="C139" t="str">
            <v>Ivy League</v>
          </cell>
          <cell r="D139">
            <v>50904</v>
          </cell>
        </row>
        <row r="140">
          <cell r="A140">
            <v>200800</v>
          </cell>
          <cell r="B140" t="str">
            <v>Akron</v>
          </cell>
          <cell r="C140" t="str">
            <v>MAC</v>
          </cell>
          <cell r="D140">
            <v>50867</v>
          </cell>
        </row>
        <row r="141">
          <cell r="A141">
            <v>145600</v>
          </cell>
          <cell r="B141" t="str">
            <v>UIC</v>
          </cell>
          <cell r="C141" t="str">
            <v>Horizon</v>
          </cell>
          <cell r="D141">
            <v>50439</v>
          </cell>
        </row>
        <row r="142">
          <cell r="A142">
            <v>159647</v>
          </cell>
          <cell r="B142" t="str">
            <v>Louisiana Tech</v>
          </cell>
          <cell r="C142" t="str">
            <v>CUSA</v>
          </cell>
          <cell r="D142">
            <v>50017</v>
          </cell>
        </row>
        <row r="143">
          <cell r="A143">
            <v>150136</v>
          </cell>
          <cell r="B143" t="str">
            <v>Ball St.</v>
          </cell>
          <cell r="C143" t="str">
            <v>MAC</v>
          </cell>
          <cell r="D143">
            <v>49943</v>
          </cell>
        </row>
        <row r="144">
          <cell r="A144">
            <v>200332</v>
          </cell>
          <cell r="B144" t="str">
            <v>North Dakota St.</v>
          </cell>
          <cell r="C144" t="str">
            <v>Summit League</v>
          </cell>
          <cell r="D144">
            <v>49824</v>
          </cell>
        </row>
        <row r="145">
          <cell r="A145">
            <v>140447</v>
          </cell>
          <cell r="B145" t="str">
            <v>Mercer</v>
          </cell>
          <cell r="C145" t="str">
            <v>SoCon</v>
          </cell>
          <cell r="D145">
            <v>49707</v>
          </cell>
        </row>
        <row r="146">
          <cell r="A146">
            <v>180489</v>
          </cell>
          <cell r="B146" t="str">
            <v>Montana</v>
          </cell>
          <cell r="C146" t="str">
            <v>Big Sky</v>
          </cell>
          <cell r="D146">
            <v>49508</v>
          </cell>
        </row>
        <row r="147">
          <cell r="A147">
            <v>196088</v>
          </cell>
          <cell r="B147" t="str">
            <v>Buffalo</v>
          </cell>
          <cell r="C147" t="str">
            <v>MAC</v>
          </cell>
          <cell r="D147">
            <v>49287</v>
          </cell>
        </row>
        <row r="148">
          <cell r="A148">
            <v>171571</v>
          </cell>
          <cell r="B148" t="str">
            <v>Oakland</v>
          </cell>
          <cell r="C148" t="str">
            <v>Horizon</v>
          </cell>
          <cell r="D148">
            <v>48885</v>
          </cell>
        </row>
        <row r="149">
          <cell r="A149">
            <v>131469</v>
          </cell>
          <cell r="B149" t="str">
            <v>George Washington</v>
          </cell>
          <cell r="C149" t="str">
            <v>Atlantic 10</v>
          </cell>
          <cell r="D149">
            <v>48061</v>
          </cell>
        </row>
        <row r="150">
          <cell r="A150">
            <v>157401</v>
          </cell>
          <cell r="B150" t="str">
            <v>Murray St.</v>
          </cell>
          <cell r="C150" t="str">
            <v>OVC</v>
          </cell>
          <cell r="D150">
            <v>47140</v>
          </cell>
        </row>
        <row r="151">
          <cell r="A151">
            <v>203517</v>
          </cell>
          <cell r="B151" t="str">
            <v>Kent St.</v>
          </cell>
          <cell r="C151" t="str">
            <v>MAC</v>
          </cell>
          <cell r="D151">
            <v>46064</v>
          </cell>
        </row>
        <row r="152">
          <cell r="A152">
            <v>236939</v>
          </cell>
          <cell r="B152" t="str">
            <v>Washington St.</v>
          </cell>
          <cell r="C152" t="str">
            <v>Pac-12</v>
          </cell>
          <cell r="D152">
            <v>45937</v>
          </cell>
        </row>
        <row r="153">
          <cell r="A153">
            <v>185572</v>
          </cell>
          <cell r="B153" t="str">
            <v>Monmouth</v>
          </cell>
          <cell r="C153" t="str">
            <v>MAAC</v>
          </cell>
          <cell r="D153">
            <v>45710</v>
          </cell>
        </row>
        <row r="154">
          <cell r="A154">
            <v>180461</v>
          </cell>
          <cell r="B154" t="str">
            <v>Montana St.</v>
          </cell>
          <cell r="C154" t="str">
            <v>Big Sky</v>
          </cell>
          <cell r="D154">
            <v>45646</v>
          </cell>
        </row>
        <row r="155">
          <cell r="A155">
            <v>106245</v>
          </cell>
          <cell r="B155" t="str">
            <v>Little Rock</v>
          </cell>
          <cell r="C155" t="str">
            <v>Sun Belt</v>
          </cell>
          <cell r="D155">
            <v>44071</v>
          </cell>
        </row>
        <row r="156">
          <cell r="A156">
            <v>106458</v>
          </cell>
          <cell r="B156" t="str">
            <v>Arkansas St.</v>
          </cell>
          <cell r="C156" t="str">
            <v>Sun Belt</v>
          </cell>
          <cell r="D156">
            <v>43989</v>
          </cell>
        </row>
        <row r="157">
          <cell r="A157">
            <v>137351</v>
          </cell>
          <cell r="B157" t="str">
            <v>South Fla.</v>
          </cell>
          <cell r="C157" t="str">
            <v>The American</v>
          </cell>
          <cell r="D157">
            <v>43955</v>
          </cell>
        </row>
        <row r="158">
          <cell r="A158">
            <v>169248</v>
          </cell>
          <cell r="B158" t="str">
            <v>Central Mich.</v>
          </cell>
          <cell r="C158" t="str">
            <v>MAC</v>
          </cell>
          <cell r="D158">
            <v>43336</v>
          </cell>
        </row>
        <row r="159">
          <cell r="A159">
            <v>232423</v>
          </cell>
          <cell r="B159" t="str">
            <v>James Madison</v>
          </cell>
          <cell r="C159" t="str">
            <v>CAA</v>
          </cell>
          <cell r="D159">
            <v>43008</v>
          </cell>
        </row>
        <row r="160">
          <cell r="A160">
            <v>211291</v>
          </cell>
          <cell r="B160" t="str">
            <v>Bucknell</v>
          </cell>
          <cell r="C160" t="str">
            <v>Patriot</v>
          </cell>
          <cell r="D160">
            <v>42996</v>
          </cell>
        </row>
        <row r="161">
          <cell r="A161">
            <v>153269</v>
          </cell>
          <cell r="B161" t="str">
            <v>Drake</v>
          </cell>
          <cell r="C161" t="str">
            <v>MVC</v>
          </cell>
          <cell r="D161">
            <v>42645</v>
          </cell>
        </row>
        <row r="162">
          <cell r="A162">
            <v>196060</v>
          </cell>
          <cell r="B162" t="str">
            <v>UAlbany</v>
          </cell>
          <cell r="C162" t="str">
            <v>America East</v>
          </cell>
          <cell r="D162">
            <v>42465</v>
          </cell>
        </row>
        <row r="163">
          <cell r="A163">
            <v>231174</v>
          </cell>
          <cell r="B163" t="str">
            <v>Vermont</v>
          </cell>
          <cell r="C163" t="str">
            <v>America East</v>
          </cell>
          <cell r="D163">
            <v>42116</v>
          </cell>
        </row>
        <row r="164">
          <cell r="A164">
            <v>209825</v>
          </cell>
          <cell r="B164" t="str">
            <v>Portland</v>
          </cell>
          <cell r="C164" t="str">
            <v>WCC</v>
          </cell>
          <cell r="D164">
            <v>42006</v>
          </cell>
        </row>
        <row r="165">
          <cell r="A165">
            <v>228769</v>
          </cell>
          <cell r="B165" t="str">
            <v>UT Arlington</v>
          </cell>
          <cell r="C165" t="str">
            <v>Sun Belt</v>
          </cell>
          <cell r="D165">
            <v>41971</v>
          </cell>
        </row>
        <row r="166">
          <cell r="A166">
            <v>199148</v>
          </cell>
          <cell r="B166" t="str">
            <v>UNC Greensboro</v>
          </cell>
          <cell r="C166" t="str">
            <v>SoCon</v>
          </cell>
          <cell r="D166">
            <v>41666</v>
          </cell>
        </row>
        <row r="167">
          <cell r="A167">
            <v>232265</v>
          </cell>
          <cell r="B167" t="str">
            <v>Hampton</v>
          </cell>
          <cell r="C167" t="str">
            <v>MEAC</v>
          </cell>
          <cell r="D167">
            <v>41127</v>
          </cell>
        </row>
        <row r="168">
          <cell r="A168">
            <v>227757</v>
          </cell>
          <cell r="B168" t="str">
            <v>Rice</v>
          </cell>
          <cell r="C168" t="str">
            <v>CUSA</v>
          </cell>
          <cell r="D168">
            <v>39930</v>
          </cell>
        </row>
        <row r="169">
          <cell r="A169">
            <v>157447</v>
          </cell>
          <cell r="B169" t="str">
            <v>Northern Ky.</v>
          </cell>
          <cell r="C169" t="str">
            <v>Horizon</v>
          </cell>
          <cell r="D169">
            <v>39539</v>
          </cell>
        </row>
        <row r="170">
          <cell r="A170">
            <v>157386</v>
          </cell>
          <cell r="B170" t="str">
            <v>Morehead St.</v>
          </cell>
          <cell r="C170" t="str">
            <v>OVC</v>
          </cell>
          <cell r="D170">
            <v>39279</v>
          </cell>
        </row>
        <row r="171">
          <cell r="A171">
            <v>232557</v>
          </cell>
          <cell r="B171" t="str">
            <v>Liberty</v>
          </cell>
          <cell r="C171" t="str">
            <v>Big South</v>
          </cell>
          <cell r="D171">
            <v>39113</v>
          </cell>
        </row>
        <row r="172">
          <cell r="A172">
            <v>176372</v>
          </cell>
          <cell r="B172" t="str">
            <v>Southern Miss.</v>
          </cell>
          <cell r="C172" t="str">
            <v>CUSA</v>
          </cell>
          <cell r="D172">
            <v>38975</v>
          </cell>
        </row>
        <row r="173">
          <cell r="A173">
            <v>240277</v>
          </cell>
          <cell r="B173" t="str">
            <v>Green Bay</v>
          </cell>
          <cell r="C173" t="str">
            <v>Horizon</v>
          </cell>
          <cell r="D173">
            <v>38329</v>
          </cell>
        </row>
        <row r="174">
          <cell r="A174">
            <v>230737</v>
          </cell>
          <cell r="B174" t="str">
            <v>Utah Valley</v>
          </cell>
          <cell r="C174" t="str">
            <v>WAC</v>
          </cell>
          <cell r="D174">
            <v>38218</v>
          </cell>
        </row>
        <row r="175">
          <cell r="A175">
            <v>227216</v>
          </cell>
          <cell r="B175" t="str">
            <v>North Texas</v>
          </cell>
          <cell r="C175" t="str">
            <v>CUSA</v>
          </cell>
          <cell r="D175">
            <v>37610</v>
          </cell>
        </row>
        <row r="176">
          <cell r="A176">
            <v>117946</v>
          </cell>
          <cell r="B176" t="str">
            <v>LMU (CA)</v>
          </cell>
          <cell r="C176" t="str">
            <v>WCC</v>
          </cell>
          <cell r="D176">
            <v>37442</v>
          </cell>
        </row>
        <row r="177">
          <cell r="A177">
            <v>231624</v>
          </cell>
          <cell r="B177" t="str">
            <v>William &amp; Mary</v>
          </cell>
          <cell r="C177" t="str">
            <v>CAA</v>
          </cell>
          <cell r="D177">
            <v>36717</v>
          </cell>
        </row>
        <row r="178">
          <cell r="A178">
            <v>213367</v>
          </cell>
          <cell r="B178" t="str">
            <v>La Salle</v>
          </cell>
          <cell r="C178" t="str">
            <v>Atlantic 10</v>
          </cell>
          <cell r="D178">
            <v>36532</v>
          </cell>
        </row>
        <row r="179">
          <cell r="A179">
            <v>120883</v>
          </cell>
          <cell r="B179" t="str">
            <v>Pacific</v>
          </cell>
          <cell r="C179" t="str">
            <v>WCC</v>
          </cell>
          <cell r="D179">
            <v>36443</v>
          </cell>
        </row>
        <row r="180">
          <cell r="A180">
            <v>228459</v>
          </cell>
          <cell r="B180" t="str">
            <v>Texas St.</v>
          </cell>
          <cell r="C180" t="str">
            <v>Sun Belt</v>
          </cell>
          <cell r="D180">
            <v>35292</v>
          </cell>
        </row>
        <row r="181">
          <cell r="A181">
            <v>196079</v>
          </cell>
          <cell r="B181" t="str">
            <v>Binghamton</v>
          </cell>
          <cell r="C181" t="str">
            <v>America East</v>
          </cell>
          <cell r="D181">
            <v>35015</v>
          </cell>
        </row>
        <row r="182">
          <cell r="A182">
            <v>110486</v>
          </cell>
          <cell r="B182" t="str">
            <v>CSU Bakersfield</v>
          </cell>
          <cell r="C182" t="str">
            <v>WAC</v>
          </cell>
          <cell r="D182">
            <v>34906</v>
          </cell>
        </row>
        <row r="183">
          <cell r="A183">
            <v>206695</v>
          </cell>
          <cell r="B183" t="str">
            <v>Youngstown St.</v>
          </cell>
          <cell r="C183" t="str">
            <v>Horizon</v>
          </cell>
          <cell r="D183">
            <v>34852</v>
          </cell>
        </row>
        <row r="184">
          <cell r="A184">
            <v>102094</v>
          </cell>
          <cell r="B184" t="str">
            <v>South Alabama</v>
          </cell>
          <cell r="C184" t="str">
            <v>Sun Belt</v>
          </cell>
          <cell r="D184">
            <v>34732</v>
          </cell>
        </row>
        <row r="185">
          <cell r="A185">
            <v>110583</v>
          </cell>
          <cell r="B185" t="str">
            <v>Long Beach St.</v>
          </cell>
          <cell r="C185" t="str">
            <v>Big West</v>
          </cell>
          <cell r="D185">
            <v>34075</v>
          </cell>
        </row>
        <row r="186">
          <cell r="A186">
            <v>163462</v>
          </cell>
          <cell r="B186" t="str">
            <v>Mount St. Mary's</v>
          </cell>
          <cell r="C186" t="str">
            <v>NEC</v>
          </cell>
          <cell r="D186">
            <v>34042</v>
          </cell>
        </row>
        <row r="187">
          <cell r="A187">
            <v>136172</v>
          </cell>
          <cell r="B187" t="str">
            <v>North Florida</v>
          </cell>
          <cell r="C187" t="str">
            <v>ASUN</v>
          </cell>
          <cell r="D187">
            <v>33871</v>
          </cell>
        </row>
        <row r="188">
          <cell r="A188">
            <v>218964</v>
          </cell>
          <cell r="B188" t="str">
            <v>Winthrop</v>
          </cell>
          <cell r="C188" t="str">
            <v>Big South</v>
          </cell>
          <cell r="D188">
            <v>33787</v>
          </cell>
        </row>
        <row r="189">
          <cell r="A189">
            <v>172699</v>
          </cell>
          <cell r="B189" t="str">
            <v>Western Mich.</v>
          </cell>
          <cell r="C189" t="str">
            <v>MAC</v>
          </cell>
          <cell r="D189">
            <v>33705</v>
          </cell>
        </row>
        <row r="190">
          <cell r="A190">
            <v>207582</v>
          </cell>
          <cell r="B190" t="str">
            <v>Oral Roberts</v>
          </cell>
          <cell r="C190" t="str">
            <v>Summit League</v>
          </cell>
          <cell r="D190">
            <v>33581</v>
          </cell>
        </row>
        <row r="191">
          <cell r="A191">
            <v>151102</v>
          </cell>
          <cell r="B191" t="str">
            <v>Purdue Fort Wayne</v>
          </cell>
          <cell r="C191" t="str">
            <v>Summit League</v>
          </cell>
          <cell r="D191">
            <v>33337</v>
          </cell>
        </row>
        <row r="192">
          <cell r="A192">
            <v>218724</v>
          </cell>
          <cell r="B192" t="str">
            <v>Coastal Carolina</v>
          </cell>
          <cell r="C192" t="str">
            <v>Sun Belt</v>
          </cell>
          <cell r="D192">
            <v>31968</v>
          </cell>
        </row>
        <row r="193">
          <cell r="A193">
            <v>221838</v>
          </cell>
          <cell r="B193" t="str">
            <v>Tennessee St.</v>
          </cell>
          <cell r="C193" t="str">
            <v>OVC</v>
          </cell>
          <cell r="D193">
            <v>31527</v>
          </cell>
        </row>
        <row r="194">
          <cell r="A194">
            <v>219709</v>
          </cell>
          <cell r="B194" t="str">
            <v>Belmont</v>
          </cell>
          <cell r="C194" t="str">
            <v>OVC</v>
          </cell>
          <cell r="D194">
            <v>31501</v>
          </cell>
        </row>
        <row r="195">
          <cell r="A195">
            <v>500002</v>
          </cell>
          <cell r="B195" t="str">
            <v>Air Force</v>
          </cell>
          <cell r="C195" t="str">
            <v>Mountain West</v>
          </cell>
          <cell r="D195">
            <v>31396</v>
          </cell>
        </row>
        <row r="196">
          <cell r="A196">
            <v>201441</v>
          </cell>
          <cell r="B196" t="str">
            <v>Bowling Green</v>
          </cell>
          <cell r="C196" t="str">
            <v>MAC</v>
          </cell>
          <cell r="D196">
            <v>31212</v>
          </cell>
        </row>
        <row r="197">
          <cell r="A197">
            <v>219471</v>
          </cell>
          <cell r="B197" t="str">
            <v>South Dakota</v>
          </cell>
          <cell r="C197" t="str">
            <v>Summit League</v>
          </cell>
          <cell r="D197">
            <v>30695</v>
          </cell>
        </row>
        <row r="198">
          <cell r="A198">
            <v>198136</v>
          </cell>
          <cell r="B198" t="str">
            <v>Campbell</v>
          </cell>
          <cell r="C198" t="str">
            <v>Big South</v>
          </cell>
          <cell r="D198">
            <v>30605</v>
          </cell>
        </row>
        <row r="199">
          <cell r="A199">
            <v>130943</v>
          </cell>
          <cell r="B199" t="str">
            <v>Delaware</v>
          </cell>
          <cell r="C199" t="str">
            <v>CAA</v>
          </cell>
          <cell r="D199">
            <v>30470</v>
          </cell>
        </row>
        <row r="200">
          <cell r="A200">
            <v>122612</v>
          </cell>
          <cell r="B200" t="str">
            <v>San Francisco</v>
          </cell>
          <cell r="C200" t="str">
            <v>WCC</v>
          </cell>
          <cell r="D200">
            <v>30416</v>
          </cell>
        </row>
        <row r="201">
          <cell r="A201">
            <v>226091</v>
          </cell>
          <cell r="B201" t="str">
            <v>Lamar University</v>
          </cell>
          <cell r="C201" t="str">
            <v>Southland</v>
          </cell>
          <cell r="D201">
            <v>30241</v>
          </cell>
        </row>
        <row r="202">
          <cell r="A202">
            <v>219356</v>
          </cell>
          <cell r="B202" t="str">
            <v>South Dakota St.</v>
          </cell>
          <cell r="C202" t="str">
            <v>Summit League</v>
          </cell>
          <cell r="D202">
            <v>30173</v>
          </cell>
        </row>
        <row r="203">
          <cell r="A203">
            <v>156620</v>
          </cell>
          <cell r="B203" t="str">
            <v>Eastern Ky.</v>
          </cell>
          <cell r="C203" t="str">
            <v>OVC</v>
          </cell>
          <cell r="D203">
            <v>30100</v>
          </cell>
        </row>
        <row r="204">
          <cell r="A204">
            <v>122755</v>
          </cell>
          <cell r="B204" t="str">
            <v>San Jose St.</v>
          </cell>
          <cell r="C204" t="str">
            <v>Mountain West</v>
          </cell>
          <cell r="D204">
            <v>29810</v>
          </cell>
        </row>
        <row r="205">
          <cell r="A205">
            <v>146719</v>
          </cell>
          <cell r="B205" t="str">
            <v>Loyola Chicago</v>
          </cell>
          <cell r="C205" t="str">
            <v>MVC</v>
          </cell>
          <cell r="D205">
            <v>29791</v>
          </cell>
        </row>
        <row r="206">
          <cell r="A206">
            <v>122931</v>
          </cell>
          <cell r="B206" t="str">
            <v>Santa Clara</v>
          </cell>
          <cell r="C206" t="str">
            <v>WCC</v>
          </cell>
          <cell r="D206">
            <v>29558</v>
          </cell>
        </row>
        <row r="207">
          <cell r="A207">
            <v>500000</v>
          </cell>
          <cell r="B207" t="str">
            <v>Navy</v>
          </cell>
          <cell r="C207" t="str">
            <v>Patriot</v>
          </cell>
          <cell r="D207">
            <v>29084</v>
          </cell>
        </row>
        <row r="208">
          <cell r="A208">
            <v>191241</v>
          </cell>
          <cell r="B208" t="str">
            <v>Fordham</v>
          </cell>
          <cell r="C208" t="str">
            <v>Atlantic 10</v>
          </cell>
          <cell r="D208">
            <v>28161</v>
          </cell>
        </row>
        <row r="209">
          <cell r="A209">
            <v>219602</v>
          </cell>
          <cell r="B209" t="str">
            <v>Austin Peay</v>
          </cell>
          <cell r="C209" t="str">
            <v>OVC</v>
          </cell>
          <cell r="D209">
            <v>28157</v>
          </cell>
        </row>
        <row r="210">
          <cell r="A210">
            <v>110653</v>
          </cell>
          <cell r="B210" t="str">
            <v>UC Irvine</v>
          </cell>
          <cell r="C210" t="str">
            <v>Big West</v>
          </cell>
          <cell r="D210">
            <v>28107</v>
          </cell>
        </row>
        <row r="211">
          <cell r="A211">
            <v>200280</v>
          </cell>
          <cell r="B211" t="str">
            <v>North Dakota</v>
          </cell>
          <cell r="C211" t="str">
            <v>Big Sky</v>
          </cell>
          <cell r="D211">
            <v>27812</v>
          </cell>
        </row>
        <row r="212">
          <cell r="A212">
            <v>122436</v>
          </cell>
          <cell r="B212" t="str">
            <v>San Diego</v>
          </cell>
          <cell r="C212" t="str">
            <v>WCC</v>
          </cell>
          <cell r="D212">
            <v>27532</v>
          </cell>
        </row>
        <row r="213">
          <cell r="A213">
            <v>179557</v>
          </cell>
          <cell r="B213" t="str">
            <v>Southeast Mo. St.</v>
          </cell>
          <cell r="C213" t="str">
            <v>OVC</v>
          </cell>
          <cell r="D213">
            <v>27306</v>
          </cell>
        </row>
        <row r="214">
          <cell r="A214">
            <v>217864</v>
          </cell>
          <cell r="B214" t="str">
            <v>The Citadel</v>
          </cell>
          <cell r="C214" t="str">
            <v>SoCon</v>
          </cell>
          <cell r="D214">
            <v>27080</v>
          </cell>
        </row>
        <row r="215">
          <cell r="A215">
            <v>224147</v>
          </cell>
          <cell r="B215" t="str">
            <v>A&amp;M-Corpus Christi</v>
          </cell>
          <cell r="C215" t="str">
            <v>Southland</v>
          </cell>
          <cell r="D215">
            <v>26898</v>
          </cell>
        </row>
        <row r="216">
          <cell r="A216">
            <v>204024</v>
          </cell>
          <cell r="B216" t="str">
            <v>Miami (OH)</v>
          </cell>
          <cell r="C216" t="str">
            <v>MAC</v>
          </cell>
          <cell r="D216">
            <v>26823</v>
          </cell>
        </row>
        <row r="217">
          <cell r="A217">
            <v>232937</v>
          </cell>
          <cell r="B217" t="str">
            <v>Norfolk St.</v>
          </cell>
          <cell r="C217" t="str">
            <v>MEAC</v>
          </cell>
          <cell r="D217">
            <v>26383</v>
          </cell>
        </row>
        <row r="218">
          <cell r="A218">
            <v>186131</v>
          </cell>
          <cell r="B218" t="str">
            <v>Princeton</v>
          </cell>
          <cell r="C218" t="str">
            <v>Ivy League</v>
          </cell>
          <cell r="D218">
            <v>26291</v>
          </cell>
        </row>
        <row r="219">
          <cell r="A219">
            <v>164076</v>
          </cell>
          <cell r="B219" t="str">
            <v>Towson</v>
          </cell>
          <cell r="C219" t="str">
            <v>CAA</v>
          </cell>
          <cell r="D219">
            <v>26173</v>
          </cell>
        </row>
        <row r="220">
          <cell r="A220">
            <v>219976</v>
          </cell>
          <cell r="B220" t="str">
            <v>Lipscomb</v>
          </cell>
          <cell r="C220" t="str">
            <v>ASUN</v>
          </cell>
          <cell r="D220">
            <v>26113</v>
          </cell>
        </row>
        <row r="221">
          <cell r="A221">
            <v>191649</v>
          </cell>
          <cell r="B221" t="str">
            <v>Hofstra</v>
          </cell>
          <cell r="C221" t="str">
            <v>CAA</v>
          </cell>
          <cell r="D221">
            <v>25957</v>
          </cell>
        </row>
        <row r="222">
          <cell r="A222">
            <v>160755</v>
          </cell>
          <cell r="B222" t="str">
            <v>Tulane</v>
          </cell>
          <cell r="C222" t="str">
            <v>The American</v>
          </cell>
          <cell r="D222">
            <v>25611</v>
          </cell>
        </row>
        <row r="223">
          <cell r="A223">
            <v>166027</v>
          </cell>
          <cell r="B223" t="str">
            <v>Harvard</v>
          </cell>
          <cell r="C223" t="str">
            <v>Ivy League</v>
          </cell>
          <cell r="D223">
            <v>25280</v>
          </cell>
        </row>
        <row r="224">
          <cell r="A224">
            <v>166124</v>
          </cell>
          <cell r="B224" t="str">
            <v>Holy Cross</v>
          </cell>
          <cell r="C224" t="str">
            <v>Patriot</v>
          </cell>
          <cell r="D224">
            <v>25161</v>
          </cell>
        </row>
        <row r="225">
          <cell r="A225">
            <v>221847</v>
          </cell>
          <cell r="B225" t="str">
            <v>Tennessee Tech</v>
          </cell>
          <cell r="C225" t="str">
            <v>OVC</v>
          </cell>
          <cell r="D225">
            <v>25031</v>
          </cell>
        </row>
        <row r="226">
          <cell r="A226">
            <v>235097</v>
          </cell>
          <cell r="B226" t="str">
            <v>Eastern Wash.</v>
          </cell>
          <cell r="C226" t="str">
            <v>Big Sky</v>
          </cell>
          <cell r="D226">
            <v>24945</v>
          </cell>
        </row>
        <row r="227">
          <cell r="A227">
            <v>221768</v>
          </cell>
          <cell r="B227" t="str">
            <v>UT Martin</v>
          </cell>
          <cell r="C227" t="str">
            <v>OVC</v>
          </cell>
          <cell r="D227">
            <v>24637</v>
          </cell>
        </row>
        <row r="228">
          <cell r="A228">
            <v>230603</v>
          </cell>
          <cell r="B228" t="str">
            <v>Southern Utah</v>
          </cell>
          <cell r="C228" t="str">
            <v>Big Sky</v>
          </cell>
          <cell r="D228">
            <v>23999</v>
          </cell>
        </row>
        <row r="229">
          <cell r="A229">
            <v>110644</v>
          </cell>
          <cell r="B229" t="str">
            <v>UC Davis</v>
          </cell>
          <cell r="C229" t="str">
            <v>Big West</v>
          </cell>
          <cell r="D229">
            <v>23967</v>
          </cell>
        </row>
        <row r="230">
          <cell r="A230">
            <v>169716</v>
          </cell>
          <cell r="B230" t="str">
            <v>Detroit Mercy</v>
          </cell>
          <cell r="C230" t="str">
            <v>Horizon</v>
          </cell>
          <cell r="D230">
            <v>23924</v>
          </cell>
        </row>
        <row r="231">
          <cell r="A231">
            <v>139931</v>
          </cell>
          <cell r="B231" t="str">
            <v>Ga. Southern</v>
          </cell>
          <cell r="C231" t="str">
            <v>Sun Belt</v>
          </cell>
          <cell r="D231">
            <v>23723</v>
          </cell>
        </row>
        <row r="232">
          <cell r="A232">
            <v>229063</v>
          </cell>
          <cell r="B232" t="str">
            <v>Texas Southern</v>
          </cell>
          <cell r="C232" t="str">
            <v>SWAC</v>
          </cell>
          <cell r="D232">
            <v>22904</v>
          </cell>
        </row>
        <row r="233">
          <cell r="A233">
            <v>218070</v>
          </cell>
          <cell r="B233" t="str">
            <v>Furman</v>
          </cell>
          <cell r="C233" t="str">
            <v>SoCon</v>
          </cell>
          <cell r="D233">
            <v>22862</v>
          </cell>
        </row>
        <row r="234">
          <cell r="A234">
            <v>178402</v>
          </cell>
          <cell r="B234" t="str">
            <v>Kansas City</v>
          </cell>
          <cell r="C234" t="str">
            <v>WAC</v>
          </cell>
          <cell r="D234">
            <v>22694</v>
          </cell>
        </row>
        <row r="235">
          <cell r="A235">
            <v>236595</v>
          </cell>
          <cell r="B235" t="str">
            <v>Seattle U</v>
          </cell>
          <cell r="C235" t="str">
            <v>WAC</v>
          </cell>
          <cell r="D235">
            <v>22477</v>
          </cell>
        </row>
        <row r="236">
          <cell r="A236">
            <v>199111</v>
          </cell>
          <cell r="B236" t="str">
            <v>UNC Asheville</v>
          </cell>
          <cell r="C236" t="str">
            <v>Big South</v>
          </cell>
          <cell r="D236">
            <v>22453</v>
          </cell>
        </row>
        <row r="237">
          <cell r="A237">
            <v>213385</v>
          </cell>
          <cell r="B237" t="str">
            <v>Lafayette</v>
          </cell>
          <cell r="C237" t="str">
            <v>Patriot</v>
          </cell>
          <cell r="D237">
            <v>22323</v>
          </cell>
        </row>
        <row r="238">
          <cell r="A238">
            <v>139940</v>
          </cell>
          <cell r="B238" t="str">
            <v>Georgia St.</v>
          </cell>
          <cell r="C238" t="str">
            <v>Sun Belt</v>
          </cell>
          <cell r="D238">
            <v>22229</v>
          </cell>
        </row>
        <row r="239">
          <cell r="A239">
            <v>212106</v>
          </cell>
          <cell r="B239" t="str">
            <v>Duquesne</v>
          </cell>
          <cell r="C239" t="str">
            <v>Atlantic 10</v>
          </cell>
          <cell r="D239">
            <v>21915</v>
          </cell>
        </row>
        <row r="240">
          <cell r="A240">
            <v>181394</v>
          </cell>
          <cell r="B240" t="str">
            <v>Omaha</v>
          </cell>
          <cell r="C240" t="str">
            <v>Summit League</v>
          </cell>
          <cell r="D240">
            <v>21786</v>
          </cell>
        </row>
        <row r="241">
          <cell r="A241">
            <v>129242</v>
          </cell>
          <cell r="B241" t="str">
            <v>Fairfield</v>
          </cell>
          <cell r="C241" t="str">
            <v>MAAC</v>
          </cell>
          <cell r="D241">
            <v>21763</v>
          </cell>
        </row>
        <row r="242">
          <cell r="A242">
            <v>102049</v>
          </cell>
          <cell r="B242" t="str">
            <v>Samford</v>
          </cell>
          <cell r="C242" t="str">
            <v>SoCon</v>
          </cell>
          <cell r="D242">
            <v>21531</v>
          </cell>
        </row>
        <row r="243">
          <cell r="A243">
            <v>191931</v>
          </cell>
          <cell r="B243" t="str">
            <v>Iona</v>
          </cell>
          <cell r="C243" t="str">
            <v>MAAC</v>
          </cell>
          <cell r="D243">
            <v>21345</v>
          </cell>
        </row>
        <row r="244">
          <cell r="A244">
            <v>147703</v>
          </cell>
          <cell r="B244" t="str">
            <v>NIU</v>
          </cell>
          <cell r="C244" t="str">
            <v>MAC</v>
          </cell>
          <cell r="D244">
            <v>21229</v>
          </cell>
        </row>
        <row r="245">
          <cell r="A245">
            <v>159993</v>
          </cell>
          <cell r="B245" t="str">
            <v>ULM</v>
          </cell>
          <cell r="C245" t="str">
            <v>Sun Belt</v>
          </cell>
          <cell r="D245">
            <v>21224</v>
          </cell>
        </row>
        <row r="246">
          <cell r="A246">
            <v>127060</v>
          </cell>
          <cell r="B246" t="str">
            <v>Denver</v>
          </cell>
          <cell r="C246" t="str">
            <v>Summit League</v>
          </cell>
          <cell r="D246">
            <v>21182</v>
          </cell>
        </row>
        <row r="247">
          <cell r="A247">
            <v>190150</v>
          </cell>
          <cell r="B247" t="str">
            <v>Columbia</v>
          </cell>
          <cell r="C247" t="str">
            <v>Ivy League</v>
          </cell>
          <cell r="D247">
            <v>21128</v>
          </cell>
        </row>
        <row r="248">
          <cell r="A248">
            <v>197197</v>
          </cell>
          <cell r="B248" t="str">
            <v>Wagner</v>
          </cell>
          <cell r="C248" t="str">
            <v>NEC</v>
          </cell>
          <cell r="D248">
            <v>21124</v>
          </cell>
        </row>
        <row r="249">
          <cell r="A249">
            <v>218973</v>
          </cell>
          <cell r="B249" t="str">
            <v>Wofford</v>
          </cell>
          <cell r="C249" t="str">
            <v>SoCon</v>
          </cell>
          <cell r="D249">
            <v>20981</v>
          </cell>
        </row>
        <row r="250">
          <cell r="A250">
            <v>163453</v>
          </cell>
          <cell r="B250" t="str">
            <v>Morgan St.</v>
          </cell>
          <cell r="C250" t="str">
            <v>MEAC</v>
          </cell>
          <cell r="D250">
            <v>20892</v>
          </cell>
        </row>
        <row r="251">
          <cell r="A251">
            <v>176044</v>
          </cell>
          <cell r="B251" t="str">
            <v>Mississippi Val.</v>
          </cell>
          <cell r="C251" t="str">
            <v>SWAC</v>
          </cell>
          <cell r="D251">
            <v>20882</v>
          </cell>
        </row>
        <row r="252">
          <cell r="A252">
            <v>200004</v>
          </cell>
          <cell r="B252" t="str">
            <v>Western Caro.</v>
          </cell>
          <cell r="C252" t="str">
            <v>SoCon</v>
          </cell>
          <cell r="D252">
            <v>20756</v>
          </cell>
        </row>
        <row r="253">
          <cell r="A253">
            <v>110422</v>
          </cell>
          <cell r="B253" t="str">
            <v>Cal Poly</v>
          </cell>
          <cell r="C253" t="str">
            <v>Big West</v>
          </cell>
          <cell r="D253">
            <v>20742</v>
          </cell>
        </row>
        <row r="254">
          <cell r="A254">
            <v>110705</v>
          </cell>
          <cell r="B254" t="str">
            <v>UC Santa Barbara</v>
          </cell>
          <cell r="C254" t="str">
            <v>Big West</v>
          </cell>
          <cell r="D254">
            <v>20637</v>
          </cell>
        </row>
        <row r="255">
          <cell r="A255">
            <v>163338</v>
          </cell>
          <cell r="B255" t="str">
            <v>UMES</v>
          </cell>
          <cell r="C255" t="str">
            <v>MEAC</v>
          </cell>
          <cell r="D255">
            <v>20484</v>
          </cell>
        </row>
        <row r="256">
          <cell r="A256">
            <v>169798</v>
          </cell>
          <cell r="B256" t="str">
            <v>Eastern Mich.</v>
          </cell>
          <cell r="C256" t="str">
            <v>MAC</v>
          </cell>
          <cell r="D256">
            <v>19935</v>
          </cell>
        </row>
        <row r="257">
          <cell r="A257">
            <v>100724</v>
          </cell>
          <cell r="B257" t="str">
            <v>Alabama St.</v>
          </cell>
          <cell r="C257" t="str">
            <v>SWAC</v>
          </cell>
          <cell r="D257">
            <v>19848</v>
          </cell>
        </row>
        <row r="258">
          <cell r="A258">
            <v>140960</v>
          </cell>
          <cell r="B258" t="str">
            <v>Savannah St.</v>
          </cell>
          <cell r="C258" t="str">
            <v>MEAC</v>
          </cell>
          <cell r="D258">
            <v>19750</v>
          </cell>
        </row>
        <row r="259">
          <cell r="A259">
            <v>198695</v>
          </cell>
          <cell r="B259" t="str">
            <v>High Point</v>
          </cell>
          <cell r="C259" t="str">
            <v>Big South</v>
          </cell>
          <cell r="D259">
            <v>19712</v>
          </cell>
        </row>
        <row r="260">
          <cell r="A260">
            <v>121150</v>
          </cell>
          <cell r="B260" t="str">
            <v>Pepperdine</v>
          </cell>
          <cell r="C260" t="str">
            <v>WCC</v>
          </cell>
          <cell r="D260">
            <v>19158</v>
          </cell>
        </row>
        <row r="261">
          <cell r="A261">
            <v>240453</v>
          </cell>
          <cell r="B261" t="str">
            <v>Milwaukee</v>
          </cell>
          <cell r="C261" t="str">
            <v>Horizon</v>
          </cell>
          <cell r="D261">
            <v>18990</v>
          </cell>
        </row>
        <row r="262">
          <cell r="A262">
            <v>160038</v>
          </cell>
          <cell r="B262" t="str">
            <v>Northwestern St.</v>
          </cell>
          <cell r="C262" t="str">
            <v>Southland</v>
          </cell>
          <cell r="D262">
            <v>18909</v>
          </cell>
        </row>
        <row r="263">
          <cell r="A263">
            <v>227881</v>
          </cell>
          <cell r="B263" t="str">
            <v>Sam Houston</v>
          </cell>
          <cell r="C263" t="str">
            <v>Southland</v>
          </cell>
          <cell r="D263">
            <v>18858</v>
          </cell>
        </row>
        <row r="264">
          <cell r="A264">
            <v>197869</v>
          </cell>
          <cell r="B264" t="str">
            <v>App State</v>
          </cell>
          <cell r="C264" t="str">
            <v>Sun Belt</v>
          </cell>
          <cell r="D264">
            <v>18854</v>
          </cell>
        </row>
        <row r="265">
          <cell r="A265">
            <v>199157</v>
          </cell>
          <cell r="B265" t="str">
            <v>N.C. Central</v>
          </cell>
          <cell r="C265" t="str">
            <v>MEAC</v>
          </cell>
          <cell r="D265">
            <v>18781</v>
          </cell>
        </row>
        <row r="266">
          <cell r="A266">
            <v>133650</v>
          </cell>
          <cell r="B266" t="str">
            <v>Florida A&amp;M</v>
          </cell>
          <cell r="C266" t="str">
            <v>MEAC</v>
          </cell>
          <cell r="D266">
            <v>18664</v>
          </cell>
        </row>
        <row r="267">
          <cell r="A267">
            <v>198516</v>
          </cell>
          <cell r="B267" t="str">
            <v>Elon</v>
          </cell>
          <cell r="C267" t="str">
            <v>CAA</v>
          </cell>
          <cell r="D267">
            <v>18644</v>
          </cell>
        </row>
        <row r="268">
          <cell r="A268">
            <v>129525</v>
          </cell>
          <cell r="B268" t="str">
            <v>Hartford</v>
          </cell>
          <cell r="C268" t="str">
            <v>America East</v>
          </cell>
          <cell r="D268">
            <v>18618</v>
          </cell>
        </row>
        <row r="269">
          <cell r="A269">
            <v>186283</v>
          </cell>
          <cell r="B269" t="str">
            <v>Rider</v>
          </cell>
          <cell r="C269" t="str">
            <v>MAAC</v>
          </cell>
          <cell r="D269">
            <v>18588</v>
          </cell>
        </row>
        <row r="270">
          <cell r="A270">
            <v>144892</v>
          </cell>
          <cell r="B270" t="str">
            <v>Eastern Ill.</v>
          </cell>
          <cell r="C270" t="str">
            <v>OVC</v>
          </cell>
          <cell r="D270">
            <v>18587</v>
          </cell>
        </row>
        <row r="271">
          <cell r="A271">
            <v>500001</v>
          </cell>
          <cell r="B271" t="str">
            <v>Army West Point</v>
          </cell>
          <cell r="C271" t="str">
            <v>Patriot</v>
          </cell>
          <cell r="D271">
            <v>18450</v>
          </cell>
        </row>
        <row r="272">
          <cell r="A272">
            <v>189705</v>
          </cell>
          <cell r="B272" t="str">
            <v>Canisius</v>
          </cell>
          <cell r="C272" t="str">
            <v>MAAC</v>
          </cell>
          <cell r="D272">
            <v>18413</v>
          </cell>
        </row>
        <row r="273">
          <cell r="A273">
            <v>175856</v>
          </cell>
          <cell r="B273" t="str">
            <v>Jackson St.</v>
          </cell>
          <cell r="C273" t="str">
            <v>SWAC</v>
          </cell>
          <cell r="D273">
            <v>18409</v>
          </cell>
        </row>
        <row r="274">
          <cell r="A274">
            <v>222178</v>
          </cell>
          <cell r="B274" t="str">
            <v>Abilene Christian</v>
          </cell>
          <cell r="C274" t="str">
            <v>Southland</v>
          </cell>
          <cell r="D274">
            <v>18382</v>
          </cell>
        </row>
        <row r="275">
          <cell r="A275">
            <v>227368</v>
          </cell>
          <cell r="B275" t="str">
            <v>UTRGV</v>
          </cell>
          <cell r="C275" t="str">
            <v>WAC</v>
          </cell>
          <cell r="D275">
            <v>18252</v>
          </cell>
        </row>
        <row r="276">
          <cell r="A276">
            <v>202134</v>
          </cell>
          <cell r="B276" t="str">
            <v>Cleveland St.</v>
          </cell>
          <cell r="C276" t="str">
            <v>Horizon</v>
          </cell>
          <cell r="D276">
            <v>18195</v>
          </cell>
        </row>
        <row r="277">
          <cell r="A277">
            <v>102368</v>
          </cell>
          <cell r="B277" t="str">
            <v>Troy</v>
          </cell>
          <cell r="C277" t="str">
            <v>Sun Belt</v>
          </cell>
          <cell r="D277">
            <v>17988</v>
          </cell>
        </row>
        <row r="278">
          <cell r="A278">
            <v>130226</v>
          </cell>
          <cell r="B278" t="str">
            <v>Quinnipiac</v>
          </cell>
          <cell r="C278" t="str">
            <v>MAAC</v>
          </cell>
          <cell r="D278">
            <v>17868</v>
          </cell>
        </row>
        <row r="279">
          <cell r="A279">
            <v>133669</v>
          </cell>
          <cell r="B279" t="str">
            <v>Fla. Atlantic</v>
          </cell>
          <cell r="C279" t="str">
            <v>CUSA</v>
          </cell>
          <cell r="D279">
            <v>17750</v>
          </cell>
        </row>
        <row r="280">
          <cell r="A280">
            <v>198561</v>
          </cell>
          <cell r="B280" t="str">
            <v>Gardner-Webb</v>
          </cell>
          <cell r="C280" t="str">
            <v>Big South</v>
          </cell>
          <cell r="D280">
            <v>17686</v>
          </cell>
        </row>
        <row r="281">
          <cell r="A281">
            <v>199102</v>
          </cell>
          <cell r="B281" t="str">
            <v>N.C. A&amp;T</v>
          </cell>
          <cell r="C281" t="str">
            <v>MEAC</v>
          </cell>
          <cell r="D281">
            <v>17666</v>
          </cell>
        </row>
        <row r="282">
          <cell r="A282">
            <v>149231</v>
          </cell>
          <cell r="B282" t="str">
            <v>SIUE</v>
          </cell>
          <cell r="C282" t="str">
            <v>OVC</v>
          </cell>
          <cell r="D282">
            <v>17624</v>
          </cell>
        </row>
        <row r="283">
          <cell r="A283">
            <v>130794</v>
          </cell>
          <cell r="B283" t="str">
            <v>Yale</v>
          </cell>
          <cell r="C283" t="str">
            <v>Ivy League</v>
          </cell>
          <cell r="D283">
            <v>17622</v>
          </cell>
        </row>
        <row r="284">
          <cell r="A284">
            <v>234085</v>
          </cell>
          <cell r="B284" t="str">
            <v>VMI</v>
          </cell>
          <cell r="C284" t="str">
            <v>SoCon</v>
          </cell>
          <cell r="D284">
            <v>17382</v>
          </cell>
        </row>
        <row r="285">
          <cell r="A285">
            <v>213543</v>
          </cell>
          <cell r="B285" t="str">
            <v>Lehigh</v>
          </cell>
          <cell r="C285" t="str">
            <v>Patriot</v>
          </cell>
          <cell r="D285">
            <v>17325</v>
          </cell>
        </row>
        <row r="286">
          <cell r="A286">
            <v>233277</v>
          </cell>
          <cell r="B286" t="str">
            <v>Radford</v>
          </cell>
          <cell r="C286" t="str">
            <v>Big South</v>
          </cell>
          <cell r="D286">
            <v>17122</v>
          </cell>
        </row>
        <row r="287">
          <cell r="A287">
            <v>128771</v>
          </cell>
          <cell r="B287" t="str">
            <v>Central Conn. St.</v>
          </cell>
          <cell r="C287" t="str">
            <v>NEC</v>
          </cell>
          <cell r="D287">
            <v>17098</v>
          </cell>
        </row>
        <row r="288">
          <cell r="A288">
            <v>106412</v>
          </cell>
          <cell r="B288" t="str">
            <v>Ark.-Pine Bluff</v>
          </cell>
          <cell r="C288" t="str">
            <v>SWAC</v>
          </cell>
          <cell r="D288">
            <v>16505</v>
          </cell>
        </row>
        <row r="289">
          <cell r="A289">
            <v>163268</v>
          </cell>
          <cell r="B289" t="str">
            <v>UMBC</v>
          </cell>
          <cell r="C289" t="str">
            <v>America East</v>
          </cell>
          <cell r="D289">
            <v>16194</v>
          </cell>
        </row>
        <row r="290">
          <cell r="A290">
            <v>100654</v>
          </cell>
          <cell r="B290" t="str">
            <v>Alabama A&amp;M</v>
          </cell>
          <cell r="C290" t="str">
            <v>SWAC</v>
          </cell>
          <cell r="D290">
            <v>16136</v>
          </cell>
        </row>
        <row r="291">
          <cell r="A291">
            <v>142276</v>
          </cell>
          <cell r="B291" t="str">
            <v>Idaho St.</v>
          </cell>
          <cell r="C291" t="str">
            <v>Big Sky</v>
          </cell>
          <cell r="D291">
            <v>15791</v>
          </cell>
        </row>
        <row r="292">
          <cell r="A292">
            <v>127741</v>
          </cell>
          <cell r="B292" t="str">
            <v>Northern Colo.</v>
          </cell>
          <cell r="C292" t="str">
            <v>Big Sky</v>
          </cell>
          <cell r="D292">
            <v>15695</v>
          </cell>
        </row>
        <row r="293">
          <cell r="A293">
            <v>193973</v>
          </cell>
          <cell r="B293" t="str">
            <v>Niagara</v>
          </cell>
          <cell r="C293" t="str">
            <v>MAAC</v>
          </cell>
          <cell r="D293">
            <v>15462</v>
          </cell>
        </row>
        <row r="294">
          <cell r="A294">
            <v>486840</v>
          </cell>
          <cell r="B294" t="str">
            <v>Kennesaw St.</v>
          </cell>
          <cell r="C294" t="str">
            <v>ASUN</v>
          </cell>
          <cell r="D294">
            <v>15388</v>
          </cell>
        </row>
        <row r="295">
          <cell r="A295">
            <v>142285</v>
          </cell>
          <cell r="B295" t="str">
            <v>Idaho</v>
          </cell>
          <cell r="C295" t="str">
            <v>Big Sky</v>
          </cell>
          <cell r="D295">
            <v>15142</v>
          </cell>
        </row>
        <row r="296">
          <cell r="A296">
            <v>101480</v>
          </cell>
          <cell r="B296" t="str">
            <v>Jacksonville St.</v>
          </cell>
          <cell r="C296" t="str">
            <v>OVC</v>
          </cell>
          <cell r="D296">
            <v>15070</v>
          </cell>
        </row>
        <row r="297">
          <cell r="A297">
            <v>192819</v>
          </cell>
          <cell r="B297" t="str">
            <v>Marist</v>
          </cell>
          <cell r="C297" t="str">
            <v>MAAC</v>
          </cell>
          <cell r="D297">
            <v>15049</v>
          </cell>
        </row>
        <row r="298">
          <cell r="A298">
            <v>215655</v>
          </cell>
          <cell r="B298" t="str">
            <v>Robert Morris</v>
          </cell>
          <cell r="C298" t="str">
            <v>NEC</v>
          </cell>
          <cell r="D298">
            <v>15008</v>
          </cell>
        </row>
        <row r="299">
          <cell r="A299">
            <v>192703</v>
          </cell>
          <cell r="B299" t="str">
            <v>Manhattan</v>
          </cell>
          <cell r="C299" t="str">
            <v>MAAC</v>
          </cell>
          <cell r="D299">
            <v>14974</v>
          </cell>
        </row>
        <row r="300">
          <cell r="A300">
            <v>232566</v>
          </cell>
          <cell r="B300" t="str">
            <v>Longwood</v>
          </cell>
          <cell r="C300" t="str">
            <v>Big South</v>
          </cell>
          <cell r="D300">
            <v>14862</v>
          </cell>
        </row>
        <row r="301">
          <cell r="A301">
            <v>229027</v>
          </cell>
          <cell r="B301" t="str">
            <v>UTSA</v>
          </cell>
          <cell r="C301" t="str">
            <v>CUSA</v>
          </cell>
          <cell r="D301">
            <v>14837</v>
          </cell>
        </row>
        <row r="302">
          <cell r="A302">
            <v>167358</v>
          </cell>
          <cell r="B302" t="str">
            <v>Northeastern</v>
          </cell>
          <cell r="C302" t="str">
            <v>CAA</v>
          </cell>
          <cell r="D302">
            <v>14616</v>
          </cell>
        </row>
        <row r="303">
          <cell r="A303">
            <v>160621</v>
          </cell>
          <cell r="B303" t="str">
            <v>Southern U.</v>
          </cell>
          <cell r="C303" t="str">
            <v>SWAC</v>
          </cell>
          <cell r="D303">
            <v>14398</v>
          </cell>
        </row>
        <row r="304">
          <cell r="A304">
            <v>166513</v>
          </cell>
          <cell r="B304" t="str">
            <v>UMass Lowell</v>
          </cell>
          <cell r="C304" t="str">
            <v>America East</v>
          </cell>
          <cell r="D304">
            <v>14320</v>
          </cell>
        </row>
        <row r="305">
          <cell r="A305">
            <v>212054</v>
          </cell>
          <cell r="B305" t="str">
            <v>Drexel</v>
          </cell>
          <cell r="C305" t="str">
            <v>CAA</v>
          </cell>
          <cell r="D305">
            <v>14234</v>
          </cell>
        </row>
        <row r="306">
          <cell r="A306">
            <v>110565</v>
          </cell>
          <cell r="B306" t="str">
            <v>Cal St. Fullerton</v>
          </cell>
          <cell r="C306" t="str">
            <v>Big West</v>
          </cell>
          <cell r="D306">
            <v>14129</v>
          </cell>
        </row>
        <row r="307">
          <cell r="A307">
            <v>190415</v>
          </cell>
          <cell r="B307" t="str">
            <v>Cornell</v>
          </cell>
          <cell r="C307" t="str">
            <v>Ivy League</v>
          </cell>
          <cell r="D307">
            <v>13992</v>
          </cell>
        </row>
        <row r="308">
          <cell r="A308">
            <v>133951</v>
          </cell>
          <cell r="B308" t="str">
            <v>FIU</v>
          </cell>
          <cell r="C308" t="str">
            <v>CUSA</v>
          </cell>
          <cell r="D308">
            <v>13210</v>
          </cell>
        </row>
        <row r="309">
          <cell r="A309">
            <v>159939</v>
          </cell>
          <cell r="B309" t="str">
            <v>New Orleans</v>
          </cell>
          <cell r="C309" t="str">
            <v>Southland</v>
          </cell>
          <cell r="D309">
            <v>13012</v>
          </cell>
        </row>
        <row r="310">
          <cell r="A310">
            <v>130934</v>
          </cell>
          <cell r="B310" t="str">
            <v>Delaware St.</v>
          </cell>
          <cell r="C310" t="str">
            <v>MEAC</v>
          </cell>
          <cell r="D310">
            <v>12992</v>
          </cell>
        </row>
        <row r="311">
          <cell r="A311">
            <v>110608</v>
          </cell>
          <cell r="B311" t="str">
            <v>CSUN</v>
          </cell>
          <cell r="C311" t="str">
            <v>Big West</v>
          </cell>
          <cell r="D311">
            <v>12789</v>
          </cell>
        </row>
        <row r="312">
          <cell r="A312">
            <v>151111</v>
          </cell>
          <cell r="B312" t="str">
            <v>IU Indy</v>
          </cell>
          <cell r="C312" t="str">
            <v>Summit League</v>
          </cell>
          <cell r="D312">
            <v>12651</v>
          </cell>
        </row>
        <row r="313">
          <cell r="A313">
            <v>105330</v>
          </cell>
          <cell r="B313" t="str">
            <v>Northern Ariz.</v>
          </cell>
          <cell r="C313" t="str">
            <v>Big Sky</v>
          </cell>
          <cell r="D313">
            <v>12602</v>
          </cell>
        </row>
        <row r="314">
          <cell r="A314">
            <v>217156</v>
          </cell>
          <cell r="B314" t="str">
            <v>Brown</v>
          </cell>
          <cell r="C314" t="str">
            <v>Ivy League</v>
          </cell>
          <cell r="D314">
            <v>12504</v>
          </cell>
        </row>
        <row r="315">
          <cell r="A315">
            <v>225627</v>
          </cell>
          <cell r="B315" t="str">
            <v>UIW</v>
          </cell>
          <cell r="C315" t="str">
            <v>Southland</v>
          </cell>
          <cell r="D315">
            <v>12452</v>
          </cell>
        </row>
        <row r="316">
          <cell r="A316">
            <v>134945</v>
          </cell>
          <cell r="B316" t="str">
            <v>Jacksonville</v>
          </cell>
          <cell r="C316" t="str">
            <v>ASUN</v>
          </cell>
          <cell r="D316">
            <v>12178</v>
          </cell>
        </row>
        <row r="317">
          <cell r="A317">
            <v>137546</v>
          </cell>
          <cell r="B317" t="str">
            <v>Stetson</v>
          </cell>
          <cell r="C317" t="str">
            <v>ASUN</v>
          </cell>
          <cell r="D317">
            <v>12127</v>
          </cell>
        </row>
        <row r="318">
          <cell r="A318">
            <v>106704</v>
          </cell>
          <cell r="B318" t="str">
            <v>Central Ark.</v>
          </cell>
          <cell r="C318" t="str">
            <v>Southland</v>
          </cell>
          <cell r="D318">
            <v>11956</v>
          </cell>
        </row>
        <row r="319">
          <cell r="A319">
            <v>175342</v>
          </cell>
          <cell r="B319" t="str">
            <v>Alcorn</v>
          </cell>
          <cell r="C319" t="str">
            <v>SWAC</v>
          </cell>
          <cell r="D319">
            <v>11775</v>
          </cell>
        </row>
        <row r="320">
          <cell r="A320">
            <v>192448</v>
          </cell>
          <cell r="B320" t="str">
            <v>LIU</v>
          </cell>
          <cell r="C320" t="str">
            <v>NEC</v>
          </cell>
          <cell r="D320">
            <v>11597</v>
          </cell>
        </row>
        <row r="321">
          <cell r="A321">
            <v>160612</v>
          </cell>
          <cell r="B321" t="str">
            <v>Southeastern La.</v>
          </cell>
          <cell r="C321" t="str">
            <v>Southland</v>
          </cell>
          <cell r="D321">
            <v>11557</v>
          </cell>
        </row>
        <row r="322">
          <cell r="A322">
            <v>183044</v>
          </cell>
          <cell r="B322" t="str">
            <v>New Hampshire</v>
          </cell>
          <cell r="C322" t="str">
            <v>America East</v>
          </cell>
          <cell r="D322">
            <v>11438</v>
          </cell>
        </row>
        <row r="323">
          <cell r="A323">
            <v>184603</v>
          </cell>
          <cell r="B323" t="str">
            <v>FDU</v>
          </cell>
          <cell r="C323" t="str">
            <v>NEC</v>
          </cell>
          <cell r="D323">
            <v>11347</v>
          </cell>
        </row>
        <row r="324">
          <cell r="A324">
            <v>163046</v>
          </cell>
          <cell r="B324" t="str">
            <v>Loyola Maryland</v>
          </cell>
          <cell r="C324" t="str">
            <v>Patriot</v>
          </cell>
          <cell r="D324">
            <v>11070</v>
          </cell>
        </row>
        <row r="325">
          <cell r="A325">
            <v>131520</v>
          </cell>
          <cell r="B325" t="str">
            <v>Howard</v>
          </cell>
          <cell r="C325" t="str">
            <v>MEAC</v>
          </cell>
          <cell r="D325">
            <v>10966</v>
          </cell>
        </row>
        <row r="326">
          <cell r="A326">
            <v>161253</v>
          </cell>
          <cell r="B326" t="str">
            <v>Maine</v>
          </cell>
          <cell r="C326" t="str">
            <v>America East</v>
          </cell>
          <cell r="D326">
            <v>10867</v>
          </cell>
        </row>
        <row r="327">
          <cell r="A327">
            <v>215743</v>
          </cell>
          <cell r="B327" t="str">
            <v>Saint Francis</v>
          </cell>
          <cell r="C327" t="str">
            <v>NEC</v>
          </cell>
          <cell r="D327">
            <v>10668</v>
          </cell>
        </row>
        <row r="328">
          <cell r="A328">
            <v>144005</v>
          </cell>
          <cell r="B328" t="str">
            <v>Chicago St.</v>
          </cell>
          <cell r="C328" t="str">
            <v>WAC</v>
          </cell>
          <cell r="D328">
            <v>10466</v>
          </cell>
        </row>
        <row r="329">
          <cell r="A329">
            <v>225399</v>
          </cell>
          <cell r="B329" t="str">
            <v>Houston Christian</v>
          </cell>
          <cell r="C329" t="str">
            <v>Southland</v>
          </cell>
          <cell r="D329">
            <v>10238</v>
          </cell>
        </row>
        <row r="330">
          <cell r="A330">
            <v>227526</v>
          </cell>
          <cell r="B330" t="str">
            <v>Prairie View</v>
          </cell>
          <cell r="C330" t="str">
            <v>SWAC</v>
          </cell>
          <cell r="D330">
            <v>10173</v>
          </cell>
        </row>
        <row r="331">
          <cell r="A331">
            <v>149772</v>
          </cell>
          <cell r="B331" t="str">
            <v>Western Ill.</v>
          </cell>
          <cell r="C331" t="str">
            <v>Summit League</v>
          </cell>
          <cell r="D331">
            <v>10111</v>
          </cell>
        </row>
        <row r="332">
          <cell r="A332">
            <v>164988</v>
          </cell>
          <cell r="B332" t="str">
            <v>Boston U.</v>
          </cell>
          <cell r="C332" t="str">
            <v>Patriot</v>
          </cell>
          <cell r="D332">
            <v>9902</v>
          </cell>
        </row>
        <row r="333">
          <cell r="A333">
            <v>110671</v>
          </cell>
          <cell r="B333" t="str">
            <v>UC Riverside</v>
          </cell>
          <cell r="C333" t="str">
            <v>Big West</v>
          </cell>
          <cell r="D333">
            <v>9648</v>
          </cell>
        </row>
        <row r="334">
          <cell r="A334">
            <v>182670</v>
          </cell>
          <cell r="B334" t="str">
            <v>Dartmouth</v>
          </cell>
          <cell r="C334" t="str">
            <v>Ivy League</v>
          </cell>
          <cell r="D334">
            <v>9491</v>
          </cell>
        </row>
        <row r="335">
          <cell r="A335">
            <v>190099</v>
          </cell>
          <cell r="B335" t="str">
            <v>Colgate</v>
          </cell>
          <cell r="C335" t="str">
            <v>Patriot</v>
          </cell>
          <cell r="D335">
            <v>9447</v>
          </cell>
        </row>
        <row r="336">
          <cell r="A336">
            <v>110617</v>
          </cell>
          <cell r="B336" t="str">
            <v>Sacramento St.</v>
          </cell>
          <cell r="C336" t="str">
            <v>Big Sky</v>
          </cell>
          <cell r="D336">
            <v>9327</v>
          </cell>
        </row>
        <row r="337">
          <cell r="A337">
            <v>218742</v>
          </cell>
          <cell r="B337" t="str">
            <v>USC Upstate</v>
          </cell>
          <cell r="C337" t="str">
            <v>ASUN</v>
          </cell>
          <cell r="D337">
            <v>9120</v>
          </cell>
        </row>
        <row r="338">
          <cell r="A338">
            <v>131159</v>
          </cell>
          <cell r="B338" t="str">
            <v>American</v>
          </cell>
          <cell r="C338" t="str">
            <v>Patriot</v>
          </cell>
          <cell r="D338">
            <v>9058</v>
          </cell>
        </row>
        <row r="339">
          <cell r="A339">
            <v>132602</v>
          </cell>
          <cell r="B339" t="str">
            <v>Bethune-Cookman</v>
          </cell>
          <cell r="C339" t="str">
            <v>MEAC</v>
          </cell>
          <cell r="D339">
            <v>9009</v>
          </cell>
        </row>
        <row r="340">
          <cell r="A340">
            <v>217688</v>
          </cell>
          <cell r="B340" t="str">
            <v>Charleston So.</v>
          </cell>
          <cell r="C340" t="str">
            <v>Big South</v>
          </cell>
          <cell r="D340">
            <v>9007</v>
          </cell>
        </row>
        <row r="341">
          <cell r="A341">
            <v>159717</v>
          </cell>
          <cell r="B341" t="str">
            <v>McNeese</v>
          </cell>
          <cell r="C341" t="str">
            <v>Southland</v>
          </cell>
          <cell r="D341">
            <v>8708</v>
          </cell>
        </row>
        <row r="342">
          <cell r="A342">
            <v>162283</v>
          </cell>
          <cell r="B342" t="str">
            <v>Coppin St.</v>
          </cell>
          <cell r="C342" t="str">
            <v>MEAC</v>
          </cell>
          <cell r="D342">
            <v>8552</v>
          </cell>
        </row>
        <row r="343">
          <cell r="A343">
            <v>217165</v>
          </cell>
          <cell r="B343" t="str">
            <v>Bryant</v>
          </cell>
          <cell r="C343" t="str">
            <v>NEC</v>
          </cell>
          <cell r="D343">
            <v>8504</v>
          </cell>
        </row>
        <row r="344">
          <cell r="A344">
            <v>159966</v>
          </cell>
          <cell r="B344" t="str">
            <v>Nicholls</v>
          </cell>
          <cell r="C344" t="str">
            <v>Southland</v>
          </cell>
          <cell r="D344">
            <v>7657</v>
          </cell>
        </row>
        <row r="345">
          <cell r="A345">
            <v>209807</v>
          </cell>
          <cell r="B345" t="str">
            <v>Portland St.</v>
          </cell>
          <cell r="C345" t="str">
            <v>Big Sky</v>
          </cell>
          <cell r="D345">
            <v>6994</v>
          </cell>
        </row>
        <row r="346">
          <cell r="A346">
            <v>185828</v>
          </cell>
          <cell r="B346" t="str">
            <v>NJIT</v>
          </cell>
          <cell r="C346" t="str">
            <v>ASUN</v>
          </cell>
          <cell r="D346">
            <v>6893</v>
          </cell>
        </row>
        <row r="347">
          <cell r="A347">
            <v>195173</v>
          </cell>
          <cell r="B347" t="str">
            <v>St. Francis Brooklyn</v>
          </cell>
          <cell r="C347" t="str">
            <v>NEC</v>
          </cell>
          <cell r="D347">
            <v>6851</v>
          </cell>
        </row>
        <row r="348">
          <cell r="A348">
            <v>159009</v>
          </cell>
          <cell r="B348" t="str">
            <v>Grambling</v>
          </cell>
          <cell r="C348" t="str">
            <v>SWAC</v>
          </cell>
          <cell r="D348">
            <v>6839</v>
          </cell>
        </row>
        <row r="349">
          <cell r="A349">
            <v>218539</v>
          </cell>
          <cell r="B349" t="str">
            <v>Presbyterian</v>
          </cell>
          <cell r="C349" t="str">
            <v>Big South</v>
          </cell>
          <cell r="D349">
            <v>6641</v>
          </cell>
        </row>
        <row r="350">
          <cell r="A350">
            <v>130253</v>
          </cell>
          <cell r="B350" t="str">
            <v>Sacred Heart</v>
          </cell>
          <cell r="C350" t="str">
            <v>NEC</v>
          </cell>
          <cell r="D350">
            <v>6340</v>
          </cell>
        </row>
        <row r="351">
          <cell r="A351">
            <v>218733</v>
          </cell>
          <cell r="B351" t="str">
            <v>South Carolina St.</v>
          </cell>
          <cell r="C351" t="str">
            <v>MEAC</v>
          </cell>
          <cell r="D351">
            <v>4406</v>
          </cell>
        </row>
        <row r="352">
          <cell r="A352">
            <v>186432</v>
          </cell>
          <cell r="B352" t="str">
            <v>Saint Peter's</v>
          </cell>
          <cell r="C352" t="str">
            <v>MAAC</v>
          </cell>
          <cell r="D352">
            <v>4397</v>
          </cell>
        </row>
      </sheetData>
      <sheetData sheetId="10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196413</v>
          </cell>
          <cell r="B2" t="str">
            <v>Syracuse</v>
          </cell>
          <cell r="C2" t="str">
            <v>ACC</v>
          </cell>
          <cell r="D2">
            <v>407778</v>
          </cell>
        </row>
        <row r="3">
          <cell r="A3">
            <v>157085</v>
          </cell>
          <cell r="B3" t="str">
            <v>Kentucky</v>
          </cell>
          <cell r="C3" t="str">
            <v>SEC</v>
          </cell>
          <cell r="D3">
            <v>393743</v>
          </cell>
        </row>
        <row r="4">
          <cell r="A4">
            <v>157289</v>
          </cell>
          <cell r="B4" t="str">
            <v>Louisville</v>
          </cell>
          <cell r="C4" t="str">
            <v>ACC</v>
          </cell>
          <cell r="D4">
            <v>371427</v>
          </cell>
        </row>
        <row r="5">
          <cell r="A5">
            <v>240444</v>
          </cell>
          <cell r="B5" t="str">
            <v>Wisconsin</v>
          </cell>
          <cell r="C5" t="str">
            <v>Big Ten</v>
          </cell>
          <cell r="D5">
            <v>310901</v>
          </cell>
        </row>
        <row r="6">
          <cell r="A6">
            <v>181002</v>
          </cell>
          <cell r="B6" t="str">
            <v>Creighton</v>
          </cell>
          <cell r="C6" t="str">
            <v>Big East</v>
          </cell>
          <cell r="D6">
            <v>306000</v>
          </cell>
        </row>
        <row r="7">
          <cell r="A7">
            <v>155317</v>
          </cell>
          <cell r="B7" t="str">
            <v>Kansas</v>
          </cell>
          <cell r="C7" t="str">
            <v>Big 12</v>
          </cell>
          <cell r="D7">
            <v>294206</v>
          </cell>
        </row>
        <row r="8">
          <cell r="A8">
            <v>199193</v>
          </cell>
          <cell r="B8" t="str">
            <v>NC State</v>
          </cell>
          <cell r="C8" t="str">
            <v>ACC</v>
          </cell>
          <cell r="D8">
            <v>289807</v>
          </cell>
        </row>
        <row r="9">
          <cell r="A9">
            <v>151351</v>
          </cell>
          <cell r="B9" t="str">
            <v>Indiana</v>
          </cell>
          <cell r="C9" t="str">
            <v>Big Ten</v>
          </cell>
          <cell r="D9">
            <v>280631</v>
          </cell>
        </row>
        <row r="10">
          <cell r="A10">
            <v>199120</v>
          </cell>
          <cell r="B10" t="str">
            <v>North Carolina</v>
          </cell>
          <cell r="C10" t="str">
            <v>ACC</v>
          </cell>
          <cell r="D10">
            <v>275681</v>
          </cell>
        </row>
        <row r="11">
          <cell r="A11">
            <v>106397</v>
          </cell>
          <cell r="B11" t="str">
            <v>Arkansas</v>
          </cell>
          <cell r="C11" t="str">
            <v>SEC</v>
          </cell>
          <cell r="D11">
            <v>275084</v>
          </cell>
        </row>
        <row r="12">
          <cell r="A12">
            <v>163286</v>
          </cell>
          <cell r="B12" t="str">
            <v>Maryland</v>
          </cell>
          <cell r="C12" t="str">
            <v>Big Ten</v>
          </cell>
          <cell r="D12">
            <v>264164</v>
          </cell>
        </row>
        <row r="13">
          <cell r="A13">
            <v>181464</v>
          </cell>
          <cell r="B13" t="str">
            <v>Nebraska</v>
          </cell>
          <cell r="C13" t="str">
            <v>Big Ten</v>
          </cell>
          <cell r="D13">
            <v>263367</v>
          </cell>
        </row>
        <row r="14">
          <cell r="A14">
            <v>171100</v>
          </cell>
          <cell r="B14" t="str">
            <v>Michigan St.</v>
          </cell>
          <cell r="C14" t="str">
            <v>Big Ten</v>
          </cell>
          <cell r="D14">
            <v>251549</v>
          </cell>
        </row>
        <row r="15">
          <cell r="A15">
            <v>239105</v>
          </cell>
          <cell r="B15" t="str">
            <v>Marquette</v>
          </cell>
          <cell r="C15" t="str">
            <v>Big East</v>
          </cell>
          <cell r="D15">
            <v>246469</v>
          </cell>
        </row>
        <row r="16">
          <cell r="A16">
            <v>243780</v>
          </cell>
          <cell r="B16" t="str">
            <v>Purdue</v>
          </cell>
          <cell r="C16" t="str">
            <v>Big Ten</v>
          </cell>
          <cell r="D16">
            <v>243844</v>
          </cell>
        </row>
        <row r="17">
          <cell r="A17">
            <v>221759</v>
          </cell>
          <cell r="B17" t="str">
            <v>Tennessee</v>
          </cell>
          <cell r="C17" t="str">
            <v>SEC</v>
          </cell>
          <cell r="D17">
            <v>243148</v>
          </cell>
        </row>
        <row r="18">
          <cell r="A18">
            <v>204796</v>
          </cell>
          <cell r="B18" t="str">
            <v>Ohio St.</v>
          </cell>
          <cell r="C18" t="str">
            <v>Big Ten</v>
          </cell>
          <cell r="D18">
            <v>242916</v>
          </cell>
        </row>
        <row r="19">
          <cell r="A19">
            <v>178396</v>
          </cell>
          <cell r="B19" t="str">
            <v>Missouri</v>
          </cell>
          <cell r="C19" t="str">
            <v>SEC</v>
          </cell>
          <cell r="D19">
            <v>240976</v>
          </cell>
        </row>
        <row r="20">
          <cell r="A20">
            <v>234076</v>
          </cell>
          <cell r="B20" t="str">
            <v>Virginia</v>
          </cell>
          <cell r="C20" t="str">
            <v>ACC</v>
          </cell>
          <cell r="D20">
            <v>236703</v>
          </cell>
        </row>
        <row r="21">
          <cell r="A21">
            <v>104179</v>
          </cell>
          <cell r="B21" t="str">
            <v>Arizona</v>
          </cell>
          <cell r="C21" t="str">
            <v>Pac-12</v>
          </cell>
          <cell r="D21">
            <v>230947</v>
          </cell>
        </row>
        <row r="22">
          <cell r="A22">
            <v>230038</v>
          </cell>
          <cell r="B22" t="str">
            <v>BYU</v>
          </cell>
          <cell r="C22" t="str">
            <v>WCC</v>
          </cell>
          <cell r="D22">
            <v>227692</v>
          </cell>
        </row>
        <row r="23">
          <cell r="A23">
            <v>100751</v>
          </cell>
          <cell r="B23" t="str">
            <v>Alabama</v>
          </cell>
          <cell r="C23" t="str">
            <v>SEC</v>
          </cell>
          <cell r="D23">
            <v>227640</v>
          </cell>
        </row>
        <row r="24">
          <cell r="A24">
            <v>145637</v>
          </cell>
          <cell r="B24" t="str">
            <v>Illinois</v>
          </cell>
          <cell r="C24" t="str">
            <v>Big Ten</v>
          </cell>
          <cell r="D24">
            <v>227051</v>
          </cell>
        </row>
        <row r="25">
          <cell r="A25">
            <v>153603</v>
          </cell>
          <cell r="B25" t="str">
            <v>Iowa St.</v>
          </cell>
          <cell r="C25" t="str">
            <v>Big 12</v>
          </cell>
          <cell r="D25">
            <v>225941</v>
          </cell>
        </row>
        <row r="26">
          <cell r="A26">
            <v>238032</v>
          </cell>
          <cell r="B26" t="str">
            <v>West Virginia</v>
          </cell>
          <cell r="C26" t="str">
            <v>Big 12</v>
          </cell>
          <cell r="D26">
            <v>209164</v>
          </cell>
        </row>
        <row r="27">
          <cell r="A27">
            <v>202480</v>
          </cell>
          <cell r="B27" t="str">
            <v>Dayton</v>
          </cell>
          <cell r="C27" t="str">
            <v>Atlantic 10</v>
          </cell>
          <cell r="D27">
            <v>207950</v>
          </cell>
        </row>
        <row r="28">
          <cell r="A28">
            <v>174066</v>
          </cell>
          <cell r="B28" t="str">
            <v>Minnesota</v>
          </cell>
          <cell r="C28" t="str">
            <v>Big Ten</v>
          </cell>
          <cell r="D28">
            <v>201454</v>
          </cell>
        </row>
        <row r="29">
          <cell r="A29">
            <v>230764</v>
          </cell>
          <cell r="B29" t="str">
            <v>Utah</v>
          </cell>
          <cell r="C29" t="str">
            <v>Pac-12</v>
          </cell>
          <cell r="D29">
            <v>199077</v>
          </cell>
        </row>
        <row r="30">
          <cell r="A30">
            <v>229115</v>
          </cell>
          <cell r="B30" t="str">
            <v>Texas Tech</v>
          </cell>
          <cell r="C30" t="str">
            <v>Big 12</v>
          </cell>
          <cell r="D30">
            <v>193319</v>
          </cell>
        </row>
        <row r="31">
          <cell r="A31">
            <v>218663</v>
          </cell>
          <cell r="B31" t="str">
            <v>South Carolina</v>
          </cell>
          <cell r="C31" t="str">
            <v>SEC</v>
          </cell>
          <cell r="D31">
            <v>189265</v>
          </cell>
        </row>
        <row r="32">
          <cell r="A32">
            <v>206622</v>
          </cell>
          <cell r="B32" t="str">
            <v>Xavier</v>
          </cell>
          <cell r="C32" t="str">
            <v>Big East</v>
          </cell>
          <cell r="D32">
            <v>188554</v>
          </cell>
        </row>
        <row r="33">
          <cell r="A33">
            <v>187985</v>
          </cell>
          <cell r="B33" t="str">
            <v>New Mexico</v>
          </cell>
          <cell r="C33" t="str">
            <v>Mountain West</v>
          </cell>
          <cell r="D33">
            <v>185013</v>
          </cell>
        </row>
        <row r="34">
          <cell r="A34">
            <v>182281</v>
          </cell>
          <cell r="B34" t="str">
            <v>UNLV</v>
          </cell>
          <cell r="C34" t="str">
            <v>Mountain West</v>
          </cell>
          <cell r="D34">
            <v>181676</v>
          </cell>
        </row>
        <row r="35">
          <cell r="A35">
            <v>153658</v>
          </cell>
          <cell r="B35" t="str">
            <v>Iowa</v>
          </cell>
          <cell r="C35" t="str">
            <v>Big Ten</v>
          </cell>
          <cell r="D35">
            <v>180391</v>
          </cell>
        </row>
        <row r="36">
          <cell r="A36">
            <v>104151</v>
          </cell>
          <cell r="B36" t="str">
            <v>Arizona St.</v>
          </cell>
          <cell r="C36" t="str">
            <v>Pac-12</v>
          </cell>
          <cell r="D36">
            <v>180251</v>
          </cell>
        </row>
        <row r="37">
          <cell r="A37">
            <v>228778</v>
          </cell>
          <cell r="B37" t="str">
            <v>Texas</v>
          </cell>
          <cell r="C37" t="str">
            <v>Big 12</v>
          </cell>
          <cell r="D37">
            <v>180232</v>
          </cell>
        </row>
        <row r="38">
          <cell r="A38">
            <v>170976</v>
          </cell>
          <cell r="B38" t="str">
            <v>Michigan</v>
          </cell>
          <cell r="C38" t="str">
            <v>Big Ten</v>
          </cell>
          <cell r="D38">
            <v>173948</v>
          </cell>
        </row>
        <row r="39">
          <cell r="A39">
            <v>156125</v>
          </cell>
          <cell r="B39" t="str">
            <v>Wichita St.</v>
          </cell>
          <cell r="C39" t="str">
            <v>The American</v>
          </cell>
          <cell r="D39">
            <v>172594</v>
          </cell>
        </row>
        <row r="40">
          <cell r="A40">
            <v>122409</v>
          </cell>
          <cell r="B40" t="str">
            <v>San Diego St.</v>
          </cell>
          <cell r="C40" t="str">
            <v>Mountain West</v>
          </cell>
          <cell r="D40">
            <v>170163</v>
          </cell>
        </row>
        <row r="41">
          <cell r="A41">
            <v>134130</v>
          </cell>
          <cell r="B41" t="str">
            <v>Florida</v>
          </cell>
          <cell r="C41" t="str">
            <v>SEC</v>
          </cell>
          <cell r="D41">
            <v>165446</v>
          </cell>
        </row>
        <row r="42">
          <cell r="A42">
            <v>221999</v>
          </cell>
          <cell r="B42" t="str">
            <v>Vanderbilt</v>
          </cell>
          <cell r="C42" t="str">
            <v>SEC</v>
          </cell>
          <cell r="D42">
            <v>164845</v>
          </cell>
        </row>
        <row r="43">
          <cell r="A43">
            <v>159391</v>
          </cell>
          <cell r="B43" t="str">
            <v>LSU</v>
          </cell>
          <cell r="C43" t="str">
            <v>SEC</v>
          </cell>
          <cell r="D43">
            <v>162533</v>
          </cell>
        </row>
        <row r="44">
          <cell r="A44">
            <v>217402</v>
          </cell>
          <cell r="B44" t="str">
            <v>Providence</v>
          </cell>
          <cell r="C44" t="str">
            <v>Big East</v>
          </cell>
          <cell r="D44">
            <v>162315</v>
          </cell>
        </row>
        <row r="45">
          <cell r="A45">
            <v>209551</v>
          </cell>
          <cell r="B45" t="str">
            <v>Oregon</v>
          </cell>
          <cell r="C45" t="str">
            <v>Pac-12</v>
          </cell>
          <cell r="D45">
            <v>158616</v>
          </cell>
        </row>
        <row r="46">
          <cell r="A46">
            <v>155399</v>
          </cell>
          <cell r="B46" t="str">
            <v>Kansas St.</v>
          </cell>
          <cell r="C46" t="str">
            <v>Big 12</v>
          </cell>
          <cell r="D46">
            <v>156801</v>
          </cell>
        </row>
        <row r="47">
          <cell r="A47">
            <v>207500</v>
          </cell>
          <cell r="B47" t="str">
            <v>Oklahoma</v>
          </cell>
          <cell r="C47" t="str">
            <v>Big 12</v>
          </cell>
          <cell r="D47">
            <v>153799</v>
          </cell>
        </row>
        <row r="48">
          <cell r="A48">
            <v>216597</v>
          </cell>
          <cell r="B48" t="str">
            <v>Villanova</v>
          </cell>
          <cell r="C48" t="str">
            <v>Big East</v>
          </cell>
          <cell r="D48">
            <v>153775</v>
          </cell>
        </row>
        <row r="49">
          <cell r="A49">
            <v>198419</v>
          </cell>
          <cell r="B49" t="str">
            <v>Duke</v>
          </cell>
          <cell r="C49" t="str">
            <v>ACC</v>
          </cell>
          <cell r="D49">
            <v>149024</v>
          </cell>
        </row>
        <row r="50">
          <cell r="A50">
            <v>207388</v>
          </cell>
          <cell r="B50" t="str">
            <v>Oklahoma St.</v>
          </cell>
          <cell r="C50" t="str">
            <v>Big 12</v>
          </cell>
          <cell r="D50">
            <v>147230</v>
          </cell>
        </row>
        <row r="51">
          <cell r="A51">
            <v>195809</v>
          </cell>
          <cell r="B51" t="str">
            <v>St. John's (NY)</v>
          </cell>
          <cell r="C51" t="str">
            <v>Big East</v>
          </cell>
          <cell r="D51">
            <v>146768</v>
          </cell>
        </row>
        <row r="52">
          <cell r="A52">
            <v>176080</v>
          </cell>
          <cell r="B52" t="str">
            <v>Mississippi St.</v>
          </cell>
          <cell r="C52" t="str">
            <v>SEC</v>
          </cell>
          <cell r="D52">
            <v>146271</v>
          </cell>
        </row>
        <row r="53">
          <cell r="A53">
            <v>228723</v>
          </cell>
          <cell r="B53" t="str">
            <v>Texas A&amp;M</v>
          </cell>
          <cell r="C53" t="str">
            <v>SEC</v>
          </cell>
          <cell r="D53">
            <v>146040</v>
          </cell>
        </row>
        <row r="54">
          <cell r="A54">
            <v>150163</v>
          </cell>
          <cell r="B54" t="str">
            <v>Butler</v>
          </cell>
          <cell r="C54" t="str">
            <v>Big East</v>
          </cell>
          <cell r="D54">
            <v>145430</v>
          </cell>
        </row>
        <row r="55">
          <cell r="A55">
            <v>186584</v>
          </cell>
          <cell r="B55" t="str">
            <v>Seton Hall</v>
          </cell>
          <cell r="C55" t="str">
            <v>Big East</v>
          </cell>
          <cell r="D55">
            <v>143766</v>
          </cell>
        </row>
        <row r="56">
          <cell r="A56">
            <v>131496</v>
          </cell>
          <cell r="B56" t="str">
            <v>Georgetown</v>
          </cell>
          <cell r="C56" t="str">
            <v>Big East</v>
          </cell>
          <cell r="D56">
            <v>143093</v>
          </cell>
        </row>
        <row r="57">
          <cell r="A57">
            <v>233921</v>
          </cell>
          <cell r="B57" t="str">
            <v>Virginia Tech</v>
          </cell>
          <cell r="C57" t="str">
            <v>ACC</v>
          </cell>
          <cell r="D57">
            <v>138205</v>
          </cell>
        </row>
        <row r="58">
          <cell r="A58">
            <v>110662</v>
          </cell>
          <cell r="B58" t="str">
            <v>UCLA</v>
          </cell>
          <cell r="C58" t="str">
            <v>Pac-12</v>
          </cell>
          <cell r="D58">
            <v>137919</v>
          </cell>
        </row>
        <row r="59">
          <cell r="A59">
            <v>234030</v>
          </cell>
          <cell r="B59" t="str">
            <v>VCU</v>
          </cell>
          <cell r="C59" t="str">
            <v>Atlantic 10</v>
          </cell>
          <cell r="D59">
            <v>137466</v>
          </cell>
        </row>
        <row r="60">
          <cell r="A60">
            <v>214777</v>
          </cell>
          <cell r="B60" t="str">
            <v>Penn St.</v>
          </cell>
          <cell r="C60" t="str">
            <v>Big Ten</v>
          </cell>
          <cell r="D60">
            <v>136745</v>
          </cell>
        </row>
        <row r="61">
          <cell r="A61">
            <v>236948</v>
          </cell>
          <cell r="B61" t="str">
            <v>Washington</v>
          </cell>
          <cell r="C61" t="str">
            <v>Pac-12</v>
          </cell>
          <cell r="D61">
            <v>135884</v>
          </cell>
        </row>
        <row r="62">
          <cell r="A62">
            <v>182290</v>
          </cell>
          <cell r="B62" t="str">
            <v>Nevada</v>
          </cell>
          <cell r="C62" t="str">
            <v>Mountain West</v>
          </cell>
          <cell r="D62">
            <v>135725</v>
          </cell>
        </row>
        <row r="63">
          <cell r="A63">
            <v>199847</v>
          </cell>
          <cell r="B63" t="str">
            <v>Wake Forest</v>
          </cell>
          <cell r="C63" t="str">
            <v>ACC</v>
          </cell>
          <cell r="D63">
            <v>134807</v>
          </cell>
        </row>
        <row r="64">
          <cell r="A64">
            <v>104717</v>
          </cell>
          <cell r="B64" t="str">
            <v>Grand Canyon</v>
          </cell>
          <cell r="C64" t="str">
            <v>WAC</v>
          </cell>
          <cell r="D64">
            <v>132495</v>
          </cell>
        </row>
        <row r="65">
          <cell r="A65">
            <v>152080</v>
          </cell>
          <cell r="B65" t="str">
            <v>Notre Dame</v>
          </cell>
          <cell r="C65" t="str">
            <v>ACC</v>
          </cell>
          <cell r="D65">
            <v>132212</v>
          </cell>
        </row>
        <row r="66">
          <cell r="A66">
            <v>100858</v>
          </cell>
          <cell r="B66" t="str">
            <v>Auburn</v>
          </cell>
          <cell r="C66" t="str">
            <v>SEC</v>
          </cell>
          <cell r="D66">
            <v>131537</v>
          </cell>
        </row>
        <row r="67">
          <cell r="A67">
            <v>201885</v>
          </cell>
          <cell r="B67" t="str">
            <v>Cincinnati</v>
          </cell>
          <cell r="C67" t="str">
            <v>The American</v>
          </cell>
          <cell r="D67">
            <v>129303</v>
          </cell>
        </row>
        <row r="68">
          <cell r="A68">
            <v>134097</v>
          </cell>
          <cell r="B68" t="str">
            <v>Florida St.</v>
          </cell>
          <cell r="C68" t="str">
            <v>ACC</v>
          </cell>
          <cell r="D68">
            <v>127685</v>
          </cell>
        </row>
        <row r="69">
          <cell r="A69">
            <v>110635</v>
          </cell>
          <cell r="B69" t="str">
            <v>California</v>
          </cell>
          <cell r="C69" t="str">
            <v>Pac-12</v>
          </cell>
          <cell r="D69">
            <v>125386</v>
          </cell>
        </row>
        <row r="70">
          <cell r="A70">
            <v>129020</v>
          </cell>
          <cell r="B70" t="str">
            <v>UConn</v>
          </cell>
          <cell r="C70" t="str">
            <v>The American</v>
          </cell>
          <cell r="D70">
            <v>125271</v>
          </cell>
        </row>
        <row r="71">
          <cell r="A71">
            <v>217882</v>
          </cell>
          <cell r="B71" t="str">
            <v>Clemson</v>
          </cell>
          <cell r="C71" t="str">
            <v>ACC</v>
          </cell>
          <cell r="D71">
            <v>123895</v>
          </cell>
        </row>
        <row r="72">
          <cell r="A72">
            <v>176017</v>
          </cell>
          <cell r="B72" t="str">
            <v>Ole Miss</v>
          </cell>
          <cell r="C72" t="str">
            <v>SEC</v>
          </cell>
          <cell r="D72">
            <v>123883</v>
          </cell>
        </row>
        <row r="73">
          <cell r="A73">
            <v>139755</v>
          </cell>
          <cell r="B73" t="str">
            <v>Georgia Tech</v>
          </cell>
          <cell r="C73" t="str">
            <v>ACC</v>
          </cell>
          <cell r="D73">
            <v>123843</v>
          </cell>
        </row>
        <row r="74">
          <cell r="A74">
            <v>139959</v>
          </cell>
          <cell r="B74" t="str">
            <v>Georgia</v>
          </cell>
          <cell r="C74" t="str">
            <v>SEC</v>
          </cell>
          <cell r="D74">
            <v>123207</v>
          </cell>
        </row>
        <row r="75">
          <cell r="A75">
            <v>223232</v>
          </cell>
          <cell r="B75" t="str">
            <v>Baylor</v>
          </cell>
          <cell r="C75" t="str">
            <v>Big 12</v>
          </cell>
          <cell r="D75">
            <v>120304</v>
          </cell>
        </row>
        <row r="76">
          <cell r="A76">
            <v>228246</v>
          </cell>
          <cell r="B76" t="str">
            <v>SMU</v>
          </cell>
          <cell r="C76" t="str">
            <v>The American</v>
          </cell>
          <cell r="D76">
            <v>119878</v>
          </cell>
        </row>
        <row r="77">
          <cell r="A77">
            <v>220862</v>
          </cell>
          <cell r="B77" t="str">
            <v>Memphis</v>
          </cell>
          <cell r="C77" t="str">
            <v>The American</v>
          </cell>
          <cell r="D77">
            <v>118277</v>
          </cell>
        </row>
        <row r="78">
          <cell r="A78">
            <v>228875</v>
          </cell>
          <cell r="B78" t="str">
            <v>TCU</v>
          </cell>
          <cell r="C78" t="str">
            <v>Big 12</v>
          </cell>
          <cell r="D78">
            <v>118101</v>
          </cell>
        </row>
        <row r="79">
          <cell r="A79">
            <v>141574</v>
          </cell>
          <cell r="B79" t="str">
            <v>Hawaii</v>
          </cell>
          <cell r="C79" t="str">
            <v>Big West</v>
          </cell>
          <cell r="D79">
            <v>115879</v>
          </cell>
        </row>
        <row r="80">
          <cell r="A80">
            <v>179159</v>
          </cell>
          <cell r="B80" t="str">
            <v>Saint Louis</v>
          </cell>
          <cell r="C80" t="str">
            <v>Atlantic 10</v>
          </cell>
          <cell r="D80">
            <v>112237</v>
          </cell>
        </row>
        <row r="81">
          <cell r="A81">
            <v>147767</v>
          </cell>
          <cell r="B81" t="str">
            <v>Northwestern</v>
          </cell>
          <cell r="C81" t="str">
            <v>Big Ten</v>
          </cell>
          <cell r="D81">
            <v>110306</v>
          </cell>
        </row>
        <row r="82">
          <cell r="A82">
            <v>142115</v>
          </cell>
          <cell r="B82" t="str">
            <v>Boise St.</v>
          </cell>
          <cell r="C82" t="str">
            <v>Mountain West</v>
          </cell>
          <cell r="D82">
            <v>107959</v>
          </cell>
        </row>
        <row r="83">
          <cell r="A83">
            <v>186380</v>
          </cell>
          <cell r="B83" t="str">
            <v>Rutgers</v>
          </cell>
          <cell r="C83" t="str">
            <v>Big Ten</v>
          </cell>
          <cell r="D83">
            <v>104698</v>
          </cell>
        </row>
        <row r="84">
          <cell r="A84">
            <v>228796</v>
          </cell>
          <cell r="B84" t="str">
            <v>UTEP</v>
          </cell>
          <cell r="C84" t="str">
            <v>CUSA</v>
          </cell>
          <cell r="D84">
            <v>104637</v>
          </cell>
        </row>
        <row r="85">
          <cell r="A85">
            <v>230728</v>
          </cell>
          <cell r="B85" t="str">
            <v>Utah St.</v>
          </cell>
          <cell r="C85" t="str">
            <v>Mountain West</v>
          </cell>
          <cell r="D85">
            <v>104159</v>
          </cell>
        </row>
        <row r="86">
          <cell r="A86">
            <v>126614</v>
          </cell>
          <cell r="B86" t="str">
            <v>Colorado</v>
          </cell>
          <cell r="C86" t="str">
            <v>Pac-12</v>
          </cell>
          <cell r="D86">
            <v>104088</v>
          </cell>
        </row>
        <row r="87">
          <cell r="A87">
            <v>110556</v>
          </cell>
          <cell r="B87" t="str">
            <v>Fresno St.</v>
          </cell>
          <cell r="C87" t="str">
            <v>Mountain West</v>
          </cell>
          <cell r="D87">
            <v>102554</v>
          </cell>
        </row>
        <row r="88">
          <cell r="A88">
            <v>230782</v>
          </cell>
          <cell r="B88" t="str">
            <v>Weber St.</v>
          </cell>
          <cell r="C88" t="str">
            <v>Big Sky</v>
          </cell>
          <cell r="D88">
            <v>101683</v>
          </cell>
        </row>
        <row r="89">
          <cell r="A89">
            <v>135726</v>
          </cell>
          <cell r="B89" t="str">
            <v>Miami (FL)</v>
          </cell>
          <cell r="C89" t="str">
            <v>ACC</v>
          </cell>
          <cell r="D89">
            <v>99639</v>
          </cell>
        </row>
        <row r="90">
          <cell r="A90">
            <v>217484</v>
          </cell>
          <cell r="B90" t="str">
            <v>Rhode Island</v>
          </cell>
          <cell r="C90" t="str">
            <v>Atlantic 10</v>
          </cell>
          <cell r="D90">
            <v>99466</v>
          </cell>
        </row>
        <row r="91">
          <cell r="A91">
            <v>144740</v>
          </cell>
          <cell r="B91" t="str">
            <v>DePaul</v>
          </cell>
          <cell r="C91" t="str">
            <v>Big East</v>
          </cell>
          <cell r="D91">
            <v>98354</v>
          </cell>
        </row>
        <row r="92">
          <cell r="A92">
            <v>233374</v>
          </cell>
          <cell r="B92" t="str">
            <v>Richmond</v>
          </cell>
          <cell r="C92" t="str">
            <v>Atlantic 10</v>
          </cell>
          <cell r="D92">
            <v>97379</v>
          </cell>
        </row>
        <row r="93">
          <cell r="A93">
            <v>235316</v>
          </cell>
          <cell r="B93" t="str">
            <v>Gonzaga</v>
          </cell>
          <cell r="C93" t="str">
            <v>WCC</v>
          </cell>
          <cell r="D93">
            <v>96000</v>
          </cell>
        </row>
        <row r="94">
          <cell r="A94">
            <v>195474</v>
          </cell>
          <cell r="B94" t="str">
            <v>Siena</v>
          </cell>
          <cell r="C94" t="str">
            <v>MAAC</v>
          </cell>
          <cell r="D94">
            <v>95490</v>
          </cell>
        </row>
        <row r="95">
          <cell r="A95">
            <v>220978</v>
          </cell>
          <cell r="B95" t="str">
            <v>Middle Tenn.</v>
          </cell>
          <cell r="C95" t="str">
            <v>CUSA</v>
          </cell>
          <cell r="D95">
            <v>94837</v>
          </cell>
        </row>
        <row r="96">
          <cell r="A96">
            <v>157951</v>
          </cell>
          <cell r="B96" t="str">
            <v>Western Ky.</v>
          </cell>
          <cell r="C96" t="str">
            <v>CUSA</v>
          </cell>
          <cell r="D96">
            <v>93286</v>
          </cell>
        </row>
        <row r="97">
          <cell r="A97">
            <v>237525</v>
          </cell>
          <cell r="B97" t="str">
            <v>Marshall</v>
          </cell>
          <cell r="C97" t="str">
            <v>CUSA</v>
          </cell>
          <cell r="D97">
            <v>93253</v>
          </cell>
        </row>
        <row r="98">
          <cell r="A98">
            <v>204857</v>
          </cell>
          <cell r="B98" t="str">
            <v>Ohio</v>
          </cell>
          <cell r="C98" t="str">
            <v>MAC</v>
          </cell>
          <cell r="D98">
            <v>89566</v>
          </cell>
        </row>
        <row r="99">
          <cell r="A99">
            <v>232982</v>
          </cell>
          <cell r="B99" t="str">
            <v>Old Dominion</v>
          </cell>
          <cell r="C99" t="str">
            <v>CUSA</v>
          </cell>
          <cell r="D99">
            <v>88851</v>
          </cell>
        </row>
        <row r="100">
          <cell r="A100">
            <v>164924</v>
          </cell>
          <cell r="B100" t="str">
            <v>Boston College</v>
          </cell>
          <cell r="C100" t="str">
            <v>ACC</v>
          </cell>
          <cell r="D100">
            <v>87731</v>
          </cell>
        </row>
        <row r="101">
          <cell r="A101">
            <v>209542</v>
          </cell>
          <cell r="B101" t="str">
            <v>Oregon St.</v>
          </cell>
          <cell r="C101" t="str">
            <v>Pac-12</v>
          </cell>
          <cell r="D101">
            <v>86130</v>
          </cell>
        </row>
        <row r="102">
          <cell r="A102">
            <v>143358</v>
          </cell>
          <cell r="B102" t="str">
            <v>Bradley</v>
          </cell>
          <cell r="C102" t="str">
            <v>MVC</v>
          </cell>
          <cell r="D102">
            <v>85489</v>
          </cell>
        </row>
        <row r="103">
          <cell r="A103">
            <v>216339</v>
          </cell>
          <cell r="B103" t="str">
            <v>Temple</v>
          </cell>
          <cell r="C103" t="str">
            <v>The American</v>
          </cell>
          <cell r="D103">
            <v>82213</v>
          </cell>
        </row>
        <row r="104">
          <cell r="A104">
            <v>240727</v>
          </cell>
          <cell r="B104" t="str">
            <v>Wyoming</v>
          </cell>
          <cell r="C104" t="str">
            <v>Mountain West</v>
          </cell>
          <cell r="D104">
            <v>80159</v>
          </cell>
        </row>
        <row r="105">
          <cell r="A105">
            <v>188030</v>
          </cell>
          <cell r="B105" t="str">
            <v>New Mexico St.</v>
          </cell>
          <cell r="C105" t="str">
            <v>WAC</v>
          </cell>
          <cell r="D105">
            <v>79409</v>
          </cell>
        </row>
        <row r="106">
          <cell r="A106">
            <v>243744</v>
          </cell>
          <cell r="B106" t="str">
            <v>Stanford</v>
          </cell>
          <cell r="C106" t="str">
            <v>Pac-12</v>
          </cell>
          <cell r="D106">
            <v>75050</v>
          </cell>
        </row>
        <row r="107">
          <cell r="A107">
            <v>123961</v>
          </cell>
          <cell r="B107" t="str">
            <v>Southern California</v>
          </cell>
          <cell r="C107" t="str">
            <v>Pac-12</v>
          </cell>
          <cell r="D107">
            <v>74712</v>
          </cell>
        </row>
        <row r="108">
          <cell r="A108">
            <v>132903</v>
          </cell>
          <cell r="B108" t="str">
            <v>UCF</v>
          </cell>
          <cell r="C108" t="str">
            <v>The American</v>
          </cell>
          <cell r="D108">
            <v>74174</v>
          </cell>
        </row>
        <row r="109">
          <cell r="A109">
            <v>215293</v>
          </cell>
          <cell r="B109" t="str">
            <v>Pittsburgh</v>
          </cell>
          <cell r="C109" t="str">
            <v>ACC</v>
          </cell>
          <cell r="D109">
            <v>74103</v>
          </cell>
        </row>
        <row r="110">
          <cell r="A110">
            <v>433660</v>
          </cell>
          <cell r="B110" t="str">
            <v>FGCU</v>
          </cell>
          <cell r="C110" t="str">
            <v>ASUN</v>
          </cell>
          <cell r="D110">
            <v>73114</v>
          </cell>
        </row>
        <row r="111">
          <cell r="A111">
            <v>145813</v>
          </cell>
          <cell r="B111" t="str">
            <v>Illinois St.</v>
          </cell>
          <cell r="C111" t="str">
            <v>MVC</v>
          </cell>
          <cell r="D111">
            <v>71992</v>
          </cell>
        </row>
        <row r="112">
          <cell r="A112">
            <v>220075</v>
          </cell>
          <cell r="B112" t="str">
            <v>ETSU</v>
          </cell>
          <cell r="C112" t="str">
            <v>SoCon</v>
          </cell>
          <cell r="D112">
            <v>71034</v>
          </cell>
        </row>
        <row r="113">
          <cell r="A113">
            <v>232186</v>
          </cell>
          <cell r="B113" t="str">
            <v>George Mason</v>
          </cell>
          <cell r="C113" t="str">
            <v>Atlantic 10</v>
          </cell>
          <cell r="D113">
            <v>69491</v>
          </cell>
        </row>
        <row r="114">
          <cell r="A114">
            <v>206604</v>
          </cell>
          <cell r="B114" t="str">
            <v>Wright St.</v>
          </cell>
          <cell r="C114" t="str">
            <v>Horizon</v>
          </cell>
          <cell r="D114">
            <v>68866</v>
          </cell>
        </row>
        <row r="115">
          <cell r="A115">
            <v>206084</v>
          </cell>
          <cell r="B115" t="str">
            <v>Toledo</v>
          </cell>
          <cell r="C115" t="str">
            <v>MAC</v>
          </cell>
          <cell r="D115">
            <v>67834</v>
          </cell>
        </row>
        <row r="116">
          <cell r="A116">
            <v>179566</v>
          </cell>
          <cell r="B116" t="str">
            <v>Missouri St.</v>
          </cell>
          <cell r="C116" t="str">
            <v>MVC</v>
          </cell>
          <cell r="D116">
            <v>67764</v>
          </cell>
        </row>
        <row r="117">
          <cell r="A117">
            <v>207971</v>
          </cell>
          <cell r="B117" t="str">
            <v>Tulsa</v>
          </cell>
          <cell r="C117" t="str">
            <v>The American</v>
          </cell>
          <cell r="D117">
            <v>67762</v>
          </cell>
        </row>
        <row r="118">
          <cell r="A118">
            <v>154095</v>
          </cell>
          <cell r="B118" t="str">
            <v>UNI</v>
          </cell>
          <cell r="C118" t="str">
            <v>MVC</v>
          </cell>
          <cell r="D118">
            <v>65442</v>
          </cell>
        </row>
        <row r="119">
          <cell r="A119">
            <v>228431</v>
          </cell>
          <cell r="B119" t="str">
            <v>SFA</v>
          </cell>
          <cell r="C119" t="str">
            <v>Southland</v>
          </cell>
          <cell r="D119">
            <v>64301</v>
          </cell>
        </row>
        <row r="120">
          <cell r="A120">
            <v>150534</v>
          </cell>
          <cell r="B120" t="str">
            <v>Evansville</v>
          </cell>
          <cell r="C120" t="str">
            <v>MVC</v>
          </cell>
          <cell r="D120">
            <v>64296</v>
          </cell>
        </row>
        <row r="121">
          <cell r="A121">
            <v>198464</v>
          </cell>
          <cell r="B121" t="str">
            <v>East Carolina</v>
          </cell>
          <cell r="C121" t="str">
            <v>The American</v>
          </cell>
          <cell r="D121">
            <v>63899</v>
          </cell>
        </row>
        <row r="122">
          <cell r="A122">
            <v>149222</v>
          </cell>
          <cell r="B122" t="str">
            <v>Southern Ill.</v>
          </cell>
          <cell r="C122" t="str">
            <v>MVC</v>
          </cell>
          <cell r="D122">
            <v>63470</v>
          </cell>
        </row>
        <row r="123">
          <cell r="A123">
            <v>100663</v>
          </cell>
          <cell r="B123" t="str">
            <v>UAB</v>
          </cell>
          <cell r="C123" t="str">
            <v>CUSA</v>
          </cell>
          <cell r="D123">
            <v>63396</v>
          </cell>
        </row>
        <row r="124">
          <cell r="A124">
            <v>160658</v>
          </cell>
          <cell r="B124" t="str">
            <v>Louisiana</v>
          </cell>
          <cell r="C124" t="str">
            <v>Sun Belt</v>
          </cell>
          <cell r="D124">
            <v>63278</v>
          </cell>
        </row>
        <row r="125">
          <cell r="A125">
            <v>157401</v>
          </cell>
          <cell r="B125" t="str">
            <v>Murray St.</v>
          </cell>
          <cell r="C125" t="str">
            <v>OVC</v>
          </cell>
          <cell r="D125">
            <v>60801</v>
          </cell>
        </row>
        <row r="126">
          <cell r="A126">
            <v>199139</v>
          </cell>
          <cell r="B126" t="str">
            <v>Charlotte</v>
          </cell>
          <cell r="C126" t="str">
            <v>CUSA</v>
          </cell>
          <cell r="D126">
            <v>60126</v>
          </cell>
        </row>
        <row r="127">
          <cell r="A127">
            <v>195164</v>
          </cell>
          <cell r="B127" t="str">
            <v>St. Bonaventure</v>
          </cell>
          <cell r="C127" t="str">
            <v>Atlantic 10</v>
          </cell>
          <cell r="D127">
            <v>60007</v>
          </cell>
        </row>
        <row r="128">
          <cell r="A128">
            <v>123554</v>
          </cell>
          <cell r="B128" t="str">
            <v>Saint Mary's (CA)</v>
          </cell>
          <cell r="C128" t="str">
            <v>WCC</v>
          </cell>
          <cell r="D128">
            <v>59686</v>
          </cell>
        </row>
        <row r="129">
          <cell r="A129">
            <v>150136</v>
          </cell>
          <cell r="B129" t="str">
            <v>Ball St.</v>
          </cell>
          <cell r="C129" t="str">
            <v>MAC</v>
          </cell>
          <cell r="D129">
            <v>59534</v>
          </cell>
        </row>
        <row r="130">
          <cell r="A130">
            <v>232265</v>
          </cell>
          <cell r="B130" t="str">
            <v>Hampton</v>
          </cell>
          <cell r="C130" t="str">
            <v>MEAC</v>
          </cell>
          <cell r="D130">
            <v>58869</v>
          </cell>
        </row>
        <row r="131">
          <cell r="A131">
            <v>215062</v>
          </cell>
          <cell r="B131" t="str">
            <v>Penn</v>
          </cell>
          <cell r="C131" t="str">
            <v>Ivy League</v>
          </cell>
          <cell r="D131">
            <v>58348</v>
          </cell>
        </row>
        <row r="132">
          <cell r="A132">
            <v>230737</v>
          </cell>
          <cell r="B132" t="str">
            <v>Utah Valley</v>
          </cell>
          <cell r="C132" t="str">
            <v>WAC</v>
          </cell>
          <cell r="D132">
            <v>58027</v>
          </cell>
        </row>
        <row r="133">
          <cell r="A133">
            <v>157447</v>
          </cell>
          <cell r="B133" t="str">
            <v>Northern Ky.</v>
          </cell>
          <cell r="C133" t="str">
            <v>Horizon</v>
          </cell>
          <cell r="D133">
            <v>57891</v>
          </cell>
        </row>
        <row r="134">
          <cell r="A134">
            <v>180489</v>
          </cell>
          <cell r="B134" t="str">
            <v>Montana</v>
          </cell>
          <cell r="C134" t="str">
            <v>Big Sky</v>
          </cell>
          <cell r="D134">
            <v>56568</v>
          </cell>
        </row>
        <row r="135">
          <cell r="A135">
            <v>198385</v>
          </cell>
          <cell r="B135" t="str">
            <v>Davidson</v>
          </cell>
          <cell r="C135" t="str">
            <v>Atlantic 10</v>
          </cell>
          <cell r="D135">
            <v>55600</v>
          </cell>
        </row>
        <row r="136">
          <cell r="A136">
            <v>199218</v>
          </cell>
          <cell r="B136" t="str">
            <v>UNCW</v>
          </cell>
          <cell r="C136" t="str">
            <v>CAA</v>
          </cell>
          <cell r="D136">
            <v>55442</v>
          </cell>
        </row>
        <row r="137">
          <cell r="A137">
            <v>159647</v>
          </cell>
          <cell r="B137" t="str">
            <v>Louisiana Tech</v>
          </cell>
          <cell r="C137" t="str">
            <v>CUSA</v>
          </cell>
          <cell r="D137">
            <v>55167</v>
          </cell>
        </row>
        <row r="138">
          <cell r="A138">
            <v>151324</v>
          </cell>
          <cell r="B138" t="str">
            <v>Indiana St.</v>
          </cell>
          <cell r="C138" t="str">
            <v>MVC</v>
          </cell>
          <cell r="D138">
            <v>55132</v>
          </cell>
        </row>
        <row r="139">
          <cell r="A139">
            <v>225511</v>
          </cell>
          <cell r="B139" t="str">
            <v>Houston</v>
          </cell>
          <cell r="C139" t="str">
            <v>The American</v>
          </cell>
          <cell r="D139">
            <v>54919</v>
          </cell>
        </row>
        <row r="140">
          <cell r="A140">
            <v>217819</v>
          </cell>
          <cell r="B140" t="str">
            <v>Col. of Charleston</v>
          </cell>
          <cell r="C140" t="str">
            <v>CAA</v>
          </cell>
          <cell r="D140">
            <v>53976</v>
          </cell>
        </row>
        <row r="141">
          <cell r="A141">
            <v>126818</v>
          </cell>
          <cell r="B141" t="str">
            <v>Colorado St.</v>
          </cell>
          <cell r="C141" t="str">
            <v>Mountain West</v>
          </cell>
          <cell r="D141">
            <v>53455</v>
          </cell>
        </row>
        <row r="142">
          <cell r="A142">
            <v>227216</v>
          </cell>
          <cell r="B142" t="str">
            <v>North Texas</v>
          </cell>
          <cell r="C142" t="str">
            <v>CUSA</v>
          </cell>
          <cell r="D142">
            <v>52887</v>
          </cell>
        </row>
        <row r="143">
          <cell r="A143">
            <v>166629</v>
          </cell>
          <cell r="B143" t="str">
            <v>Massachusetts</v>
          </cell>
          <cell r="C143" t="str">
            <v>Atlantic 10</v>
          </cell>
          <cell r="D143">
            <v>50901</v>
          </cell>
        </row>
        <row r="144">
          <cell r="A144">
            <v>221740</v>
          </cell>
          <cell r="B144" t="str">
            <v>Chattanooga</v>
          </cell>
          <cell r="C144" t="str">
            <v>SoCon</v>
          </cell>
          <cell r="D144">
            <v>50811</v>
          </cell>
        </row>
        <row r="145">
          <cell r="A145">
            <v>196088</v>
          </cell>
          <cell r="B145" t="str">
            <v>Buffalo</v>
          </cell>
          <cell r="C145" t="str">
            <v>MAC</v>
          </cell>
          <cell r="D145">
            <v>49889</v>
          </cell>
        </row>
        <row r="146">
          <cell r="A146">
            <v>231624</v>
          </cell>
          <cell r="B146" t="str">
            <v>William &amp; Mary</v>
          </cell>
          <cell r="C146" t="str">
            <v>CAA</v>
          </cell>
          <cell r="D146">
            <v>49109</v>
          </cell>
        </row>
        <row r="147">
          <cell r="A147">
            <v>215770</v>
          </cell>
          <cell r="B147" t="str">
            <v>Saint Joseph's</v>
          </cell>
          <cell r="C147" t="str">
            <v>Atlantic 10</v>
          </cell>
          <cell r="D147">
            <v>47946</v>
          </cell>
        </row>
        <row r="148">
          <cell r="A148">
            <v>171571</v>
          </cell>
          <cell r="B148" t="str">
            <v>Oakland</v>
          </cell>
          <cell r="C148" t="str">
            <v>Horizon</v>
          </cell>
          <cell r="D148">
            <v>47453</v>
          </cell>
        </row>
        <row r="149">
          <cell r="A149">
            <v>137351</v>
          </cell>
          <cell r="B149" t="str">
            <v>South Fla.</v>
          </cell>
          <cell r="C149" t="str">
            <v>The American</v>
          </cell>
          <cell r="D149">
            <v>46244</v>
          </cell>
        </row>
        <row r="150">
          <cell r="A150">
            <v>236939</v>
          </cell>
          <cell r="B150" t="str">
            <v>Washington St.</v>
          </cell>
          <cell r="C150" t="str">
            <v>Pac-12</v>
          </cell>
          <cell r="D150">
            <v>46177</v>
          </cell>
        </row>
        <row r="151">
          <cell r="A151">
            <v>200800</v>
          </cell>
          <cell r="B151" t="str">
            <v>Akron</v>
          </cell>
          <cell r="C151" t="str">
            <v>MAC</v>
          </cell>
          <cell r="D151">
            <v>45191</v>
          </cell>
        </row>
        <row r="152">
          <cell r="A152">
            <v>131469</v>
          </cell>
          <cell r="B152" t="str">
            <v>George Washington</v>
          </cell>
          <cell r="C152" t="str">
            <v>Atlantic 10</v>
          </cell>
          <cell r="D152">
            <v>45019</v>
          </cell>
        </row>
        <row r="153">
          <cell r="A153">
            <v>203517</v>
          </cell>
          <cell r="B153" t="str">
            <v>Kent St.</v>
          </cell>
          <cell r="C153" t="str">
            <v>MAC</v>
          </cell>
          <cell r="D153">
            <v>44796</v>
          </cell>
        </row>
        <row r="154">
          <cell r="A154">
            <v>153269</v>
          </cell>
          <cell r="B154" t="str">
            <v>Drake</v>
          </cell>
          <cell r="C154" t="str">
            <v>MVC</v>
          </cell>
          <cell r="D154">
            <v>44735</v>
          </cell>
        </row>
        <row r="155">
          <cell r="A155">
            <v>199148</v>
          </cell>
          <cell r="B155" t="str">
            <v>UNC Greensboro</v>
          </cell>
          <cell r="C155" t="str">
            <v>SoCon</v>
          </cell>
          <cell r="D155">
            <v>43728</v>
          </cell>
        </row>
        <row r="156">
          <cell r="A156">
            <v>180461</v>
          </cell>
          <cell r="B156" t="str">
            <v>Montana St.</v>
          </cell>
          <cell r="C156" t="str">
            <v>Big Sky</v>
          </cell>
          <cell r="D156">
            <v>43102</v>
          </cell>
        </row>
        <row r="157">
          <cell r="A157">
            <v>232557</v>
          </cell>
          <cell r="B157" t="str">
            <v>Liberty</v>
          </cell>
          <cell r="C157" t="str">
            <v>Big South</v>
          </cell>
          <cell r="D157">
            <v>42938</v>
          </cell>
        </row>
        <row r="158">
          <cell r="A158">
            <v>140447</v>
          </cell>
          <cell r="B158" t="str">
            <v>Mercer</v>
          </cell>
          <cell r="C158" t="str">
            <v>SoCon</v>
          </cell>
          <cell r="D158">
            <v>42763</v>
          </cell>
        </row>
        <row r="159">
          <cell r="A159">
            <v>211291</v>
          </cell>
          <cell r="B159" t="str">
            <v>Bucknell</v>
          </cell>
          <cell r="C159" t="str">
            <v>Patriot</v>
          </cell>
          <cell r="D159">
            <v>42689</v>
          </cell>
        </row>
        <row r="160">
          <cell r="A160">
            <v>196060</v>
          </cell>
          <cell r="B160" t="str">
            <v>UAlbany</v>
          </cell>
          <cell r="C160" t="str">
            <v>America East</v>
          </cell>
          <cell r="D160">
            <v>42063</v>
          </cell>
        </row>
        <row r="161">
          <cell r="A161">
            <v>231174</v>
          </cell>
          <cell r="B161" t="str">
            <v>Vermont</v>
          </cell>
          <cell r="C161" t="str">
            <v>America East</v>
          </cell>
          <cell r="D161">
            <v>41012</v>
          </cell>
        </row>
        <row r="162">
          <cell r="A162">
            <v>130943</v>
          </cell>
          <cell r="B162" t="str">
            <v>Delaware</v>
          </cell>
          <cell r="C162" t="str">
            <v>CAA</v>
          </cell>
          <cell r="D162">
            <v>40695</v>
          </cell>
        </row>
        <row r="163">
          <cell r="A163">
            <v>240277</v>
          </cell>
          <cell r="B163" t="str">
            <v>Green Bay</v>
          </cell>
          <cell r="C163" t="str">
            <v>Horizon</v>
          </cell>
          <cell r="D163">
            <v>39601</v>
          </cell>
        </row>
        <row r="164">
          <cell r="A164">
            <v>200332</v>
          </cell>
          <cell r="B164" t="str">
            <v>North Dakota St.</v>
          </cell>
          <cell r="C164" t="str">
            <v>Summit League</v>
          </cell>
          <cell r="D164">
            <v>38601</v>
          </cell>
        </row>
        <row r="165">
          <cell r="A165">
            <v>219709</v>
          </cell>
          <cell r="B165" t="str">
            <v>Belmont</v>
          </cell>
          <cell r="C165" t="str">
            <v>OVC</v>
          </cell>
          <cell r="D165">
            <v>38543</v>
          </cell>
        </row>
        <row r="166">
          <cell r="A166">
            <v>196097</v>
          </cell>
          <cell r="B166" t="str">
            <v>Stony Brook</v>
          </cell>
          <cell r="C166" t="str">
            <v>America East</v>
          </cell>
          <cell r="D166">
            <v>38114</v>
          </cell>
        </row>
        <row r="167">
          <cell r="A167">
            <v>152600</v>
          </cell>
          <cell r="B167" t="str">
            <v>Valparaiso</v>
          </cell>
          <cell r="C167" t="str">
            <v>MVC</v>
          </cell>
          <cell r="D167">
            <v>38111</v>
          </cell>
        </row>
        <row r="168">
          <cell r="A168">
            <v>157386</v>
          </cell>
          <cell r="B168" t="str">
            <v>Morehead St.</v>
          </cell>
          <cell r="C168" t="str">
            <v>OVC</v>
          </cell>
          <cell r="D168">
            <v>37866</v>
          </cell>
        </row>
        <row r="169">
          <cell r="A169">
            <v>122612</v>
          </cell>
          <cell r="B169" t="str">
            <v>San Francisco</v>
          </cell>
          <cell r="C169" t="str">
            <v>WCC</v>
          </cell>
          <cell r="D169">
            <v>37834</v>
          </cell>
        </row>
        <row r="170">
          <cell r="A170">
            <v>232423</v>
          </cell>
          <cell r="B170" t="str">
            <v>James Madison</v>
          </cell>
          <cell r="C170" t="str">
            <v>CAA</v>
          </cell>
          <cell r="D170">
            <v>37305</v>
          </cell>
        </row>
        <row r="171">
          <cell r="A171">
            <v>196079</v>
          </cell>
          <cell r="B171" t="str">
            <v>Binghamton</v>
          </cell>
          <cell r="C171" t="str">
            <v>America East</v>
          </cell>
          <cell r="D171">
            <v>36722</v>
          </cell>
        </row>
        <row r="172">
          <cell r="A172">
            <v>145600</v>
          </cell>
          <cell r="B172" t="str">
            <v>UIC</v>
          </cell>
          <cell r="C172" t="str">
            <v>Horizon</v>
          </cell>
          <cell r="D172">
            <v>36549</v>
          </cell>
        </row>
        <row r="173">
          <cell r="A173">
            <v>146719</v>
          </cell>
          <cell r="B173" t="str">
            <v>Loyola Chicago</v>
          </cell>
          <cell r="C173" t="str">
            <v>MVC</v>
          </cell>
          <cell r="D173">
            <v>36073</v>
          </cell>
        </row>
        <row r="174">
          <cell r="A174">
            <v>122931</v>
          </cell>
          <cell r="B174" t="str">
            <v>Santa Clara</v>
          </cell>
          <cell r="C174" t="str">
            <v>WCC</v>
          </cell>
          <cell r="D174">
            <v>35733</v>
          </cell>
        </row>
        <row r="175">
          <cell r="A175">
            <v>172699</v>
          </cell>
          <cell r="B175" t="str">
            <v>Western Mich.</v>
          </cell>
          <cell r="C175" t="str">
            <v>MAC</v>
          </cell>
          <cell r="D175">
            <v>35608</v>
          </cell>
        </row>
        <row r="176">
          <cell r="A176">
            <v>110583</v>
          </cell>
          <cell r="B176" t="str">
            <v>Long Beach St.</v>
          </cell>
          <cell r="C176" t="str">
            <v>Big West</v>
          </cell>
          <cell r="D176">
            <v>35210</v>
          </cell>
        </row>
        <row r="177">
          <cell r="A177">
            <v>228769</v>
          </cell>
          <cell r="B177" t="str">
            <v>UT Arlington</v>
          </cell>
          <cell r="C177" t="str">
            <v>Sun Belt</v>
          </cell>
          <cell r="D177">
            <v>35171</v>
          </cell>
        </row>
        <row r="178">
          <cell r="A178">
            <v>106412</v>
          </cell>
          <cell r="B178" t="str">
            <v>Ark.-Pine Bluff</v>
          </cell>
          <cell r="C178" t="str">
            <v>SWAC</v>
          </cell>
          <cell r="D178">
            <v>35043</v>
          </cell>
        </row>
        <row r="179">
          <cell r="A179">
            <v>218973</v>
          </cell>
          <cell r="B179" t="str">
            <v>Wofford</v>
          </cell>
          <cell r="C179" t="str">
            <v>SoCon</v>
          </cell>
          <cell r="D179">
            <v>34805</v>
          </cell>
        </row>
        <row r="180">
          <cell r="A180">
            <v>206695</v>
          </cell>
          <cell r="B180" t="str">
            <v>Youngstown St.</v>
          </cell>
          <cell r="C180" t="str">
            <v>Horizon</v>
          </cell>
          <cell r="D180">
            <v>34539</v>
          </cell>
        </row>
        <row r="181">
          <cell r="A181">
            <v>122436</v>
          </cell>
          <cell r="B181" t="str">
            <v>San Diego</v>
          </cell>
          <cell r="C181" t="str">
            <v>WCC</v>
          </cell>
          <cell r="D181">
            <v>34531</v>
          </cell>
        </row>
        <row r="182">
          <cell r="A182">
            <v>212106</v>
          </cell>
          <cell r="B182" t="str">
            <v>Duquesne</v>
          </cell>
          <cell r="C182" t="str">
            <v>Atlantic 10</v>
          </cell>
          <cell r="D182">
            <v>34464</v>
          </cell>
        </row>
        <row r="183">
          <cell r="A183">
            <v>227757</v>
          </cell>
          <cell r="B183" t="str">
            <v>Rice</v>
          </cell>
          <cell r="C183" t="str">
            <v>CUSA</v>
          </cell>
          <cell r="D183">
            <v>34430</v>
          </cell>
        </row>
        <row r="184">
          <cell r="A184">
            <v>219356</v>
          </cell>
          <cell r="B184" t="str">
            <v>South Dakota St.</v>
          </cell>
          <cell r="C184" t="str">
            <v>Summit League</v>
          </cell>
          <cell r="D184">
            <v>34383</v>
          </cell>
        </row>
        <row r="185">
          <cell r="A185">
            <v>169248</v>
          </cell>
          <cell r="B185" t="str">
            <v>Central Mich.</v>
          </cell>
          <cell r="C185" t="str">
            <v>MAC</v>
          </cell>
          <cell r="D185">
            <v>34108</v>
          </cell>
        </row>
        <row r="186">
          <cell r="A186">
            <v>219471</v>
          </cell>
          <cell r="B186" t="str">
            <v>South Dakota</v>
          </cell>
          <cell r="C186" t="str">
            <v>Summit League</v>
          </cell>
          <cell r="D186">
            <v>34036</v>
          </cell>
        </row>
        <row r="187">
          <cell r="A187">
            <v>209825</v>
          </cell>
          <cell r="B187" t="str">
            <v>Portland</v>
          </cell>
          <cell r="C187" t="str">
            <v>WCC</v>
          </cell>
          <cell r="D187">
            <v>33840</v>
          </cell>
        </row>
        <row r="188">
          <cell r="A188">
            <v>110486</v>
          </cell>
          <cell r="B188" t="str">
            <v>CSU Bakersfield</v>
          </cell>
          <cell r="C188" t="str">
            <v>WAC</v>
          </cell>
          <cell r="D188">
            <v>33547</v>
          </cell>
        </row>
        <row r="189">
          <cell r="A189">
            <v>230603</v>
          </cell>
          <cell r="B189" t="str">
            <v>Southern Utah</v>
          </cell>
          <cell r="C189" t="str">
            <v>Big Sky</v>
          </cell>
          <cell r="D189">
            <v>33518</v>
          </cell>
        </row>
        <row r="190">
          <cell r="A190">
            <v>120883</v>
          </cell>
          <cell r="B190" t="str">
            <v>Pacific</v>
          </cell>
          <cell r="C190" t="str">
            <v>WCC</v>
          </cell>
          <cell r="D190">
            <v>32914</v>
          </cell>
        </row>
        <row r="191">
          <cell r="A191">
            <v>500002</v>
          </cell>
          <cell r="B191" t="str">
            <v>Air Force</v>
          </cell>
          <cell r="C191" t="str">
            <v>Mountain West</v>
          </cell>
          <cell r="D191">
            <v>32644</v>
          </cell>
        </row>
        <row r="192">
          <cell r="A192">
            <v>106245</v>
          </cell>
          <cell r="B192" t="str">
            <v>Little Rock</v>
          </cell>
          <cell r="C192" t="str">
            <v>Sun Belt</v>
          </cell>
          <cell r="D192">
            <v>32488</v>
          </cell>
        </row>
        <row r="193">
          <cell r="A193">
            <v>219602</v>
          </cell>
          <cell r="B193" t="str">
            <v>Austin Peay</v>
          </cell>
          <cell r="C193" t="str">
            <v>OVC</v>
          </cell>
          <cell r="D193">
            <v>31908</v>
          </cell>
        </row>
        <row r="194">
          <cell r="A194">
            <v>207582</v>
          </cell>
          <cell r="B194" t="str">
            <v>Oral Roberts</v>
          </cell>
          <cell r="C194" t="str">
            <v>Summit League</v>
          </cell>
          <cell r="D194">
            <v>31352</v>
          </cell>
        </row>
        <row r="195">
          <cell r="A195">
            <v>102094</v>
          </cell>
          <cell r="B195" t="str">
            <v>South Alabama</v>
          </cell>
          <cell r="C195" t="str">
            <v>Sun Belt</v>
          </cell>
          <cell r="D195">
            <v>31323</v>
          </cell>
        </row>
        <row r="196">
          <cell r="A196">
            <v>163462</v>
          </cell>
          <cell r="B196" t="str">
            <v>Mount St. Mary's</v>
          </cell>
          <cell r="C196" t="str">
            <v>NEC</v>
          </cell>
          <cell r="D196">
            <v>30307</v>
          </cell>
        </row>
        <row r="197">
          <cell r="A197">
            <v>176372</v>
          </cell>
          <cell r="B197" t="str">
            <v>Southern Miss.</v>
          </cell>
          <cell r="C197" t="str">
            <v>CUSA</v>
          </cell>
          <cell r="D197">
            <v>29958</v>
          </cell>
        </row>
        <row r="198">
          <cell r="A198">
            <v>106458</v>
          </cell>
          <cell r="B198" t="str">
            <v>Arkansas St.</v>
          </cell>
          <cell r="C198" t="str">
            <v>Sun Belt</v>
          </cell>
          <cell r="D198">
            <v>29800</v>
          </cell>
        </row>
        <row r="199">
          <cell r="A199">
            <v>110705</v>
          </cell>
          <cell r="B199" t="str">
            <v>UC Santa Barbara</v>
          </cell>
          <cell r="C199" t="str">
            <v>Big West</v>
          </cell>
          <cell r="D199">
            <v>29728</v>
          </cell>
        </row>
        <row r="200">
          <cell r="A200">
            <v>199111</v>
          </cell>
          <cell r="B200" t="str">
            <v>UNC Asheville</v>
          </cell>
          <cell r="C200" t="str">
            <v>Big South</v>
          </cell>
          <cell r="D200">
            <v>29655</v>
          </cell>
        </row>
        <row r="201">
          <cell r="A201">
            <v>102368</v>
          </cell>
          <cell r="B201" t="str">
            <v>Troy</v>
          </cell>
          <cell r="C201" t="str">
            <v>Sun Belt</v>
          </cell>
          <cell r="D201">
            <v>29221</v>
          </cell>
        </row>
        <row r="202">
          <cell r="A202">
            <v>201441</v>
          </cell>
          <cell r="B202" t="str">
            <v>Bowling Green</v>
          </cell>
          <cell r="C202" t="str">
            <v>MAC</v>
          </cell>
          <cell r="D202">
            <v>28756</v>
          </cell>
        </row>
        <row r="203">
          <cell r="A203">
            <v>228459</v>
          </cell>
          <cell r="B203" t="str">
            <v>Texas St.</v>
          </cell>
          <cell r="C203" t="str">
            <v>Sun Belt</v>
          </cell>
          <cell r="D203">
            <v>28518</v>
          </cell>
        </row>
        <row r="204">
          <cell r="A204">
            <v>181394</v>
          </cell>
          <cell r="B204" t="str">
            <v>Omaha</v>
          </cell>
          <cell r="C204" t="str">
            <v>Summit League</v>
          </cell>
          <cell r="D204">
            <v>28400</v>
          </cell>
        </row>
        <row r="205">
          <cell r="A205">
            <v>185572</v>
          </cell>
          <cell r="B205" t="str">
            <v>Monmouth</v>
          </cell>
          <cell r="C205" t="str">
            <v>MAAC</v>
          </cell>
          <cell r="D205">
            <v>28399</v>
          </cell>
        </row>
        <row r="206">
          <cell r="A206">
            <v>101480</v>
          </cell>
          <cell r="B206" t="str">
            <v>Jacksonville St.</v>
          </cell>
          <cell r="C206" t="str">
            <v>OVC</v>
          </cell>
          <cell r="D206">
            <v>27993</v>
          </cell>
        </row>
        <row r="207">
          <cell r="A207">
            <v>221847</v>
          </cell>
          <cell r="B207" t="str">
            <v>Tennessee Tech</v>
          </cell>
          <cell r="C207" t="str">
            <v>OVC</v>
          </cell>
          <cell r="D207">
            <v>27624</v>
          </cell>
        </row>
        <row r="208">
          <cell r="A208">
            <v>199102</v>
          </cell>
          <cell r="B208" t="str">
            <v>N.C. A&amp;T</v>
          </cell>
          <cell r="C208" t="str">
            <v>MEAC</v>
          </cell>
          <cell r="D208">
            <v>27338</v>
          </cell>
        </row>
        <row r="209">
          <cell r="A209">
            <v>213367</v>
          </cell>
          <cell r="B209" t="str">
            <v>La Salle</v>
          </cell>
          <cell r="C209" t="str">
            <v>Atlantic 10</v>
          </cell>
          <cell r="D209">
            <v>26755</v>
          </cell>
        </row>
        <row r="210">
          <cell r="A210">
            <v>221838</v>
          </cell>
          <cell r="B210" t="str">
            <v>Tennessee St.</v>
          </cell>
          <cell r="C210" t="str">
            <v>OVC</v>
          </cell>
          <cell r="D210">
            <v>26652</v>
          </cell>
        </row>
        <row r="211">
          <cell r="A211">
            <v>191241</v>
          </cell>
          <cell r="B211" t="str">
            <v>Fordham</v>
          </cell>
          <cell r="C211" t="str">
            <v>Atlantic 10</v>
          </cell>
          <cell r="D211">
            <v>26638</v>
          </cell>
        </row>
        <row r="212">
          <cell r="A212">
            <v>218964</v>
          </cell>
          <cell r="B212" t="str">
            <v>Winthrop</v>
          </cell>
          <cell r="C212" t="str">
            <v>Big South</v>
          </cell>
          <cell r="D212">
            <v>26521</v>
          </cell>
        </row>
        <row r="213">
          <cell r="A213">
            <v>236595</v>
          </cell>
          <cell r="B213" t="str">
            <v>Seattle U</v>
          </cell>
          <cell r="C213" t="str">
            <v>WAC</v>
          </cell>
          <cell r="D213">
            <v>26313</v>
          </cell>
        </row>
        <row r="214">
          <cell r="A214">
            <v>198136</v>
          </cell>
          <cell r="B214" t="str">
            <v>Campbell</v>
          </cell>
          <cell r="C214" t="str">
            <v>Big South</v>
          </cell>
          <cell r="D214">
            <v>26251</v>
          </cell>
        </row>
        <row r="215">
          <cell r="A215">
            <v>169798</v>
          </cell>
          <cell r="B215" t="str">
            <v>Eastern Mich.</v>
          </cell>
          <cell r="C215" t="str">
            <v>MAC</v>
          </cell>
          <cell r="D215">
            <v>25920</v>
          </cell>
        </row>
        <row r="216">
          <cell r="A216">
            <v>160755</v>
          </cell>
          <cell r="B216" t="str">
            <v>Tulane</v>
          </cell>
          <cell r="C216" t="str">
            <v>The American</v>
          </cell>
          <cell r="D216">
            <v>25771</v>
          </cell>
        </row>
        <row r="217">
          <cell r="A217">
            <v>218070</v>
          </cell>
          <cell r="B217" t="str">
            <v>Furman</v>
          </cell>
          <cell r="C217" t="str">
            <v>SoCon</v>
          </cell>
          <cell r="D217">
            <v>25666</v>
          </cell>
        </row>
        <row r="218">
          <cell r="A218">
            <v>110644</v>
          </cell>
          <cell r="B218" t="str">
            <v>UC Davis</v>
          </cell>
          <cell r="C218" t="str">
            <v>Big West</v>
          </cell>
          <cell r="D218">
            <v>25407</v>
          </cell>
        </row>
        <row r="219">
          <cell r="A219">
            <v>159993</v>
          </cell>
          <cell r="B219" t="str">
            <v>ULM</v>
          </cell>
          <cell r="C219" t="str">
            <v>Sun Belt</v>
          </cell>
          <cell r="D219">
            <v>25261</v>
          </cell>
        </row>
        <row r="220">
          <cell r="A220">
            <v>175856</v>
          </cell>
          <cell r="B220" t="str">
            <v>Jackson St.</v>
          </cell>
          <cell r="C220" t="str">
            <v>SWAC</v>
          </cell>
          <cell r="D220">
            <v>24922</v>
          </cell>
        </row>
        <row r="221">
          <cell r="A221">
            <v>127741</v>
          </cell>
          <cell r="B221" t="str">
            <v>Northern Colo.</v>
          </cell>
          <cell r="C221" t="str">
            <v>Big Sky</v>
          </cell>
          <cell r="D221">
            <v>24471</v>
          </cell>
        </row>
        <row r="222">
          <cell r="A222">
            <v>240453</v>
          </cell>
          <cell r="B222" t="str">
            <v>Milwaukee</v>
          </cell>
          <cell r="C222" t="str">
            <v>Horizon</v>
          </cell>
          <cell r="D222">
            <v>24273</v>
          </cell>
        </row>
        <row r="223">
          <cell r="A223">
            <v>139931</v>
          </cell>
          <cell r="B223" t="str">
            <v>Ga. Southern</v>
          </cell>
          <cell r="C223" t="str">
            <v>Sun Belt</v>
          </cell>
          <cell r="D223">
            <v>24252</v>
          </cell>
        </row>
        <row r="224">
          <cell r="A224">
            <v>200280</v>
          </cell>
          <cell r="B224" t="str">
            <v>North Dakota</v>
          </cell>
          <cell r="C224" t="str">
            <v>Big Sky</v>
          </cell>
          <cell r="D224">
            <v>24245</v>
          </cell>
        </row>
        <row r="225">
          <cell r="A225">
            <v>197197</v>
          </cell>
          <cell r="B225" t="str">
            <v>Wagner</v>
          </cell>
          <cell r="C225" t="str">
            <v>NEC</v>
          </cell>
          <cell r="D225">
            <v>24104</v>
          </cell>
        </row>
        <row r="226">
          <cell r="A226">
            <v>186131</v>
          </cell>
          <cell r="B226" t="str">
            <v>Princeton</v>
          </cell>
          <cell r="C226" t="str">
            <v>Ivy League</v>
          </cell>
          <cell r="D226">
            <v>24058</v>
          </cell>
        </row>
        <row r="227">
          <cell r="A227">
            <v>232937</v>
          </cell>
          <cell r="B227" t="str">
            <v>Norfolk St.</v>
          </cell>
          <cell r="C227" t="str">
            <v>MEAC</v>
          </cell>
          <cell r="D227">
            <v>23834</v>
          </cell>
        </row>
        <row r="228">
          <cell r="A228">
            <v>191649</v>
          </cell>
          <cell r="B228" t="str">
            <v>Hofstra</v>
          </cell>
          <cell r="C228" t="str">
            <v>CAA</v>
          </cell>
          <cell r="D228">
            <v>23819</v>
          </cell>
        </row>
        <row r="229">
          <cell r="A229">
            <v>110422</v>
          </cell>
          <cell r="B229" t="str">
            <v>Cal Poly</v>
          </cell>
          <cell r="C229" t="str">
            <v>Big West</v>
          </cell>
          <cell r="D229">
            <v>23813</v>
          </cell>
        </row>
        <row r="230">
          <cell r="A230">
            <v>122755</v>
          </cell>
          <cell r="B230" t="str">
            <v>San Jose St.</v>
          </cell>
          <cell r="C230" t="str">
            <v>Mountain West</v>
          </cell>
          <cell r="D230">
            <v>23737</v>
          </cell>
        </row>
        <row r="231">
          <cell r="A231">
            <v>500000</v>
          </cell>
          <cell r="B231" t="str">
            <v>Navy</v>
          </cell>
          <cell r="C231" t="str">
            <v>Patriot</v>
          </cell>
          <cell r="D231">
            <v>23710</v>
          </cell>
        </row>
        <row r="232">
          <cell r="A232">
            <v>226091</v>
          </cell>
          <cell r="B232" t="str">
            <v>Lamar University</v>
          </cell>
          <cell r="C232" t="str">
            <v>Southland</v>
          </cell>
          <cell r="D232">
            <v>23400</v>
          </cell>
        </row>
        <row r="233">
          <cell r="A233">
            <v>204024</v>
          </cell>
          <cell r="B233" t="str">
            <v>Miami (OH)</v>
          </cell>
          <cell r="C233" t="str">
            <v>MAC</v>
          </cell>
          <cell r="D233">
            <v>23389</v>
          </cell>
        </row>
        <row r="234">
          <cell r="A234">
            <v>142285</v>
          </cell>
          <cell r="B234" t="str">
            <v>Idaho</v>
          </cell>
          <cell r="C234" t="str">
            <v>Big Sky</v>
          </cell>
          <cell r="D234">
            <v>23241</v>
          </cell>
        </row>
        <row r="235">
          <cell r="A235">
            <v>163453</v>
          </cell>
          <cell r="B235" t="str">
            <v>Morgan St.</v>
          </cell>
          <cell r="C235" t="str">
            <v>MEAC</v>
          </cell>
          <cell r="D235">
            <v>22936</v>
          </cell>
        </row>
        <row r="236">
          <cell r="A236">
            <v>142276</v>
          </cell>
          <cell r="B236" t="str">
            <v>Idaho St.</v>
          </cell>
          <cell r="C236" t="str">
            <v>Big Sky</v>
          </cell>
          <cell r="D236">
            <v>22645</v>
          </cell>
        </row>
        <row r="237">
          <cell r="A237">
            <v>129525</v>
          </cell>
          <cell r="B237" t="str">
            <v>Hartford</v>
          </cell>
          <cell r="C237" t="str">
            <v>America East</v>
          </cell>
          <cell r="D237">
            <v>22536</v>
          </cell>
        </row>
        <row r="238">
          <cell r="A238">
            <v>151102</v>
          </cell>
          <cell r="B238" t="str">
            <v>Purdue Fort Wayne</v>
          </cell>
          <cell r="C238" t="str">
            <v>Summit League</v>
          </cell>
          <cell r="D238">
            <v>22458</v>
          </cell>
        </row>
        <row r="239">
          <cell r="A239">
            <v>219976</v>
          </cell>
          <cell r="B239" t="str">
            <v>Lipscomb</v>
          </cell>
          <cell r="C239" t="str">
            <v>ASUN</v>
          </cell>
          <cell r="D239">
            <v>22420</v>
          </cell>
        </row>
        <row r="240">
          <cell r="A240">
            <v>234085</v>
          </cell>
          <cell r="B240" t="str">
            <v>VMI</v>
          </cell>
          <cell r="C240" t="str">
            <v>SoCon</v>
          </cell>
          <cell r="D240">
            <v>22407</v>
          </cell>
        </row>
        <row r="241">
          <cell r="A241">
            <v>140960</v>
          </cell>
          <cell r="B241" t="str">
            <v>Savannah St.</v>
          </cell>
          <cell r="C241" t="str">
            <v>MEAC</v>
          </cell>
          <cell r="D241">
            <v>22390</v>
          </cell>
        </row>
        <row r="242">
          <cell r="A242">
            <v>110653</v>
          </cell>
          <cell r="B242" t="str">
            <v>UC Irvine</v>
          </cell>
          <cell r="C242" t="str">
            <v>Big West</v>
          </cell>
          <cell r="D242">
            <v>22134</v>
          </cell>
        </row>
        <row r="243">
          <cell r="A243">
            <v>136172</v>
          </cell>
          <cell r="B243" t="str">
            <v>North Florida</v>
          </cell>
          <cell r="C243" t="str">
            <v>ASUN</v>
          </cell>
          <cell r="D243">
            <v>21703</v>
          </cell>
        </row>
        <row r="244">
          <cell r="A244">
            <v>139940</v>
          </cell>
          <cell r="B244" t="str">
            <v>Georgia St.</v>
          </cell>
          <cell r="C244" t="str">
            <v>Sun Belt</v>
          </cell>
          <cell r="D244">
            <v>21660</v>
          </cell>
        </row>
        <row r="245">
          <cell r="A245">
            <v>218724</v>
          </cell>
          <cell r="B245" t="str">
            <v>Coastal Carolina</v>
          </cell>
          <cell r="C245" t="str">
            <v>Sun Belt</v>
          </cell>
          <cell r="D245">
            <v>21650</v>
          </cell>
        </row>
        <row r="246">
          <cell r="A246">
            <v>133951</v>
          </cell>
          <cell r="B246" t="str">
            <v>FIU</v>
          </cell>
          <cell r="C246" t="str">
            <v>CUSA</v>
          </cell>
          <cell r="D246">
            <v>21550</v>
          </cell>
        </row>
        <row r="247">
          <cell r="A247">
            <v>229063</v>
          </cell>
          <cell r="B247" t="str">
            <v>Texas Southern</v>
          </cell>
          <cell r="C247" t="str">
            <v>SWAC</v>
          </cell>
          <cell r="D247">
            <v>21385</v>
          </cell>
        </row>
        <row r="248">
          <cell r="A248">
            <v>166124</v>
          </cell>
          <cell r="B248" t="str">
            <v>Holy Cross</v>
          </cell>
          <cell r="C248" t="str">
            <v>Patriot</v>
          </cell>
          <cell r="D248">
            <v>21340</v>
          </cell>
        </row>
        <row r="249">
          <cell r="A249">
            <v>156620</v>
          </cell>
          <cell r="B249" t="str">
            <v>Eastern Ky.</v>
          </cell>
          <cell r="C249" t="str">
            <v>OVC</v>
          </cell>
          <cell r="D249">
            <v>21170</v>
          </cell>
        </row>
        <row r="250">
          <cell r="A250">
            <v>176044</v>
          </cell>
          <cell r="B250" t="str">
            <v>Mississippi Val.</v>
          </cell>
          <cell r="C250" t="str">
            <v>SWAC</v>
          </cell>
          <cell r="D250">
            <v>21089</v>
          </cell>
        </row>
        <row r="251">
          <cell r="A251">
            <v>221768</v>
          </cell>
          <cell r="B251" t="str">
            <v>UT Martin</v>
          </cell>
          <cell r="C251" t="str">
            <v>OVC</v>
          </cell>
          <cell r="D251">
            <v>21050</v>
          </cell>
        </row>
        <row r="252">
          <cell r="A252">
            <v>224147</v>
          </cell>
          <cell r="B252" t="str">
            <v>A&amp;M-Corpus Christi</v>
          </cell>
          <cell r="C252" t="str">
            <v>Southland</v>
          </cell>
          <cell r="D252">
            <v>20801</v>
          </cell>
        </row>
        <row r="253">
          <cell r="A253">
            <v>233277</v>
          </cell>
          <cell r="B253" t="str">
            <v>Radford</v>
          </cell>
          <cell r="C253" t="str">
            <v>Big South</v>
          </cell>
          <cell r="D253">
            <v>20733</v>
          </cell>
        </row>
        <row r="254">
          <cell r="A254">
            <v>198516</v>
          </cell>
          <cell r="B254" t="str">
            <v>Elon</v>
          </cell>
          <cell r="C254" t="str">
            <v>CAA</v>
          </cell>
          <cell r="D254">
            <v>20693</v>
          </cell>
        </row>
        <row r="255">
          <cell r="A255">
            <v>164076</v>
          </cell>
          <cell r="B255" t="str">
            <v>Towson</v>
          </cell>
          <cell r="C255" t="str">
            <v>CAA</v>
          </cell>
          <cell r="D255">
            <v>20331</v>
          </cell>
        </row>
        <row r="256">
          <cell r="A256">
            <v>186283</v>
          </cell>
          <cell r="B256" t="str">
            <v>Rider</v>
          </cell>
          <cell r="C256" t="str">
            <v>MAAC</v>
          </cell>
          <cell r="D256">
            <v>20201</v>
          </cell>
        </row>
        <row r="257">
          <cell r="A257">
            <v>232566</v>
          </cell>
          <cell r="B257" t="str">
            <v>Longwood</v>
          </cell>
          <cell r="C257" t="str">
            <v>Big South</v>
          </cell>
          <cell r="D257">
            <v>19973</v>
          </cell>
        </row>
        <row r="258">
          <cell r="A258">
            <v>106704</v>
          </cell>
          <cell r="B258" t="str">
            <v>Central Ark.</v>
          </cell>
          <cell r="C258" t="str">
            <v>Southland</v>
          </cell>
          <cell r="D258">
            <v>19833</v>
          </cell>
        </row>
        <row r="259">
          <cell r="A259">
            <v>133650</v>
          </cell>
          <cell r="B259" t="str">
            <v>Florida A&amp;M</v>
          </cell>
          <cell r="C259" t="str">
            <v>MEAC</v>
          </cell>
          <cell r="D259">
            <v>19697</v>
          </cell>
        </row>
        <row r="260">
          <cell r="A260">
            <v>163268</v>
          </cell>
          <cell r="B260" t="str">
            <v>UMBC</v>
          </cell>
          <cell r="C260" t="str">
            <v>America East</v>
          </cell>
          <cell r="D260">
            <v>19645</v>
          </cell>
        </row>
        <row r="261">
          <cell r="A261">
            <v>130226</v>
          </cell>
          <cell r="B261" t="str">
            <v>Quinnipiac</v>
          </cell>
          <cell r="C261" t="str">
            <v>MAAC</v>
          </cell>
          <cell r="D261">
            <v>19055</v>
          </cell>
        </row>
        <row r="262">
          <cell r="A262">
            <v>190150</v>
          </cell>
          <cell r="B262" t="str">
            <v>Columbia</v>
          </cell>
          <cell r="C262" t="str">
            <v>Ivy League</v>
          </cell>
          <cell r="D262">
            <v>19048</v>
          </cell>
        </row>
        <row r="263">
          <cell r="A263">
            <v>110565</v>
          </cell>
          <cell r="B263" t="str">
            <v>Cal St. Fullerton</v>
          </cell>
          <cell r="C263" t="str">
            <v>Big West</v>
          </cell>
          <cell r="D263">
            <v>19004</v>
          </cell>
        </row>
        <row r="264">
          <cell r="A264">
            <v>202134</v>
          </cell>
          <cell r="B264" t="str">
            <v>Cleveland St.</v>
          </cell>
          <cell r="C264" t="str">
            <v>Horizon</v>
          </cell>
          <cell r="D264">
            <v>18946</v>
          </cell>
        </row>
        <row r="265">
          <cell r="A265">
            <v>222178</v>
          </cell>
          <cell r="B265" t="str">
            <v>Abilene Christian</v>
          </cell>
          <cell r="C265" t="str">
            <v>Southland</v>
          </cell>
          <cell r="D265">
            <v>18702</v>
          </cell>
        </row>
        <row r="266">
          <cell r="A266">
            <v>235097</v>
          </cell>
          <cell r="B266" t="str">
            <v>Eastern Wash.</v>
          </cell>
          <cell r="C266" t="str">
            <v>Big Sky</v>
          </cell>
          <cell r="D266">
            <v>18688</v>
          </cell>
        </row>
        <row r="267">
          <cell r="A267">
            <v>169716</v>
          </cell>
          <cell r="B267" t="str">
            <v>Detroit Mercy</v>
          </cell>
          <cell r="C267" t="str">
            <v>Horizon</v>
          </cell>
          <cell r="D267">
            <v>18614</v>
          </cell>
        </row>
        <row r="268">
          <cell r="A268">
            <v>213385</v>
          </cell>
          <cell r="B268" t="str">
            <v>Lafayette</v>
          </cell>
          <cell r="C268" t="str">
            <v>Patriot</v>
          </cell>
          <cell r="D268">
            <v>18584</v>
          </cell>
        </row>
        <row r="269">
          <cell r="A269">
            <v>121150</v>
          </cell>
          <cell r="B269" t="str">
            <v>Pepperdine</v>
          </cell>
          <cell r="C269" t="str">
            <v>WCC</v>
          </cell>
          <cell r="D269">
            <v>18498</v>
          </cell>
        </row>
        <row r="270">
          <cell r="A270">
            <v>200004</v>
          </cell>
          <cell r="B270" t="str">
            <v>Western Caro.</v>
          </cell>
          <cell r="C270" t="str">
            <v>SoCon</v>
          </cell>
          <cell r="D270">
            <v>18448</v>
          </cell>
        </row>
        <row r="271">
          <cell r="A271">
            <v>229027</v>
          </cell>
          <cell r="B271" t="str">
            <v>UTSA</v>
          </cell>
          <cell r="C271" t="str">
            <v>CUSA</v>
          </cell>
          <cell r="D271">
            <v>18341</v>
          </cell>
        </row>
        <row r="272">
          <cell r="A272">
            <v>163338</v>
          </cell>
          <cell r="B272" t="str">
            <v>UMES</v>
          </cell>
          <cell r="C272" t="str">
            <v>MEAC</v>
          </cell>
          <cell r="D272">
            <v>18169</v>
          </cell>
        </row>
        <row r="273">
          <cell r="A273">
            <v>191931</v>
          </cell>
          <cell r="B273" t="str">
            <v>Iona</v>
          </cell>
          <cell r="C273" t="str">
            <v>MAAC</v>
          </cell>
          <cell r="D273">
            <v>18013</v>
          </cell>
        </row>
        <row r="274">
          <cell r="A274">
            <v>189705</v>
          </cell>
          <cell r="B274" t="str">
            <v>Canisius</v>
          </cell>
          <cell r="C274" t="str">
            <v>MAAC</v>
          </cell>
          <cell r="D274">
            <v>17931</v>
          </cell>
        </row>
        <row r="275">
          <cell r="A275">
            <v>166513</v>
          </cell>
          <cell r="B275" t="str">
            <v>UMass Lowell</v>
          </cell>
          <cell r="C275" t="str">
            <v>America East</v>
          </cell>
          <cell r="D275">
            <v>17913</v>
          </cell>
        </row>
        <row r="276">
          <cell r="A276">
            <v>198695</v>
          </cell>
          <cell r="B276" t="str">
            <v>High Point</v>
          </cell>
          <cell r="C276" t="str">
            <v>Big South</v>
          </cell>
          <cell r="D276">
            <v>17727</v>
          </cell>
        </row>
        <row r="277">
          <cell r="A277">
            <v>199157</v>
          </cell>
          <cell r="B277" t="str">
            <v>N.C. Central</v>
          </cell>
          <cell r="C277" t="str">
            <v>MEAC</v>
          </cell>
          <cell r="D277">
            <v>17687</v>
          </cell>
        </row>
        <row r="278">
          <cell r="A278">
            <v>179557</v>
          </cell>
          <cell r="B278" t="str">
            <v>Southeast Mo. St.</v>
          </cell>
          <cell r="C278" t="str">
            <v>OVC</v>
          </cell>
          <cell r="D278">
            <v>17526</v>
          </cell>
        </row>
        <row r="279">
          <cell r="A279">
            <v>129242</v>
          </cell>
          <cell r="B279" t="str">
            <v>Fairfield</v>
          </cell>
          <cell r="C279" t="str">
            <v>MAAC</v>
          </cell>
          <cell r="D279">
            <v>17518</v>
          </cell>
        </row>
        <row r="280">
          <cell r="A280">
            <v>117946</v>
          </cell>
          <cell r="B280" t="str">
            <v>LMU (CA)</v>
          </cell>
          <cell r="C280" t="str">
            <v>WCC</v>
          </cell>
          <cell r="D280">
            <v>17343</v>
          </cell>
        </row>
        <row r="281">
          <cell r="A281">
            <v>193973</v>
          </cell>
          <cell r="B281" t="str">
            <v>Niagara</v>
          </cell>
          <cell r="C281" t="str">
            <v>MAAC</v>
          </cell>
          <cell r="D281">
            <v>17227</v>
          </cell>
        </row>
        <row r="282">
          <cell r="A282">
            <v>178402</v>
          </cell>
          <cell r="B282" t="str">
            <v>Kansas City</v>
          </cell>
          <cell r="C282" t="str">
            <v>WAC</v>
          </cell>
          <cell r="D282">
            <v>16951</v>
          </cell>
        </row>
        <row r="283">
          <cell r="A283">
            <v>227526</v>
          </cell>
          <cell r="B283" t="str">
            <v>Prairie View</v>
          </cell>
          <cell r="C283" t="str">
            <v>SWAC</v>
          </cell>
          <cell r="D283">
            <v>16874</v>
          </cell>
        </row>
        <row r="284">
          <cell r="A284">
            <v>127060</v>
          </cell>
          <cell r="B284" t="str">
            <v>Denver</v>
          </cell>
          <cell r="C284" t="str">
            <v>Summit League</v>
          </cell>
          <cell r="D284">
            <v>16858</v>
          </cell>
        </row>
        <row r="285">
          <cell r="A285">
            <v>133669</v>
          </cell>
          <cell r="B285" t="str">
            <v>Fla. Atlantic</v>
          </cell>
          <cell r="C285" t="str">
            <v>CUSA</v>
          </cell>
          <cell r="D285">
            <v>16636</v>
          </cell>
        </row>
        <row r="286">
          <cell r="A286">
            <v>166027</v>
          </cell>
          <cell r="B286" t="str">
            <v>Harvard</v>
          </cell>
          <cell r="C286" t="str">
            <v>Ivy League</v>
          </cell>
          <cell r="D286">
            <v>16623</v>
          </cell>
        </row>
        <row r="287">
          <cell r="A287">
            <v>149231</v>
          </cell>
          <cell r="B287" t="str">
            <v>SIUE</v>
          </cell>
          <cell r="C287" t="str">
            <v>OVC</v>
          </cell>
          <cell r="D287">
            <v>16496</v>
          </cell>
        </row>
        <row r="288">
          <cell r="A288">
            <v>197869</v>
          </cell>
          <cell r="B288" t="str">
            <v>App State</v>
          </cell>
          <cell r="C288" t="str">
            <v>Sun Belt</v>
          </cell>
          <cell r="D288">
            <v>16490</v>
          </cell>
        </row>
        <row r="289">
          <cell r="A289">
            <v>225627</v>
          </cell>
          <cell r="B289" t="str">
            <v>UIW</v>
          </cell>
          <cell r="C289" t="str">
            <v>Southland</v>
          </cell>
          <cell r="D289">
            <v>16437</v>
          </cell>
        </row>
        <row r="290">
          <cell r="A290">
            <v>102049</v>
          </cell>
          <cell r="B290" t="str">
            <v>Samford</v>
          </cell>
          <cell r="C290" t="str">
            <v>SoCon</v>
          </cell>
          <cell r="D290">
            <v>16237</v>
          </cell>
        </row>
        <row r="291">
          <cell r="A291">
            <v>190415</v>
          </cell>
          <cell r="B291" t="str">
            <v>Cornell</v>
          </cell>
          <cell r="C291" t="str">
            <v>Ivy League</v>
          </cell>
          <cell r="D291">
            <v>16166</v>
          </cell>
        </row>
        <row r="292">
          <cell r="A292">
            <v>213543</v>
          </cell>
          <cell r="B292" t="str">
            <v>Lehigh</v>
          </cell>
          <cell r="C292" t="str">
            <v>Patriot</v>
          </cell>
          <cell r="D292">
            <v>16143</v>
          </cell>
        </row>
        <row r="293">
          <cell r="A293">
            <v>486840</v>
          </cell>
          <cell r="B293" t="str">
            <v>Kennesaw St.</v>
          </cell>
          <cell r="C293" t="str">
            <v>ASUN</v>
          </cell>
          <cell r="D293">
            <v>16056</v>
          </cell>
        </row>
        <row r="294">
          <cell r="A294">
            <v>167358</v>
          </cell>
          <cell r="B294" t="str">
            <v>Northeastern</v>
          </cell>
          <cell r="C294" t="str">
            <v>CAA</v>
          </cell>
          <cell r="D294">
            <v>15993</v>
          </cell>
        </row>
        <row r="295">
          <cell r="A295">
            <v>192819</v>
          </cell>
          <cell r="B295" t="str">
            <v>Marist</v>
          </cell>
          <cell r="C295" t="str">
            <v>MAAC</v>
          </cell>
          <cell r="D295">
            <v>15916</v>
          </cell>
        </row>
        <row r="296">
          <cell r="A296">
            <v>192448</v>
          </cell>
          <cell r="B296" t="str">
            <v>LIU</v>
          </cell>
          <cell r="C296" t="str">
            <v>NEC</v>
          </cell>
          <cell r="D296">
            <v>15834</v>
          </cell>
        </row>
        <row r="297">
          <cell r="A297">
            <v>144892</v>
          </cell>
          <cell r="B297" t="str">
            <v>Eastern Ill.</v>
          </cell>
          <cell r="C297" t="str">
            <v>OVC</v>
          </cell>
          <cell r="D297">
            <v>15814</v>
          </cell>
        </row>
        <row r="298">
          <cell r="A298">
            <v>160621</v>
          </cell>
          <cell r="B298" t="str">
            <v>Southern U.</v>
          </cell>
          <cell r="C298" t="str">
            <v>SWAC</v>
          </cell>
          <cell r="D298">
            <v>15737</v>
          </cell>
        </row>
        <row r="299">
          <cell r="A299">
            <v>128771</v>
          </cell>
          <cell r="B299" t="str">
            <v>Central Conn. St.</v>
          </cell>
          <cell r="C299" t="str">
            <v>NEC</v>
          </cell>
          <cell r="D299">
            <v>15730</v>
          </cell>
        </row>
        <row r="300">
          <cell r="A300">
            <v>130794</v>
          </cell>
          <cell r="B300" t="str">
            <v>Yale</v>
          </cell>
          <cell r="C300" t="str">
            <v>Ivy League</v>
          </cell>
          <cell r="D300">
            <v>15675</v>
          </cell>
        </row>
        <row r="301">
          <cell r="A301">
            <v>227881</v>
          </cell>
          <cell r="B301" t="str">
            <v>Sam Houston</v>
          </cell>
          <cell r="C301" t="str">
            <v>Southland</v>
          </cell>
          <cell r="D301">
            <v>15105</v>
          </cell>
        </row>
        <row r="302">
          <cell r="A302">
            <v>147703</v>
          </cell>
          <cell r="B302" t="str">
            <v>NIU</v>
          </cell>
          <cell r="C302" t="str">
            <v>MAC</v>
          </cell>
          <cell r="D302">
            <v>14975</v>
          </cell>
        </row>
        <row r="303">
          <cell r="A303">
            <v>131520</v>
          </cell>
          <cell r="B303" t="str">
            <v>Howard</v>
          </cell>
          <cell r="C303" t="str">
            <v>MEAC</v>
          </cell>
          <cell r="D303">
            <v>14441</v>
          </cell>
        </row>
        <row r="304">
          <cell r="A304">
            <v>198561</v>
          </cell>
          <cell r="B304" t="str">
            <v>Gardner-Webb</v>
          </cell>
          <cell r="C304" t="str">
            <v>Big South</v>
          </cell>
          <cell r="D304">
            <v>14438</v>
          </cell>
        </row>
        <row r="305">
          <cell r="A305">
            <v>160038</v>
          </cell>
          <cell r="B305" t="str">
            <v>Northwestern St.</v>
          </cell>
          <cell r="C305" t="str">
            <v>Southland</v>
          </cell>
          <cell r="D305">
            <v>14161</v>
          </cell>
        </row>
        <row r="306">
          <cell r="A306">
            <v>212054</v>
          </cell>
          <cell r="B306" t="str">
            <v>Drexel</v>
          </cell>
          <cell r="C306" t="str">
            <v>CAA</v>
          </cell>
          <cell r="D306">
            <v>13846</v>
          </cell>
        </row>
        <row r="307">
          <cell r="A307">
            <v>500001</v>
          </cell>
          <cell r="B307" t="str">
            <v>Army West Point</v>
          </cell>
          <cell r="C307" t="str">
            <v>Patriot</v>
          </cell>
          <cell r="D307">
            <v>13788</v>
          </cell>
        </row>
        <row r="308">
          <cell r="A308">
            <v>151111</v>
          </cell>
          <cell r="B308" t="str">
            <v>IU Indy</v>
          </cell>
          <cell r="C308" t="str">
            <v>Horizon</v>
          </cell>
          <cell r="D308">
            <v>13737</v>
          </cell>
        </row>
        <row r="309">
          <cell r="A309">
            <v>227368</v>
          </cell>
          <cell r="B309" t="str">
            <v>UTRGV</v>
          </cell>
          <cell r="C309" t="str">
            <v>WAC</v>
          </cell>
          <cell r="D309">
            <v>13522</v>
          </cell>
        </row>
        <row r="310">
          <cell r="A310">
            <v>159009</v>
          </cell>
          <cell r="B310" t="str">
            <v>Grambling</v>
          </cell>
          <cell r="C310" t="str">
            <v>SWAC</v>
          </cell>
          <cell r="D310">
            <v>13397</v>
          </cell>
        </row>
        <row r="311">
          <cell r="A311">
            <v>215743</v>
          </cell>
          <cell r="B311" t="str">
            <v>Saint Francis</v>
          </cell>
          <cell r="C311" t="str">
            <v>NEC</v>
          </cell>
          <cell r="D311">
            <v>13023</v>
          </cell>
        </row>
        <row r="312">
          <cell r="A312">
            <v>134945</v>
          </cell>
          <cell r="B312" t="str">
            <v>Jacksonville</v>
          </cell>
          <cell r="C312" t="str">
            <v>ASUN</v>
          </cell>
          <cell r="D312">
            <v>12972</v>
          </cell>
        </row>
        <row r="313">
          <cell r="A313">
            <v>161253</v>
          </cell>
          <cell r="B313" t="str">
            <v>Maine</v>
          </cell>
          <cell r="C313" t="str">
            <v>America East</v>
          </cell>
          <cell r="D313">
            <v>12344</v>
          </cell>
        </row>
        <row r="314">
          <cell r="A314">
            <v>185828</v>
          </cell>
          <cell r="B314" t="str">
            <v>NJIT</v>
          </cell>
          <cell r="C314" t="str">
            <v>ASUN</v>
          </cell>
          <cell r="D314">
            <v>12307</v>
          </cell>
        </row>
        <row r="315">
          <cell r="A315">
            <v>192703</v>
          </cell>
          <cell r="B315" t="str">
            <v>Manhattan</v>
          </cell>
          <cell r="C315" t="str">
            <v>MAAC</v>
          </cell>
          <cell r="D315">
            <v>12044</v>
          </cell>
        </row>
        <row r="316">
          <cell r="A316">
            <v>217156</v>
          </cell>
          <cell r="B316" t="str">
            <v>Brown</v>
          </cell>
          <cell r="C316" t="str">
            <v>Ivy League</v>
          </cell>
          <cell r="D316">
            <v>11474</v>
          </cell>
        </row>
        <row r="317">
          <cell r="A317">
            <v>162283</v>
          </cell>
          <cell r="B317" t="str">
            <v>Coppin St.</v>
          </cell>
          <cell r="C317" t="str">
            <v>MEAC</v>
          </cell>
          <cell r="D317">
            <v>11466</v>
          </cell>
        </row>
        <row r="318">
          <cell r="A318">
            <v>217864</v>
          </cell>
          <cell r="B318" t="str">
            <v>The Citadel</v>
          </cell>
          <cell r="C318" t="str">
            <v>SoCon</v>
          </cell>
          <cell r="D318">
            <v>11357</v>
          </cell>
        </row>
        <row r="319">
          <cell r="A319">
            <v>159939</v>
          </cell>
          <cell r="B319" t="str">
            <v>New Orleans</v>
          </cell>
          <cell r="C319" t="str">
            <v>Southland</v>
          </cell>
          <cell r="D319">
            <v>11230</v>
          </cell>
        </row>
        <row r="320">
          <cell r="A320">
            <v>100654</v>
          </cell>
          <cell r="B320" t="str">
            <v>Alabama A&amp;M</v>
          </cell>
          <cell r="C320" t="str">
            <v>SWAC</v>
          </cell>
          <cell r="D320">
            <v>10901</v>
          </cell>
        </row>
        <row r="321">
          <cell r="A321">
            <v>160612</v>
          </cell>
          <cell r="B321" t="str">
            <v>Southeastern La.</v>
          </cell>
          <cell r="C321" t="str">
            <v>Southland</v>
          </cell>
          <cell r="D321">
            <v>10881</v>
          </cell>
        </row>
        <row r="322">
          <cell r="A322">
            <v>190099</v>
          </cell>
          <cell r="B322" t="str">
            <v>Colgate</v>
          </cell>
          <cell r="C322" t="str">
            <v>Patriot</v>
          </cell>
          <cell r="D322">
            <v>10448</v>
          </cell>
        </row>
        <row r="323">
          <cell r="A323">
            <v>182670</v>
          </cell>
          <cell r="B323" t="str">
            <v>Dartmouth</v>
          </cell>
          <cell r="C323" t="str">
            <v>Ivy League</v>
          </cell>
          <cell r="D323">
            <v>10423</v>
          </cell>
        </row>
        <row r="324">
          <cell r="A324">
            <v>100724</v>
          </cell>
          <cell r="B324" t="str">
            <v>Alabama St.</v>
          </cell>
          <cell r="C324" t="str">
            <v>SWAC</v>
          </cell>
          <cell r="D324">
            <v>10393</v>
          </cell>
        </row>
        <row r="325">
          <cell r="A325">
            <v>132602</v>
          </cell>
          <cell r="B325" t="str">
            <v>Bethune-Cookman</v>
          </cell>
          <cell r="C325" t="str">
            <v>MEAC</v>
          </cell>
          <cell r="D325">
            <v>10099</v>
          </cell>
        </row>
        <row r="326">
          <cell r="A326">
            <v>110608</v>
          </cell>
          <cell r="B326" t="str">
            <v>CSUN</v>
          </cell>
          <cell r="C326" t="str">
            <v>Big West</v>
          </cell>
          <cell r="D326">
            <v>9992</v>
          </cell>
        </row>
        <row r="327">
          <cell r="A327">
            <v>163046</v>
          </cell>
          <cell r="B327" t="str">
            <v>Loyola Maryland</v>
          </cell>
          <cell r="C327" t="str">
            <v>Patriot</v>
          </cell>
          <cell r="D327">
            <v>9809</v>
          </cell>
        </row>
        <row r="328">
          <cell r="A328">
            <v>149772</v>
          </cell>
          <cell r="B328" t="str">
            <v>Western Ill.</v>
          </cell>
          <cell r="C328" t="str">
            <v>Summit League</v>
          </cell>
          <cell r="D328">
            <v>9640</v>
          </cell>
        </row>
        <row r="329">
          <cell r="A329">
            <v>217688</v>
          </cell>
          <cell r="B329" t="str">
            <v>Charleston So.</v>
          </cell>
          <cell r="C329" t="str">
            <v>Big South</v>
          </cell>
          <cell r="D329">
            <v>9604</v>
          </cell>
        </row>
        <row r="330">
          <cell r="A330">
            <v>159717</v>
          </cell>
          <cell r="B330" t="str">
            <v>McNeese</v>
          </cell>
          <cell r="C330" t="str">
            <v>Southland</v>
          </cell>
          <cell r="D330">
            <v>9527</v>
          </cell>
        </row>
        <row r="331">
          <cell r="A331">
            <v>215655</v>
          </cell>
          <cell r="B331" t="str">
            <v>Robert Morris</v>
          </cell>
          <cell r="C331" t="str">
            <v>NEC</v>
          </cell>
          <cell r="D331">
            <v>9190</v>
          </cell>
        </row>
        <row r="332">
          <cell r="A332">
            <v>131159</v>
          </cell>
          <cell r="B332" t="str">
            <v>American</v>
          </cell>
          <cell r="C332" t="str">
            <v>Patriot</v>
          </cell>
          <cell r="D332">
            <v>9135</v>
          </cell>
        </row>
        <row r="333">
          <cell r="A333">
            <v>110671</v>
          </cell>
          <cell r="B333" t="str">
            <v>UC Riverside</v>
          </cell>
          <cell r="C333" t="str">
            <v>Big West</v>
          </cell>
          <cell r="D333">
            <v>9131</v>
          </cell>
        </row>
        <row r="334">
          <cell r="A334">
            <v>164988</v>
          </cell>
          <cell r="B334" t="str">
            <v>Boston U.</v>
          </cell>
          <cell r="C334" t="str">
            <v>Patriot</v>
          </cell>
          <cell r="D334">
            <v>9024</v>
          </cell>
        </row>
        <row r="335">
          <cell r="A335">
            <v>225399</v>
          </cell>
          <cell r="B335" t="str">
            <v>Houston Christian</v>
          </cell>
          <cell r="C335" t="str">
            <v>Southland</v>
          </cell>
          <cell r="D335">
            <v>8842</v>
          </cell>
        </row>
        <row r="336">
          <cell r="A336">
            <v>130934</v>
          </cell>
          <cell r="B336" t="str">
            <v>Delaware St.</v>
          </cell>
          <cell r="C336" t="str">
            <v>MEAC</v>
          </cell>
          <cell r="D336">
            <v>8511</v>
          </cell>
        </row>
        <row r="337">
          <cell r="A337">
            <v>218742</v>
          </cell>
          <cell r="B337" t="str">
            <v>USC Upstate</v>
          </cell>
          <cell r="C337" t="str">
            <v>ASUN</v>
          </cell>
          <cell r="D337">
            <v>8404</v>
          </cell>
        </row>
        <row r="338">
          <cell r="A338">
            <v>137546</v>
          </cell>
          <cell r="B338" t="str">
            <v>Stetson</v>
          </cell>
          <cell r="C338" t="str">
            <v>ASUN</v>
          </cell>
          <cell r="D338">
            <v>8145</v>
          </cell>
        </row>
        <row r="339">
          <cell r="A339">
            <v>105330</v>
          </cell>
          <cell r="B339" t="str">
            <v>Northern Ariz.</v>
          </cell>
          <cell r="C339" t="str">
            <v>Big Sky</v>
          </cell>
          <cell r="D339">
            <v>7950</v>
          </cell>
        </row>
        <row r="340">
          <cell r="A340">
            <v>110617</v>
          </cell>
          <cell r="B340" t="str">
            <v>Sacramento St.</v>
          </cell>
          <cell r="C340" t="str">
            <v>Big Sky</v>
          </cell>
          <cell r="D340">
            <v>7934</v>
          </cell>
        </row>
        <row r="341">
          <cell r="A341">
            <v>209807</v>
          </cell>
          <cell r="B341" t="str">
            <v>Portland St.</v>
          </cell>
          <cell r="C341" t="str">
            <v>Big Sky</v>
          </cell>
          <cell r="D341">
            <v>7885</v>
          </cell>
        </row>
        <row r="342">
          <cell r="A342">
            <v>186432</v>
          </cell>
          <cell r="B342" t="str">
            <v>Saint Peter's</v>
          </cell>
          <cell r="C342" t="str">
            <v>MAAC</v>
          </cell>
          <cell r="D342">
            <v>7799</v>
          </cell>
        </row>
        <row r="343">
          <cell r="A343">
            <v>217165</v>
          </cell>
          <cell r="B343" t="str">
            <v>Bryant</v>
          </cell>
          <cell r="C343" t="str">
            <v>NEC</v>
          </cell>
          <cell r="D343">
            <v>7619</v>
          </cell>
        </row>
        <row r="344">
          <cell r="A344">
            <v>183044</v>
          </cell>
          <cell r="B344" t="str">
            <v>New Hampshire</v>
          </cell>
          <cell r="C344" t="str">
            <v>America East</v>
          </cell>
          <cell r="D344">
            <v>7219</v>
          </cell>
        </row>
        <row r="345">
          <cell r="A345">
            <v>184603</v>
          </cell>
          <cell r="B345" t="str">
            <v>FDU</v>
          </cell>
          <cell r="C345" t="str">
            <v>NEC</v>
          </cell>
          <cell r="D345">
            <v>6691</v>
          </cell>
        </row>
        <row r="346">
          <cell r="A346">
            <v>159966</v>
          </cell>
          <cell r="B346" t="str">
            <v>Nicholls</v>
          </cell>
          <cell r="C346" t="str">
            <v>Southland</v>
          </cell>
          <cell r="D346">
            <v>6266</v>
          </cell>
        </row>
        <row r="347">
          <cell r="A347">
            <v>130253</v>
          </cell>
          <cell r="B347" t="str">
            <v>Sacred Heart</v>
          </cell>
          <cell r="C347" t="str">
            <v>NEC</v>
          </cell>
          <cell r="D347">
            <v>6198</v>
          </cell>
        </row>
        <row r="348">
          <cell r="A348">
            <v>195173</v>
          </cell>
          <cell r="B348" t="str">
            <v>St. Francis Brooklyn</v>
          </cell>
          <cell r="C348" t="str">
            <v>NEC</v>
          </cell>
          <cell r="D348">
            <v>5964</v>
          </cell>
        </row>
        <row r="349">
          <cell r="A349">
            <v>218539</v>
          </cell>
          <cell r="B349" t="str">
            <v>Presbyterian</v>
          </cell>
          <cell r="C349" t="str">
            <v>Big South</v>
          </cell>
          <cell r="D349">
            <v>5815</v>
          </cell>
        </row>
        <row r="350">
          <cell r="A350">
            <v>175342</v>
          </cell>
          <cell r="B350" t="str">
            <v>Alcorn</v>
          </cell>
          <cell r="C350" t="str">
            <v>SWAC</v>
          </cell>
          <cell r="D350">
            <v>5806</v>
          </cell>
        </row>
        <row r="351">
          <cell r="A351">
            <v>144005</v>
          </cell>
          <cell r="B351" t="str">
            <v>Chicago St.</v>
          </cell>
          <cell r="C351" t="str">
            <v>WAC</v>
          </cell>
          <cell r="D351">
            <v>4949</v>
          </cell>
        </row>
        <row r="352">
          <cell r="A352">
            <v>218733</v>
          </cell>
          <cell r="B352" t="str">
            <v>South Carolina St.</v>
          </cell>
          <cell r="C352" t="str">
            <v>MEAC</v>
          </cell>
          <cell r="D352">
            <v>1907</v>
          </cell>
        </row>
      </sheetData>
      <sheetData sheetId="11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196413</v>
          </cell>
          <cell r="B2" t="str">
            <v>Syracuse</v>
          </cell>
          <cell r="C2" t="str">
            <v>ACC</v>
          </cell>
          <cell r="D2">
            <v>417852</v>
          </cell>
        </row>
        <row r="3">
          <cell r="A3">
            <v>157085</v>
          </cell>
          <cell r="B3" t="str">
            <v>Kentucky</v>
          </cell>
          <cell r="C3" t="str">
            <v>SEC</v>
          </cell>
          <cell r="D3">
            <v>390510</v>
          </cell>
        </row>
        <row r="4">
          <cell r="A4">
            <v>221759</v>
          </cell>
          <cell r="B4" t="str">
            <v>Tennessee</v>
          </cell>
          <cell r="C4" t="str">
            <v>SEC</v>
          </cell>
          <cell r="D4">
            <v>342615</v>
          </cell>
        </row>
        <row r="5">
          <cell r="A5">
            <v>199120</v>
          </cell>
          <cell r="B5" t="str">
            <v>North Carolina</v>
          </cell>
          <cell r="C5" t="str">
            <v>ACC</v>
          </cell>
          <cell r="D5">
            <v>336822</v>
          </cell>
        </row>
        <row r="6">
          <cell r="A6">
            <v>151351</v>
          </cell>
          <cell r="B6" t="str">
            <v>Indiana</v>
          </cell>
          <cell r="C6" t="str">
            <v>Big Ten</v>
          </cell>
          <cell r="D6">
            <v>319335</v>
          </cell>
        </row>
        <row r="7">
          <cell r="A7">
            <v>199193</v>
          </cell>
          <cell r="B7" t="str">
            <v>NC State</v>
          </cell>
          <cell r="C7" t="str">
            <v>ACC</v>
          </cell>
          <cell r="D7">
            <v>305744</v>
          </cell>
        </row>
        <row r="8">
          <cell r="A8">
            <v>181002</v>
          </cell>
          <cell r="B8" t="str">
            <v>Creighton</v>
          </cell>
          <cell r="C8" t="str">
            <v>Big East</v>
          </cell>
          <cell r="D8">
            <v>303629</v>
          </cell>
        </row>
        <row r="9">
          <cell r="A9">
            <v>239105</v>
          </cell>
          <cell r="B9" t="str">
            <v>Marquette</v>
          </cell>
          <cell r="C9" t="str">
            <v>Big East</v>
          </cell>
          <cell r="D9">
            <v>296611</v>
          </cell>
        </row>
        <row r="10">
          <cell r="A10">
            <v>220862</v>
          </cell>
          <cell r="B10" t="str">
            <v>Memphis</v>
          </cell>
          <cell r="C10" t="str">
            <v>The American</v>
          </cell>
          <cell r="D10">
            <v>287566</v>
          </cell>
        </row>
        <row r="11">
          <cell r="A11">
            <v>157289</v>
          </cell>
          <cell r="B11" t="str">
            <v>Louisville</v>
          </cell>
          <cell r="C11" t="str">
            <v>ACC</v>
          </cell>
          <cell r="D11">
            <v>283471</v>
          </cell>
        </row>
        <row r="12">
          <cell r="A12">
            <v>181464</v>
          </cell>
          <cell r="B12" t="str">
            <v>Nebraska</v>
          </cell>
          <cell r="C12" t="str">
            <v>Big Ten</v>
          </cell>
          <cell r="D12">
            <v>276143</v>
          </cell>
        </row>
        <row r="13">
          <cell r="A13">
            <v>155317</v>
          </cell>
          <cell r="B13" t="str">
            <v>Kansas</v>
          </cell>
          <cell r="C13" t="str">
            <v>Big 12</v>
          </cell>
          <cell r="D13">
            <v>276010</v>
          </cell>
        </row>
        <row r="14">
          <cell r="A14">
            <v>106397</v>
          </cell>
          <cell r="B14" t="str">
            <v>Arkansas</v>
          </cell>
          <cell r="C14" t="str">
            <v>SEC</v>
          </cell>
          <cell r="D14">
            <v>275012</v>
          </cell>
        </row>
        <row r="15">
          <cell r="A15">
            <v>240444</v>
          </cell>
          <cell r="B15" t="str">
            <v>Wisconsin</v>
          </cell>
          <cell r="C15" t="str">
            <v>Big Ten</v>
          </cell>
          <cell r="D15">
            <v>257546</v>
          </cell>
        </row>
        <row r="16">
          <cell r="A16">
            <v>163286</v>
          </cell>
          <cell r="B16" t="str">
            <v>Maryland</v>
          </cell>
          <cell r="C16" t="str">
            <v>Big Ten</v>
          </cell>
          <cell r="D16">
            <v>252155</v>
          </cell>
        </row>
        <row r="17">
          <cell r="A17">
            <v>204796</v>
          </cell>
          <cell r="B17" t="str">
            <v>Ohio St.</v>
          </cell>
          <cell r="C17" t="str">
            <v>Big Ten</v>
          </cell>
          <cell r="D17">
            <v>250595</v>
          </cell>
        </row>
        <row r="18">
          <cell r="A18">
            <v>171100</v>
          </cell>
          <cell r="B18" t="str">
            <v>Michigan St.</v>
          </cell>
          <cell r="C18" t="str">
            <v>Big Ten</v>
          </cell>
          <cell r="D18">
            <v>236752</v>
          </cell>
        </row>
        <row r="19">
          <cell r="A19">
            <v>104179</v>
          </cell>
          <cell r="B19" t="str">
            <v>Arizona</v>
          </cell>
          <cell r="C19" t="str">
            <v>Pac-12</v>
          </cell>
          <cell r="D19">
            <v>233645</v>
          </cell>
        </row>
        <row r="20">
          <cell r="A20">
            <v>153658</v>
          </cell>
          <cell r="B20" t="str">
            <v>Iowa</v>
          </cell>
          <cell r="C20" t="str">
            <v>Big Ten</v>
          </cell>
          <cell r="D20">
            <v>231650</v>
          </cell>
        </row>
        <row r="21">
          <cell r="A21">
            <v>153603</v>
          </cell>
          <cell r="B21" t="str">
            <v>Iowa St.</v>
          </cell>
          <cell r="C21" t="str">
            <v>Big 12</v>
          </cell>
          <cell r="D21">
            <v>225578</v>
          </cell>
        </row>
        <row r="22">
          <cell r="A22">
            <v>234076</v>
          </cell>
          <cell r="B22" t="str">
            <v>Virginia</v>
          </cell>
          <cell r="C22" t="str">
            <v>ACC</v>
          </cell>
          <cell r="D22">
            <v>225392</v>
          </cell>
        </row>
        <row r="23">
          <cell r="A23">
            <v>170976</v>
          </cell>
          <cell r="B23" t="str">
            <v>Michigan</v>
          </cell>
          <cell r="C23" t="str">
            <v>Big Ten</v>
          </cell>
          <cell r="D23">
            <v>225093</v>
          </cell>
        </row>
        <row r="24">
          <cell r="A24">
            <v>202480</v>
          </cell>
          <cell r="B24" t="str">
            <v>Dayton</v>
          </cell>
          <cell r="C24" t="str">
            <v>Atlantic 10</v>
          </cell>
          <cell r="D24">
            <v>220277</v>
          </cell>
        </row>
        <row r="25">
          <cell r="A25">
            <v>229115</v>
          </cell>
          <cell r="B25" t="str">
            <v>Texas Tech</v>
          </cell>
          <cell r="C25" t="str">
            <v>Big 12</v>
          </cell>
          <cell r="D25">
            <v>217771</v>
          </cell>
        </row>
        <row r="26">
          <cell r="A26">
            <v>243780</v>
          </cell>
          <cell r="B26" t="str">
            <v>Purdue</v>
          </cell>
          <cell r="C26" t="str">
            <v>Big Ten</v>
          </cell>
          <cell r="D26">
            <v>217005</v>
          </cell>
        </row>
        <row r="27">
          <cell r="A27">
            <v>201885</v>
          </cell>
          <cell r="B27" t="str">
            <v>Cincinnati</v>
          </cell>
          <cell r="C27" t="str">
            <v>The American</v>
          </cell>
          <cell r="D27">
            <v>202610</v>
          </cell>
        </row>
        <row r="28">
          <cell r="A28">
            <v>145637</v>
          </cell>
          <cell r="B28" t="str">
            <v>Illinois</v>
          </cell>
          <cell r="C28" t="str">
            <v>Big Ten</v>
          </cell>
          <cell r="D28">
            <v>199303</v>
          </cell>
        </row>
        <row r="29">
          <cell r="A29">
            <v>218663</v>
          </cell>
          <cell r="B29" t="str">
            <v>South Carolina</v>
          </cell>
          <cell r="C29" t="str">
            <v>SEC</v>
          </cell>
          <cell r="D29">
            <v>195023</v>
          </cell>
        </row>
        <row r="30">
          <cell r="A30">
            <v>230038</v>
          </cell>
          <cell r="B30" t="str">
            <v>BYU</v>
          </cell>
          <cell r="C30" t="str">
            <v>WCC</v>
          </cell>
          <cell r="D30">
            <v>191322</v>
          </cell>
        </row>
        <row r="31">
          <cell r="A31">
            <v>195809</v>
          </cell>
          <cell r="B31" t="str">
            <v>St. John's (NY)</v>
          </cell>
          <cell r="C31" t="str">
            <v>Big East</v>
          </cell>
          <cell r="D31">
            <v>186169</v>
          </cell>
        </row>
        <row r="32">
          <cell r="A32">
            <v>122409</v>
          </cell>
          <cell r="B32" t="str">
            <v>San Diego St.</v>
          </cell>
          <cell r="C32" t="str">
            <v>Mountain West</v>
          </cell>
          <cell r="D32">
            <v>185040</v>
          </cell>
        </row>
        <row r="33">
          <cell r="A33">
            <v>238032</v>
          </cell>
          <cell r="B33" t="str">
            <v>West Virginia</v>
          </cell>
          <cell r="C33" t="str">
            <v>Big 12</v>
          </cell>
          <cell r="D33">
            <v>183695</v>
          </cell>
        </row>
        <row r="34">
          <cell r="A34">
            <v>228778</v>
          </cell>
          <cell r="B34" t="str">
            <v>Texas</v>
          </cell>
          <cell r="C34" t="str">
            <v>Big 12</v>
          </cell>
          <cell r="D34">
            <v>181651</v>
          </cell>
        </row>
        <row r="35">
          <cell r="A35">
            <v>206622</v>
          </cell>
          <cell r="B35" t="str">
            <v>Xavier</v>
          </cell>
          <cell r="C35" t="str">
            <v>Big East</v>
          </cell>
          <cell r="D35">
            <v>180611</v>
          </cell>
        </row>
        <row r="36">
          <cell r="A36">
            <v>159391</v>
          </cell>
          <cell r="B36" t="str">
            <v>LSU</v>
          </cell>
          <cell r="C36" t="str">
            <v>SEC</v>
          </cell>
          <cell r="D36">
            <v>179116</v>
          </cell>
        </row>
        <row r="37">
          <cell r="A37">
            <v>187985</v>
          </cell>
          <cell r="B37" t="str">
            <v>New Mexico</v>
          </cell>
          <cell r="C37" t="str">
            <v>Mountain West</v>
          </cell>
          <cell r="D37">
            <v>177715</v>
          </cell>
        </row>
        <row r="38">
          <cell r="A38">
            <v>221999</v>
          </cell>
          <cell r="B38" t="str">
            <v>Vanderbilt</v>
          </cell>
          <cell r="C38" t="str">
            <v>SEC</v>
          </cell>
          <cell r="D38">
            <v>172976</v>
          </cell>
        </row>
        <row r="39">
          <cell r="A39">
            <v>217402</v>
          </cell>
          <cell r="B39" t="str">
            <v>Providence</v>
          </cell>
          <cell r="C39" t="str">
            <v>Big East</v>
          </cell>
          <cell r="D39">
            <v>171761</v>
          </cell>
        </row>
        <row r="40">
          <cell r="A40">
            <v>174066</v>
          </cell>
          <cell r="B40" t="str">
            <v>Minnesota</v>
          </cell>
          <cell r="C40" t="str">
            <v>Big Ten</v>
          </cell>
          <cell r="D40">
            <v>170796</v>
          </cell>
        </row>
        <row r="41">
          <cell r="A41">
            <v>155399</v>
          </cell>
          <cell r="B41" t="str">
            <v>Kansas St.</v>
          </cell>
          <cell r="C41" t="str">
            <v>Big 12</v>
          </cell>
          <cell r="D41">
            <v>170232</v>
          </cell>
        </row>
        <row r="42">
          <cell r="A42">
            <v>104151</v>
          </cell>
          <cell r="B42" t="str">
            <v>Arizona St.</v>
          </cell>
          <cell r="C42" t="str">
            <v>Pac-12</v>
          </cell>
          <cell r="D42">
            <v>168602</v>
          </cell>
        </row>
        <row r="43">
          <cell r="A43">
            <v>230764</v>
          </cell>
          <cell r="B43" t="str">
            <v>Utah</v>
          </cell>
          <cell r="C43" t="str">
            <v>Pac-12</v>
          </cell>
          <cell r="D43">
            <v>166004</v>
          </cell>
        </row>
        <row r="44">
          <cell r="A44">
            <v>178396</v>
          </cell>
          <cell r="B44" t="str">
            <v>Missouri</v>
          </cell>
          <cell r="C44" t="str">
            <v>SEC</v>
          </cell>
          <cell r="D44">
            <v>164046</v>
          </cell>
        </row>
        <row r="45">
          <cell r="A45">
            <v>100751</v>
          </cell>
          <cell r="B45" t="str">
            <v>Alabama</v>
          </cell>
          <cell r="C45" t="str">
            <v>SEC</v>
          </cell>
          <cell r="D45">
            <v>163581</v>
          </cell>
        </row>
        <row r="46">
          <cell r="A46">
            <v>182290</v>
          </cell>
          <cell r="B46" t="str">
            <v>Nevada</v>
          </cell>
          <cell r="C46" t="str">
            <v>Mountain West</v>
          </cell>
          <cell r="D46">
            <v>163169</v>
          </cell>
        </row>
        <row r="47">
          <cell r="A47">
            <v>198419</v>
          </cell>
          <cell r="B47" t="str">
            <v>Duke</v>
          </cell>
          <cell r="C47" t="str">
            <v>ACC</v>
          </cell>
          <cell r="D47">
            <v>158338</v>
          </cell>
        </row>
        <row r="48">
          <cell r="A48">
            <v>129020</v>
          </cell>
          <cell r="B48" t="str">
            <v>UConn</v>
          </cell>
          <cell r="C48" t="str">
            <v>The American</v>
          </cell>
          <cell r="D48">
            <v>155734</v>
          </cell>
        </row>
        <row r="49">
          <cell r="A49">
            <v>110662</v>
          </cell>
          <cell r="B49" t="str">
            <v>UCLA</v>
          </cell>
          <cell r="C49" t="str">
            <v>Pac-12</v>
          </cell>
          <cell r="D49">
            <v>148836</v>
          </cell>
        </row>
        <row r="50">
          <cell r="A50">
            <v>139959</v>
          </cell>
          <cell r="B50" t="str">
            <v>Georgia</v>
          </cell>
          <cell r="C50" t="str">
            <v>SEC</v>
          </cell>
          <cell r="D50">
            <v>148700</v>
          </cell>
        </row>
        <row r="51">
          <cell r="A51">
            <v>182281</v>
          </cell>
          <cell r="B51" t="str">
            <v>UNLV</v>
          </cell>
          <cell r="C51" t="str">
            <v>Mountain West</v>
          </cell>
          <cell r="D51">
            <v>146867</v>
          </cell>
        </row>
        <row r="52">
          <cell r="A52">
            <v>134097</v>
          </cell>
          <cell r="B52" t="str">
            <v>Florida St.</v>
          </cell>
          <cell r="C52" t="str">
            <v>ACC</v>
          </cell>
          <cell r="D52">
            <v>146036</v>
          </cell>
        </row>
        <row r="53">
          <cell r="A53">
            <v>209551</v>
          </cell>
          <cell r="B53" t="str">
            <v>Oregon</v>
          </cell>
          <cell r="C53" t="str">
            <v>Pac-12</v>
          </cell>
          <cell r="D53">
            <v>145027</v>
          </cell>
        </row>
        <row r="54">
          <cell r="A54">
            <v>152080</v>
          </cell>
          <cell r="B54" t="str">
            <v>Notre Dame</v>
          </cell>
          <cell r="C54" t="str">
            <v>ACC</v>
          </cell>
          <cell r="D54">
            <v>144926</v>
          </cell>
        </row>
        <row r="55">
          <cell r="A55">
            <v>134130</v>
          </cell>
          <cell r="B55" t="str">
            <v>Florida</v>
          </cell>
          <cell r="C55" t="str">
            <v>SEC</v>
          </cell>
          <cell r="D55">
            <v>144001</v>
          </cell>
        </row>
        <row r="56">
          <cell r="A56">
            <v>156125</v>
          </cell>
          <cell r="B56" t="str">
            <v>Wichita St.</v>
          </cell>
          <cell r="C56" t="str">
            <v>The American</v>
          </cell>
          <cell r="D56">
            <v>142708</v>
          </cell>
        </row>
        <row r="57">
          <cell r="A57">
            <v>100858</v>
          </cell>
          <cell r="B57" t="str">
            <v>Auburn</v>
          </cell>
          <cell r="C57" t="str">
            <v>SEC</v>
          </cell>
          <cell r="D57">
            <v>138650</v>
          </cell>
        </row>
        <row r="58">
          <cell r="A58">
            <v>131496</v>
          </cell>
          <cell r="B58" t="str">
            <v>Georgetown</v>
          </cell>
          <cell r="C58" t="str">
            <v>Big East</v>
          </cell>
          <cell r="D58">
            <v>137036</v>
          </cell>
        </row>
        <row r="59">
          <cell r="A59">
            <v>216597</v>
          </cell>
          <cell r="B59" t="str">
            <v>Villanova</v>
          </cell>
          <cell r="C59" t="str">
            <v>Big East</v>
          </cell>
          <cell r="D59">
            <v>135794</v>
          </cell>
        </row>
        <row r="60">
          <cell r="A60">
            <v>214777</v>
          </cell>
          <cell r="B60" t="str">
            <v>Penn St.</v>
          </cell>
          <cell r="C60" t="str">
            <v>Big Ten</v>
          </cell>
          <cell r="D60">
            <v>135690</v>
          </cell>
        </row>
        <row r="61">
          <cell r="A61">
            <v>176080</v>
          </cell>
          <cell r="B61" t="str">
            <v>Mississippi St.</v>
          </cell>
          <cell r="C61" t="str">
            <v>SEC</v>
          </cell>
          <cell r="D61">
            <v>135212</v>
          </cell>
        </row>
        <row r="62">
          <cell r="A62">
            <v>150163</v>
          </cell>
          <cell r="B62" t="str">
            <v>Butler</v>
          </cell>
          <cell r="C62" t="str">
            <v>Big East</v>
          </cell>
          <cell r="D62">
            <v>134702</v>
          </cell>
        </row>
        <row r="63">
          <cell r="A63">
            <v>217882</v>
          </cell>
          <cell r="B63" t="str">
            <v>Clemson</v>
          </cell>
          <cell r="C63" t="str">
            <v>ACC</v>
          </cell>
          <cell r="D63">
            <v>133290</v>
          </cell>
        </row>
        <row r="64">
          <cell r="A64">
            <v>233921</v>
          </cell>
          <cell r="B64" t="str">
            <v>Virginia Tech</v>
          </cell>
          <cell r="C64" t="str">
            <v>ACC</v>
          </cell>
          <cell r="D64">
            <v>131793</v>
          </cell>
        </row>
        <row r="65">
          <cell r="A65">
            <v>234030</v>
          </cell>
          <cell r="B65" t="str">
            <v>VCU</v>
          </cell>
          <cell r="C65" t="str">
            <v>Atlantic 10</v>
          </cell>
          <cell r="D65">
            <v>129829</v>
          </cell>
        </row>
        <row r="66">
          <cell r="A66">
            <v>207500</v>
          </cell>
          <cell r="B66" t="str">
            <v>Oklahoma</v>
          </cell>
          <cell r="C66" t="str">
            <v>Big 12</v>
          </cell>
          <cell r="D66">
            <v>127967</v>
          </cell>
        </row>
        <row r="67">
          <cell r="A67">
            <v>186584</v>
          </cell>
          <cell r="B67" t="str">
            <v>Seton Hall</v>
          </cell>
          <cell r="C67" t="str">
            <v>Big East</v>
          </cell>
          <cell r="D67">
            <v>127603</v>
          </cell>
        </row>
        <row r="68">
          <cell r="A68">
            <v>236948</v>
          </cell>
          <cell r="B68" t="str">
            <v>Washington</v>
          </cell>
          <cell r="C68" t="str">
            <v>Pac-12</v>
          </cell>
          <cell r="D68">
            <v>125543</v>
          </cell>
        </row>
        <row r="69">
          <cell r="A69">
            <v>176017</v>
          </cell>
          <cell r="B69" t="str">
            <v>Ole Miss</v>
          </cell>
          <cell r="C69" t="str">
            <v>SEC</v>
          </cell>
          <cell r="D69">
            <v>125061</v>
          </cell>
        </row>
        <row r="70">
          <cell r="A70">
            <v>228723</v>
          </cell>
          <cell r="B70" t="str">
            <v>Texas A&amp;M</v>
          </cell>
          <cell r="C70" t="str">
            <v>SEC</v>
          </cell>
          <cell r="D70">
            <v>123338</v>
          </cell>
        </row>
        <row r="71">
          <cell r="A71">
            <v>199847</v>
          </cell>
          <cell r="B71" t="str">
            <v>Wake Forest</v>
          </cell>
          <cell r="C71" t="str">
            <v>ACC</v>
          </cell>
          <cell r="D71">
            <v>122014</v>
          </cell>
        </row>
        <row r="72">
          <cell r="A72">
            <v>147767</v>
          </cell>
          <cell r="B72" t="str">
            <v>Northwestern</v>
          </cell>
          <cell r="C72" t="str">
            <v>Big Ten</v>
          </cell>
          <cell r="D72">
            <v>121580</v>
          </cell>
        </row>
        <row r="73">
          <cell r="A73">
            <v>215293</v>
          </cell>
          <cell r="B73" t="str">
            <v>Pittsburgh</v>
          </cell>
          <cell r="C73" t="str">
            <v>ACC</v>
          </cell>
          <cell r="D73">
            <v>121473</v>
          </cell>
        </row>
        <row r="74">
          <cell r="A74">
            <v>228875</v>
          </cell>
          <cell r="B74" t="str">
            <v>TCU</v>
          </cell>
          <cell r="C74" t="str">
            <v>Big 12</v>
          </cell>
          <cell r="D74">
            <v>121401</v>
          </cell>
        </row>
        <row r="75">
          <cell r="A75">
            <v>225511</v>
          </cell>
          <cell r="B75" t="str">
            <v>Houston</v>
          </cell>
          <cell r="C75" t="str">
            <v>The American</v>
          </cell>
          <cell r="D75">
            <v>121042</v>
          </cell>
        </row>
        <row r="76">
          <cell r="A76">
            <v>179159</v>
          </cell>
          <cell r="B76" t="str">
            <v>Saint Louis</v>
          </cell>
          <cell r="C76" t="str">
            <v>Atlantic 10</v>
          </cell>
          <cell r="D76">
            <v>117136</v>
          </cell>
        </row>
        <row r="77">
          <cell r="A77">
            <v>126614</v>
          </cell>
          <cell r="B77" t="str">
            <v>Colorado</v>
          </cell>
          <cell r="C77" t="str">
            <v>Pac-12</v>
          </cell>
          <cell r="D77">
            <v>116761</v>
          </cell>
        </row>
        <row r="78">
          <cell r="A78">
            <v>237525</v>
          </cell>
          <cell r="B78" t="str">
            <v>Marshall</v>
          </cell>
          <cell r="C78" t="str">
            <v>CUSA</v>
          </cell>
          <cell r="D78">
            <v>115243</v>
          </cell>
        </row>
        <row r="79">
          <cell r="A79">
            <v>223232</v>
          </cell>
          <cell r="B79" t="str">
            <v>Baylor</v>
          </cell>
          <cell r="C79" t="str">
            <v>Big 12</v>
          </cell>
          <cell r="D79">
            <v>111916</v>
          </cell>
        </row>
        <row r="80">
          <cell r="A80">
            <v>207388</v>
          </cell>
          <cell r="B80" t="str">
            <v>Oklahoma St.</v>
          </cell>
          <cell r="C80" t="str">
            <v>Big 12</v>
          </cell>
          <cell r="D80">
            <v>109386</v>
          </cell>
        </row>
        <row r="81">
          <cell r="A81">
            <v>139755</v>
          </cell>
          <cell r="B81" t="str">
            <v>Georgia Tech</v>
          </cell>
          <cell r="C81" t="str">
            <v>ACC</v>
          </cell>
          <cell r="D81">
            <v>107003</v>
          </cell>
        </row>
        <row r="82">
          <cell r="A82">
            <v>135726</v>
          </cell>
          <cell r="B82" t="str">
            <v>Miami (FL)</v>
          </cell>
          <cell r="C82" t="str">
            <v>ACC</v>
          </cell>
          <cell r="D82">
            <v>106316</v>
          </cell>
        </row>
        <row r="83">
          <cell r="A83">
            <v>186380</v>
          </cell>
          <cell r="B83" t="str">
            <v>Rutgers</v>
          </cell>
          <cell r="C83" t="str">
            <v>Big Ten</v>
          </cell>
          <cell r="D83">
            <v>106077</v>
          </cell>
        </row>
        <row r="84">
          <cell r="A84">
            <v>232982</v>
          </cell>
          <cell r="B84" t="str">
            <v>Old Dominion</v>
          </cell>
          <cell r="C84" t="str">
            <v>CUSA</v>
          </cell>
          <cell r="D84">
            <v>105916</v>
          </cell>
        </row>
        <row r="85">
          <cell r="A85">
            <v>230728</v>
          </cell>
          <cell r="B85" t="str">
            <v>Utah St.</v>
          </cell>
          <cell r="C85" t="str">
            <v>Mountain West</v>
          </cell>
          <cell r="D85">
            <v>104709</v>
          </cell>
        </row>
        <row r="86">
          <cell r="A86">
            <v>228246</v>
          </cell>
          <cell r="B86" t="str">
            <v>SMU</v>
          </cell>
          <cell r="C86" t="str">
            <v>The American</v>
          </cell>
          <cell r="D86">
            <v>103856</v>
          </cell>
        </row>
        <row r="87">
          <cell r="A87">
            <v>235316</v>
          </cell>
          <cell r="B87" t="str">
            <v>Gonzaga</v>
          </cell>
          <cell r="C87" t="str">
            <v>WCC</v>
          </cell>
          <cell r="D87">
            <v>102000</v>
          </cell>
        </row>
        <row r="88">
          <cell r="A88">
            <v>230782</v>
          </cell>
          <cell r="B88" t="str">
            <v>Weber St.</v>
          </cell>
          <cell r="C88" t="str">
            <v>Big Sky</v>
          </cell>
          <cell r="D88">
            <v>101326</v>
          </cell>
        </row>
        <row r="89">
          <cell r="A89">
            <v>188030</v>
          </cell>
          <cell r="B89" t="str">
            <v>New Mexico St.</v>
          </cell>
          <cell r="C89" t="str">
            <v>WAC</v>
          </cell>
          <cell r="D89">
            <v>100407</v>
          </cell>
        </row>
        <row r="90">
          <cell r="A90">
            <v>104717</v>
          </cell>
          <cell r="B90" t="str">
            <v>Grand Canyon</v>
          </cell>
          <cell r="C90" t="str">
            <v>WAC</v>
          </cell>
          <cell r="D90">
            <v>100375</v>
          </cell>
        </row>
        <row r="91">
          <cell r="A91">
            <v>141574</v>
          </cell>
          <cell r="B91" t="str">
            <v>Hawaii</v>
          </cell>
          <cell r="C91" t="str">
            <v>Big West</v>
          </cell>
          <cell r="D91">
            <v>99489</v>
          </cell>
        </row>
        <row r="92">
          <cell r="A92">
            <v>110556</v>
          </cell>
          <cell r="B92" t="str">
            <v>Fresno St.</v>
          </cell>
          <cell r="C92" t="str">
            <v>Mountain West</v>
          </cell>
          <cell r="D92">
            <v>98714</v>
          </cell>
        </row>
        <row r="93">
          <cell r="A93">
            <v>233374</v>
          </cell>
          <cell r="B93" t="str">
            <v>Richmond</v>
          </cell>
          <cell r="C93" t="str">
            <v>Atlantic 10</v>
          </cell>
          <cell r="D93">
            <v>97408</v>
          </cell>
        </row>
        <row r="94">
          <cell r="A94">
            <v>164924</v>
          </cell>
          <cell r="B94" t="str">
            <v>Boston College</v>
          </cell>
          <cell r="C94" t="str">
            <v>ACC</v>
          </cell>
          <cell r="D94">
            <v>94377</v>
          </cell>
        </row>
        <row r="95">
          <cell r="A95">
            <v>110635</v>
          </cell>
          <cell r="B95" t="str">
            <v>California</v>
          </cell>
          <cell r="C95" t="str">
            <v>Pac-12</v>
          </cell>
          <cell r="D95">
            <v>90036</v>
          </cell>
        </row>
        <row r="96">
          <cell r="A96">
            <v>204857</v>
          </cell>
          <cell r="B96" t="str">
            <v>Ohio</v>
          </cell>
          <cell r="C96" t="str">
            <v>MAC</v>
          </cell>
          <cell r="D96">
            <v>87842</v>
          </cell>
        </row>
        <row r="97">
          <cell r="A97">
            <v>195474</v>
          </cell>
          <cell r="B97" t="str">
            <v>Siena</v>
          </cell>
          <cell r="C97" t="str">
            <v>MAAC</v>
          </cell>
          <cell r="D97">
            <v>87358</v>
          </cell>
        </row>
        <row r="98">
          <cell r="A98">
            <v>157401</v>
          </cell>
          <cell r="B98" t="str">
            <v>Murray St.</v>
          </cell>
          <cell r="C98" t="str">
            <v>OVC</v>
          </cell>
          <cell r="D98">
            <v>87067</v>
          </cell>
        </row>
        <row r="99">
          <cell r="A99">
            <v>216339</v>
          </cell>
          <cell r="B99" t="str">
            <v>Temple</v>
          </cell>
          <cell r="C99" t="str">
            <v>The American</v>
          </cell>
          <cell r="D99">
            <v>87039</v>
          </cell>
        </row>
        <row r="100">
          <cell r="A100">
            <v>143358</v>
          </cell>
          <cell r="B100" t="str">
            <v>Bradley</v>
          </cell>
          <cell r="C100" t="str">
            <v>MVC</v>
          </cell>
          <cell r="D100">
            <v>86871</v>
          </cell>
        </row>
        <row r="101">
          <cell r="A101">
            <v>145813</v>
          </cell>
          <cell r="B101" t="str">
            <v>Illinois St.</v>
          </cell>
          <cell r="C101" t="str">
            <v>MVC</v>
          </cell>
          <cell r="D101">
            <v>86788</v>
          </cell>
        </row>
        <row r="102">
          <cell r="A102">
            <v>144740</v>
          </cell>
          <cell r="B102" t="str">
            <v>DePaul</v>
          </cell>
          <cell r="C102" t="str">
            <v>Big East</v>
          </cell>
          <cell r="D102">
            <v>86504</v>
          </cell>
        </row>
        <row r="103">
          <cell r="A103">
            <v>150534</v>
          </cell>
          <cell r="B103" t="str">
            <v>Evansville</v>
          </cell>
          <cell r="C103" t="str">
            <v>MVC</v>
          </cell>
          <cell r="D103">
            <v>84709</v>
          </cell>
        </row>
        <row r="104">
          <cell r="A104">
            <v>209542</v>
          </cell>
          <cell r="B104" t="str">
            <v>Oregon St.</v>
          </cell>
          <cell r="C104" t="str">
            <v>Pac-12</v>
          </cell>
          <cell r="D104">
            <v>82580</v>
          </cell>
        </row>
        <row r="105">
          <cell r="A105">
            <v>157951</v>
          </cell>
          <cell r="B105" t="str">
            <v>Western Ky.</v>
          </cell>
          <cell r="C105" t="str">
            <v>CUSA</v>
          </cell>
          <cell r="D105">
            <v>81327</v>
          </cell>
        </row>
        <row r="106">
          <cell r="A106">
            <v>217484</v>
          </cell>
          <cell r="B106" t="str">
            <v>Rhode Island</v>
          </cell>
          <cell r="C106" t="str">
            <v>Atlantic 10</v>
          </cell>
          <cell r="D106">
            <v>81153</v>
          </cell>
        </row>
        <row r="107">
          <cell r="A107">
            <v>132903</v>
          </cell>
          <cell r="B107" t="str">
            <v>UCF</v>
          </cell>
          <cell r="C107" t="str">
            <v>The American</v>
          </cell>
          <cell r="D107">
            <v>80307</v>
          </cell>
        </row>
        <row r="108">
          <cell r="A108">
            <v>137351</v>
          </cell>
          <cell r="B108" t="str">
            <v>South Fla.</v>
          </cell>
          <cell r="C108" t="str">
            <v>The American</v>
          </cell>
          <cell r="D108">
            <v>77400</v>
          </cell>
        </row>
        <row r="109">
          <cell r="A109">
            <v>179566</v>
          </cell>
          <cell r="B109" t="str">
            <v>Missouri St.</v>
          </cell>
          <cell r="C109" t="str">
            <v>MVC</v>
          </cell>
          <cell r="D109">
            <v>77255</v>
          </cell>
        </row>
        <row r="110">
          <cell r="A110">
            <v>206084</v>
          </cell>
          <cell r="B110" t="str">
            <v>Toledo</v>
          </cell>
          <cell r="C110" t="str">
            <v>MAC</v>
          </cell>
          <cell r="D110">
            <v>76338</v>
          </cell>
        </row>
        <row r="111">
          <cell r="A111">
            <v>142115</v>
          </cell>
          <cell r="B111" t="str">
            <v>Boise St.</v>
          </cell>
          <cell r="C111" t="str">
            <v>Mountain West</v>
          </cell>
          <cell r="D111">
            <v>75615</v>
          </cell>
        </row>
        <row r="112">
          <cell r="A112">
            <v>228796</v>
          </cell>
          <cell r="B112" t="str">
            <v>UTEP</v>
          </cell>
          <cell r="C112" t="str">
            <v>CUSA</v>
          </cell>
          <cell r="D112">
            <v>74831</v>
          </cell>
        </row>
        <row r="113">
          <cell r="A113">
            <v>196088</v>
          </cell>
          <cell r="B113" t="str">
            <v>Buffalo</v>
          </cell>
          <cell r="C113" t="str">
            <v>MAC</v>
          </cell>
          <cell r="D113">
            <v>74054</v>
          </cell>
        </row>
        <row r="114">
          <cell r="A114">
            <v>232186</v>
          </cell>
          <cell r="B114" t="str">
            <v>George Mason</v>
          </cell>
          <cell r="C114" t="str">
            <v>Atlantic 10</v>
          </cell>
          <cell r="D114">
            <v>73701</v>
          </cell>
        </row>
        <row r="115">
          <cell r="A115">
            <v>207971</v>
          </cell>
          <cell r="B115" t="str">
            <v>Tulsa</v>
          </cell>
          <cell r="C115" t="str">
            <v>The American</v>
          </cell>
          <cell r="D115">
            <v>71885</v>
          </cell>
        </row>
        <row r="116">
          <cell r="A116">
            <v>206604</v>
          </cell>
          <cell r="B116" t="str">
            <v>Wright St.</v>
          </cell>
          <cell r="C116" t="str">
            <v>Horizon</v>
          </cell>
          <cell r="D116">
            <v>70468</v>
          </cell>
        </row>
        <row r="117">
          <cell r="A117">
            <v>220075</v>
          </cell>
          <cell r="B117" t="str">
            <v>ETSU</v>
          </cell>
          <cell r="C117" t="str">
            <v>SoCon</v>
          </cell>
          <cell r="D117">
            <v>69251</v>
          </cell>
        </row>
        <row r="118">
          <cell r="A118">
            <v>198464</v>
          </cell>
          <cell r="B118" t="str">
            <v>East Carolina</v>
          </cell>
          <cell r="C118" t="str">
            <v>The American</v>
          </cell>
          <cell r="D118">
            <v>67581</v>
          </cell>
        </row>
        <row r="119">
          <cell r="A119">
            <v>149222</v>
          </cell>
          <cell r="B119" t="str">
            <v>Southern Ill.</v>
          </cell>
          <cell r="C119" t="str">
            <v>MVC</v>
          </cell>
          <cell r="D119">
            <v>67081</v>
          </cell>
        </row>
        <row r="120">
          <cell r="A120">
            <v>195164</v>
          </cell>
          <cell r="B120" t="str">
            <v>St. Bonaventure</v>
          </cell>
          <cell r="C120" t="str">
            <v>Atlantic 10</v>
          </cell>
          <cell r="D120">
            <v>64117</v>
          </cell>
        </row>
        <row r="121">
          <cell r="A121">
            <v>240727</v>
          </cell>
          <cell r="B121" t="str">
            <v>Wyoming</v>
          </cell>
          <cell r="C121" t="str">
            <v>Mountain West</v>
          </cell>
          <cell r="D121">
            <v>63383</v>
          </cell>
        </row>
        <row r="122">
          <cell r="A122">
            <v>146719</v>
          </cell>
          <cell r="B122" t="str">
            <v>Loyola Chicago</v>
          </cell>
          <cell r="C122" t="str">
            <v>MVC</v>
          </cell>
          <cell r="D122">
            <v>63103</v>
          </cell>
        </row>
        <row r="123">
          <cell r="A123">
            <v>217819</v>
          </cell>
          <cell r="B123" t="str">
            <v>Col. of Charleston</v>
          </cell>
          <cell r="C123" t="str">
            <v>CAA</v>
          </cell>
          <cell r="D123">
            <v>63035</v>
          </cell>
        </row>
        <row r="124">
          <cell r="A124">
            <v>157447</v>
          </cell>
          <cell r="B124" t="str">
            <v>Northern Ky.</v>
          </cell>
          <cell r="C124" t="str">
            <v>Horizon</v>
          </cell>
          <cell r="D124">
            <v>61731</v>
          </cell>
        </row>
        <row r="125">
          <cell r="A125">
            <v>198385</v>
          </cell>
          <cell r="B125" t="str">
            <v>Davidson</v>
          </cell>
          <cell r="C125" t="str">
            <v>Atlantic 10</v>
          </cell>
          <cell r="D125">
            <v>60793</v>
          </cell>
        </row>
        <row r="126">
          <cell r="A126">
            <v>232265</v>
          </cell>
          <cell r="B126" t="str">
            <v>Hampton</v>
          </cell>
          <cell r="C126" t="str">
            <v>Big South</v>
          </cell>
          <cell r="D126">
            <v>60766</v>
          </cell>
        </row>
        <row r="127">
          <cell r="A127">
            <v>180489</v>
          </cell>
          <cell r="B127" t="str">
            <v>Montana</v>
          </cell>
          <cell r="C127" t="str">
            <v>Big Sky</v>
          </cell>
          <cell r="D127">
            <v>59272</v>
          </cell>
        </row>
        <row r="128">
          <cell r="A128">
            <v>215770</v>
          </cell>
          <cell r="B128" t="str">
            <v>Saint Joseph's</v>
          </cell>
          <cell r="C128" t="str">
            <v>Atlantic 10</v>
          </cell>
          <cell r="D128">
            <v>59077</v>
          </cell>
        </row>
        <row r="129">
          <cell r="A129">
            <v>150136</v>
          </cell>
          <cell r="B129" t="str">
            <v>Ball St.</v>
          </cell>
          <cell r="C129" t="str">
            <v>MAC</v>
          </cell>
          <cell r="D129">
            <v>57631</v>
          </cell>
        </row>
        <row r="130">
          <cell r="A130">
            <v>228431</v>
          </cell>
          <cell r="B130" t="str">
            <v>SFA</v>
          </cell>
          <cell r="C130" t="str">
            <v>Southland</v>
          </cell>
          <cell r="D130">
            <v>57315</v>
          </cell>
        </row>
        <row r="131">
          <cell r="A131">
            <v>159993</v>
          </cell>
          <cell r="B131" t="str">
            <v>ULM</v>
          </cell>
          <cell r="C131" t="str">
            <v>Sun Belt</v>
          </cell>
          <cell r="D131">
            <v>56796</v>
          </cell>
        </row>
        <row r="132">
          <cell r="A132">
            <v>220978</v>
          </cell>
          <cell r="B132" t="str">
            <v>Middle Tenn.</v>
          </cell>
          <cell r="C132" t="str">
            <v>CUSA</v>
          </cell>
          <cell r="D132">
            <v>56269</v>
          </cell>
        </row>
        <row r="133">
          <cell r="A133">
            <v>199218</v>
          </cell>
          <cell r="B133" t="str">
            <v>UNCW</v>
          </cell>
          <cell r="C133" t="str">
            <v>CAA</v>
          </cell>
          <cell r="D133">
            <v>55474</v>
          </cell>
        </row>
        <row r="134">
          <cell r="A134">
            <v>151324</v>
          </cell>
          <cell r="B134" t="str">
            <v>Indiana St.</v>
          </cell>
          <cell r="C134" t="str">
            <v>MVC</v>
          </cell>
          <cell r="D134">
            <v>55465</v>
          </cell>
        </row>
        <row r="135">
          <cell r="A135">
            <v>123961</v>
          </cell>
          <cell r="B135" t="str">
            <v>Southern California</v>
          </cell>
          <cell r="C135" t="str">
            <v>Pac-12</v>
          </cell>
          <cell r="D135">
            <v>55194</v>
          </cell>
        </row>
        <row r="136">
          <cell r="A136">
            <v>160658</v>
          </cell>
          <cell r="B136" t="str">
            <v>Louisiana</v>
          </cell>
          <cell r="C136" t="str">
            <v>Sun Belt</v>
          </cell>
          <cell r="D136">
            <v>55156</v>
          </cell>
        </row>
        <row r="137">
          <cell r="A137">
            <v>243744</v>
          </cell>
          <cell r="B137" t="str">
            <v>Stanford</v>
          </cell>
          <cell r="C137" t="str">
            <v>Pac-12</v>
          </cell>
          <cell r="D137">
            <v>54518</v>
          </cell>
        </row>
        <row r="138">
          <cell r="A138">
            <v>227216</v>
          </cell>
          <cell r="B138" t="str">
            <v>North Texas</v>
          </cell>
          <cell r="C138" t="str">
            <v>CUSA</v>
          </cell>
          <cell r="D138">
            <v>53825</v>
          </cell>
        </row>
        <row r="139">
          <cell r="A139">
            <v>199148</v>
          </cell>
          <cell r="B139" t="str">
            <v>UNC Greensboro</v>
          </cell>
          <cell r="C139" t="str">
            <v>SoCon</v>
          </cell>
          <cell r="D139">
            <v>53399</v>
          </cell>
        </row>
        <row r="140">
          <cell r="A140">
            <v>154095</v>
          </cell>
          <cell r="B140" t="str">
            <v>UNI</v>
          </cell>
          <cell r="C140" t="str">
            <v>MVC</v>
          </cell>
          <cell r="D140">
            <v>52836</v>
          </cell>
        </row>
        <row r="141">
          <cell r="A141">
            <v>123554</v>
          </cell>
          <cell r="B141" t="str">
            <v>Saint Mary's (CA)</v>
          </cell>
          <cell r="C141" t="str">
            <v>WCC</v>
          </cell>
          <cell r="D141">
            <v>52453</v>
          </cell>
        </row>
        <row r="142">
          <cell r="A142">
            <v>199139</v>
          </cell>
          <cell r="B142" t="str">
            <v>Charlotte</v>
          </cell>
          <cell r="C142" t="str">
            <v>CUSA</v>
          </cell>
          <cell r="D142">
            <v>51748</v>
          </cell>
        </row>
        <row r="143">
          <cell r="A143">
            <v>153269</v>
          </cell>
          <cell r="B143" t="str">
            <v>Drake</v>
          </cell>
          <cell r="C143" t="str">
            <v>MVC</v>
          </cell>
          <cell r="D143">
            <v>49825</v>
          </cell>
        </row>
        <row r="144">
          <cell r="A144">
            <v>232557</v>
          </cell>
          <cell r="B144" t="str">
            <v>Liberty</v>
          </cell>
          <cell r="C144" t="str">
            <v>ASUN</v>
          </cell>
          <cell r="D144">
            <v>49524</v>
          </cell>
        </row>
        <row r="145">
          <cell r="A145">
            <v>126818</v>
          </cell>
          <cell r="B145" t="str">
            <v>Colorado St.</v>
          </cell>
          <cell r="C145" t="str">
            <v>Mountain West</v>
          </cell>
          <cell r="D145">
            <v>48604</v>
          </cell>
        </row>
        <row r="146">
          <cell r="A146">
            <v>100663</v>
          </cell>
          <cell r="B146" t="str">
            <v>UAB</v>
          </cell>
          <cell r="C146" t="str">
            <v>CUSA</v>
          </cell>
          <cell r="D146">
            <v>48592</v>
          </cell>
        </row>
        <row r="147">
          <cell r="A147">
            <v>231624</v>
          </cell>
          <cell r="B147" t="str">
            <v>William &amp; Mary</v>
          </cell>
          <cell r="C147" t="str">
            <v>CAA</v>
          </cell>
          <cell r="D147">
            <v>48584</v>
          </cell>
        </row>
        <row r="148">
          <cell r="A148">
            <v>231174</v>
          </cell>
          <cell r="B148" t="str">
            <v>Vermont</v>
          </cell>
          <cell r="C148" t="str">
            <v>America East</v>
          </cell>
          <cell r="D148">
            <v>48480</v>
          </cell>
        </row>
        <row r="149">
          <cell r="A149">
            <v>171571</v>
          </cell>
          <cell r="B149" t="str">
            <v>Oakland</v>
          </cell>
          <cell r="C149" t="str">
            <v>Horizon</v>
          </cell>
          <cell r="D149">
            <v>48276</v>
          </cell>
        </row>
        <row r="150">
          <cell r="A150">
            <v>215062</v>
          </cell>
          <cell r="B150" t="str">
            <v>Penn</v>
          </cell>
          <cell r="C150" t="str">
            <v>Ivy League</v>
          </cell>
          <cell r="D150">
            <v>48218</v>
          </cell>
        </row>
        <row r="151">
          <cell r="A151">
            <v>166629</v>
          </cell>
          <cell r="B151" t="str">
            <v>Massachusetts</v>
          </cell>
          <cell r="C151" t="str">
            <v>Atlantic 10</v>
          </cell>
          <cell r="D151">
            <v>47468</v>
          </cell>
        </row>
        <row r="152">
          <cell r="A152">
            <v>110361</v>
          </cell>
          <cell r="B152" t="str">
            <v>California Baptist</v>
          </cell>
          <cell r="C152" t="str">
            <v>WAC</v>
          </cell>
          <cell r="D152">
            <v>46129</v>
          </cell>
        </row>
        <row r="153">
          <cell r="A153">
            <v>228459</v>
          </cell>
          <cell r="B153" t="str">
            <v>Texas St.</v>
          </cell>
          <cell r="C153" t="str">
            <v>Sun Belt</v>
          </cell>
          <cell r="D153">
            <v>46009</v>
          </cell>
        </row>
        <row r="154">
          <cell r="A154">
            <v>433660</v>
          </cell>
          <cell r="B154" t="str">
            <v>FGCU</v>
          </cell>
          <cell r="C154" t="str">
            <v>ASUN</v>
          </cell>
          <cell r="D154">
            <v>45841</v>
          </cell>
        </row>
        <row r="155">
          <cell r="A155">
            <v>203517</v>
          </cell>
          <cell r="B155" t="str">
            <v>Kent St.</v>
          </cell>
          <cell r="C155" t="str">
            <v>MAC</v>
          </cell>
          <cell r="D155">
            <v>44456</v>
          </cell>
        </row>
        <row r="156">
          <cell r="A156">
            <v>200800</v>
          </cell>
          <cell r="B156" t="str">
            <v>Akron</v>
          </cell>
          <cell r="C156" t="str">
            <v>MAC</v>
          </cell>
          <cell r="D156">
            <v>44362</v>
          </cell>
        </row>
        <row r="157">
          <cell r="A157">
            <v>230737</v>
          </cell>
          <cell r="B157" t="str">
            <v>Utah Valley</v>
          </cell>
          <cell r="C157" t="str">
            <v>WAC</v>
          </cell>
          <cell r="D157">
            <v>43985</v>
          </cell>
        </row>
        <row r="158">
          <cell r="A158">
            <v>212106</v>
          </cell>
          <cell r="B158" t="str">
            <v>Duquesne</v>
          </cell>
          <cell r="C158" t="str">
            <v>Atlantic 10</v>
          </cell>
          <cell r="D158">
            <v>43854</v>
          </cell>
        </row>
        <row r="159">
          <cell r="A159">
            <v>221740</v>
          </cell>
          <cell r="B159" t="str">
            <v>Chattanooga</v>
          </cell>
          <cell r="C159" t="str">
            <v>SoCon</v>
          </cell>
          <cell r="D159">
            <v>43638</v>
          </cell>
        </row>
        <row r="160">
          <cell r="A160">
            <v>152600</v>
          </cell>
          <cell r="B160" t="str">
            <v>Valparaiso</v>
          </cell>
          <cell r="C160" t="str">
            <v>MVC</v>
          </cell>
          <cell r="D160">
            <v>42321</v>
          </cell>
        </row>
        <row r="161">
          <cell r="A161">
            <v>196097</v>
          </cell>
          <cell r="B161" t="str">
            <v>Stony Brook</v>
          </cell>
          <cell r="C161" t="str">
            <v>America East</v>
          </cell>
          <cell r="D161">
            <v>41649</v>
          </cell>
        </row>
        <row r="162">
          <cell r="A162">
            <v>176372</v>
          </cell>
          <cell r="B162" t="str">
            <v>Southern Miss.</v>
          </cell>
          <cell r="C162" t="str">
            <v>CUSA</v>
          </cell>
          <cell r="D162">
            <v>41004</v>
          </cell>
        </row>
        <row r="163">
          <cell r="A163">
            <v>219356</v>
          </cell>
          <cell r="B163" t="str">
            <v>South Dakota St.</v>
          </cell>
          <cell r="C163" t="str">
            <v>Summit League</v>
          </cell>
          <cell r="D163">
            <v>40718</v>
          </cell>
        </row>
        <row r="164">
          <cell r="A164">
            <v>131469</v>
          </cell>
          <cell r="B164" t="str">
            <v>George Washington</v>
          </cell>
          <cell r="C164" t="str">
            <v>Atlantic 10</v>
          </cell>
          <cell r="D164">
            <v>40488</v>
          </cell>
        </row>
        <row r="165">
          <cell r="A165">
            <v>211291</v>
          </cell>
          <cell r="B165" t="str">
            <v>Bucknell</v>
          </cell>
          <cell r="C165" t="str">
            <v>Patriot</v>
          </cell>
          <cell r="D165">
            <v>39531</v>
          </cell>
        </row>
        <row r="166">
          <cell r="A166">
            <v>236939</v>
          </cell>
          <cell r="B166" t="str">
            <v>Washington St.</v>
          </cell>
          <cell r="C166" t="str">
            <v>Pac-12</v>
          </cell>
          <cell r="D166">
            <v>39403</v>
          </cell>
        </row>
        <row r="167">
          <cell r="A167">
            <v>219976</v>
          </cell>
          <cell r="B167" t="str">
            <v>Lipscomb</v>
          </cell>
          <cell r="C167" t="str">
            <v>ASUN</v>
          </cell>
          <cell r="D167">
            <v>39215</v>
          </cell>
        </row>
        <row r="168">
          <cell r="A168">
            <v>159647</v>
          </cell>
          <cell r="B168" t="str">
            <v>Louisiana Tech</v>
          </cell>
          <cell r="C168" t="str">
            <v>CUSA</v>
          </cell>
          <cell r="D168">
            <v>38720</v>
          </cell>
        </row>
        <row r="169">
          <cell r="A169">
            <v>240277</v>
          </cell>
          <cell r="B169" t="str">
            <v>Green Bay</v>
          </cell>
          <cell r="C169" t="str">
            <v>Horizon</v>
          </cell>
          <cell r="D169">
            <v>37933</v>
          </cell>
        </row>
        <row r="170">
          <cell r="A170">
            <v>102368</v>
          </cell>
          <cell r="B170" t="str">
            <v>Troy</v>
          </cell>
          <cell r="C170" t="str">
            <v>Sun Belt</v>
          </cell>
          <cell r="D170">
            <v>37887</v>
          </cell>
        </row>
        <row r="171">
          <cell r="A171">
            <v>218973</v>
          </cell>
          <cell r="B171" t="str">
            <v>Wofford</v>
          </cell>
          <cell r="C171" t="str">
            <v>SoCon</v>
          </cell>
          <cell r="D171">
            <v>37880</v>
          </cell>
        </row>
        <row r="172">
          <cell r="A172">
            <v>140447</v>
          </cell>
          <cell r="B172" t="str">
            <v>Mercer</v>
          </cell>
          <cell r="C172" t="str">
            <v>SoCon</v>
          </cell>
          <cell r="D172">
            <v>37630</v>
          </cell>
        </row>
        <row r="173">
          <cell r="A173">
            <v>219709</v>
          </cell>
          <cell r="B173" t="str">
            <v>Belmont</v>
          </cell>
          <cell r="C173" t="str">
            <v>OVC</v>
          </cell>
          <cell r="D173">
            <v>36871</v>
          </cell>
        </row>
        <row r="174">
          <cell r="A174">
            <v>180461</v>
          </cell>
          <cell r="B174" t="str">
            <v>Montana St.</v>
          </cell>
          <cell r="C174" t="str">
            <v>Big Sky</v>
          </cell>
          <cell r="D174">
            <v>36429</v>
          </cell>
        </row>
        <row r="175">
          <cell r="A175">
            <v>102094</v>
          </cell>
          <cell r="B175" t="str">
            <v>South Alabama</v>
          </cell>
          <cell r="C175" t="str">
            <v>Sun Belt</v>
          </cell>
          <cell r="D175">
            <v>36224</v>
          </cell>
        </row>
        <row r="176">
          <cell r="A176">
            <v>169248</v>
          </cell>
          <cell r="B176" t="str">
            <v>Central Mich.</v>
          </cell>
          <cell r="C176" t="str">
            <v>MAC</v>
          </cell>
          <cell r="D176">
            <v>36101</v>
          </cell>
        </row>
        <row r="177">
          <cell r="A177">
            <v>122612</v>
          </cell>
          <cell r="B177" t="str">
            <v>San Francisco</v>
          </cell>
          <cell r="C177" t="str">
            <v>WCC</v>
          </cell>
          <cell r="D177">
            <v>35699</v>
          </cell>
        </row>
        <row r="178">
          <cell r="A178">
            <v>191649</v>
          </cell>
          <cell r="B178" t="str">
            <v>Hofstra</v>
          </cell>
          <cell r="C178" t="str">
            <v>CAA</v>
          </cell>
          <cell r="D178">
            <v>35605</v>
          </cell>
        </row>
        <row r="179">
          <cell r="A179">
            <v>157386</v>
          </cell>
          <cell r="B179" t="str">
            <v>Morehead St.</v>
          </cell>
          <cell r="C179" t="str">
            <v>OVC</v>
          </cell>
          <cell r="D179">
            <v>35434</v>
          </cell>
        </row>
        <row r="180">
          <cell r="A180">
            <v>198136</v>
          </cell>
          <cell r="B180" t="str">
            <v>Campbell</v>
          </cell>
          <cell r="C180" t="str">
            <v>Big South</v>
          </cell>
          <cell r="D180">
            <v>35132</v>
          </cell>
        </row>
        <row r="181">
          <cell r="A181">
            <v>226091</v>
          </cell>
          <cell r="B181" t="str">
            <v>Lamar University</v>
          </cell>
          <cell r="C181" t="str">
            <v>Southland</v>
          </cell>
          <cell r="D181">
            <v>34982</v>
          </cell>
        </row>
        <row r="182">
          <cell r="A182">
            <v>156620</v>
          </cell>
          <cell r="B182" t="str">
            <v>Eastern Ky.</v>
          </cell>
          <cell r="C182" t="str">
            <v>OVC</v>
          </cell>
          <cell r="D182">
            <v>34852</v>
          </cell>
        </row>
        <row r="183">
          <cell r="A183">
            <v>110486</v>
          </cell>
          <cell r="B183" t="str">
            <v>CSU Bakersfield</v>
          </cell>
          <cell r="C183" t="str">
            <v>WAC</v>
          </cell>
          <cell r="D183">
            <v>34589</v>
          </cell>
        </row>
        <row r="184">
          <cell r="A184">
            <v>232423</v>
          </cell>
          <cell r="B184" t="str">
            <v>James Madison</v>
          </cell>
          <cell r="C184" t="str">
            <v>CAA</v>
          </cell>
          <cell r="D184">
            <v>34499</v>
          </cell>
        </row>
        <row r="185">
          <cell r="A185">
            <v>500002</v>
          </cell>
          <cell r="B185" t="str">
            <v>Air Force</v>
          </cell>
          <cell r="C185" t="str">
            <v>Mountain West</v>
          </cell>
          <cell r="D185">
            <v>34445</v>
          </cell>
        </row>
        <row r="186">
          <cell r="A186">
            <v>201441</v>
          </cell>
          <cell r="B186" t="str">
            <v>Bowling Green</v>
          </cell>
          <cell r="C186" t="str">
            <v>MAC</v>
          </cell>
          <cell r="D186">
            <v>34250</v>
          </cell>
        </row>
        <row r="187">
          <cell r="A187">
            <v>196079</v>
          </cell>
          <cell r="B187" t="str">
            <v>Binghamton</v>
          </cell>
          <cell r="C187" t="str">
            <v>America East</v>
          </cell>
          <cell r="D187">
            <v>34137</v>
          </cell>
        </row>
        <row r="188">
          <cell r="A188">
            <v>159717</v>
          </cell>
          <cell r="B188" t="str">
            <v>McNeese</v>
          </cell>
          <cell r="C188" t="str">
            <v>Southland</v>
          </cell>
          <cell r="D188">
            <v>33740</v>
          </cell>
        </row>
        <row r="189">
          <cell r="A189">
            <v>209825</v>
          </cell>
          <cell r="B189" t="str">
            <v>Portland</v>
          </cell>
          <cell r="C189" t="str">
            <v>WCC</v>
          </cell>
          <cell r="D189">
            <v>33637</v>
          </cell>
        </row>
        <row r="190">
          <cell r="A190">
            <v>145600</v>
          </cell>
          <cell r="B190" t="str">
            <v>UIC</v>
          </cell>
          <cell r="C190" t="str">
            <v>Horizon</v>
          </cell>
          <cell r="D190">
            <v>32592</v>
          </cell>
        </row>
        <row r="191">
          <cell r="A191">
            <v>130943</v>
          </cell>
          <cell r="B191" t="str">
            <v>Delaware</v>
          </cell>
          <cell r="C191" t="str">
            <v>CAA</v>
          </cell>
          <cell r="D191">
            <v>32438</v>
          </cell>
        </row>
        <row r="192">
          <cell r="A192">
            <v>120883</v>
          </cell>
          <cell r="B192" t="str">
            <v>Pacific</v>
          </cell>
          <cell r="C192" t="str">
            <v>WCC</v>
          </cell>
          <cell r="D192">
            <v>32275</v>
          </cell>
        </row>
        <row r="193">
          <cell r="A193">
            <v>122931</v>
          </cell>
          <cell r="B193" t="str">
            <v>Santa Clara</v>
          </cell>
          <cell r="C193" t="str">
            <v>WCC</v>
          </cell>
          <cell r="D193">
            <v>32254</v>
          </cell>
        </row>
        <row r="194">
          <cell r="A194">
            <v>198516</v>
          </cell>
          <cell r="B194" t="str">
            <v>Elon</v>
          </cell>
          <cell r="C194" t="str">
            <v>CAA</v>
          </cell>
          <cell r="D194">
            <v>32139</v>
          </cell>
        </row>
        <row r="195">
          <cell r="A195">
            <v>206695</v>
          </cell>
          <cell r="B195" t="str">
            <v>Youngstown St.</v>
          </cell>
          <cell r="C195" t="str">
            <v>Horizon</v>
          </cell>
          <cell r="D195">
            <v>32043</v>
          </cell>
        </row>
        <row r="196">
          <cell r="A196">
            <v>110583</v>
          </cell>
          <cell r="B196" t="str">
            <v>Long Beach St.</v>
          </cell>
          <cell r="C196" t="str">
            <v>Big West</v>
          </cell>
          <cell r="D196">
            <v>31345</v>
          </cell>
        </row>
        <row r="197">
          <cell r="A197">
            <v>122436</v>
          </cell>
          <cell r="B197" t="str">
            <v>San Diego</v>
          </cell>
          <cell r="C197" t="str">
            <v>WCC</v>
          </cell>
          <cell r="D197">
            <v>31255</v>
          </cell>
        </row>
        <row r="198">
          <cell r="A198">
            <v>218070</v>
          </cell>
          <cell r="B198" t="str">
            <v>Furman</v>
          </cell>
          <cell r="C198" t="str">
            <v>SoCon</v>
          </cell>
          <cell r="D198">
            <v>30927</v>
          </cell>
        </row>
        <row r="199">
          <cell r="A199">
            <v>219471</v>
          </cell>
          <cell r="B199" t="str">
            <v>South Dakota</v>
          </cell>
          <cell r="C199" t="str">
            <v>Summit League</v>
          </cell>
          <cell r="D199">
            <v>30869</v>
          </cell>
        </row>
        <row r="200">
          <cell r="A200">
            <v>191241</v>
          </cell>
          <cell r="B200" t="str">
            <v>Fordham</v>
          </cell>
          <cell r="C200" t="str">
            <v>Atlantic 10</v>
          </cell>
          <cell r="D200">
            <v>30839</v>
          </cell>
        </row>
        <row r="201">
          <cell r="A201">
            <v>230603</v>
          </cell>
          <cell r="B201" t="str">
            <v>Southern Utah</v>
          </cell>
          <cell r="C201" t="str">
            <v>Big Sky</v>
          </cell>
          <cell r="D201">
            <v>30830</v>
          </cell>
        </row>
        <row r="202">
          <cell r="A202">
            <v>232937</v>
          </cell>
          <cell r="B202" t="str">
            <v>Norfolk St.</v>
          </cell>
          <cell r="C202" t="str">
            <v>MEAC</v>
          </cell>
          <cell r="D202">
            <v>30726</v>
          </cell>
        </row>
        <row r="203">
          <cell r="A203">
            <v>169798</v>
          </cell>
          <cell r="B203" t="str">
            <v>Eastern Mich.</v>
          </cell>
          <cell r="C203" t="str">
            <v>MAC</v>
          </cell>
          <cell r="D203">
            <v>30452</v>
          </cell>
        </row>
        <row r="204">
          <cell r="A204">
            <v>110705</v>
          </cell>
          <cell r="B204" t="str">
            <v>UC Santa Barbara</v>
          </cell>
          <cell r="C204" t="str">
            <v>Big West</v>
          </cell>
          <cell r="D204">
            <v>30111</v>
          </cell>
        </row>
        <row r="205">
          <cell r="A205">
            <v>163268</v>
          </cell>
          <cell r="B205" t="str">
            <v>UMBC</v>
          </cell>
          <cell r="C205" t="str">
            <v>America East</v>
          </cell>
          <cell r="D205">
            <v>29809</v>
          </cell>
        </row>
        <row r="206">
          <cell r="A206">
            <v>213367</v>
          </cell>
          <cell r="B206" t="str">
            <v>La Salle</v>
          </cell>
          <cell r="C206" t="str">
            <v>Atlantic 10</v>
          </cell>
          <cell r="D206">
            <v>29577</v>
          </cell>
        </row>
        <row r="207">
          <cell r="A207">
            <v>196060</v>
          </cell>
          <cell r="B207" t="str">
            <v>UAlbany</v>
          </cell>
          <cell r="C207" t="str">
            <v>America East</v>
          </cell>
          <cell r="D207">
            <v>29466</v>
          </cell>
        </row>
        <row r="208">
          <cell r="A208">
            <v>172699</v>
          </cell>
          <cell r="B208" t="str">
            <v>Western Mich.</v>
          </cell>
          <cell r="C208" t="str">
            <v>MAC</v>
          </cell>
          <cell r="D208">
            <v>29208</v>
          </cell>
        </row>
        <row r="209">
          <cell r="A209">
            <v>227757</v>
          </cell>
          <cell r="B209" t="str">
            <v>Rice</v>
          </cell>
          <cell r="C209" t="str">
            <v>CUSA</v>
          </cell>
          <cell r="D209">
            <v>29087</v>
          </cell>
        </row>
        <row r="210">
          <cell r="A210">
            <v>200332</v>
          </cell>
          <cell r="B210" t="str">
            <v>North Dakota St.</v>
          </cell>
          <cell r="C210" t="str">
            <v>Summit League</v>
          </cell>
          <cell r="D210">
            <v>29003</v>
          </cell>
        </row>
        <row r="211">
          <cell r="A211">
            <v>207582</v>
          </cell>
          <cell r="B211" t="str">
            <v>Oral Roberts</v>
          </cell>
          <cell r="C211" t="str">
            <v>Summit League</v>
          </cell>
          <cell r="D211">
            <v>28948</v>
          </cell>
        </row>
        <row r="212">
          <cell r="A212">
            <v>218964</v>
          </cell>
          <cell r="B212" t="str">
            <v>Winthrop</v>
          </cell>
          <cell r="C212" t="str">
            <v>Big South</v>
          </cell>
          <cell r="D212">
            <v>27902</v>
          </cell>
        </row>
        <row r="213">
          <cell r="A213">
            <v>139931</v>
          </cell>
          <cell r="B213" t="str">
            <v>Ga. Southern</v>
          </cell>
          <cell r="C213" t="str">
            <v>Sun Belt</v>
          </cell>
          <cell r="D213">
            <v>27831</v>
          </cell>
        </row>
        <row r="214">
          <cell r="A214">
            <v>133650</v>
          </cell>
          <cell r="B214" t="str">
            <v>Florida A&amp;M</v>
          </cell>
          <cell r="C214" t="str">
            <v>MEAC</v>
          </cell>
          <cell r="D214">
            <v>27558</v>
          </cell>
        </row>
        <row r="215">
          <cell r="A215">
            <v>199102</v>
          </cell>
          <cell r="B215" t="str">
            <v>N.C. A&amp;T</v>
          </cell>
          <cell r="C215" t="str">
            <v>MEAC</v>
          </cell>
          <cell r="D215">
            <v>27409</v>
          </cell>
        </row>
        <row r="216">
          <cell r="A216">
            <v>106245</v>
          </cell>
          <cell r="B216" t="str">
            <v>Little Rock</v>
          </cell>
          <cell r="C216" t="str">
            <v>Sun Belt</v>
          </cell>
          <cell r="D216">
            <v>26789</v>
          </cell>
        </row>
        <row r="217">
          <cell r="A217">
            <v>181394</v>
          </cell>
          <cell r="B217" t="str">
            <v>Omaha</v>
          </cell>
          <cell r="C217" t="str">
            <v>Summit League</v>
          </cell>
          <cell r="D217">
            <v>26788</v>
          </cell>
        </row>
        <row r="218">
          <cell r="A218">
            <v>176044</v>
          </cell>
          <cell r="B218" t="str">
            <v>Mississippi Val.</v>
          </cell>
          <cell r="C218" t="str">
            <v>SWAC</v>
          </cell>
          <cell r="D218">
            <v>26437</v>
          </cell>
        </row>
        <row r="219">
          <cell r="A219">
            <v>228769</v>
          </cell>
          <cell r="B219" t="str">
            <v>UT Arlington</v>
          </cell>
          <cell r="C219" t="str">
            <v>Sun Belt</v>
          </cell>
          <cell r="D219">
            <v>26333</v>
          </cell>
        </row>
        <row r="220">
          <cell r="A220">
            <v>221847</v>
          </cell>
          <cell r="B220" t="str">
            <v>Tennessee Tech</v>
          </cell>
          <cell r="C220" t="str">
            <v>OVC</v>
          </cell>
          <cell r="D220">
            <v>26062</v>
          </cell>
        </row>
        <row r="221">
          <cell r="A221">
            <v>186131</v>
          </cell>
          <cell r="B221" t="str">
            <v>Princeton</v>
          </cell>
          <cell r="C221" t="str">
            <v>Ivy League</v>
          </cell>
          <cell r="D221">
            <v>25794</v>
          </cell>
        </row>
        <row r="222">
          <cell r="A222">
            <v>101480</v>
          </cell>
          <cell r="B222" t="str">
            <v>Jacksonville St.</v>
          </cell>
          <cell r="C222" t="str">
            <v>OVC</v>
          </cell>
          <cell r="D222">
            <v>25753</v>
          </cell>
        </row>
        <row r="223">
          <cell r="A223">
            <v>100724</v>
          </cell>
          <cell r="B223" t="str">
            <v>Alabama St.</v>
          </cell>
          <cell r="C223" t="str">
            <v>SWAC</v>
          </cell>
          <cell r="D223">
            <v>25587</v>
          </cell>
        </row>
        <row r="224">
          <cell r="A224">
            <v>204024</v>
          </cell>
          <cell r="B224" t="str">
            <v>Miami (OH)</v>
          </cell>
          <cell r="C224" t="str">
            <v>MAC</v>
          </cell>
          <cell r="D224">
            <v>25436</v>
          </cell>
        </row>
        <row r="225">
          <cell r="A225">
            <v>185572</v>
          </cell>
          <cell r="B225" t="str">
            <v>Monmouth</v>
          </cell>
          <cell r="C225" t="str">
            <v>MAAC</v>
          </cell>
          <cell r="D225">
            <v>25351</v>
          </cell>
        </row>
        <row r="226">
          <cell r="A226">
            <v>122755</v>
          </cell>
          <cell r="B226" t="str">
            <v>San Jose St.</v>
          </cell>
          <cell r="C226" t="str">
            <v>Mountain West</v>
          </cell>
          <cell r="D226">
            <v>24867</v>
          </cell>
        </row>
        <row r="227">
          <cell r="A227">
            <v>139940</v>
          </cell>
          <cell r="B227" t="str">
            <v>Georgia St.</v>
          </cell>
          <cell r="C227" t="str">
            <v>Sun Belt</v>
          </cell>
          <cell r="D227">
            <v>24021</v>
          </cell>
        </row>
        <row r="228">
          <cell r="A228">
            <v>219602</v>
          </cell>
          <cell r="B228" t="str">
            <v>Austin Peay</v>
          </cell>
          <cell r="C228" t="str">
            <v>OVC</v>
          </cell>
          <cell r="D228">
            <v>23967</v>
          </cell>
        </row>
        <row r="229">
          <cell r="A229">
            <v>169716</v>
          </cell>
          <cell r="B229" t="str">
            <v>Detroit Mercy</v>
          </cell>
          <cell r="C229" t="str">
            <v>Horizon</v>
          </cell>
          <cell r="D229">
            <v>23931</v>
          </cell>
        </row>
        <row r="230">
          <cell r="A230">
            <v>110644</v>
          </cell>
          <cell r="B230" t="str">
            <v>UC Davis</v>
          </cell>
          <cell r="C230" t="str">
            <v>Big West</v>
          </cell>
          <cell r="D230">
            <v>23846</v>
          </cell>
        </row>
        <row r="231">
          <cell r="A231">
            <v>199111</v>
          </cell>
          <cell r="B231" t="str">
            <v>UNC Asheville</v>
          </cell>
          <cell r="C231" t="str">
            <v>Big South</v>
          </cell>
          <cell r="D231">
            <v>23590</v>
          </cell>
        </row>
        <row r="232">
          <cell r="A232">
            <v>140960</v>
          </cell>
          <cell r="B232" t="str">
            <v>Savannah St.</v>
          </cell>
          <cell r="C232" t="str">
            <v>MEAC</v>
          </cell>
          <cell r="D232">
            <v>23414</v>
          </cell>
        </row>
        <row r="233">
          <cell r="A233">
            <v>500000</v>
          </cell>
          <cell r="B233" t="str">
            <v>Navy</v>
          </cell>
          <cell r="C233" t="str">
            <v>Patriot</v>
          </cell>
          <cell r="D233">
            <v>23391</v>
          </cell>
        </row>
        <row r="234">
          <cell r="A234">
            <v>110653</v>
          </cell>
          <cell r="B234" t="str">
            <v>UC Irvine</v>
          </cell>
          <cell r="C234" t="str">
            <v>Big West</v>
          </cell>
          <cell r="D234">
            <v>23288</v>
          </cell>
        </row>
        <row r="235">
          <cell r="A235">
            <v>200280</v>
          </cell>
          <cell r="B235" t="str">
            <v>North Dakota</v>
          </cell>
          <cell r="C235" t="str">
            <v>Summit League</v>
          </cell>
          <cell r="D235">
            <v>23157</v>
          </cell>
        </row>
        <row r="236">
          <cell r="A236">
            <v>233277</v>
          </cell>
          <cell r="B236" t="str">
            <v>Radford</v>
          </cell>
          <cell r="C236" t="str">
            <v>Big South</v>
          </cell>
          <cell r="D236">
            <v>23042</v>
          </cell>
        </row>
        <row r="237">
          <cell r="A237">
            <v>131520</v>
          </cell>
          <cell r="B237" t="str">
            <v>Howard</v>
          </cell>
          <cell r="C237" t="str">
            <v>MEAC</v>
          </cell>
          <cell r="D237">
            <v>22999</v>
          </cell>
        </row>
        <row r="238">
          <cell r="A238">
            <v>136172</v>
          </cell>
          <cell r="B238" t="str">
            <v>North Florida</v>
          </cell>
          <cell r="C238" t="str">
            <v>ASUN</v>
          </cell>
          <cell r="D238">
            <v>22865</v>
          </cell>
        </row>
        <row r="239">
          <cell r="A239">
            <v>227368</v>
          </cell>
          <cell r="B239" t="str">
            <v>UTRGV</v>
          </cell>
          <cell r="C239" t="str">
            <v>WAC</v>
          </cell>
          <cell r="D239">
            <v>22711</v>
          </cell>
        </row>
        <row r="240">
          <cell r="A240">
            <v>229063</v>
          </cell>
          <cell r="B240" t="str">
            <v>Texas Southern</v>
          </cell>
          <cell r="C240" t="str">
            <v>SWAC</v>
          </cell>
          <cell r="D240">
            <v>22495</v>
          </cell>
        </row>
        <row r="241">
          <cell r="A241">
            <v>130794</v>
          </cell>
          <cell r="B241" t="str">
            <v>Yale</v>
          </cell>
          <cell r="C241" t="str">
            <v>Ivy League</v>
          </cell>
          <cell r="D241">
            <v>22359</v>
          </cell>
        </row>
        <row r="242">
          <cell r="A242">
            <v>106458</v>
          </cell>
          <cell r="B242" t="str">
            <v>Arkansas St.</v>
          </cell>
          <cell r="C242" t="str">
            <v>Sun Belt</v>
          </cell>
          <cell r="D242">
            <v>22304</v>
          </cell>
        </row>
        <row r="243">
          <cell r="A243">
            <v>117946</v>
          </cell>
          <cell r="B243" t="str">
            <v>LMU (CA)</v>
          </cell>
          <cell r="C243" t="str">
            <v>WCC</v>
          </cell>
          <cell r="D243">
            <v>22206</v>
          </cell>
        </row>
        <row r="244">
          <cell r="A244">
            <v>106412</v>
          </cell>
          <cell r="B244" t="str">
            <v>Ark.-Pine Bluff</v>
          </cell>
          <cell r="C244" t="str">
            <v>SWAC</v>
          </cell>
          <cell r="D244">
            <v>22149</v>
          </cell>
        </row>
        <row r="245">
          <cell r="A245">
            <v>151102</v>
          </cell>
          <cell r="B245" t="str">
            <v>Purdue Fort Wayne</v>
          </cell>
          <cell r="C245" t="str">
            <v>Summit League</v>
          </cell>
          <cell r="D245">
            <v>21906</v>
          </cell>
        </row>
        <row r="246">
          <cell r="A246">
            <v>160755</v>
          </cell>
          <cell r="B246" t="str">
            <v>Tulane</v>
          </cell>
          <cell r="C246" t="str">
            <v>The American</v>
          </cell>
          <cell r="D246">
            <v>21857</v>
          </cell>
        </row>
        <row r="247">
          <cell r="A247">
            <v>110422</v>
          </cell>
          <cell r="B247" t="str">
            <v>Cal Poly</v>
          </cell>
          <cell r="C247" t="str">
            <v>Big West</v>
          </cell>
          <cell r="D247">
            <v>21752</v>
          </cell>
        </row>
        <row r="248">
          <cell r="A248">
            <v>190415</v>
          </cell>
          <cell r="B248" t="str">
            <v>Cornell</v>
          </cell>
          <cell r="C248" t="str">
            <v>Ivy League</v>
          </cell>
          <cell r="D248">
            <v>21618</v>
          </cell>
        </row>
        <row r="249">
          <cell r="A249">
            <v>163462</v>
          </cell>
          <cell r="B249" t="str">
            <v>Mount St. Mary's</v>
          </cell>
          <cell r="C249" t="str">
            <v>NEC</v>
          </cell>
          <cell r="D249">
            <v>21499</v>
          </cell>
        </row>
        <row r="250">
          <cell r="A250">
            <v>127741</v>
          </cell>
          <cell r="B250" t="str">
            <v>Northern Colo.</v>
          </cell>
          <cell r="C250" t="str">
            <v>Big Sky</v>
          </cell>
          <cell r="D250">
            <v>21452</v>
          </cell>
        </row>
        <row r="251">
          <cell r="A251">
            <v>240453</v>
          </cell>
          <cell r="B251" t="str">
            <v>Milwaukee</v>
          </cell>
          <cell r="C251" t="str">
            <v>Horizon</v>
          </cell>
          <cell r="D251">
            <v>21191</v>
          </cell>
        </row>
        <row r="252">
          <cell r="A252">
            <v>179557</v>
          </cell>
          <cell r="B252" t="str">
            <v>Southeast Mo. St.</v>
          </cell>
          <cell r="C252" t="str">
            <v>OVC</v>
          </cell>
          <cell r="D252">
            <v>20737</v>
          </cell>
        </row>
        <row r="253">
          <cell r="A253">
            <v>197197</v>
          </cell>
          <cell r="B253" t="str">
            <v>Wagner</v>
          </cell>
          <cell r="C253" t="str">
            <v>NEC</v>
          </cell>
          <cell r="D253">
            <v>20296</v>
          </cell>
        </row>
        <row r="254">
          <cell r="A254">
            <v>151111</v>
          </cell>
          <cell r="B254" t="str">
            <v>IU Indy</v>
          </cell>
          <cell r="C254" t="str">
            <v>Horizon</v>
          </cell>
          <cell r="D254">
            <v>20181</v>
          </cell>
        </row>
        <row r="255">
          <cell r="A255">
            <v>163453</v>
          </cell>
          <cell r="B255" t="str">
            <v>Morgan St.</v>
          </cell>
          <cell r="C255" t="str">
            <v>MEAC</v>
          </cell>
          <cell r="D255">
            <v>20107</v>
          </cell>
        </row>
        <row r="256">
          <cell r="A256">
            <v>102049</v>
          </cell>
          <cell r="B256" t="str">
            <v>Samford</v>
          </cell>
          <cell r="C256" t="str">
            <v>SoCon</v>
          </cell>
          <cell r="D256">
            <v>19933</v>
          </cell>
        </row>
        <row r="257">
          <cell r="A257">
            <v>212054</v>
          </cell>
          <cell r="B257" t="str">
            <v>Drexel</v>
          </cell>
          <cell r="C257" t="str">
            <v>CAA</v>
          </cell>
          <cell r="D257">
            <v>19871</v>
          </cell>
        </row>
        <row r="258">
          <cell r="A258">
            <v>209807</v>
          </cell>
          <cell r="B258" t="str">
            <v>Portland St.</v>
          </cell>
          <cell r="C258" t="str">
            <v>Big Sky</v>
          </cell>
          <cell r="D258">
            <v>19807</v>
          </cell>
        </row>
        <row r="259">
          <cell r="A259">
            <v>149231</v>
          </cell>
          <cell r="B259" t="str">
            <v>SIUE</v>
          </cell>
          <cell r="C259" t="str">
            <v>OVC</v>
          </cell>
          <cell r="D259">
            <v>19786</v>
          </cell>
        </row>
        <row r="260">
          <cell r="A260">
            <v>142276</v>
          </cell>
          <cell r="B260" t="str">
            <v>Idaho St.</v>
          </cell>
          <cell r="C260" t="str">
            <v>Big Sky</v>
          </cell>
          <cell r="D260">
            <v>19729</v>
          </cell>
        </row>
        <row r="261">
          <cell r="A261">
            <v>236595</v>
          </cell>
          <cell r="B261" t="str">
            <v>Seattle U</v>
          </cell>
          <cell r="C261" t="str">
            <v>WAC</v>
          </cell>
          <cell r="D261">
            <v>19708</v>
          </cell>
        </row>
        <row r="262">
          <cell r="A262">
            <v>217156</v>
          </cell>
          <cell r="B262" t="str">
            <v>Brown</v>
          </cell>
          <cell r="C262" t="str">
            <v>Ivy League</v>
          </cell>
          <cell r="D262">
            <v>19589</v>
          </cell>
        </row>
        <row r="263">
          <cell r="A263">
            <v>221768</v>
          </cell>
          <cell r="B263" t="str">
            <v>UT Martin</v>
          </cell>
          <cell r="C263" t="str">
            <v>OVC</v>
          </cell>
          <cell r="D263">
            <v>19373</v>
          </cell>
        </row>
        <row r="264">
          <cell r="A264">
            <v>229027</v>
          </cell>
          <cell r="B264" t="str">
            <v>UTSA</v>
          </cell>
          <cell r="C264" t="str">
            <v>CUSA</v>
          </cell>
          <cell r="D264">
            <v>19159</v>
          </cell>
        </row>
        <row r="265">
          <cell r="A265">
            <v>166124</v>
          </cell>
          <cell r="B265" t="str">
            <v>Holy Cross</v>
          </cell>
          <cell r="C265" t="str">
            <v>Patriot</v>
          </cell>
          <cell r="D265">
            <v>19050</v>
          </cell>
        </row>
        <row r="266">
          <cell r="A266">
            <v>224147</v>
          </cell>
          <cell r="B266" t="str">
            <v>A&amp;M-Corpus Christi</v>
          </cell>
          <cell r="C266" t="str">
            <v>Southland</v>
          </cell>
          <cell r="D266">
            <v>18959</v>
          </cell>
        </row>
        <row r="267">
          <cell r="A267">
            <v>202134</v>
          </cell>
          <cell r="B267" t="str">
            <v>Cleveland St.</v>
          </cell>
          <cell r="C267" t="str">
            <v>Horizon</v>
          </cell>
          <cell r="D267">
            <v>18956</v>
          </cell>
        </row>
        <row r="268">
          <cell r="A268">
            <v>222178</v>
          </cell>
          <cell r="B268" t="str">
            <v>Abilene Christian</v>
          </cell>
          <cell r="C268" t="str">
            <v>Southland</v>
          </cell>
          <cell r="D268">
            <v>18882</v>
          </cell>
        </row>
        <row r="269">
          <cell r="A269">
            <v>200004</v>
          </cell>
          <cell r="B269" t="str">
            <v>Western Caro.</v>
          </cell>
          <cell r="C269" t="str">
            <v>SoCon</v>
          </cell>
          <cell r="D269">
            <v>18794</v>
          </cell>
        </row>
        <row r="270">
          <cell r="A270">
            <v>232566</v>
          </cell>
          <cell r="B270" t="str">
            <v>Longwood</v>
          </cell>
          <cell r="C270" t="str">
            <v>Big South</v>
          </cell>
          <cell r="D270">
            <v>18491</v>
          </cell>
        </row>
        <row r="271">
          <cell r="A271">
            <v>190150</v>
          </cell>
          <cell r="B271" t="str">
            <v>Columbia</v>
          </cell>
          <cell r="C271" t="str">
            <v>Ivy League</v>
          </cell>
          <cell r="D271">
            <v>18311</v>
          </cell>
        </row>
        <row r="272">
          <cell r="A272">
            <v>163338</v>
          </cell>
          <cell r="B272" t="str">
            <v>UMES</v>
          </cell>
          <cell r="C272" t="str">
            <v>MEAC</v>
          </cell>
          <cell r="D272">
            <v>18039</v>
          </cell>
        </row>
        <row r="273">
          <cell r="A273">
            <v>160038</v>
          </cell>
          <cell r="B273" t="str">
            <v>Northwestern St.</v>
          </cell>
          <cell r="C273" t="str">
            <v>Southland</v>
          </cell>
          <cell r="D273">
            <v>17988</v>
          </cell>
        </row>
        <row r="274">
          <cell r="A274">
            <v>215743</v>
          </cell>
          <cell r="B274" t="str">
            <v>Saint Francis</v>
          </cell>
          <cell r="C274" t="str">
            <v>NEC</v>
          </cell>
          <cell r="D274">
            <v>17976</v>
          </cell>
        </row>
        <row r="275">
          <cell r="A275">
            <v>164076</v>
          </cell>
          <cell r="B275" t="str">
            <v>Towson</v>
          </cell>
          <cell r="C275" t="str">
            <v>CAA</v>
          </cell>
          <cell r="D275">
            <v>17935</v>
          </cell>
        </row>
        <row r="276">
          <cell r="A276">
            <v>191931</v>
          </cell>
          <cell r="B276" t="str">
            <v>Iona</v>
          </cell>
          <cell r="C276" t="str">
            <v>MAAC</v>
          </cell>
          <cell r="D276">
            <v>17840</v>
          </cell>
        </row>
        <row r="277">
          <cell r="A277">
            <v>213385</v>
          </cell>
          <cell r="B277" t="str">
            <v>Lafayette</v>
          </cell>
          <cell r="C277" t="str">
            <v>Patriot</v>
          </cell>
          <cell r="D277">
            <v>17533</v>
          </cell>
        </row>
        <row r="278">
          <cell r="A278">
            <v>129242</v>
          </cell>
          <cell r="B278" t="str">
            <v>Fairfield</v>
          </cell>
          <cell r="C278" t="str">
            <v>MAAC</v>
          </cell>
          <cell r="D278">
            <v>17484</v>
          </cell>
        </row>
        <row r="279">
          <cell r="A279">
            <v>235097</v>
          </cell>
          <cell r="B279" t="str">
            <v>Eastern Wash.</v>
          </cell>
          <cell r="C279" t="str">
            <v>Big Sky</v>
          </cell>
          <cell r="D279">
            <v>17376</v>
          </cell>
        </row>
        <row r="280">
          <cell r="A280">
            <v>147703</v>
          </cell>
          <cell r="B280" t="str">
            <v>NIU</v>
          </cell>
          <cell r="C280" t="str">
            <v>MAC</v>
          </cell>
          <cell r="D280">
            <v>17329</v>
          </cell>
        </row>
        <row r="281">
          <cell r="A281">
            <v>213543</v>
          </cell>
          <cell r="B281" t="str">
            <v>Lehigh</v>
          </cell>
          <cell r="C281" t="str">
            <v>Patriot</v>
          </cell>
          <cell r="D281">
            <v>17238</v>
          </cell>
        </row>
        <row r="282">
          <cell r="A282">
            <v>193973</v>
          </cell>
          <cell r="B282" t="str">
            <v>Niagara</v>
          </cell>
          <cell r="C282" t="str">
            <v>MAAC</v>
          </cell>
          <cell r="D282">
            <v>17208</v>
          </cell>
        </row>
        <row r="283">
          <cell r="A283">
            <v>130226</v>
          </cell>
          <cell r="B283" t="str">
            <v>Quinnipiac</v>
          </cell>
          <cell r="C283" t="str">
            <v>MAAC</v>
          </cell>
          <cell r="D283">
            <v>17150</v>
          </cell>
        </row>
        <row r="284">
          <cell r="A284">
            <v>166027</v>
          </cell>
          <cell r="B284" t="str">
            <v>Harvard</v>
          </cell>
          <cell r="C284" t="str">
            <v>Ivy League</v>
          </cell>
          <cell r="D284">
            <v>17055</v>
          </cell>
        </row>
        <row r="285">
          <cell r="A285">
            <v>198561</v>
          </cell>
          <cell r="B285" t="str">
            <v>Gardner-Webb</v>
          </cell>
          <cell r="C285" t="str">
            <v>Big South</v>
          </cell>
          <cell r="D285">
            <v>17042</v>
          </cell>
        </row>
        <row r="286">
          <cell r="A286">
            <v>186283</v>
          </cell>
          <cell r="B286" t="str">
            <v>Rider</v>
          </cell>
          <cell r="C286" t="str">
            <v>MAAC</v>
          </cell>
          <cell r="D286">
            <v>16936</v>
          </cell>
        </row>
        <row r="287">
          <cell r="A287">
            <v>198695</v>
          </cell>
          <cell r="B287" t="str">
            <v>High Point</v>
          </cell>
          <cell r="C287" t="str">
            <v>Big South</v>
          </cell>
          <cell r="D287">
            <v>16829</v>
          </cell>
        </row>
        <row r="288">
          <cell r="A288">
            <v>218724</v>
          </cell>
          <cell r="B288" t="str">
            <v>Coastal Carolina</v>
          </cell>
          <cell r="C288" t="str">
            <v>Sun Belt</v>
          </cell>
          <cell r="D288">
            <v>16786</v>
          </cell>
        </row>
        <row r="289">
          <cell r="A289">
            <v>133669</v>
          </cell>
          <cell r="B289" t="str">
            <v>Fla. Atlantic</v>
          </cell>
          <cell r="C289" t="str">
            <v>CUSA</v>
          </cell>
          <cell r="D289">
            <v>16655</v>
          </cell>
        </row>
        <row r="290">
          <cell r="A290">
            <v>133951</v>
          </cell>
          <cell r="B290" t="str">
            <v>FIU</v>
          </cell>
          <cell r="C290" t="str">
            <v>CUSA</v>
          </cell>
          <cell r="D290">
            <v>16603</v>
          </cell>
        </row>
        <row r="291">
          <cell r="A291">
            <v>110608</v>
          </cell>
          <cell r="B291" t="str">
            <v>CSUN</v>
          </cell>
          <cell r="C291" t="str">
            <v>Big West</v>
          </cell>
          <cell r="D291">
            <v>16576</v>
          </cell>
        </row>
        <row r="292">
          <cell r="A292">
            <v>215655</v>
          </cell>
          <cell r="B292" t="str">
            <v>Robert Morris</v>
          </cell>
          <cell r="C292" t="str">
            <v>NEC</v>
          </cell>
          <cell r="D292">
            <v>16403</v>
          </cell>
        </row>
        <row r="293">
          <cell r="A293">
            <v>144892</v>
          </cell>
          <cell r="B293" t="str">
            <v>Eastern Ill.</v>
          </cell>
          <cell r="C293" t="str">
            <v>OVC</v>
          </cell>
          <cell r="D293">
            <v>16356</v>
          </cell>
        </row>
        <row r="294">
          <cell r="A294">
            <v>159009</v>
          </cell>
          <cell r="B294" t="str">
            <v>Grambling</v>
          </cell>
          <cell r="C294" t="str">
            <v>SWAC</v>
          </cell>
          <cell r="D294">
            <v>16172</v>
          </cell>
        </row>
        <row r="295">
          <cell r="A295">
            <v>217864</v>
          </cell>
          <cell r="B295" t="str">
            <v>The Citadel</v>
          </cell>
          <cell r="C295" t="str">
            <v>SoCon</v>
          </cell>
          <cell r="D295">
            <v>16079</v>
          </cell>
        </row>
        <row r="296">
          <cell r="A296">
            <v>227881</v>
          </cell>
          <cell r="B296" t="str">
            <v>Sam Houston</v>
          </cell>
          <cell r="C296" t="str">
            <v>Southland</v>
          </cell>
          <cell r="D296">
            <v>15925</v>
          </cell>
        </row>
        <row r="297">
          <cell r="A297">
            <v>166513</v>
          </cell>
          <cell r="B297" t="str">
            <v>UMass Lowell</v>
          </cell>
          <cell r="C297" t="str">
            <v>America East</v>
          </cell>
          <cell r="D297">
            <v>15640</v>
          </cell>
        </row>
        <row r="298">
          <cell r="A298">
            <v>121150</v>
          </cell>
          <cell r="B298" t="str">
            <v>Pepperdine</v>
          </cell>
          <cell r="C298" t="str">
            <v>WCC</v>
          </cell>
          <cell r="D298">
            <v>15607</v>
          </cell>
        </row>
        <row r="299">
          <cell r="A299">
            <v>160621</v>
          </cell>
          <cell r="B299" t="str">
            <v>Southern U.</v>
          </cell>
          <cell r="C299" t="str">
            <v>SWAC</v>
          </cell>
          <cell r="D299">
            <v>15581</v>
          </cell>
        </row>
        <row r="300">
          <cell r="A300">
            <v>189705</v>
          </cell>
          <cell r="B300" t="str">
            <v>Canisius</v>
          </cell>
          <cell r="C300" t="str">
            <v>MAAC</v>
          </cell>
          <cell r="D300">
            <v>15459</v>
          </cell>
        </row>
        <row r="301">
          <cell r="A301">
            <v>178402</v>
          </cell>
          <cell r="B301" t="str">
            <v>Kansas City</v>
          </cell>
          <cell r="C301" t="str">
            <v>WAC</v>
          </cell>
          <cell r="D301">
            <v>15327</v>
          </cell>
        </row>
        <row r="302">
          <cell r="A302">
            <v>199157</v>
          </cell>
          <cell r="B302" t="str">
            <v>N.C. Central</v>
          </cell>
          <cell r="C302" t="str">
            <v>MEAC</v>
          </cell>
          <cell r="D302">
            <v>15237</v>
          </cell>
        </row>
        <row r="303">
          <cell r="A303">
            <v>127060</v>
          </cell>
          <cell r="B303" t="str">
            <v>Denver</v>
          </cell>
          <cell r="C303" t="str">
            <v>Summit League</v>
          </cell>
          <cell r="D303">
            <v>15052</v>
          </cell>
        </row>
        <row r="304">
          <cell r="A304">
            <v>167358</v>
          </cell>
          <cell r="B304" t="str">
            <v>Northeastern</v>
          </cell>
          <cell r="C304" t="str">
            <v>CAA</v>
          </cell>
          <cell r="D304">
            <v>14526</v>
          </cell>
        </row>
        <row r="305">
          <cell r="A305">
            <v>100654</v>
          </cell>
          <cell r="B305" t="str">
            <v>Alabama A&amp;M</v>
          </cell>
          <cell r="C305" t="str">
            <v>SWAC</v>
          </cell>
          <cell r="D305">
            <v>14452</v>
          </cell>
        </row>
        <row r="306">
          <cell r="A306">
            <v>197869</v>
          </cell>
          <cell r="B306" t="str">
            <v>App State</v>
          </cell>
          <cell r="C306" t="str">
            <v>Sun Belt</v>
          </cell>
          <cell r="D306">
            <v>14364</v>
          </cell>
        </row>
        <row r="307">
          <cell r="A307">
            <v>234085</v>
          </cell>
          <cell r="B307" t="str">
            <v>VMI</v>
          </cell>
          <cell r="C307" t="str">
            <v>SoCon</v>
          </cell>
          <cell r="D307">
            <v>14233</v>
          </cell>
        </row>
        <row r="308">
          <cell r="A308">
            <v>192819</v>
          </cell>
          <cell r="B308" t="str">
            <v>Marist</v>
          </cell>
          <cell r="C308" t="str">
            <v>MAAC</v>
          </cell>
          <cell r="D308">
            <v>14213</v>
          </cell>
        </row>
        <row r="309">
          <cell r="A309">
            <v>500001</v>
          </cell>
          <cell r="B309" t="str">
            <v>Army West Point</v>
          </cell>
          <cell r="C309" t="str">
            <v>Patriot</v>
          </cell>
          <cell r="D309">
            <v>14043</v>
          </cell>
        </row>
        <row r="310">
          <cell r="A310">
            <v>192703</v>
          </cell>
          <cell r="B310" t="str">
            <v>Manhattan</v>
          </cell>
          <cell r="C310" t="str">
            <v>MAAC</v>
          </cell>
          <cell r="D310">
            <v>13972</v>
          </cell>
        </row>
        <row r="311">
          <cell r="A311">
            <v>110565</v>
          </cell>
          <cell r="B311" t="str">
            <v>Cal St. Fullerton</v>
          </cell>
          <cell r="C311" t="str">
            <v>Big West</v>
          </cell>
          <cell r="D311">
            <v>13692</v>
          </cell>
        </row>
        <row r="312">
          <cell r="A312">
            <v>105330</v>
          </cell>
          <cell r="B312" t="str">
            <v>Northern Ariz.</v>
          </cell>
          <cell r="C312" t="str">
            <v>Big Sky</v>
          </cell>
          <cell r="D312">
            <v>12908</v>
          </cell>
        </row>
        <row r="313">
          <cell r="A313">
            <v>129525</v>
          </cell>
          <cell r="B313" t="str">
            <v>Hartford</v>
          </cell>
          <cell r="C313" t="str">
            <v>America East</v>
          </cell>
          <cell r="D313">
            <v>12794</v>
          </cell>
        </row>
        <row r="314">
          <cell r="A314">
            <v>221838</v>
          </cell>
          <cell r="B314" t="str">
            <v>Tennessee St.</v>
          </cell>
          <cell r="C314" t="str">
            <v>OVC</v>
          </cell>
          <cell r="D314">
            <v>12542</v>
          </cell>
        </row>
        <row r="315">
          <cell r="A315">
            <v>175856</v>
          </cell>
          <cell r="B315" t="str">
            <v>Jackson St.</v>
          </cell>
          <cell r="C315" t="str">
            <v>SWAC</v>
          </cell>
          <cell r="D315">
            <v>12145</v>
          </cell>
        </row>
        <row r="316">
          <cell r="A316">
            <v>131159</v>
          </cell>
          <cell r="B316" t="str">
            <v>American</v>
          </cell>
          <cell r="C316" t="str">
            <v>Patriot</v>
          </cell>
          <cell r="D316">
            <v>12122</v>
          </cell>
        </row>
        <row r="317">
          <cell r="A317">
            <v>161253</v>
          </cell>
          <cell r="B317" t="str">
            <v>Maine</v>
          </cell>
          <cell r="C317" t="str">
            <v>America East</v>
          </cell>
          <cell r="D317">
            <v>12109</v>
          </cell>
        </row>
        <row r="318">
          <cell r="A318">
            <v>128771</v>
          </cell>
          <cell r="B318" t="str">
            <v>Central Conn. St.</v>
          </cell>
          <cell r="C318" t="str">
            <v>NEC</v>
          </cell>
          <cell r="D318">
            <v>12057</v>
          </cell>
        </row>
        <row r="319">
          <cell r="A319">
            <v>106704</v>
          </cell>
          <cell r="B319" t="str">
            <v>Central Ark.</v>
          </cell>
          <cell r="C319" t="str">
            <v>Southland</v>
          </cell>
          <cell r="D319">
            <v>11816</v>
          </cell>
        </row>
        <row r="320">
          <cell r="A320">
            <v>101879</v>
          </cell>
          <cell r="B320" t="str">
            <v>North Ala.</v>
          </cell>
          <cell r="C320" t="str">
            <v>ASUN</v>
          </cell>
          <cell r="D320">
            <v>11692</v>
          </cell>
        </row>
        <row r="321">
          <cell r="A321">
            <v>182670</v>
          </cell>
          <cell r="B321" t="str">
            <v>Dartmouth</v>
          </cell>
          <cell r="C321" t="str">
            <v>Ivy League</v>
          </cell>
          <cell r="D321">
            <v>11581</v>
          </cell>
        </row>
        <row r="322">
          <cell r="A322">
            <v>159939</v>
          </cell>
          <cell r="B322" t="str">
            <v>New Orleans</v>
          </cell>
          <cell r="C322" t="str">
            <v>Southland</v>
          </cell>
          <cell r="D322">
            <v>11499</v>
          </cell>
        </row>
        <row r="323">
          <cell r="A323">
            <v>486840</v>
          </cell>
          <cell r="B323" t="str">
            <v>Kennesaw St.</v>
          </cell>
          <cell r="C323" t="str">
            <v>ASUN</v>
          </cell>
          <cell r="D323">
            <v>11130</v>
          </cell>
        </row>
        <row r="324">
          <cell r="A324">
            <v>164988</v>
          </cell>
          <cell r="B324" t="str">
            <v>Boston U.</v>
          </cell>
          <cell r="C324" t="str">
            <v>Patriot</v>
          </cell>
          <cell r="D324">
            <v>11025</v>
          </cell>
        </row>
        <row r="325">
          <cell r="A325">
            <v>132602</v>
          </cell>
          <cell r="B325" t="str">
            <v>Bethune-Cookman</v>
          </cell>
          <cell r="C325" t="str">
            <v>MEAC</v>
          </cell>
          <cell r="D325">
            <v>11009</v>
          </cell>
        </row>
        <row r="326">
          <cell r="A326">
            <v>217688</v>
          </cell>
          <cell r="B326" t="str">
            <v>Charleston So.</v>
          </cell>
          <cell r="C326" t="str">
            <v>Big South</v>
          </cell>
          <cell r="D326">
            <v>10989</v>
          </cell>
        </row>
        <row r="327">
          <cell r="A327">
            <v>184603</v>
          </cell>
          <cell r="B327" t="str">
            <v>FDU</v>
          </cell>
          <cell r="C327" t="str">
            <v>NEC</v>
          </cell>
          <cell r="D327">
            <v>10922</v>
          </cell>
        </row>
        <row r="328">
          <cell r="A328">
            <v>142285</v>
          </cell>
          <cell r="B328" t="str">
            <v>Idaho</v>
          </cell>
          <cell r="C328" t="str">
            <v>Big Sky</v>
          </cell>
          <cell r="D328">
            <v>10677</v>
          </cell>
        </row>
        <row r="329">
          <cell r="A329">
            <v>217165</v>
          </cell>
          <cell r="B329" t="str">
            <v>Bryant</v>
          </cell>
          <cell r="C329" t="str">
            <v>NEC</v>
          </cell>
          <cell r="D329">
            <v>10530</v>
          </cell>
        </row>
        <row r="330">
          <cell r="A330">
            <v>185828</v>
          </cell>
          <cell r="B330" t="str">
            <v>NJIT</v>
          </cell>
          <cell r="C330" t="str">
            <v>ASUN</v>
          </cell>
          <cell r="D330">
            <v>10384</v>
          </cell>
        </row>
        <row r="331">
          <cell r="A331">
            <v>160612</v>
          </cell>
          <cell r="B331" t="str">
            <v>Southeastern La.</v>
          </cell>
          <cell r="C331" t="str">
            <v>Southland</v>
          </cell>
          <cell r="D331">
            <v>10105</v>
          </cell>
        </row>
        <row r="332">
          <cell r="A332">
            <v>190099</v>
          </cell>
          <cell r="B332" t="str">
            <v>Colgate</v>
          </cell>
          <cell r="C332" t="str">
            <v>Patriot</v>
          </cell>
          <cell r="D332">
            <v>9958</v>
          </cell>
        </row>
        <row r="333">
          <cell r="A333">
            <v>134945</v>
          </cell>
          <cell r="B333" t="str">
            <v>Jacksonville</v>
          </cell>
          <cell r="C333" t="str">
            <v>ASUN</v>
          </cell>
          <cell r="D333">
            <v>9799</v>
          </cell>
        </row>
        <row r="334">
          <cell r="A334">
            <v>186432</v>
          </cell>
          <cell r="B334" t="str">
            <v>Saint Peter's</v>
          </cell>
          <cell r="C334" t="str">
            <v>MAAC</v>
          </cell>
          <cell r="D334">
            <v>9678</v>
          </cell>
        </row>
        <row r="335">
          <cell r="A335">
            <v>225399</v>
          </cell>
          <cell r="B335" t="str">
            <v>Houston Christian</v>
          </cell>
          <cell r="C335" t="str">
            <v>Southland</v>
          </cell>
          <cell r="D335">
            <v>9453</v>
          </cell>
        </row>
        <row r="336">
          <cell r="A336">
            <v>227526</v>
          </cell>
          <cell r="B336" t="str">
            <v>Prairie View</v>
          </cell>
          <cell r="C336" t="str">
            <v>SWAC</v>
          </cell>
          <cell r="D336">
            <v>9283</v>
          </cell>
        </row>
        <row r="337">
          <cell r="A337">
            <v>218742</v>
          </cell>
          <cell r="B337" t="str">
            <v>USC Upstate</v>
          </cell>
          <cell r="C337" t="str">
            <v>Big South</v>
          </cell>
          <cell r="D337">
            <v>8981</v>
          </cell>
        </row>
        <row r="338">
          <cell r="A338">
            <v>110617</v>
          </cell>
          <cell r="B338" t="str">
            <v>Sacramento St.</v>
          </cell>
          <cell r="C338" t="str">
            <v>Big Sky</v>
          </cell>
          <cell r="D338">
            <v>8879</v>
          </cell>
        </row>
        <row r="339">
          <cell r="A339">
            <v>163046</v>
          </cell>
          <cell r="B339" t="str">
            <v>Loyola Maryland</v>
          </cell>
          <cell r="C339" t="str">
            <v>Patriot</v>
          </cell>
          <cell r="D339">
            <v>8833</v>
          </cell>
        </row>
        <row r="340">
          <cell r="A340">
            <v>192448</v>
          </cell>
          <cell r="B340" t="str">
            <v>LIU</v>
          </cell>
          <cell r="C340" t="str">
            <v>NEC</v>
          </cell>
          <cell r="D340">
            <v>8825</v>
          </cell>
        </row>
        <row r="341">
          <cell r="A341">
            <v>110671</v>
          </cell>
          <cell r="B341" t="str">
            <v>UC Riverside</v>
          </cell>
          <cell r="C341" t="str">
            <v>Big West</v>
          </cell>
          <cell r="D341">
            <v>8821</v>
          </cell>
        </row>
        <row r="342">
          <cell r="A342">
            <v>130934</v>
          </cell>
          <cell r="B342" t="str">
            <v>Delaware St.</v>
          </cell>
          <cell r="C342" t="str">
            <v>MEAC</v>
          </cell>
          <cell r="D342">
            <v>8706</v>
          </cell>
        </row>
        <row r="343">
          <cell r="A343">
            <v>130253</v>
          </cell>
          <cell r="B343" t="str">
            <v>Sacred Heart</v>
          </cell>
          <cell r="C343" t="str">
            <v>NEC</v>
          </cell>
          <cell r="D343">
            <v>8422</v>
          </cell>
        </row>
        <row r="344">
          <cell r="A344">
            <v>175342</v>
          </cell>
          <cell r="B344" t="str">
            <v>Alcorn</v>
          </cell>
          <cell r="C344" t="str">
            <v>SWAC</v>
          </cell>
          <cell r="D344">
            <v>8359</v>
          </cell>
        </row>
        <row r="345">
          <cell r="A345">
            <v>218539</v>
          </cell>
          <cell r="B345" t="str">
            <v>Presbyterian</v>
          </cell>
          <cell r="C345" t="str">
            <v>Big South</v>
          </cell>
          <cell r="D345">
            <v>8077</v>
          </cell>
        </row>
        <row r="346">
          <cell r="A346">
            <v>195173</v>
          </cell>
          <cell r="B346" t="str">
            <v>St. Francis Brooklyn</v>
          </cell>
          <cell r="C346" t="str">
            <v>NEC</v>
          </cell>
          <cell r="D346">
            <v>7407</v>
          </cell>
        </row>
        <row r="347">
          <cell r="A347">
            <v>225627</v>
          </cell>
          <cell r="B347" t="str">
            <v>UIW</v>
          </cell>
          <cell r="C347" t="str">
            <v>Southland</v>
          </cell>
          <cell r="D347">
            <v>7020</v>
          </cell>
        </row>
        <row r="348">
          <cell r="A348">
            <v>162283</v>
          </cell>
          <cell r="B348" t="str">
            <v>Coppin St.</v>
          </cell>
          <cell r="C348" t="str">
            <v>MEAC</v>
          </cell>
          <cell r="D348">
            <v>6713</v>
          </cell>
        </row>
        <row r="349">
          <cell r="A349">
            <v>137546</v>
          </cell>
          <cell r="B349" t="str">
            <v>Stetson</v>
          </cell>
          <cell r="C349" t="str">
            <v>ASUN</v>
          </cell>
          <cell r="D349">
            <v>6271</v>
          </cell>
        </row>
        <row r="350">
          <cell r="A350">
            <v>149772</v>
          </cell>
          <cell r="B350" t="str">
            <v>Western Ill.</v>
          </cell>
          <cell r="C350" t="str">
            <v>Summit League</v>
          </cell>
          <cell r="D350">
            <v>6061</v>
          </cell>
        </row>
        <row r="351">
          <cell r="A351">
            <v>183044</v>
          </cell>
          <cell r="B351" t="str">
            <v>New Hampshire</v>
          </cell>
          <cell r="C351" t="str">
            <v>America East</v>
          </cell>
          <cell r="D351">
            <v>5362</v>
          </cell>
        </row>
        <row r="352">
          <cell r="A352">
            <v>144005</v>
          </cell>
          <cell r="B352" t="str">
            <v>Chicago St.</v>
          </cell>
          <cell r="C352" t="str">
            <v>WAC</v>
          </cell>
          <cell r="D352">
            <v>4851</v>
          </cell>
        </row>
        <row r="353">
          <cell r="A353">
            <v>159966</v>
          </cell>
          <cell r="B353" t="str">
            <v>Nicholls</v>
          </cell>
          <cell r="C353" t="str">
            <v>Southland</v>
          </cell>
          <cell r="D353">
            <v>4651</v>
          </cell>
        </row>
        <row r="354">
          <cell r="A354">
            <v>218733</v>
          </cell>
          <cell r="B354" t="str">
            <v>South Carolina St.</v>
          </cell>
          <cell r="C354" t="str">
            <v>MEAC</v>
          </cell>
          <cell r="D354">
            <v>4322</v>
          </cell>
        </row>
      </sheetData>
      <sheetData sheetId="12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196413</v>
          </cell>
          <cell r="B2" t="str">
            <v>Syracuse</v>
          </cell>
          <cell r="C2" t="str">
            <v>ACC</v>
          </cell>
          <cell r="D2">
            <v>390666</v>
          </cell>
        </row>
        <row r="3">
          <cell r="A3">
            <v>157085</v>
          </cell>
          <cell r="B3" t="str">
            <v>Kentucky</v>
          </cell>
          <cell r="C3" t="str">
            <v>SEC</v>
          </cell>
          <cell r="D3">
            <v>362872</v>
          </cell>
        </row>
        <row r="4">
          <cell r="A4">
            <v>221759</v>
          </cell>
          <cell r="B4" t="str">
            <v>Tennessee</v>
          </cell>
          <cell r="C4" t="str">
            <v>SEC</v>
          </cell>
          <cell r="D4">
            <v>322822</v>
          </cell>
        </row>
        <row r="5">
          <cell r="A5">
            <v>181002</v>
          </cell>
          <cell r="B5" t="str">
            <v>Creighton</v>
          </cell>
          <cell r="C5" t="str">
            <v>Big East</v>
          </cell>
          <cell r="D5">
            <v>311651</v>
          </cell>
        </row>
        <row r="6">
          <cell r="A6">
            <v>151351</v>
          </cell>
          <cell r="B6" t="str">
            <v>Indiana</v>
          </cell>
          <cell r="C6" t="str">
            <v>Big Ten</v>
          </cell>
          <cell r="D6">
            <v>309699</v>
          </cell>
        </row>
        <row r="7">
          <cell r="A7">
            <v>199120</v>
          </cell>
          <cell r="B7" t="str">
            <v>North Carolina</v>
          </cell>
          <cell r="C7" t="str">
            <v>ACC</v>
          </cell>
          <cell r="D7">
            <v>301544</v>
          </cell>
        </row>
        <row r="8">
          <cell r="A8">
            <v>157289</v>
          </cell>
          <cell r="B8" t="str">
            <v>Louisville</v>
          </cell>
          <cell r="C8" t="str">
            <v>ACC</v>
          </cell>
          <cell r="D8">
            <v>299846</v>
          </cell>
        </row>
        <row r="9">
          <cell r="A9">
            <v>106397</v>
          </cell>
          <cell r="B9" t="str">
            <v>Arkansas</v>
          </cell>
          <cell r="C9" t="str">
            <v>SEC</v>
          </cell>
          <cell r="D9">
            <v>294262</v>
          </cell>
        </row>
        <row r="10">
          <cell r="A10">
            <v>220862</v>
          </cell>
          <cell r="B10" t="str">
            <v>Memphis</v>
          </cell>
          <cell r="C10" t="str">
            <v>The American</v>
          </cell>
          <cell r="D10">
            <v>293622</v>
          </cell>
        </row>
        <row r="11">
          <cell r="A11">
            <v>199193</v>
          </cell>
          <cell r="B11" t="str">
            <v>NC State</v>
          </cell>
          <cell r="C11" t="str">
            <v>ACC</v>
          </cell>
          <cell r="D11">
            <v>272701</v>
          </cell>
        </row>
        <row r="12">
          <cell r="A12">
            <v>240444</v>
          </cell>
          <cell r="B12" t="str">
            <v>Wisconsin</v>
          </cell>
          <cell r="C12" t="str">
            <v>Big Ten</v>
          </cell>
          <cell r="D12">
            <v>270587</v>
          </cell>
        </row>
        <row r="13">
          <cell r="A13">
            <v>155317</v>
          </cell>
          <cell r="B13" t="str">
            <v>Kansas</v>
          </cell>
          <cell r="C13" t="str">
            <v>Big 12</v>
          </cell>
          <cell r="D13">
            <v>262202</v>
          </cell>
        </row>
        <row r="14">
          <cell r="A14">
            <v>204796</v>
          </cell>
          <cell r="B14" t="str">
            <v>Ohio St.</v>
          </cell>
          <cell r="C14" t="str">
            <v>Big Ten</v>
          </cell>
          <cell r="D14">
            <v>261561</v>
          </cell>
        </row>
        <row r="15">
          <cell r="A15">
            <v>163286</v>
          </cell>
          <cell r="B15" t="str">
            <v>Maryland</v>
          </cell>
          <cell r="C15" t="str">
            <v>Big Ten</v>
          </cell>
          <cell r="D15">
            <v>260720</v>
          </cell>
        </row>
        <row r="16">
          <cell r="A16">
            <v>181464</v>
          </cell>
          <cell r="B16" t="str">
            <v>Nebraska</v>
          </cell>
          <cell r="C16" t="str">
            <v>Big Ten</v>
          </cell>
          <cell r="D16">
            <v>249677</v>
          </cell>
        </row>
        <row r="17">
          <cell r="A17">
            <v>239105</v>
          </cell>
          <cell r="B17" t="str">
            <v>Marquette</v>
          </cell>
          <cell r="C17" t="str">
            <v>Big East</v>
          </cell>
          <cell r="D17">
            <v>242324</v>
          </cell>
        </row>
        <row r="18">
          <cell r="A18">
            <v>234076</v>
          </cell>
          <cell r="B18" t="str">
            <v>Virginia</v>
          </cell>
          <cell r="C18" t="str">
            <v>ACC</v>
          </cell>
          <cell r="D18">
            <v>239531</v>
          </cell>
        </row>
        <row r="19">
          <cell r="A19">
            <v>229115</v>
          </cell>
          <cell r="B19" t="str">
            <v>Texas Tech</v>
          </cell>
          <cell r="C19" t="str">
            <v>Big 12</v>
          </cell>
          <cell r="D19">
            <v>238962</v>
          </cell>
        </row>
        <row r="20">
          <cell r="A20">
            <v>153603</v>
          </cell>
          <cell r="B20" t="str">
            <v>Iowa St.</v>
          </cell>
          <cell r="C20" t="str">
            <v>Big 12</v>
          </cell>
          <cell r="D20">
            <v>237223</v>
          </cell>
        </row>
        <row r="21">
          <cell r="A21">
            <v>243780</v>
          </cell>
          <cell r="B21" t="str">
            <v>Purdue</v>
          </cell>
          <cell r="C21" t="str">
            <v>Big Ten</v>
          </cell>
          <cell r="D21">
            <v>236864</v>
          </cell>
        </row>
        <row r="22">
          <cell r="A22">
            <v>145637</v>
          </cell>
          <cell r="B22" t="str">
            <v>Illinois</v>
          </cell>
          <cell r="C22" t="str">
            <v>Big Ten</v>
          </cell>
          <cell r="D22">
            <v>234730</v>
          </cell>
        </row>
        <row r="23">
          <cell r="A23">
            <v>104179</v>
          </cell>
          <cell r="B23" t="str">
            <v>Arizona</v>
          </cell>
          <cell r="C23" t="str">
            <v>Pac-12</v>
          </cell>
          <cell r="D23">
            <v>232114</v>
          </cell>
        </row>
        <row r="24">
          <cell r="A24">
            <v>202480</v>
          </cell>
          <cell r="B24" t="str">
            <v>Dayton</v>
          </cell>
          <cell r="C24" t="str">
            <v>Atlantic 10</v>
          </cell>
          <cell r="D24">
            <v>227186</v>
          </cell>
        </row>
        <row r="25">
          <cell r="A25">
            <v>171100</v>
          </cell>
          <cell r="B25" t="str">
            <v>Michigan St.</v>
          </cell>
          <cell r="C25" t="str">
            <v>Big Ten</v>
          </cell>
          <cell r="D25">
            <v>221955</v>
          </cell>
        </row>
        <row r="26">
          <cell r="A26">
            <v>218663</v>
          </cell>
          <cell r="B26" t="str">
            <v>South Carolina</v>
          </cell>
          <cell r="C26" t="str">
            <v>SEC</v>
          </cell>
          <cell r="D26">
            <v>207068</v>
          </cell>
        </row>
        <row r="27">
          <cell r="A27">
            <v>170976</v>
          </cell>
          <cell r="B27" t="str">
            <v>Michigan</v>
          </cell>
          <cell r="C27" t="str">
            <v>Big Ten</v>
          </cell>
          <cell r="D27">
            <v>200621</v>
          </cell>
        </row>
        <row r="28">
          <cell r="A28">
            <v>187985</v>
          </cell>
          <cell r="B28" t="str">
            <v>New Mexico</v>
          </cell>
          <cell r="C28" t="str">
            <v>Mountain West</v>
          </cell>
          <cell r="D28">
            <v>197861</v>
          </cell>
        </row>
        <row r="29">
          <cell r="A29">
            <v>153658</v>
          </cell>
          <cell r="B29" t="str">
            <v>Iowa</v>
          </cell>
          <cell r="C29" t="str">
            <v>Big Ten</v>
          </cell>
          <cell r="D29">
            <v>197713</v>
          </cell>
        </row>
        <row r="30">
          <cell r="A30">
            <v>238032</v>
          </cell>
          <cell r="B30" t="str">
            <v>West Virginia</v>
          </cell>
          <cell r="C30" t="str">
            <v>Big 12</v>
          </cell>
          <cell r="D30">
            <v>196776</v>
          </cell>
        </row>
        <row r="31">
          <cell r="A31">
            <v>156125</v>
          </cell>
          <cell r="B31" t="str">
            <v>Wichita St.</v>
          </cell>
          <cell r="C31" t="str">
            <v>The American</v>
          </cell>
          <cell r="D31">
            <v>195978</v>
          </cell>
        </row>
        <row r="32">
          <cell r="A32">
            <v>230038</v>
          </cell>
          <cell r="B32" t="str">
            <v>BYU</v>
          </cell>
          <cell r="C32" t="str">
            <v>WCC</v>
          </cell>
          <cell r="D32">
            <v>189392</v>
          </cell>
        </row>
        <row r="33">
          <cell r="A33">
            <v>221999</v>
          </cell>
          <cell r="B33" t="str">
            <v>Vanderbilt</v>
          </cell>
          <cell r="C33" t="str">
            <v>SEC</v>
          </cell>
          <cell r="D33">
            <v>187484</v>
          </cell>
        </row>
        <row r="34">
          <cell r="A34">
            <v>206622</v>
          </cell>
          <cell r="B34" t="str">
            <v>Xavier</v>
          </cell>
          <cell r="C34" t="str">
            <v>Big East</v>
          </cell>
          <cell r="D34">
            <v>175281</v>
          </cell>
        </row>
        <row r="35">
          <cell r="A35">
            <v>122409</v>
          </cell>
          <cell r="B35" t="str">
            <v>San Diego St.</v>
          </cell>
          <cell r="C35" t="str">
            <v>Mountain West</v>
          </cell>
          <cell r="D35">
            <v>175015</v>
          </cell>
        </row>
        <row r="36">
          <cell r="A36">
            <v>159391</v>
          </cell>
          <cell r="B36" t="str">
            <v>LSU</v>
          </cell>
          <cell r="C36" t="str">
            <v>SEC</v>
          </cell>
          <cell r="D36">
            <v>171294</v>
          </cell>
        </row>
        <row r="37">
          <cell r="A37">
            <v>216597</v>
          </cell>
          <cell r="B37" t="str">
            <v>Villanova</v>
          </cell>
          <cell r="C37" t="str">
            <v>Big East</v>
          </cell>
          <cell r="D37">
            <v>169483</v>
          </cell>
        </row>
        <row r="38">
          <cell r="A38">
            <v>201885</v>
          </cell>
          <cell r="B38" t="str">
            <v>Cincinnati</v>
          </cell>
          <cell r="C38" t="str">
            <v>The American</v>
          </cell>
          <cell r="D38">
            <v>166493</v>
          </cell>
        </row>
        <row r="39">
          <cell r="A39">
            <v>228778</v>
          </cell>
          <cell r="B39" t="str">
            <v>Texas</v>
          </cell>
          <cell r="C39" t="str">
            <v>Big 12</v>
          </cell>
          <cell r="D39">
            <v>166236</v>
          </cell>
        </row>
        <row r="40">
          <cell r="A40">
            <v>139959</v>
          </cell>
          <cell r="B40" t="str">
            <v>Georgia</v>
          </cell>
          <cell r="C40" t="str">
            <v>SEC</v>
          </cell>
          <cell r="D40">
            <v>164071</v>
          </cell>
        </row>
        <row r="41">
          <cell r="A41">
            <v>174066</v>
          </cell>
          <cell r="B41" t="str">
            <v>Minnesota</v>
          </cell>
          <cell r="C41" t="str">
            <v>Big Ten</v>
          </cell>
          <cell r="D41">
            <v>163712</v>
          </cell>
        </row>
        <row r="42">
          <cell r="A42">
            <v>217402</v>
          </cell>
          <cell r="B42" t="str">
            <v>Providence</v>
          </cell>
          <cell r="C42" t="str">
            <v>Big East</v>
          </cell>
          <cell r="D42">
            <v>161029</v>
          </cell>
        </row>
        <row r="43">
          <cell r="A43">
            <v>233921</v>
          </cell>
          <cell r="B43" t="str">
            <v>Virginia Tech</v>
          </cell>
          <cell r="C43" t="str">
            <v>ACC</v>
          </cell>
          <cell r="D43">
            <v>159747</v>
          </cell>
        </row>
        <row r="44">
          <cell r="A44">
            <v>100751</v>
          </cell>
          <cell r="B44" t="str">
            <v>Alabama</v>
          </cell>
          <cell r="C44" t="str">
            <v>SEC</v>
          </cell>
          <cell r="D44">
            <v>159725</v>
          </cell>
        </row>
        <row r="45">
          <cell r="A45">
            <v>215293</v>
          </cell>
          <cell r="B45" t="str">
            <v>Pittsburgh</v>
          </cell>
          <cell r="C45" t="str">
            <v>ACC</v>
          </cell>
          <cell r="D45">
            <v>158847</v>
          </cell>
        </row>
        <row r="46">
          <cell r="A46">
            <v>198419</v>
          </cell>
          <cell r="B46" t="str">
            <v>Duke</v>
          </cell>
          <cell r="C46" t="str">
            <v>ACC</v>
          </cell>
          <cell r="D46">
            <v>158338</v>
          </cell>
        </row>
        <row r="47">
          <cell r="A47">
            <v>129020</v>
          </cell>
          <cell r="B47" t="str">
            <v>UConn</v>
          </cell>
          <cell r="C47" t="str">
            <v>The American</v>
          </cell>
          <cell r="D47">
            <v>156389</v>
          </cell>
        </row>
        <row r="48">
          <cell r="A48">
            <v>214777</v>
          </cell>
          <cell r="B48" t="str">
            <v>Penn St.</v>
          </cell>
          <cell r="C48" t="str">
            <v>Big Ten</v>
          </cell>
          <cell r="D48">
            <v>156235</v>
          </cell>
        </row>
        <row r="49">
          <cell r="A49">
            <v>182281</v>
          </cell>
          <cell r="B49" t="str">
            <v>UNLV</v>
          </cell>
          <cell r="C49" t="str">
            <v>Mountain West</v>
          </cell>
          <cell r="D49">
            <v>156140</v>
          </cell>
        </row>
        <row r="50">
          <cell r="A50">
            <v>186584</v>
          </cell>
          <cell r="B50" t="str">
            <v>Seton Hall</v>
          </cell>
          <cell r="C50" t="str">
            <v>Big East</v>
          </cell>
          <cell r="D50">
            <v>154924</v>
          </cell>
        </row>
        <row r="51">
          <cell r="A51">
            <v>100858</v>
          </cell>
          <cell r="B51" t="str">
            <v>Auburn</v>
          </cell>
          <cell r="C51" t="str">
            <v>SEC</v>
          </cell>
          <cell r="D51">
            <v>150721</v>
          </cell>
        </row>
        <row r="52">
          <cell r="A52">
            <v>104151</v>
          </cell>
          <cell r="B52" t="str">
            <v>Arizona St.</v>
          </cell>
          <cell r="C52" t="str">
            <v>Pac-12</v>
          </cell>
          <cell r="D52">
            <v>148019</v>
          </cell>
        </row>
        <row r="53">
          <cell r="A53">
            <v>230764</v>
          </cell>
          <cell r="B53" t="str">
            <v>Utah</v>
          </cell>
          <cell r="C53" t="str">
            <v>Pac-12</v>
          </cell>
          <cell r="D53">
            <v>147852</v>
          </cell>
        </row>
        <row r="54">
          <cell r="A54">
            <v>150163</v>
          </cell>
          <cell r="B54" t="str">
            <v>Butler</v>
          </cell>
          <cell r="C54" t="str">
            <v>Big East</v>
          </cell>
          <cell r="D54">
            <v>146489</v>
          </cell>
        </row>
        <row r="55">
          <cell r="A55">
            <v>178396</v>
          </cell>
          <cell r="B55" t="str">
            <v>Missouri</v>
          </cell>
          <cell r="C55" t="str">
            <v>SEC</v>
          </cell>
          <cell r="D55">
            <v>146136</v>
          </cell>
        </row>
        <row r="56">
          <cell r="A56">
            <v>134130</v>
          </cell>
          <cell r="B56" t="str">
            <v>Florida</v>
          </cell>
          <cell r="C56" t="str">
            <v>SEC</v>
          </cell>
          <cell r="D56">
            <v>146064</v>
          </cell>
        </row>
        <row r="57">
          <cell r="A57">
            <v>236948</v>
          </cell>
          <cell r="B57" t="str">
            <v>Washington</v>
          </cell>
          <cell r="C57" t="str">
            <v>Pac-12</v>
          </cell>
          <cell r="D57">
            <v>144175</v>
          </cell>
        </row>
        <row r="58">
          <cell r="A58">
            <v>155399</v>
          </cell>
          <cell r="B58" t="str">
            <v>Kansas St.</v>
          </cell>
          <cell r="C58" t="str">
            <v>Big 12</v>
          </cell>
          <cell r="D58">
            <v>143881</v>
          </cell>
        </row>
        <row r="59">
          <cell r="A59">
            <v>155399</v>
          </cell>
          <cell r="B59" t="str">
            <v>Kansas St.</v>
          </cell>
          <cell r="C59" t="str">
            <v>Big 12</v>
          </cell>
          <cell r="D59">
            <v>143881</v>
          </cell>
        </row>
        <row r="60">
          <cell r="A60">
            <v>134097</v>
          </cell>
          <cell r="B60" t="str">
            <v>Florida St.</v>
          </cell>
          <cell r="C60" t="str">
            <v>ACC</v>
          </cell>
          <cell r="D60">
            <v>143862</v>
          </cell>
        </row>
        <row r="61">
          <cell r="A61">
            <v>131496</v>
          </cell>
          <cell r="B61" t="str">
            <v>Georgetown</v>
          </cell>
          <cell r="C61" t="str">
            <v>Big East</v>
          </cell>
          <cell r="D61">
            <v>142762</v>
          </cell>
        </row>
        <row r="62">
          <cell r="A62">
            <v>230728</v>
          </cell>
          <cell r="B62" t="str">
            <v>Utah St.</v>
          </cell>
          <cell r="C62" t="str">
            <v>Mountain West</v>
          </cell>
          <cell r="D62">
            <v>138737</v>
          </cell>
        </row>
        <row r="63">
          <cell r="A63">
            <v>234030</v>
          </cell>
          <cell r="B63" t="str">
            <v>VCU</v>
          </cell>
          <cell r="C63" t="str">
            <v>Atlantic 10</v>
          </cell>
          <cell r="D63">
            <v>137466</v>
          </cell>
        </row>
        <row r="64">
          <cell r="A64">
            <v>152080</v>
          </cell>
          <cell r="B64" t="str">
            <v>Notre Dame</v>
          </cell>
          <cell r="C64" t="str">
            <v>ACC</v>
          </cell>
          <cell r="D64">
            <v>136777</v>
          </cell>
        </row>
        <row r="65">
          <cell r="A65">
            <v>209551</v>
          </cell>
          <cell r="B65" t="str">
            <v>Oregon</v>
          </cell>
          <cell r="C65" t="str">
            <v>Pac-12</v>
          </cell>
          <cell r="D65">
            <v>136648</v>
          </cell>
        </row>
        <row r="66">
          <cell r="A66">
            <v>182290</v>
          </cell>
          <cell r="B66" t="str">
            <v>Nevada</v>
          </cell>
          <cell r="C66" t="str">
            <v>Mountain West</v>
          </cell>
          <cell r="D66">
            <v>130815</v>
          </cell>
        </row>
        <row r="67">
          <cell r="A67">
            <v>186380</v>
          </cell>
          <cell r="B67" t="str">
            <v>Rutgers</v>
          </cell>
          <cell r="C67" t="str">
            <v>Big Ten</v>
          </cell>
          <cell r="D67">
            <v>128523</v>
          </cell>
        </row>
        <row r="68">
          <cell r="A68">
            <v>126614</v>
          </cell>
          <cell r="B68" t="str">
            <v>Colorado</v>
          </cell>
          <cell r="C68" t="str">
            <v>Pac-12</v>
          </cell>
          <cell r="D68">
            <v>127669</v>
          </cell>
        </row>
        <row r="69">
          <cell r="A69">
            <v>176017</v>
          </cell>
          <cell r="B69" t="str">
            <v>Ole Miss</v>
          </cell>
          <cell r="C69" t="str">
            <v>SEC</v>
          </cell>
          <cell r="D69">
            <v>126601</v>
          </cell>
        </row>
        <row r="70">
          <cell r="A70">
            <v>195809</v>
          </cell>
          <cell r="B70" t="str">
            <v>St. John's (NY)</v>
          </cell>
          <cell r="C70" t="str">
            <v>Big East</v>
          </cell>
          <cell r="D70">
            <v>124715</v>
          </cell>
        </row>
        <row r="71">
          <cell r="A71">
            <v>179159</v>
          </cell>
          <cell r="B71" t="str">
            <v>Saint Louis</v>
          </cell>
          <cell r="C71" t="str">
            <v>Atlantic 10</v>
          </cell>
          <cell r="D71">
            <v>123838</v>
          </cell>
        </row>
        <row r="72">
          <cell r="A72">
            <v>223232</v>
          </cell>
          <cell r="B72" t="str">
            <v>Baylor</v>
          </cell>
          <cell r="C72" t="str">
            <v>Big 12</v>
          </cell>
          <cell r="D72">
            <v>122664</v>
          </cell>
        </row>
        <row r="73">
          <cell r="A73">
            <v>207388</v>
          </cell>
          <cell r="B73" t="str">
            <v>Oklahoma St.</v>
          </cell>
          <cell r="C73" t="str">
            <v>Big 12</v>
          </cell>
          <cell r="D73">
            <v>121742</v>
          </cell>
        </row>
        <row r="74">
          <cell r="A74">
            <v>207500</v>
          </cell>
          <cell r="B74" t="str">
            <v>Oklahoma</v>
          </cell>
          <cell r="C74" t="str">
            <v>Big 12</v>
          </cell>
          <cell r="D74">
            <v>120815</v>
          </cell>
        </row>
        <row r="75">
          <cell r="A75">
            <v>228875</v>
          </cell>
          <cell r="B75" t="str">
            <v>TCU</v>
          </cell>
          <cell r="C75" t="str">
            <v>Big 12</v>
          </cell>
          <cell r="D75">
            <v>118359</v>
          </cell>
        </row>
        <row r="76">
          <cell r="A76">
            <v>228723</v>
          </cell>
          <cell r="B76" t="str">
            <v>Texas A&amp;M</v>
          </cell>
          <cell r="C76" t="str">
            <v>SEC</v>
          </cell>
          <cell r="D76">
            <v>118112</v>
          </cell>
        </row>
        <row r="77">
          <cell r="A77">
            <v>217882</v>
          </cell>
          <cell r="B77" t="str">
            <v>Clemson</v>
          </cell>
          <cell r="C77" t="str">
            <v>ACC</v>
          </cell>
          <cell r="D77">
            <v>116139</v>
          </cell>
        </row>
        <row r="78">
          <cell r="A78">
            <v>141574</v>
          </cell>
          <cell r="B78" t="str">
            <v>Hawaii</v>
          </cell>
          <cell r="C78" t="str">
            <v>Big West</v>
          </cell>
          <cell r="D78">
            <v>114333</v>
          </cell>
        </row>
        <row r="79">
          <cell r="A79">
            <v>110662</v>
          </cell>
          <cell r="B79" t="str">
            <v>UCLA</v>
          </cell>
          <cell r="C79" t="str">
            <v>Pac-12</v>
          </cell>
          <cell r="D79">
            <v>113998</v>
          </cell>
        </row>
        <row r="80">
          <cell r="A80">
            <v>104717</v>
          </cell>
          <cell r="B80" t="str">
            <v>Grand Canyon</v>
          </cell>
          <cell r="C80" t="str">
            <v>WAC</v>
          </cell>
          <cell r="D80">
            <v>111647</v>
          </cell>
        </row>
        <row r="81">
          <cell r="A81">
            <v>225511</v>
          </cell>
          <cell r="B81" t="str">
            <v>Houston</v>
          </cell>
          <cell r="C81" t="str">
            <v>The American</v>
          </cell>
          <cell r="D81">
            <v>107490</v>
          </cell>
        </row>
        <row r="82">
          <cell r="A82">
            <v>176080</v>
          </cell>
          <cell r="B82" t="str">
            <v>Mississippi St.</v>
          </cell>
          <cell r="C82" t="str">
            <v>SEC</v>
          </cell>
          <cell r="D82">
            <v>106711</v>
          </cell>
        </row>
        <row r="83">
          <cell r="A83">
            <v>235316</v>
          </cell>
          <cell r="B83" t="str">
            <v>Gonzaga</v>
          </cell>
          <cell r="C83" t="str">
            <v>WCC</v>
          </cell>
          <cell r="D83">
            <v>102000</v>
          </cell>
        </row>
        <row r="84">
          <cell r="A84">
            <v>164924</v>
          </cell>
          <cell r="B84" t="str">
            <v>Boston College</v>
          </cell>
          <cell r="C84" t="str">
            <v>ACC</v>
          </cell>
          <cell r="D84">
            <v>97527</v>
          </cell>
        </row>
        <row r="85">
          <cell r="A85">
            <v>199847</v>
          </cell>
          <cell r="B85" t="str">
            <v>Wake Forest</v>
          </cell>
          <cell r="C85" t="str">
            <v>ACC</v>
          </cell>
          <cell r="D85">
            <v>96653</v>
          </cell>
        </row>
        <row r="86">
          <cell r="A86">
            <v>216339</v>
          </cell>
          <cell r="B86" t="str">
            <v>Temple</v>
          </cell>
          <cell r="C86" t="str">
            <v>The American</v>
          </cell>
          <cell r="D86">
            <v>96377</v>
          </cell>
        </row>
        <row r="87">
          <cell r="A87">
            <v>143358</v>
          </cell>
          <cell r="B87" t="str">
            <v>Bradley</v>
          </cell>
          <cell r="C87" t="str">
            <v>MVC</v>
          </cell>
          <cell r="D87">
            <v>96059</v>
          </cell>
        </row>
        <row r="88">
          <cell r="A88">
            <v>233374</v>
          </cell>
          <cell r="B88" t="str">
            <v>Richmond</v>
          </cell>
          <cell r="C88" t="str">
            <v>Atlantic 10</v>
          </cell>
          <cell r="D88">
            <v>96013</v>
          </cell>
        </row>
        <row r="89">
          <cell r="A89">
            <v>144740</v>
          </cell>
          <cell r="B89" t="str">
            <v>DePaul</v>
          </cell>
          <cell r="C89" t="str">
            <v>Big East</v>
          </cell>
          <cell r="D89">
            <v>93371</v>
          </cell>
        </row>
        <row r="90">
          <cell r="A90">
            <v>217484</v>
          </cell>
          <cell r="B90" t="str">
            <v>Rhode Island</v>
          </cell>
          <cell r="C90" t="str">
            <v>Atlantic 10</v>
          </cell>
          <cell r="D90">
            <v>92156</v>
          </cell>
        </row>
        <row r="91">
          <cell r="A91">
            <v>147767</v>
          </cell>
          <cell r="B91" t="str">
            <v>Northwestern</v>
          </cell>
          <cell r="C91" t="str">
            <v>Big Ten</v>
          </cell>
          <cell r="D91">
            <v>91418</v>
          </cell>
        </row>
        <row r="92">
          <cell r="A92">
            <v>188030</v>
          </cell>
          <cell r="B92" t="str">
            <v>New Mexico St.</v>
          </cell>
          <cell r="C92" t="str">
            <v>WAC</v>
          </cell>
          <cell r="D92">
            <v>91041</v>
          </cell>
        </row>
        <row r="93">
          <cell r="A93">
            <v>228796</v>
          </cell>
          <cell r="B93" t="str">
            <v>UTEP</v>
          </cell>
          <cell r="C93" t="str">
            <v>CUSA</v>
          </cell>
          <cell r="D93">
            <v>90282</v>
          </cell>
        </row>
        <row r="94">
          <cell r="A94">
            <v>139755</v>
          </cell>
          <cell r="B94" t="str">
            <v>Georgia Tech</v>
          </cell>
          <cell r="C94" t="str">
            <v>ACC</v>
          </cell>
          <cell r="D94">
            <v>90260</v>
          </cell>
        </row>
        <row r="95">
          <cell r="A95">
            <v>237525</v>
          </cell>
          <cell r="B95" t="str">
            <v>Marshall</v>
          </cell>
          <cell r="C95" t="str">
            <v>CUSA</v>
          </cell>
          <cell r="D95">
            <v>90135</v>
          </cell>
        </row>
        <row r="96">
          <cell r="A96">
            <v>195474</v>
          </cell>
          <cell r="B96" t="str">
            <v>Siena</v>
          </cell>
          <cell r="C96" t="str">
            <v>MAAC</v>
          </cell>
          <cell r="D96">
            <v>87188</v>
          </cell>
        </row>
        <row r="97">
          <cell r="A97">
            <v>110635</v>
          </cell>
          <cell r="B97" t="str">
            <v>California</v>
          </cell>
          <cell r="C97" t="str">
            <v>Pac-12</v>
          </cell>
          <cell r="D97">
            <v>83996</v>
          </cell>
        </row>
        <row r="98">
          <cell r="A98">
            <v>232982</v>
          </cell>
          <cell r="B98" t="str">
            <v>Old Dominion</v>
          </cell>
          <cell r="C98" t="str">
            <v>CUSA</v>
          </cell>
          <cell r="D98">
            <v>83215</v>
          </cell>
        </row>
        <row r="99">
          <cell r="A99">
            <v>132903</v>
          </cell>
          <cell r="B99" t="str">
            <v>UCF</v>
          </cell>
          <cell r="C99" t="str">
            <v>The American</v>
          </cell>
          <cell r="D99">
            <v>80783</v>
          </cell>
        </row>
        <row r="100">
          <cell r="A100">
            <v>110556</v>
          </cell>
          <cell r="B100" t="str">
            <v>Fresno St.</v>
          </cell>
          <cell r="C100" t="str">
            <v>Mountain West</v>
          </cell>
          <cell r="D100">
            <v>80066</v>
          </cell>
        </row>
        <row r="101">
          <cell r="A101">
            <v>220075</v>
          </cell>
          <cell r="B101" t="str">
            <v>ETSU</v>
          </cell>
          <cell r="C101" t="str">
            <v>SoCon</v>
          </cell>
          <cell r="D101">
            <v>80004</v>
          </cell>
        </row>
        <row r="102">
          <cell r="A102">
            <v>135726</v>
          </cell>
          <cell r="B102" t="str">
            <v>Miami (FL)</v>
          </cell>
          <cell r="C102" t="str">
            <v>ACC</v>
          </cell>
          <cell r="D102">
            <v>79415</v>
          </cell>
        </row>
        <row r="103">
          <cell r="A103">
            <v>150534</v>
          </cell>
          <cell r="B103" t="str">
            <v>Evansville</v>
          </cell>
          <cell r="C103" t="str">
            <v>MVC</v>
          </cell>
          <cell r="D103">
            <v>77037</v>
          </cell>
        </row>
        <row r="104">
          <cell r="A104">
            <v>142115</v>
          </cell>
          <cell r="B104" t="str">
            <v>Boise St.</v>
          </cell>
          <cell r="C104" t="str">
            <v>Mountain West</v>
          </cell>
          <cell r="D104">
            <v>76737</v>
          </cell>
        </row>
        <row r="105">
          <cell r="A105">
            <v>232557</v>
          </cell>
          <cell r="B105" t="str">
            <v>Liberty</v>
          </cell>
          <cell r="C105" t="str">
            <v>ASUN</v>
          </cell>
          <cell r="D105">
            <v>76093</v>
          </cell>
        </row>
        <row r="106">
          <cell r="A106">
            <v>209542</v>
          </cell>
          <cell r="B106" t="str">
            <v>Oregon St.</v>
          </cell>
          <cell r="C106" t="str">
            <v>Pac-12</v>
          </cell>
          <cell r="D106">
            <v>75866</v>
          </cell>
        </row>
        <row r="107">
          <cell r="A107">
            <v>228246</v>
          </cell>
          <cell r="B107" t="str">
            <v>SMU</v>
          </cell>
          <cell r="C107" t="str">
            <v>The American</v>
          </cell>
          <cell r="D107">
            <v>74722</v>
          </cell>
        </row>
        <row r="108">
          <cell r="A108">
            <v>157401</v>
          </cell>
          <cell r="B108" t="str">
            <v>Murray St.</v>
          </cell>
          <cell r="C108" t="str">
            <v>OVC</v>
          </cell>
          <cell r="D108">
            <v>73298</v>
          </cell>
        </row>
        <row r="109">
          <cell r="A109">
            <v>204857</v>
          </cell>
          <cell r="B109" t="str">
            <v>Ohio</v>
          </cell>
          <cell r="C109" t="str">
            <v>MAC</v>
          </cell>
          <cell r="D109">
            <v>72978</v>
          </cell>
        </row>
        <row r="110">
          <cell r="A110">
            <v>157951</v>
          </cell>
          <cell r="B110" t="str">
            <v>Western Ky.</v>
          </cell>
          <cell r="C110" t="str">
            <v>CUSA</v>
          </cell>
          <cell r="D110">
            <v>71304</v>
          </cell>
        </row>
        <row r="111">
          <cell r="A111">
            <v>206084</v>
          </cell>
          <cell r="B111" t="str">
            <v>Toledo</v>
          </cell>
          <cell r="C111" t="str">
            <v>MAC</v>
          </cell>
          <cell r="D111">
            <v>68959</v>
          </cell>
        </row>
        <row r="112">
          <cell r="A112">
            <v>145813</v>
          </cell>
          <cell r="B112" t="str">
            <v>Illinois St.</v>
          </cell>
          <cell r="C112" t="str">
            <v>MVC</v>
          </cell>
          <cell r="D112">
            <v>68938</v>
          </cell>
        </row>
        <row r="113">
          <cell r="A113">
            <v>149222</v>
          </cell>
          <cell r="B113" t="str">
            <v>Southern Ill.</v>
          </cell>
          <cell r="C113" t="str">
            <v>MVC</v>
          </cell>
          <cell r="D113">
            <v>68791</v>
          </cell>
        </row>
        <row r="114">
          <cell r="A114">
            <v>243744</v>
          </cell>
          <cell r="B114" t="str">
            <v>Stanford</v>
          </cell>
          <cell r="C114" t="str">
            <v>Pac-12</v>
          </cell>
          <cell r="D114">
            <v>68733</v>
          </cell>
        </row>
        <row r="115">
          <cell r="A115">
            <v>207971</v>
          </cell>
          <cell r="B115" t="str">
            <v>Tulsa</v>
          </cell>
          <cell r="C115" t="str">
            <v>The American</v>
          </cell>
          <cell r="D115">
            <v>68731</v>
          </cell>
        </row>
        <row r="116">
          <cell r="A116">
            <v>232186</v>
          </cell>
          <cell r="B116" t="str">
            <v>George Mason</v>
          </cell>
          <cell r="C116" t="str">
            <v>Atlantic 10</v>
          </cell>
          <cell r="D116">
            <v>68634</v>
          </cell>
        </row>
        <row r="117">
          <cell r="A117">
            <v>154095</v>
          </cell>
          <cell r="B117" t="str">
            <v>UNI</v>
          </cell>
          <cell r="C117" t="str">
            <v>MVC</v>
          </cell>
          <cell r="D117">
            <v>68600</v>
          </cell>
        </row>
        <row r="118">
          <cell r="A118">
            <v>150136</v>
          </cell>
          <cell r="B118" t="str">
            <v>Ball St.</v>
          </cell>
          <cell r="C118" t="str">
            <v>MAC</v>
          </cell>
          <cell r="D118">
            <v>66591</v>
          </cell>
        </row>
        <row r="119">
          <cell r="A119">
            <v>206604</v>
          </cell>
          <cell r="B119" t="str">
            <v>Wright St.</v>
          </cell>
          <cell r="C119" t="str">
            <v>Horizon</v>
          </cell>
          <cell r="D119">
            <v>66465</v>
          </cell>
        </row>
        <row r="120">
          <cell r="A120">
            <v>123961</v>
          </cell>
          <cell r="B120" t="str">
            <v>Southern California</v>
          </cell>
          <cell r="C120" t="str">
            <v>Pac-12</v>
          </cell>
          <cell r="D120">
            <v>65755</v>
          </cell>
        </row>
        <row r="121">
          <cell r="A121">
            <v>137351</v>
          </cell>
          <cell r="B121" t="str">
            <v>South Fla.</v>
          </cell>
          <cell r="C121" t="str">
            <v>The American</v>
          </cell>
          <cell r="D121">
            <v>63826</v>
          </cell>
        </row>
        <row r="122">
          <cell r="A122">
            <v>110361</v>
          </cell>
          <cell r="B122" t="str">
            <v>California Baptist</v>
          </cell>
          <cell r="C122" t="str">
            <v>WAC</v>
          </cell>
          <cell r="D122">
            <v>63615</v>
          </cell>
        </row>
        <row r="123">
          <cell r="A123">
            <v>217819</v>
          </cell>
          <cell r="B123" t="str">
            <v>Col. of Charleston</v>
          </cell>
          <cell r="C123" t="str">
            <v>CAA</v>
          </cell>
          <cell r="D123">
            <v>63475</v>
          </cell>
        </row>
        <row r="124">
          <cell r="A124">
            <v>199148</v>
          </cell>
          <cell r="B124" t="str">
            <v>UNC Greensboro</v>
          </cell>
          <cell r="C124" t="str">
            <v>SoCon</v>
          </cell>
          <cell r="D124">
            <v>63208</v>
          </cell>
        </row>
        <row r="125">
          <cell r="A125">
            <v>198464</v>
          </cell>
          <cell r="B125" t="str">
            <v>East Carolina</v>
          </cell>
          <cell r="C125" t="str">
            <v>The American</v>
          </cell>
          <cell r="D125">
            <v>62899</v>
          </cell>
        </row>
        <row r="126">
          <cell r="A126">
            <v>230782</v>
          </cell>
          <cell r="B126" t="str">
            <v>Weber St.</v>
          </cell>
          <cell r="C126" t="str">
            <v>Big Sky</v>
          </cell>
          <cell r="D126">
            <v>61610</v>
          </cell>
        </row>
        <row r="127">
          <cell r="A127">
            <v>196088</v>
          </cell>
          <cell r="B127" t="str">
            <v>Buffalo</v>
          </cell>
          <cell r="C127" t="str">
            <v>MAC</v>
          </cell>
          <cell r="D127">
            <v>61427</v>
          </cell>
        </row>
        <row r="128">
          <cell r="A128">
            <v>195164</v>
          </cell>
          <cell r="B128" t="str">
            <v>St. Bonaventure</v>
          </cell>
          <cell r="C128" t="str">
            <v>Atlantic 10</v>
          </cell>
          <cell r="D128">
            <v>61020</v>
          </cell>
        </row>
        <row r="129">
          <cell r="A129">
            <v>180489</v>
          </cell>
          <cell r="B129" t="str">
            <v>Montana</v>
          </cell>
          <cell r="C129" t="str">
            <v>Big Sky</v>
          </cell>
          <cell r="D129">
            <v>60372</v>
          </cell>
        </row>
        <row r="130">
          <cell r="A130">
            <v>232265</v>
          </cell>
          <cell r="B130" t="str">
            <v>Hampton</v>
          </cell>
          <cell r="C130" t="str">
            <v>Big South</v>
          </cell>
          <cell r="D130">
            <v>60228</v>
          </cell>
        </row>
        <row r="131">
          <cell r="A131">
            <v>179566</v>
          </cell>
          <cell r="B131" t="str">
            <v>Missouri St.</v>
          </cell>
          <cell r="C131" t="str">
            <v>MVC</v>
          </cell>
          <cell r="D131">
            <v>59144</v>
          </cell>
        </row>
        <row r="132">
          <cell r="A132">
            <v>160658</v>
          </cell>
          <cell r="B132" t="str">
            <v>Louisiana</v>
          </cell>
          <cell r="C132" t="str">
            <v>Sun Belt</v>
          </cell>
          <cell r="D132">
            <v>59084</v>
          </cell>
        </row>
        <row r="133">
          <cell r="A133">
            <v>126818</v>
          </cell>
          <cell r="B133" t="str">
            <v>Colorado St.</v>
          </cell>
          <cell r="C133" t="str">
            <v>Mountain West</v>
          </cell>
          <cell r="D133">
            <v>56518</v>
          </cell>
        </row>
        <row r="134">
          <cell r="A134">
            <v>228431</v>
          </cell>
          <cell r="B134" t="str">
            <v>SFA</v>
          </cell>
          <cell r="C134" t="str">
            <v>Southland</v>
          </cell>
          <cell r="D134">
            <v>54782</v>
          </cell>
        </row>
        <row r="135">
          <cell r="A135">
            <v>123554</v>
          </cell>
          <cell r="B135" t="str">
            <v>Saint Mary's (CA)</v>
          </cell>
          <cell r="C135" t="str">
            <v>WCC</v>
          </cell>
          <cell r="D135">
            <v>54242</v>
          </cell>
        </row>
        <row r="136">
          <cell r="A136">
            <v>236939</v>
          </cell>
          <cell r="B136" t="str">
            <v>Washington St.</v>
          </cell>
          <cell r="C136" t="str">
            <v>Pac-12</v>
          </cell>
          <cell r="D136">
            <v>53811</v>
          </cell>
        </row>
        <row r="137">
          <cell r="A137">
            <v>240727</v>
          </cell>
          <cell r="B137" t="str">
            <v>Wyoming</v>
          </cell>
          <cell r="C137" t="str">
            <v>Mountain West</v>
          </cell>
          <cell r="D137">
            <v>53792</v>
          </cell>
        </row>
        <row r="138">
          <cell r="A138">
            <v>157447</v>
          </cell>
          <cell r="B138" t="str">
            <v>Northern Ky.</v>
          </cell>
          <cell r="C138" t="str">
            <v>Horizon</v>
          </cell>
          <cell r="D138">
            <v>53385</v>
          </cell>
        </row>
        <row r="139">
          <cell r="A139">
            <v>199139</v>
          </cell>
          <cell r="B139" t="str">
            <v>Charlotte</v>
          </cell>
          <cell r="C139" t="str">
            <v>CUSA</v>
          </cell>
          <cell r="D139">
            <v>53276</v>
          </cell>
        </row>
        <row r="140">
          <cell r="A140">
            <v>153269</v>
          </cell>
          <cell r="B140" t="str">
            <v>Drake</v>
          </cell>
          <cell r="C140" t="str">
            <v>MVC</v>
          </cell>
          <cell r="D140">
            <v>52868</v>
          </cell>
        </row>
        <row r="141">
          <cell r="A141">
            <v>231624</v>
          </cell>
          <cell r="B141" t="str">
            <v>William &amp; Mary</v>
          </cell>
          <cell r="C141" t="str">
            <v>CAA</v>
          </cell>
          <cell r="D141">
            <v>52121</v>
          </cell>
        </row>
        <row r="142">
          <cell r="A142">
            <v>227216</v>
          </cell>
          <cell r="B142" t="str">
            <v>North Texas</v>
          </cell>
          <cell r="C142" t="str">
            <v>CUSA</v>
          </cell>
          <cell r="D142">
            <v>51895</v>
          </cell>
        </row>
        <row r="143">
          <cell r="A143">
            <v>220978</v>
          </cell>
          <cell r="B143" t="str">
            <v>Middle Tenn.</v>
          </cell>
          <cell r="C143" t="str">
            <v>CUSA</v>
          </cell>
          <cell r="D143">
            <v>51789</v>
          </cell>
        </row>
        <row r="144">
          <cell r="A144">
            <v>146719</v>
          </cell>
          <cell r="B144" t="str">
            <v>Loyola Chicago</v>
          </cell>
          <cell r="C144" t="str">
            <v>MVC</v>
          </cell>
          <cell r="D144">
            <v>51433</v>
          </cell>
        </row>
        <row r="145">
          <cell r="A145">
            <v>102094</v>
          </cell>
          <cell r="B145" t="str">
            <v>South Alabama</v>
          </cell>
          <cell r="C145" t="str">
            <v>Sun Belt</v>
          </cell>
          <cell r="D145">
            <v>51237</v>
          </cell>
        </row>
        <row r="146">
          <cell r="A146">
            <v>200800</v>
          </cell>
          <cell r="B146" t="str">
            <v>Akron</v>
          </cell>
          <cell r="C146" t="str">
            <v>MAC</v>
          </cell>
          <cell r="D146">
            <v>50207</v>
          </cell>
        </row>
        <row r="147">
          <cell r="A147">
            <v>199218</v>
          </cell>
          <cell r="B147" t="str">
            <v>UNCW</v>
          </cell>
          <cell r="C147" t="str">
            <v>CAA</v>
          </cell>
          <cell r="D147">
            <v>50167</v>
          </cell>
        </row>
        <row r="148">
          <cell r="A148">
            <v>231174</v>
          </cell>
          <cell r="B148" t="str">
            <v>Vermont</v>
          </cell>
          <cell r="C148" t="str">
            <v>America East</v>
          </cell>
          <cell r="D148">
            <v>48501</v>
          </cell>
        </row>
        <row r="149">
          <cell r="A149">
            <v>180461</v>
          </cell>
          <cell r="B149" t="str">
            <v>Montana St.</v>
          </cell>
          <cell r="C149" t="str">
            <v>Big Sky</v>
          </cell>
          <cell r="D149">
            <v>48487</v>
          </cell>
        </row>
        <row r="150">
          <cell r="A150">
            <v>198385</v>
          </cell>
          <cell r="B150" t="str">
            <v>Davidson</v>
          </cell>
          <cell r="C150" t="str">
            <v>Atlantic 10</v>
          </cell>
          <cell r="D150">
            <v>47887</v>
          </cell>
        </row>
        <row r="151">
          <cell r="A151">
            <v>151324</v>
          </cell>
          <cell r="B151" t="str">
            <v>Indiana St.</v>
          </cell>
          <cell r="C151" t="str">
            <v>MVC</v>
          </cell>
          <cell r="D151">
            <v>47789</v>
          </cell>
        </row>
        <row r="152">
          <cell r="A152">
            <v>100663</v>
          </cell>
          <cell r="B152" t="str">
            <v>UAB</v>
          </cell>
          <cell r="C152" t="str">
            <v>CUSA</v>
          </cell>
          <cell r="D152">
            <v>46114</v>
          </cell>
        </row>
        <row r="153">
          <cell r="A153">
            <v>203517</v>
          </cell>
          <cell r="B153" t="str">
            <v>Kent St.</v>
          </cell>
          <cell r="C153" t="str">
            <v>MAC</v>
          </cell>
          <cell r="D153">
            <v>45628</v>
          </cell>
        </row>
        <row r="154">
          <cell r="A154">
            <v>221838</v>
          </cell>
          <cell r="B154" t="str">
            <v>Tennessee St.</v>
          </cell>
          <cell r="C154" t="str">
            <v>OVC</v>
          </cell>
          <cell r="D154">
            <v>45402</v>
          </cell>
        </row>
        <row r="155">
          <cell r="A155">
            <v>122612</v>
          </cell>
          <cell r="B155" t="str">
            <v>San Francisco</v>
          </cell>
          <cell r="C155" t="str">
            <v>WCC</v>
          </cell>
          <cell r="D155">
            <v>44503</v>
          </cell>
        </row>
        <row r="156">
          <cell r="A156">
            <v>176372</v>
          </cell>
          <cell r="B156" t="str">
            <v>Southern Miss.</v>
          </cell>
          <cell r="C156" t="str">
            <v>CUSA</v>
          </cell>
          <cell r="D156">
            <v>44324</v>
          </cell>
        </row>
        <row r="157">
          <cell r="A157">
            <v>166629</v>
          </cell>
          <cell r="B157" t="str">
            <v>Massachusetts</v>
          </cell>
          <cell r="C157" t="str">
            <v>Atlantic 10</v>
          </cell>
          <cell r="D157">
            <v>43477</v>
          </cell>
        </row>
        <row r="158">
          <cell r="A158">
            <v>159717</v>
          </cell>
          <cell r="B158" t="str">
            <v>McNeese</v>
          </cell>
          <cell r="C158" t="str">
            <v>Southland</v>
          </cell>
          <cell r="D158">
            <v>43304</v>
          </cell>
        </row>
        <row r="159">
          <cell r="A159">
            <v>218964</v>
          </cell>
          <cell r="B159" t="str">
            <v>Winthrop</v>
          </cell>
          <cell r="C159" t="str">
            <v>Big South</v>
          </cell>
          <cell r="D159">
            <v>42610</v>
          </cell>
        </row>
        <row r="160">
          <cell r="A160">
            <v>433660</v>
          </cell>
          <cell r="B160" t="str">
            <v>FGCU</v>
          </cell>
          <cell r="C160" t="str">
            <v>ASUN</v>
          </cell>
          <cell r="D160">
            <v>42228</v>
          </cell>
        </row>
        <row r="161">
          <cell r="A161">
            <v>159647</v>
          </cell>
          <cell r="B161" t="str">
            <v>Louisiana Tech</v>
          </cell>
          <cell r="C161" t="str">
            <v>CUSA</v>
          </cell>
          <cell r="D161">
            <v>42225</v>
          </cell>
        </row>
        <row r="162">
          <cell r="A162">
            <v>131469</v>
          </cell>
          <cell r="B162" t="str">
            <v>George Washington</v>
          </cell>
          <cell r="C162" t="str">
            <v>Atlantic 10</v>
          </cell>
          <cell r="D162">
            <v>41941</v>
          </cell>
        </row>
        <row r="163">
          <cell r="A163">
            <v>160621</v>
          </cell>
          <cell r="B163" t="str">
            <v>Southern U.</v>
          </cell>
          <cell r="C163" t="str">
            <v>SWAC</v>
          </cell>
          <cell r="D163">
            <v>41868</v>
          </cell>
        </row>
        <row r="164">
          <cell r="A164">
            <v>171571</v>
          </cell>
          <cell r="B164" t="str">
            <v>Oakland</v>
          </cell>
          <cell r="C164" t="str">
            <v>Horizon</v>
          </cell>
          <cell r="D164">
            <v>41638</v>
          </cell>
        </row>
        <row r="165">
          <cell r="A165">
            <v>206695</v>
          </cell>
          <cell r="B165" t="str">
            <v>Youngstown St.</v>
          </cell>
          <cell r="C165" t="str">
            <v>Horizon</v>
          </cell>
          <cell r="D165">
            <v>41246</v>
          </cell>
        </row>
        <row r="166">
          <cell r="A166">
            <v>228459</v>
          </cell>
          <cell r="B166" t="str">
            <v>Texas St.</v>
          </cell>
          <cell r="C166" t="str">
            <v>Sun Belt</v>
          </cell>
          <cell r="D166">
            <v>41123</v>
          </cell>
        </row>
        <row r="167">
          <cell r="A167">
            <v>140447</v>
          </cell>
          <cell r="B167" t="str">
            <v>Mercer</v>
          </cell>
          <cell r="C167" t="str">
            <v>SoCon</v>
          </cell>
          <cell r="D167">
            <v>41023</v>
          </cell>
        </row>
        <row r="168">
          <cell r="A168">
            <v>196097</v>
          </cell>
          <cell r="B168" t="str">
            <v>Stony Brook</v>
          </cell>
          <cell r="C168" t="str">
            <v>America East</v>
          </cell>
          <cell r="D168">
            <v>40137</v>
          </cell>
        </row>
        <row r="169">
          <cell r="A169">
            <v>215062</v>
          </cell>
          <cell r="B169" t="str">
            <v>Penn</v>
          </cell>
          <cell r="C169" t="str">
            <v>Ivy League</v>
          </cell>
          <cell r="D169">
            <v>39902</v>
          </cell>
        </row>
        <row r="170">
          <cell r="A170">
            <v>191649</v>
          </cell>
          <cell r="B170" t="str">
            <v>Hofstra</v>
          </cell>
          <cell r="C170" t="str">
            <v>CAA</v>
          </cell>
          <cell r="D170">
            <v>39718</v>
          </cell>
        </row>
        <row r="171">
          <cell r="A171">
            <v>102368</v>
          </cell>
          <cell r="B171" t="str">
            <v>Troy</v>
          </cell>
          <cell r="C171" t="str">
            <v>Sun Belt</v>
          </cell>
          <cell r="D171">
            <v>38937</v>
          </cell>
        </row>
        <row r="172">
          <cell r="A172">
            <v>221740</v>
          </cell>
          <cell r="B172" t="str">
            <v>Chattanooga</v>
          </cell>
          <cell r="C172" t="str">
            <v>SoCon</v>
          </cell>
          <cell r="D172">
            <v>38313</v>
          </cell>
        </row>
        <row r="173">
          <cell r="A173">
            <v>163268</v>
          </cell>
          <cell r="B173" t="str">
            <v>UMBC</v>
          </cell>
          <cell r="C173" t="str">
            <v>America East</v>
          </cell>
          <cell r="D173">
            <v>38243</v>
          </cell>
        </row>
        <row r="174">
          <cell r="A174">
            <v>200332</v>
          </cell>
          <cell r="B174" t="str">
            <v>North Dakota St.</v>
          </cell>
          <cell r="C174" t="str">
            <v>Summit League</v>
          </cell>
          <cell r="D174">
            <v>37462</v>
          </cell>
        </row>
        <row r="175">
          <cell r="A175">
            <v>201441</v>
          </cell>
          <cell r="B175" t="str">
            <v>Bowling Green</v>
          </cell>
          <cell r="C175" t="str">
            <v>MAC</v>
          </cell>
          <cell r="D175">
            <v>36791</v>
          </cell>
        </row>
        <row r="176">
          <cell r="A176">
            <v>218070</v>
          </cell>
          <cell r="B176" t="str">
            <v>Furman</v>
          </cell>
          <cell r="C176" t="str">
            <v>SoCon</v>
          </cell>
          <cell r="D176">
            <v>36739</v>
          </cell>
        </row>
        <row r="177">
          <cell r="A177">
            <v>232423</v>
          </cell>
          <cell r="B177" t="str">
            <v>James Madison</v>
          </cell>
          <cell r="C177" t="str">
            <v>CAA</v>
          </cell>
          <cell r="D177">
            <v>36518</v>
          </cell>
        </row>
        <row r="178">
          <cell r="A178">
            <v>152600</v>
          </cell>
          <cell r="B178" t="str">
            <v>Valparaiso</v>
          </cell>
          <cell r="C178" t="str">
            <v>MVC</v>
          </cell>
          <cell r="D178">
            <v>36360</v>
          </cell>
        </row>
        <row r="179">
          <cell r="A179">
            <v>110486</v>
          </cell>
          <cell r="B179" t="str">
            <v>CSU Bakersfield</v>
          </cell>
          <cell r="C179" t="str">
            <v>WAC</v>
          </cell>
          <cell r="D179">
            <v>36334</v>
          </cell>
        </row>
        <row r="180">
          <cell r="A180">
            <v>120883</v>
          </cell>
          <cell r="B180" t="str">
            <v>Pacific</v>
          </cell>
          <cell r="C180" t="str">
            <v>WCC</v>
          </cell>
          <cell r="D180">
            <v>35895</v>
          </cell>
        </row>
        <row r="181">
          <cell r="A181">
            <v>219356</v>
          </cell>
          <cell r="B181" t="str">
            <v>South Dakota St.</v>
          </cell>
          <cell r="C181" t="str">
            <v>Summit League</v>
          </cell>
          <cell r="D181">
            <v>34824</v>
          </cell>
        </row>
        <row r="182">
          <cell r="A182">
            <v>156620</v>
          </cell>
          <cell r="B182" t="str">
            <v>Eastern Ky.</v>
          </cell>
          <cell r="C182" t="str">
            <v>OVC</v>
          </cell>
          <cell r="D182">
            <v>34647</v>
          </cell>
        </row>
        <row r="183">
          <cell r="A183">
            <v>130943</v>
          </cell>
          <cell r="B183" t="str">
            <v>Delaware</v>
          </cell>
          <cell r="C183" t="str">
            <v>CAA</v>
          </cell>
          <cell r="D183">
            <v>34479</v>
          </cell>
        </row>
        <row r="184">
          <cell r="A184">
            <v>122931</v>
          </cell>
          <cell r="B184" t="str">
            <v>Santa Clara</v>
          </cell>
          <cell r="C184" t="str">
            <v>WCC</v>
          </cell>
          <cell r="D184">
            <v>34435</v>
          </cell>
        </row>
        <row r="185">
          <cell r="A185">
            <v>191241</v>
          </cell>
          <cell r="B185" t="str">
            <v>Fordham</v>
          </cell>
          <cell r="C185" t="str">
            <v>Atlantic 10</v>
          </cell>
          <cell r="D185">
            <v>34040</v>
          </cell>
        </row>
        <row r="186">
          <cell r="A186">
            <v>226091</v>
          </cell>
          <cell r="B186" t="str">
            <v>Lamar University</v>
          </cell>
          <cell r="C186" t="str">
            <v>Southland</v>
          </cell>
          <cell r="D186">
            <v>33842</v>
          </cell>
        </row>
        <row r="187">
          <cell r="A187">
            <v>207582</v>
          </cell>
          <cell r="B187" t="str">
            <v>Oral Roberts</v>
          </cell>
          <cell r="C187" t="str">
            <v>Summit League</v>
          </cell>
          <cell r="D187">
            <v>33569</v>
          </cell>
        </row>
        <row r="188">
          <cell r="A188">
            <v>199102</v>
          </cell>
          <cell r="B188" t="str">
            <v>N.C. A&amp;T</v>
          </cell>
          <cell r="C188" t="str">
            <v>MEAC</v>
          </cell>
          <cell r="D188">
            <v>33550</v>
          </cell>
        </row>
        <row r="189">
          <cell r="A189">
            <v>181394</v>
          </cell>
          <cell r="B189" t="str">
            <v>Omaha</v>
          </cell>
          <cell r="C189" t="str">
            <v>Summit League</v>
          </cell>
          <cell r="D189">
            <v>33504</v>
          </cell>
        </row>
        <row r="190">
          <cell r="A190">
            <v>219471</v>
          </cell>
          <cell r="B190" t="str">
            <v>South Dakota</v>
          </cell>
          <cell r="C190" t="str">
            <v>Summit League</v>
          </cell>
          <cell r="D190">
            <v>33322</v>
          </cell>
        </row>
        <row r="191">
          <cell r="A191">
            <v>110653</v>
          </cell>
          <cell r="B191" t="str">
            <v>UC Irvine</v>
          </cell>
          <cell r="C191" t="str">
            <v>Big West</v>
          </cell>
          <cell r="D191">
            <v>33248</v>
          </cell>
        </row>
        <row r="192">
          <cell r="A192">
            <v>230603</v>
          </cell>
          <cell r="B192" t="str">
            <v>Southern Utah</v>
          </cell>
          <cell r="C192" t="str">
            <v>Big Sky</v>
          </cell>
          <cell r="D192">
            <v>32651</v>
          </cell>
        </row>
        <row r="193">
          <cell r="A193">
            <v>219709</v>
          </cell>
          <cell r="B193" t="str">
            <v>Belmont</v>
          </cell>
          <cell r="C193" t="str">
            <v>OVC</v>
          </cell>
          <cell r="D193">
            <v>32476</v>
          </cell>
        </row>
        <row r="194">
          <cell r="A194">
            <v>212106</v>
          </cell>
          <cell r="B194" t="str">
            <v>Duquesne</v>
          </cell>
          <cell r="C194" t="str">
            <v>Atlantic 10</v>
          </cell>
          <cell r="D194">
            <v>32285</v>
          </cell>
        </row>
        <row r="195">
          <cell r="A195">
            <v>196079</v>
          </cell>
          <cell r="B195" t="str">
            <v>Binghamton</v>
          </cell>
          <cell r="C195" t="str">
            <v>America East</v>
          </cell>
          <cell r="D195">
            <v>31991</v>
          </cell>
        </row>
        <row r="196">
          <cell r="A196">
            <v>500002</v>
          </cell>
          <cell r="B196" t="str">
            <v>Air Force</v>
          </cell>
          <cell r="C196" t="str">
            <v>Mountain West</v>
          </cell>
          <cell r="D196">
            <v>31893</v>
          </cell>
        </row>
        <row r="197">
          <cell r="A197">
            <v>230737</v>
          </cell>
          <cell r="B197" t="str">
            <v>Utah Valley</v>
          </cell>
          <cell r="C197" t="str">
            <v>WAC</v>
          </cell>
          <cell r="D197">
            <v>31889</v>
          </cell>
        </row>
        <row r="198">
          <cell r="A198">
            <v>211291</v>
          </cell>
          <cell r="B198" t="str">
            <v>Bucknell</v>
          </cell>
          <cell r="C198" t="str">
            <v>Patriot</v>
          </cell>
          <cell r="D198">
            <v>31218</v>
          </cell>
        </row>
        <row r="199">
          <cell r="A199">
            <v>172699</v>
          </cell>
          <cell r="B199" t="str">
            <v>Western Mich.</v>
          </cell>
          <cell r="C199" t="str">
            <v>MAC</v>
          </cell>
          <cell r="D199">
            <v>30950</v>
          </cell>
        </row>
        <row r="200">
          <cell r="A200">
            <v>145600</v>
          </cell>
          <cell r="B200" t="str">
            <v>UIC</v>
          </cell>
          <cell r="C200" t="str">
            <v>Horizon</v>
          </cell>
          <cell r="D200">
            <v>30862</v>
          </cell>
        </row>
        <row r="201">
          <cell r="A201">
            <v>219976</v>
          </cell>
          <cell r="B201" t="str">
            <v>Lipscomb</v>
          </cell>
          <cell r="C201" t="str">
            <v>ASUN</v>
          </cell>
          <cell r="D201">
            <v>30411</v>
          </cell>
        </row>
        <row r="202">
          <cell r="A202">
            <v>196060</v>
          </cell>
          <cell r="B202" t="str">
            <v>UAlbany</v>
          </cell>
          <cell r="C202" t="str">
            <v>America East</v>
          </cell>
          <cell r="D202">
            <v>30272</v>
          </cell>
        </row>
        <row r="203">
          <cell r="A203">
            <v>136172</v>
          </cell>
          <cell r="B203" t="str">
            <v>North Florida</v>
          </cell>
          <cell r="C203" t="str">
            <v>ASUN</v>
          </cell>
          <cell r="D203">
            <v>30074</v>
          </cell>
        </row>
        <row r="204">
          <cell r="A204">
            <v>169248</v>
          </cell>
          <cell r="B204" t="str">
            <v>Central Mich.</v>
          </cell>
          <cell r="C204" t="str">
            <v>MAC</v>
          </cell>
          <cell r="D204">
            <v>30066</v>
          </cell>
        </row>
        <row r="205">
          <cell r="A205">
            <v>159993</v>
          </cell>
          <cell r="B205" t="str">
            <v>ULM</v>
          </cell>
          <cell r="C205" t="str">
            <v>Sun Belt</v>
          </cell>
          <cell r="D205">
            <v>29889</v>
          </cell>
        </row>
        <row r="206">
          <cell r="A206">
            <v>213367</v>
          </cell>
          <cell r="B206" t="str">
            <v>La Salle</v>
          </cell>
          <cell r="C206" t="str">
            <v>Atlantic 10</v>
          </cell>
          <cell r="D206">
            <v>29757</v>
          </cell>
        </row>
        <row r="207">
          <cell r="A207">
            <v>227757</v>
          </cell>
          <cell r="B207" t="str">
            <v>Rice</v>
          </cell>
          <cell r="C207" t="str">
            <v>CUSA</v>
          </cell>
          <cell r="D207">
            <v>29746</v>
          </cell>
        </row>
        <row r="208">
          <cell r="A208">
            <v>200004</v>
          </cell>
          <cell r="B208" t="str">
            <v>Western Caro.</v>
          </cell>
          <cell r="C208" t="str">
            <v>SoCon</v>
          </cell>
          <cell r="D208">
            <v>29580</v>
          </cell>
        </row>
        <row r="209">
          <cell r="A209">
            <v>215770</v>
          </cell>
          <cell r="B209" t="str">
            <v>Saint Joseph's</v>
          </cell>
          <cell r="C209" t="str">
            <v>Atlantic 10</v>
          </cell>
          <cell r="D209">
            <v>29513</v>
          </cell>
        </row>
        <row r="210">
          <cell r="A210">
            <v>218973</v>
          </cell>
          <cell r="B210" t="str">
            <v>Wofford</v>
          </cell>
          <cell r="C210" t="str">
            <v>SoCon</v>
          </cell>
          <cell r="D210">
            <v>29436</v>
          </cell>
        </row>
        <row r="211">
          <cell r="A211">
            <v>139940</v>
          </cell>
          <cell r="B211" t="str">
            <v>Georgia St.</v>
          </cell>
          <cell r="C211" t="str">
            <v>Sun Belt</v>
          </cell>
          <cell r="D211">
            <v>29209</v>
          </cell>
        </row>
        <row r="212">
          <cell r="A212">
            <v>240277</v>
          </cell>
          <cell r="B212" t="str">
            <v>Green Bay</v>
          </cell>
          <cell r="C212" t="str">
            <v>Horizon</v>
          </cell>
          <cell r="D212">
            <v>28653</v>
          </cell>
        </row>
        <row r="213">
          <cell r="A213">
            <v>209825</v>
          </cell>
          <cell r="B213" t="str">
            <v>Portland</v>
          </cell>
          <cell r="C213" t="str">
            <v>WCC</v>
          </cell>
          <cell r="D213">
            <v>28501</v>
          </cell>
        </row>
        <row r="214">
          <cell r="A214">
            <v>122436</v>
          </cell>
          <cell r="B214" t="str">
            <v>San Diego</v>
          </cell>
          <cell r="C214" t="str">
            <v>WCC</v>
          </cell>
          <cell r="D214">
            <v>28181</v>
          </cell>
        </row>
        <row r="215">
          <cell r="A215">
            <v>228769</v>
          </cell>
          <cell r="B215" t="str">
            <v>UT Arlington</v>
          </cell>
          <cell r="C215" t="str">
            <v>Sun Belt</v>
          </cell>
          <cell r="D215">
            <v>28065</v>
          </cell>
        </row>
        <row r="216">
          <cell r="A216">
            <v>185572</v>
          </cell>
          <cell r="B216" t="str">
            <v>Monmouth</v>
          </cell>
          <cell r="C216" t="str">
            <v>MAAC</v>
          </cell>
          <cell r="D216">
            <v>27926</v>
          </cell>
        </row>
        <row r="217">
          <cell r="A217">
            <v>110583</v>
          </cell>
          <cell r="B217" t="str">
            <v>Long Beach St.</v>
          </cell>
          <cell r="C217" t="str">
            <v>Big West</v>
          </cell>
          <cell r="D217">
            <v>27446</v>
          </cell>
        </row>
        <row r="218">
          <cell r="A218">
            <v>186131</v>
          </cell>
          <cell r="B218" t="str">
            <v>Princeton</v>
          </cell>
          <cell r="C218" t="str">
            <v>Ivy League</v>
          </cell>
          <cell r="D218">
            <v>27318</v>
          </cell>
        </row>
        <row r="219">
          <cell r="A219">
            <v>157386</v>
          </cell>
          <cell r="B219" t="str">
            <v>Morehead St.</v>
          </cell>
          <cell r="C219" t="str">
            <v>OVC</v>
          </cell>
          <cell r="D219">
            <v>27002</v>
          </cell>
        </row>
        <row r="220">
          <cell r="A220">
            <v>215655</v>
          </cell>
          <cell r="B220" t="str">
            <v>Robert Morris</v>
          </cell>
          <cell r="C220" t="str">
            <v>NEC</v>
          </cell>
          <cell r="D220">
            <v>26548</v>
          </cell>
        </row>
        <row r="221">
          <cell r="A221">
            <v>198516</v>
          </cell>
          <cell r="B221" t="str">
            <v>Elon</v>
          </cell>
          <cell r="C221" t="str">
            <v>CAA</v>
          </cell>
          <cell r="D221">
            <v>26422</v>
          </cell>
        </row>
        <row r="222">
          <cell r="A222">
            <v>122755</v>
          </cell>
          <cell r="B222" t="str">
            <v>San Jose St.</v>
          </cell>
          <cell r="C222" t="str">
            <v>Mountain West</v>
          </cell>
          <cell r="D222">
            <v>26022</v>
          </cell>
        </row>
        <row r="223">
          <cell r="A223">
            <v>106458</v>
          </cell>
          <cell r="B223" t="str">
            <v>Arkansas St.</v>
          </cell>
          <cell r="C223" t="str">
            <v>Sun Belt</v>
          </cell>
          <cell r="D223">
            <v>25608</v>
          </cell>
        </row>
        <row r="224">
          <cell r="A224">
            <v>163462</v>
          </cell>
          <cell r="B224" t="str">
            <v>Mount St. Mary's</v>
          </cell>
          <cell r="C224" t="str">
            <v>NEC</v>
          </cell>
          <cell r="D224">
            <v>25544</v>
          </cell>
        </row>
        <row r="225">
          <cell r="A225">
            <v>197869</v>
          </cell>
          <cell r="B225" t="str">
            <v>App State</v>
          </cell>
          <cell r="C225" t="str">
            <v>Sun Belt</v>
          </cell>
          <cell r="D225">
            <v>25276</v>
          </cell>
        </row>
        <row r="226">
          <cell r="A226">
            <v>218724</v>
          </cell>
          <cell r="B226" t="str">
            <v>Coastal Carolina</v>
          </cell>
          <cell r="C226" t="str">
            <v>Sun Belt</v>
          </cell>
          <cell r="D226">
            <v>25276</v>
          </cell>
        </row>
        <row r="227">
          <cell r="A227">
            <v>233277</v>
          </cell>
          <cell r="B227" t="str">
            <v>Radford</v>
          </cell>
          <cell r="C227" t="str">
            <v>Big South</v>
          </cell>
          <cell r="D227">
            <v>24991</v>
          </cell>
        </row>
        <row r="228">
          <cell r="A228">
            <v>169798</v>
          </cell>
          <cell r="B228" t="str">
            <v>Eastern Mich.</v>
          </cell>
          <cell r="C228" t="str">
            <v>MAC</v>
          </cell>
          <cell r="D228">
            <v>24942</v>
          </cell>
        </row>
        <row r="229">
          <cell r="A229">
            <v>232937</v>
          </cell>
          <cell r="B229" t="str">
            <v>Norfolk St.</v>
          </cell>
          <cell r="C229" t="str">
            <v>MEAC</v>
          </cell>
          <cell r="D229">
            <v>24930</v>
          </cell>
        </row>
        <row r="230">
          <cell r="A230">
            <v>110705</v>
          </cell>
          <cell r="B230" t="str">
            <v>UC Santa Barbara</v>
          </cell>
          <cell r="C230" t="str">
            <v>Big West</v>
          </cell>
          <cell r="D230">
            <v>24629</v>
          </cell>
        </row>
        <row r="231">
          <cell r="A231">
            <v>110422</v>
          </cell>
          <cell r="B231" t="str">
            <v>Cal Poly</v>
          </cell>
          <cell r="C231" t="str">
            <v>Big West</v>
          </cell>
          <cell r="D231">
            <v>24443</v>
          </cell>
        </row>
        <row r="232">
          <cell r="A232">
            <v>160755</v>
          </cell>
          <cell r="B232" t="str">
            <v>Tulane</v>
          </cell>
          <cell r="C232" t="str">
            <v>The American</v>
          </cell>
          <cell r="D232">
            <v>24405</v>
          </cell>
        </row>
        <row r="233">
          <cell r="A233">
            <v>204024</v>
          </cell>
          <cell r="B233" t="str">
            <v>Miami (OH)</v>
          </cell>
          <cell r="C233" t="str">
            <v>MAC</v>
          </cell>
          <cell r="D233">
            <v>24118</v>
          </cell>
        </row>
        <row r="234">
          <cell r="A234">
            <v>164076</v>
          </cell>
          <cell r="B234" t="str">
            <v>Towson</v>
          </cell>
          <cell r="C234" t="str">
            <v>CAA</v>
          </cell>
          <cell r="D234">
            <v>23761</v>
          </cell>
        </row>
        <row r="235">
          <cell r="A235">
            <v>222178</v>
          </cell>
          <cell r="B235" t="str">
            <v>Abilene Christian</v>
          </cell>
          <cell r="C235" t="str">
            <v>Southland</v>
          </cell>
          <cell r="D235">
            <v>23544</v>
          </cell>
        </row>
        <row r="236">
          <cell r="A236">
            <v>106245</v>
          </cell>
          <cell r="B236" t="str">
            <v>Little Rock</v>
          </cell>
          <cell r="C236" t="str">
            <v>Sun Belt</v>
          </cell>
          <cell r="D236">
            <v>23393</v>
          </cell>
        </row>
        <row r="237">
          <cell r="A237">
            <v>106412</v>
          </cell>
          <cell r="B237" t="str">
            <v>Ark.-Pine Bluff</v>
          </cell>
          <cell r="C237" t="str">
            <v>SWAC</v>
          </cell>
          <cell r="D237">
            <v>23247</v>
          </cell>
        </row>
        <row r="238">
          <cell r="A238">
            <v>500000</v>
          </cell>
          <cell r="B238" t="str">
            <v>Navy</v>
          </cell>
          <cell r="C238" t="str">
            <v>Patriot</v>
          </cell>
          <cell r="D238">
            <v>23057</v>
          </cell>
        </row>
        <row r="239">
          <cell r="A239">
            <v>219602</v>
          </cell>
          <cell r="B239" t="str">
            <v>Austin Peay</v>
          </cell>
          <cell r="C239" t="str">
            <v>OVC</v>
          </cell>
          <cell r="D239">
            <v>23006</v>
          </cell>
        </row>
        <row r="240">
          <cell r="A240">
            <v>199111</v>
          </cell>
          <cell r="B240" t="str">
            <v>UNC Asheville</v>
          </cell>
          <cell r="C240" t="str">
            <v>Big South</v>
          </cell>
          <cell r="D240">
            <v>22989</v>
          </cell>
        </row>
        <row r="241">
          <cell r="A241">
            <v>139931</v>
          </cell>
          <cell r="B241" t="str">
            <v>Ga. Southern</v>
          </cell>
          <cell r="C241" t="str">
            <v>Sun Belt</v>
          </cell>
          <cell r="D241">
            <v>22458</v>
          </cell>
        </row>
        <row r="242">
          <cell r="A242">
            <v>101480</v>
          </cell>
          <cell r="B242" t="str">
            <v>Jacksonville St.</v>
          </cell>
          <cell r="C242" t="str">
            <v>OVC</v>
          </cell>
          <cell r="D242">
            <v>22303</v>
          </cell>
        </row>
        <row r="243">
          <cell r="A243">
            <v>234085</v>
          </cell>
          <cell r="B243" t="str">
            <v>VMI</v>
          </cell>
          <cell r="C243" t="str">
            <v>SoCon</v>
          </cell>
          <cell r="D243">
            <v>22234</v>
          </cell>
        </row>
        <row r="244">
          <cell r="A244">
            <v>235097</v>
          </cell>
          <cell r="B244" t="str">
            <v>Eastern Wash.</v>
          </cell>
          <cell r="C244" t="str">
            <v>Big Sky</v>
          </cell>
          <cell r="D244">
            <v>22120</v>
          </cell>
        </row>
        <row r="245">
          <cell r="A245">
            <v>129242</v>
          </cell>
          <cell r="B245" t="str">
            <v>Fairfield</v>
          </cell>
          <cell r="C245" t="str">
            <v>MAAC</v>
          </cell>
          <cell r="D245">
            <v>21714</v>
          </cell>
        </row>
        <row r="246">
          <cell r="A246">
            <v>240453</v>
          </cell>
          <cell r="B246" t="str">
            <v>Milwaukee</v>
          </cell>
          <cell r="C246" t="str">
            <v>Horizon</v>
          </cell>
          <cell r="D246">
            <v>21478</v>
          </cell>
        </row>
        <row r="247">
          <cell r="A247">
            <v>213385</v>
          </cell>
          <cell r="B247" t="str">
            <v>Lafayette</v>
          </cell>
          <cell r="C247" t="str">
            <v>Patriot</v>
          </cell>
          <cell r="D247">
            <v>21381</v>
          </cell>
        </row>
        <row r="248">
          <cell r="A248">
            <v>224147</v>
          </cell>
          <cell r="B248" t="str">
            <v>A&amp;M-Corpus Christi</v>
          </cell>
          <cell r="C248" t="str">
            <v>Southland</v>
          </cell>
          <cell r="D248">
            <v>21377</v>
          </cell>
        </row>
        <row r="249">
          <cell r="A249">
            <v>198136</v>
          </cell>
          <cell r="B249" t="str">
            <v>Campbell</v>
          </cell>
          <cell r="C249" t="str">
            <v>Big South</v>
          </cell>
          <cell r="D249">
            <v>21230</v>
          </cell>
        </row>
        <row r="250">
          <cell r="A250">
            <v>229063</v>
          </cell>
          <cell r="B250" t="str">
            <v>Texas Southern</v>
          </cell>
          <cell r="C250" t="str">
            <v>SWAC</v>
          </cell>
          <cell r="D250">
            <v>21201</v>
          </cell>
        </row>
        <row r="251">
          <cell r="A251">
            <v>202134</v>
          </cell>
          <cell r="B251" t="str">
            <v>Cleveland St.</v>
          </cell>
          <cell r="C251" t="str">
            <v>Horizon</v>
          </cell>
          <cell r="D251">
            <v>21014</v>
          </cell>
        </row>
        <row r="252">
          <cell r="A252">
            <v>127741</v>
          </cell>
          <cell r="B252" t="str">
            <v>Northern Colo.</v>
          </cell>
          <cell r="C252" t="str">
            <v>Big Sky</v>
          </cell>
          <cell r="D252">
            <v>20953</v>
          </cell>
        </row>
        <row r="253">
          <cell r="A253">
            <v>221847</v>
          </cell>
          <cell r="B253" t="str">
            <v>Tennessee Tech</v>
          </cell>
          <cell r="C253" t="str">
            <v>OVC</v>
          </cell>
          <cell r="D253">
            <v>20399</v>
          </cell>
        </row>
        <row r="254">
          <cell r="A254">
            <v>163453</v>
          </cell>
          <cell r="B254" t="str">
            <v>Morgan St.</v>
          </cell>
          <cell r="C254" t="str">
            <v>MEAC</v>
          </cell>
          <cell r="D254">
            <v>20363</v>
          </cell>
        </row>
        <row r="255">
          <cell r="A255">
            <v>133669</v>
          </cell>
          <cell r="B255" t="str">
            <v>Fla. Atlantic</v>
          </cell>
          <cell r="C255" t="str">
            <v>CUSA</v>
          </cell>
          <cell r="D255">
            <v>19975</v>
          </cell>
        </row>
        <row r="256">
          <cell r="A256">
            <v>117946</v>
          </cell>
          <cell r="B256" t="str">
            <v>LMU (CA)</v>
          </cell>
          <cell r="C256" t="str">
            <v>WCC</v>
          </cell>
          <cell r="D256">
            <v>19568</v>
          </cell>
        </row>
        <row r="257">
          <cell r="A257">
            <v>121150</v>
          </cell>
          <cell r="B257" t="str">
            <v>Pepperdine</v>
          </cell>
          <cell r="C257" t="str">
            <v>WCC</v>
          </cell>
          <cell r="D257">
            <v>19461</v>
          </cell>
        </row>
        <row r="258">
          <cell r="A258">
            <v>217156</v>
          </cell>
          <cell r="B258" t="str">
            <v>Brown</v>
          </cell>
          <cell r="C258" t="str">
            <v>Ivy League</v>
          </cell>
          <cell r="D258">
            <v>19110</v>
          </cell>
        </row>
        <row r="259">
          <cell r="A259">
            <v>166124</v>
          </cell>
          <cell r="B259" t="str">
            <v>Holy Cross</v>
          </cell>
          <cell r="C259" t="str">
            <v>Patriot</v>
          </cell>
          <cell r="D259">
            <v>19019</v>
          </cell>
        </row>
        <row r="260">
          <cell r="A260">
            <v>169716</v>
          </cell>
          <cell r="B260" t="str">
            <v>Detroit Mercy</v>
          </cell>
          <cell r="C260" t="str">
            <v>Horizon</v>
          </cell>
          <cell r="D260">
            <v>18677</v>
          </cell>
        </row>
        <row r="261">
          <cell r="A261">
            <v>232566</v>
          </cell>
          <cell r="B261" t="str">
            <v>Longwood</v>
          </cell>
          <cell r="C261" t="str">
            <v>Big South</v>
          </cell>
          <cell r="D261">
            <v>18293</v>
          </cell>
        </row>
        <row r="262">
          <cell r="A262">
            <v>186283</v>
          </cell>
          <cell r="B262" t="str">
            <v>Rider</v>
          </cell>
          <cell r="C262" t="str">
            <v>MAAC</v>
          </cell>
          <cell r="D262">
            <v>18091</v>
          </cell>
        </row>
        <row r="263">
          <cell r="A263">
            <v>227368</v>
          </cell>
          <cell r="B263" t="str">
            <v>UTRGV</v>
          </cell>
          <cell r="C263" t="str">
            <v>WAC</v>
          </cell>
          <cell r="D263">
            <v>18049</v>
          </cell>
        </row>
        <row r="264">
          <cell r="A264">
            <v>227526</v>
          </cell>
          <cell r="B264" t="str">
            <v>Prairie View</v>
          </cell>
          <cell r="C264" t="str">
            <v>SWAC</v>
          </cell>
          <cell r="D264">
            <v>17943</v>
          </cell>
        </row>
        <row r="265">
          <cell r="A265">
            <v>198695</v>
          </cell>
          <cell r="B265" t="str">
            <v>High Point</v>
          </cell>
          <cell r="C265" t="str">
            <v>Big South</v>
          </cell>
          <cell r="D265">
            <v>17847</v>
          </cell>
        </row>
        <row r="266">
          <cell r="A266">
            <v>190150</v>
          </cell>
          <cell r="B266" t="str">
            <v>Columbia</v>
          </cell>
          <cell r="C266" t="str">
            <v>Ivy League</v>
          </cell>
          <cell r="D266">
            <v>17843</v>
          </cell>
        </row>
        <row r="267">
          <cell r="A267">
            <v>142276</v>
          </cell>
          <cell r="B267" t="str">
            <v>Idaho St.</v>
          </cell>
          <cell r="C267" t="str">
            <v>Big Sky</v>
          </cell>
          <cell r="D267">
            <v>17814</v>
          </cell>
        </row>
        <row r="268">
          <cell r="A268">
            <v>198561</v>
          </cell>
          <cell r="B268" t="str">
            <v>Gardner-Webb</v>
          </cell>
          <cell r="C268" t="str">
            <v>Big South</v>
          </cell>
          <cell r="D268">
            <v>17756</v>
          </cell>
        </row>
        <row r="269">
          <cell r="A269">
            <v>166027</v>
          </cell>
          <cell r="B269" t="str">
            <v>Harvard</v>
          </cell>
          <cell r="C269" t="str">
            <v>Ivy League</v>
          </cell>
          <cell r="D269">
            <v>17678</v>
          </cell>
        </row>
        <row r="270">
          <cell r="A270">
            <v>130226</v>
          </cell>
          <cell r="B270" t="str">
            <v>Quinnipiac</v>
          </cell>
          <cell r="C270" t="str">
            <v>MAAC</v>
          </cell>
          <cell r="D270">
            <v>17647</v>
          </cell>
        </row>
        <row r="271">
          <cell r="A271">
            <v>147703</v>
          </cell>
          <cell r="B271" t="str">
            <v>NIU</v>
          </cell>
          <cell r="C271" t="str">
            <v>MAC</v>
          </cell>
          <cell r="D271">
            <v>17313</v>
          </cell>
        </row>
        <row r="272">
          <cell r="A272">
            <v>110644</v>
          </cell>
          <cell r="B272" t="str">
            <v>UC Davis</v>
          </cell>
          <cell r="C272" t="str">
            <v>Big West</v>
          </cell>
          <cell r="D272">
            <v>17285</v>
          </cell>
        </row>
        <row r="273">
          <cell r="A273">
            <v>144892</v>
          </cell>
          <cell r="B273" t="str">
            <v>Eastern Ill.</v>
          </cell>
          <cell r="C273" t="str">
            <v>OVC</v>
          </cell>
          <cell r="D273">
            <v>17269</v>
          </cell>
        </row>
        <row r="274">
          <cell r="A274">
            <v>151102</v>
          </cell>
          <cell r="B274" t="str">
            <v>Purdue Fort Wayne</v>
          </cell>
          <cell r="C274" t="str">
            <v>Summit League</v>
          </cell>
          <cell r="D274">
            <v>17267</v>
          </cell>
        </row>
        <row r="275">
          <cell r="A275">
            <v>176044</v>
          </cell>
          <cell r="B275" t="str">
            <v>Mississippi Val.</v>
          </cell>
          <cell r="C275" t="str">
            <v>SWAC</v>
          </cell>
          <cell r="D275">
            <v>17264</v>
          </cell>
        </row>
        <row r="276">
          <cell r="A276">
            <v>190099</v>
          </cell>
          <cell r="B276" t="str">
            <v>Colgate</v>
          </cell>
          <cell r="C276" t="str">
            <v>Patriot</v>
          </cell>
          <cell r="D276">
            <v>17243</v>
          </cell>
        </row>
        <row r="277">
          <cell r="A277">
            <v>221768</v>
          </cell>
          <cell r="B277" t="str">
            <v>UT Martin</v>
          </cell>
          <cell r="C277" t="str">
            <v>OVC</v>
          </cell>
          <cell r="D277">
            <v>17170</v>
          </cell>
        </row>
        <row r="278">
          <cell r="A278">
            <v>191931</v>
          </cell>
          <cell r="B278" t="str">
            <v>Iona</v>
          </cell>
          <cell r="C278" t="str">
            <v>MAAC</v>
          </cell>
          <cell r="D278">
            <v>17169</v>
          </cell>
        </row>
        <row r="279">
          <cell r="A279">
            <v>131520</v>
          </cell>
          <cell r="B279" t="str">
            <v>Howard</v>
          </cell>
          <cell r="C279" t="str">
            <v>MEAC</v>
          </cell>
          <cell r="D279">
            <v>17103</v>
          </cell>
        </row>
        <row r="280">
          <cell r="A280">
            <v>500001</v>
          </cell>
          <cell r="B280" t="str">
            <v>Army West Point</v>
          </cell>
          <cell r="C280" t="str">
            <v>Patriot</v>
          </cell>
          <cell r="D280">
            <v>17099</v>
          </cell>
        </row>
        <row r="281">
          <cell r="A281">
            <v>200280</v>
          </cell>
          <cell r="B281" t="str">
            <v>North Dakota</v>
          </cell>
          <cell r="C281" t="str">
            <v>Summit League</v>
          </cell>
          <cell r="D281">
            <v>17058</v>
          </cell>
        </row>
        <row r="282">
          <cell r="A282">
            <v>192819</v>
          </cell>
          <cell r="B282" t="str">
            <v>Marist</v>
          </cell>
          <cell r="C282" t="str">
            <v>MAAC</v>
          </cell>
          <cell r="D282">
            <v>17050</v>
          </cell>
        </row>
        <row r="283">
          <cell r="A283">
            <v>189705</v>
          </cell>
          <cell r="B283" t="str">
            <v>Canisius</v>
          </cell>
          <cell r="C283" t="str">
            <v>MAAC</v>
          </cell>
          <cell r="D283">
            <v>16981</v>
          </cell>
        </row>
        <row r="284">
          <cell r="A284">
            <v>229027</v>
          </cell>
          <cell r="B284" t="str">
            <v>UTSA</v>
          </cell>
          <cell r="C284" t="str">
            <v>CUSA</v>
          </cell>
          <cell r="D284">
            <v>16796</v>
          </cell>
        </row>
        <row r="285">
          <cell r="A285">
            <v>197197</v>
          </cell>
          <cell r="B285" t="str">
            <v>Wagner</v>
          </cell>
          <cell r="C285" t="str">
            <v>NEC</v>
          </cell>
          <cell r="D285">
            <v>16752</v>
          </cell>
        </row>
        <row r="286">
          <cell r="A286">
            <v>179557</v>
          </cell>
          <cell r="B286" t="str">
            <v>Southeast Mo. St.</v>
          </cell>
          <cell r="C286" t="str">
            <v>OVC</v>
          </cell>
          <cell r="D286">
            <v>16647</v>
          </cell>
        </row>
        <row r="287">
          <cell r="A287">
            <v>166513</v>
          </cell>
          <cell r="B287" t="str">
            <v>UMass Lowell</v>
          </cell>
          <cell r="C287" t="str">
            <v>America East</v>
          </cell>
          <cell r="D287">
            <v>16368</v>
          </cell>
        </row>
        <row r="288">
          <cell r="A288">
            <v>212054</v>
          </cell>
          <cell r="B288" t="str">
            <v>Drexel</v>
          </cell>
          <cell r="C288" t="str">
            <v>CAA</v>
          </cell>
          <cell r="D288">
            <v>16323</v>
          </cell>
        </row>
        <row r="289">
          <cell r="A289">
            <v>133650</v>
          </cell>
          <cell r="B289" t="str">
            <v>Florida A&amp;M</v>
          </cell>
          <cell r="C289" t="str">
            <v>MEAC</v>
          </cell>
          <cell r="D289">
            <v>16186</v>
          </cell>
        </row>
        <row r="290">
          <cell r="A290">
            <v>215743</v>
          </cell>
          <cell r="B290" t="str">
            <v>Saint Francis</v>
          </cell>
          <cell r="C290" t="str">
            <v>NEC</v>
          </cell>
          <cell r="D290">
            <v>16164</v>
          </cell>
        </row>
        <row r="291">
          <cell r="A291">
            <v>129525</v>
          </cell>
          <cell r="B291" t="str">
            <v>Hartford</v>
          </cell>
          <cell r="C291" t="str">
            <v>America East</v>
          </cell>
          <cell r="D291">
            <v>16131</v>
          </cell>
        </row>
        <row r="292">
          <cell r="A292">
            <v>130794</v>
          </cell>
          <cell r="B292" t="str">
            <v>Yale</v>
          </cell>
          <cell r="C292" t="str">
            <v>Ivy League</v>
          </cell>
          <cell r="D292">
            <v>16073</v>
          </cell>
        </row>
        <row r="293">
          <cell r="A293">
            <v>209807</v>
          </cell>
          <cell r="B293" t="str">
            <v>Portland St.</v>
          </cell>
          <cell r="C293" t="str">
            <v>Big Sky</v>
          </cell>
          <cell r="D293">
            <v>15867</v>
          </cell>
        </row>
        <row r="294">
          <cell r="A294">
            <v>160038</v>
          </cell>
          <cell r="B294" t="str">
            <v>Northwestern St.</v>
          </cell>
          <cell r="C294" t="str">
            <v>Southland</v>
          </cell>
          <cell r="D294">
            <v>15722</v>
          </cell>
        </row>
        <row r="295">
          <cell r="A295">
            <v>142285</v>
          </cell>
          <cell r="B295" t="str">
            <v>Idaho</v>
          </cell>
          <cell r="C295" t="str">
            <v>Big Sky</v>
          </cell>
          <cell r="D295">
            <v>15720</v>
          </cell>
        </row>
        <row r="296">
          <cell r="A296">
            <v>151111</v>
          </cell>
          <cell r="B296" t="str">
            <v>IU Indy</v>
          </cell>
          <cell r="C296" t="str">
            <v>Horizon</v>
          </cell>
          <cell r="D296">
            <v>15661</v>
          </cell>
        </row>
        <row r="297">
          <cell r="A297">
            <v>128771</v>
          </cell>
          <cell r="B297" t="str">
            <v>Central Conn. St.</v>
          </cell>
          <cell r="C297" t="str">
            <v>NEC</v>
          </cell>
          <cell r="D297">
            <v>15555</v>
          </cell>
        </row>
        <row r="298">
          <cell r="A298">
            <v>167358</v>
          </cell>
          <cell r="B298" t="str">
            <v>Northeastern</v>
          </cell>
          <cell r="C298" t="str">
            <v>CAA</v>
          </cell>
          <cell r="D298">
            <v>15419</v>
          </cell>
        </row>
        <row r="299">
          <cell r="A299">
            <v>106704</v>
          </cell>
          <cell r="B299" t="str">
            <v>Central Ark.</v>
          </cell>
          <cell r="C299" t="str">
            <v>Southland</v>
          </cell>
          <cell r="D299">
            <v>15374</v>
          </cell>
        </row>
        <row r="300">
          <cell r="A300">
            <v>227881</v>
          </cell>
          <cell r="B300" t="str">
            <v>Sam Houston</v>
          </cell>
          <cell r="C300" t="str">
            <v>Southland</v>
          </cell>
          <cell r="D300">
            <v>15367</v>
          </cell>
        </row>
        <row r="301">
          <cell r="A301">
            <v>100724</v>
          </cell>
          <cell r="B301" t="str">
            <v>Alabama St.</v>
          </cell>
          <cell r="C301" t="str">
            <v>SWAC</v>
          </cell>
          <cell r="D301">
            <v>15282</v>
          </cell>
        </row>
        <row r="302">
          <cell r="A302">
            <v>192703</v>
          </cell>
          <cell r="B302" t="str">
            <v>Manhattan</v>
          </cell>
          <cell r="C302" t="str">
            <v>MAAC</v>
          </cell>
          <cell r="D302">
            <v>14856</v>
          </cell>
        </row>
        <row r="303">
          <cell r="A303">
            <v>100654</v>
          </cell>
          <cell r="B303" t="str">
            <v>Alabama A&amp;M</v>
          </cell>
          <cell r="C303" t="str">
            <v>SWAC</v>
          </cell>
          <cell r="D303">
            <v>14841</v>
          </cell>
        </row>
        <row r="304">
          <cell r="A304">
            <v>133951</v>
          </cell>
          <cell r="B304" t="str">
            <v>FIU</v>
          </cell>
          <cell r="C304" t="str">
            <v>CUSA</v>
          </cell>
          <cell r="D304">
            <v>14674</v>
          </cell>
        </row>
        <row r="305">
          <cell r="A305">
            <v>159009</v>
          </cell>
          <cell r="B305" t="str">
            <v>Grambling</v>
          </cell>
          <cell r="C305" t="str">
            <v>SWAC</v>
          </cell>
          <cell r="D305">
            <v>14559</v>
          </cell>
        </row>
        <row r="306">
          <cell r="A306">
            <v>217165</v>
          </cell>
          <cell r="B306" t="str">
            <v>Bryant</v>
          </cell>
          <cell r="C306" t="str">
            <v>NEC</v>
          </cell>
          <cell r="D306">
            <v>14229</v>
          </cell>
        </row>
        <row r="307">
          <cell r="A307">
            <v>217864</v>
          </cell>
          <cell r="B307" t="str">
            <v>The Citadel</v>
          </cell>
          <cell r="C307" t="str">
            <v>SoCon</v>
          </cell>
          <cell r="D307">
            <v>14019</v>
          </cell>
        </row>
        <row r="308">
          <cell r="A308">
            <v>199157</v>
          </cell>
          <cell r="B308" t="str">
            <v>N.C. Central</v>
          </cell>
          <cell r="C308" t="str">
            <v>MEAC</v>
          </cell>
          <cell r="D308">
            <v>13977</v>
          </cell>
        </row>
        <row r="309">
          <cell r="A309">
            <v>178402</v>
          </cell>
          <cell r="B309" t="str">
            <v>Kansas City</v>
          </cell>
          <cell r="C309" t="str">
            <v>WAC</v>
          </cell>
          <cell r="D309">
            <v>13898</v>
          </cell>
        </row>
        <row r="310">
          <cell r="A310">
            <v>127060</v>
          </cell>
          <cell r="B310" t="str">
            <v>Denver</v>
          </cell>
          <cell r="C310" t="str">
            <v>Summit League</v>
          </cell>
          <cell r="D310">
            <v>13860</v>
          </cell>
        </row>
        <row r="311">
          <cell r="A311">
            <v>193973</v>
          </cell>
          <cell r="B311" t="str">
            <v>Niagara</v>
          </cell>
          <cell r="C311" t="str">
            <v>MAAC</v>
          </cell>
          <cell r="D311">
            <v>13578</v>
          </cell>
        </row>
        <row r="312">
          <cell r="A312">
            <v>102049</v>
          </cell>
          <cell r="B312" t="str">
            <v>Samford</v>
          </cell>
          <cell r="C312" t="str">
            <v>SoCon</v>
          </cell>
          <cell r="D312">
            <v>13269</v>
          </cell>
        </row>
        <row r="313">
          <cell r="A313">
            <v>110608</v>
          </cell>
          <cell r="B313" t="str">
            <v>CSUN</v>
          </cell>
          <cell r="C313" t="str">
            <v>Big West</v>
          </cell>
          <cell r="D313">
            <v>12923</v>
          </cell>
        </row>
        <row r="314">
          <cell r="A314">
            <v>236595</v>
          </cell>
          <cell r="B314" t="str">
            <v>Seattle U</v>
          </cell>
          <cell r="C314" t="str">
            <v>WAC</v>
          </cell>
          <cell r="D314">
            <v>12582</v>
          </cell>
        </row>
        <row r="315">
          <cell r="A315">
            <v>486840</v>
          </cell>
          <cell r="B315" t="str">
            <v>Kennesaw St.</v>
          </cell>
          <cell r="C315" t="str">
            <v>ASUN</v>
          </cell>
          <cell r="D315">
            <v>12490</v>
          </cell>
        </row>
        <row r="316">
          <cell r="A316" t="e">
            <v>#N/A</v>
          </cell>
          <cell r="B316" t="str">
            <v>Merrimack</v>
          </cell>
          <cell r="C316" t="str">
            <v>NEC</v>
          </cell>
          <cell r="D316">
            <v>12473</v>
          </cell>
        </row>
        <row r="317">
          <cell r="A317">
            <v>213543</v>
          </cell>
          <cell r="B317" t="str">
            <v>Lehigh</v>
          </cell>
          <cell r="C317" t="str">
            <v>Patriot</v>
          </cell>
          <cell r="D317">
            <v>12436</v>
          </cell>
        </row>
        <row r="318">
          <cell r="A318">
            <v>110565</v>
          </cell>
          <cell r="B318" t="str">
            <v>Cal St. Fullerton</v>
          </cell>
          <cell r="C318" t="str">
            <v>Big West</v>
          </cell>
          <cell r="D318">
            <v>12276</v>
          </cell>
        </row>
        <row r="319">
          <cell r="A319">
            <v>131159</v>
          </cell>
          <cell r="B319" t="str">
            <v>American</v>
          </cell>
          <cell r="C319" t="str">
            <v>Patriot</v>
          </cell>
          <cell r="D319">
            <v>12050</v>
          </cell>
        </row>
        <row r="320">
          <cell r="A320">
            <v>164988</v>
          </cell>
          <cell r="B320" t="str">
            <v>Boston U.</v>
          </cell>
          <cell r="C320" t="str">
            <v>Patriot</v>
          </cell>
          <cell r="D320">
            <v>11734</v>
          </cell>
        </row>
        <row r="321">
          <cell r="A321">
            <v>190415</v>
          </cell>
          <cell r="B321" t="str">
            <v>Cornell</v>
          </cell>
          <cell r="C321" t="str">
            <v>Ivy League</v>
          </cell>
          <cell r="D321">
            <v>11456</v>
          </cell>
        </row>
        <row r="322">
          <cell r="A322">
            <v>134945</v>
          </cell>
          <cell r="B322" t="str">
            <v>Jacksonville</v>
          </cell>
          <cell r="C322" t="str">
            <v>ASUN</v>
          </cell>
          <cell r="D322">
            <v>11003</v>
          </cell>
        </row>
        <row r="323">
          <cell r="A323">
            <v>161253</v>
          </cell>
          <cell r="B323" t="str">
            <v>Maine</v>
          </cell>
          <cell r="C323" t="str">
            <v>America East</v>
          </cell>
          <cell r="D323">
            <v>10711</v>
          </cell>
        </row>
        <row r="324">
          <cell r="A324">
            <v>110617</v>
          </cell>
          <cell r="B324" t="str">
            <v>Sacramento St.</v>
          </cell>
          <cell r="C324" t="str">
            <v>Big Sky</v>
          </cell>
          <cell r="D324">
            <v>10500</v>
          </cell>
        </row>
        <row r="325">
          <cell r="A325">
            <v>182670</v>
          </cell>
          <cell r="B325" t="str">
            <v>Dartmouth</v>
          </cell>
          <cell r="C325" t="str">
            <v>Ivy League</v>
          </cell>
          <cell r="D325">
            <v>10480</v>
          </cell>
        </row>
        <row r="326">
          <cell r="A326">
            <v>149231</v>
          </cell>
          <cell r="B326" t="str">
            <v>SIUE</v>
          </cell>
          <cell r="C326" t="str">
            <v>OVC</v>
          </cell>
          <cell r="D326">
            <v>10376</v>
          </cell>
        </row>
        <row r="327">
          <cell r="A327">
            <v>159939</v>
          </cell>
          <cell r="B327" t="str">
            <v>New Orleans</v>
          </cell>
          <cell r="C327" t="str">
            <v>Southland</v>
          </cell>
          <cell r="D327">
            <v>10295</v>
          </cell>
        </row>
        <row r="328">
          <cell r="A328">
            <v>130934</v>
          </cell>
          <cell r="B328" t="str">
            <v>Delaware St.</v>
          </cell>
          <cell r="C328" t="str">
            <v>MEAC</v>
          </cell>
          <cell r="D328">
            <v>10290</v>
          </cell>
        </row>
        <row r="329">
          <cell r="A329">
            <v>105330</v>
          </cell>
          <cell r="B329" t="str">
            <v>Northern Ariz.</v>
          </cell>
          <cell r="C329" t="str">
            <v>Big Sky</v>
          </cell>
          <cell r="D329">
            <v>10215</v>
          </cell>
        </row>
        <row r="330">
          <cell r="A330">
            <v>163046</v>
          </cell>
          <cell r="B330" t="str">
            <v>Loyola Maryland</v>
          </cell>
          <cell r="C330" t="str">
            <v>Patriot</v>
          </cell>
          <cell r="D330">
            <v>9782</v>
          </cell>
        </row>
        <row r="331">
          <cell r="A331">
            <v>192448</v>
          </cell>
          <cell r="B331" t="str">
            <v>LIU</v>
          </cell>
          <cell r="C331" t="str">
            <v>NEC</v>
          </cell>
          <cell r="D331">
            <v>9745</v>
          </cell>
        </row>
        <row r="332">
          <cell r="A332">
            <v>218733</v>
          </cell>
          <cell r="B332" t="str">
            <v>South Carolina St.</v>
          </cell>
          <cell r="C332" t="str">
            <v>MEAC</v>
          </cell>
          <cell r="D332">
            <v>9674</v>
          </cell>
        </row>
        <row r="333">
          <cell r="A333">
            <v>137546</v>
          </cell>
          <cell r="B333" t="str">
            <v>Stetson</v>
          </cell>
          <cell r="C333" t="str">
            <v>ASUN</v>
          </cell>
          <cell r="D333">
            <v>9636</v>
          </cell>
        </row>
        <row r="334">
          <cell r="A334">
            <v>218742</v>
          </cell>
          <cell r="B334" t="str">
            <v>USC Upstate</v>
          </cell>
          <cell r="C334" t="str">
            <v>Big South</v>
          </cell>
          <cell r="D334">
            <v>9631</v>
          </cell>
        </row>
        <row r="335">
          <cell r="A335">
            <v>162283</v>
          </cell>
          <cell r="B335" t="str">
            <v>Coppin St.</v>
          </cell>
          <cell r="C335" t="str">
            <v>MEAC</v>
          </cell>
          <cell r="D335">
            <v>9549</v>
          </cell>
        </row>
        <row r="336">
          <cell r="A336">
            <v>217688</v>
          </cell>
          <cell r="B336" t="str">
            <v>Charleston So.</v>
          </cell>
          <cell r="C336" t="str">
            <v>Big South</v>
          </cell>
          <cell r="D336">
            <v>9508</v>
          </cell>
        </row>
        <row r="337">
          <cell r="A337">
            <v>101879</v>
          </cell>
          <cell r="B337" t="str">
            <v>North Ala.</v>
          </cell>
          <cell r="C337" t="str">
            <v>ASUN</v>
          </cell>
          <cell r="D337">
            <v>9423</v>
          </cell>
        </row>
        <row r="338">
          <cell r="A338">
            <v>160612</v>
          </cell>
          <cell r="B338" t="str">
            <v>Southeastern La.</v>
          </cell>
          <cell r="C338" t="str">
            <v>Southland</v>
          </cell>
          <cell r="D338">
            <v>9389</v>
          </cell>
        </row>
        <row r="339">
          <cell r="A339">
            <v>110671</v>
          </cell>
          <cell r="B339" t="str">
            <v>UC Riverside</v>
          </cell>
          <cell r="C339" t="str">
            <v>Big West</v>
          </cell>
          <cell r="D339">
            <v>9286</v>
          </cell>
        </row>
        <row r="340">
          <cell r="A340">
            <v>186432</v>
          </cell>
          <cell r="B340" t="str">
            <v>Saint Peter's</v>
          </cell>
          <cell r="C340" t="str">
            <v>MAAC</v>
          </cell>
          <cell r="D340">
            <v>8903</v>
          </cell>
        </row>
        <row r="341">
          <cell r="A341">
            <v>175856</v>
          </cell>
          <cell r="B341" t="str">
            <v>Jackson St.</v>
          </cell>
          <cell r="C341" t="str">
            <v>SWAC</v>
          </cell>
          <cell r="D341">
            <v>8381</v>
          </cell>
        </row>
        <row r="342">
          <cell r="A342">
            <v>159966</v>
          </cell>
          <cell r="B342" t="str">
            <v>Nicholls</v>
          </cell>
          <cell r="C342" t="str">
            <v>Southland</v>
          </cell>
          <cell r="D342">
            <v>8292</v>
          </cell>
        </row>
        <row r="343">
          <cell r="A343">
            <v>185828</v>
          </cell>
          <cell r="B343" t="str">
            <v>NJIT</v>
          </cell>
          <cell r="C343" t="str">
            <v>ASUN</v>
          </cell>
          <cell r="D343">
            <v>8234</v>
          </cell>
        </row>
        <row r="344">
          <cell r="A344">
            <v>130253</v>
          </cell>
          <cell r="B344" t="str">
            <v>Sacred Heart</v>
          </cell>
          <cell r="C344" t="str">
            <v>NEC</v>
          </cell>
          <cell r="D344">
            <v>8140</v>
          </cell>
        </row>
        <row r="345">
          <cell r="A345">
            <v>149772</v>
          </cell>
          <cell r="B345" t="str">
            <v>Western Ill.</v>
          </cell>
          <cell r="C345" t="str">
            <v>Summit League</v>
          </cell>
          <cell r="D345">
            <v>8034</v>
          </cell>
        </row>
        <row r="346">
          <cell r="A346">
            <v>184603</v>
          </cell>
          <cell r="B346" t="str">
            <v>FDU</v>
          </cell>
          <cell r="C346" t="str">
            <v>NEC</v>
          </cell>
          <cell r="D346">
            <v>8029</v>
          </cell>
        </row>
        <row r="347">
          <cell r="A347">
            <v>132602</v>
          </cell>
          <cell r="B347" t="str">
            <v>Bethune-Cookman</v>
          </cell>
          <cell r="C347" t="str">
            <v>MEAC</v>
          </cell>
          <cell r="D347">
            <v>7943</v>
          </cell>
        </row>
        <row r="348">
          <cell r="A348">
            <v>225399</v>
          </cell>
          <cell r="B348" t="str">
            <v>Houston Christian</v>
          </cell>
          <cell r="C348" t="str">
            <v>Southland</v>
          </cell>
          <cell r="D348">
            <v>7583</v>
          </cell>
        </row>
        <row r="349">
          <cell r="A349">
            <v>195173</v>
          </cell>
          <cell r="B349" t="str">
            <v>St. Francis Brooklyn</v>
          </cell>
          <cell r="C349" t="str">
            <v>NEC</v>
          </cell>
          <cell r="D349">
            <v>7426</v>
          </cell>
        </row>
        <row r="350">
          <cell r="A350">
            <v>183044</v>
          </cell>
          <cell r="B350" t="str">
            <v>New Hampshire</v>
          </cell>
          <cell r="C350" t="str">
            <v>America East</v>
          </cell>
          <cell r="D350">
            <v>7185</v>
          </cell>
        </row>
        <row r="351">
          <cell r="A351">
            <v>163338</v>
          </cell>
          <cell r="B351" t="str">
            <v>UMES</v>
          </cell>
          <cell r="C351" t="str">
            <v>MEAC</v>
          </cell>
          <cell r="D351">
            <v>6723</v>
          </cell>
        </row>
        <row r="352">
          <cell r="A352">
            <v>225627</v>
          </cell>
          <cell r="B352" t="str">
            <v>UIW</v>
          </cell>
          <cell r="C352" t="str">
            <v>Southland</v>
          </cell>
          <cell r="D352">
            <v>5926</v>
          </cell>
        </row>
        <row r="353">
          <cell r="A353">
            <v>218539</v>
          </cell>
          <cell r="B353" t="str">
            <v>Presbyterian</v>
          </cell>
          <cell r="C353" t="str">
            <v>Big South</v>
          </cell>
          <cell r="D353">
            <v>5369</v>
          </cell>
        </row>
        <row r="354">
          <cell r="A354">
            <v>144005</v>
          </cell>
          <cell r="B354" t="str">
            <v>Chicago St.</v>
          </cell>
          <cell r="C354" t="str">
            <v>WAC</v>
          </cell>
          <cell r="D354">
            <v>4869</v>
          </cell>
        </row>
        <row r="355">
          <cell r="A355">
            <v>175342</v>
          </cell>
          <cell r="B355" t="str">
            <v>Alcorn</v>
          </cell>
          <cell r="C355" t="str">
            <v>SWAC</v>
          </cell>
          <cell r="D355">
            <v>4056</v>
          </cell>
        </row>
      </sheetData>
      <sheetData sheetId="13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106397</v>
          </cell>
          <cell r="B2" t="str">
            <v>Arkansas</v>
          </cell>
          <cell r="C2" t="str">
            <v>SEC</v>
          </cell>
          <cell r="D2">
            <v>72822</v>
          </cell>
        </row>
        <row r="3">
          <cell r="A3">
            <v>221759</v>
          </cell>
          <cell r="B3" t="str">
            <v>Tennessee</v>
          </cell>
          <cell r="C3" t="str">
            <v>SEC</v>
          </cell>
          <cell r="D3">
            <v>67056</v>
          </cell>
        </row>
        <row r="4">
          <cell r="A4">
            <v>229115</v>
          </cell>
          <cell r="B4" t="str">
            <v>Texas Tech</v>
          </cell>
          <cell r="C4" t="str">
            <v>Big 12</v>
          </cell>
          <cell r="D4">
            <v>58734</v>
          </cell>
        </row>
        <row r="5">
          <cell r="A5">
            <v>207388</v>
          </cell>
          <cell r="B5" t="str">
            <v>Oklahoma St.</v>
          </cell>
          <cell r="C5" t="str">
            <v>Big 12</v>
          </cell>
          <cell r="D5">
            <v>43550</v>
          </cell>
        </row>
        <row r="6">
          <cell r="A6">
            <v>134097</v>
          </cell>
          <cell r="B6" t="str">
            <v>Florida St.</v>
          </cell>
          <cell r="C6" t="str">
            <v>ACC</v>
          </cell>
          <cell r="D6">
            <v>36067</v>
          </cell>
        </row>
        <row r="7">
          <cell r="A7">
            <v>157289</v>
          </cell>
          <cell r="B7" t="str">
            <v>Louisville</v>
          </cell>
          <cell r="C7" t="str">
            <v>ACC</v>
          </cell>
          <cell r="D7">
            <v>35009</v>
          </cell>
        </row>
        <row r="8">
          <cell r="A8">
            <v>178396</v>
          </cell>
          <cell r="B8" t="str">
            <v>Missouri</v>
          </cell>
          <cell r="C8" t="str">
            <v>SEC</v>
          </cell>
          <cell r="D8">
            <v>33890</v>
          </cell>
        </row>
        <row r="9">
          <cell r="A9">
            <v>157085</v>
          </cell>
          <cell r="B9" t="str">
            <v>Kentucky</v>
          </cell>
          <cell r="C9" t="str">
            <v>SEC</v>
          </cell>
          <cell r="D9">
            <v>33825</v>
          </cell>
        </row>
        <row r="10">
          <cell r="A10">
            <v>218663</v>
          </cell>
          <cell r="B10" t="str">
            <v>South Carolina</v>
          </cell>
          <cell r="C10" t="str">
            <v>SEC</v>
          </cell>
          <cell r="D10">
            <v>28582</v>
          </cell>
        </row>
        <row r="11">
          <cell r="A11">
            <v>159391</v>
          </cell>
          <cell r="B11" t="str">
            <v>LSU</v>
          </cell>
          <cell r="C11" t="str">
            <v>SEC</v>
          </cell>
          <cell r="D11">
            <v>28433</v>
          </cell>
        </row>
        <row r="12">
          <cell r="A12">
            <v>207500</v>
          </cell>
          <cell r="B12" t="str">
            <v>Oklahoma</v>
          </cell>
          <cell r="C12" t="str">
            <v>Big 12</v>
          </cell>
          <cell r="D12">
            <v>28119</v>
          </cell>
        </row>
        <row r="13">
          <cell r="A13">
            <v>225511</v>
          </cell>
          <cell r="B13" t="str">
            <v>Houston</v>
          </cell>
          <cell r="C13" t="str">
            <v>The American</v>
          </cell>
          <cell r="D13">
            <v>27885</v>
          </cell>
        </row>
        <row r="14">
          <cell r="A14">
            <v>139959</v>
          </cell>
          <cell r="B14" t="str">
            <v>Georgia</v>
          </cell>
          <cell r="C14" t="str">
            <v>SEC</v>
          </cell>
          <cell r="D14">
            <v>27846</v>
          </cell>
        </row>
        <row r="15">
          <cell r="A15">
            <v>155317</v>
          </cell>
          <cell r="B15" t="str">
            <v>Kansas</v>
          </cell>
          <cell r="C15" t="str">
            <v>Big 12</v>
          </cell>
          <cell r="D15">
            <v>27700</v>
          </cell>
        </row>
        <row r="16">
          <cell r="A16">
            <v>100751</v>
          </cell>
          <cell r="B16" t="str">
            <v>Alabama</v>
          </cell>
          <cell r="C16" t="str">
            <v>SEC</v>
          </cell>
          <cell r="D16">
            <v>26685</v>
          </cell>
        </row>
        <row r="17">
          <cell r="A17">
            <v>228875</v>
          </cell>
          <cell r="B17" t="str">
            <v>TCU</v>
          </cell>
          <cell r="C17" t="str">
            <v>Big 12</v>
          </cell>
          <cell r="D17">
            <v>24595</v>
          </cell>
        </row>
        <row r="18">
          <cell r="A18">
            <v>100858</v>
          </cell>
          <cell r="B18" t="str">
            <v>Auburn</v>
          </cell>
          <cell r="C18" t="str">
            <v>SEC</v>
          </cell>
          <cell r="D18">
            <v>23712</v>
          </cell>
        </row>
        <row r="19">
          <cell r="A19">
            <v>223232</v>
          </cell>
          <cell r="B19" t="str">
            <v>Baylor</v>
          </cell>
          <cell r="C19" t="str">
            <v>Big 12</v>
          </cell>
          <cell r="D19">
            <v>23500</v>
          </cell>
        </row>
        <row r="20">
          <cell r="A20">
            <v>217882</v>
          </cell>
          <cell r="B20" t="str">
            <v>Clemson</v>
          </cell>
          <cell r="C20" t="str">
            <v>ACC</v>
          </cell>
          <cell r="D20">
            <v>21613</v>
          </cell>
        </row>
        <row r="21">
          <cell r="A21">
            <v>220862</v>
          </cell>
          <cell r="B21" t="str">
            <v>Memphis</v>
          </cell>
          <cell r="C21" t="str">
            <v>The American</v>
          </cell>
          <cell r="D21">
            <v>21419</v>
          </cell>
        </row>
        <row r="22">
          <cell r="A22">
            <v>134130</v>
          </cell>
          <cell r="B22" t="str">
            <v>Florida</v>
          </cell>
          <cell r="C22" t="str">
            <v>SEC</v>
          </cell>
          <cell r="D22">
            <v>20599</v>
          </cell>
        </row>
        <row r="23">
          <cell r="A23">
            <v>150163</v>
          </cell>
          <cell r="B23" t="str">
            <v>Butler</v>
          </cell>
          <cell r="C23" t="str">
            <v>Big East</v>
          </cell>
          <cell r="D23">
            <v>19894</v>
          </cell>
        </row>
        <row r="24">
          <cell r="A24">
            <v>217819</v>
          </cell>
          <cell r="B24" t="str">
            <v>Col. of Charleston</v>
          </cell>
          <cell r="C24" t="str">
            <v>CAA</v>
          </cell>
          <cell r="D24">
            <v>19756</v>
          </cell>
        </row>
        <row r="25">
          <cell r="A25">
            <v>228778</v>
          </cell>
          <cell r="B25" t="str">
            <v>Texas</v>
          </cell>
          <cell r="C25" t="str">
            <v>Big 12</v>
          </cell>
          <cell r="D25">
            <v>19667</v>
          </cell>
        </row>
        <row r="26">
          <cell r="A26">
            <v>156125</v>
          </cell>
          <cell r="B26" t="str">
            <v>Wichita St.</v>
          </cell>
          <cell r="C26" t="str">
            <v>The American</v>
          </cell>
          <cell r="D26">
            <v>19398</v>
          </cell>
        </row>
        <row r="27">
          <cell r="A27">
            <v>159647</v>
          </cell>
          <cell r="B27" t="str">
            <v>Louisiana Tech</v>
          </cell>
          <cell r="C27" t="str">
            <v>CUSA</v>
          </cell>
          <cell r="D27">
            <v>19200</v>
          </cell>
        </row>
        <row r="28">
          <cell r="A28">
            <v>181002</v>
          </cell>
          <cell r="B28" t="str">
            <v>Creighton</v>
          </cell>
          <cell r="C28" t="str">
            <v>Big East</v>
          </cell>
          <cell r="D28">
            <v>18666</v>
          </cell>
        </row>
        <row r="29">
          <cell r="A29">
            <v>238032</v>
          </cell>
          <cell r="B29" t="str">
            <v>West Virginia</v>
          </cell>
          <cell r="C29" t="str">
            <v>Big 12</v>
          </cell>
          <cell r="D29">
            <v>18464</v>
          </cell>
        </row>
        <row r="30">
          <cell r="A30">
            <v>230728</v>
          </cell>
          <cell r="B30" t="str">
            <v>Utah St.</v>
          </cell>
          <cell r="C30" t="str">
            <v>Mountain West</v>
          </cell>
          <cell r="D30">
            <v>17988</v>
          </cell>
        </row>
        <row r="31">
          <cell r="A31">
            <v>176080</v>
          </cell>
          <cell r="B31" t="str">
            <v>Mississippi St.</v>
          </cell>
          <cell r="C31" t="str">
            <v>SEC</v>
          </cell>
          <cell r="D31">
            <v>17430</v>
          </cell>
        </row>
        <row r="32">
          <cell r="A32">
            <v>157401</v>
          </cell>
          <cell r="B32" t="str">
            <v>Murray St.</v>
          </cell>
          <cell r="C32" t="str">
            <v>OVC</v>
          </cell>
          <cell r="D32">
            <v>16179</v>
          </cell>
        </row>
        <row r="33">
          <cell r="A33">
            <v>207582</v>
          </cell>
          <cell r="B33" t="str">
            <v>Oral Roberts</v>
          </cell>
          <cell r="C33" t="str">
            <v>Summit League</v>
          </cell>
          <cell r="D33">
            <v>15991</v>
          </cell>
        </row>
        <row r="34">
          <cell r="A34">
            <v>179566</v>
          </cell>
          <cell r="B34" t="str">
            <v>Missouri St.</v>
          </cell>
          <cell r="C34" t="str">
            <v>MVC</v>
          </cell>
          <cell r="D34">
            <v>15826</v>
          </cell>
        </row>
        <row r="35">
          <cell r="A35">
            <v>100663</v>
          </cell>
          <cell r="B35" t="str">
            <v>UAB</v>
          </cell>
          <cell r="C35" t="str">
            <v>CUSA</v>
          </cell>
          <cell r="D35">
            <v>15761</v>
          </cell>
        </row>
        <row r="36">
          <cell r="A36">
            <v>139755</v>
          </cell>
          <cell r="B36" t="str">
            <v>Georgia Tech</v>
          </cell>
          <cell r="C36" t="str">
            <v>ACC</v>
          </cell>
          <cell r="D36">
            <v>15600</v>
          </cell>
        </row>
        <row r="37">
          <cell r="A37">
            <v>102094</v>
          </cell>
          <cell r="B37" t="str">
            <v>South Alabama</v>
          </cell>
          <cell r="C37" t="str">
            <v>Sun Belt</v>
          </cell>
          <cell r="D37">
            <v>14990</v>
          </cell>
        </row>
        <row r="38">
          <cell r="A38">
            <v>227216</v>
          </cell>
          <cell r="B38" t="str">
            <v>North Texas</v>
          </cell>
          <cell r="C38" t="str">
            <v>CUSA</v>
          </cell>
          <cell r="D38">
            <v>14835</v>
          </cell>
        </row>
        <row r="39">
          <cell r="A39">
            <v>176017</v>
          </cell>
          <cell r="B39" t="str">
            <v>Ole Miss</v>
          </cell>
          <cell r="C39" t="str">
            <v>SEC</v>
          </cell>
          <cell r="D39">
            <v>14439</v>
          </cell>
        </row>
        <row r="40">
          <cell r="A40">
            <v>157951</v>
          </cell>
          <cell r="B40" t="str">
            <v>Western Ky.</v>
          </cell>
          <cell r="C40" t="str">
            <v>CUSA</v>
          </cell>
          <cell r="D40">
            <v>14374</v>
          </cell>
        </row>
        <row r="41">
          <cell r="A41">
            <v>237525</v>
          </cell>
          <cell r="B41" t="str">
            <v>Marshall</v>
          </cell>
          <cell r="C41" t="str">
            <v>CUSA</v>
          </cell>
          <cell r="D41">
            <v>14216</v>
          </cell>
        </row>
        <row r="42">
          <cell r="A42">
            <v>159993</v>
          </cell>
          <cell r="B42" t="str">
            <v>ULM</v>
          </cell>
          <cell r="C42" t="str">
            <v>Sun Belt</v>
          </cell>
          <cell r="D42">
            <v>13988</v>
          </cell>
        </row>
        <row r="43">
          <cell r="A43">
            <v>132903</v>
          </cell>
          <cell r="B43" t="str">
            <v>UCF</v>
          </cell>
          <cell r="C43" t="str">
            <v>The American</v>
          </cell>
          <cell r="D43">
            <v>13280</v>
          </cell>
        </row>
        <row r="44">
          <cell r="A44">
            <v>155399</v>
          </cell>
          <cell r="B44" t="str">
            <v>Kansas St.</v>
          </cell>
          <cell r="C44" t="str">
            <v>Big 12</v>
          </cell>
          <cell r="D44">
            <v>13035</v>
          </cell>
        </row>
        <row r="45">
          <cell r="A45">
            <v>155399</v>
          </cell>
          <cell r="B45" t="str">
            <v>Kansas St.</v>
          </cell>
          <cell r="C45" t="str">
            <v>Big 12</v>
          </cell>
          <cell r="D45">
            <v>13035</v>
          </cell>
        </row>
        <row r="46">
          <cell r="A46">
            <v>226091</v>
          </cell>
          <cell r="B46" t="str">
            <v>Lamar University</v>
          </cell>
          <cell r="C46" t="str">
            <v>Southland</v>
          </cell>
          <cell r="D46">
            <v>12823</v>
          </cell>
        </row>
        <row r="47">
          <cell r="A47">
            <v>228246</v>
          </cell>
          <cell r="B47" t="str">
            <v>SMU</v>
          </cell>
          <cell r="C47" t="str">
            <v>The American</v>
          </cell>
          <cell r="D47">
            <v>12513</v>
          </cell>
        </row>
        <row r="48">
          <cell r="A48">
            <v>200332</v>
          </cell>
          <cell r="B48" t="str">
            <v>North Dakota St.</v>
          </cell>
          <cell r="C48" t="str">
            <v>Summit League</v>
          </cell>
          <cell r="D48">
            <v>12151</v>
          </cell>
        </row>
        <row r="49">
          <cell r="A49">
            <v>140447</v>
          </cell>
          <cell r="B49" t="str">
            <v>Mercer</v>
          </cell>
          <cell r="C49" t="str">
            <v>SoCon</v>
          </cell>
          <cell r="D49">
            <v>11949</v>
          </cell>
        </row>
        <row r="50">
          <cell r="A50">
            <v>153603</v>
          </cell>
          <cell r="B50" t="str">
            <v>Iowa St.</v>
          </cell>
          <cell r="C50" t="str">
            <v>Big 12</v>
          </cell>
          <cell r="D50">
            <v>11859</v>
          </cell>
        </row>
        <row r="51">
          <cell r="A51">
            <v>160621</v>
          </cell>
          <cell r="B51" t="str">
            <v>Southern U.</v>
          </cell>
          <cell r="C51" t="str">
            <v>SWAC</v>
          </cell>
          <cell r="D51">
            <v>11579</v>
          </cell>
        </row>
        <row r="52">
          <cell r="A52">
            <v>176372</v>
          </cell>
          <cell r="B52" t="str">
            <v>Southern Miss.</v>
          </cell>
          <cell r="C52" t="str">
            <v>CUSA</v>
          </cell>
          <cell r="D52">
            <v>10800</v>
          </cell>
        </row>
        <row r="53">
          <cell r="A53">
            <v>228723</v>
          </cell>
          <cell r="B53" t="str">
            <v>Texas A&amp;M</v>
          </cell>
          <cell r="C53" t="str">
            <v>SEC</v>
          </cell>
          <cell r="D53">
            <v>10732</v>
          </cell>
        </row>
        <row r="54">
          <cell r="A54">
            <v>102368</v>
          </cell>
          <cell r="B54" t="str">
            <v>Troy</v>
          </cell>
          <cell r="C54" t="str">
            <v>Sun Belt</v>
          </cell>
          <cell r="D54">
            <v>10595</v>
          </cell>
        </row>
        <row r="55">
          <cell r="A55">
            <v>228431</v>
          </cell>
          <cell r="B55" t="str">
            <v>SFA</v>
          </cell>
          <cell r="C55" t="str">
            <v>Southland</v>
          </cell>
          <cell r="D55">
            <v>10249</v>
          </cell>
        </row>
        <row r="56">
          <cell r="A56" t="e">
            <v>#N/A</v>
          </cell>
          <cell r="B56" t="str">
            <v>Bellarmine</v>
          </cell>
          <cell r="C56" t="str">
            <v>ASUN</v>
          </cell>
          <cell r="D56">
            <v>10036</v>
          </cell>
        </row>
        <row r="57">
          <cell r="A57">
            <v>219976</v>
          </cell>
          <cell r="B57" t="str">
            <v>Lipscomb</v>
          </cell>
          <cell r="C57" t="str">
            <v>ASUN</v>
          </cell>
          <cell r="D57">
            <v>9804</v>
          </cell>
        </row>
        <row r="58">
          <cell r="A58">
            <v>139940</v>
          </cell>
          <cell r="B58" t="str">
            <v>Georgia St.</v>
          </cell>
          <cell r="C58" t="str">
            <v>Sun Belt</v>
          </cell>
          <cell r="D58">
            <v>9623</v>
          </cell>
        </row>
        <row r="59">
          <cell r="A59">
            <v>433660</v>
          </cell>
          <cell r="B59" t="str">
            <v>FGCU</v>
          </cell>
          <cell r="C59" t="str">
            <v>ASUN</v>
          </cell>
          <cell r="D59">
            <v>9407</v>
          </cell>
        </row>
        <row r="60">
          <cell r="A60">
            <v>240727</v>
          </cell>
          <cell r="B60" t="str">
            <v>Wyoming</v>
          </cell>
          <cell r="C60" t="str">
            <v>Mountain West</v>
          </cell>
          <cell r="D60">
            <v>9073</v>
          </cell>
        </row>
        <row r="61">
          <cell r="A61">
            <v>156620</v>
          </cell>
          <cell r="B61" t="str">
            <v>Eastern Ky.</v>
          </cell>
          <cell r="C61" t="str">
            <v>OVC</v>
          </cell>
          <cell r="D61">
            <v>9060</v>
          </cell>
        </row>
        <row r="62">
          <cell r="A62">
            <v>228459</v>
          </cell>
          <cell r="B62" t="str">
            <v>Texas St.</v>
          </cell>
          <cell r="C62" t="str">
            <v>Sun Belt</v>
          </cell>
          <cell r="D62">
            <v>8996</v>
          </cell>
        </row>
        <row r="63">
          <cell r="A63">
            <v>106458</v>
          </cell>
          <cell r="B63" t="str">
            <v>Arkansas St.</v>
          </cell>
          <cell r="C63" t="str">
            <v>Sun Belt</v>
          </cell>
          <cell r="D63">
            <v>8920</v>
          </cell>
        </row>
        <row r="64">
          <cell r="A64">
            <v>153658</v>
          </cell>
          <cell r="B64" t="str">
            <v>Iowa</v>
          </cell>
          <cell r="C64" t="str">
            <v>Big Ten</v>
          </cell>
          <cell r="D64">
            <v>8754</v>
          </cell>
        </row>
        <row r="65">
          <cell r="A65">
            <v>179557</v>
          </cell>
          <cell r="B65" t="str">
            <v>Southeast Mo. St.</v>
          </cell>
          <cell r="C65" t="str">
            <v>OVC</v>
          </cell>
          <cell r="D65">
            <v>8565</v>
          </cell>
        </row>
        <row r="66">
          <cell r="A66">
            <v>227881</v>
          </cell>
          <cell r="B66" t="str">
            <v>Sam Houston</v>
          </cell>
          <cell r="C66" t="str">
            <v>Southland</v>
          </cell>
          <cell r="D66">
            <v>8349</v>
          </cell>
        </row>
        <row r="67">
          <cell r="A67">
            <v>153269</v>
          </cell>
          <cell r="B67" t="str">
            <v>Drake</v>
          </cell>
          <cell r="C67" t="str">
            <v>MVC</v>
          </cell>
          <cell r="D67">
            <v>7832</v>
          </cell>
        </row>
        <row r="68">
          <cell r="A68">
            <v>100724</v>
          </cell>
          <cell r="B68" t="str">
            <v>Alabama St.</v>
          </cell>
          <cell r="C68" t="str">
            <v>SWAC</v>
          </cell>
          <cell r="D68">
            <v>7677</v>
          </cell>
        </row>
        <row r="69">
          <cell r="A69">
            <v>228769</v>
          </cell>
          <cell r="B69" t="str">
            <v>UT Arlington</v>
          </cell>
          <cell r="C69" t="str">
            <v>Sun Belt</v>
          </cell>
          <cell r="D69">
            <v>7488</v>
          </cell>
        </row>
        <row r="70">
          <cell r="A70">
            <v>154095</v>
          </cell>
          <cell r="B70" t="str">
            <v>UNI</v>
          </cell>
          <cell r="C70" t="str">
            <v>MVC</v>
          </cell>
          <cell r="D70">
            <v>7407</v>
          </cell>
        </row>
        <row r="71">
          <cell r="A71">
            <v>160658</v>
          </cell>
          <cell r="B71" t="str">
            <v>Louisiana</v>
          </cell>
          <cell r="C71" t="str">
            <v>Sun Belt</v>
          </cell>
          <cell r="D71">
            <v>7324</v>
          </cell>
        </row>
        <row r="72">
          <cell r="A72">
            <v>160038</v>
          </cell>
          <cell r="B72" t="str">
            <v>Northwestern St.</v>
          </cell>
          <cell r="C72" t="str">
            <v>Southland</v>
          </cell>
          <cell r="D72">
            <v>7089</v>
          </cell>
        </row>
        <row r="73">
          <cell r="A73">
            <v>104717</v>
          </cell>
          <cell r="B73" t="str">
            <v>Grand Canyon</v>
          </cell>
          <cell r="C73" t="str">
            <v>WAC</v>
          </cell>
          <cell r="D73">
            <v>7084</v>
          </cell>
        </row>
        <row r="74">
          <cell r="A74">
            <v>157386</v>
          </cell>
          <cell r="B74" t="str">
            <v>Morehead St.</v>
          </cell>
          <cell r="C74" t="str">
            <v>OVC</v>
          </cell>
          <cell r="D74">
            <v>6947</v>
          </cell>
        </row>
        <row r="75">
          <cell r="A75" t="e">
            <v>#N/A</v>
          </cell>
          <cell r="B75" t="str">
            <v>Tarleton St.</v>
          </cell>
          <cell r="C75" t="str">
            <v>WAC</v>
          </cell>
          <cell r="D75">
            <v>6881</v>
          </cell>
        </row>
        <row r="76">
          <cell r="A76">
            <v>219602</v>
          </cell>
          <cell r="B76" t="str">
            <v>Austin Peay</v>
          </cell>
          <cell r="C76" t="str">
            <v>OVC</v>
          </cell>
          <cell r="D76">
            <v>6724</v>
          </cell>
        </row>
        <row r="77">
          <cell r="A77">
            <v>224147</v>
          </cell>
          <cell r="B77" t="str">
            <v>A&amp;M-Corpus Christi</v>
          </cell>
          <cell r="C77" t="str">
            <v>Southland</v>
          </cell>
          <cell r="D77">
            <v>6691</v>
          </cell>
        </row>
        <row r="78">
          <cell r="A78">
            <v>217864</v>
          </cell>
          <cell r="B78" t="str">
            <v>The Citadel</v>
          </cell>
          <cell r="C78" t="str">
            <v>SoCon</v>
          </cell>
          <cell r="D78">
            <v>6687</v>
          </cell>
        </row>
        <row r="79">
          <cell r="A79">
            <v>219356</v>
          </cell>
          <cell r="B79" t="str">
            <v>South Dakota St.</v>
          </cell>
          <cell r="C79" t="str">
            <v>Summit League</v>
          </cell>
          <cell r="D79">
            <v>6634</v>
          </cell>
        </row>
        <row r="80">
          <cell r="A80">
            <v>199120</v>
          </cell>
          <cell r="B80" t="str">
            <v>North Carolina</v>
          </cell>
          <cell r="C80" t="str">
            <v>ACC</v>
          </cell>
          <cell r="D80">
            <v>6526</v>
          </cell>
        </row>
        <row r="81">
          <cell r="A81" t="e">
            <v>#N/A</v>
          </cell>
          <cell r="B81" t="str">
            <v>Utah Tech</v>
          </cell>
          <cell r="C81" t="str">
            <v>WAC</v>
          </cell>
          <cell r="D81">
            <v>6387</v>
          </cell>
        </row>
        <row r="82">
          <cell r="A82">
            <v>221847</v>
          </cell>
          <cell r="B82" t="str">
            <v>Tennessee Tech</v>
          </cell>
          <cell r="C82" t="str">
            <v>OVC</v>
          </cell>
          <cell r="D82">
            <v>6386</v>
          </cell>
        </row>
        <row r="83">
          <cell r="A83">
            <v>219471</v>
          </cell>
          <cell r="B83" t="str">
            <v>South Dakota</v>
          </cell>
          <cell r="C83" t="str">
            <v>Summit League</v>
          </cell>
          <cell r="D83">
            <v>6209</v>
          </cell>
        </row>
        <row r="84">
          <cell r="A84">
            <v>201885</v>
          </cell>
          <cell r="B84" t="str">
            <v>Cincinnati</v>
          </cell>
          <cell r="C84" t="str">
            <v>The American</v>
          </cell>
          <cell r="D84">
            <v>6070</v>
          </cell>
        </row>
        <row r="85">
          <cell r="A85">
            <v>139931</v>
          </cell>
          <cell r="B85" t="str">
            <v>Ga. Southern</v>
          </cell>
          <cell r="C85" t="str">
            <v>Sun Belt</v>
          </cell>
          <cell r="D85">
            <v>5849</v>
          </cell>
        </row>
        <row r="86">
          <cell r="A86">
            <v>206622</v>
          </cell>
          <cell r="B86" t="str">
            <v>Xavier</v>
          </cell>
          <cell r="C86" t="str">
            <v>Big East</v>
          </cell>
          <cell r="D86">
            <v>5766</v>
          </cell>
        </row>
        <row r="87">
          <cell r="A87">
            <v>229027</v>
          </cell>
          <cell r="B87" t="str">
            <v>UTSA</v>
          </cell>
          <cell r="C87" t="str">
            <v>CUSA</v>
          </cell>
          <cell r="D87">
            <v>5502</v>
          </cell>
        </row>
        <row r="88">
          <cell r="A88">
            <v>215293</v>
          </cell>
          <cell r="B88" t="str">
            <v>Pittsburgh</v>
          </cell>
          <cell r="C88" t="str">
            <v>ACC</v>
          </cell>
          <cell r="D88">
            <v>5500</v>
          </cell>
        </row>
        <row r="89">
          <cell r="A89">
            <v>220075</v>
          </cell>
          <cell r="B89" t="str">
            <v>ETSU</v>
          </cell>
          <cell r="C89" t="str">
            <v>SoCon</v>
          </cell>
          <cell r="D89">
            <v>5479</v>
          </cell>
        </row>
        <row r="90">
          <cell r="A90">
            <v>159009</v>
          </cell>
          <cell r="B90" t="str">
            <v>Grambling</v>
          </cell>
          <cell r="C90" t="str">
            <v>SWAC</v>
          </cell>
          <cell r="D90">
            <v>5391</v>
          </cell>
        </row>
        <row r="91">
          <cell r="A91">
            <v>136172</v>
          </cell>
          <cell r="B91" t="str">
            <v>North Florida</v>
          </cell>
          <cell r="C91" t="str">
            <v>ASUN</v>
          </cell>
          <cell r="D91">
            <v>5326</v>
          </cell>
        </row>
        <row r="92">
          <cell r="A92">
            <v>106245</v>
          </cell>
          <cell r="B92" t="str">
            <v>Little Rock</v>
          </cell>
          <cell r="C92" t="str">
            <v>Sun Belt</v>
          </cell>
          <cell r="D92">
            <v>5264</v>
          </cell>
        </row>
        <row r="93">
          <cell r="A93">
            <v>230603</v>
          </cell>
          <cell r="B93" t="str">
            <v>Southern Utah</v>
          </cell>
          <cell r="C93" t="str">
            <v>Big Sky</v>
          </cell>
          <cell r="D93">
            <v>5126</v>
          </cell>
        </row>
        <row r="94">
          <cell r="A94">
            <v>101480</v>
          </cell>
          <cell r="B94" t="str">
            <v>Jacksonville St.</v>
          </cell>
          <cell r="C94" t="str">
            <v>OVC</v>
          </cell>
          <cell r="D94">
            <v>5114</v>
          </cell>
        </row>
        <row r="95">
          <cell r="A95">
            <v>159939</v>
          </cell>
          <cell r="B95" t="str">
            <v>New Orleans</v>
          </cell>
          <cell r="C95" t="str">
            <v>Southland</v>
          </cell>
          <cell r="D95">
            <v>5112</v>
          </cell>
        </row>
        <row r="96">
          <cell r="A96">
            <v>227526</v>
          </cell>
          <cell r="B96" t="str">
            <v>Prairie View</v>
          </cell>
          <cell r="C96" t="str">
            <v>SWAC</v>
          </cell>
          <cell r="D96">
            <v>5069</v>
          </cell>
        </row>
        <row r="97">
          <cell r="A97">
            <v>200280</v>
          </cell>
          <cell r="B97" t="str">
            <v>North Dakota</v>
          </cell>
          <cell r="C97" t="str">
            <v>Summit League</v>
          </cell>
          <cell r="D97">
            <v>4778</v>
          </cell>
        </row>
        <row r="98">
          <cell r="A98">
            <v>230782</v>
          </cell>
          <cell r="B98" t="str">
            <v>Weber St.</v>
          </cell>
          <cell r="C98" t="str">
            <v>Big Sky</v>
          </cell>
          <cell r="D98">
            <v>4647</v>
          </cell>
        </row>
        <row r="99">
          <cell r="A99">
            <v>228796</v>
          </cell>
          <cell r="B99" t="str">
            <v>UTEP</v>
          </cell>
          <cell r="C99" t="str">
            <v>CUSA</v>
          </cell>
          <cell r="D99">
            <v>4419</v>
          </cell>
        </row>
        <row r="100">
          <cell r="A100">
            <v>137351</v>
          </cell>
          <cell r="B100" t="str">
            <v>South Fla.</v>
          </cell>
          <cell r="C100" t="str">
            <v>The American</v>
          </cell>
          <cell r="D100">
            <v>4386</v>
          </cell>
        </row>
        <row r="101">
          <cell r="A101">
            <v>102049</v>
          </cell>
          <cell r="B101" t="str">
            <v>Samford</v>
          </cell>
          <cell r="C101" t="str">
            <v>SoCon</v>
          </cell>
          <cell r="D101">
            <v>4246</v>
          </cell>
        </row>
        <row r="102">
          <cell r="A102">
            <v>159717</v>
          </cell>
          <cell r="B102" t="str">
            <v>McNeese</v>
          </cell>
          <cell r="C102" t="str">
            <v>Southland</v>
          </cell>
          <cell r="D102">
            <v>4203</v>
          </cell>
        </row>
        <row r="103">
          <cell r="A103">
            <v>222178</v>
          </cell>
          <cell r="B103" t="str">
            <v>Abilene Christian</v>
          </cell>
          <cell r="C103" t="str">
            <v>Southland</v>
          </cell>
          <cell r="D103">
            <v>4162</v>
          </cell>
        </row>
        <row r="104">
          <cell r="A104">
            <v>486840</v>
          </cell>
          <cell r="B104" t="str">
            <v>Kennesaw St.</v>
          </cell>
          <cell r="C104" t="str">
            <v>ASUN</v>
          </cell>
          <cell r="D104">
            <v>4048</v>
          </cell>
        </row>
        <row r="105">
          <cell r="A105">
            <v>234030</v>
          </cell>
          <cell r="B105" t="str">
            <v>VCU</v>
          </cell>
          <cell r="C105" t="str">
            <v>Atlantic 10</v>
          </cell>
          <cell r="D105">
            <v>3500</v>
          </cell>
        </row>
        <row r="106">
          <cell r="A106">
            <v>101879</v>
          </cell>
          <cell r="B106" t="str">
            <v>North Ala.</v>
          </cell>
          <cell r="C106" t="str">
            <v>ASUN</v>
          </cell>
          <cell r="D106">
            <v>3384</v>
          </cell>
        </row>
        <row r="107">
          <cell r="A107">
            <v>221838</v>
          </cell>
          <cell r="B107" t="str">
            <v>Tennessee St.</v>
          </cell>
          <cell r="C107" t="str">
            <v>OVC</v>
          </cell>
          <cell r="D107">
            <v>3303</v>
          </cell>
        </row>
        <row r="108">
          <cell r="A108">
            <v>201441</v>
          </cell>
          <cell r="B108" t="str">
            <v>Bowling Green</v>
          </cell>
          <cell r="C108" t="str">
            <v>MAC</v>
          </cell>
          <cell r="D108">
            <v>3300</v>
          </cell>
        </row>
        <row r="109">
          <cell r="A109">
            <v>233277</v>
          </cell>
          <cell r="B109" t="str">
            <v>Radford</v>
          </cell>
          <cell r="C109" t="str">
            <v>Big South</v>
          </cell>
          <cell r="D109">
            <v>3260</v>
          </cell>
        </row>
        <row r="110">
          <cell r="A110">
            <v>232557</v>
          </cell>
          <cell r="B110" t="str">
            <v>Liberty</v>
          </cell>
          <cell r="C110" t="str">
            <v>ASUN</v>
          </cell>
          <cell r="D110">
            <v>3250</v>
          </cell>
        </row>
        <row r="111">
          <cell r="A111">
            <v>232423</v>
          </cell>
          <cell r="B111" t="str">
            <v>James Madison</v>
          </cell>
          <cell r="C111" t="str">
            <v>CAA</v>
          </cell>
          <cell r="D111">
            <v>3250</v>
          </cell>
        </row>
        <row r="112">
          <cell r="A112">
            <v>106704</v>
          </cell>
          <cell r="B112" t="str">
            <v>Central Ark.</v>
          </cell>
          <cell r="C112" t="str">
            <v>Southland</v>
          </cell>
          <cell r="D112">
            <v>3035</v>
          </cell>
        </row>
        <row r="113">
          <cell r="A113">
            <v>218070</v>
          </cell>
          <cell r="B113" t="str">
            <v>Furman</v>
          </cell>
          <cell r="C113" t="str">
            <v>SoCon</v>
          </cell>
          <cell r="D113">
            <v>3000</v>
          </cell>
        </row>
        <row r="114">
          <cell r="A114">
            <v>233921</v>
          </cell>
          <cell r="B114" t="str">
            <v>Virginia Tech</v>
          </cell>
          <cell r="C114" t="str">
            <v>ACC</v>
          </cell>
          <cell r="D114">
            <v>3000</v>
          </cell>
        </row>
        <row r="115">
          <cell r="A115">
            <v>214777</v>
          </cell>
          <cell r="B115" t="str">
            <v>Penn St.</v>
          </cell>
          <cell r="C115" t="str">
            <v>Big Ten</v>
          </cell>
          <cell r="D115">
            <v>2982</v>
          </cell>
        </row>
        <row r="116">
          <cell r="A116">
            <v>133951</v>
          </cell>
          <cell r="B116" t="str">
            <v>FIU</v>
          </cell>
          <cell r="C116" t="str">
            <v>CUSA</v>
          </cell>
          <cell r="D116">
            <v>2965</v>
          </cell>
        </row>
        <row r="117">
          <cell r="A117">
            <v>160612</v>
          </cell>
          <cell r="B117" t="str">
            <v>Southeastern La.</v>
          </cell>
          <cell r="C117" t="str">
            <v>Southland</v>
          </cell>
          <cell r="D117">
            <v>2890</v>
          </cell>
        </row>
        <row r="118">
          <cell r="A118">
            <v>221740</v>
          </cell>
          <cell r="B118" t="str">
            <v>Chattanooga</v>
          </cell>
          <cell r="C118" t="str">
            <v>SoCon</v>
          </cell>
          <cell r="D118">
            <v>2846</v>
          </cell>
        </row>
        <row r="119">
          <cell r="A119">
            <v>219709</v>
          </cell>
          <cell r="B119" t="str">
            <v>Belmont</v>
          </cell>
          <cell r="C119" t="str">
            <v>OVC</v>
          </cell>
          <cell r="D119">
            <v>2792</v>
          </cell>
        </row>
        <row r="120">
          <cell r="A120">
            <v>221768</v>
          </cell>
          <cell r="B120" t="str">
            <v>UT Martin</v>
          </cell>
          <cell r="C120" t="str">
            <v>OVC</v>
          </cell>
          <cell r="D120">
            <v>2689</v>
          </cell>
        </row>
        <row r="121">
          <cell r="A121">
            <v>181394</v>
          </cell>
          <cell r="B121" t="str">
            <v>Omaha</v>
          </cell>
          <cell r="C121" t="str">
            <v>Summit League</v>
          </cell>
          <cell r="D121">
            <v>2661</v>
          </cell>
        </row>
        <row r="122">
          <cell r="A122">
            <v>133669</v>
          </cell>
          <cell r="B122" t="str">
            <v>Fla. Atlantic</v>
          </cell>
          <cell r="C122" t="str">
            <v>CUSA</v>
          </cell>
          <cell r="D122">
            <v>2646</v>
          </cell>
        </row>
        <row r="123">
          <cell r="A123">
            <v>243780</v>
          </cell>
          <cell r="B123" t="str">
            <v>Purdue</v>
          </cell>
          <cell r="C123" t="str">
            <v>Big Ten</v>
          </cell>
          <cell r="D123">
            <v>2568</v>
          </cell>
        </row>
        <row r="124">
          <cell r="A124">
            <v>232982</v>
          </cell>
          <cell r="B124" t="str">
            <v>Old Dominion</v>
          </cell>
          <cell r="C124" t="str">
            <v>CUSA</v>
          </cell>
          <cell r="D124">
            <v>2500</v>
          </cell>
        </row>
        <row r="125">
          <cell r="A125">
            <v>229063</v>
          </cell>
          <cell r="B125" t="str">
            <v>Texas Southern</v>
          </cell>
          <cell r="C125" t="str">
            <v>SWAC</v>
          </cell>
          <cell r="D125">
            <v>2440</v>
          </cell>
        </row>
        <row r="126">
          <cell r="A126">
            <v>220978</v>
          </cell>
          <cell r="B126" t="str">
            <v>Middle Tenn.</v>
          </cell>
          <cell r="C126" t="str">
            <v>CUSA</v>
          </cell>
          <cell r="D126">
            <v>2400</v>
          </cell>
        </row>
        <row r="127">
          <cell r="A127">
            <v>142115</v>
          </cell>
          <cell r="B127" t="str">
            <v>Boise St.</v>
          </cell>
          <cell r="C127" t="str">
            <v>Mountain West</v>
          </cell>
          <cell r="D127">
            <v>2350</v>
          </cell>
        </row>
        <row r="128">
          <cell r="A128">
            <v>175856</v>
          </cell>
          <cell r="B128" t="str">
            <v>Jackson St.</v>
          </cell>
          <cell r="C128" t="str">
            <v>SWAC</v>
          </cell>
          <cell r="D128">
            <v>2331</v>
          </cell>
        </row>
        <row r="129">
          <cell r="A129">
            <v>227368</v>
          </cell>
          <cell r="B129" t="str">
            <v>UTRGV</v>
          </cell>
          <cell r="C129" t="str">
            <v>WAC</v>
          </cell>
          <cell r="D129">
            <v>2328</v>
          </cell>
        </row>
        <row r="130">
          <cell r="A130">
            <v>232186</v>
          </cell>
          <cell r="B130" t="str">
            <v>George Mason</v>
          </cell>
          <cell r="C130" t="str">
            <v>Atlantic 10</v>
          </cell>
          <cell r="D130">
            <v>2212</v>
          </cell>
        </row>
        <row r="131">
          <cell r="A131">
            <v>145637</v>
          </cell>
          <cell r="B131" t="str">
            <v>Illinois</v>
          </cell>
          <cell r="C131" t="str">
            <v>Big Ten</v>
          </cell>
          <cell r="D131">
            <v>2164</v>
          </cell>
        </row>
        <row r="132">
          <cell r="A132">
            <v>218964</v>
          </cell>
          <cell r="B132" t="str">
            <v>Winthrop</v>
          </cell>
          <cell r="C132" t="str">
            <v>Big South</v>
          </cell>
          <cell r="D132">
            <v>2135</v>
          </cell>
        </row>
        <row r="133">
          <cell r="A133">
            <v>225627</v>
          </cell>
          <cell r="B133" t="str">
            <v>UIW</v>
          </cell>
          <cell r="C133" t="str">
            <v>Southland</v>
          </cell>
          <cell r="D133">
            <v>2112</v>
          </cell>
        </row>
        <row r="134">
          <cell r="A134">
            <v>234085</v>
          </cell>
          <cell r="B134" t="str">
            <v>VMI</v>
          </cell>
          <cell r="C134" t="str">
            <v>SoCon</v>
          </cell>
          <cell r="D134">
            <v>2068</v>
          </cell>
        </row>
        <row r="135">
          <cell r="A135">
            <v>152080</v>
          </cell>
          <cell r="B135" t="str">
            <v>Notre Dame</v>
          </cell>
          <cell r="C135" t="str">
            <v>ACC</v>
          </cell>
          <cell r="D135">
            <v>2058</v>
          </cell>
        </row>
        <row r="136">
          <cell r="A136">
            <v>134945</v>
          </cell>
          <cell r="B136" t="str">
            <v>Jacksonville</v>
          </cell>
          <cell r="C136" t="str">
            <v>ASUN</v>
          </cell>
          <cell r="D136">
            <v>2040</v>
          </cell>
        </row>
        <row r="137">
          <cell r="A137">
            <v>234076</v>
          </cell>
          <cell r="B137" t="str">
            <v>Virginia</v>
          </cell>
          <cell r="C137" t="str">
            <v>ACC</v>
          </cell>
          <cell r="D137">
            <v>2000</v>
          </cell>
        </row>
        <row r="138">
          <cell r="A138">
            <v>175342</v>
          </cell>
          <cell r="B138" t="str">
            <v>Alcorn</v>
          </cell>
          <cell r="C138" t="str">
            <v>SWAC</v>
          </cell>
          <cell r="D138">
            <v>1987</v>
          </cell>
        </row>
        <row r="139">
          <cell r="A139">
            <v>230737</v>
          </cell>
          <cell r="B139" t="str">
            <v>Utah Valley</v>
          </cell>
          <cell r="C139" t="str">
            <v>WAC</v>
          </cell>
          <cell r="D139">
            <v>1971</v>
          </cell>
        </row>
        <row r="140">
          <cell r="A140">
            <v>232937</v>
          </cell>
          <cell r="B140" t="str">
            <v>Norfolk St.</v>
          </cell>
          <cell r="C140" t="str">
            <v>MEAC</v>
          </cell>
          <cell r="D140">
            <v>1954</v>
          </cell>
        </row>
        <row r="141">
          <cell r="A141">
            <v>199847</v>
          </cell>
          <cell r="B141" t="str">
            <v>Wake Forest</v>
          </cell>
          <cell r="C141" t="str">
            <v>ACC</v>
          </cell>
          <cell r="D141">
            <v>1915</v>
          </cell>
        </row>
        <row r="142">
          <cell r="A142">
            <v>239105</v>
          </cell>
          <cell r="B142" t="str">
            <v>Marquette</v>
          </cell>
          <cell r="C142" t="str">
            <v>Big East</v>
          </cell>
          <cell r="D142">
            <v>1800</v>
          </cell>
        </row>
        <row r="143">
          <cell r="A143">
            <v>159966</v>
          </cell>
          <cell r="B143" t="str">
            <v>Nicholls</v>
          </cell>
          <cell r="C143" t="str">
            <v>Southland</v>
          </cell>
          <cell r="D143">
            <v>1764</v>
          </cell>
        </row>
        <row r="144">
          <cell r="A144">
            <v>186584</v>
          </cell>
          <cell r="B144" t="str">
            <v>Seton Hall</v>
          </cell>
          <cell r="C144" t="str">
            <v>Big East</v>
          </cell>
          <cell r="D144">
            <v>1756</v>
          </cell>
        </row>
        <row r="145">
          <cell r="A145">
            <v>218724</v>
          </cell>
          <cell r="B145" t="str">
            <v>Coastal Carolina</v>
          </cell>
          <cell r="C145" t="str">
            <v>Sun Belt</v>
          </cell>
          <cell r="D145">
            <v>1609</v>
          </cell>
        </row>
        <row r="146">
          <cell r="A146">
            <v>198464</v>
          </cell>
          <cell r="B146" t="str">
            <v>East Carolina</v>
          </cell>
          <cell r="C146" t="str">
            <v>The American</v>
          </cell>
          <cell r="D146">
            <v>1527</v>
          </cell>
        </row>
        <row r="147">
          <cell r="A147">
            <v>218742</v>
          </cell>
          <cell r="B147" t="str">
            <v>USC Upstate</v>
          </cell>
          <cell r="C147" t="str">
            <v>Big South</v>
          </cell>
          <cell r="D147">
            <v>1462</v>
          </cell>
        </row>
        <row r="148">
          <cell r="A148">
            <v>100654</v>
          </cell>
          <cell r="B148" t="str">
            <v>Alabama A&amp;M</v>
          </cell>
          <cell r="C148" t="str">
            <v>SWAC</v>
          </cell>
          <cell r="D148">
            <v>1319</v>
          </cell>
        </row>
        <row r="149">
          <cell r="A149">
            <v>150136</v>
          </cell>
          <cell r="B149" t="str">
            <v>Ball St.</v>
          </cell>
          <cell r="C149" t="str">
            <v>MAC</v>
          </cell>
          <cell r="D149">
            <v>1281</v>
          </cell>
        </row>
        <row r="150">
          <cell r="A150">
            <v>225399</v>
          </cell>
          <cell r="B150" t="str">
            <v>Houston Christian</v>
          </cell>
          <cell r="C150" t="str">
            <v>Southland</v>
          </cell>
          <cell r="D150">
            <v>1200</v>
          </cell>
        </row>
        <row r="151">
          <cell r="A151">
            <v>206695</v>
          </cell>
          <cell r="B151" t="str">
            <v>Youngstown St.</v>
          </cell>
          <cell r="C151" t="str">
            <v>Horizon</v>
          </cell>
          <cell r="D151">
            <v>1200</v>
          </cell>
        </row>
        <row r="152">
          <cell r="A152">
            <v>221999</v>
          </cell>
          <cell r="B152" t="str">
            <v>Vanderbilt</v>
          </cell>
          <cell r="C152" t="str">
            <v>SEC</v>
          </cell>
          <cell r="D152">
            <v>1197</v>
          </cell>
        </row>
        <row r="153">
          <cell r="A153">
            <v>151324</v>
          </cell>
          <cell r="B153" t="str">
            <v>Indiana St.</v>
          </cell>
          <cell r="C153" t="str">
            <v>MVC</v>
          </cell>
          <cell r="D153">
            <v>1190</v>
          </cell>
        </row>
        <row r="154">
          <cell r="A154">
            <v>152600</v>
          </cell>
          <cell r="B154" t="str">
            <v>Valparaiso</v>
          </cell>
          <cell r="C154" t="str">
            <v>MVC</v>
          </cell>
          <cell r="D154">
            <v>1109</v>
          </cell>
        </row>
        <row r="155">
          <cell r="A155">
            <v>160755</v>
          </cell>
          <cell r="B155" t="str">
            <v>Tulane</v>
          </cell>
          <cell r="C155" t="str">
            <v>The American</v>
          </cell>
          <cell r="D155">
            <v>1000</v>
          </cell>
        </row>
        <row r="156">
          <cell r="A156">
            <v>197869</v>
          </cell>
          <cell r="B156" t="str">
            <v>App State</v>
          </cell>
          <cell r="C156" t="str">
            <v>Sun Belt</v>
          </cell>
          <cell r="D156">
            <v>985</v>
          </cell>
        </row>
        <row r="157">
          <cell r="A157">
            <v>199218</v>
          </cell>
          <cell r="B157" t="str">
            <v>UNCW</v>
          </cell>
          <cell r="C157" t="str">
            <v>CAA</v>
          </cell>
          <cell r="D157">
            <v>925</v>
          </cell>
        </row>
        <row r="158">
          <cell r="A158">
            <v>176044</v>
          </cell>
          <cell r="B158" t="str">
            <v>Mississippi Val.</v>
          </cell>
          <cell r="C158" t="str">
            <v>SWAC</v>
          </cell>
          <cell r="D158">
            <v>895</v>
          </cell>
        </row>
        <row r="159">
          <cell r="A159">
            <v>178402</v>
          </cell>
          <cell r="B159" t="str">
            <v>Kansas City</v>
          </cell>
          <cell r="C159" t="str">
            <v>Summit League</v>
          </cell>
          <cell r="D159">
            <v>758</v>
          </cell>
        </row>
        <row r="160">
          <cell r="A160">
            <v>207971</v>
          </cell>
          <cell r="B160" t="str">
            <v>Tulsa</v>
          </cell>
          <cell r="C160" t="str">
            <v>The American</v>
          </cell>
          <cell r="D160">
            <v>700</v>
          </cell>
        </row>
        <row r="161">
          <cell r="A161">
            <v>199193</v>
          </cell>
          <cell r="B161" t="str">
            <v>NC State</v>
          </cell>
          <cell r="C161" t="str">
            <v>ACC</v>
          </cell>
          <cell r="D161">
            <v>650</v>
          </cell>
        </row>
        <row r="162">
          <cell r="A162">
            <v>170976</v>
          </cell>
          <cell r="B162" t="str">
            <v>Michigan</v>
          </cell>
          <cell r="C162" t="str">
            <v>Big Ten</v>
          </cell>
          <cell r="D162">
            <v>644</v>
          </cell>
        </row>
        <row r="163">
          <cell r="A163">
            <v>235316</v>
          </cell>
          <cell r="B163" t="str">
            <v>Gonzaga</v>
          </cell>
          <cell r="C163" t="str">
            <v>WCC</v>
          </cell>
          <cell r="D163">
            <v>600</v>
          </cell>
        </row>
        <row r="164">
          <cell r="A164">
            <v>171100</v>
          </cell>
          <cell r="B164" t="str">
            <v>Michigan St.</v>
          </cell>
          <cell r="C164" t="str">
            <v>Big Ten</v>
          </cell>
          <cell r="D164">
            <v>557</v>
          </cell>
        </row>
        <row r="165">
          <cell r="A165">
            <v>182290</v>
          </cell>
          <cell r="B165" t="str">
            <v>Nevada</v>
          </cell>
          <cell r="C165" t="str">
            <v>Mountain West</v>
          </cell>
          <cell r="D165">
            <v>550</v>
          </cell>
        </row>
        <row r="166">
          <cell r="A166">
            <v>106412</v>
          </cell>
          <cell r="B166" t="str">
            <v>Ark.-Pine Bluff</v>
          </cell>
          <cell r="C166" t="str">
            <v>SWAC</v>
          </cell>
          <cell r="D166">
            <v>550</v>
          </cell>
        </row>
        <row r="167">
          <cell r="A167">
            <v>500000</v>
          </cell>
          <cell r="B167" t="str">
            <v>Navy</v>
          </cell>
          <cell r="C167" t="str">
            <v>Patriot</v>
          </cell>
          <cell r="D167">
            <v>487</v>
          </cell>
        </row>
        <row r="168">
          <cell r="A168">
            <v>127741</v>
          </cell>
          <cell r="B168" t="str">
            <v>Northern Colo.</v>
          </cell>
          <cell r="C168" t="str">
            <v>Big Sky</v>
          </cell>
          <cell r="D168">
            <v>475</v>
          </cell>
        </row>
        <row r="169">
          <cell r="A169">
            <v>199148</v>
          </cell>
          <cell r="B169" t="str">
            <v>UNC Greensboro</v>
          </cell>
          <cell r="C169" t="str">
            <v>SoCon</v>
          </cell>
          <cell r="D169">
            <v>461</v>
          </cell>
        </row>
        <row r="170">
          <cell r="A170">
            <v>199139</v>
          </cell>
          <cell r="B170" t="str">
            <v>Charlotte</v>
          </cell>
          <cell r="C170" t="str">
            <v>CUSA</v>
          </cell>
          <cell r="D170">
            <v>442</v>
          </cell>
        </row>
        <row r="171">
          <cell r="A171">
            <v>218973</v>
          </cell>
          <cell r="B171" t="str">
            <v>Wofford</v>
          </cell>
          <cell r="C171" t="str">
            <v>SoCon</v>
          </cell>
          <cell r="D171">
            <v>427</v>
          </cell>
        </row>
        <row r="172">
          <cell r="A172">
            <v>218733</v>
          </cell>
          <cell r="B172" t="str">
            <v>South Carolina St.</v>
          </cell>
          <cell r="C172" t="str">
            <v>MEAC</v>
          </cell>
          <cell r="D172">
            <v>408</v>
          </cell>
        </row>
        <row r="173">
          <cell r="A173">
            <v>236939</v>
          </cell>
          <cell r="B173" t="str">
            <v>Washington St.</v>
          </cell>
          <cell r="C173" t="str">
            <v>Pac-12</v>
          </cell>
          <cell r="D173">
            <v>400</v>
          </cell>
        </row>
        <row r="174">
          <cell r="A174">
            <v>500002</v>
          </cell>
          <cell r="B174" t="str">
            <v>Air Force</v>
          </cell>
          <cell r="C174" t="str">
            <v>Mountain West</v>
          </cell>
          <cell r="D174">
            <v>400</v>
          </cell>
        </row>
        <row r="175">
          <cell r="A175">
            <v>137546</v>
          </cell>
          <cell r="B175" t="str">
            <v>Stetson</v>
          </cell>
          <cell r="C175" t="str">
            <v>ASUN</v>
          </cell>
          <cell r="D175">
            <v>400</v>
          </cell>
        </row>
        <row r="176">
          <cell r="A176">
            <v>126614</v>
          </cell>
          <cell r="B176" t="str">
            <v>Colorado</v>
          </cell>
          <cell r="C176" t="str">
            <v>Pac-12</v>
          </cell>
          <cell r="D176">
            <v>398</v>
          </cell>
        </row>
        <row r="177">
          <cell r="A177">
            <v>199157</v>
          </cell>
          <cell r="B177" t="str">
            <v>N.C. Central</v>
          </cell>
          <cell r="C177" t="str">
            <v>MEAC</v>
          </cell>
          <cell r="D177">
            <v>320</v>
          </cell>
        </row>
        <row r="178">
          <cell r="A178">
            <v>172699</v>
          </cell>
          <cell r="B178" t="str">
            <v>Western Mich.</v>
          </cell>
          <cell r="C178" t="str">
            <v>MAC</v>
          </cell>
          <cell r="D178">
            <v>300</v>
          </cell>
        </row>
        <row r="179">
          <cell r="A179">
            <v>169798</v>
          </cell>
          <cell r="B179" t="str">
            <v>Eastern Mich.</v>
          </cell>
          <cell r="C179" t="str">
            <v>MAC</v>
          </cell>
          <cell r="D179">
            <v>300</v>
          </cell>
        </row>
        <row r="180">
          <cell r="A180">
            <v>217688</v>
          </cell>
          <cell r="B180" t="str">
            <v>Charleston So.</v>
          </cell>
          <cell r="C180" t="str">
            <v>Big South</v>
          </cell>
          <cell r="D180">
            <v>300</v>
          </cell>
        </row>
        <row r="181">
          <cell r="A181">
            <v>174066</v>
          </cell>
          <cell r="B181" t="str">
            <v>Minnesota</v>
          </cell>
          <cell r="C181" t="str">
            <v>Big Ten</v>
          </cell>
          <cell r="D181">
            <v>286</v>
          </cell>
        </row>
        <row r="182">
          <cell r="A182">
            <v>182281</v>
          </cell>
          <cell r="B182" t="str">
            <v>UNLV</v>
          </cell>
          <cell r="C182" t="str">
            <v>Mountain West</v>
          </cell>
          <cell r="D182">
            <v>280</v>
          </cell>
        </row>
        <row r="183">
          <cell r="A183">
            <v>182281</v>
          </cell>
          <cell r="B183" t="str">
            <v>UNLV</v>
          </cell>
          <cell r="C183" t="str">
            <v>Mountain West</v>
          </cell>
          <cell r="D183">
            <v>280</v>
          </cell>
        </row>
        <row r="184">
          <cell r="A184">
            <v>500001</v>
          </cell>
          <cell r="B184" t="str">
            <v>Army West Point</v>
          </cell>
          <cell r="C184" t="str">
            <v>Patriot</v>
          </cell>
          <cell r="D184">
            <v>252</v>
          </cell>
        </row>
        <row r="185">
          <cell r="A185">
            <v>149231</v>
          </cell>
          <cell r="B185" t="str">
            <v>SIUE</v>
          </cell>
          <cell r="C185" t="str">
            <v>OVC</v>
          </cell>
          <cell r="D185">
            <v>239</v>
          </cell>
        </row>
        <row r="186">
          <cell r="A186">
            <v>198385</v>
          </cell>
          <cell r="B186" t="str">
            <v>Davidson</v>
          </cell>
          <cell r="C186" t="str">
            <v>Atlantic 10</v>
          </cell>
          <cell r="D186">
            <v>225</v>
          </cell>
        </row>
        <row r="187">
          <cell r="A187">
            <v>212106</v>
          </cell>
          <cell r="B187" t="str">
            <v>Duquesne</v>
          </cell>
          <cell r="C187" t="str">
            <v>Atlantic 10</v>
          </cell>
          <cell r="D187">
            <v>212</v>
          </cell>
        </row>
        <row r="188">
          <cell r="A188">
            <v>200800</v>
          </cell>
          <cell r="B188" t="str">
            <v>Akron</v>
          </cell>
          <cell r="C188" t="str">
            <v>MAC</v>
          </cell>
          <cell r="D188">
            <v>203</v>
          </cell>
        </row>
        <row r="189">
          <cell r="A189">
            <v>133650</v>
          </cell>
          <cell r="B189" t="str">
            <v>Florida A&amp;M</v>
          </cell>
          <cell r="C189" t="str">
            <v>MEAC</v>
          </cell>
          <cell r="D189">
            <v>136</v>
          </cell>
        </row>
        <row r="190">
          <cell r="A190">
            <v>129020</v>
          </cell>
          <cell r="B190" t="str">
            <v>UConn</v>
          </cell>
          <cell r="C190" t="str">
            <v>Big East</v>
          </cell>
          <cell r="D190">
            <v>125</v>
          </cell>
        </row>
        <row r="191">
          <cell r="A191">
            <v>151351</v>
          </cell>
          <cell r="B191" t="str">
            <v>Indiana</v>
          </cell>
          <cell r="C191" t="str">
            <v>Big Ten</v>
          </cell>
          <cell r="D191">
            <v>125</v>
          </cell>
        </row>
        <row r="192">
          <cell r="A192">
            <v>142276</v>
          </cell>
          <cell r="B192" t="str">
            <v>Idaho St.</v>
          </cell>
          <cell r="C192" t="str">
            <v>Big Sky</v>
          </cell>
          <cell r="D192">
            <v>120</v>
          </cell>
        </row>
        <row r="193">
          <cell r="A193">
            <v>218539</v>
          </cell>
          <cell r="B193" t="str">
            <v>Presbyterian</v>
          </cell>
          <cell r="C193" t="str">
            <v>Big South</v>
          </cell>
          <cell r="D193">
            <v>111</v>
          </cell>
        </row>
        <row r="194">
          <cell r="A194">
            <v>198136</v>
          </cell>
          <cell r="B194" t="str">
            <v>Campbell</v>
          </cell>
          <cell r="C194" t="str">
            <v>Big South</v>
          </cell>
          <cell r="D194">
            <v>100</v>
          </cell>
        </row>
        <row r="195">
          <cell r="A195">
            <v>144892</v>
          </cell>
          <cell r="B195" t="str">
            <v>Eastern Ill.</v>
          </cell>
          <cell r="C195" t="str">
            <v>OVC</v>
          </cell>
          <cell r="D195">
            <v>98</v>
          </cell>
        </row>
        <row r="196">
          <cell r="A196">
            <v>127060</v>
          </cell>
          <cell r="B196" t="str">
            <v>Denver</v>
          </cell>
          <cell r="C196" t="str">
            <v>Summit League</v>
          </cell>
          <cell r="D196">
            <v>78</v>
          </cell>
        </row>
        <row r="197">
          <cell r="A197">
            <v>147703</v>
          </cell>
          <cell r="B197" t="str">
            <v>NIU</v>
          </cell>
          <cell r="C197" t="str">
            <v>MAC</v>
          </cell>
          <cell r="D197">
            <v>73</v>
          </cell>
        </row>
        <row r="198">
          <cell r="A198">
            <v>163453</v>
          </cell>
          <cell r="B198" t="str">
            <v>Morgan St.</v>
          </cell>
          <cell r="C198" t="str">
            <v>MEAC</v>
          </cell>
          <cell r="D198">
            <v>70</v>
          </cell>
        </row>
        <row r="199">
          <cell r="A199">
            <v>186380</v>
          </cell>
          <cell r="B199" t="str">
            <v>Rutgers</v>
          </cell>
          <cell r="C199" t="str">
            <v>Big Ten</v>
          </cell>
          <cell r="D199">
            <v>64</v>
          </cell>
        </row>
        <row r="200">
          <cell r="A200">
            <v>181464</v>
          </cell>
          <cell r="B200" t="str">
            <v>Nebraska</v>
          </cell>
          <cell r="C200" t="str">
            <v>Big Ten</v>
          </cell>
          <cell r="D200">
            <v>50</v>
          </cell>
        </row>
        <row r="201">
          <cell r="A201">
            <v>206604</v>
          </cell>
          <cell r="B201" t="str">
            <v>Wright St.</v>
          </cell>
          <cell r="C201" t="str">
            <v>Horizon</v>
          </cell>
          <cell r="D201">
            <v>50</v>
          </cell>
        </row>
        <row r="202">
          <cell r="A202">
            <v>199111</v>
          </cell>
          <cell r="B202" t="str">
            <v>UNC Asheville</v>
          </cell>
          <cell r="C202" t="str">
            <v>Big South</v>
          </cell>
          <cell r="D202">
            <v>40</v>
          </cell>
        </row>
        <row r="203">
          <cell r="A203">
            <v>209807</v>
          </cell>
          <cell r="B203" t="str">
            <v>Portland St.</v>
          </cell>
          <cell r="C203" t="str">
            <v>Big Sky</v>
          </cell>
          <cell r="D203">
            <v>32</v>
          </cell>
        </row>
        <row r="204">
          <cell r="A204">
            <v>213367</v>
          </cell>
          <cell r="B204" t="str">
            <v>La Salle</v>
          </cell>
          <cell r="C204" t="str">
            <v>Atlantic 10</v>
          </cell>
          <cell r="D204">
            <v>26</v>
          </cell>
        </row>
        <row r="205">
          <cell r="A205">
            <v>198695</v>
          </cell>
          <cell r="B205" t="str">
            <v>High Point</v>
          </cell>
          <cell r="C205" t="str">
            <v>Big South</v>
          </cell>
          <cell r="D205">
            <v>10</v>
          </cell>
        </row>
        <row r="206">
          <cell r="A206">
            <v>192819</v>
          </cell>
          <cell r="B206" t="str">
            <v>Marist</v>
          </cell>
          <cell r="C206" t="str">
            <v>MAAC</v>
          </cell>
          <cell r="D206">
            <v>2</v>
          </cell>
        </row>
        <row r="207">
          <cell r="A207">
            <v>236948</v>
          </cell>
          <cell r="B207" t="str">
            <v>Washington</v>
          </cell>
          <cell r="C207" t="str">
            <v>Pac-12</v>
          </cell>
          <cell r="D207">
            <v>0</v>
          </cell>
        </row>
        <row r="208">
          <cell r="A208">
            <v>141574</v>
          </cell>
          <cell r="B208" t="str">
            <v>Hawaii</v>
          </cell>
          <cell r="C208" t="str">
            <v>Big West</v>
          </cell>
          <cell r="D208">
            <v>0</v>
          </cell>
        </row>
        <row r="209">
          <cell r="A209">
            <v>196088</v>
          </cell>
          <cell r="B209" t="str">
            <v>Buffalo</v>
          </cell>
          <cell r="C209" t="str">
            <v>MAC</v>
          </cell>
          <cell r="D209">
            <v>0</v>
          </cell>
        </row>
        <row r="210">
          <cell r="A210">
            <v>195809</v>
          </cell>
          <cell r="B210" t="str">
            <v>St. John's (NY)</v>
          </cell>
          <cell r="C210" t="str">
            <v>Big East</v>
          </cell>
          <cell r="D210">
            <v>0</v>
          </cell>
        </row>
        <row r="211">
          <cell r="A211">
            <v>204796</v>
          </cell>
          <cell r="B211" t="str">
            <v>Ohio St.</v>
          </cell>
          <cell r="C211" t="str">
            <v>Big Ten</v>
          </cell>
          <cell r="D211">
            <v>0</v>
          </cell>
        </row>
        <row r="212">
          <cell r="A212">
            <v>227757</v>
          </cell>
          <cell r="B212" t="str">
            <v>Rice</v>
          </cell>
          <cell r="C212" t="str">
            <v>CUSA</v>
          </cell>
          <cell r="D212">
            <v>0</v>
          </cell>
        </row>
        <row r="213">
          <cell r="A213">
            <v>163462</v>
          </cell>
          <cell r="B213" t="str">
            <v>Mount St. Mary's</v>
          </cell>
          <cell r="C213" t="str">
            <v>NEC</v>
          </cell>
          <cell r="D213">
            <v>0</v>
          </cell>
        </row>
        <row r="214">
          <cell r="A214">
            <v>183044</v>
          </cell>
          <cell r="B214" t="str">
            <v>New Hampshire</v>
          </cell>
          <cell r="C214" t="str">
            <v>America East</v>
          </cell>
          <cell r="D214">
            <v>0</v>
          </cell>
        </row>
        <row r="215">
          <cell r="A215">
            <v>240277</v>
          </cell>
          <cell r="B215" t="str">
            <v>Green Bay</v>
          </cell>
          <cell r="C215" t="str">
            <v>Horizon</v>
          </cell>
          <cell r="D215">
            <v>0</v>
          </cell>
        </row>
        <row r="216">
          <cell r="A216">
            <v>196060</v>
          </cell>
          <cell r="B216" t="str">
            <v>UAlbany</v>
          </cell>
          <cell r="C216" t="str">
            <v>America East</v>
          </cell>
          <cell r="D216">
            <v>0</v>
          </cell>
        </row>
        <row r="217">
          <cell r="A217">
            <v>123554</v>
          </cell>
          <cell r="B217" t="str">
            <v>Saint Mary's (CA)</v>
          </cell>
          <cell r="C217" t="str">
            <v>WCC</v>
          </cell>
          <cell r="D217">
            <v>0</v>
          </cell>
        </row>
        <row r="218">
          <cell r="A218">
            <v>122612</v>
          </cell>
          <cell r="B218" t="str">
            <v>San Francisco</v>
          </cell>
          <cell r="C218" t="str">
            <v>WCC</v>
          </cell>
          <cell r="D218">
            <v>0</v>
          </cell>
        </row>
        <row r="219">
          <cell r="A219">
            <v>192448</v>
          </cell>
          <cell r="B219" t="str">
            <v>LIU</v>
          </cell>
          <cell r="C219" t="str">
            <v>NEC</v>
          </cell>
          <cell r="D219">
            <v>0</v>
          </cell>
        </row>
        <row r="220">
          <cell r="A220">
            <v>231624</v>
          </cell>
          <cell r="B220" t="str">
            <v>William &amp; Mary</v>
          </cell>
          <cell r="C220" t="str">
            <v>CAA</v>
          </cell>
          <cell r="D220">
            <v>0</v>
          </cell>
        </row>
        <row r="221">
          <cell r="A221">
            <v>129525</v>
          </cell>
          <cell r="B221" t="str">
            <v>Hartford</v>
          </cell>
          <cell r="C221" t="str">
            <v>America East</v>
          </cell>
          <cell r="D221">
            <v>0</v>
          </cell>
        </row>
        <row r="222">
          <cell r="A222">
            <v>131159</v>
          </cell>
          <cell r="B222" t="str">
            <v>American</v>
          </cell>
          <cell r="C222" t="str">
            <v>Patriot</v>
          </cell>
          <cell r="D222">
            <v>0</v>
          </cell>
        </row>
        <row r="223">
          <cell r="A223">
            <v>215770</v>
          </cell>
          <cell r="B223" t="str">
            <v>Saint Joseph's</v>
          </cell>
          <cell r="C223" t="str">
            <v>Atlantic 10</v>
          </cell>
          <cell r="D223">
            <v>0</v>
          </cell>
        </row>
        <row r="224">
          <cell r="A224">
            <v>243744</v>
          </cell>
          <cell r="B224" t="str">
            <v>Stanford</v>
          </cell>
          <cell r="C224" t="str">
            <v>Pac-12</v>
          </cell>
          <cell r="D224">
            <v>0</v>
          </cell>
        </row>
        <row r="225">
          <cell r="A225">
            <v>191931</v>
          </cell>
          <cell r="B225" t="str">
            <v>Iona</v>
          </cell>
          <cell r="C225" t="str">
            <v>MAAC</v>
          </cell>
          <cell r="D225">
            <v>0</v>
          </cell>
        </row>
        <row r="226">
          <cell r="A226">
            <v>217484</v>
          </cell>
          <cell r="B226" t="str">
            <v>Rhode Island</v>
          </cell>
          <cell r="C226" t="str">
            <v>Atlantic 10</v>
          </cell>
          <cell r="D226">
            <v>0</v>
          </cell>
        </row>
        <row r="227">
          <cell r="A227">
            <v>186283</v>
          </cell>
          <cell r="B227" t="str">
            <v>Rider</v>
          </cell>
          <cell r="C227" t="str">
            <v>MAAC</v>
          </cell>
          <cell r="D227">
            <v>0</v>
          </cell>
        </row>
        <row r="228">
          <cell r="A228">
            <v>145600</v>
          </cell>
          <cell r="B228" t="str">
            <v>UIC</v>
          </cell>
          <cell r="C228" t="str">
            <v>Horizon</v>
          </cell>
          <cell r="D228">
            <v>0</v>
          </cell>
        </row>
        <row r="229">
          <cell r="A229">
            <v>142285</v>
          </cell>
          <cell r="B229" t="str">
            <v>Idaho</v>
          </cell>
          <cell r="C229" t="str">
            <v>Big Sky</v>
          </cell>
          <cell r="D229">
            <v>0</v>
          </cell>
        </row>
        <row r="230">
          <cell r="A230">
            <v>130943</v>
          </cell>
          <cell r="B230" t="str">
            <v>Delaware</v>
          </cell>
          <cell r="C230" t="str">
            <v>CAA</v>
          </cell>
          <cell r="D230">
            <v>0</v>
          </cell>
        </row>
        <row r="231">
          <cell r="A231">
            <v>131469</v>
          </cell>
          <cell r="B231" t="str">
            <v>George Washington</v>
          </cell>
          <cell r="C231" t="str">
            <v>Atlantic 10</v>
          </cell>
          <cell r="D231">
            <v>0</v>
          </cell>
        </row>
        <row r="232">
          <cell r="A232">
            <v>151102</v>
          </cell>
          <cell r="B232" t="str">
            <v>Purdue Fort Wayne</v>
          </cell>
          <cell r="C232" t="str">
            <v>Horizon</v>
          </cell>
          <cell r="D232">
            <v>0</v>
          </cell>
        </row>
        <row r="233">
          <cell r="A233">
            <v>167358</v>
          </cell>
          <cell r="B233" t="str">
            <v>Northeastern</v>
          </cell>
          <cell r="C233" t="str">
            <v>CAA</v>
          </cell>
          <cell r="D233">
            <v>0</v>
          </cell>
        </row>
        <row r="234">
          <cell r="A234">
            <v>198419</v>
          </cell>
          <cell r="B234" t="str">
            <v>Duke</v>
          </cell>
          <cell r="C234" t="str">
            <v>ACC</v>
          </cell>
          <cell r="D234">
            <v>0</v>
          </cell>
        </row>
        <row r="235">
          <cell r="A235">
            <v>190099</v>
          </cell>
          <cell r="B235" t="str">
            <v>Colgate</v>
          </cell>
          <cell r="C235" t="str">
            <v>Patriot</v>
          </cell>
          <cell r="D235">
            <v>0</v>
          </cell>
        </row>
        <row r="236">
          <cell r="A236">
            <v>120883</v>
          </cell>
          <cell r="B236" t="str">
            <v>Pacific</v>
          </cell>
          <cell r="C236" t="str">
            <v>WCC</v>
          </cell>
          <cell r="D236">
            <v>0</v>
          </cell>
        </row>
        <row r="237">
          <cell r="A237">
            <v>110422</v>
          </cell>
          <cell r="B237" t="str">
            <v>Cal Poly</v>
          </cell>
          <cell r="C237" t="str">
            <v>Big West</v>
          </cell>
          <cell r="D237">
            <v>0</v>
          </cell>
        </row>
        <row r="238">
          <cell r="A238">
            <v>135726</v>
          </cell>
          <cell r="B238" t="str">
            <v>Miami (FL)</v>
          </cell>
          <cell r="C238" t="str">
            <v>ACC</v>
          </cell>
          <cell r="D238">
            <v>0</v>
          </cell>
        </row>
        <row r="239">
          <cell r="A239">
            <v>195164</v>
          </cell>
          <cell r="B239" t="str">
            <v>St. Bonaventure</v>
          </cell>
          <cell r="C239" t="str">
            <v>Atlantic 10</v>
          </cell>
          <cell r="D239">
            <v>0</v>
          </cell>
        </row>
        <row r="240">
          <cell r="A240">
            <v>122755</v>
          </cell>
          <cell r="B240" t="str">
            <v>San Jose St.</v>
          </cell>
          <cell r="C240" t="str">
            <v>Mountain West</v>
          </cell>
          <cell r="D240">
            <v>0</v>
          </cell>
        </row>
        <row r="241">
          <cell r="A241">
            <v>122931</v>
          </cell>
          <cell r="B241" t="str">
            <v>Santa Clara</v>
          </cell>
          <cell r="C241" t="str">
            <v>WCC</v>
          </cell>
          <cell r="D241">
            <v>0</v>
          </cell>
        </row>
        <row r="242">
          <cell r="A242">
            <v>191649</v>
          </cell>
          <cell r="B242" t="str">
            <v>Hofstra</v>
          </cell>
          <cell r="C242" t="str">
            <v>CAA</v>
          </cell>
          <cell r="D242">
            <v>0</v>
          </cell>
        </row>
        <row r="243">
          <cell r="A243">
            <v>110653</v>
          </cell>
          <cell r="B243" t="str">
            <v>UC Irvine</v>
          </cell>
          <cell r="C243" t="str">
            <v>Big West</v>
          </cell>
          <cell r="D243">
            <v>0</v>
          </cell>
        </row>
        <row r="244">
          <cell r="A244">
            <v>126818</v>
          </cell>
          <cell r="B244" t="str">
            <v>Colorado St.</v>
          </cell>
          <cell r="C244" t="str">
            <v>Mountain West</v>
          </cell>
          <cell r="D244">
            <v>0</v>
          </cell>
        </row>
        <row r="245">
          <cell r="A245">
            <v>110583</v>
          </cell>
          <cell r="B245" t="str">
            <v>Long Beach St.</v>
          </cell>
          <cell r="C245" t="str">
            <v>Big West</v>
          </cell>
          <cell r="D245">
            <v>0</v>
          </cell>
        </row>
        <row r="246">
          <cell r="A246">
            <v>212054</v>
          </cell>
          <cell r="B246" t="str">
            <v>Drexel</v>
          </cell>
          <cell r="C246" t="str">
            <v>CAA</v>
          </cell>
          <cell r="D246">
            <v>0</v>
          </cell>
        </row>
        <row r="247">
          <cell r="A247">
            <v>185572</v>
          </cell>
          <cell r="B247" t="str">
            <v>Monmouth</v>
          </cell>
          <cell r="C247" t="str">
            <v>MAAC</v>
          </cell>
          <cell r="D247">
            <v>0</v>
          </cell>
        </row>
        <row r="248">
          <cell r="A248">
            <v>217165</v>
          </cell>
          <cell r="B248" t="str">
            <v>Bryant</v>
          </cell>
          <cell r="C248" t="str">
            <v>NEC</v>
          </cell>
          <cell r="D248">
            <v>0</v>
          </cell>
        </row>
        <row r="249">
          <cell r="A249">
            <v>123961</v>
          </cell>
          <cell r="B249" t="str">
            <v>Southern California</v>
          </cell>
          <cell r="C249" t="str">
            <v>Pac-12</v>
          </cell>
          <cell r="D249">
            <v>0</v>
          </cell>
        </row>
        <row r="250">
          <cell r="A250">
            <v>144740</v>
          </cell>
          <cell r="B250" t="str">
            <v>DePaul</v>
          </cell>
          <cell r="C250" t="str">
            <v>Big East</v>
          </cell>
          <cell r="D250">
            <v>0</v>
          </cell>
        </row>
        <row r="251">
          <cell r="A251">
            <v>186432</v>
          </cell>
          <cell r="B251" t="str">
            <v>Saint Peter's</v>
          </cell>
          <cell r="C251" t="str">
            <v>MAAC</v>
          </cell>
          <cell r="D251">
            <v>0</v>
          </cell>
        </row>
        <row r="252">
          <cell r="A252">
            <v>104179</v>
          </cell>
          <cell r="B252" t="str">
            <v>Arizona</v>
          </cell>
          <cell r="C252" t="str">
            <v>Pac-12</v>
          </cell>
          <cell r="D252">
            <v>0</v>
          </cell>
        </row>
        <row r="253">
          <cell r="A253">
            <v>130934</v>
          </cell>
          <cell r="B253" t="str">
            <v>Delaware St.</v>
          </cell>
          <cell r="C253" t="str">
            <v>MEAC</v>
          </cell>
          <cell r="D253">
            <v>0</v>
          </cell>
        </row>
        <row r="254">
          <cell r="A254">
            <v>232265</v>
          </cell>
          <cell r="B254" t="str">
            <v>Hampton</v>
          </cell>
          <cell r="C254" t="str">
            <v>Big South</v>
          </cell>
          <cell r="D254">
            <v>0</v>
          </cell>
        </row>
        <row r="255">
          <cell r="A255">
            <v>235097</v>
          </cell>
          <cell r="B255" t="str">
            <v>Eastern Wash.</v>
          </cell>
          <cell r="C255" t="str">
            <v>Big Sky</v>
          </cell>
          <cell r="D255">
            <v>0</v>
          </cell>
        </row>
        <row r="256">
          <cell r="A256">
            <v>145813</v>
          </cell>
          <cell r="B256" t="str">
            <v>Illinois St.</v>
          </cell>
          <cell r="C256" t="str">
            <v>MVC</v>
          </cell>
          <cell r="D256">
            <v>0</v>
          </cell>
        </row>
        <row r="257">
          <cell r="A257">
            <v>199102</v>
          </cell>
          <cell r="B257" t="str">
            <v>N.C. A&amp;T</v>
          </cell>
          <cell r="C257" t="str">
            <v>MEAC</v>
          </cell>
          <cell r="D257">
            <v>0</v>
          </cell>
        </row>
        <row r="258">
          <cell r="A258">
            <v>197197</v>
          </cell>
          <cell r="B258" t="str">
            <v>Wagner</v>
          </cell>
          <cell r="C258" t="str">
            <v>NEC</v>
          </cell>
          <cell r="D258">
            <v>0</v>
          </cell>
        </row>
        <row r="259">
          <cell r="A259">
            <v>196079</v>
          </cell>
          <cell r="B259" t="str">
            <v>Binghamton</v>
          </cell>
          <cell r="C259" t="str">
            <v>America East</v>
          </cell>
          <cell r="D259">
            <v>0</v>
          </cell>
        </row>
        <row r="260">
          <cell r="A260">
            <v>236595</v>
          </cell>
          <cell r="B260" t="str">
            <v>Seattle U</v>
          </cell>
          <cell r="C260" t="str">
            <v>WAC</v>
          </cell>
          <cell r="D260">
            <v>0</v>
          </cell>
        </row>
        <row r="261">
          <cell r="A261">
            <v>110617</v>
          </cell>
          <cell r="B261" t="str">
            <v>Sacramento St.</v>
          </cell>
          <cell r="C261" t="str">
            <v>Big Sky</v>
          </cell>
          <cell r="D261">
            <v>0</v>
          </cell>
        </row>
        <row r="262">
          <cell r="A262">
            <v>157447</v>
          </cell>
          <cell r="B262" t="str">
            <v>Northern Ky.</v>
          </cell>
          <cell r="C262" t="str">
            <v>Horizon</v>
          </cell>
          <cell r="D262">
            <v>0</v>
          </cell>
        </row>
        <row r="263">
          <cell r="A263">
            <v>149222</v>
          </cell>
          <cell r="B263" t="str">
            <v>Southern Ill.</v>
          </cell>
          <cell r="C263" t="str">
            <v>MVC</v>
          </cell>
          <cell r="D263">
            <v>0</v>
          </cell>
        </row>
        <row r="264">
          <cell r="A264">
            <v>216597</v>
          </cell>
          <cell r="B264" t="str">
            <v>Villanova</v>
          </cell>
          <cell r="C264" t="str">
            <v>Big East</v>
          </cell>
          <cell r="D264">
            <v>0</v>
          </cell>
        </row>
        <row r="265">
          <cell r="A265">
            <v>189705</v>
          </cell>
          <cell r="B265" t="str">
            <v>Canisius</v>
          </cell>
          <cell r="C265" t="str">
            <v>MAAC</v>
          </cell>
          <cell r="D265">
            <v>0</v>
          </cell>
        </row>
        <row r="266">
          <cell r="A266">
            <v>230764</v>
          </cell>
          <cell r="B266" t="str">
            <v>Utah</v>
          </cell>
          <cell r="C266" t="str">
            <v>Pac-12</v>
          </cell>
          <cell r="D266">
            <v>0</v>
          </cell>
        </row>
        <row r="267">
          <cell r="A267">
            <v>164076</v>
          </cell>
          <cell r="B267" t="str">
            <v>Towson</v>
          </cell>
          <cell r="C267" t="str">
            <v>CAA</v>
          </cell>
          <cell r="D267">
            <v>0</v>
          </cell>
        </row>
        <row r="268">
          <cell r="A268">
            <v>217402</v>
          </cell>
          <cell r="B268" t="str">
            <v>Providence</v>
          </cell>
          <cell r="C268" t="str">
            <v>Big East</v>
          </cell>
          <cell r="D268">
            <v>0</v>
          </cell>
        </row>
        <row r="269">
          <cell r="A269">
            <v>117946</v>
          </cell>
          <cell r="B269" t="str">
            <v>LMU (CA)</v>
          </cell>
          <cell r="C269" t="str">
            <v>WCC</v>
          </cell>
          <cell r="D269">
            <v>0</v>
          </cell>
        </row>
        <row r="270">
          <cell r="A270">
            <v>195474</v>
          </cell>
          <cell r="B270" t="str">
            <v>Siena</v>
          </cell>
          <cell r="C270" t="str">
            <v>MAAC</v>
          </cell>
          <cell r="D270">
            <v>0</v>
          </cell>
        </row>
        <row r="271">
          <cell r="A271">
            <v>163268</v>
          </cell>
          <cell r="B271" t="str">
            <v>UMBC</v>
          </cell>
          <cell r="C271" t="str">
            <v>America East</v>
          </cell>
          <cell r="D271">
            <v>0</v>
          </cell>
        </row>
        <row r="272">
          <cell r="A272">
            <v>130253</v>
          </cell>
          <cell r="B272" t="str">
            <v>Sacred Heart</v>
          </cell>
          <cell r="C272" t="str">
            <v>NEC</v>
          </cell>
          <cell r="D272">
            <v>0</v>
          </cell>
        </row>
        <row r="273">
          <cell r="A273">
            <v>180489</v>
          </cell>
          <cell r="B273" t="str">
            <v>Montana</v>
          </cell>
          <cell r="C273" t="str">
            <v>Big Sky</v>
          </cell>
          <cell r="D273">
            <v>0</v>
          </cell>
        </row>
        <row r="274">
          <cell r="A274">
            <v>230038</v>
          </cell>
          <cell r="B274" t="str">
            <v>BYU</v>
          </cell>
          <cell r="C274" t="str">
            <v>WCC</v>
          </cell>
          <cell r="D274">
            <v>0</v>
          </cell>
        </row>
        <row r="275">
          <cell r="A275">
            <v>110556</v>
          </cell>
          <cell r="B275" t="str">
            <v>Fresno St.</v>
          </cell>
          <cell r="C275" t="str">
            <v>Mountain West</v>
          </cell>
          <cell r="D275">
            <v>0</v>
          </cell>
        </row>
        <row r="276">
          <cell r="A276">
            <v>192703</v>
          </cell>
          <cell r="B276" t="str">
            <v>Manhattan</v>
          </cell>
          <cell r="C276" t="str">
            <v>MAAC</v>
          </cell>
          <cell r="D276">
            <v>0</v>
          </cell>
        </row>
        <row r="277">
          <cell r="A277">
            <v>143358</v>
          </cell>
          <cell r="B277" t="str">
            <v>Bradley</v>
          </cell>
          <cell r="C277" t="str">
            <v>MVC</v>
          </cell>
          <cell r="D277">
            <v>0</v>
          </cell>
        </row>
        <row r="278">
          <cell r="A278">
            <v>110608</v>
          </cell>
          <cell r="B278" t="str">
            <v>CSUN</v>
          </cell>
          <cell r="C278" t="str">
            <v>Big West</v>
          </cell>
          <cell r="D278">
            <v>0</v>
          </cell>
        </row>
        <row r="279">
          <cell r="A279">
            <v>129242</v>
          </cell>
          <cell r="B279" t="str">
            <v>Fairfield</v>
          </cell>
          <cell r="C279" t="str">
            <v>MAAC</v>
          </cell>
          <cell r="D279">
            <v>0</v>
          </cell>
        </row>
        <row r="280">
          <cell r="A280">
            <v>185828</v>
          </cell>
          <cell r="B280" t="str">
            <v>NJIT</v>
          </cell>
          <cell r="C280" t="str">
            <v>America East</v>
          </cell>
          <cell r="D280">
            <v>0</v>
          </cell>
        </row>
        <row r="281">
          <cell r="A281">
            <v>130226</v>
          </cell>
          <cell r="B281" t="str">
            <v>Quinnipiac</v>
          </cell>
          <cell r="C281" t="str">
            <v>MAAC</v>
          </cell>
          <cell r="D281">
            <v>0</v>
          </cell>
        </row>
        <row r="282">
          <cell r="A282">
            <v>191241</v>
          </cell>
          <cell r="B282" t="str">
            <v>Fordham</v>
          </cell>
          <cell r="C282" t="str">
            <v>Atlantic 10</v>
          </cell>
          <cell r="D282">
            <v>0</v>
          </cell>
        </row>
        <row r="283">
          <cell r="A283">
            <v>131496</v>
          </cell>
          <cell r="B283" t="str">
            <v>Georgetown</v>
          </cell>
          <cell r="C283" t="str">
            <v>Big East</v>
          </cell>
          <cell r="D283">
            <v>0</v>
          </cell>
        </row>
        <row r="284">
          <cell r="A284">
            <v>122436</v>
          </cell>
          <cell r="B284" t="str">
            <v>San Diego</v>
          </cell>
          <cell r="C284" t="str">
            <v>WCC</v>
          </cell>
          <cell r="D284">
            <v>0</v>
          </cell>
        </row>
        <row r="285">
          <cell r="A285">
            <v>105330</v>
          </cell>
          <cell r="B285" t="str">
            <v>Northern Ariz.</v>
          </cell>
          <cell r="C285" t="str">
            <v>Big Sky</v>
          </cell>
          <cell r="D285">
            <v>0</v>
          </cell>
        </row>
        <row r="286">
          <cell r="A286">
            <v>150534</v>
          </cell>
          <cell r="B286" t="str">
            <v>Evansville</v>
          </cell>
          <cell r="C286" t="str">
            <v>MVC</v>
          </cell>
          <cell r="D286">
            <v>0</v>
          </cell>
        </row>
        <row r="287">
          <cell r="A287">
            <v>166124</v>
          </cell>
          <cell r="B287" t="str">
            <v>Holy Cross</v>
          </cell>
          <cell r="C287" t="str">
            <v>Patriot</v>
          </cell>
          <cell r="D287">
            <v>0</v>
          </cell>
        </row>
        <row r="288">
          <cell r="A288">
            <v>179159</v>
          </cell>
          <cell r="B288" t="str">
            <v>Saint Louis</v>
          </cell>
          <cell r="C288" t="str">
            <v>Atlantic 10</v>
          </cell>
          <cell r="D288">
            <v>0</v>
          </cell>
        </row>
        <row r="289">
          <cell r="A289">
            <v>231174</v>
          </cell>
          <cell r="B289" t="str">
            <v>Vermont</v>
          </cell>
          <cell r="C289" t="str">
            <v>America East</v>
          </cell>
          <cell r="D289">
            <v>0</v>
          </cell>
        </row>
        <row r="290">
          <cell r="A290">
            <v>110662</v>
          </cell>
          <cell r="B290" t="str">
            <v>UCLA</v>
          </cell>
          <cell r="C290" t="str">
            <v>Pac-12</v>
          </cell>
          <cell r="D290">
            <v>0</v>
          </cell>
        </row>
        <row r="291">
          <cell r="A291">
            <v>206084</v>
          </cell>
          <cell r="B291" t="str">
            <v>Toledo</v>
          </cell>
          <cell r="C291" t="str">
            <v>MAC</v>
          </cell>
          <cell r="D291">
            <v>0</v>
          </cell>
        </row>
        <row r="292">
          <cell r="A292">
            <v>204857</v>
          </cell>
          <cell r="B292" t="str">
            <v>Ohio</v>
          </cell>
          <cell r="C292" t="str">
            <v>MAC</v>
          </cell>
          <cell r="D292">
            <v>0</v>
          </cell>
        </row>
        <row r="293">
          <cell r="A293">
            <v>163286</v>
          </cell>
          <cell r="B293" t="str">
            <v>Maryland</v>
          </cell>
          <cell r="C293" t="str">
            <v>Big Ten</v>
          </cell>
          <cell r="D293">
            <v>0</v>
          </cell>
        </row>
        <row r="294">
          <cell r="A294">
            <v>164924</v>
          </cell>
          <cell r="B294" t="str">
            <v>Boston College</v>
          </cell>
          <cell r="C294" t="str">
            <v>ACC</v>
          </cell>
          <cell r="D294">
            <v>0</v>
          </cell>
        </row>
        <row r="295">
          <cell r="A295">
            <v>164988</v>
          </cell>
          <cell r="B295" t="str">
            <v>Boston U.</v>
          </cell>
          <cell r="C295" t="str">
            <v>Patriot</v>
          </cell>
          <cell r="D295">
            <v>0</v>
          </cell>
        </row>
        <row r="296">
          <cell r="A296">
            <v>110644</v>
          </cell>
          <cell r="B296" t="str">
            <v>UC Davis</v>
          </cell>
          <cell r="C296" t="str">
            <v>Big West</v>
          </cell>
          <cell r="D296">
            <v>0</v>
          </cell>
        </row>
        <row r="297">
          <cell r="A297">
            <v>215655</v>
          </cell>
          <cell r="B297" t="str">
            <v>Robert Morris</v>
          </cell>
          <cell r="C297" t="str">
            <v>Horizon</v>
          </cell>
          <cell r="D297">
            <v>0</v>
          </cell>
        </row>
        <row r="298">
          <cell r="A298">
            <v>240444</v>
          </cell>
          <cell r="B298" t="str">
            <v>Wisconsin</v>
          </cell>
          <cell r="C298" t="str">
            <v>Big Ten</v>
          </cell>
          <cell r="D298">
            <v>0</v>
          </cell>
        </row>
        <row r="299">
          <cell r="A299">
            <v>215743</v>
          </cell>
          <cell r="B299" t="str">
            <v>Saint Francis</v>
          </cell>
          <cell r="C299" t="str">
            <v>NEC</v>
          </cell>
          <cell r="D299">
            <v>0</v>
          </cell>
        </row>
        <row r="300">
          <cell r="A300">
            <v>122755</v>
          </cell>
          <cell r="B300" t="str">
            <v>San Jose St.</v>
          </cell>
          <cell r="C300" t="str">
            <v>Mountain West</v>
          </cell>
          <cell r="D300">
            <v>0</v>
          </cell>
        </row>
        <row r="301">
          <cell r="A301">
            <v>209542</v>
          </cell>
          <cell r="B301" t="str">
            <v>Oregon St.</v>
          </cell>
          <cell r="C301" t="str">
            <v>Pac-12</v>
          </cell>
          <cell r="D301">
            <v>0</v>
          </cell>
        </row>
        <row r="302">
          <cell r="A302">
            <v>163046</v>
          </cell>
          <cell r="B302" t="str">
            <v>Loyola Maryland</v>
          </cell>
          <cell r="C302" t="str">
            <v>Patriot</v>
          </cell>
          <cell r="D302">
            <v>0</v>
          </cell>
        </row>
        <row r="303">
          <cell r="A303">
            <v>243744</v>
          </cell>
          <cell r="B303" t="str">
            <v>Stanford</v>
          </cell>
          <cell r="C303" t="str">
            <v>Pac-12</v>
          </cell>
          <cell r="D303">
            <v>0</v>
          </cell>
        </row>
        <row r="304">
          <cell r="A304">
            <v>166513</v>
          </cell>
          <cell r="B304" t="str">
            <v>UMass Lowell</v>
          </cell>
          <cell r="C304" t="str">
            <v>America East</v>
          </cell>
          <cell r="D304">
            <v>0</v>
          </cell>
        </row>
        <row r="305">
          <cell r="A305">
            <v>195173</v>
          </cell>
          <cell r="B305" t="str">
            <v>St. Francis Brooklyn</v>
          </cell>
          <cell r="C305" t="str">
            <v>NEC</v>
          </cell>
          <cell r="D305">
            <v>0</v>
          </cell>
        </row>
        <row r="306">
          <cell r="A306">
            <v>104151</v>
          </cell>
          <cell r="B306" t="str">
            <v>Arizona St.</v>
          </cell>
          <cell r="C306" t="str">
            <v>Pac-12</v>
          </cell>
          <cell r="D306">
            <v>0</v>
          </cell>
        </row>
        <row r="307">
          <cell r="A307">
            <v>121150</v>
          </cell>
          <cell r="B307" t="str">
            <v>Pepperdine</v>
          </cell>
          <cell r="C307" t="str">
            <v>WCC</v>
          </cell>
          <cell r="D307">
            <v>0</v>
          </cell>
        </row>
        <row r="308">
          <cell r="A308">
            <v>169716</v>
          </cell>
          <cell r="B308" t="str">
            <v>Detroit Mercy</v>
          </cell>
          <cell r="C308" t="str">
            <v>Horizon</v>
          </cell>
          <cell r="D308">
            <v>0</v>
          </cell>
        </row>
        <row r="309">
          <cell r="A309">
            <v>240453</v>
          </cell>
          <cell r="B309" t="str">
            <v>Milwaukee</v>
          </cell>
          <cell r="C309" t="str">
            <v>Horizon</v>
          </cell>
          <cell r="D309">
            <v>0</v>
          </cell>
        </row>
        <row r="310">
          <cell r="A310">
            <v>122409</v>
          </cell>
          <cell r="B310" t="str">
            <v>San Diego St.</v>
          </cell>
          <cell r="C310" t="str">
            <v>Mountain West</v>
          </cell>
          <cell r="D310">
            <v>0</v>
          </cell>
        </row>
        <row r="311">
          <cell r="A311" t="e">
            <v>#N/A</v>
          </cell>
          <cell r="B311" t="str">
            <v>Merrimack</v>
          </cell>
          <cell r="C311" t="str">
            <v>NEC</v>
          </cell>
          <cell r="D311">
            <v>0</v>
          </cell>
        </row>
        <row r="312">
          <cell r="A312">
            <v>198516</v>
          </cell>
          <cell r="B312" t="str">
            <v>Elon</v>
          </cell>
          <cell r="C312" t="str">
            <v>CAA</v>
          </cell>
          <cell r="D312">
            <v>0</v>
          </cell>
        </row>
        <row r="313">
          <cell r="A313">
            <v>110671</v>
          </cell>
          <cell r="B313" t="str">
            <v>UC Riverside</v>
          </cell>
          <cell r="C313" t="str">
            <v>Big West</v>
          </cell>
          <cell r="D313">
            <v>0</v>
          </cell>
        </row>
        <row r="314">
          <cell r="A314">
            <v>233374</v>
          </cell>
          <cell r="B314" t="str">
            <v>Richmond</v>
          </cell>
          <cell r="C314" t="str">
            <v>Atlantic 10</v>
          </cell>
          <cell r="D314">
            <v>0</v>
          </cell>
        </row>
        <row r="315">
          <cell r="A315">
            <v>216339</v>
          </cell>
          <cell r="B315" t="str">
            <v>Temple</v>
          </cell>
          <cell r="C315" t="str">
            <v>The American</v>
          </cell>
          <cell r="D315">
            <v>0</v>
          </cell>
        </row>
        <row r="316">
          <cell r="A316">
            <v>166629</v>
          </cell>
          <cell r="B316" t="str">
            <v>Massachusetts</v>
          </cell>
          <cell r="C316" t="str">
            <v>Atlantic 10</v>
          </cell>
          <cell r="D316">
            <v>0</v>
          </cell>
        </row>
        <row r="317">
          <cell r="A317">
            <v>131520</v>
          </cell>
          <cell r="B317" t="str">
            <v>Howard</v>
          </cell>
          <cell r="C317" t="str">
            <v>MEAC</v>
          </cell>
          <cell r="D317">
            <v>0</v>
          </cell>
        </row>
        <row r="318">
          <cell r="A318">
            <v>122755</v>
          </cell>
          <cell r="B318" t="str">
            <v>San Jose St.</v>
          </cell>
          <cell r="C318" t="str">
            <v>Mountain West</v>
          </cell>
          <cell r="D318">
            <v>0</v>
          </cell>
        </row>
        <row r="319">
          <cell r="A319">
            <v>110486</v>
          </cell>
          <cell r="B319" t="str">
            <v>CSU Bakersfield</v>
          </cell>
          <cell r="C319" t="str">
            <v>Big West</v>
          </cell>
          <cell r="D319">
            <v>0</v>
          </cell>
        </row>
        <row r="320">
          <cell r="A320">
            <v>184603</v>
          </cell>
          <cell r="B320" t="str">
            <v>FDU</v>
          </cell>
          <cell r="C320" t="str">
            <v>NEC</v>
          </cell>
          <cell r="D320">
            <v>0</v>
          </cell>
        </row>
        <row r="321">
          <cell r="A321">
            <v>162283</v>
          </cell>
          <cell r="B321" t="str">
            <v>Coppin St.</v>
          </cell>
          <cell r="C321" t="str">
            <v>MEAC</v>
          </cell>
          <cell r="D321">
            <v>0</v>
          </cell>
        </row>
        <row r="322">
          <cell r="A322">
            <v>213385</v>
          </cell>
          <cell r="B322" t="str">
            <v>Lafayette</v>
          </cell>
          <cell r="C322" t="str">
            <v>Patriot</v>
          </cell>
          <cell r="D322">
            <v>0</v>
          </cell>
        </row>
        <row r="323">
          <cell r="A323">
            <v>169248</v>
          </cell>
          <cell r="B323" t="str">
            <v>Central Mich.</v>
          </cell>
          <cell r="C323" t="str">
            <v>MAC</v>
          </cell>
          <cell r="D323">
            <v>0</v>
          </cell>
        </row>
        <row r="324">
          <cell r="A324">
            <v>110635</v>
          </cell>
          <cell r="B324" t="str">
            <v>California</v>
          </cell>
          <cell r="C324" t="str">
            <v>Pac-12</v>
          </cell>
          <cell r="D324">
            <v>0</v>
          </cell>
        </row>
        <row r="325">
          <cell r="A325">
            <v>202480</v>
          </cell>
          <cell r="B325" t="str">
            <v>Dayton</v>
          </cell>
          <cell r="C325" t="str">
            <v>Atlantic 10</v>
          </cell>
          <cell r="D325">
            <v>0</v>
          </cell>
        </row>
        <row r="326">
          <cell r="A326">
            <v>151111</v>
          </cell>
          <cell r="B326" t="str">
            <v>IU Indy</v>
          </cell>
          <cell r="C326" t="str">
            <v>Horizon</v>
          </cell>
          <cell r="D326">
            <v>0</v>
          </cell>
        </row>
        <row r="327">
          <cell r="A327">
            <v>232566</v>
          </cell>
          <cell r="B327" t="str">
            <v>Longwood</v>
          </cell>
          <cell r="C327" t="str">
            <v>Big South</v>
          </cell>
          <cell r="D327">
            <v>0</v>
          </cell>
        </row>
        <row r="328">
          <cell r="A328">
            <v>110361</v>
          </cell>
          <cell r="B328" t="str">
            <v>California Baptist</v>
          </cell>
          <cell r="C328" t="str">
            <v>WAC</v>
          </cell>
          <cell r="D328">
            <v>0</v>
          </cell>
        </row>
        <row r="329">
          <cell r="A329">
            <v>128771</v>
          </cell>
          <cell r="B329" t="str">
            <v>Central Conn. St.</v>
          </cell>
          <cell r="C329" t="str">
            <v>NEC</v>
          </cell>
          <cell r="D329">
            <v>0</v>
          </cell>
        </row>
        <row r="330">
          <cell r="A330">
            <v>200004</v>
          </cell>
          <cell r="B330" t="str">
            <v>Western Caro.</v>
          </cell>
          <cell r="C330" t="str">
            <v>SoCon</v>
          </cell>
          <cell r="D330">
            <v>0</v>
          </cell>
        </row>
        <row r="331">
          <cell r="A331">
            <v>209825</v>
          </cell>
          <cell r="B331" t="str">
            <v>Portland</v>
          </cell>
          <cell r="C331" t="str">
            <v>WCC</v>
          </cell>
          <cell r="D331">
            <v>0</v>
          </cell>
        </row>
        <row r="332">
          <cell r="A332">
            <v>161253</v>
          </cell>
          <cell r="B332" t="str">
            <v>Maine</v>
          </cell>
          <cell r="C332" t="str">
            <v>America East</v>
          </cell>
          <cell r="D332">
            <v>0</v>
          </cell>
        </row>
        <row r="333">
          <cell r="A333">
            <v>196097</v>
          </cell>
          <cell r="B333" t="str">
            <v>Stony Brook</v>
          </cell>
          <cell r="C333" t="str">
            <v>America East</v>
          </cell>
          <cell r="D333">
            <v>0</v>
          </cell>
        </row>
        <row r="334">
          <cell r="A334">
            <v>180461</v>
          </cell>
          <cell r="B334" t="str">
            <v>Montana St.</v>
          </cell>
          <cell r="C334" t="str">
            <v>Big Sky</v>
          </cell>
          <cell r="D334">
            <v>0</v>
          </cell>
        </row>
        <row r="335">
          <cell r="A335">
            <v>209551</v>
          </cell>
          <cell r="B335" t="str">
            <v>Oregon</v>
          </cell>
          <cell r="C335" t="str">
            <v>Pac-12</v>
          </cell>
          <cell r="D335">
            <v>0</v>
          </cell>
        </row>
        <row r="336">
          <cell r="A336" t="e">
            <v>#N/A</v>
          </cell>
          <cell r="B336" t="str">
            <v>UC San Diego</v>
          </cell>
          <cell r="C336" t="str">
            <v>Big West</v>
          </cell>
          <cell r="D336">
            <v>0</v>
          </cell>
        </row>
        <row r="337">
          <cell r="A337">
            <v>171571</v>
          </cell>
          <cell r="B337" t="str">
            <v>Oakland</v>
          </cell>
          <cell r="C337" t="str">
            <v>Horizon</v>
          </cell>
          <cell r="D337">
            <v>0</v>
          </cell>
        </row>
        <row r="338">
          <cell r="A338">
            <v>196413</v>
          </cell>
          <cell r="B338" t="str">
            <v>Syracuse</v>
          </cell>
          <cell r="C338" t="str">
            <v>ACC</v>
          </cell>
          <cell r="D338">
            <v>0</v>
          </cell>
        </row>
        <row r="339">
          <cell r="A339">
            <v>203517</v>
          </cell>
          <cell r="B339" t="str">
            <v>Kent St.</v>
          </cell>
          <cell r="C339" t="str">
            <v>MAC</v>
          </cell>
          <cell r="D339">
            <v>0</v>
          </cell>
        </row>
        <row r="340">
          <cell r="A340">
            <v>202134</v>
          </cell>
          <cell r="B340" t="str">
            <v>Cleveland St.</v>
          </cell>
          <cell r="C340" t="str">
            <v>Horizon</v>
          </cell>
          <cell r="D340">
            <v>0</v>
          </cell>
        </row>
        <row r="341">
          <cell r="A341">
            <v>204024</v>
          </cell>
          <cell r="B341" t="str">
            <v>Miami (OH)</v>
          </cell>
          <cell r="C341" t="str">
            <v>MAC</v>
          </cell>
          <cell r="D341">
            <v>0</v>
          </cell>
        </row>
        <row r="342">
          <cell r="A342">
            <v>110705</v>
          </cell>
          <cell r="B342" t="str">
            <v>UC Santa Barbara</v>
          </cell>
          <cell r="C342" t="str">
            <v>Big West</v>
          </cell>
          <cell r="D342">
            <v>0</v>
          </cell>
        </row>
        <row r="343">
          <cell r="A343">
            <v>193973</v>
          </cell>
          <cell r="B343" t="str">
            <v>Niagara</v>
          </cell>
          <cell r="C343" t="str">
            <v>MAAC</v>
          </cell>
          <cell r="D343">
            <v>0</v>
          </cell>
        </row>
        <row r="344">
          <cell r="A344">
            <v>110565</v>
          </cell>
          <cell r="B344" t="str">
            <v>Cal St. Fullerton</v>
          </cell>
          <cell r="C344" t="str">
            <v>Big West</v>
          </cell>
          <cell r="D344">
            <v>0</v>
          </cell>
        </row>
        <row r="345">
          <cell r="A345">
            <v>198561</v>
          </cell>
          <cell r="B345" t="str">
            <v>Gardner-Webb</v>
          </cell>
          <cell r="C345" t="str">
            <v>Big South</v>
          </cell>
          <cell r="D345">
            <v>0</v>
          </cell>
        </row>
        <row r="346">
          <cell r="A346">
            <v>149772</v>
          </cell>
          <cell r="B346" t="str">
            <v>Western Ill.</v>
          </cell>
          <cell r="C346" t="str">
            <v>Summit League</v>
          </cell>
          <cell r="D346">
            <v>0</v>
          </cell>
        </row>
        <row r="347">
          <cell r="A347">
            <v>213543</v>
          </cell>
          <cell r="B347" t="str">
            <v>Lehigh</v>
          </cell>
          <cell r="C347" t="str">
            <v>Patriot</v>
          </cell>
          <cell r="D347">
            <v>0</v>
          </cell>
        </row>
        <row r="348">
          <cell r="A348">
            <v>147767</v>
          </cell>
          <cell r="B348" t="str">
            <v>Northwestern</v>
          </cell>
          <cell r="C348" t="str">
            <v>Big Ten</v>
          </cell>
          <cell r="D348">
            <v>0</v>
          </cell>
        </row>
        <row r="349">
          <cell r="A349">
            <v>146719</v>
          </cell>
          <cell r="B349" t="str">
            <v>Loyola Chicago</v>
          </cell>
          <cell r="C349" t="str">
            <v>MVC</v>
          </cell>
          <cell r="D349">
            <v>0</v>
          </cell>
        </row>
        <row r="350">
          <cell r="A350">
            <v>211291</v>
          </cell>
          <cell r="B350" t="str">
            <v>Bucknell</v>
          </cell>
          <cell r="C350" t="str">
            <v>Patriot</v>
          </cell>
          <cell r="D350">
            <v>0</v>
          </cell>
        </row>
      </sheetData>
      <sheetData sheetId="14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106397</v>
          </cell>
          <cell r="B2" t="str">
            <v>Arkansas</v>
          </cell>
          <cell r="C2" t="str">
            <v>SEC</v>
          </cell>
          <cell r="D2">
            <v>361412</v>
          </cell>
        </row>
        <row r="3">
          <cell r="A3">
            <v>157085</v>
          </cell>
          <cell r="B3" t="str">
            <v>Kentucky</v>
          </cell>
          <cell r="C3" t="str">
            <v>SEC</v>
          </cell>
          <cell r="D3">
            <v>348082</v>
          </cell>
        </row>
        <row r="4">
          <cell r="A4">
            <v>196413</v>
          </cell>
          <cell r="B4" t="str">
            <v>Syracuse</v>
          </cell>
          <cell r="C4" t="str">
            <v>ACC</v>
          </cell>
          <cell r="D4">
            <v>320279</v>
          </cell>
        </row>
        <row r="5">
          <cell r="A5">
            <v>199120</v>
          </cell>
          <cell r="B5" t="str">
            <v>North Carolina</v>
          </cell>
          <cell r="C5" t="str">
            <v>ACC</v>
          </cell>
          <cell r="D5">
            <v>315115</v>
          </cell>
        </row>
        <row r="6">
          <cell r="A6">
            <v>221759</v>
          </cell>
          <cell r="B6" t="str">
            <v>Tennessee</v>
          </cell>
          <cell r="C6" t="str">
            <v>SEC</v>
          </cell>
          <cell r="D6">
            <v>291236</v>
          </cell>
        </row>
        <row r="7">
          <cell r="A7">
            <v>181464</v>
          </cell>
          <cell r="B7" t="str">
            <v>Nebraska</v>
          </cell>
          <cell r="C7" t="str">
            <v>Big Ten</v>
          </cell>
          <cell r="D7">
            <v>290371</v>
          </cell>
        </row>
        <row r="8">
          <cell r="A8">
            <v>151351</v>
          </cell>
          <cell r="B8" t="str">
            <v>Indiana</v>
          </cell>
          <cell r="C8" t="str">
            <v>Big Ten</v>
          </cell>
          <cell r="D8">
            <v>285208</v>
          </cell>
        </row>
        <row r="9">
          <cell r="A9">
            <v>155317</v>
          </cell>
          <cell r="B9" t="str">
            <v>Kansas</v>
          </cell>
          <cell r="C9" t="str">
            <v>Big 12</v>
          </cell>
          <cell r="D9">
            <v>276300</v>
          </cell>
        </row>
        <row r="10">
          <cell r="A10">
            <v>240444</v>
          </cell>
          <cell r="B10" t="str">
            <v>Wisconsin</v>
          </cell>
          <cell r="C10" t="str">
            <v>Big Ten</v>
          </cell>
          <cell r="D10">
            <v>264075</v>
          </cell>
        </row>
        <row r="11">
          <cell r="A11">
            <v>243780</v>
          </cell>
          <cell r="B11" t="str">
            <v>Purdue</v>
          </cell>
          <cell r="C11" t="str">
            <v>Big Ten</v>
          </cell>
          <cell r="D11">
            <v>251668</v>
          </cell>
        </row>
        <row r="12">
          <cell r="A12">
            <v>229115</v>
          </cell>
          <cell r="B12" t="str">
            <v>Texas Tech</v>
          </cell>
          <cell r="C12" t="str">
            <v>Big 12</v>
          </cell>
          <cell r="D12">
            <v>251515</v>
          </cell>
        </row>
        <row r="13">
          <cell r="A13">
            <v>181002</v>
          </cell>
          <cell r="B13" t="str">
            <v>Creighton</v>
          </cell>
          <cell r="C13" t="str">
            <v>Big East</v>
          </cell>
          <cell r="D13">
            <v>249158</v>
          </cell>
        </row>
        <row r="14">
          <cell r="A14">
            <v>153603</v>
          </cell>
          <cell r="B14" t="str">
            <v>Iowa St.</v>
          </cell>
          <cell r="C14" t="str">
            <v>Big 12</v>
          </cell>
          <cell r="D14">
            <v>244457</v>
          </cell>
        </row>
        <row r="15">
          <cell r="A15">
            <v>228778</v>
          </cell>
          <cell r="B15" t="str">
            <v>Texas</v>
          </cell>
          <cell r="C15" t="str">
            <v>Big 12</v>
          </cell>
          <cell r="D15">
            <v>235563</v>
          </cell>
        </row>
        <row r="16">
          <cell r="A16">
            <v>230038</v>
          </cell>
          <cell r="B16" t="str">
            <v>BYU</v>
          </cell>
          <cell r="C16" t="str">
            <v>WCC</v>
          </cell>
          <cell r="D16">
            <v>235540</v>
          </cell>
        </row>
        <row r="17">
          <cell r="A17">
            <v>145637</v>
          </cell>
          <cell r="B17" t="str">
            <v>Illinois</v>
          </cell>
          <cell r="C17" t="str">
            <v>Big Ten</v>
          </cell>
          <cell r="D17">
            <v>235044</v>
          </cell>
        </row>
        <row r="18">
          <cell r="A18">
            <v>163286</v>
          </cell>
          <cell r="B18" t="str">
            <v>Maryland</v>
          </cell>
          <cell r="C18" t="str">
            <v>Big Ten</v>
          </cell>
          <cell r="D18">
            <v>234937</v>
          </cell>
        </row>
        <row r="19">
          <cell r="A19">
            <v>234076</v>
          </cell>
          <cell r="B19" t="str">
            <v>Virginia</v>
          </cell>
          <cell r="C19" t="str">
            <v>ACC</v>
          </cell>
          <cell r="D19">
            <v>230275</v>
          </cell>
        </row>
        <row r="20">
          <cell r="A20">
            <v>104179</v>
          </cell>
          <cell r="B20" t="str">
            <v>Arizona</v>
          </cell>
          <cell r="C20" t="str">
            <v>Pac-12</v>
          </cell>
          <cell r="D20">
            <v>228040</v>
          </cell>
        </row>
        <row r="21">
          <cell r="A21">
            <v>202480</v>
          </cell>
          <cell r="B21" t="str">
            <v>Dayton</v>
          </cell>
          <cell r="C21" t="str">
            <v>Atlantic 10</v>
          </cell>
          <cell r="D21">
            <v>227919</v>
          </cell>
        </row>
        <row r="22">
          <cell r="A22">
            <v>171100</v>
          </cell>
          <cell r="B22" t="str">
            <v>Michigan St.</v>
          </cell>
          <cell r="C22" t="str">
            <v>Big Ten</v>
          </cell>
          <cell r="D22">
            <v>221955</v>
          </cell>
        </row>
        <row r="23">
          <cell r="A23">
            <v>153658</v>
          </cell>
          <cell r="B23" t="str">
            <v>Iowa</v>
          </cell>
          <cell r="C23" t="str">
            <v>Big Ten</v>
          </cell>
          <cell r="D23">
            <v>217895</v>
          </cell>
        </row>
        <row r="24">
          <cell r="A24">
            <v>239105</v>
          </cell>
          <cell r="B24" t="str">
            <v>Marquette</v>
          </cell>
          <cell r="C24" t="str">
            <v>Big East</v>
          </cell>
          <cell r="D24">
            <v>215925</v>
          </cell>
        </row>
        <row r="25">
          <cell r="A25">
            <v>204796</v>
          </cell>
          <cell r="B25" t="str">
            <v>Ohio St.</v>
          </cell>
          <cell r="C25" t="str">
            <v>Big Ten</v>
          </cell>
          <cell r="D25">
            <v>212412</v>
          </cell>
        </row>
        <row r="26">
          <cell r="A26">
            <v>157289</v>
          </cell>
          <cell r="B26" t="str">
            <v>Louisville</v>
          </cell>
          <cell r="C26" t="str">
            <v>ACC</v>
          </cell>
          <cell r="D26">
            <v>211867</v>
          </cell>
        </row>
        <row r="27">
          <cell r="A27">
            <v>220862</v>
          </cell>
          <cell r="B27" t="str">
            <v>Memphis</v>
          </cell>
          <cell r="C27" t="str">
            <v>The American</v>
          </cell>
          <cell r="D27">
            <v>210948</v>
          </cell>
        </row>
        <row r="28">
          <cell r="A28">
            <v>199193</v>
          </cell>
          <cell r="B28" t="str">
            <v>NC State</v>
          </cell>
          <cell r="C28" t="str">
            <v>ACC</v>
          </cell>
          <cell r="D28">
            <v>207165</v>
          </cell>
        </row>
        <row r="29">
          <cell r="A29">
            <v>238032</v>
          </cell>
          <cell r="B29" t="str">
            <v>West Virginia</v>
          </cell>
          <cell r="C29" t="str">
            <v>Big 12</v>
          </cell>
          <cell r="D29">
            <v>196098</v>
          </cell>
        </row>
        <row r="30">
          <cell r="A30">
            <v>206622</v>
          </cell>
          <cell r="B30" t="str">
            <v>Xavier</v>
          </cell>
          <cell r="C30" t="str">
            <v>Big East</v>
          </cell>
          <cell r="D30">
            <v>189793</v>
          </cell>
        </row>
        <row r="31">
          <cell r="A31">
            <v>170976</v>
          </cell>
          <cell r="B31" t="str">
            <v>Michigan</v>
          </cell>
          <cell r="C31" t="str">
            <v>Big Ten</v>
          </cell>
          <cell r="D31">
            <v>179294</v>
          </cell>
        </row>
        <row r="32">
          <cell r="A32">
            <v>159391</v>
          </cell>
          <cell r="B32" t="str">
            <v>LSU</v>
          </cell>
          <cell r="C32" t="str">
            <v>SEC</v>
          </cell>
          <cell r="D32">
            <v>178562</v>
          </cell>
        </row>
        <row r="33">
          <cell r="A33">
            <v>100751</v>
          </cell>
          <cell r="B33" t="str">
            <v>Alabama</v>
          </cell>
          <cell r="C33" t="str">
            <v>SEC</v>
          </cell>
          <cell r="D33">
            <v>175244</v>
          </cell>
        </row>
        <row r="34">
          <cell r="A34">
            <v>122409</v>
          </cell>
          <cell r="B34" t="str">
            <v>San Diego St.</v>
          </cell>
          <cell r="C34" t="str">
            <v>Mountain West</v>
          </cell>
          <cell r="D34">
            <v>169972</v>
          </cell>
        </row>
        <row r="35">
          <cell r="A35">
            <v>217402</v>
          </cell>
          <cell r="B35" t="str">
            <v>Providence</v>
          </cell>
          <cell r="C35" t="str">
            <v>Big East</v>
          </cell>
          <cell r="D35">
            <v>168869</v>
          </cell>
        </row>
        <row r="36">
          <cell r="A36">
            <v>198419</v>
          </cell>
          <cell r="B36" t="str">
            <v>Duke</v>
          </cell>
          <cell r="C36" t="str">
            <v>ACC</v>
          </cell>
          <cell r="D36">
            <v>167652</v>
          </cell>
        </row>
        <row r="37">
          <cell r="A37">
            <v>201885</v>
          </cell>
          <cell r="B37" t="str">
            <v>Cincinnati</v>
          </cell>
          <cell r="C37" t="str">
            <v>The American</v>
          </cell>
          <cell r="D37">
            <v>166920</v>
          </cell>
        </row>
        <row r="38">
          <cell r="A38">
            <v>129020</v>
          </cell>
          <cell r="B38" t="str">
            <v>UConn</v>
          </cell>
          <cell r="C38" t="str">
            <v>Big East</v>
          </cell>
          <cell r="D38">
            <v>165512</v>
          </cell>
        </row>
        <row r="39">
          <cell r="A39">
            <v>134130</v>
          </cell>
          <cell r="B39" t="str">
            <v>Florida</v>
          </cell>
          <cell r="C39" t="str">
            <v>SEC</v>
          </cell>
          <cell r="D39">
            <v>163529</v>
          </cell>
        </row>
        <row r="40">
          <cell r="A40">
            <v>187985</v>
          </cell>
          <cell r="B40" t="str">
            <v>New Mexico</v>
          </cell>
          <cell r="C40" t="str">
            <v>Mountain West</v>
          </cell>
          <cell r="D40">
            <v>156548</v>
          </cell>
        </row>
        <row r="41">
          <cell r="A41">
            <v>218663</v>
          </cell>
          <cell r="B41" t="str">
            <v>South Carolina</v>
          </cell>
          <cell r="C41" t="str">
            <v>SEC</v>
          </cell>
          <cell r="D41">
            <v>155533</v>
          </cell>
        </row>
        <row r="42">
          <cell r="A42">
            <v>174066</v>
          </cell>
          <cell r="B42" t="str">
            <v>Minnesota</v>
          </cell>
          <cell r="C42" t="str">
            <v>Big Ten</v>
          </cell>
          <cell r="D42">
            <v>154006</v>
          </cell>
        </row>
        <row r="43">
          <cell r="A43">
            <v>215293</v>
          </cell>
          <cell r="B43" t="str">
            <v>Pittsburgh</v>
          </cell>
          <cell r="C43" t="str">
            <v>ACC</v>
          </cell>
          <cell r="D43">
            <v>153077</v>
          </cell>
        </row>
        <row r="44">
          <cell r="A44">
            <v>156125</v>
          </cell>
          <cell r="B44" t="str">
            <v>Wichita St.</v>
          </cell>
          <cell r="C44" t="str">
            <v>The American</v>
          </cell>
          <cell r="D44">
            <v>148159</v>
          </cell>
        </row>
        <row r="45">
          <cell r="A45">
            <v>100858</v>
          </cell>
          <cell r="B45" t="str">
            <v>Auburn</v>
          </cell>
          <cell r="C45" t="str">
            <v>SEC</v>
          </cell>
          <cell r="D45">
            <v>145936</v>
          </cell>
        </row>
        <row r="46">
          <cell r="A46">
            <v>223232</v>
          </cell>
          <cell r="B46" t="str">
            <v>Baylor</v>
          </cell>
          <cell r="C46" t="str">
            <v>Big 12</v>
          </cell>
          <cell r="D46">
            <v>143457</v>
          </cell>
        </row>
        <row r="47">
          <cell r="A47">
            <v>186584</v>
          </cell>
          <cell r="B47" t="str">
            <v>Seton Hall</v>
          </cell>
          <cell r="C47" t="str">
            <v>Big East</v>
          </cell>
          <cell r="D47">
            <v>137234</v>
          </cell>
        </row>
        <row r="48">
          <cell r="A48">
            <v>207388</v>
          </cell>
          <cell r="B48" t="str">
            <v>Oklahoma St.</v>
          </cell>
          <cell r="C48" t="str">
            <v>Big 12</v>
          </cell>
          <cell r="D48">
            <v>134994</v>
          </cell>
        </row>
        <row r="49">
          <cell r="A49">
            <v>228723</v>
          </cell>
          <cell r="B49" t="str">
            <v>Texas A&amp;M</v>
          </cell>
          <cell r="C49" t="str">
            <v>SEC</v>
          </cell>
          <cell r="D49">
            <v>134265</v>
          </cell>
        </row>
        <row r="50">
          <cell r="A50">
            <v>139959</v>
          </cell>
          <cell r="B50" t="str">
            <v>Georgia</v>
          </cell>
          <cell r="C50" t="str">
            <v>SEC</v>
          </cell>
          <cell r="D50">
            <v>132557</v>
          </cell>
        </row>
        <row r="51">
          <cell r="A51">
            <v>195809</v>
          </cell>
          <cell r="B51" t="str">
            <v>St. John's (NY)</v>
          </cell>
          <cell r="C51" t="str">
            <v>Big East</v>
          </cell>
          <cell r="D51">
            <v>131735</v>
          </cell>
        </row>
        <row r="52">
          <cell r="A52">
            <v>207500</v>
          </cell>
          <cell r="B52" t="str">
            <v>Oklahoma</v>
          </cell>
          <cell r="C52" t="str">
            <v>Big 12</v>
          </cell>
          <cell r="D52">
            <v>130860</v>
          </cell>
        </row>
        <row r="53">
          <cell r="A53">
            <v>186380</v>
          </cell>
          <cell r="B53" t="str">
            <v>Rutgers</v>
          </cell>
          <cell r="C53" t="str">
            <v>Big Ten</v>
          </cell>
          <cell r="D53">
            <v>128506</v>
          </cell>
        </row>
        <row r="54">
          <cell r="A54">
            <v>214777</v>
          </cell>
          <cell r="B54" t="str">
            <v>Penn St.</v>
          </cell>
          <cell r="C54" t="str">
            <v>Big Ten</v>
          </cell>
          <cell r="D54">
            <v>127683</v>
          </cell>
        </row>
        <row r="55">
          <cell r="A55">
            <v>134097</v>
          </cell>
          <cell r="B55" t="str">
            <v>Florida St.</v>
          </cell>
          <cell r="C55" t="str">
            <v>ACC</v>
          </cell>
          <cell r="D55">
            <v>126262</v>
          </cell>
        </row>
        <row r="56">
          <cell r="A56">
            <v>230728</v>
          </cell>
          <cell r="B56" t="str">
            <v>Utah St.</v>
          </cell>
          <cell r="C56" t="str">
            <v>Mountain West</v>
          </cell>
          <cell r="D56">
            <v>125945</v>
          </cell>
        </row>
        <row r="57">
          <cell r="A57">
            <v>142115</v>
          </cell>
          <cell r="B57" t="str">
            <v>Boise St.</v>
          </cell>
          <cell r="C57" t="str">
            <v>Mountain West</v>
          </cell>
          <cell r="D57">
            <v>125900</v>
          </cell>
        </row>
        <row r="58">
          <cell r="A58">
            <v>126614</v>
          </cell>
          <cell r="B58" t="str">
            <v>Colorado</v>
          </cell>
          <cell r="C58" t="str">
            <v>Pac-12</v>
          </cell>
          <cell r="D58">
            <v>125181</v>
          </cell>
        </row>
        <row r="59">
          <cell r="A59">
            <v>221999</v>
          </cell>
          <cell r="B59" t="str">
            <v>Vanderbilt</v>
          </cell>
          <cell r="C59" t="str">
            <v>SEC</v>
          </cell>
          <cell r="D59">
            <v>124239</v>
          </cell>
        </row>
        <row r="60">
          <cell r="A60">
            <v>230764</v>
          </cell>
          <cell r="B60" t="str">
            <v>Utah</v>
          </cell>
          <cell r="C60" t="str">
            <v>Pac-12</v>
          </cell>
          <cell r="D60">
            <v>122697</v>
          </cell>
        </row>
        <row r="61">
          <cell r="A61">
            <v>150163</v>
          </cell>
          <cell r="B61" t="str">
            <v>Butler</v>
          </cell>
          <cell r="C61" t="str">
            <v>Big East</v>
          </cell>
          <cell r="D61">
            <v>121730</v>
          </cell>
        </row>
        <row r="62">
          <cell r="A62">
            <v>225511</v>
          </cell>
          <cell r="B62" t="str">
            <v>Houston</v>
          </cell>
          <cell r="C62" t="str">
            <v>The American</v>
          </cell>
          <cell r="D62">
            <v>121462</v>
          </cell>
        </row>
        <row r="63">
          <cell r="A63">
            <v>216597</v>
          </cell>
          <cell r="B63" t="str">
            <v>Villanova</v>
          </cell>
          <cell r="C63" t="str">
            <v>Big East</v>
          </cell>
          <cell r="D63">
            <v>119608</v>
          </cell>
        </row>
        <row r="64">
          <cell r="A64">
            <v>104151</v>
          </cell>
          <cell r="B64" t="str">
            <v>Arizona St.</v>
          </cell>
          <cell r="C64" t="str">
            <v>Pac-12</v>
          </cell>
          <cell r="D64">
            <v>119596</v>
          </cell>
        </row>
        <row r="65">
          <cell r="A65">
            <v>104717</v>
          </cell>
          <cell r="B65" t="str">
            <v>Grand Canyon</v>
          </cell>
          <cell r="C65" t="str">
            <v>WAC</v>
          </cell>
          <cell r="D65">
            <v>119062</v>
          </cell>
        </row>
        <row r="66">
          <cell r="A66">
            <v>209551</v>
          </cell>
          <cell r="B66" t="str">
            <v>Oregon</v>
          </cell>
          <cell r="C66" t="str">
            <v>Pac-12</v>
          </cell>
          <cell r="D66">
            <v>118484</v>
          </cell>
        </row>
        <row r="67">
          <cell r="A67">
            <v>199847</v>
          </cell>
          <cell r="B67" t="str">
            <v>Wake Forest</v>
          </cell>
          <cell r="C67" t="str">
            <v>ACC</v>
          </cell>
          <cell r="D67">
            <v>117936</v>
          </cell>
        </row>
        <row r="68">
          <cell r="A68">
            <v>176080</v>
          </cell>
          <cell r="B68" t="str">
            <v>Mississippi St.</v>
          </cell>
          <cell r="C68" t="str">
            <v>SEC</v>
          </cell>
          <cell r="D68">
            <v>117663</v>
          </cell>
        </row>
        <row r="69">
          <cell r="A69">
            <v>176017</v>
          </cell>
          <cell r="B69" t="str">
            <v>Ole Miss</v>
          </cell>
          <cell r="C69" t="str">
            <v>SEC</v>
          </cell>
          <cell r="D69">
            <v>116358</v>
          </cell>
        </row>
        <row r="70">
          <cell r="A70">
            <v>233921</v>
          </cell>
          <cell r="B70" t="str">
            <v>Virginia Tech</v>
          </cell>
          <cell r="C70" t="str">
            <v>ACC</v>
          </cell>
          <cell r="D70">
            <v>114274</v>
          </cell>
        </row>
        <row r="71">
          <cell r="A71">
            <v>236948</v>
          </cell>
          <cell r="B71" t="str">
            <v>Washington</v>
          </cell>
          <cell r="C71" t="str">
            <v>Pac-12</v>
          </cell>
          <cell r="D71">
            <v>111420</v>
          </cell>
        </row>
        <row r="72">
          <cell r="A72">
            <v>110662</v>
          </cell>
          <cell r="B72" t="str">
            <v>UCLA</v>
          </cell>
          <cell r="C72" t="str">
            <v>Pac-12</v>
          </cell>
          <cell r="D72">
            <v>111152</v>
          </cell>
        </row>
        <row r="73">
          <cell r="A73">
            <v>152080</v>
          </cell>
          <cell r="B73" t="str">
            <v>Notre Dame</v>
          </cell>
          <cell r="C73" t="str">
            <v>ACC</v>
          </cell>
          <cell r="D73">
            <v>109246</v>
          </cell>
        </row>
        <row r="74">
          <cell r="A74">
            <v>234030</v>
          </cell>
          <cell r="B74" t="str">
            <v>VCU</v>
          </cell>
          <cell r="C74" t="str">
            <v>Atlantic 10</v>
          </cell>
          <cell r="D74">
            <v>109230</v>
          </cell>
        </row>
        <row r="75">
          <cell r="A75">
            <v>217882</v>
          </cell>
          <cell r="B75" t="str">
            <v>Clemson</v>
          </cell>
          <cell r="C75" t="str">
            <v>ACC</v>
          </cell>
          <cell r="D75">
            <v>106578</v>
          </cell>
        </row>
        <row r="76">
          <cell r="A76">
            <v>178396</v>
          </cell>
          <cell r="B76" t="str">
            <v>Missouri</v>
          </cell>
          <cell r="C76" t="str">
            <v>SEC</v>
          </cell>
          <cell r="D76">
            <v>105595</v>
          </cell>
        </row>
        <row r="77">
          <cell r="A77">
            <v>179159</v>
          </cell>
          <cell r="B77" t="str">
            <v>Saint Louis</v>
          </cell>
          <cell r="C77" t="str">
            <v>Atlantic 10</v>
          </cell>
          <cell r="D77">
            <v>104815</v>
          </cell>
        </row>
        <row r="78">
          <cell r="A78">
            <v>155399</v>
          </cell>
          <cell r="B78" t="str">
            <v>Kansas St.</v>
          </cell>
          <cell r="C78" t="str">
            <v>Big 12</v>
          </cell>
          <cell r="D78">
            <v>98978</v>
          </cell>
        </row>
        <row r="79">
          <cell r="A79">
            <v>155399</v>
          </cell>
          <cell r="B79" t="str">
            <v>Kansas St.</v>
          </cell>
          <cell r="C79" t="str">
            <v>Big 12</v>
          </cell>
          <cell r="D79">
            <v>98978</v>
          </cell>
        </row>
        <row r="80">
          <cell r="A80">
            <v>182290</v>
          </cell>
          <cell r="B80" t="str">
            <v>Nevada</v>
          </cell>
          <cell r="C80" t="str">
            <v>Mountain West</v>
          </cell>
          <cell r="D80">
            <v>98785</v>
          </cell>
        </row>
        <row r="81">
          <cell r="A81">
            <v>204857</v>
          </cell>
          <cell r="B81" t="str">
            <v>Ohio</v>
          </cell>
          <cell r="C81" t="str">
            <v>MAC</v>
          </cell>
          <cell r="D81">
            <v>97452</v>
          </cell>
        </row>
        <row r="82">
          <cell r="A82">
            <v>235316</v>
          </cell>
          <cell r="B82" t="str">
            <v>Gonzaga</v>
          </cell>
          <cell r="C82" t="str">
            <v>WCC</v>
          </cell>
          <cell r="D82">
            <v>96000</v>
          </cell>
        </row>
        <row r="83">
          <cell r="A83">
            <v>228875</v>
          </cell>
          <cell r="B83" t="str">
            <v>TCU</v>
          </cell>
          <cell r="C83" t="str">
            <v>Big 12</v>
          </cell>
          <cell r="D83">
            <v>94811</v>
          </cell>
        </row>
        <row r="84">
          <cell r="A84">
            <v>131496</v>
          </cell>
          <cell r="B84" t="str">
            <v>Georgetown</v>
          </cell>
          <cell r="C84" t="str">
            <v>Big East</v>
          </cell>
          <cell r="D84">
            <v>93927</v>
          </cell>
        </row>
        <row r="85">
          <cell r="A85">
            <v>126818</v>
          </cell>
          <cell r="B85" t="str">
            <v>Colorado St.</v>
          </cell>
          <cell r="C85" t="str">
            <v>Mountain West</v>
          </cell>
          <cell r="D85">
            <v>92607</v>
          </cell>
        </row>
        <row r="86">
          <cell r="A86">
            <v>233374</v>
          </cell>
          <cell r="B86" t="str">
            <v>Richmond</v>
          </cell>
          <cell r="C86" t="str">
            <v>Atlantic 10</v>
          </cell>
          <cell r="D86">
            <v>91079</v>
          </cell>
        </row>
        <row r="87">
          <cell r="A87">
            <v>228796</v>
          </cell>
          <cell r="B87" t="str">
            <v>UTEP</v>
          </cell>
          <cell r="C87" t="str">
            <v>CUSA</v>
          </cell>
          <cell r="D87">
            <v>88125</v>
          </cell>
        </row>
        <row r="88">
          <cell r="A88">
            <v>188030</v>
          </cell>
          <cell r="B88" t="str">
            <v>New Mexico St.</v>
          </cell>
          <cell r="C88" t="str">
            <v>WAC</v>
          </cell>
          <cell r="D88">
            <v>86780</v>
          </cell>
        </row>
        <row r="89">
          <cell r="A89">
            <v>188030</v>
          </cell>
          <cell r="B89" t="str">
            <v>New Mexico St.</v>
          </cell>
          <cell r="C89" t="str">
            <v>WAC</v>
          </cell>
          <cell r="D89">
            <v>86780</v>
          </cell>
        </row>
        <row r="90">
          <cell r="A90">
            <v>139755</v>
          </cell>
          <cell r="B90" t="str">
            <v>Georgia Tech</v>
          </cell>
          <cell r="C90" t="str">
            <v>ACC</v>
          </cell>
          <cell r="D90">
            <v>86234</v>
          </cell>
        </row>
        <row r="91">
          <cell r="A91">
            <v>110635</v>
          </cell>
          <cell r="B91" t="str">
            <v>California</v>
          </cell>
          <cell r="C91" t="str">
            <v>Pac-12</v>
          </cell>
          <cell r="D91">
            <v>85430</v>
          </cell>
        </row>
        <row r="92">
          <cell r="A92">
            <v>182281</v>
          </cell>
          <cell r="B92" t="str">
            <v>UNLV</v>
          </cell>
          <cell r="C92" t="str">
            <v>Mountain West</v>
          </cell>
          <cell r="D92">
            <v>83581</v>
          </cell>
        </row>
        <row r="93">
          <cell r="A93">
            <v>182281</v>
          </cell>
          <cell r="B93" t="str">
            <v>UNLV</v>
          </cell>
          <cell r="C93" t="str">
            <v>Mountain West</v>
          </cell>
          <cell r="D93">
            <v>83581</v>
          </cell>
        </row>
        <row r="94">
          <cell r="A94">
            <v>132903</v>
          </cell>
          <cell r="B94" t="str">
            <v>UCF</v>
          </cell>
          <cell r="C94" t="str">
            <v>The American</v>
          </cell>
          <cell r="D94">
            <v>79631</v>
          </cell>
        </row>
        <row r="95">
          <cell r="A95">
            <v>240727</v>
          </cell>
          <cell r="B95" t="str">
            <v>Wyoming</v>
          </cell>
          <cell r="C95" t="str">
            <v>Mountain West</v>
          </cell>
          <cell r="D95">
            <v>78990</v>
          </cell>
        </row>
        <row r="96">
          <cell r="A96">
            <v>164924</v>
          </cell>
          <cell r="B96" t="str">
            <v>Boston College</v>
          </cell>
          <cell r="C96" t="str">
            <v>ACC</v>
          </cell>
          <cell r="D96">
            <v>78676</v>
          </cell>
        </row>
        <row r="97">
          <cell r="A97">
            <v>110556</v>
          </cell>
          <cell r="B97" t="str">
            <v>Fresno St.</v>
          </cell>
          <cell r="C97" t="str">
            <v>Mountain West</v>
          </cell>
          <cell r="D97">
            <v>75299</v>
          </cell>
        </row>
        <row r="98">
          <cell r="A98">
            <v>217484</v>
          </cell>
          <cell r="B98" t="str">
            <v>Rhode Island</v>
          </cell>
          <cell r="C98" t="str">
            <v>Atlantic 10</v>
          </cell>
          <cell r="D98">
            <v>72207</v>
          </cell>
        </row>
        <row r="99">
          <cell r="A99">
            <v>195474</v>
          </cell>
          <cell r="B99" t="str">
            <v>Siena</v>
          </cell>
          <cell r="C99" t="str">
            <v>MAAC</v>
          </cell>
          <cell r="D99">
            <v>71741</v>
          </cell>
        </row>
        <row r="100">
          <cell r="A100">
            <v>237525</v>
          </cell>
          <cell r="B100" t="str">
            <v>Marshall</v>
          </cell>
          <cell r="C100" t="str">
            <v>CUSA</v>
          </cell>
          <cell r="D100">
            <v>71148</v>
          </cell>
        </row>
        <row r="101">
          <cell r="A101">
            <v>232982</v>
          </cell>
          <cell r="B101" t="str">
            <v>Old Dominion</v>
          </cell>
          <cell r="C101" t="str">
            <v>CUSA</v>
          </cell>
          <cell r="D101">
            <v>69741</v>
          </cell>
        </row>
        <row r="102">
          <cell r="A102">
            <v>157951</v>
          </cell>
          <cell r="B102" t="str">
            <v>Western Ky.</v>
          </cell>
          <cell r="C102" t="str">
            <v>CUSA</v>
          </cell>
          <cell r="D102">
            <v>69078</v>
          </cell>
        </row>
        <row r="103">
          <cell r="A103">
            <v>206084</v>
          </cell>
          <cell r="B103" t="str">
            <v>Toledo</v>
          </cell>
          <cell r="C103" t="str">
            <v>MAC</v>
          </cell>
          <cell r="D103">
            <v>68002</v>
          </cell>
        </row>
        <row r="104">
          <cell r="A104">
            <v>230782</v>
          </cell>
          <cell r="B104" t="str">
            <v>Weber St.</v>
          </cell>
          <cell r="C104" t="str">
            <v>Big Sky</v>
          </cell>
          <cell r="D104">
            <v>67678</v>
          </cell>
        </row>
        <row r="105">
          <cell r="A105">
            <v>232423</v>
          </cell>
          <cell r="B105" t="str">
            <v>James Madison</v>
          </cell>
          <cell r="C105" t="str">
            <v>CAA</v>
          </cell>
          <cell r="D105">
            <v>66115</v>
          </cell>
        </row>
        <row r="106">
          <cell r="A106">
            <v>147767</v>
          </cell>
          <cell r="B106" t="str">
            <v>Northwestern</v>
          </cell>
          <cell r="C106" t="str">
            <v>Big Ten</v>
          </cell>
          <cell r="D106">
            <v>65513</v>
          </cell>
        </row>
        <row r="107">
          <cell r="A107">
            <v>157401</v>
          </cell>
          <cell r="B107" t="str">
            <v>Murray St.</v>
          </cell>
          <cell r="C107" t="str">
            <v>OVC</v>
          </cell>
          <cell r="D107">
            <v>65072</v>
          </cell>
        </row>
        <row r="108">
          <cell r="A108">
            <v>228246</v>
          </cell>
          <cell r="B108" t="str">
            <v>SMU</v>
          </cell>
          <cell r="C108" t="str">
            <v>The American</v>
          </cell>
          <cell r="D108">
            <v>64786</v>
          </cell>
        </row>
        <row r="109">
          <cell r="A109">
            <v>135726</v>
          </cell>
          <cell r="B109" t="str">
            <v>Miami (FL)</v>
          </cell>
          <cell r="C109" t="str">
            <v>ACC</v>
          </cell>
          <cell r="D109">
            <v>64383</v>
          </cell>
        </row>
        <row r="110">
          <cell r="A110">
            <v>149222</v>
          </cell>
          <cell r="B110" t="str">
            <v>Southern Ill.</v>
          </cell>
          <cell r="C110" t="str">
            <v>MVC</v>
          </cell>
          <cell r="D110">
            <v>64230</v>
          </cell>
        </row>
        <row r="111">
          <cell r="A111">
            <v>123961</v>
          </cell>
          <cell r="B111" t="str">
            <v>Southern California</v>
          </cell>
          <cell r="C111" t="str">
            <v>Pac-12</v>
          </cell>
          <cell r="D111">
            <v>61756</v>
          </cell>
        </row>
        <row r="112">
          <cell r="A112">
            <v>143358</v>
          </cell>
          <cell r="B112" t="str">
            <v>Bradley</v>
          </cell>
          <cell r="C112" t="str">
            <v>MVC</v>
          </cell>
          <cell r="D112">
            <v>60912</v>
          </cell>
        </row>
        <row r="113">
          <cell r="A113">
            <v>207582</v>
          </cell>
          <cell r="B113" t="str">
            <v>Oral Roberts</v>
          </cell>
          <cell r="C113" t="str">
            <v>Summit League</v>
          </cell>
          <cell r="D113">
            <v>60714</v>
          </cell>
        </row>
        <row r="114">
          <cell r="A114">
            <v>217819</v>
          </cell>
          <cell r="B114" t="str">
            <v>Col. of Charleston</v>
          </cell>
          <cell r="C114" t="str">
            <v>CAA</v>
          </cell>
          <cell r="D114">
            <v>60513</v>
          </cell>
        </row>
        <row r="115">
          <cell r="A115">
            <v>227216</v>
          </cell>
          <cell r="B115" t="str">
            <v>North Texas</v>
          </cell>
          <cell r="C115" t="str">
            <v>CUSA</v>
          </cell>
          <cell r="D115">
            <v>60469</v>
          </cell>
        </row>
        <row r="116">
          <cell r="A116">
            <v>179566</v>
          </cell>
          <cell r="B116" t="str">
            <v>Missouri St.</v>
          </cell>
          <cell r="C116" t="str">
            <v>MVC</v>
          </cell>
          <cell r="D116">
            <v>59949</v>
          </cell>
        </row>
        <row r="117">
          <cell r="A117">
            <v>195164</v>
          </cell>
          <cell r="B117" t="str">
            <v>St. Bonaventure</v>
          </cell>
          <cell r="C117" t="str">
            <v>Atlantic 10</v>
          </cell>
          <cell r="D117">
            <v>59616</v>
          </cell>
        </row>
        <row r="118">
          <cell r="A118">
            <v>236939</v>
          </cell>
          <cell r="B118" t="str">
            <v>Washington St.</v>
          </cell>
          <cell r="C118" t="str">
            <v>Pac-12</v>
          </cell>
          <cell r="D118">
            <v>59524</v>
          </cell>
        </row>
        <row r="119">
          <cell r="A119">
            <v>110361</v>
          </cell>
          <cell r="B119" t="str">
            <v>California Baptist</v>
          </cell>
          <cell r="C119" t="str">
            <v>WAC</v>
          </cell>
          <cell r="D119">
            <v>59364</v>
          </cell>
        </row>
        <row r="120">
          <cell r="A120">
            <v>209542</v>
          </cell>
          <cell r="B120" t="str">
            <v>Oregon St.</v>
          </cell>
          <cell r="C120" t="str">
            <v>Pac-12</v>
          </cell>
          <cell r="D120">
            <v>58648</v>
          </cell>
        </row>
        <row r="121">
          <cell r="A121">
            <v>144740</v>
          </cell>
          <cell r="B121" t="str">
            <v>DePaul</v>
          </cell>
          <cell r="C121" t="str">
            <v>Big East</v>
          </cell>
          <cell r="D121">
            <v>58616</v>
          </cell>
        </row>
        <row r="122">
          <cell r="A122">
            <v>216339</v>
          </cell>
          <cell r="B122" t="str">
            <v>Temple</v>
          </cell>
          <cell r="C122" t="str">
            <v>The American</v>
          </cell>
          <cell r="D122">
            <v>58118</v>
          </cell>
        </row>
        <row r="123">
          <cell r="A123">
            <v>100663</v>
          </cell>
          <cell r="B123" t="str">
            <v>UAB</v>
          </cell>
          <cell r="C123" t="str">
            <v>CUSA</v>
          </cell>
          <cell r="D123">
            <v>58108</v>
          </cell>
        </row>
        <row r="124">
          <cell r="A124">
            <v>153269</v>
          </cell>
          <cell r="B124" t="str">
            <v>Drake</v>
          </cell>
          <cell r="C124" t="str">
            <v>MVC</v>
          </cell>
          <cell r="D124">
            <v>54468</v>
          </cell>
        </row>
        <row r="125">
          <cell r="A125">
            <v>180489</v>
          </cell>
          <cell r="B125" t="str">
            <v>Montana</v>
          </cell>
          <cell r="C125" t="str">
            <v>Big Sky</v>
          </cell>
          <cell r="D125">
            <v>53917</v>
          </cell>
        </row>
        <row r="126">
          <cell r="A126">
            <v>198464</v>
          </cell>
          <cell r="B126" t="str">
            <v>East Carolina</v>
          </cell>
          <cell r="C126" t="str">
            <v>The American</v>
          </cell>
          <cell r="D126">
            <v>53456</v>
          </cell>
        </row>
        <row r="127">
          <cell r="A127">
            <v>199218</v>
          </cell>
          <cell r="B127" t="str">
            <v>UNCW</v>
          </cell>
          <cell r="C127" t="str">
            <v>CAA</v>
          </cell>
          <cell r="D127">
            <v>51094</v>
          </cell>
        </row>
        <row r="128">
          <cell r="A128">
            <v>221740</v>
          </cell>
          <cell r="B128" t="str">
            <v>Chattanooga</v>
          </cell>
          <cell r="C128" t="str">
            <v>SoCon</v>
          </cell>
          <cell r="D128">
            <v>50518</v>
          </cell>
        </row>
        <row r="129">
          <cell r="A129">
            <v>232557</v>
          </cell>
          <cell r="B129" t="str">
            <v>Liberty</v>
          </cell>
          <cell r="C129" t="str">
            <v>ASUN</v>
          </cell>
          <cell r="D129">
            <v>50100</v>
          </cell>
        </row>
        <row r="130">
          <cell r="A130">
            <v>232186</v>
          </cell>
          <cell r="B130" t="str">
            <v>George Mason</v>
          </cell>
          <cell r="C130" t="str">
            <v>Atlantic 10</v>
          </cell>
          <cell r="D130">
            <v>49805</v>
          </cell>
        </row>
        <row r="131">
          <cell r="A131">
            <v>206604</v>
          </cell>
          <cell r="B131" t="str">
            <v>Wright St.</v>
          </cell>
          <cell r="C131" t="str">
            <v>Horizon</v>
          </cell>
          <cell r="D131">
            <v>49648</v>
          </cell>
        </row>
        <row r="132">
          <cell r="A132">
            <v>198695</v>
          </cell>
          <cell r="B132" t="str">
            <v>High Point</v>
          </cell>
          <cell r="C132" t="str">
            <v>Big South</v>
          </cell>
          <cell r="D132">
            <v>49622</v>
          </cell>
        </row>
        <row r="133">
          <cell r="A133">
            <v>220978</v>
          </cell>
          <cell r="B133" t="str">
            <v>Middle Tenn.</v>
          </cell>
          <cell r="C133" t="str">
            <v>CUSA</v>
          </cell>
          <cell r="D133">
            <v>49418</v>
          </cell>
        </row>
        <row r="134">
          <cell r="A134">
            <v>145813</v>
          </cell>
          <cell r="B134" t="str">
            <v>Illinois St.</v>
          </cell>
          <cell r="C134" t="str">
            <v>MVC</v>
          </cell>
          <cell r="D134">
            <v>49310</v>
          </cell>
        </row>
        <row r="135">
          <cell r="A135">
            <v>141574</v>
          </cell>
          <cell r="B135" t="str">
            <v>Hawaii</v>
          </cell>
          <cell r="C135" t="str">
            <v>Big West</v>
          </cell>
          <cell r="D135">
            <v>47698</v>
          </cell>
        </row>
        <row r="136">
          <cell r="A136">
            <v>156620</v>
          </cell>
          <cell r="B136" t="str">
            <v>Eastern Ky.</v>
          </cell>
          <cell r="C136" t="str">
            <v>ASUN</v>
          </cell>
          <cell r="D136">
            <v>47460</v>
          </cell>
        </row>
        <row r="137">
          <cell r="A137">
            <v>207971</v>
          </cell>
          <cell r="B137" t="str">
            <v>Tulsa</v>
          </cell>
          <cell r="C137" t="str">
            <v>The American</v>
          </cell>
          <cell r="D137">
            <v>46575</v>
          </cell>
        </row>
        <row r="138">
          <cell r="A138">
            <v>220075</v>
          </cell>
          <cell r="B138" t="str">
            <v>ETSU</v>
          </cell>
          <cell r="C138" t="str">
            <v>SoCon</v>
          </cell>
          <cell r="D138">
            <v>46503</v>
          </cell>
        </row>
        <row r="139">
          <cell r="A139">
            <v>146719</v>
          </cell>
          <cell r="B139" t="str">
            <v>Loyola Chicago</v>
          </cell>
          <cell r="C139" t="str">
            <v>MVC</v>
          </cell>
          <cell r="D139">
            <v>45731</v>
          </cell>
        </row>
        <row r="140">
          <cell r="A140">
            <v>198385</v>
          </cell>
          <cell r="B140" t="str">
            <v>Davidson</v>
          </cell>
          <cell r="C140" t="str">
            <v>Atlantic 10</v>
          </cell>
          <cell r="D140">
            <v>44921</v>
          </cell>
        </row>
        <row r="141">
          <cell r="A141">
            <v>150136</v>
          </cell>
          <cell r="B141" t="str">
            <v>Ball St.</v>
          </cell>
          <cell r="C141" t="str">
            <v>MAC</v>
          </cell>
          <cell r="D141">
            <v>44836</v>
          </cell>
        </row>
        <row r="142">
          <cell r="A142">
            <v>123554</v>
          </cell>
          <cell r="B142" t="str">
            <v>Saint Mary's (CA)</v>
          </cell>
          <cell r="C142" t="str">
            <v>WCC</v>
          </cell>
          <cell r="D142">
            <v>43437</v>
          </cell>
        </row>
        <row r="143">
          <cell r="A143">
            <v>159647</v>
          </cell>
          <cell r="B143" t="str">
            <v>Louisiana Tech</v>
          </cell>
          <cell r="C143" t="str">
            <v>CUSA</v>
          </cell>
          <cell r="D143">
            <v>43256</v>
          </cell>
        </row>
        <row r="144">
          <cell r="A144">
            <v>180461</v>
          </cell>
          <cell r="B144" t="str">
            <v>Montana St.</v>
          </cell>
          <cell r="C144" t="str">
            <v>Big Sky</v>
          </cell>
          <cell r="D144">
            <v>42634</v>
          </cell>
        </row>
        <row r="145">
          <cell r="A145">
            <v>197869</v>
          </cell>
          <cell r="B145" t="str">
            <v>App State</v>
          </cell>
          <cell r="C145" t="str">
            <v>Sun Belt</v>
          </cell>
          <cell r="D145">
            <v>42620</v>
          </cell>
        </row>
        <row r="146">
          <cell r="A146">
            <v>150534</v>
          </cell>
          <cell r="B146" t="str">
            <v>Evansville</v>
          </cell>
          <cell r="C146" t="str">
            <v>MVC</v>
          </cell>
          <cell r="D146">
            <v>42487</v>
          </cell>
        </row>
        <row r="147">
          <cell r="A147">
            <v>176372</v>
          </cell>
          <cell r="B147" t="str">
            <v>Southern Miss.</v>
          </cell>
          <cell r="C147" t="str">
            <v>CUSA</v>
          </cell>
          <cell r="D147">
            <v>42208</v>
          </cell>
        </row>
        <row r="148">
          <cell r="A148">
            <v>151324</v>
          </cell>
          <cell r="B148" t="str">
            <v>Indiana St.</v>
          </cell>
          <cell r="C148" t="str">
            <v>MVC</v>
          </cell>
          <cell r="D148">
            <v>41854</v>
          </cell>
        </row>
        <row r="149">
          <cell r="A149">
            <v>433660</v>
          </cell>
          <cell r="B149" t="str">
            <v>FGCU</v>
          </cell>
          <cell r="C149" t="str">
            <v>ASUN</v>
          </cell>
          <cell r="D149">
            <v>39196</v>
          </cell>
        </row>
        <row r="150">
          <cell r="A150">
            <v>157447</v>
          </cell>
          <cell r="B150" t="str">
            <v>Northern Ky.</v>
          </cell>
          <cell r="C150" t="str">
            <v>Horizon</v>
          </cell>
          <cell r="D150">
            <v>38175</v>
          </cell>
        </row>
        <row r="151">
          <cell r="A151">
            <v>199139</v>
          </cell>
          <cell r="B151" t="str">
            <v>Charlotte</v>
          </cell>
          <cell r="C151" t="str">
            <v>CUSA</v>
          </cell>
          <cell r="D151">
            <v>37979</v>
          </cell>
        </row>
        <row r="152">
          <cell r="A152">
            <v>137351</v>
          </cell>
          <cell r="B152" t="str">
            <v>South Fla.</v>
          </cell>
          <cell r="C152" t="str">
            <v>The American</v>
          </cell>
          <cell r="D152">
            <v>37780</v>
          </cell>
        </row>
        <row r="153">
          <cell r="A153">
            <v>202134</v>
          </cell>
          <cell r="B153" t="str">
            <v>Cleveland St.</v>
          </cell>
          <cell r="C153" t="str">
            <v>Horizon</v>
          </cell>
          <cell r="D153">
            <v>37477</v>
          </cell>
        </row>
        <row r="154">
          <cell r="A154">
            <v>231174</v>
          </cell>
          <cell r="B154" t="str">
            <v>Vermont</v>
          </cell>
          <cell r="C154" t="str">
            <v>America East</v>
          </cell>
          <cell r="D154">
            <v>36418</v>
          </cell>
        </row>
        <row r="155">
          <cell r="A155">
            <v>154095</v>
          </cell>
          <cell r="B155" t="str">
            <v>UNI</v>
          </cell>
          <cell r="C155" t="str">
            <v>MVC</v>
          </cell>
          <cell r="D155">
            <v>36030</v>
          </cell>
        </row>
        <row r="156">
          <cell r="A156">
            <v>102368</v>
          </cell>
          <cell r="B156" t="str">
            <v>Troy</v>
          </cell>
          <cell r="C156" t="str">
            <v>Sun Belt</v>
          </cell>
          <cell r="D156">
            <v>35850</v>
          </cell>
        </row>
        <row r="157">
          <cell r="A157">
            <v>171571</v>
          </cell>
          <cell r="B157" t="str">
            <v>Oakland</v>
          </cell>
          <cell r="C157" t="str">
            <v>Horizon</v>
          </cell>
          <cell r="D157">
            <v>35747</v>
          </cell>
        </row>
        <row r="158">
          <cell r="A158">
            <v>160621</v>
          </cell>
          <cell r="B158" t="str">
            <v>Southern U.</v>
          </cell>
          <cell r="C158" t="str">
            <v>SWAC</v>
          </cell>
          <cell r="D158">
            <v>35674</v>
          </cell>
        </row>
        <row r="159">
          <cell r="A159">
            <v>243744</v>
          </cell>
          <cell r="B159" t="str">
            <v>Stanford</v>
          </cell>
          <cell r="C159" t="str">
            <v>Pac-12</v>
          </cell>
          <cell r="D159">
            <v>35393</v>
          </cell>
        </row>
        <row r="160">
          <cell r="A160">
            <v>160658</v>
          </cell>
          <cell r="B160" t="str">
            <v>Louisiana</v>
          </cell>
          <cell r="C160" t="str">
            <v>Sun Belt</v>
          </cell>
          <cell r="D160">
            <v>35209</v>
          </cell>
        </row>
        <row r="161">
          <cell r="A161">
            <v>196088</v>
          </cell>
          <cell r="B161" t="str">
            <v>Buffalo</v>
          </cell>
          <cell r="C161" t="str">
            <v>MAC</v>
          </cell>
          <cell r="D161">
            <v>34717</v>
          </cell>
        </row>
        <row r="162">
          <cell r="A162">
            <v>196097</v>
          </cell>
          <cell r="B162" t="str">
            <v>Stony Brook</v>
          </cell>
          <cell r="C162" t="str">
            <v>America East</v>
          </cell>
          <cell r="D162">
            <v>34471</v>
          </cell>
        </row>
        <row r="163">
          <cell r="A163">
            <v>240453</v>
          </cell>
          <cell r="B163" t="str">
            <v>Milwaukee</v>
          </cell>
          <cell r="C163" t="str">
            <v>Horizon</v>
          </cell>
          <cell r="D163">
            <v>34025</v>
          </cell>
        </row>
        <row r="164">
          <cell r="A164">
            <v>166629</v>
          </cell>
          <cell r="B164" t="str">
            <v>Massachusetts</v>
          </cell>
          <cell r="C164" t="str">
            <v>Atlantic 10</v>
          </cell>
          <cell r="D164">
            <v>33708</v>
          </cell>
        </row>
        <row r="165">
          <cell r="A165">
            <v>213367</v>
          </cell>
          <cell r="B165" t="str">
            <v>La Salle</v>
          </cell>
          <cell r="C165" t="str">
            <v>Atlantic 10</v>
          </cell>
          <cell r="D165">
            <v>33690</v>
          </cell>
        </row>
        <row r="166">
          <cell r="A166">
            <v>218070</v>
          </cell>
          <cell r="B166" t="str">
            <v>Furman</v>
          </cell>
          <cell r="C166" t="str">
            <v>SoCon</v>
          </cell>
          <cell r="D166">
            <v>33313</v>
          </cell>
        </row>
        <row r="167">
          <cell r="A167">
            <v>206695</v>
          </cell>
          <cell r="B167" t="str">
            <v>Youngstown St.</v>
          </cell>
          <cell r="C167" t="str">
            <v>Horizon</v>
          </cell>
          <cell r="D167">
            <v>33046</v>
          </cell>
        </row>
        <row r="168">
          <cell r="A168">
            <v>201441</v>
          </cell>
          <cell r="B168" t="str">
            <v>Bowling Green</v>
          </cell>
          <cell r="C168" t="str">
            <v>MAC</v>
          </cell>
          <cell r="D168">
            <v>32758</v>
          </cell>
        </row>
        <row r="169">
          <cell r="A169">
            <v>204024</v>
          </cell>
          <cell r="B169" t="str">
            <v>Miami (OH)</v>
          </cell>
          <cell r="C169" t="str">
            <v>MAC</v>
          </cell>
          <cell r="D169">
            <v>32677</v>
          </cell>
        </row>
        <row r="170">
          <cell r="A170">
            <v>231624</v>
          </cell>
          <cell r="B170" t="str">
            <v>William &amp; Mary</v>
          </cell>
          <cell r="C170" t="str">
            <v>CAA</v>
          </cell>
          <cell r="D170">
            <v>32265</v>
          </cell>
        </row>
        <row r="171">
          <cell r="A171">
            <v>102094</v>
          </cell>
          <cell r="B171" t="str">
            <v>South Alabama</v>
          </cell>
          <cell r="C171" t="str">
            <v>Sun Belt</v>
          </cell>
          <cell r="D171">
            <v>32199</v>
          </cell>
        </row>
        <row r="172">
          <cell r="A172">
            <v>219356</v>
          </cell>
          <cell r="B172" t="str">
            <v>South Dakota St.</v>
          </cell>
          <cell r="C172" t="str">
            <v>Summit League</v>
          </cell>
          <cell r="D172">
            <v>32180</v>
          </cell>
        </row>
        <row r="173">
          <cell r="A173">
            <v>122612</v>
          </cell>
          <cell r="B173" t="str">
            <v>San Francisco</v>
          </cell>
          <cell r="C173" t="str">
            <v>WCC</v>
          </cell>
          <cell r="D173">
            <v>31934</v>
          </cell>
        </row>
        <row r="174">
          <cell r="A174">
            <v>203517</v>
          </cell>
          <cell r="B174" t="str">
            <v>Kent St.</v>
          </cell>
          <cell r="C174" t="str">
            <v>MAC</v>
          </cell>
          <cell r="D174">
            <v>31530</v>
          </cell>
        </row>
        <row r="175">
          <cell r="A175">
            <v>230737</v>
          </cell>
          <cell r="B175" t="str">
            <v>Utah Valley</v>
          </cell>
          <cell r="C175" t="str">
            <v>WAC</v>
          </cell>
          <cell r="D175">
            <v>30448</v>
          </cell>
        </row>
        <row r="176">
          <cell r="A176">
            <v>212106</v>
          </cell>
          <cell r="B176" t="str">
            <v>Duquesne</v>
          </cell>
          <cell r="C176" t="str">
            <v>Atlantic 10</v>
          </cell>
          <cell r="D176">
            <v>30432</v>
          </cell>
        </row>
        <row r="177">
          <cell r="A177">
            <v>199148</v>
          </cell>
          <cell r="B177" t="str">
            <v>UNC Greensboro</v>
          </cell>
          <cell r="C177" t="str">
            <v>SoCon</v>
          </cell>
          <cell r="D177">
            <v>29053</v>
          </cell>
        </row>
        <row r="178">
          <cell r="A178">
            <v>200800</v>
          </cell>
          <cell r="B178" t="str">
            <v>Akron</v>
          </cell>
          <cell r="C178" t="str">
            <v>MAC</v>
          </cell>
          <cell r="D178">
            <v>28916</v>
          </cell>
        </row>
        <row r="179">
          <cell r="A179">
            <v>140447</v>
          </cell>
          <cell r="B179" t="str">
            <v>Mercer</v>
          </cell>
          <cell r="C179" t="str">
            <v>SoCon</v>
          </cell>
          <cell r="D179">
            <v>28731</v>
          </cell>
        </row>
        <row r="180">
          <cell r="A180">
            <v>200332</v>
          </cell>
          <cell r="B180" t="str">
            <v>North Dakota St.</v>
          </cell>
          <cell r="C180" t="str">
            <v>Summit League</v>
          </cell>
          <cell r="D180">
            <v>28700</v>
          </cell>
        </row>
        <row r="181">
          <cell r="A181">
            <v>101480</v>
          </cell>
          <cell r="B181" t="str">
            <v>Jacksonville St.</v>
          </cell>
          <cell r="C181" t="str">
            <v>ASUN</v>
          </cell>
          <cell r="D181">
            <v>28385</v>
          </cell>
        </row>
        <row r="182">
          <cell r="A182">
            <v>191931</v>
          </cell>
          <cell r="B182" t="str">
            <v>Iona</v>
          </cell>
          <cell r="C182" t="str">
            <v>MAAC</v>
          </cell>
          <cell r="D182">
            <v>28349</v>
          </cell>
        </row>
        <row r="183">
          <cell r="A183">
            <v>152600</v>
          </cell>
          <cell r="B183" t="str">
            <v>Valparaiso</v>
          </cell>
          <cell r="C183" t="str">
            <v>MVC</v>
          </cell>
          <cell r="D183">
            <v>28133</v>
          </cell>
        </row>
        <row r="184">
          <cell r="A184">
            <v>219976</v>
          </cell>
          <cell r="B184" t="str">
            <v>Lipscomb</v>
          </cell>
          <cell r="C184" t="str">
            <v>ASUN</v>
          </cell>
          <cell r="D184">
            <v>28108</v>
          </cell>
        </row>
        <row r="185">
          <cell r="A185" t="e">
            <v>#N/A</v>
          </cell>
          <cell r="B185" t="str">
            <v>Utah Tech</v>
          </cell>
          <cell r="C185" t="str">
            <v>WAC</v>
          </cell>
          <cell r="D185">
            <v>27967</v>
          </cell>
        </row>
        <row r="186">
          <cell r="A186">
            <v>219709</v>
          </cell>
          <cell r="B186" t="str">
            <v>Belmont</v>
          </cell>
          <cell r="C186" t="str">
            <v>OVC</v>
          </cell>
          <cell r="D186">
            <v>27942</v>
          </cell>
        </row>
        <row r="187">
          <cell r="A187">
            <v>228431</v>
          </cell>
          <cell r="B187" t="str">
            <v>SFA</v>
          </cell>
          <cell r="C187" t="str">
            <v>WAC</v>
          </cell>
          <cell r="D187">
            <v>27788</v>
          </cell>
        </row>
        <row r="188">
          <cell r="A188">
            <v>159993</v>
          </cell>
          <cell r="B188" t="str">
            <v>ULM</v>
          </cell>
          <cell r="C188" t="str">
            <v>Sun Belt</v>
          </cell>
          <cell r="D188">
            <v>27436</v>
          </cell>
        </row>
        <row r="189">
          <cell r="A189">
            <v>198516</v>
          </cell>
          <cell r="B189" t="str">
            <v>Elon</v>
          </cell>
          <cell r="C189" t="str">
            <v>CAA</v>
          </cell>
          <cell r="D189">
            <v>26785</v>
          </cell>
        </row>
        <row r="190">
          <cell r="A190">
            <v>227757</v>
          </cell>
          <cell r="B190" t="str">
            <v>Rice</v>
          </cell>
          <cell r="C190" t="str">
            <v>CUSA</v>
          </cell>
          <cell r="D190">
            <v>26778</v>
          </cell>
        </row>
        <row r="191">
          <cell r="A191">
            <v>133669</v>
          </cell>
          <cell r="B191" t="str">
            <v>Fla. Atlantic</v>
          </cell>
          <cell r="C191" t="str">
            <v>CUSA</v>
          </cell>
          <cell r="D191">
            <v>26605</v>
          </cell>
        </row>
        <row r="192">
          <cell r="A192" t="e">
            <v>#N/A</v>
          </cell>
          <cell r="B192" t="str">
            <v>Bellarmine</v>
          </cell>
          <cell r="C192" t="str">
            <v>ASUN</v>
          </cell>
          <cell r="D192">
            <v>26442</v>
          </cell>
        </row>
        <row r="193">
          <cell r="A193">
            <v>122755</v>
          </cell>
          <cell r="B193" t="str">
            <v>San Jose St.</v>
          </cell>
          <cell r="C193" t="str">
            <v>Mountain West</v>
          </cell>
          <cell r="D193">
            <v>26350</v>
          </cell>
        </row>
        <row r="194">
          <cell r="A194">
            <v>122755</v>
          </cell>
          <cell r="B194" t="str">
            <v>San Jose St.</v>
          </cell>
          <cell r="C194" t="str">
            <v>Mountain West</v>
          </cell>
          <cell r="D194">
            <v>26350</v>
          </cell>
        </row>
        <row r="195">
          <cell r="A195">
            <v>122755</v>
          </cell>
          <cell r="B195" t="str">
            <v>San Jose St.</v>
          </cell>
          <cell r="C195" t="str">
            <v>Mountain West</v>
          </cell>
          <cell r="D195">
            <v>26350</v>
          </cell>
        </row>
        <row r="196">
          <cell r="A196">
            <v>230603</v>
          </cell>
          <cell r="B196" t="str">
            <v>Southern Utah</v>
          </cell>
          <cell r="C196" t="str">
            <v>Big Sky</v>
          </cell>
          <cell r="D196">
            <v>26216</v>
          </cell>
        </row>
        <row r="197">
          <cell r="A197">
            <v>199102</v>
          </cell>
          <cell r="B197" t="str">
            <v>N.C. A&amp;T</v>
          </cell>
          <cell r="C197" t="str">
            <v>Big South</v>
          </cell>
          <cell r="D197">
            <v>26079</v>
          </cell>
        </row>
        <row r="198">
          <cell r="A198">
            <v>191649</v>
          </cell>
          <cell r="B198" t="str">
            <v>Hofstra</v>
          </cell>
          <cell r="C198" t="str">
            <v>CAA</v>
          </cell>
          <cell r="D198">
            <v>25933</v>
          </cell>
        </row>
        <row r="199">
          <cell r="A199">
            <v>130943</v>
          </cell>
          <cell r="B199" t="str">
            <v>Delaware</v>
          </cell>
          <cell r="C199" t="str">
            <v>CAA</v>
          </cell>
          <cell r="D199">
            <v>25652</v>
          </cell>
        </row>
        <row r="200">
          <cell r="A200">
            <v>229063</v>
          </cell>
          <cell r="B200" t="str">
            <v>Texas Southern</v>
          </cell>
          <cell r="C200" t="str">
            <v>SWAC</v>
          </cell>
          <cell r="D200">
            <v>25595</v>
          </cell>
        </row>
        <row r="201">
          <cell r="A201">
            <v>163268</v>
          </cell>
          <cell r="B201" t="str">
            <v>UMBC</v>
          </cell>
          <cell r="C201" t="str">
            <v>America East</v>
          </cell>
          <cell r="D201">
            <v>25486</v>
          </cell>
        </row>
        <row r="202">
          <cell r="A202" t="e">
            <v>#N/A</v>
          </cell>
          <cell r="B202" t="str">
            <v>Tarleton St.</v>
          </cell>
          <cell r="C202" t="str">
            <v>WAC</v>
          </cell>
          <cell r="D202">
            <v>25266</v>
          </cell>
        </row>
        <row r="203">
          <cell r="A203">
            <v>215770</v>
          </cell>
          <cell r="B203" t="str">
            <v>Saint Joseph's</v>
          </cell>
          <cell r="C203" t="str">
            <v>Atlantic 10</v>
          </cell>
          <cell r="D203">
            <v>25260</v>
          </cell>
        </row>
        <row r="204">
          <cell r="A204">
            <v>157386</v>
          </cell>
          <cell r="B204" t="str">
            <v>Morehead St.</v>
          </cell>
          <cell r="C204" t="str">
            <v>OVC</v>
          </cell>
          <cell r="D204">
            <v>25242</v>
          </cell>
        </row>
        <row r="205">
          <cell r="A205">
            <v>145600</v>
          </cell>
          <cell r="B205" t="str">
            <v>UIC</v>
          </cell>
          <cell r="C205" t="str">
            <v>Horizon</v>
          </cell>
          <cell r="D205">
            <v>25115</v>
          </cell>
        </row>
        <row r="206">
          <cell r="A206">
            <v>163462</v>
          </cell>
          <cell r="B206" t="str">
            <v>Mount St. Mary's</v>
          </cell>
          <cell r="C206" t="str">
            <v>NEC</v>
          </cell>
          <cell r="D206">
            <v>25033</v>
          </cell>
        </row>
        <row r="207">
          <cell r="A207">
            <v>196079</v>
          </cell>
          <cell r="B207" t="str">
            <v>Binghamton</v>
          </cell>
          <cell r="C207" t="str">
            <v>America East</v>
          </cell>
          <cell r="D207">
            <v>24907</v>
          </cell>
        </row>
        <row r="208">
          <cell r="A208">
            <v>219471</v>
          </cell>
          <cell r="B208" t="str">
            <v>South Dakota</v>
          </cell>
          <cell r="C208" t="str">
            <v>Summit League</v>
          </cell>
          <cell r="D208">
            <v>24883</v>
          </cell>
        </row>
        <row r="209">
          <cell r="A209">
            <v>196060</v>
          </cell>
          <cell r="B209" t="str">
            <v>UAlbany</v>
          </cell>
          <cell r="C209" t="str">
            <v>America East</v>
          </cell>
          <cell r="D209">
            <v>24595</v>
          </cell>
        </row>
        <row r="210">
          <cell r="A210">
            <v>169798</v>
          </cell>
          <cell r="B210" t="str">
            <v>Eastern Mich.</v>
          </cell>
          <cell r="C210" t="str">
            <v>MAC</v>
          </cell>
          <cell r="D210">
            <v>24437</v>
          </cell>
        </row>
        <row r="211">
          <cell r="A211">
            <v>226091</v>
          </cell>
          <cell r="B211" t="str">
            <v>Lamar University</v>
          </cell>
          <cell r="C211" t="str">
            <v>WAC</v>
          </cell>
          <cell r="D211">
            <v>24433</v>
          </cell>
        </row>
        <row r="212">
          <cell r="A212">
            <v>228459</v>
          </cell>
          <cell r="B212" t="str">
            <v>Texas St.</v>
          </cell>
          <cell r="C212" t="str">
            <v>Sun Belt</v>
          </cell>
          <cell r="D212">
            <v>24079</v>
          </cell>
        </row>
        <row r="213">
          <cell r="A213">
            <v>139931</v>
          </cell>
          <cell r="B213" t="str">
            <v>Ga. Southern</v>
          </cell>
          <cell r="C213" t="str">
            <v>Sun Belt</v>
          </cell>
          <cell r="D213">
            <v>23832</v>
          </cell>
        </row>
        <row r="214">
          <cell r="A214">
            <v>232566</v>
          </cell>
          <cell r="B214" t="str">
            <v>Longwood</v>
          </cell>
          <cell r="C214" t="str">
            <v>Big South</v>
          </cell>
          <cell r="D214">
            <v>23659</v>
          </cell>
        </row>
        <row r="215">
          <cell r="A215">
            <v>185572</v>
          </cell>
          <cell r="B215" t="str">
            <v>Monmouth</v>
          </cell>
          <cell r="C215" t="str">
            <v>MAAC</v>
          </cell>
          <cell r="D215">
            <v>23637</v>
          </cell>
        </row>
        <row r="216">
          <cell r="A216">
            <v>133650</v>
          </cell>
          <cell r="B216" t="str">
            <v>Florida A&amp;M</v>
          </cell>
          <cell r="C216" t="str">
            <v>SWAC</v>
          </cell>
          <cell r="D216">
            <v>22673</v>
          </cell>
        </row>
        <row r="217">
          <cell r="A217">
            <v>500000</v>
          </cell>
          <cell r="B217" t="str">
            <v>Navy</v>
          </cell>
          <cell r="C217" t="str">
            <v>Patriot</v>
          </cell>
          <cell r="D217">
            <v>22403</v>
          </cell>
        </row>
        <row r="218">
          <cell r="A218">
            <v>164076</v>
          </cell>
          <cell r="B218" t="str">
            <v>Towson</v>
          </cell>
          <cell r="C218" t="str">
            <v>CAA</v>
          </cell>
          <cell r="D218">
            <v>22301</v>
          </cell>
        </row>
        <row r="219">
          <cell r="A219">
            <v>232937</v>
          </cell>
          <cell r="B219" t="str">
            <v>Norfolk St.</v>
          </cell>
          <cell r="C219" t="str">
            <v>MEAC</v>
          </cell>
          <cell r="D219">
            <v>22182</v>
          </cell>
        </row>
        <row r="220">
          <cell r="A220">
            <v>232265</v>
          </cell>
          <cell r="B220" t="str">
            <v>Hampton</v>
          </cell>
          <cell r="C220" t="str">
            <v>Big South</v>
          </cell>
          <cell r="D220">
            <v>22036</v>
          </cell>
        </row>
        <row r="221">
          <cell r="A221">
            <v>240277</v>
          </cell>
          <cell r="B221" t="str">
            <v>Green Bay</v>
          </cell>
          <cell r="C221" t="str">
            <v>Horizon</v>
          </cell>
          <cell r="D221">
            <v>21779</v>
          </cell>
        </row>
        <row r="222">
          <cell r="A222">
            <v>163453</v>
          </cell>
          <cell r="B222" t="str">
            <v>Morgan St.</v>
          </cell>
          <cell r="C222" t="str">
            <v>MEAC</v>
          </cell>
          <cell r="D222">
            <v>21771</v>
          </cell>
        </row>
        <row r="223">
          <cell r="A223">
            <v>200004</v>
          </cell>
          <cell r="B223" t="str">
            <v>Western Caro.</v>
          </cell>
          <cell r="C223" t="str">
            <v>SoCon</v>
          </cell>
          <cell r="D223">
            <v>21727</v>
          </cell>
        </row>
        <row r="224">
          <cell r="A224">
            <v>218724</v>
          </cell>
          <cell r="B224" t="str">
            <v>Coastal Carolina</v>
          </cell>
          <cell r="C224" t="str">
            <v>Sun Belt</v>
          </cell>
          <cell r="D224">
            <v>21650</v>
          </cell>
        </row>
        <row r="225">
          <cell r="A225">
            <v>213385</v>
          </cell>
          <cell r="B225" t="str">
            <v>Lafayette</v>
          </cell>
          <cell r="C225" t="str">
            <v>Patriot</v>
          </cell>
          <cell r="D225">
            <v>21402</v>
          </cell>
        </row>
        <row r="226">
          <cell r="A226">
            <v>151102</v>
          </cell>
          <cell r="B226" t="str">
            <v>Purdue Fort Wayne</v>
          </cell>
          <cell r="C226" t="str">
            <v>Horizon</v>
          </cell>
          <cell r="D226">
            <v>21151</v>
          </cell>
        </row>
        <row r="227">
          <cell r="A227">
            <v>122931</v>
          </cell>
          <cell r="B227" t="str">
            <v>Santa Clara</v>
          </cell>
          <cell r="C227" t="str">
            <v>WCC</v>
          </cell>
          <cell r="D227">
            <v>21056</v>
          </cell>
        </row>
        <row r="228">
          <cell r="A228">
            <v>133951</v>
          </cell>
          <cell r="B228" t="str">
            <v>FIU</v>
          </cell>
          <cell r="C228" t="str">
            <v>CUSA</v>
          </cell>
          <cell r="D228">
            <v>21055</v>
          </cell>
        </row>
        <row r="229">
          <cell r="A229">
            <v>217165</v>
          </cell>
          <cell r="B229" t="str">
            <v>Bryant</v>
          </cell>
          <cell r="C229" t="str">
            <v>NEC</v>
          </cell>
          <cell r="D229">
            <v>20892</v>
          </cell>
        </row>
        <row r="230">
          <cell r="A230">
            <v>200280</v>
          </cell>
          <cell r="B230" t="str">
            <v>North Dakota</v>
          </cell>
          <cell r="C230" t="str">
            <v>Summit League</v>
          </cell>
          <cell r="D230">
            <v>20712</v>
          </cell>
        </row>
        <row r="231">
          <cell r="A231">
            <v>129242</v>
          </cell>
          <cell r="B231" t="str">
            <v>Fairfield</v>
          </cell>
          <cell r="C231" t="str">
            <v>MAAC</v>
          </cell>
          <cell r="D231">
            <v>20601</v>
          </cell>
        </row>
        <row r="232">
          <cell r="A232">
            <v>236595</v>
          </cell>
          <cell r="B232" t="str">
            <v>Seattle U</v>
          </cell>
          <cell r="C232" t="str">
            <v>WAC</v>
          </cell>
          <cell r="D232">
            <v>20557</v>
          </cell>
        </row>
        <row r="233">
          <cell r="A233">
            <v>172699</v>
          </cell>
          <cell r="B233" t="str">
            <v>Western Mich.</v>
          </cell>
          <cell r="C233" t="str">
            <v>MAC</v>
          </cell>
          <cell r="D233">
            <v>20477</v>
          </cell>
        </row>
        <row r="234">
          <cell r="A234">
            <v>102049</v>
          </cell>
          <cell r="B234" t="str">
            <v>Samford</v>
          </cell>
          <cell r="C234" t="str">
            <v>SoCon</v>
          </cell>
          <cell r="D234">
            <v>20449</v>
          </cell>
        </row>
        <row r="235">
          <cell r="A235">
            <v>136172</v>
          </cell>
          <cell r="B235" t="str">
            <v>North Florida</v>
          </cell>
          <cell r="C235" t="str">
            <v>ASUN</v>
          </cell>
          <cell r="D235">
            <v>20240</v>
          </cell>
        </row>
        <row r="236">
          <cell r="A236">
            <v>159009</v>
          </cell>
          <cell r="B236" t="str">
            <v>Grambling</v>
          </cell>
          <cell r="C236" t="str">
            <v>SWAC</v>
          </cell>
          <cell r="D236">
            <v>20079</v>
          </cell>
        </row>
        <row r="237">
          <cell r="A237">
            <v>142285</v>
          </cell>
          <cell r="B237" t="str">
            <v>Idaho</v>
          </cell>
          <cell r="C237" t="str">
            <v>Big Sky</v>
          </cell>
          <cell r="D237">
            <v>19804</v>
          </cell>
        </row>
        <row r="238">
          <cell r="A238">
            <v>234085</v>
          </cell>
          <cell r="B238" t="str">
            <v>VMI</v>
          </cell>
          <cell r="C238" t="str">
            <v>SoCon</v>
          </cell>
          <cell r="D238">
            <v>19622</v>
          </cell>
        </row>
        <row r="239">
          <cell r="A239">
            <v>228769</v>
          </cell>
          <cell r="B239" t="str">
            <v>UT Arlington</v>
          </cell>
          <cell r="C239" t="str">
            <v>Sun Belt</v>
          </cell>
          <cell r="D239">
            <v>19584</v>
          </cell>
        </row>
        <row r="240">
          <cell r="A240">
            <v>218964</v>
          </cell>
          <cell r="B240" t="str">
            <v>Winthrop</v>
          </cell>
          <cell r="C240" t="str">
            <v>Big South</v>
          </cell>
          <cell r="D240">
            <v>19445</v>
          </cell>
        </row>
        <row r="241">
          <cell r="A241">
            <v>106412</v>
          </cell>
          <cell r="B241" t="str">
            <v>Ark.-Pine Bluff</v>
          </cell>
          <cell r="C241" t="str">
            <v>SWAC</v>
          </cell>
          <cell r="D241">
            <v>19275</v>
          </cell>
        </row>
        <row r="242">
          <cell r="A242">
            <v>500002</v>
          </cell>
          <cell r="B242" t="str">
            <v>Air Force</v>
          </cell>
          <cell r="C242" t="str">
            <v>Mountain West</v>
          </cell>
          <cell r="D242">
            <v>19249</v>
          </cell>
        </row>
        <row r="243">
          <cell r="A243">
            <v>197197</v>
          </cell>
          <cell r="B243" t="str">
            <v>Wagner</v>
          </cell>
          <cell r="C243" t="str">
            <v>NEC</v>
          </cell>
          <cell r="D243">
            <v>19070</v>
          </cell>
        </row>
        <row r="244">
          <cell r="A244">
            <v>106458</v>
          </cell>
          <cell r="B244" t="str">
            <v>Arkansas St.</v>
          </cell>
          <cell r="C244" t="str">
            <v>Sun Belt</v>
          </cell>
          <cell r="D244">
            <v>18894</v>
          </cell>
        </row>
        <row r="245">
          <cell r="A245">
            <v>160755</v>
          </cell>
          <cell r="B245" t="str">
            <v>Tulane</v>
          </cell>
          <cell r="C245" t="str">
            <v>The American</v>
          </cell>
          <cell r="D245">
            <v>18804</v>
          </cell>
        </row>
        <row r="246">
          <cell r="A246">
            <v>218973</v>
          </cell>
          <cell r="B246" t="str">
            <v>Wofford</v>
          </cell>
          <cell r="C246" t="str">
            <v>SoCon</v>
          </cell>
          <cell r="D246">
            <v>18741</v>
          </cell>
        </row>
        <row r="247">
          <cell r="A247">
            <v>169716</v>
          </cell>
          <cell r="B247" t="str">
            <v>Detroit Mercy</v>
          </cell>
          <cell r="C247" t="str">
            <v>Horizon</v>
          </cell>
          <cell r="D247">
            <v>18578</v>
          </cell>
        </row>
        <row r="248">
          <cell r="A248">
            <v>186283</v>
          </cell>
          <cell r="B248" t="str">
            <v>Rider</v>
          </cell>
          <cell r="C248" t="str">
            <v>MAAC</v>
          </cell>
          <cell r="D248">
            <v>18437</v>
          </cell>
        </row>
        <row r="249">
          <cell r="A249">
            <v>176044</v>
          </cell>
          <cell r="B249" t="str">
            <v>Mississippi Val.</v>
          </cell>
          <cell r="C249" t="str">
            <v>SWAC</v>
          </cell>
          <cell r="D249">
            <v>18346</v>
          </cell>
        </row>
        <row r="250">
          <cell r="A250">
            <v>106245</v>
          </cell>
          <cell r="B250" t="str">
            <v>Little Rock</v>
          </cell>
          <cell r="C250" t="str">
            <v>Sun Belt</v>
          </cell>
          <cell r="D250">
            <v>18313</v>
          </cell>
        </row>
        <row r="251">
          <cell r="A251">
            <v>181394</v>
          </cell>
          <cell r="B251" t="str">
            <v>Omaha</v>
          </cell>
          <cell r="C251" t="str">
            <v>Summit League</v>
          </cell>
          <cell r="D251">
            <v>17947</v>
          </cell>
        </row>
        <row r="252">
          <cell r="A252">
            <v>221768</v>
          </cell>
          <cell r="B252" t="str">
            <v>UT Martin</v>
          </cell>
          <cell r="C252" t="str">
            <v>OVC</v>
          </cell>
          <cell r="D252">
            <v>17905</v>
          </cell>
        </row>
        <row r="253">
          <cell r="A253">
            <v>110705</v>
          </cell>
          <cell r="B253" t="str">
            <v>UC Santa Barbara</v>
          </cell>
          <cell r="C253" t="str">
            <v>Big West</v>
          </cell>
          <cell r="D253">
            <v>17631</v>
          </cell>
        </row>
        <row r="254">
          <cell r="A254">
            <v>122436</v>
          </cell>
          <cell r="B254" t="str">
            <v>San Diego</v>
          </cell>
          <cell r="C254" t="str">
            <v>WCC</v>
          </cell>
          <cell r="D254">
            <v>17446</v>
          </cell>
        </row>
        <row r="255">
          <cell r="A255">
            <v>227368</v>
          </cell>
          <cell r="B255" t="str">
            <v>UTRGV</v>
          </cell>
          <cell r="C255" t="str">
            <v>WAC</v>
          </cell>
          <cell r="D255">
            <v>17348</v>
          </cell>
        </row>
        <row r="256">
          <cell r="A256">
            <v>166027</v>
          </cell>
          <cell r="B256" t="str">
            <v>Harvard</v>
          </cell>
          <cell r="C256" t="str">
            <v>Ivy League</v>
          </cell>
          <cell r="D256">
            <v>17280</v>
          </cell>
        </row>
        <row r="257">
          <cell r="A257">
            <v>209825</v>
          </cell>
          <cell r="B257" t="str">
            <v>Portland</v>
          </cell>
          <cell r="C257" t="str">
            <v>WCC</v>
          </cell>
          <cell r="D257">
            <v>17151</v>
          </cell>
        </row>
        <row r="258">
          <cell r="A258">
            <v>199157</v>
          </cell>
          <cell r="B258" t="str">
            <v>N.C. Central</v>
          </cell>
          <cell r="C258" t="str">
            <v>MEAC</v>
          </cell>
          <cell r="D258">
            <v>16910</v>
          </cell>
        </row>
        <row r="259">
          <cell r="A259">
            <v>120883</v>
          </cell>
          <cell r="B259" t="str">
            <v>Pacific</v>
          </cell>
          <cell r="C259" t="str">
            <v>WCC</v>
          </cell>
          <cell r="D259">
            <v>16479</v>
          </cell>
        </row>
        <row r="260">
          <cell r="A260">
            <v>486840</v>
          </cell>
          <cell r="B260" t="str">
            <v>Kennesaw St.</v>
          </cell>
          <cell r="C260" t="str">
            <v>ASUN</v>
          </cell>
          <cell r="D260">
            <v>16308</v>
          </cell>
        </row>
        <row r="261">
          <cell r="A261">
            <v>189705</v>
          </cell>
          <cell r="B261" t="str">
            <v>Canisius</v>
          </cell>
          <cell r="C261" t="str">
            <v>MAAC</v>
          </cell>
          <cell r="D261">
            <v>16234</v>
          </cell>
        </row>
        <row r="262">
          <cell r="A262">
            <v>110583</v>
          </cell>
          <cell r="B262" t="str">
            <v>Long Beach St.</v>
          </cell>
          <cell r="C262" t="str">
            <v>Big West</v>
          </cell>
          <cell r="D262">
            <v>16126</v>
          </cell>
        </row>
        <row r="263">
          <cell r="A263">
            <v>217864</v>
          </cell>
          <cell r="B263" t="str">
            <v>The Citadel</v>
          </cell>
          <cell r="C263" t="str">
            <v>SoCon</v>
          </cell>
          <cell r="D263">
            <v>16088</v>
          </cell>
        </row>
        <row r="264">
          <cell r="A264">
            <v>110422</v>
          </cell>
          <cell r="B264" t="str">
            <v>Cal Poly</v>
          </cell>
          <cell r="C264" t="str">
            <v>Big West</v>
          </cell>
          <cell r="D264">
            <v>16007</v>
          </cell>
        </row>
        <row r="265">
          <cell r="A265">
            <v>221847</v>
          </cell>
          <cell r="B265" t="str">
            <v>Tennessee Tech</v>
          </cell>
          <cell r="C265" t="str">
            <v>OVC</v>
          </cell>
          <cell r="D265">
            <v>15868</v>
          </cell>
        </row>
        <row r="266">
          <cell r="A266">
            <v>224147</v>
          </cell>
          <cell r="B266" t="str">
            <v>A&amp;M-Corpus Christi</v>
          </cell>
          <cell r="C266" t="str">
            <v>Southland</v>
          </cell>
          <cell r="D266">
            <v>15800</v>
          </cell>
        </row>
        <row r="267">
          <cell r="A267">
            <v>139940</v>
          </cell>
          <cell r="B267" t="str">
            <v>Georgia St.</v>
          </cell>
          <cell r="C267" t="str">
            <v>Sun Belt</v>
          </cell>
          <cell r="D267">
            <v>15773</v>
          </cell>
        </row>
        <row r="268">
          <cell r="A268">
            <v>229027</v>
          </cell>
          <cell r="B268" t="str">
            <v>UTSA</v>
          </cell>
          <cell r="C268" t="str">
            <v>CUSA</v>
          </cell>
          <cell r="D268">
            <v>15712</v>
          </cell>
        </row>
        <row r="269">
          <cell r="A269">
            <v>106704</v>
          </cell>
          <cell r="B269" t="str">
            <v>Central Ark.</v>
          </cell>
          <cell r="C269" t="str">
            <v>ASUN</v>
          </cell>
          <cell r="D269">
            <v>15632</v>
          </cell>
        </row>
        <row r="270">
          <cell r="A270">
            <v>159717</v>
          </cell>
          <cell r="B270" t="str">
            <v>McNeese</v>
          </cell>
          <cell r="C270" t="str">
            <v>Southland</v>
          </cell>
          <cell r="D270">
            <v>15531</v>
          </cell>
        </row>
        <row r="271">
          <cell r="A271">
            <v>221838</v>
          </cell>
          <cell r="B271" t="str">
            <v>Tennessee St.</v>
          </cell>
          <cell r="C271" t="str">
            <v>OVC</v>
          </cell>
          <cell r="D271">
            <v>15507</v>
          </cell>
        </row>
        <row r="272">
          <cell r="A272">
            <v>215062</v>
          </cell>
          <cell r="B272" t="str">
            <v>Penn</v>
          </cell>
          <cell r="C272" t="str">
            <v>Ivy League</v>
          </cell>
          <cell r="D272">
            <v>15383</v>
          </cell>
        </row>
        <row r="273">
          <cell r="A273">
            <v>169248</v>
          </cell>
          <cell r="B273" t="str">
            <v>Central Mich.</v>
          </cell>
          <cell r="C273" t="str">
            <v>MAC</v>
          </cell>
          <cell r="D273">
            <v>15371</v>
          </cell>
        </row>
        <row r="274">
          <cell r="A274">
            <v>142276</v>
          </cell>
          <cell r="B274" t="str">
            <v>Idaho St.</v>
          </cell>
          <cell r="C274" t="str">
            <v>Big Sky</v>
          </cell>
          <cell r="D274">
            <v>15153</v>
          </cell>
        </row>
        <row r="275">
          <cell r="A275">
            <v>131520</v>
          </cell>
          <cell r="B275" t="str">
            <v>Howard</v>
          </cell>
          <cell r="C275" t="str">
            <v>MEAC</v>
          </cell>
          <cell r="D275">
            <v>14815</v>
          </cell>
        </row>
        <row r="276">
          <cell r="A276">
            <v>127741</v>
          </cell>
          <cell r="B276" t="str">
            <v>Northern Colo.</v>
          </cell>
          <cell r="C276" t="str">
            <v>Big Sky</v>
          </cell>
          <cell r="D276">
            <v>14775</v>
          </cell>
        </row>
        <row r="277">
          <cell r="A277">
            <v>192819</v>
          </cell>
          <cell r="B277" t="str">
            <v>Marist</v>
          </cell>
          <cell r="C277" t="str">
            <v>MAAC</v>
          </cell>
          <cell r="D277">
            <v>14774</v>
          </cell>
        </row>
        <row r="278">
          <cell r="A278">
            <v>233277</v>
          </cell>
          <cell r="B278" t="str">
            <v>Radford</v>
          </cell>
          <cell r="C278" t="str">
            <v>Big South</v>
          </cell>
          <cell r="D278">
            <v>14585</v>
          </cell>
        </row>
        <row r="279">
          <cell r="A279">
            <v>131469</v>
          </cell>
          <cell r="B279" t="str">
            <v>George Washington</v>
          </cell>
          <cell r="C279" t="str">
            <v>Atlantic 10</v>
          </cell>
          <cell r="D279">
            <v>14557</v>
          </cell>
        </row>
        <row r="280">
          <cell r="A280">
            <v>235097</v>
          </cell>
          <cell r="B280" t="str">
            <v>Eastern Wash.</v>
          </cell>
          <cell r="C280" t="str">
            <v>Big Sky</v>
          </cell>
          <cell r="D280">
            <v>14392</v>
          </cell>
        </row>
        <row r="281">
          <cell r="A281">
            <v>198136</v>
          </cell>
          <cell r="B281" t="str">
            <v>Campbell</v>
          </cell>
          <cell r="C281" t="str">
            <v>Big South</v>
          </cell>
          <cell r="D281">
            <v>14358</v>
          </cell>
        </row>
        <row r="282">
          <cell r="A282">
            <v>110653</v>
          </cell>
          <cell r="B282" t="str">
            <v>UC Irvine</v>
          </cell>
          <cell r="C282" t="str">
            <v>Big West</v>
          </cell>
          <cell r="D282">
            <v>14317</v>
          </cell>
        </row>
        <row r="283">
          <cell r="A283">
            <v>159939</v>
          </cell>
          <cell r="B283" t="str">
            <v>New Orleans</v>
          </cell>
          <cell r="C283" t="str">
            <v>Southland</v>
          </cell>
          <cell r="D283">
            <v>14000</v>
          </cell>
        </row>
        <row r="284">
          <cell r="A284">
            <v>179557</v>
          </cell>
          <cell r="B284" t="str">
            <v>Southeast Mo. St.</v>
          </cell>
          <cell r="C284" t="str">
            <v>OVC</v>
          </cell>
          <cell r="D284">
            <v>13945</v>
          </cell>
        </row>
        <row r="285">
          <cell r="A285">
            <v>100654</v>
          </cell>
          <cell r="B285" t="str">
            <v>Alabama A&amp;M</v>
          </cell>
          <cell r="C285" t="str">
            <v>SWAC</v>
          </cell>
          <cell r="D285">
            <v>13862</v>
          </cell>
        </row>
        <row r="286">
          <cell r="A286">
            <v>219602</v>
          </cell>
          <cell r="B286" t="str">
            <v>Austin Peay</v>
          </cell>
          <cell r="C286" t="str">
            <v>OVC</v>
          </cell>
          <cell r="D286">
            <v>13672</v>
          </cell>
        </row>
        <row r="287">
          <cell r="A287">
            <v>134945</v>
          </cell>
          <cell r="B287" t="str">
            <v>Jacksonville</v>
          </cell>
          <cell r="C287" t="str">
            <v>ASUN</v>
          </cell>
          <cell r="D287">
            <v>13521</v>
          </cell>
        </row>
        <row r="288">
          <cell r="A288">
            <v>144892</v>
          </cell>
          <cell r="B288" t="str">
            <v>Eastern Ill.</v>
          </cell>
          <cell r="C288" t="str">
            <v>OVC</v>
          </cell>
          <cell r="D288">
            <v>13466</v>
          </cell>
        </row>
        <row r="289">
          <cell r="A289">
            <v>209807</v>
          </cell>
          <cell r="B289" t="str">
            <v>Portland St.</v>
          </cell>
          <cell r="C289" t="str">
            <v>Big Sky</v>
          </cell>
          <cell r="D289">
            <v>13256</v>
          </cell>
        </row>
        <row r="290">
          <cell r="A290" t="e">
            <v>#N/A</v>
          </cell>
          <cell r="B290" t="str">
            <v>Merrimack</v>
          </cell>
          <cell r="C290" t="str">
            <v>NEC</v>
          </cell>
          <cell r="D290">
            <v>13250</v>
          </cell>
        </row>
        <row r="291">
          <cell r="A291">
            <v>222178</v>
          </cell>
          <cell r="B291" t="str">
            <v>Abilene Christian</v>
          </cell>
          <cell r="C291" t="str">
            <v>WAC</v>
          </cell>
          <cell r="D291">
            <v>12682</v>
          </cell>
        </row>
        <row r="292">
          <cell r="A292">
            <v>213543</v>
          </cell>
          <cell r="B292" t="str">
            <v>Lehigh</v>
          </cell>
          <cell r="C292" t="str">
            <v>Patriot</v>
          </cell>
          <cell r="D292">
            <v>12535</v>
          </cell>
        </row>
        <row r="293">
          <cell r="A293">
            <v>130226</v>
          </cell>
          <cell r="B293" t="str">
            <v>Quinnipiac</v>
          </cell>
          <cell r="C293" t="str">
            <v>MAAC</v>
          </cell>
          <cell r="D293">
            <v>12479</v>
          </cell>
        </row>
        <row r="294">
          <cell r="A294">
            <v>215655</v>
          </cell>
          <cell r="B294" t="str">
            <v>Robert Morris</v>
          </cell>
          <cell r="C294" t="str">
            <v>Horizon</v>
          </cell>
          <cell r="D294">
            <v>12474</v>
          </cell>
        </row>
        <row r="295">
          <cell r="A295">
            <v>212054</v>
          </cell>
          <cell r="B295" t="str">
            <v>Drexel</v>
          </cell>
          <cell r="C295" t="str">
            <v>CAA</v>
          </cell>
          <cell r="D295">
            <v>12359</v>
          </cell>
        </row>
        <row r="296">
          <cell r="A296">
            <v>121150</v>
          </cell>
          <cell r="B296" t="str">
            <v>Pepperdine</v>
          </cell>
          <cell r="C296" t="str">
            <v>WCC</v>
          </cell>
          <cell r="D296">
            <v>12338</v>
          </cell>
        </row>
        <row r="297">
          <cell r="A297" t="e">
            <v>#N/A</v>
          </cell>
          <cell r="B297" t="str">
            <v>St. Thomas (MN)</v>
          </cell>
          <cell r="C297" t="str">
            <v>Summit League</v>
          </cell>
          <cell r="D297">
            <v>12323</v>
          </cell>
        </row>
        <row r="298">
          <cell r="A298">
            <v>211291</v>
          </cell>
          <cell r="B298" t="str">
            <v>Bucknell</v>
          </cell>
          <cell r="C298" t="str">
            <v>Patriot</v>
          </cell>
          <cell r="D298">
            <v>12289</v>
          </cell>
        </row>
        <row r="299">
          <cell r="A299">
            <v>500001</v>
          </cell>
          <cell r="B299" t="str">
            <v>Army West Point</v>
          </cell>
          <cell r="C299" t="str">
            <v>Patriot</v>
          </cell>
          <cell r="D299">
            <v>12166</v>
          </cell>
        </row>
        <row r="300">
          <cell r="A300">
            <v>190099</v>
          </cell>
          <cell r="B300" t="str">
            <v>Colgate</v>
          </cell>
          <cell r="C300" t="str">
            <v>Patriot</v>
          </cell>
          <cell r="D300">
            <v>12051</v>
          </cell>
        </row>
        <row r="301">
          <cell r="A301">
            <v>117946</v>
          </cell>
          <cell r="B301" t="str">
            <v>LMU (CA)</v>
          </cell>
          <cell r="C301" t="str">
            <v>WCC</v>
          </cell>
          <cell r="D301">
            <v>11855</v>
          </cell>
        </row>
        <row r="302">
          <cell r="A302">
            <v>175856</v>
          </cell>
          <cell r="B302" t="str">
            <v>Jackson St.</v>
          </cell>
          <cell r="C302" t="str">
            <v>SWAC</v>
          </cell>
          <cell r="D302">
            <v>11530</v>
          </cell>
        </row>
        <row r="303">
          <cell r="A303">
            <v>128771</v>
          </cell>
          <cell r="B303" t="str">
            <v>Central Conn. St.</v>
          </cell>
          <cell r="C303" t="str">
            <v>NEC</v>
          </cell>
          <cell r="D303">
            <v>11332</v>
          </cell>
        </row>
        <row r="304">
          <cell r="A304">
            <v>166124</v>
          </cell>
          <cell r="B304" t="str">
            <v>Holy Cross</v>
          </cell>
          <cell r="C304" t="str">
            <v>Patriot</v>
          </cell>
          <cell r="D304">
            <v>11258</v>
          </cell>
        </row>
        <row r="305">
          <cell r="A305">
            <v>186131</v>
          </cell>
          <cell r="B305" t="str">
            <v>Princeton</v>
          </cell>
          <cell r="C305" t="str">
            <v>Ivy League</v>
          </cell>
          <cell r="D305">
            <v>11235</v>
          </cell>
        </row>
        <row r="306">
          <cell r="A306">
            <v>166513</v>
          </cell>
          <cell r="B306" t="str">
            <v>UMass Lowell</v>
          </cell>
          <cell r="C306" t="str">
            <v>America East</v>
          </cell>
          <cell r="D306">
            <v>10970</v>
          </cell>
        </row>
        <row r="307">
          <cell r="A307">
            <v>130253</v>
          </cell>
          <cell r="B307" t="str">
            <v>Sacred Heart</v>
          </cell>
          <cell r="C307" t="str">
            <v>NEC</v>
          </cell>
          <cell r="D307">
            <v>10931</v>
          </cell>
        </row>
        <row r="308">
          <cell r="A308">
            <v>110486</v>
          </cell>
          <cell r="B308" t="str">
            <v>CSU Bakersfield</v>
          </cell>
          <cell r="C308" t="str">
            <v>Big West</v>
          </cell>
          <cell r="D308">
            <v>10926</v>
          </cell>
        </row>
        <row r="309">
          <cell r="A309">
            <v>130794</v>
          </cell>
          <cell r="B309" t="str">
            <v>Yale</v>
          </cell>
          <cell r="C309" t="str">
            <v>Ivy League</v>
          </cell>
          <cell r="D309">
            <v>10744</v>
          </cell>
        </row>
        <row r="310">
          <cell r="A310">
            <v>199111</v>
          </cell>
          <cell r="B310" t="str">
            <v>UNC Asheville</v>
          </cell>
          <cell r="C310" t="str">
            <v>Big South</v>
          </cell>
          <cell r="D310">
            <v>10683</v>
          </cell>
        </row>
        <row r="311">
          <cell r="A311">
            <v>149772</v>
          </cell>
          <cell r="B311" t="str">
            <v>Western Ill.</v>
          </cell>
          <cell r="C311" t="str">
            <v>Summit League</v>
          </cell>
          <cell r="D311">
            <v>10635</v>
          </cell>
        </row>
        <row r="312">
          <cell r="A312">
            <v>100724</v>
          </cell>
          <cell r="B312" t="str">
            <v>Alabama St.</v>
          </cell>
          <cell r="C312" t="str">
            <v>SWAC</v>
          </cell>
          <cell r="D312">
            <v>10530</v>
          </cell>
        </row>
        <row r="313">
          <cell r="A313">
            <v>167358</v>
          </cell>
          <cell r="B313" t="str">
            <v>Northeastern</v>
          </cell>
          <cell r="C313" t="str">
            <v>CAA</v>
          </cell>
          <cell r="D313">
            <v>10364</v>
          </cell>
        </row>
        <row r="314">
          <cell r="A314">
            <v>127060</v>
          </cell>
          <cell r="B314" t="str">
            <v>Denver</v>
          </cell>
          <cell r="C314" t="str">
            <v>Summit League</v>
          </cell>
          <cell r="D314">
            <v>10305</v>
          </cell>
        </row>
        <row r="315">
          <cell r="A315">
            <v>160038</v>
          </cell>
          <cell r="B315" t="str">
            <v>Northwestern St.</v>
          </cell>
          <cell r="C315" t="str">
            <v>Southland</v>
          </cell>
          <cell r="D315">
            <v>10115</v>
          </cell>
        </row>
        <row r="316">
          <cell r="A316">
            <v>193973</v>
          </cell>
          <cell r="B316" t="str">
            <v>Niagara</v>
          </cell>
          <cell r="C316" t="str">
            <v>MAAC</v>
          </cell>
          <cell r="D316">
            <v>9798</v>
          </cell>
        </row>
        <row r="317">
          <cell r="A317">
            <v>178402</v>
          </cell>
          <cell r="B317" t="str">
            <v>Kansas City</v>
          </cell>
          <cell r="C317" t="str">
            <v>Summit League</v>
          </cell>
          <cell r="D317">
            <v>9738</v>
          </cell>
        </row>
        <row r="318">
          <cell r="A318">
            <v>105330</v>
          </cell>
          <cell r="B318" t="str">
            <v>Northern Ariz.</v>
          </cell>
          <cell r="C318" t="str">
            <v>Big Sky</v>
          </cell>
          <cell r="D318">
            <v>9521</v>
          </cell>
        </row>
        <row r="319">
          <cell r="A319">
            <v>147703</v>
          </cell>
          <cell r="B319" t="str">
            <v>NIU</v>
          </cell>
          <cell r="C319" t="str">
            <v>MAC</v>
          </cell>
          <cell r="D319">
            <v>9449</v>
          </cell>
        </row>
        <row r="320">
          <cell r="A320">
            <v>164988</v>
          </cell>
          <cell r="B320" t="str">
            <v>Boston U.</v>
          </cell>
          <cell r="C320" t="str">
            <v>Patriot</v>
          </cell>
          <cell r="D320">
            <v>9408</v>
          </cell>
        </row>
        <row r="321">
          <cell r="A321">
            <v>192703</v>
          </cell>
          <cell r="B321" t="str">
            <v>Manhattan</v>
          </cell>
          <cell r="C321" t="str">
            <v>MAAC</v>
          </cell>
          <cell r="D321">
            <v>9094</v>
          </cell>
        </row>
        <row r="322">
          <cell r="A322">
            <v>149231</v>
          </cell>
          <cell r="B322" t="str">
            <v>SIUE</v>
          </cell>
          <cell r="C322" t="str">
            <v>OVC</v>
          </cell>
          <cell r="D322">
            <v>9021</v>
          </cell>
        </row>
        <row r="323">
          <cell r="A323">
            <v>191241</v>
          </cell>
          <cell r="B323" t="str">
            <v>Fordham</v>
          </cell>
          <cell r="C323" t="str">
            <v>Atlantic 10</v>
          </cell>
          <cell r="D323">
            <v>8866</v>
          </cell>
        </row>
        <row r="324">
          <cell r="A324">
            <v>110644</v>
          </cell>
          <cell r="B324" t="str">
            <v>UC Davis</v>
          </cell>
          <cell r="C324" t="str">
            <v>Big West</v>
          </cell>
          <cell r="D324">
            <v>8759</v>
          </cell>
        </row>
        <row r="325">
          <cell r="A325">
            <v>101879</v>
          </cell>
          <cell r="B325" t="str">
            <v>North Ala.</v>
          </cell>
          <cell r="C325" t="str">
            <v>ASUN</v>
          </cell>
          <cell r="D325">
            <v>8711</v>
          </cell>
        </row>
        <row r="326">
          <cell r="A326">
            <v>151111</v>
          </cell>
          <cell r="B326" t="str">
            <v>IU Indy</v>
          </cell>
          <cell r="C326" t="str">
            <v>Horizon</v>
          </cell>
          <cell r="D326">
            <v>8696</v>
          </cell>
        </row>
        <row r="327">
          <cell r="A327">
            <v>227526</v>
          </cell>
          <cell r="B327" t="str">
            <v>Prairie View</v>
          </cell>
          <cell r="C327" t="str">
            <v>SWAC</v>
          </cell>
          <cell r="D327">
            <v>8559</v>
          </cell>
        </row>
        <row r="328">
          <cell r="A328" t="e">
            <v>#N/A</v>
          </cell>
          <cell r="B328" t="str">
            <v>UC San Diego</v>
          </cell>
          <cell r="C328" t="str">
            <v>Big West</v>
          </cell>
          <cell r="D328">
            <v>8525</v>
          </cell>
        </row>
        <row r="329">
          <cell r="A329">
            <v>131159</v>
          </cell>
          <cell r="B329" t="str">
            <v>American</v>
          </cell>
          <cell r="C329" t="str">
            <v>Patriot</v>
          </cell>
          <cell r="D329">
            <v>8335</v>
          </cell>
        </row>
        <row r="330">
          <cell r="A330">
            <v>161253</v>
          </cell>
          <cell r="B330" t="str">
            <v>Maine</v>
          </cell>
          <cell r="C330" t="str">
            <v>America East</v>
          </cell>
          <cell r="D330">
            <v>8330</v>
          </cell>
        </row>
        <row r="331">
          <cell r="A331">
            <v>130934</v>
          </cell>
          <cell r="B331" t="str">
            <v>Delaware St.</v>
          </cell>
          <cell r="C331" t="str">
            <v>MEAC</v>
          </cell>
          <cell r="D331">
            <v>8280</v>
          </cell>
        </row>
        <row r="332">
          <cell r="A332">
            <v>198561</v>
          </cell>
          <cell r="B332" t="str">
            <v>Gardner-Webb</v>
          </cell>
          <cell r="C332" t="str">
            <v>Big South</v>
          </cell>
          <cell r="D332">
            <v>8263</v>
          </cell>
        </row>
        <row r="333">
          <cell r="A333">
            <v>225399</v>
          </cell>
          <cell r="B333" t="str">
            <v>Houston Christian</v>
          </cell>
          <cell r="C333" t="str">
            <v>Southland</v>
          </cell>
          <cell r="D333">
            <v>8199</v>
          </cell>
        </row>
        <row r="334">
          <cell r="A334">
            <v>217156</v>
          </cell>
          <cell r="B334" t="str">
            <v>Brown</v>
          </cell>
          <cell r="C334" t="str">
            <v>Ivy League</v>
          </cell>
          <cell r="D334">
            <v>8027</v>
          </cell>
        </row>
        <row r="335">
          <cell r="A335">
            <v>110617</v>
          </cell>
          <cell r="B335" t="str">
            <v>Sacramento St.</v>
          </cell>
          <cell r="C335" t="str">
            <v>Big Sky</v>
          </cell>
          <cell r="D335">
            <v>7846</v>
          </cell>
        </row>
        <row r="336">
          <cell r="A336">
            <v>110565</v>
          </cell>
          <cell r="B336" t="str">
            <v>Cal St. Fullerton</v>
          </cell>
          <cell r="C336" t="str">
            <v>Big West</v>
          </cell>
          <cell r="D336">
            <v>7802</v>
          </cell>
        </row>
        <row r="337">
          <cell r="A337">
            <v>163046</v>
          </cell>
          <cell r="B337" t="str">
            <v>Loyola Maryland</v>
          </cell>
          <cell r="C337" t="str">
            <v>Patriot</v>
          </cell>
          <cell r="D337">
            <v>7619</v>
          </cell>
        </row>
        <row r="338">
          <cell r="A338">
            <v>227881</v>
          </cell>
          <cell r="B338" t="str">
            <v>Sam Houston</v>
          </cell>
          <cell r="C338" t="str">
            <v>WAC</v>
          </cell>
          <cell r="D338">
            <v>7575</v>
          </cell>
        </row>
        <row r="339">
          <cell r="A339">
            <v>183044</v>
          </cell>
          <cell r="B339" t="str">
            <v>New Hampshire</v>
          </cell>
          <cell r="C339" t="str">
            <v>America East</v>
          </cell>
          <cell r="D339">
            <v>7573</v>
          </cell>
        </row>
        <row r="340">
          <cell r="A340">
            <v>162283</v>
          </cell>
          <cell r="B340" t="str">
            <v>Coppin St.</v>
          </cell>
          <cell r="C340" t="str">
            <v>MEAC</v>
          </cell>
          <cell r="D340">
            <v>7561</v>
          </cell>
        </row>
        <row r="341">
          <cell r="A341">
            <v>190150</v>
          </cell>
          <cell r="B341" t="str">
            <v>Columbia</v>
          </cell>
          <cell r="C341" t="str">
            <v>Ivy League</v>
          </cell>
          <cell r="D341">
            <v>7162</v>
          </cell>
        </row>
        <row r="342">
          <cell r="A342">
            <v>186432</v>
          </cell>
          <cell r="B342" t="str">
            <v>Saint Peter's</v>
          </cell>
          <cell r="C342" t="str">
            <v>MAAC</v>
          </cell>
          <cell r="D342">
            <v>6838</v>
          </cell>
        </row>
        <row r="343">
          <cell r="A343">
            <v>218742</v>
          </cell>
          <cell r="B343" t="str">
            <v>USC Upstate</v>
          </cell>
          <cell r="C343" t="str">
            <v>Big South</v>
          </cell>
          <cell r="D343">
            <v>6789</v>
          </cell>
        </row>
        <row r="344">
          <cell r="A344">
            <v>217688</v>
          </cell>
          <cell r="B344" t="str">
            <v>Charleston So.</v>
          </cell>
          <cell r="C344" t="str">
            <v>Big South</v>
          </cell>
          <cell r="D344">
            <v>6647</v>
          </cell>
        </row>
        <row r="345">
          <cell r="A345">
            <v>137546</v>
          </cell>
          <cell r="B345" t="str">
            <v>Stetson</v>
          </cell>
          <cell r="C345" t="str">
            <v>ASUN</v>
          </cell>
          <cell r="D345">
            <v>6295</v>
          </cell>
        </row>
        <row r="346">
          <cell r="A346">
            <v>190415</v>
          </cell>
          <cell r="B346" t="str">
            <v>Cornell</v>
          </cell>
          <cell r="C346" t="str">
            <v>Ivy League</v>
          </cell>
          <cell r="D346">
            <v>6175</v>
          </cell>
        </row>
        <row r="347">
          <cell r="A347">
            <v>110671</v>
          </cell>
          <cell r="B347" t="str">
            <v>UC Riverside</v>
          </cell>
          <cell r="C347" t="str">
            <v>Big West</v>
          </cell>
          <cell r="D347">
            <v>6132</v>
          </cell>
        </row>
        <row r="348">
          <cell r="A348">
            <v>159966</v>
          </cell>
          <cell r="B348" t="str">
            <v>Nicholls</v>
          </cell>
          <cell r="C348" t="str">
            <v>Southland</v>
          </cell>
          <cell r="D348">
            <v>6121</v>
          </cell>
        </row>
        <row r="349">
          <cell r="A349">
            <v>218539</v>
          </cell>
          <cell r="B349" t="str">
            <v>Presbyterian</v>
          </cell>
          <cell r="C349" t="str">
            <v>Big South</v>
          </cell>
          <cell r="D349">
            <v>6036</v>
          </cell>
        </row>
        <row r="350">
          <cell r="A350">
            <v>129525</v>
          </cell>
          <cell r="B350" t="str">
            <v>Hartford</v>
          </cell>
          <cell r="C350" t="str">
            <v>America East</v>
          </cell>
          <cell r="D350">
            <v>5996</v>
          </cell>
        </row>
        <row r="351">
          <cell r="A351">
            <v>160612</v>
          </cell>
          <cell r="B351" t="str">
            <v>Southeastern La.</v>
          </cell>
          <cell r="C351" t="str">
            <v>Southland</v>
          </cell>
          <cell r="D351">
            <v>5876</v>
          </cell>
        </row>
        <row r="352">
          <cell r="A352">
            <v>215743</v>
          </cell>
          <cell r="B352" t="str">
            <v>Saint Francis</v>
          </cell>
          <cell r="C352" t="str">
            <v>NEC</v>
          </cell>
          <cell r="D352">
            <v>5855</v>
          </cell>
        </row>
        <row r="353">
          <cell r="A353">
            <v>163338</v>
          </cell>
          <cell r="B353" t="str">
            <v>UMES</v>
          </cell>
          <cell r="C353" t="str">
            <v>MEAC</v>
          </cell>
          <cell r="D353">
            <v>5108</v>
          </cell>
        </row>
        <row r="354">
          <cell r="A354">
            <v>185828</v>
          </cell>
          <cell r="B354" t="str">
            <v>NJIT</v>
          </cell>
          <cell r="C354" t="str">
            <v>America East</v>
          </cell>
          <cell r="D354">
            <v>4829</v>
          </cell>
        </row>
        <row r="355">
          <cell r="A355">
            <v>218733</v>
          </cell>
          <cell r="B355" t="str">
            <v>South Carolina St.</v>
          </cell>
          <cell r="C355" t="str">
            <v>MEAC</v>
          </cell>
          <cell r="D355">
            <v>4554</v>
          </cell>
        </row>
        <row r="356">
          <cell r="A356">
            <v>110608</v>
          </cell>
          <cell r="B356" t="str">
            <v>CSUN</v>
          </cell>
          <cell r="C356" t="str">
            <v>Big West</v>
          </cell>
          <cell r="D356">
            <v>4416</v>
          </cell>
        </row>
        <row r="357">
          <cell r="A357">
            <v>182670</v>
          </cell>
          <cell r="B357" t="str">
            <v>Dartmouth</v>
          </cell>
          <cell r="C357" t="str">
            <v>Ivy League</v>
          </cell>
          <cell r="D357">
            <v>4155</v>
          </cell>
        </row>
        <row r="358">
          <cell r="A358">
            <v>225627</v>
          </cell>
          <cell r="B358" t="str">
            <v>UIW</v>
          </cell>
          <cell r="C358" t="str">
            <v>Southland</v>
          </cell>
          <cell r="D358">
            <v>4062</v>
          </cell>
        </row>
        <row r="359">
          <cell r="A359">
            <v>132602</v>
          </cell>
          <cell r="B359" t="str">
            <v>Bethune-Cookman</v>
          </cell>
          <cell r="C359" t="str">
            <v>SWAC</v>
          </cell>
          <cell r="D359">
            <v>4030</v>
          </cell>
        </row>
        <row r="360">
          <cell r="A360">
            <v>175342</v>
          </cell>
          <cell r="B360" t="str">
            <v>Alcorn</v>
          </cell>
          <cell r="C360" t="str">
            <v>SWAC</v>
          </cell>
          <cell r="D360">
            <v>3740</v>
          </cell>
        </row>
        <row r="361">
          <cell r="A361">
            <v>192448</v>
          </cell>
          <cell r="B361" t="str">
            <v>LIU</v>
          </cell>
          <cell r="C361" t="str">
            <v>NEC</v>
          </cell>
          <cell r="D361">
            <v>3690</v>
          </cell>
        </row>
        <row r="362">
          <cell r="A362">
            <v>195173</v>
          </cell>
          <cell r="B362" t="str">
            <v>St. Francis Brooklyn</v>
          </cell>
          <cell r="C362" t="str">
            <v>NEC</v>
          </cell>
          <cell r="D362">
            <v>3460</v>
          </cell>
        </row>
        <row r="363">
          <cell r="A363">
            <v>184603</v>
          </cell>
          <cell r="B363" t="str">
            <v>FDU</v>
          </cell>
          <cell r="C363" t="str">
            <v>NEC</v>
          </cell>
          <cell r="D363">
            <v>2885</v>
          </cell>
        </row>
        <row r="364">
          <cell r="A364">
            <v>144005</v>
          </cell>
          <cell r="B364" t="str">
            <v>Chicago St.</v>
          </cell>
          <cell r="C364" t="str">
            <v>WAC</v>
          </cell>
          <cell r="D364">
            <v>2859</v>
          </cell>
        </row>
      </sheetData>
      <sheetData sheetId="15">
        <row r="1">
          <cell r="A1" t="str">
            <v>unitid</v>
          </cell>
          <cell r="B1" t="str">
            <v>Institution</v>
          </cell>
          <cell r="C1" t="str">
            <v>Conference</v>
          </cell>
          <cell r="D1" t="str">
            <v>Accum Attendance</v>
          </cell>
        </row>
        <row r="2">
          <cell r="A2">
            <v>157085</v>
          </cell>
          <cell r="B2" t="str">
            <v>Kentucky</v>
          </cell>
          <cell r="C2" t="str">
            <v>SEC</v>
          </cell>
          <cell r="D2">
            <v>357721</v>
          </cell>
        </row>
        <row r="3">
          <cell r="A3">
            <v>196413</v>
          </cell>
          <cell r="B3" t="str">
            <v>Syracuse</v>
          </cell>
          <cell r="C3" t="str">
            <v>ACC</v>
          </cell>
          <cell r="D3">
            <v>343828</v>
          </cell>
        </row>
        <row r="4">
          <cell r="A4">
            <v>106397</v>
          </cell>
          <cell r="B4" t="str">
            <v>Arkansas</v>
          </cell>
          <cell r="C4" t="str">
            <v>SEC</v>
          </cell>
          <cell r="D4">
            <v>323875</v>
          </cell>
        </row>
        <row r="5">
          <cell r="A5">
            <v>221759</v>
          </cell>
          <cell r="B5" t="str">
            <v>Tennessee</v>
          </cell>
          <cell r="C5" t="str">
            <v>SEC</v>
          </cell>
          <cell r="D5">
            <v>300496</v>
          </cell>
        </row>
        <row r="6">
          <cell r="A6">
            <v>199120</v>
          </cell>
          <cell r="B6" t="str">
            <v>North Carolina</v>
          </cell>
          <cell r="C6" t="str">
            <v>ACC</v>
          </cell>
          <cell r="D6">
            <v>298344</v>
          </cell>
        </row>
        <row r="7">
          <cell r="A7">
            <v>151351</v>
          </cell>
          <cell r="B7" t="str">
            <v>Indiana</v>
          </cell>
          <cell r="C7" t="str">
            <v>Big Ten</v>
          </cell>
          <cell r="D7">
            <v>273721</v>
          </cell>
        </row>
        <row r="8">
          <cell r="A8">
            <v>155317</v>
          </cell>
          <cell r="B8" t="str">
            <v>Kansas</v>
          </cell>
          <cell r="C8" t="str">
            <v>Big 12</v>
          </cell>
          <cell r="D8">
            <v>260800</v>
          </cell>
        </row>
        <row r="9">
          <cell r="A9">
            <v>181002</v>
          </cell>
          <cell r="B9" t="str">
            <v>Creighton</v>
          </cell>
          <cell r="C9" t="str">
            <v>Big East</v>
          </cell>
          <cell r="D9">
            <v>257449</v>
          </cell>
        </row>
        <row r="10">
          <cell r="A10">
            <v>145637</v>
          </cell>
          <cell r="B10" t="str">
            <v>Illinois</v>
          </cell>
          <cell r="C10" t="str">
            <v>Big Ten</v>
          </cell>
          <cell r="D10">
            <v>256539</v>
          </cell>
        </row>
        <row r="11">
          <cell r="A11">
            <v>239105</v>
          </cell>
          <cell r="B11" t="str">
            <v>Marquette</v>
          </cell>
          <cell r="C11" t="str">
            <v>Big East</v>
          </cell>
          <cell r="D11">
            <v>243584</v>
          </cell>
        </row>
        <row r="12">
          <cell r="A12">
            <v>240444</v>
          </cell>
          <cell r="B12" t="str">
            <v>Wisconsin</v>
          </cell>
          <cell r="C12" t="str">
            <v>Big Ten</v>
          </cell>
          <cell r="D12">
            <v>240563</v>
          </cell>
        </row>
        <row r="13">
          <cell r="A13">
            <v>104179</v>
          </cell>
          <cell r="B13" t="str">
            <v>Arizona</v>
          </cell>
          <cell r="C13" t="str">
            <v>Pac-12</v>
          </cell>
          <cell r="D13">
            <v>239947</v>
          </cell>
        </row>
        <row r="14">
          <cell r="A14">
            <v>163286</v>
          </cell>
          <cell r="B14" t="str">
            <v>Maryland</v>
          </cell>
          <cell r="C14" t="str">
            <v>Big Ten</v>
          </cell>
          <cell r="D14">
            <v>238777</v>
          </cell>
        </row>
        <row r="15">
          <cell r="A15">
            <v>243780</v>
          </cell>
          <cell r="B15" t="str">
            <v>Purdue</v>
          </cell>
          <cell r="C15" t="str">
            <v>Big Ten</v>
          </cell>
          <cell r="D15">
            <v>238016</v>
          </cell>
        </row>
        <row r="16">
          <cell r="A16">
            <v>187985</v>
          </cell>
          <cell r="B16" t="str">
            <v>New Mexico</v>
          </cell>
          <cell r="C16" t="str">
            <v>Mountain West</v>
          </cell>
          <cell r="D16">
            <v>228225</v>
          </cell>
        </row>
        <row r="17">
          <cell r="A17">
            <v>234076</v>
          </cell>
          <cell r="B17" t="str">
            <v>Virginia</v>
          </cell>
          <cell r="C17" t="str">
            <v>ACC</v>
          </cell>
          <cell r="D17">
            <v>227511</v>
          </cell>
        </row>
        <row r="18">
          <cell r="A18">
            <v>230038</v>
          </cell>
          <cell r="B18" t="str">
            <v>BYU</v>
          </cell>
          <cell r="C18" t="str">
            <v>WCC</v>
          </cell>
          <cell r="D18">
            <v>225875</v>
          </cell>
        </row>
        <row r="19">
          <cell r="A19">
            <v>199193</v>
          </cell>
          <cell r="B19" t="str">
            <v>NC State</v>
          </cell>
          <cell r="C19" t="str">
            <v>ACC</v>
          </cell>
          <cell r="D19">
            <v>225307</v>
          </cell>
        </row>
        <row r="20">
          <cell r="A20">
            <v>229115</v>
          </cell>
          <cell r="B20" t="str">
            <v>Texas Tech</v>
          </cell>
          <cell r="C20" t="str">
            <v>Big 12</v>
          </cell>
          <cell r="D20">
            <v>224774</v>
          </cell>
        </row>
        <row r="21">
          <cell r="A21">
            <v>178396</v>
          </cell>
          <cell r="B21" t="str">
            <v>Missouri</v>
          </cell>
          <cell r="C21" t="str">
            <v>SEC</v>
          </cell>
          <cell r="D21">
            <v>219844</v>
          </cell>
        </row>
        <row r="22">
          <cell r="A22">
            <v>202480</v>
          </cell>
          <cell r="B22" t="str">
            <v>Dayton</v>
          </cell>
          <cell r="C22" t="str">
            <v>Atlantic 10</v>
          </cell>
          <cell r="D22">
            <v>214512</v>
          </cell>
        </row>
        <row r="23">
          <cell r="A23">
            <v>153603</v>
          </cell>
          <cell r="B23" t="str">
            <v>Iowa St.</v>
          </cell>
          <cell r="C23" t="str">
            <v>Big 12</v>
          </cell>
          <cell r="D23">
            <v>213998</v>
          </cell>
        </row>
        <row r="24">
          <cell r="A24">
            <v>157289</v>
          </cell>
          <cell r="B24" t="str">
            <v>Louisville</v>
          </cell>
          <cell r="C24" t="str">
            <v>ACC</v>
          </cell>
          <cell r="D24">
            <v>212441</v>
          </cell>
        </row>
        <row r="25">
          <cell r="A25">
            <v>153658</v>
          </cell>
          <cell r="B25" t="str">
            <v>Iowa</v>
          </cell>
          <cell r="C25" t="str">
            <v>Big Ten</v>
          </cell>
          <cell r="D25">
            <v>210305</v>
          </cell>
        </row>
        <row r="26">
          <cell r="A26">
            <v>171100</v>
          </cell>
          <cell r="B26" t="str">
            <v>Michigan St.</v>
          </cell>
          <cell r="C26" t="str">
            <v>Big Ten</v>
          </cell>
          <cell r="D26">
            <v>207158</v>
          </cell>
        </row>
        <row r="27">
          <cell r="A27">
            <v>238032</v>
          </cell>
          <cell r="B27" t="str">
            <v>West Virginia</v>
          </cell>
          <cell r="C27" t="str">
            <v>Big 12</v>
          </cell>
          <cell r="D27">
            <v>204064</v>
          </cell>
        </row>
        <row r="28">
          <cell r="A28">
            <v>170976</v>
          </cell>
          <cell r="B28" t="str">
            <v>Michigan</v>
          </cell>
          <cell r="C28" t="str">
            <v>Big Ten</v>
          </cell>
          <cell r="D28">
            <v>199725</v>
          </cell>
        </row>
        <row r="29">
          <cell r="A29">
            <v>181464</v>
          </cell>
          <cell r="B29" t="str">
            <v>Nebraska</v>
          </cell>
          <cell r="C29" t="str">
            <v>Big Ten</v>
          </cell>
          <cell r="D29">
            <v>198322</v>
          </cell>
        </row>
        <row r="30">
          <cell r="A30">
            <v>122409</v>
          </cell>
          <cell r="B30" t="str">
            <v>San Diego St.</v>
          </cell>
          <cell r="C30" t="str">
            <v>Mountain West</v>
          </cell>
          <cell r="D30">
            <v>196181</v>
          </cell>
        </row>
        <row r="31">
          <cell r="A31">
            <v>204796</v>
          </cell>
          <cell r="B31" t="str">
            <v>Ohio St.</v>
          </cell>
          <cell r="C31" t="str">
            <v>Big Ten</v>
          </cell>
          <cell r="D31">
            <v>194901</v>
          </cell>
        </row>
        <row r="32">
          <cell r="A32">
            <v>129020</v>
          </cell>
          <cell r="B32" t="str">
            <v>UConn</v>
          </cell>
          <cell r="C32" t="str">
            <v>Big East</v>
          </cell>
          <cell r="D32">
            <v>194581</v>
          </cell>
        </row>
        <row r="33">
          <cell r="A33">
            <v>228778</v>
          </cell>
          <cell r="B33" t="str">
            <v>Texas</v>
          </cell>
          <cell r="C33" t="str">
            <v>Big 12</v>
          </cell>
          <cell r="D33">
            <v>189904</v>
          </cell>
        </row>
        <row r="34">
          <cell r="A34">
            <v>217402</v>
          </cell>
          <cell r="B34" t="str">
            <v>Providence</v>
          </cell>
          <cell r="C34" t="str">
            <v>Big East</v>
          </cell>
          <cell r="D34">
            <v>180330</v>
          </cell>
        </row>
        <row r="35">
          <cell r="A35">
            <v>201885</v>
          </cell>
          <cell r="B35" t="str">
            <v>Cincinnati</v>
          </cell>
          <cell r="C35" t="str">
            <v>The American</v>
          </cell>
          <cell r="D35">
            <v>178332</v>
          </cell>
        </row>
        <row r="36">
          <cell r="A36">
            <v>206622</v>
          </cell>
          <cell r="B36" t="str">
            <v>Xavier</v>
          </cell>
          <cell r="C36" t="str">
            <v>Big East</v>
          </cell>
          <cell r="D36">
            <v>174869</v>
          </cell>
        </row>
        <row r="37">
          <cell r="A37">
            <v>220862</v>
          </cell>
          <cell r="B37" t="str">
            <v>Memphis</v>
          </cell>
          <cell r="C37" t="str">
            <v>The American</v>
          </cell>
          <cell r="D37">
            <v>171663</v>
          </cell>
        </row>
        <row r="38">
          <cell r="A38">
            <v>159391</v>
          </cell>
          <cell r="B38" t="str">
            <v>LSU</v>
          </cell>
          <cell r="C38" t="str">
            <v>SEC</v>
          </cell>
          <cell r="D38">
            <v>167723</v>
          </cell>
        </row>
        <row r="39">
          <cell r="A39">
            <v>100751</v>
          </cell>
          <cell r="B39" t="str">
            <v>Alabama</v>
          </cell>
          <cell r="C39" t="str">
            <v>SEC</v>
          </cell>
          <cell r="D39">
            <v>164512</v>
          </cell>
        </row>
        <row r="40">
          <cell r="A40">
            <v>186380</v>
          </cell>
          <cell r="B40" t="str">
            <v>Rutgers</v>
          </cell>
          <cell r="C40" t="str">
            <v>Big Ten</v>
          </cell>
          <cell r="D40">
            <v>164399</v>
          </cell>
        </row>
        <row r="41">
          <cell r="A41">
            <v>155399</v>
          </cell>
          <cell r="B41" t="str">
            <v>Kansas St.</v>
          </cell>
          <cell r="C41" t="str">
            <v>Big 12</v>
          </cell>
          <cell r="D41">
            <v>163135</v>
          </cell>
        </row>
        <row r="42">
          <cell r="A42">
            <v>221999</v>
          </cell>
          <cell r="B42" t="str">
            <v>Vanderbilt</v>
          </cell>
          <cell r="C42" t="str">
            <v>SEC</v>
          </cell>
          <cell r="D42">
            <v>162128</v>
          </cell>
        </row>
        <row r="43">
          <cell r="A43">
            <v>223232</v>
          </cell>
          <cell r="B43" t="str">
            <v>Baylor</v>
          </cell>
          <cell r="C43" t="str">
            <v>Big 12</v>
          </cell>
          <cell r="D43">
            <v>161047</v>
          </cell>
        </row>
        <row r="44">
          <cell r="A44">
            <v>174066</v>
          </cell>
          <cell r="B44" t="str">
            <v>Minnesota</v>
          </cell>
          <cell r="C44" t="str">
            <v>Big Ten</v>
          </cell>
          <cell r="D44">
            <v>160670</v>
          </cell>
        </row>
        <row r="45">
          <cell r="A45">
            <v>110662</v>
          </cell>
          <cell r="B45" t="str">
            <v>UCLA</v>
          </cell>
          <cell r="C45" t="str">
            <v>Pac-12</v>
          </cell>
          <cell r="D45">
            <v>157697</v>
          </cell>
        </row>
        <row r="46">
          <cell r="A46">
            <v>218663</v>
          </cell>
          <cell r="B46" t="str">
            <v>South Carolina</v>
          </cell>
          <cell r="C46" t="str">
            <v>SEC</v>
          </cell>
          <cell r="D46">
            <v>157053</v>
          </cell>
        </row>
        <row r="47">
          <cell r="A47">
            <v>198419</v>
          </cell>
          <cell r="B47" t="str">
            <v>Duke</v>
          </cell>
          <cell r="C47" t="str">
            <v>ACC</v>
          </cell>
          <cell r="D47">
            <v>149024</v>
          </cell>
        </row>
        <row r="48">
          <cell r="A48">
            <v>228723</v>
          </cell>
          <cell r="B48" t="str">
            <v>Texas A&amp;M</v>
          </cell>
          <cell r="C48" t="str">
            <v>SEC</v>
          </cell>
          <cell r="D48">
            <v>148475</v>
          </cell>
        </row>
        <row r="49">
          <cell r="A49">
            <v>100858</v>
          </cell>
          <cell r="B49" t="str">
            <v>Auburn</v>
          </cell>
          <cell r="C49" t="str">
            <v>SEC</v>
          </cell>
          <cell r="D49">
            <v>145936</v>
          </cell>
        </row>
        <row r="50">
          <cell r="A50">
            <v>186584</v>
          </cell>
          <cell r="B50" t="str">
            <v>Seton Hall</v>
          </cell>
          <cell r="C50" t="str">
            <v>Big East</v>
          </cell>
          <cell r="D50">
            <v>143626</v>
          </cell>
        </row>
        <row r="51">
          <cell r="A51">
            <v>233921</v>
          </cell>
          <cell r="B51" t="str">
            <v>Virginia Tech</v>
          </cell>
          <cell r="C51" t="str">
            <v>ACC</v>
          </cell>
          <cell r="D51">
            <v>143324</v>
          </cell>
        </row>
        <row r="52">
          <cell r="A52">
            <v>142115</v>
          </cell>
          <cell r="B52" t="str">
            <v>Boise St.</v>
          </cell>
          <cell r="C52" t="str">
            <v>Mountain West</v>
          </cell>
          <cell r="D52">
            <v>142893</v>
          </cell>
        </row>
        <row r="53">
          <cell r="A53">
            <v>195809</v>
          </cell>
          <cell r="B53" t="str">
            <v>St. John's (NY)</v>
          </cell>
          <cell r="C53" t="str">
            <v>Big East</v>
          </cell>
          <cell r="D53">
            <v>140201</v>
          </cell>
        </row>
        <row r="54">
          <cell r="A54">
            <v>139959</v>
          </cell>
          <cell r="B54" t="str">
            <v>Georgia</v>
          </cell>
          <cell r="C54" t="str">
            <v>SEC</v>
          </cell>
          <cell r="D54">
            <v>140155</v>
          </cell>
        </row>
        <row r="55">
          <cell r="A55">
            <v>215293</v>
          </cell>
          <cell r="B55" t="str">
            <v>Pittsburgh</v>
          </cell>
          <cell r="C55" t="str">
            <v>ACC</v>
          </cell>
          <cell r="D55">
            <v>139298</v>
          </cell>
        </row>
        <row r="56">
          <cell r="A56">
            <v>216597</v>
          </cell>
          <cell r="B56" t="str">
            <v>Villanova</v>
          </cell>
          <cell r="C56" t="str">
            <v>Big East</v>
          </cell>
          <cell r="D56">
            <v>139034</v>
          </cell>
        </row>
        <row r="57">
          <cell r="A57">
            <v>207388</v>
          </cell>
          <cell r="B57" t="str">
            <v>Oklahoma St.</v>
          </cell>
          <cell r="C57" t="str">
            <v>Big 12</v>
          </cell>
          <cell r="D57">
            <v>135569</v>
          </cell>
        </row>
        <row r="58">
          <cell r="A58">
            <v>225511</v>
          </cell>
          <cell r="B58" t="str">
            <v>Houston</v>
          </cell>
          <cell r="C58" t="str">
            <v>The American</v>
          </cell>
          <cell r="D58">
            <v>134093</v>
          </cell>
        </row>
        <row r="59">
          <cell r="A59">
            <v>199847</v>
          </cell>
          <cell r="B59" t="str">
            <v>Wake Forest</v>
          </cell>
          <cell r="C59" t="str">
            <v>ACC</v>
          </cell>
          <cell r="D59">
            <v>133300</v>
          </cell>
        </row>
        <row r="60">
          <cell r="A60">
            <v>234030</v>
          </cell>
          <cell r="B60" t="str">
            <v>VCU</v>
          </cell>
          <cell r="C60" t="str">
            <v>Atlantic 10</v>
          </cell>
          <cell r="D60">
            <v>131450</v>
          </cell>
        </row>
        <row r="61">
          <cell r="A61">
            <v>214777</v>
          </cell>
          <cell r="B61" t="str">
            <v>Penn St.</v>
          </cell>
          <cell r="C61" t="str">
            <v>Big Ten</v>
          </cell>
          <cell r="D61">
            <v>131224</v>
          </cell>
        </row>
        <row r="62">
          <cell r="A62">
            <v>134130</v>
          </cell>
          <cell r="B62" t="str">
            <v>Florida</v>
          </cell>
          <cell r="C62" t="str">
            <v>SEC</v>
          </cell>
          <cell r="D62">
            <v>130000</v>
          </cell>
        </row>
        <row r="63">
          <cell r="A63">
            <v>179159</v>
          </cell>
          <cell r="B63" t="str">
            <v>Saint Louis</v>
          </cell>
          <cell r="C63" t="str">
            <v>Atlantic 10</v>
          </cell>
          <cell r="D63">
            <v>127012</v>
          </cell>
        </row>
        <row r="64">
          <cell r="A64">
            <v>150163</v>
          </cell>
          <cell r="B64" t="str">
            <v>Butler</v>
          </cell>
          <cell r="C64" t="str">
            <v>Big East</v>
          </cell>
          <cell r="D64">
            <v>126686</v>
          </cell>
        </row>
        <row r="65">
          <cell r="A65">
            <v>236948</v>
          </cell>
          <cell r="B65" t="str">
            <v>Washington</v>
          </cell>
          <cell r="C65" t="str">
            <v>Pac-12</v>
          </cell>
          <cell r="D65">
            <v>125851</v>
          </cell>
        </row>
        <row r="66">
          <cell r="A66">
            <v>209551</v>
          </cell>
          <cell r="B66" t="str">
            <v>Oregon</v>
          </cell>
          <cell r="C66" t="str">
            <v>Pac-12</v>
          </cell>
          <cell r="D66">
            <v>124682</v>
          </cell>
        </row>
        <row r="67">
          <cell r="A67">
            <v>176080</v>
          </cell>
          <cell r="B67" t="str">
            <v>Mississippi St.</v>
          </cell>
          <cell r="C67" t="str">
            <v>SEC</v>
          </cell>
          <cell r="D67">
            <v>122787</v>
          </cell>
        </row>
        <row r="68">
          <cell r="A68">
            <v>230728</v>
          </cell>
          <cell r="B68" t="str">
            <v>Utah St.</v>
          </cell>
          <cell r="C68" t="str">
            <v>Mountain West</v>
          </cell>
          <cell r="D68">
            <v>121658</v>
          </cell>
        </row>
        <row r="69">
          <cell r="A69">
            <v>104151</v>
          </cell>
          <cell r="B69" t="str">
            <v>Arizona St.</v>
          </cell>
          <cell r="C69" t="str">
            <v>Pac-12</v>
          </cell>
          <cell r="D69">
            <v>121058</v>
          </cell>
        </row>
        <row r="70">
          <cell r="A70">
            <v>104717</v>
          </cell>
          <cell r="B70" t="str">
            <v>Grand Canyon</v>
          </cell>
          <cell r="C70" t="str">
            <v>WAC</v>
          </cell>
          <cell r="D70">
            <v>118159</v>
          </cell>
        </row>
        <row r="71">
          <cell r="A71">
            <v>152080</v>
          </cell>
          <cell r="B71" t="str">
            <v>Notre Dame</v>
          </cell>
          <cell r="C71" t="str">
            <v>ACC</v>
          </cell>
          <cell r="D71">
            <v>116248</v>
          </cell>
        </row>
        <row r="72">
          <cell r="A72">
            <v>126614</v>
          </cell>
          <cell r="B72" t="str">
            <v>Colorado</v>
          </cell>
          <cell r="C72" t="str">
            <v>Pac-12</v>
          </cell>
          <cell r="D72">
            <v>114362</v>
          </cell>
        </row>
        <row r="73">
          <cell r="A73">
            <v>156125</v>
          </cell>
          <cell r="B73" t="str">
            <v>Wichita St.</v>
          </cell>
          <cell r="C73" t="str">
            <v>The American</v>
          </cell>
          <cell r="D73">
            <v>114199</v>
          </cell>
        </row>
        <row r="74">
          <cell r="A74">
            <v>230764</v>
          </cell>
          <cell r="B74" t="str">
            <v>Utah</v>
          </cell>
          <cell r="C74" t="str">
            <v>Pac-12</v>
          </cell>
          <cell r="D74">
            <v>114047</v>
          </cell>
        </row>
        <row r="75">
          <cell r="A75">
            <v>207500</v>
          </cell>
          <cell r="B75" t="str">
            <v>Oklahoma</v>
          </cell>
          <cell r="C75" t="str">
            <v>Big 12</v>
          </cell>
          <cell r="D75">
            <v>113673</v>
          </cell>
        </row>
        <row r="76">
          <cell r="A76">
            <v>182290</v>
          </cell>
          <cell r="B76" t="str">
            <v>Nevada</v>
          </cell>
          <cell r="C76" t="str">
            <v>Mountain West</v>
          </cell>
          <cell r="D76">
            <v>111454</v>
          </cell>
        </row>
        <row r="77">
          <cell r="A77">
            <v>217882</v>
          </cell>
          <cell r="B77" t="str">
            <v>Clemson</v>
          </cell>
          <cell r="C77" t="str">
            <v>ACC</v>
          </cell>
          <cell r="D77">
            <v>110795</v>
          </cell>
        </row>
        <row r="78">
          <cell r="A78">
            <v>182281</v>
          </cell>
          <cell r="B78" t="str">
            <v>UNLV</v>
          </cell>
          <cell r="C78" t="str">
            <v>Mountain West</v>
          </cell>
          <cell r="D78">
            <v>109131</v>
          </cell>
        </row>
        <row r="79">
          <cell r="A79">
            <v>228875</v>
          </cell>
          <cell r="B79" t="str">
            <v>TCU</v>
          </cell>
          <cell r="C79" t="str">
            <v>Big 12</v>
          </cell>
          <cell r="D79">
            <v>105267</v>
          </cell>
        </row>
        <row r="80">
          <cell r="A80">
            <v>134097</v>
          </cell>
          <cell r="B80" t="str">
            <v>Florida St.</v>
          </cell>
          <cell r="C80" t="str">
            <v>ACC</v>
          </cell>
          <cell r="D80">
            <v>105077</v>
          </cell>
        </row>
        <row r="81">
          <cell r="A81">
            <v>176017</v>
          </cell>
          <cell r="B81" t="str">
            <v>Ole Miss</v>
          </cell>
          <cell r="C81" t="str">
            <v>SEC</v>
          </cell>
          <cell r="D81">
            <v>103566</v>
          </cell>
        </row>
        <row r="82">
          <cell r="A82">
            <v>235316</v>
          </cell>
          <cell r="B82" t="str">
            <v>Gonzaga</v>
          </cell>
          <cell r="C82" t="str">
            <v>WCC</v>
          </cell>
          <cell r="D82">
            <v>102333</v>
          </cell>
        </row>
        <row r="83">
          <cell r="A83">
            <v>233374</v>
          </cell>
          <cell r="B83" t="str">
            <v>Richmond</v>
          </cell>
          <cell r="C83" t="str">
            <v>Atlantic 10</v>
          </cell>
          <cell r="D83">
            <v>100567</v>
          </cell>
        </row>
        <row r="84">
          <cell r="A84">
            <v>135726</v>
          </cell>
          <cell r="B84" t="str">
            <v>Miami (FL)</v>
          </cell>
          <cell r="C84" t="str">
            <v>ACC</v>
          </cell>
          <cell r="D84">
            <v>99020</v>
          </cell>
        </row>
        <row r="85">
          <cell r="A85">
            <v>141574</v>
          </cell>
          <cell r="B85" t="str">
            <v>Hawaii</v>
          </cell>
          <cell r="C85" t="str">
            <v>Big West</v>
          </cell>
          <cell r="D85">
            <v>92527</v>
          </cell>
        </row>
        <row r="86">
          <cell r="A86">
            <v>131496</v>
          </cell>
          <cell r="B86" t="str">
            <v>Georgetown</v>
          </cell>
          <cell r="C86" t="str">
            <v>Big East</v>
          </cell>
          <cell r="D86">
            <v>92520</v>
          </cell>
        </row>
        <row r="87">
          <cell r="A87">
            <v>232982</v>
          </cell>
          <cell r="B87" t="str">
            <v>Old Dominion</v>
          </cell>
          <cell r="C87" t="str">
            <v>Sun Belt</v>
          </cell>
          <cell r="D87">
            <v>89903</v>
          </cell>
        </row>
        <row r="88">
          <cell r="A88">
            <v>132903</v>
          </cell>
          <cell r="B88" t="str">
            <v>UCF</v>
          </cell>
          <cell r="C88" t="str">
            <v>The American</v>
          </cell>
          <cell r="D88">
            <v>89664</v>
          </cell>
        </row>
        <row r="89">
          <cell r="A89">
            <v>147767</v>
          </cell>
          <cell r="B89" t="str">
            <v>Northwestern</v>
          </cell>
          <cell r="C89" t="str">
            <v>Big Ten</v>
          </cell>
          <cell r="D89">
            <v>88023</v>
          </cell>
        </row>
        <row r="90">
          <cell r="A90">
            <v>207582</v>
          </cell>
          <cell r="B90" t="str">
            <v>Oral Roberts</v>
          </cell>
          <cell r="C90" t="str">
            <v>Summit League</v>
          </cell>
          <cell r="D90">
            <v>85030</v>
          </cell>
        </row>
        <row r="91">
          <cell r="A91">
            <v>164924</v>
          </cell>
          <cell r="B91" t="str">
            <v>Boston College</v>
          </cell>
          <cell r="C91" t="str">
            <v>ACC</v>
          </cell>
          <cell r="D91">
            <v>83679</v>
          </cell>
        </row>
        <row r="92">
          <cell r="A92">
            <v>195474</v>
          </cell>
          <cell r="B92" t="str">
            <v>Siena</v>
          </cell>
          <cell r="C92" t="str">
            <v>MAAC</v>
          </cell>
          <cell r="D92">
            <v>83393</v>
          </cell>
        </row>
        <row r="93">
          <cell r="A93">
            <v>217819</v>
          </cell>
          <cell r="B93" t="str">
            <v>Col. of Charleston</v>
          </cell>
          <cell r="C93" t="str">
            <v>CAA</v>
          </cell>
          <cell r="D93">
            <v>83356</v>
          </cell>
        </row>
        <row r="94">
          <cell r="A94">
            <v>217484</v>
          </cell>
          <cell r="B94" t="str">
            <v>Rhode Island</v>
          </cell>
          <cell r="C94" t="str">
            <v>Atlantic 10</v>
          </cell>
          <cell r="D94">
            <v>82531</v>
          </cell>
        </row>
        <row r="95">
          <cell r="A95">
            <v>228796</v>
          </cell>
          <cell r="B95" t="str">
            <v>UTEP</v>
          </cell>
          <cell r="C95" t="str">
            <v>CUSA</v>
          </cell>
          <cell r="D95">
            <v>81941</v>
          </cell>
        </row>
        <row r="96">
          <cell r="A96">
            <v>216339</v>
          </cell>
          <cell r="B96" t="str">
            <v>Temple</v>
          </cell>
          <cell r="C96" t="str">
            <v>The American</v>
          </cell>
          <cell r="D96">
            <v>81705</v>
          </cell>
        </row>
        <row r="97">
          <cell r="A97">
            <v>139755</v>
          </cell>
          <cell r="B97" t="str">
            <v>Georgia Tech</v>
          </cell>
          <cell r="C97" t="str">
            <v>ACC</v>
          </cell>
          <cell r="D97">
            <v>80125</v>
          </cell>
        </row>
        <row r="98">
          <cell r="A98">
            <v>143358</v>
          </cell>
          <cell r="B98" t="str">
            <v>Bradley</v>
          </cell>
          <cell r="C98" t="str">
            <v>MVC</v>
          </cell>
          <cell r="D98">
            <v>79150</v>
          </cell>
        </row>
        <row r="99">
          <cell r="A99">
            <v>237525</v>
          </cell>
          <cell r="B99" t="str">
            <v>Marshall</v>
          </cell>
          <cell r="C99" t="str">
            <v>Sun Belt</v>
          </cell>
          <cell r="D99">
            <v>79145</v>
          </cell>
        </row>
        <row r="100">
          <cell r="A100">
            <v>126818</v>
          </cell>
          <cell r="B100" t="str">
            <v>Colorado St.</v>
          </cell>
          <cell r="C100" t="str">
            <v>Mountain West</v>
          </cell>
          <cell r="D100">
            <v>76150</v>
          </cell>
        </row>
        <row r="101">
          <cell r="A101">
            <v>149222</v>
          </cell>
          <cell r="B101" t="str">
            <v>Southern Ill.</v>
          </cell>
          <cell r="C101" t="str">
            <v>MVC</v>
          </cell>
          <cell r="D101">
            <v>75511</v>
          </cell>
        </row>
        <row r="102">
          <cell r="A102">
            <v>100663</v>
          </cell>
          <cell r="B102" t="str">
            <v>UAB</v>
          </cell>
          <cell r="C102" t="str">
            <v>CUSA</v>
          </cell>
          <cell r="D102">
            <v>75498</v>
          </cell>
        </row>
        <row r="103">
          <cell r="A103">
            <v>204857</v>
          </cell>
          <cell r="B103" t="str">
            <v>Ohio</v>
          </cell>
          <cell r="C103" t="str">
            <v>MAC</v>
          </cell>
          <cell r="D103">
            <v>71324</v>
          </cell>
        </row>
        <row r="104">
          <cell r="A104">
            <v>110556</v>
          </cell>
          <cell r="B104" t="str">
            <v>Fresno St.</v>
          </cell>
          <cell r="C104" t="str">
            <v>Mountain West</v>
          </cell>
          <cell r="D104">
            <v>70874</v>
          </cell>
        </row>
        <row r="105">
          <cell r="A105">
            <v>123961</v>
          </cell>
          <cell r="B105" t="str">
            <v>Southern California</v>
          </cell>
          <cell r="C105" t="str">
            <v>Pac-12</v>
          </cell>
          <cell r="D105">
            <v>70712</v>
          </cell>
        </row>
        <row r="106">
          <cell r="A106">
            <v>157401</v>
          </cell>
          <cell r="B106" t="str">
            <v>Murray St.</v>
          </cell>
          <cell r="C106" t="str">
            <v>MVC</v>
          </cell>
          <cell r="D106">
            <v>67836</v>
          </cell>
        </row>
        <row r="107">
          <cell r="A107">
            <v>206084</v>
          </cell>
          <cell r="B107" t="str">
            <v>Toledo</v>
          </cell>
          <cell r="C107" t="str">
            <v>MAC</v>
          </cell>
          <cell r="D107">
            <v>67602</v>
          </cell>
        </row>
        <row r="108">
          <cell r="A108">
            <v>198464</v>
          </cell>
          <cell r="B108" t="str">
            <v>East Carolina</v>
          </cell>
          <cell r="C108" t="str">
            <v>The American</v>
          </cell>
          <cell r="D108">
            <v>66847</v>
          </cell>
        </row>
        <row r="109">
          <cell r="A109">
            <v>232557</v>
          </cell>
          <cell r="B109" t="str">
            <v>Liberty</v>
          </cell>
          <cell r="C109" t="str">
            <v>ASUN</v>
          </cell>
          <cell r="D109">
            <v>64769</v>
          </cell>
        </row>
        <row r="110">
          <cell r="A110">
            <v>240727</v>
          </cell>
          <cell r="B110" t="str">
            <v>Wyoming</v>
          </cell>
          <cell r="C110" t="str">
            <v>Mountain West</v>
          </cell>
          <cell r="D110">
            <v>63106</v>
          </cell>
        </row>
        <row r="111">
          <cell r="A111">
            <v>228246</v>
          </cell>
          <cell r="B111" t="str">
            <v>SMU</v>
          </cell>
          <cell r="C111" t="str">
            <v>The American</v>
          </cell>
          <cell r="D111">
            <v>62657</v>
          </cell>
        </row>
        <row r="112">
          <cell r="A112">
            <v>230782</v>
          </cell>
          <cell r="B112" t="str">
            <v>Weber St.</v>
          </cell>
          <cell r="C112" t="str">
            <v>Big Sky</v>
          </cell>
          <cell r="D112">
            <v>61792</v>
          </cell>
        </row>
        <row r="113">
          <cell r="A113">
            <v>209542</v>
          </cell>
          <cell r="B113" t="str">
            <v>Oregon St.</v>
          </cell>
          <cell r="C113" t="str">
            <v>Pac-12</v>
          </cell>
          <cell r="D113">
            <v>61649</v>
          </cell>
        </row>
        <row r="114">
          <cell r="A114">
            <v>144740</v>
          </cell>
          <cell r="B114" t="str">
            <v>DePaul</v>
          </cell>
          <cell r="C114" t="str">
            <v>Big East</v>
          </cell>
          <cell r="D114">
            <v>60671</v>
          </cell>
        </row>
        <row r="115">
          <cell r="A115">
            <v>232423</v>
          </cell>
          <cell r="B115" t="str">
            <v>James Madison</v>
          </cell>
          <cell r="C115" t="str">
            <v>Sun Belt</v>
          </cell>
          <cell r="D115">
            <v>60283</v>
          </cell>
        </row>
        <row r="116">
          <cell r="A116">
            <v>150534</v>
          </cell>
          <cell r="B116" t="str">
            <v>Evansville</v>
          </cell>
          <cell r="C116" t="str">
            <v>MVC</v>
          </cell>
          <cell r="D116">
            <v>59119</v>
          </cell>
        </row>
        <row r="117">
          <cell r="A117">
            <v>150136</v>
          </cell>
          <cell r="B117" t="str">
            <v>Ball St.</v>
          </cell>
          <cell r="C117" t="str">
            <v>MAC</v>
          </cell>
          <cell r="D117">
            <v>58125</v>
          </cell>
        </row>
        <row r="118">
          <cell r="A118">
            <v>151324</v>
          </cell>
          <cell r="B118" t="str">
            <v>Indiana St.</v>
          </cell>
          <cell r="C118" t="str">
            <v>MVC</v>
          </cell>
          <cell r="D118">
            <v>57987</v>
          </cell>
        </row>
        <row r="119">
          <cell r="A119">
            <v>227216</v>
          </cell>
          <cell r="B119" t="str">
            <v>North Texas</v>
          </cell>
          <cell r="C119" t="str">
            <v>CUSA</v>
          </cell>
          <cell r="D119">
            <v>57744</v>
          </cell>
        </row>
        <row r="120">
          <cell r="A120">
            <v>123554</v>
          </cell>
          <cell r="B120" t="str">
            <v>Saint Mary's (CA)</v>
          </cell>
          <cell r="C120" t="str">
            <v>WCC</v>
          </cell>
          <cell r="D120">
            <v>57541</v>
          </cell>
        </row>
        <row r="121">
          <cell r="A121">
            <v>232186</v>
          </cell>
          <cell r="B121" t="str">
            <v>George Mason</v>
          </cell>
          <cell r="C121" t="str">
            <v>Atlantic 10</v>
          </cell>
          <cell r="D121">
            <v>57348</v>
          </cell>
        </row>
        <row r="122">
          <cell r="A122">
            <v>199218</v>
          </cell>
          <cell r="B122" t="str">
            <v>UNCW</v>
          </cell>
          <cell r="C122" t="str">
            <v>CAA</v>
          </cell>
          <cell r="D122">
            <v>56671</v>
          </cell>
        </row>
        <row r="123">
          <cell r="A123">
            <v>137351</v>
          </cell>
          <cell r="B123" t="str">
            <v>South Fla.</v>
          </cell>
          <cell r="C123" t="str">
            <v>The American</v>
          </cell>
          <cell r="D123">
            <v>56559</v>
          </cell>
        </row>
        <row r="124">
          <cell r="A124">
            <v>110361</v>
          </cell>
          <cell r="B124" t="str">
            <v>California Baptist</v>
          </cell>
          <cell r="C124" t="str">
            <v>WAC</v>
          </cell>
          <cell r="D124">
            <v>56536</v>
          </cell>
        </row>
        <row r="125">
          <cell r="A125">
            <v>176372</v>
          </cell>
          <cell r="B125" t="str">
            <v>Southern Miss.</v>
          </cell>
          <cell r="C125" t="str">
            <v>Sun Belt</v>
          </cell>
          <cell r="D125">
            <v>56525</v>
          </cell>
        </row>
        <row r="126">
          <cell r="A126">
            <v>156620</v>
          </cell>
          <cell r="B126" t="str">
            <v>Eastern Ky.</v>
          </cell>
          <cell r="C126" t="str">
            <v>ASUN</v>
          </cell>
          <cell r="D126">
            <v>56521</v>
          </cell>
        </row>
        <row r="127">
          <cell r="A127">
            <v>195164</v>
          </cell>
          <cell r="B127" t="str">
            <v>St. Bonaventure</v>
          </cell>
          <cell r="C127" t="str">
            <v>Atlantic 10</v>
          </cell>
          <cell r="D127">
            <v>56453</v>
          </cell>
        </row>
        <row r="128">
          <cell r="A128">
            <v>157951</v>
          </cell>
          <cell r="B128" t="str">
            <v>Western Ky.</v>
          </cell>
          <cell r="C128" t="str">
            <v>CUSA</v>
          </cell>
          <cell r="D128">
            <v>56370</v>
          </cell>
        </row>
        <row r="129">
          <cell r="A129">
            <v>207971</v>
          </cell>
          <cell r="B129" t="str">
            <v>Tulsa</v>
          </cell>
          <cell r="C129" t="str">
            <v>The American</v>
          </cell>
          <cell r="D129">
            <v>55605</v>
          </cell>
        </row>
        <row r="130">
          <cell r="A130">
            <v>206604</v>
          </cell>
          <cell r="B130" t="str">
            <v>Wright St.</v>
          </cell>
          <cell r="C130" t="str">
            <v>Horizon</v>
          </cell>
          <cell r="D130">
            <v>55294</v>
          </cell>
        </row>
        <row r="131">
          <cell r="A131">
            <v>154095</v>
          </cell>
          <cell r="B131" t="str">
            <v>UNI</v>
          </cell>
          <cell r="C131" t="str">
            <v>MVC</v>
          </cell>
          <cell r="D131">
            <v>54822</v>
          </cell>
        </row>
        <row r="132">
          <cell r="A132">
            <v>243744</v>
          </cell>
          <cell r="B132" t="str">
            <v>Stanford</v>
          </cell>
          <cell r="C132" t="str">
            <v>Pac-12</v>
          </cell>
          <cell r="D132">
            <v>52765</v>
          </cell>
        </row>
        <row r="133">
          <cell r="A133">
            <v>157447</v>
          </cell>
          <cell r="B133" t="str">
            <v>Northern Ky.</v>
          </cell>
          <cell r="C133" t="str">
            <v>Horizon</v>
          </cell>
          <cell r="D133">
            <v>52751</v>
          </cell>
        </row>
        <row r="134">
          <cell r="A134">
            <v>145813</v>
          </cell>
          <cell r="B134" t="str">
            <v>Illinois St.</v>
          </cell>
          <cell r="C134" t="str">
            <v>MVC</v>
          </cell>
          <cell r="D134">
            <v>52641</v>
          </cell>
        </row>
        <row r="135">
          <cell r="A135">
            <v>206695</v>
          </cell>
          <cell r="B135" t="str">
            <v>Youngstown St.</v>
          </cell>
          <cell r="C135" t="str">
            <v>Horizon</v>
          </cell>
          <cell r="D135">
            <v>51909</v>
          </cell>
        </row>
        <row r="136">
          <cell r="A136">
            <v>153269</v>
          </cell>
          <cell r="B136" t="str">
            <v>Drake</v>
          </cell>
          <cell r="C136" t="str">
            <v>MVC</v>
          </cell>
          <cell r="D136">
            <v>51437</v>
          </cell>
        </row>
        <row r="137">
          <cell r="A137">
            <v>220978</v>
          </cell>
          <cell r="B137" t="str">
            <v>Middle Tenn.</v>
          </cell>
          <cell r="C137" t="str">
            <v>CUSA</v>
          </cell>
          <cell r="D137">
            <v>51199</v>
          </cell>
        </row>
        <row r="138">
          <cell r="A138">
            <v>198385</v>
          </cell>
          <cell r="B138" t="str">
            <v>Davidson</v>
          </cell>
          <cell r="C138" t="str">
            <v>Atlantic 10</v>
          </cell>
          <cell r="D138">
            <v>50342</v>
          </cell>
        </row>
        <row r="139">
          <cell r="A139">
            <v>166629</v>
          </cell>
          <cell r="B139" t="str">
            <v>Massachusetts</v>
          </cell>
          <cell r="C139" t="str">
            <v>Atlantic 10</v>
          </cell>
          <cell r="D139">
            <v>50124</v>
          </cell>
        </row>
        <row r="140">
          <cell r="A140">
            <v>220075</v>
          </cell>
          <cell r="B140" t="str">
            <v>ETSU</v>
          </cell>
          <cell r="C140" t="str">
            <v>SoCon</v>
          </cell>
          <cell r="D140">
            <v>50014</v>
          </cell>
        </row>
        <row r="141">
          <cell r="A141">
            <v>198695</v>
          </cell>
          <cell r="B141" t="str">
            <v>High Point</v>
          </cell>
          <cell r="C141" t="str">
            <v>Big South</v>
          </cell>
          <cell r="D141">
            <v>50014</v>
          </cell>
        </row>
        <row r="142">
          <cell r="A142">
            <v>188030</v>
          </cell>
          <cell r="B142" t="str">
            <v>New Mexico St.</v>
          </cell>
          <cell r="C142" t="str">
            <v>WAC</v>
          </cell>
          <cell r="D142">
            <v>49974</v>
          </cell>
        </row>
        <row r="143">
          <cell r="A143">
            <v>160621</v>
          </cell>
          <cell r="B143" t="str">
            <v>Southern U.</v>
          </cell>
          <cell r="C143" t="str">
            <v>SWAC</v>
          </cell>
          <cell r="D143">
            <v>49732</v>
          </cell>
        </row>
        <row r="144">
          <cell r="A144">
            <v>221740</v>
          </cell>
          <cell r="B144" t="str">
            <v>Chattanooga</v>
          </cell>
          <cell r="C144" t="str">
            <v>SoCon</v>
          </cell>
          <cell r="D144">
            <v>49608</v>
          </cell>
        </row>
        <row r="145">
          <cell r="A145">
            <v>221838</v>
          </cell>
          <cell r="B145" t="str">
            <v>Tennessee St.</v>
          </cell>
          <cell r="C145" t="str">
            <v>OVC</v>
          </cell>
          <cell r="D145">
            <v>47472</v>
          </cell>
        </row>
        <row r="146">
          <cell r="A146">
            <v>146719</v>
          </cell>
          <cell r="B146" t="str">
            <v>Loyola Chicago</v>
          </cell>
          <cell r="C146" t="str">
            <v>Atlantic 10</v>
          </cell>
          <cell r="D146">
            <v>47217</v>
          </cell>
        </row>
        <row r="147">
          <cell r="A147">
            <v>236939</v>
          </cell>
          <cell r="B147" t="str">
            <v>Washington St.</v>
          </cell>
          <cell r="C147" t="str">
            <v>Pac-12</v>
          </cell>
          <cell r="D147">
            <v>46772</v>
          </cell>
        </row>
        <row r="148">
          <cell r="A148">
            <v>179566</v>
          </cell>
          <cell r="B148" t="str">
            <v>Missouri St.</v>
          </cell>
          <cell r="C148" t="str">
            <v>MVC</v>
          </cell>
          <cell r="D148">
            <v>46198</v>
          </cell>
        </row>
        <row r="149">
          <cell r="A149">
            <v>180489</v>
          </cell>
          <cell r="B149" t="str">
            <v>Montana</v>
          </cell>
          <cell r="C149" t="str">
            <v>Big Sky</v>
          </cell>
          <cell r="D149">
            <v>44831</v>
          </cell>
        </row>
        <row r="150">
          <cell r="A150">
            <v>199139</v>
          </cell>
          <cell r="B150" t="str">
            <v>Charlotte</v>
          </cell>
          <cell r="C150" t="str">
            <v>CUSA</v>
          </cell>
          <cell r="D150">
            <v>44780</v>
          </cell>
        </row>
        <row r="151">
          <cell r="A151">
            <v>160658</v>
          </cell>
          <cell r="B151" t="str">
            <v>Louisiana</v>
          </cell>
          <cell r="C151" t="str">
            <v>Sun Belt</v>
          </cell>
          <cell r="D151">
            <v>44409</v>
          </cell>
        </row>
        <row r="152">
          <cell r="A152">
            <v>169798</v>
          </cell>
          <cell r="B152" t="str">
            <v>Eastern Mich.</v>
          </cell>
          <cell r="C152" t="str">
            <v>MAC</v>
          </cell>
          <cell r="D152">
            <v>43774</v>
          </cell>
        </row>
        <row r="153">
          <cell r="A153">
            <v>212106</v>
          </cell>
          <cell r="B153" t="str">
            <v>Duquesne</v>
          </cell>
          <cell r="C153" t="str">
            <v>Atlantic 10</v>
          </cell>
          <cell r="D153">
            <v>43565</v>
          </cell>
        </row>
        <row r="154">
          <cell r="A154">
            <v>196088</v>
          </cell>
          <cell r="B154" t="str">
            <v>Buffalo</v>
          </cell>
          <cell r="C154" t="str">
            <v>MAC</v>
          </cell>
          <cell r="D154">
            <v>42874</v>
          </cell>
        </row>
        <row r="155">
          <cell r="A155">
            <v>180461</v>
          </cell>
          <cell r="B155" t="str">
            <v>Montana St.</v>
          </cell>
          <cell r="C155" t="str">
            <v>Big Sky</v>
          </cell>
          <cell r="D155">
            <v>42530</v>
          </cell>
        </row>
        <row r="156">
          <cell r="A156">
            <v>102368</v>
          </cell>
          <cell r="B156" t="str">
            <v>Troy</v>
          </cell>
          <cell r="C156" t="str">
            <v>Sun Belt</v>
          </cell>
          <cell r="D156">
            <v>42500</v>
          </cell>
        </row>
        <row r="157">
          <cell r="A157">
            <v>228431</v>
          </cell>
          <cell r="B157" t="str">
            <v>SFA</v>
          </cell>
          <cell r="C157" t="str">
            <v>WAC</v>
          </cell>
          <cell r="D157">
            <v>42467</v>
          </cell>
        </row>
        <row r="158">
          <cell r="A158">
            <v>231624</v>
          </cell>
          <cell r="B158" t="str">
            <v>William &amp; Mary</v>
          </cell>
          <cell r="C158" t="str">
            <v>CAA</v>
          </cell>
          <cell r="D158">
            <v>42111</v>
          </cell>
        </row>
        <row r="159">
          <cell r="A159">
            <v>197869</v>
          </cell>
          <cell r="B159" t="str">
            <v>App State</v>
          </cell>
          <cell r="C159" t="str">
            <v>Sun Belt</v>
          </cell>
          <cell r="D159">
            <v>40397</v>
          </cell>
        </row>
        <row r="160">
          <cell r="A160">
            <v>102049</v>
          </cell>
          <cell r="B160" t="str">
            <v>Samford</v>
          </cell>
          <cell r="C160" t="str">
            <v>SoCon</v>
          </cell>
          <cell r="D160">
            <v>40096</v>
          </cell>
        </row>
        <row r="161">
          <cell r="A161">
            <v>106412</v>
          </cell>
          <cell r="B161" t="str">
            <v>Ark.-Pine Bluff</v>
          </cell>
          <cell r="C161" t="str">
            <v>SWAC</v>
          </cell>
          <cell r="D161">
            <v>38606</v>
          </cell>
        </row>
        <row r="162">
          <cell r="A162">
            <v>110653</v>
          </cell>
          <cell r="B162" t="str">
            <v>UC Irvine</v>
          </cell>
          <cell r="C162" t="str">
            <v>Big West</v>
          </cell>
          <cell r="D162">
            <v>38264</v>
          </cell>
        </row>
        <row r="163">
          <cell r="A163">
            <v>133669</v>
          </cell>
          <cell r="B163" t="str">
            <v>Fla. Atlantic</v>
          </cell>
          <cell r="C163" t="str">
            <v>CUSA</v>
          </cell>
          <cell r="D163">
            <v>38050</v>
          </cell>
        </row>
        <row r="164">
          <cell r="A164">
            <v>230737</v>
          </cell>
          <cell r="B164" t="str">
            <v>Utah Valley</v>
          </cell>
          <cell r="C164" t="str">
            <v>WAC</v>
          </cell>
          <cell r="D164">
            <v>37716</v>
          </cell>
        </row>
        <row r="165">
          <cell r="A165">
            <v>159647</v>
          </cell>
          <cell r="B165" t="str">
            <v>Louisiana Tech</v>
          </cell>
          <cell r="C165" t="str">
            <v>CUSA</v>
          </cell>
          <cell r="D165">
            <v>37686</v>
          </cell>
        </row>
        <row r="166">
          <cell r="A166">
            <v>215062</v>
          </cell>
          <cell r="B166" t="str">
            <v>Penn</v>
          </cell>
          <cell r="C166" t="str">
            <v>Ivy League</v>
          </cell>
          <cell r="D166">
            <v>37224</v>
          </cell>
        </row>
        <row r="167">
          <cell r="A167">
            <v>110635</v>
          </cell>
          <cell r="B167" t="str">
            <v>California</v>
          </cell>
          <cell r="C167" t="str">
            <v>Pac-12</v>
          </cell>
          <cell r="D167">
            <v>36639</v>
          </cell>
        </row>
        <row r="168">
          <cell r="A168">
            <v>218070</v>
          </cell>
          <cell r="B168" t="str">
            <v>Furman</v>
          </cell>
          <cell r="C168" t="str">
            <v>SoCon</v>
          </cell>
          <cell r="D168">
            <v>34941</v>
          </cell>
        </row>
        <row r="169">
          <cell r="A169">
            <v>106245</v>
          </cell>
          <cell r="B169" t="str">
            <v>Little Rock</v>
          </cell>
          <cell r="C169" t="str">
            <v>OVC</v>
          </cell>
          <cell r="D169">
            <v>34534</v>
          </cell>
        </row>
        <row r="170">
          <cell r="A170">
            <v>139940</v>
          </cell>
          <cell r="B170" t="str">
            <v>Georgia St.</v>
          </cell>
          <cell r="C170" t="str">
            <v>Sun Belt</v>
          </cell>
          <cell r="D170">
            <v>33997</v>
          </cell>
        </row>
        <row r="171">
          <cell r="A171">
            <v>227757</v>
          </cell>
          <cell r="B171" t="str">
            <v>Rice</v>
          </cell>
          <cell r="C171" t="str">
            <v>CUSA</v>
          </cell>
          <cell r="D171">
            <v>33869</v>
          </cell>
        </row>
        <row r="172">
          <cell r="A172">
            <v>199102</v>
          </cell>
          <cell r="B172" t="str">
            <v>N.C. A&amp;T</v>
          </cell>
          <cell r="C172" t="str">
            <v>CAA</v>
          </cell>
          <cell r="D172">
            <v>33297</v>
          </cell>
        </row>
        <row r="173">
          <cell r="A173">
            <v>204024</v>
          </cell>
          <cell r="B173" t="str">
            <v>Miami (OH)</v>
          </cell>
          <cell r="C173" t="str">
            <v>MAC</v>
          </cell>
          <cell r="D173">
            <v>33242</v>
          </cell>
        </row>
        <row r="174">
          <cell r="A174">
            <v>129242</v>
          </cell>
          <cell r="B174" t="str">
            <v>Fairfield</v>
          </cell>
          <cell r="C174" t="str">
            <v>MAAC</v>
          </cell>
          <cell r="D174">
            <v>33239</v>
          </cell>
        </row>
        <row r="175">
          <cell r="A175" t="e">
            <v>#N/A</v>
          </cell>
          <cell r="B175" t="str">
            <v>Southern Ind.</v>
          </cell>
          <cell r="C175" t="str">
            <v>OVC</v>
          </cell>
          <cell r="D175">
            <v>33202</v>
          </cell>
        </row>
        <row r="176">
          <cell r="A176">
            <v>171571</v>
          </cell>
          <cell r="B176" t="str">
            <v>Oakland</v>
          </cell>
          <cell r="C176" t="str">
            <v>Horizon</v>
          </cell>
          <cell r="D176">
            <v>33199</v>
          </cell>
        </row>
        <row r="177">
          <cell r="A177">
            <v>122612</v>
          </cell>
          <cell r="B177" t="str">
            <v>San Francisco</v>
          </cell>
          <cell r="C177" t="str">
            <v>WCC</v>
          </cell>
          <cell r="D177">
            <v>33192</v>
          </cell>
        </row>
        <row r="178">
          <cell r="A178">
            <v>231174</v>
          </cell>
          <cell r="B178" t="str">
            <v>Vermont</v>
          </cell>
          <cell r="C178" t="str">
            <v>America East</v>
          </cell>
          <cell r="D178">
            <v>33119</v>
          </cell>
        </row>
        <row r="179">
          <cell r="A179">
            <v>229063</v>
          </cell>
          <cell r="B179" t="str">
            <v>Texas Southern</v>
          </cell>
          <cell r="C179" t="str">
            <v>SWAC</v>
          </cell>
          <cell r="D179">
            <v>32964</v>
          </cell>
        </row>
        <row r="180">
          <cell r="A180">
            <v>240453</v>
          </cell>
          <cell r="B180" t="str">
            <v>Milwaukee</v>
          </cell>
          <cell r="C180" t="str">
            <v>Horizon</v>
          </cell>
          <cell r="D180">
            <v>32771</v>
          </cell>
        </row>
        <row r="181">
          <cell r="A181">
            <v>122755</v>
          </cell>
          <cell r="B181" t="str">
            <v>San Jose St.</v>
          </cell>
          <cell r="C181" t="str">
            <v>Mountain West</v>
          </cell>
          <cell r="D181">
            <v>32724</v>
          </cell>
        </row>
        <row r="182">
          <cell r="A182">
            <v>203517</v>
          </cell>
          <cell r="B182" t="str">
            <v>Kent St.</v>
          </cell>
          <cell r="C182" t="str">
            <v>MAC</v>
          </cell>
          <cell r="D182">
            <v>32500</v>
          </cell>
        </row>
        <row r="183">
          <cell r="A183" t="e">
            <v>#N/A</v>
          </cell>
          <cell r="B183" t="str">
            <v>Bellarmine</v>
          </cell>
          <cell r="C183" t="str">
            <v>ASUN</v>
          </cell>
          <cell r="D183">
            <v>32495</v>
          </cell>
        </row>
        <row r="184">
          <cell r="A184">
            <v>102094</v>
          </cell>
          <cell r="B184" t="str">
            <v>South Alabama</v>
          </cell>
          <cell r="C184" t="str">
            <v>Sun Belt</v>
          </cell>
          <cell r="D184">
            <v>32412</v>
          </cell>
        </row>
        <row r="185">
          <cell r="A185">
            <v>106458</v>
          </cell>
          <cell r="B185" t="str">
            <v>Arkansas St.</v>
          </cell>
          <cell r="C185" t="str">
            <v>Sun Belt</v>
          </cell>
          <cell r="D185">
            <v>32271</v>
          </cell>
        </row>
        <row r="186">
          <cell r="A186">
            <v>200800</v>
          </cell>
          <cell r="B186" t="str">
            <v>Akron</v>
          </cell>
          <cell r="C186" t="str">
            <v>MAC</v>
          </cell>
          <cell r="D186">
            <v>32262</v>
          </cell>
        </row>
        <row r="187">
          <cell r="A187">
            <v>159717</v>
          </cell>
          <cell r="B187" t="str">
            <v>McNeese</v>
          </cell>
          <cell r="C187" t="str">
            <v>Southland</v>
          </cell>
          <cell r="D187">
            <v>32023</v>
          </cell>
        </row>
        <row r="188">
          <cell r="A188">
            <v>130943</v>
          </cell>
          <cell r="B188" t="str">
            <v>Delaware</v>
          </cell>
          <cell r="C188" t="str">
            <v>CAA</v>
          </cell>
          <cell r="D188">
            <v>31999</v>
          </cell>
        </row>
        <row r="189">
          <cell r="A189">
            <v>186131</v>
          </cell>
          <cell r="B189" t="str">
            <v>Princeton</v>
          </cell>
          <cell r="C189" t="str">
            <v>Ivy League</v>
          </cell>
          <cell r="D189">
            <v>31786</v>
          </cell>
        </row>
        <row r="190">
          <cell r="A190">
            <v>196079</v>
          </cell>
          <cell r="B190" t="str">
            <v>Binghamton</v>
          </cell>
          <cell r="C190" t="str">
            <v>America East</v>
          </cell>
          <cell r="D190">
            <v>31657</v>
          </cell>
        </row>
        <row r="191">
          <cell r="A191">
            <v>201441</v>
          </cell>
          <cell r="B191" t="str">
            <v>Bowling Green</v>
          </cell>
          <cell r="C191" t="str">
            <v>MAC</v>
          </cell>
          <cell r="D191">
            <v>30905</v>
          </cell>
        </row>
        <row r="192">
          <cell r="A192">
            <v>433660</v>
          </cell>
          <cell r="B192" t="str">
            <v>FGCU</v>
          </cell>
          <cell r="C192" t="str">
            <v>ASUN</v>
          </cell>
          <cell r="D192">
            <v>30773</v>
          </cell>
        </row>
        <row r="193">
          <cell r="A193">
            <v>219709</v>
          </cell>
          <cell r="B193" t="str">
            <v>Belmont</v>
          </cell>
          <cell r="C193" t="str">
            <v>MVC</v>
          </cell>
          <cell r="D193">
            <v>30603</v>
          </cell>
        </row>
        <row r="194">
          <cell r="A194">
            <v>191649</v>
          </cell>
          <cell r="B194" t="str">
            <v>Hofstra</v>
          </cell>
          <cell r="C194" t="str">
            <v>CAA</v>
          </cell>
          <cell r="D194">
            <v>30581</v>
          </cell>
        </row>
        <row r="195">
          <cell r="A195">
            <v>196097</v>
          </cell>
          <cell r="B195" t="str">
            <v>Stony Brook</v>
          </cell>
          <cell r="C195" t="str">
            <v>CAA</v>
          </cell>
          <cell r="D195">
            <v>30473</v>
          </cell>
        </row>
        <row r="196">
          <cell r="A196">
            <v>202134</v>
          </cell>
          <cell r="B196" t="str">
            <v>Cleveland St.</v>
          </cell>
          <cell r="C196" t="str">
            <v>Horizon</v>
          </cell>
          <cell r="D196">
            <v>30241</v>
          </cell>
        </row>
        <row r="197">
          <cell r="A197">
            <v>122931</v>
          </cell>
          <cell r="B197" t="str">
            <v>Santa Clara</v>
          </cell>
          <cell r="C197" t="str">
            <v>WCC</v>
          </cell>
          <cell r="D197">
            <v>30060</v>
          </cell>
        </row>
        <row r="198">
          <cell r="A198">
            <v>110705</v>
          </cell>
          <cell r="B198" t="str">
            <v>UC Santa Barbara</v>
          </cell>
          <cell r="C198" t="str">
            <v>Big West</v>
          </cell>
          <cell r="D198">
            <v>29497</v>
          </cell>
        </row>
        <row r="199">
          <cell r="A199">
            <v>230603</v>
          </cell>
          <cell r="B199" t="str">
            <v>Southern Utah</v>
          </cell>
          <cell r="C199" t="str">
            <v>WAC</v>
          </cell>
          <cell r="D199">
            <v>29179</v>
          </cell>
        </row>
        <row r="200">
          <cell r="A200">
            <v>157386</v>
          </cell>
          <cell r="B200" t="str">
            <v>Morehead St.</v>
          </cell>
          <cell r="C200" t="str">
            <v>OVC</v>
          </cell>
          <cell r="D200">
            <v>28793</v>
          </cell>
        </row>
        <row r="201">
          <cell r="A201">
            <v>219976</v>
          </cell>
          <cell r="B201" t="str">
            <v>Lipscomb</v>
          </cell>
          <cell r="C201" t="str">
            <v>ASUN</v>
          </cell>
          <cell r="D201">
            <v>28785</v>
          </cell>
        </row>
        <row r="202">
          <cell r="A202">
            <v>110422</v>
          </cell>
          <cell r="B202" t="str">
            <v>Cal Poly</v>
          </cell>
          <cell r="C202" t="str">
            <v>Big West</v>
          </cell>
          <cell r="D202">
            <v>28469</v>
          </cell>
        </row>
        <row r="203">
          <cell r="A203">
            <v>219471</v>
          </cell>
          <cell r="B203" t="str">
            <v>South Dakota</v>
          </cell>
          <cell r="C203" t="str">
            <v>Summit League</v>
          </cell>
          <cell r="D203">
            <v>28404</v>
          </cell>
        </row>
        <row r="204">
          <cell r="A204">
            <v>101480</v>
          </cell>
          <cell r="B204" t="str">
            <v>Jacksonville St.</v>
          </cell>
          <cell r="C204" t="str">
            <v>ASUN</v>
          </cell>
          <cell r="D204">
            <v>27797</v>
          </cell>
        </row>
        <row r="205">
          <cell r="A205">
            <v>226091</v>
          </cell>
          <cell r="B205" t="str">
            <v>Lamar University</v>
          </cell>
          <cell r="C205" t="str">
            <v>Southland</v>
          </cell>
          <cell r="D205">
            <v>27794</v>
          </cell>
        </row>
        <row r="206">
          <cell r="A206">
            <v>191931</v>
          </cell>
          <cell r="B206" t="str">
            <v>Iona</v>
          </cell>
          <cell r="C206" t="str">
            <v>MAAC</v>
          </cell>
          <cell r="D206">
            <v>27719</v>
          </cell>
        </row>
        <row r="207">
          <cell r="A207">
            <v>209825</v>
          </cell>
          <cell r="B207" t="str">
            <v>Portland</v>
          </cell>
          <cell r="C207" t="str">
            <v>WCC</v>
          </cell>
          <cell r="D207">
            <v>27573</v>
          </cell>
        </row>
        <row r="208">
          <cell r="A208">
            <v>142285</v>
          </cell>
          <cell r="B208" t="str">
            <v>Idaho</v>
          </cell>
          <cell r="C208" t="str">
            <v>Big Sky</v>
          </cell>
          <cell r="D208">
            <v>27484</v>
          </cell>
        </row>
        <row r="209">
          <cell r="A209">
            <v>219356</v>
          </cell>
          <cell r="B209" t="str">
            <v>South Dakota St.</v>
          </cell>
          <cell r="C209" t="str">
            <v>Summit League</v>
          </cell>
          <cell r="D209">
            <v>27464</v>
          </cell>
        </row>
        <row r="210">
          <cell r="A210">
            <v>199157</v>
          </cell>
          <cell r="B210" t="str">
            <v>N.C. Central</v>
          </cell>
          <cell r="C210" t="str">
            <v>MEAC</v>
          </cell>
          <cell r="D210">
            <v>27393</v>
          </cell>
        </row>
        <row r="211">
          <cell r="A211">
            <v>131469</v>
          </cell>
          <cell r="B211" t="str">
            <v>George Washington</v>
          </cell>
          <cell r="C211" t="str">
            <v>Atlantic 10</v>
          </cell>
          <cell r="D211">
            <v>27340</v>
          </cell>
        </row>
        <row r="212">
          <cell r="A212">
            <v>163268</v>
          </cell>
          <cell r="B212" t="str">
            <v>UMBC</v>
          </cell>
          <cell r="C212" t="str">
            <v>America East</v>
          </cell>
          <cell r="D212">
            <v>27283</v>
          </cell>
        </row>
        <row r="213">
          <cell r="A213">
            <v>159993</v>
          </cell>
          <cell r="B213" t="str">
            <v>ULM</v>
          </cell>
          <cell r="C213" t="str">
            <v>Sun Belt</v>
          </cell>
          <cell r="D213">
            <v>27101</v>
          </cell>
        </row>
        <row r="214">
          <cell r="A214">
            <v>164076</v>
          </cell>
          <cell r="B214" t="str">
            <v>Towson</v>
          </cell>
          <cell r="C214" t="str">
            <v>CAA</v>
          </cell>
          <cell r="D214">
            <v>27027</v>
          </cell>
        </row>
        <row r="215">
          <cell r="A215">
            <v>163462</v>
          </cell>
          <cell r="B215" t="str">
            <v>Mount St. Mary's</v>
          </cell>
          <cell r="C215" t="str">
            <v>MAAC</v>
          </cell>
          <cell r="D215">
            <v>26985</v>
          </cell>
        </row>
        <row r="216">
          <cell r="A216">
            <v>486840</v>
          </cell>
          <cell r="B216" t="str">
            <v>Kennesaw St.</v>
          </cell>
          <cell r="C216" t="str">
            <v>ASUN</v>
          </cell>
          <cell r="D216">
            <v>26890</v>
          </cell>
        </row>
        <row r="217">
          <cell r="A217">
            <v>181394</v>
          </cell>
          <cell r="B217" t="str">
            <v>Omaha</v>
          </cell>
          <cell r="C217" t="str">
            <v>Summit League</v>
          </cell>
          <cell r="D217">
            <v>26822</v>
          </cell>
        </row>
        <row r="218">
          <cell r="A218">
            <v>100654</v>
          </cell>
          <cell r="B218" t="str">
            <v>Alabama A&amp;M</v>
          </cell>
          <cell r="C218" t="str">
            <v>SWAC</v>
          </cell>
          <cell r="D218">
            <v>26787</v>
          </cell>
        </row>
        <row r="219">
          <cell r="A219">
            <v>145600</v>
          </cell>
          <cell r="B219" t="str">
            <v>UIC</v>
          </cell>
          <cell r="C219" t="str">
            <v>MVC</v>
          </cell>
          <cell r="D219">
            <v>26711</v>
          </cell>
        </row>
        <row r="220">
          <cell r="A220">
            <v>120883</v>
          </cell>
          <cell r="B220" t="str">
            <v>Pacific</v>
          </cell>
          <cell r="C220" t="str">
            <v>WCC</v>
          </cell>
          <cell r="D220">
            <v>26445</v>
          </cell>
        </row>
        <row r="221">
          <cell r="A221">
            <v>140447</v>
          </cell>
          <cell r="B221" t="str">
            <v>Mercer</v>
          </cell>
          <cell r="C221" t="str">
            <v>SoCon</v>
          </cell>
          <cell r="D221">
            <v>26390</v>
          </cell>
        </row>
        <row r="222">
          <cell r="A222">
            <v>228459</v>
          </cell>
          <cell r="B222" t="str">
            <v>Texas St.</v>
          </cell>
          <cell r="C222" t="str">
            <v>Sun Belt</v>
          </cell>
          <cell r="D222">
            <v>26261</v>
          </cell>
        </row>
        <row r="223">
          <cell r="A223">
            <v>232937</v>
          </cell>
          <cell r="B223" t="str">
            <v>Norfolk St.</v>
          </cell>
          <cell r="C223" t="str">
            <v>MEAC</v>
          </cell>
          <cell r="D223">
            <v>25721</v>
          </cell>
        </row>
        <row r="224">
          <cell r="A224">
            <v>200332</v>
          </cell>
          <cell r="B224" t="str">
            <v>North Dakota St.</v>
          </cell>
          <cell r="C224" t="str">
            <v>Summit League</v>
          </cell>
          <cell r="D224">
            <v>25388</v>
          </cell>
        </row>
        <row r="225">
          <cell r="A225">
            <v>227368</v>
          </cell>
          <cell r="B225" t="str">
            <v>UTRGV</v>
          </cell>
          <cell r="C225" t="str">
            <v>WAC</v>
          </cell>
          <cell r="D225">
            <v>25332</v>
          </cell>
        </row>
        <row r="226">
          <cell r="A226">
            <v>200004</v>
          </cell>
          <cell r="B226" t="str">
            <v>Western Caro.</v>
          </cell>
          <cell r="C226" t="str">
            <v>SoCon</v>
          </cell>
          <cell r="D226">
            <v>25153</v>
          </cell>
        </row>
        <row r="227">
          <cell r="A227">
            <v>172699</v>
          </cell>
          <cell r="B227" t="str">
            <v>Western Mich.</v>
          </cell>
          <cell r="C227" t="str">
            <v>MAC</v>
          </cell>
          <cell r="D227">
            <v>24845</v>
          </cell>
        </row>
        <row r="228">
          <cell r="A228">
            <v>169716</v>
          </cell>
          <cell r="B228" t="str">
            <v>Detroit Mercy</v>
          </cell>
          <cell r="C228" t="str">
            <v>Horizon</v>
          </cell>
          <cell r="D228">
            <v>24814</v>
          </cell>
        </row>
        <row r="229">
          <cell r="A229">
            <v>221768</v>
          </cell>
          <cell r="B229" t="str">
            <v>UT Martin</v>
          </cell>
          <cell r="C229" t="str">
            <v>OVC</v>
          </cell>
          <cell r="D229">
            <v>24548</v>
          </cell>
        </row>
        <row r="230">
          <cell r="A230">
            <v>198516</v>
          </cell>
          <cell r="B230" t="str">
            <v>Elon</v>
          </cell>
          <cell r="C230" t="str">
            <v>CAA</v>
          </cell>
          <cell r="D230">
            <v>24436</v>
          </cell>
        </row>
        <row r="231">
          <cell r="A231">
            <v>152600</v>
          </cell>
          <cell r="B231" t="str">
            <v>Valparaiso</v>
          </cell>
          <cell r="C231" t="str">
            <v>MVC</v>
          </cell>
          <cell r="D231">
            <v>24373</v>
          </cell>
        </row>
        <row r="232">
          <cell r="A232">
            <v>169248</v>
          </cell>
          <cell r="B232" t="str">
            <v>Central Mich.</v>
          </cell>
          <cell r="C232" t="str">
            <v>MAC</v>
          </cell>
          <cell r="D232">
            <v>24164</v>
          </cell>
        </row>
        <row r="233">
          <cell r="A233">
            <v>500002</v>
          </cell>
          <cell r="B233" t="str">
            <v>Air Force</v>
          </cell>
          <cell r="C233" t="str">
            <v>Mountain West</v>
          </cell>
          <cell r="D233">
            <v>24107</v>
          </cell>
        </row>
        <row r="234">
          <cell r="A234">
            <v>215770</v>
          </cell>
          <cell r="B234" t="str">
            <v>Saint Joseph's</v>
          </cell>
          <cell r="C234" t="str">
            <v>Atlantic 10</v>
          </cell>
          <cell r="D234">
            <v>24066</v>
          </cell>
        </row>
        <row r="235">
          <cell r="A235">
            <v>218724</v>
          </cell>
          <cell r="B235" t="str">
            <v>Coastal Carolina</v>
          </cell>
          <cell r="C235" t="str">
            <v>Sun Belt</v>
          </cell>
          <cell r="D235">
            <v>23841</v>
          </cell>
        </row>
        <row r="236">
          <cell r="A236">
            <v>213367</v>
          </cell>
          <cell r="B236" t="str">
            <v>La Salle</v>
          </cell>
          <cell r="C236" t="str">
            <v>Atlantic 10</v>
          </cell>
          <cell r="D236">
            <v>23701</v>
          </cell>
        </row>
        <row r="237">
          <cell r="A237">
            <v>500000</v>
          </cell>
          <cell r="B237" t="str">
            <v>Navy</v>
          </cell>
          <cell r="C237" t="str">
            <v>Patriot</v>
          </cell>
          <cell r="D237">
            <v>23612</v>
          </cell>
        </row>
        <row r="238">
          <cell r="A238">
            <v>235097</v>
          </cell>
          <cell r="B238" t="str">
            <v>Eastern Wash.</v>
          </cell>
          <cell r="C238" t="str">
            <v>Big Sky</v>
          </cell>
          <cell r="D238">
            <v>23320</v>
          </cell>
        </row>
        <row r="239">
          <cell r="A239">
            <v>200280</v>
          </cell>
          <cell r="B239" t="str">
            <v>North Dakota</v>
          </cell>
          <cell r="C239" t="str">
            <v>Summit League</v>
          </cell>
          <cell r="D239">
            <v>23187</v>
          </cell>
        </row>
        <row r="240">
          <cell r="A240">
            <v>224147</v>
          </cell>
          <cell r="B240" t="str">
            <v>A&amp;M-Corpus Christi</v>
          </cell>
          <cell r="C240" t="str">
            <v>Southland</v>
          </cell>
          <cell r="D240">
            <v>22953</v>
          </cell>
        </row>
        <row r="241">
          <cell r="A241">
            <v>110583</v>
          </cell>
          <cell r="B241" t="str">
            <v>Long Beach St.</v>
          </cell>
          <cell r="C241" t="str">
            <v>Big West</v>
          </cell>
          <cell r="D241">
            <v>22931</v>
          </cell>
        </row>
        <row r="242">
          <cell r="A242">
            <v>191241</v>
          </cell>
          <cell r="B242" t="str">
            <v>Fordham</v>
          </cell>
          <cell r="C242" t="str">
            <v>Atlantic 10</v>
          </cell>
          <cell r="D242">
            <v>22690</v>
          </cell>
        </row>
        <row r="243">
          <cell r="A243">
            <v>144892</v>
          </cell>
          <cell r="B243" t="str">
            <v>Eastern Ill.</v>
          </cell>
          <cell r="C243" t="str">
            <v>OVC</v>
          </cell>
          <cell r="D243">
            <v>22502</v>
          </cell>
        </row>
        <row r="244">
          <cell r="A244" t="e">
            <v>#N/A</v>
          </cell>
          <cell r="B244" t="str">
            <v>Utah Tech</v>
          </cell>
          <cell r="C244" t="str">
            <v>WAC</v>
          </cell>
          <cell r="D244">
            <v>22465</v>
          </cell>
        </row>
        <row r="245">
          <cell r="A245">
            <v>136172</v>
          </cell>
          <cell r="B245" t="str">
            <v>North Florida</v>
          </cell>
          <cell r="C245" t="str">
            <v>ASUN</v>
          </cell>
          <cell r="D245">
            <v>22438</v>
          </cell>
        </row>
        <row r="246">
          <cell r="A246">
            <v>122436</v>
          </cell>
          <cell r="B246" t="str">
            <v>San Diego</v>
          </cell>
          <cell r="C246" t="str">
            <v>WCC</v>
          </cell>
          <cell r="D246">
            <v>22317</v>
          </cell>
        </row>
        <row r="247">
          <cell r="A247">
            <v>217864</v>
          </cell>
          <cell r="B247" t="str">
            <v>The Citadel</v>
          </cell>
          <cell r="C247" t="str">
            <v>SoCon</v>
          </cell>
          <cell r="D247">
            <v>22316</v>
          </cell>
        </row>
        <row r="248">
          <cell r="A248">
            <v>131520</v>
          </cell>
          <cell r="B248" t="str">
            <v>Howard</v>
          </cell>
          <cell r="C248" t="str">
            <v>MEAC</v>
          </cell>
          <cell r="D248">
            <v>22298</v>
          </cell>
        </row>
        <row r="249">
          <cell r="A249">
            <v>151102</v>
          </cell>
          <cell r="B249" t="str">
            <v>Purdue Fort Wayne</v>
          </cell>
          <cell r="C249" t="str">
            <v>Horizon</v>
          </cell>
          <cell r="D249">
            <v>21738</v>
          </cell>
        </row>
        <row r="250">
          <cell r="A250">
            <v>212054</v>
          </cell>
          <cell r="B250" t="str">
            <v>Drexel</v>
          </cell>
          <cell r="C250" t="str">
            <v>CAA</v>
          </cell>
          <cell r="D250">
            <v>21569</v>
          </cell>
        </row>
        <row r="251">
          <cell r="A251">
            <v>175342</v>
          </cell>
          <cell r="B251" t="str">
            <v>Alcorn</v>
          </cell>
          <cell r="C251" t="str">
            <v>SWAC</v>
          </cell>
          <cell r="D251">
            <v>21552</v>
          </cell>
        </row>
        <row r="252">
          <cell r="A252">
            <v>227881</v>
          </cell>
          <cell r="B252" t="str">
            <v>Sam Houston</v>
          </cell>
          <cell r="C252" t="str">
            <v>WAC</v>
          </cell>
          <cell r="D252">
            <v>21337</v>
          </cell>
        </row>
        <row r="253">
          <cell r="A253">
            <v>219602</v>
          </cell>
          <cell r="B253" t="str">
            <v>Austin Peay</v>
          </cell>
          <cell r="C253" t="str">
            <v>ASUN</v>
          </cell>
          <cell r="D253">
            <v>21053</v>
          </cell>
        </row>
        <row r="254">
          <cell r="A254">
            <v>222178</v>
          </cell>
          <cell r="B254" t="str">
            <v>Abilene Christian</v>
          </cell>
          <cell r="C254" t="str">
            <v>WAC</v>
          </cell>
          <cell r="D254">
            <v>20892</v>
          </cell>
        </row>
        <row r="255">
          <cell r="A255">
            <v>240277</v>
          </cell>
          <cell r="B255" t="str">
            <v>Green Bay</v>
          </cell>
          <cell r="C255" t="str">
            <v>Horizon</v>
          </cell>
          <cell r="D255">
            <v>20696</v>
          </cell>
        </row>
        <row r="256">
          <cell r="A256">
            <v>185572</v>
          </cell>
          <cell r="B256" t="str">
            <v>Monmouth</v>
          </cell>
          <cell r="C256" t="str">
            <v>CAA</v>
          </cell>
          <cell r="D256">
            <v>20618</v>
          </cell>
        </row>
        <row r="257">
          <cell r="A257">
            <v>179557</v>
          </cell>
          <cell r="B257" t="str">
            <v>Southeast Mo. St.</v>
          </cell>
          <cell r="C257" t="str">
            <v>OVC</v>
          </cell>
          <cell r="D257">
            <v>20536</v>
          </cell>
        </row>
        <row r="258">
          <cell r="A258">
            <v>139931</v>
          </cell>
          <cell r="B258" t="str">
            <v>Ga. Southern</v>
          </cell>
          <cell r="C258" t="str">
            <v>Sun Belt</v>
          </cell>
          <cell r="D258">
            <v>20527</v>
          </cell>
        </row>
        <row r="259">
          <cell r="A259" t="e">
            <v>#N/A</v>
          </cell>
          <cell r="B259" t="str">
            <v>Tarleton St.</v>
          </cell>
          <cell r="C259" t="str">
            <v>WAC</v>
          </cell>
          <cell r="D259">
            <v>20333</v>
          </cell>
        </row>
        <row r="260">
          <cell r="A260">
            <v>218973</v>
          </cell>
          <cell r="B260" t="str">
            <v>Wofford</v>
          </cell>
          <cell r="C260" t="str">
            <v>SoCon</v>
          </cell>
          <cell r="D260">
            <v>20284</v>
          </cell>
        </row>
        <row r="261">
          <cell r="A261">
            <v>228769</v>
          </cell>
          <cell r="B261" t="str">
            <v>UT Arlington</v>
          </cell>
          <cell r="C261" t="str">
            <v>WAC</v>
          </cell>
          <cell r="D261">
            <v>20279</v>
          </cell>
        </row>
        <row r="262">
          <cell r="A262" t="e">
            <v>#N/A</v>
          </cell>
          <cell r="B262" t="str">
            <v>UC San Diego</v>
          </cell>
          <cell r="C262" t="str">
            <v>Big West</v>
          </cell>
          <cell r="D262">
            <v>20256</v>
          </cell>
        </row>
        <row r="263">
          <cell r="A263">
            <v>213385</v>
          </cell>
          <cell r="B263" t="str">
            <v>Lafayette</v>
          </cell>
          <cell r="C263" t="str">
            <v>Patriot</v>
          </cell>
          <cell r="D263">
            <v>20094</v>
          </cell>
        </row>
        <row r="264">
          <cell r="A264">
            <v>186283</v>
          </cell>
          <cell r="B264" t="str">
            <v>Rider</v>
          </cell>
          <cell r="C264" t="str">
            <v>MAAC</v>
          </cell>
          <cell r="D264">
            <v>19876</v>
          </cell>
        </row>
        <row r="265">
          <cell r="A265">
            <v>199148</v>
          </cell>
          <cell r="B265" t="str">
            <v>UNC Greensboro</v>
          </cell>
          <cell r="C265" t="str">
            <v>SoCon</v>
          </cell>
          <cell r="D265">
            <v>19739</v>
          </cell>
        </row>
        <row r="266">
          <cell r="A266">
            <v>234085</v>
          </cell>
          <cell r="B266" t="str">
            <v>VMI</v>
          </cell>
          <cell r="C266" t="str">
            <v>SoCon</v>
          </cell>
          <cell r="D266">
            <v>19718</v>
          </cell>
        </row>
        <row r="267">
          <cell r="A267">
            <v>232566</v>
          </cell>
          <cell r="B267" t="str">
            <v>Longwood</v>
          </cell>
          <cell r="C267" t="str">
            <v>Big South</v>
          </cell>
          <cell r="D267">
            <v>19716</v>
          </cell>
        </row>
        <row r="268">
          <cell r="A268">
            <v>233277</v>
          </cell>
          <cell r="B268" t="str">
            <v>Radford</v>
          </cell>
          <cell r="C268" t="str">
            <v>Big South</v>
          </cell>
          <cell r="D268">
            <v>19620</v>
          </cell>
        </row>
        <row r="269">
          <cell r="A269" t="e">
            <v>#N/A</v>
          </cell>
          <cell r="B269" t="str">
            <v>Merrimack</v>
          </cell>
          <cell r="C269" t="str">
            <v>NEC</v>
          </cell>
          <cell r="D269">
            <v>19510</v>
          </cell>
        </row>
        <row r="270">
          <cell r="A270">
            <v>221847</v>
          </cell>
          <cell r="B270" t="str">
            <v>Tennessee Tech</v>
          </cell>
          <cell r="C270" t="str">
            <v>OVC</v>
          </cell>
          <cell r="D270">
            <v>19446</v>
          </cell>
        </row>
        <row r="271">
          <cell r="A271">
            <v>117946</v>
          </cell>
          <cell r="B271" t="str">
            <v>LMU (CA)</v>
          </cell>
          <cell r="C271" t="str">
            <v>WCC</v>
          </cell>
          <cell r="D271">
            <v>19220</v>
          </cell>
        </row>
        <row r="272">
          <cell r="A272">
            <v>199111</v>
          </cell>
          <cell r="B272" t="str">
            <v>UNC Asheville</v>
          </cell>
          <cell r="C272" t="str">
            <v>Big South</v>
          </cell>
          <cell r="D272">
            <v>19156</v>
          </cell>
        </row>
        <row r="273">
          <cell r="A273">
            <v>133951</v>
          </cell>
          <cell r="B273" t="str">
            <v>FIU</v>
          </cell>
          <cell r="C273" t="str">
            <v>CUSA</v>
          </cell>
          <cell r="D273">
            <v>19094</v>
          </cell>
        </row>
        <row r="274">
          <cell r="A274">
            <v>229027</v>
          </cell>
          <cell r="B274" t="str">
            <v>UTSA</v>
          </cell>
          <cell r="C274" t="str">
            <v>CUSA</v>
          </cell>
          <cell r="D274">
            <v>18917</v>
          </cell>
        </row>
        <row r="275">
          <cell r="A275">
            <v>160038</v>
          </cell>
          <cell r="B275" t="str">
            <v>Northwestern St.</v>
          </cell>
          <cell r="C275" t="str">
            <v>Southland</v>
          </cell>
          <cell r="D275">
            <v>18812</v>
          </cell>
        </row>
        <row r="276">
          <cell r="A276">
            <v>106704</v>
          </cell>
          <cell r="B276" t="str">
            <v>Central Ark.</v>
          </cell>
          <cell r="C276" t="str">
            <v>ASUN</v>
          </cell>
          <cell r="D276">
            <v>18671</v>
          </cell>
        </row>
        <row r="277">
          <cell r="A277" t="e">
            <v>#N/A</v>
          </cell>
          <cell r="B277" t="str">
            <v>Lindenwood</v>
          </cell>
          <cell r="C277" t="str">
            <v>OVC</v>
          </cell>
          <cell r="D277">
            <v>18574</v>
          </cell>
        </row>
        <row r="278">
          <cell r="A278">
            <v>101879</v>
          </cell>
          <cell r="B278" t="str">
            <v>North Ala.</v>
          </cell>
          <cell r="C278" t="str">
            <v>ASUN</v>
          </cell>
          <cell r="D278">
            <v>18299</v>
          </cell>
        </row>
        <row r="279">
          <cell r="A279">
            <v>198136</v>
          </cell>
          <cell r="B279" t="str">
            <v>Campbell</v>
          </cell>
          <cell r="C279" t="str">
            <v>Big South</v>
          </cell>
          <cell r="D279">
            <v>18239</v>
          </cell>
        </row>
        <row r="280">
          <cell r="A280">
            <v>142276</v>
          </cell>
          <cell r="B280" t="str">
            <v>Idaho St.</v>
          </cell>
          <cell r="C280" t="str">
            <v>Big Sky</v>
          </cell>
          <cell r="D280">
            <v>18043</v>
          </cell>
        </row>
        <row r="281">
          <cell r="A281">
            <v>160755</v>
          </cell>
          <cell r="B281" t="str">
            <v>Tulane</v>
          </cell>
          <cell r="C281" t="str">
            <v>The American</v>
          </cell>
          <cell r="D281">
            <v>17815</v>
          </cell>
        </row>
        <row r="282">
          <cell r="A282" t="e">
            <v>#N/A</v>
          </cell>
          <cell r="B282" t="str">
            <v>St. Thomas (MN)</v>
          </cell>
          <cell r="C282" t="str">
            <v>Summit League</v>
          </cell>
          <cell r="D282">
            <v>17696</v>
          </cell>
        </row>
        <row r="283">
          <cell r="A283">
            <v>133650</v>
          </cell>
          <cell r="B283" t="str">
            <v>Florida A&amp;M</v>
          </cell>
          <cell r="C283" t="str">
            <v>SWAC</v>
          </cell>
          <cell r="D283">
            <v>17568</v>
          </cell>
        </row>
        <row r="284">
          <cell r="A284">
            <v>110644</v>
          </cell>
          <cell r="B284" t="str">
            <v>UC Davis</v>
          </cell>
          <cell r="C284" t="str">
            <v>Big West</v>
          </cell>
          <cell r="D284">
            <v>17477</v>
          </cell>
        </row>
        <row r="285">
          <cell r="A285">
            <v>110486</v>
          </cell>
          <cell r="B285" t="str">
            <v>CSU Bakersfield</v>
          </cell>
          <cell r="C285" t="str">
            <v>Big West</v>
          </cell>
          <cell r="D285">
            <v>17454</v>
          </cell>
        </row>
        <row r="286">
          <cell r="A286">
            <v>149231</v>
          </cell>
          <cell r="B286" t="str">
            <v>SIUE</v>
          </cell>
          <cell r="C286" t="str">
            <v>OVC</v>
          </cell>
          <cell r="D286">
            <v>17423</v>
          </cell>
        </row>
        <row r="287">
          <cell r="A287">
            <v>127741</v>
          </cell>
          <cell r="B287" t="str">
            <v>Northern Colo.</v>
          </cell>
          <cell r="C287" t="str">
            <v>Big Sky</v>
          </cell>
          <cell r="D287">
            <v>17373</v>
          </cell>
        </row>
        <row r="288">
          <cell r="A288">
            <v>166027</v>
          </cell>
          <cell r="B288" t="str">
            <v>Harvard</v>
          </cell>
          <cell r="C288" t="str">
            <v>Ivy League</v>
          </cell>
          <cell r="D288">
            <v>17306</v>
          </cell>
        </row>
        <row r="289">
          <cell r="A289">
            <v>215655</v>
          </cell>
          <cell r="B289" t="str">
            <v>Robert Morris</v>
          </cell>
          <cell r="C289" t="str">
            <v>Horizon</v>
          </cell>
          <cell r="D289">
            <v>17160</v>
          </cell>
        </row>
        <row r="290">
          <cell r="A290">
            <v>166124</v>
          </cell>
          <cell r="B290" t="str">
            <v>Holy Cross</v>
          </cell>
          <cell r="C290" t="str">
            <v>Patriot</v>
          </cell>
          <cell r="D290">
            <v>17047</v>
          </cell>
        </row>
        <row r="291">
          <cell r="A291">
            <v>130226</v>
          </cell>
          <cell r="B291" t="str">
            <v>Quinnipiac</v>
          </cell>
          <cell r="C291" t="str">
            <v>MAAC</v>
          </cell>
          <cell r="D291">
            <v>16756</v>
          </cell>
        </row>
        <row r="292">
          <cell r="A292">
            <v>211291</v>
          </cell>
          <cell r="B292" t="str">
            <v>Bucknell</v>
          </cell>
          <cell r="C292" t="str">
            <v>Patriot</v>
          </cell>
          <cell r="D292">
            <v>16452</v>
          </cell>
        </row>
        <row r="293">
          <cell r="A293">
            <v>236595</v>
          </cell>
          <cell r="B293" t="str">
            <v>Seattle U</v>
          </cell>
          <cell r="C293" t="str">
            <v>WAC</v>
          </cell>
          <cell r="D293">
            <v>16279</v>
          </cell>
        </row>
        <row r="294">
          <cell r="A294">
            <v>163453</v>
          </cell>
          <cell r="B294" t="str">
            <v>Morgan St.</v>
          </cell>
          <cell r="C294" t="str">
            <v>MEAC</v>
          </cell>
          <cell r="D294">
            <v>15776</v>
          </cell>
        </row>
        <row r="295">
          <cell r="A295">
            <v>218964</v>
          </cell>
          <cell r="B295" t="str">
            <v>Winthrop</v>
          </cell>
          <cell r="C295" t="str">
            <v>Big South</v>
          </cell>
          <cell r="D295">
            <v>15692</v>
          </cell>
        </row>
        <row r="296">
          <cell r="A296">
            <v>192819</v>
          </cell>
          <cell r="B296" t="str">
            <v>Marist</v>
          </cell>
          <cell r="C296" t="str">
            <v>MAAC</v>
          </cell>
          <cell r="D296">
            <v>15553</v>
          </cell>
        </row>
        <row r="297">
          <cell r="A297">
            <v>159939</v>
          </cell>
          <cell r="B297" t="str">
            <v>New Orleans</v>
          </cell>
          <cell r="C297" t="str">
            <v>Southland</v>
          </cell>
          <cell r="D297">
            <v>15323</v>
          </cell>
        </row>
        <row r="298">
          <cell r="A298">
            <v>166513</v>
          </cell>
          <cell r="B298" t="str">
            <v>UMass Lowell</v>
          </cell>
          <cell r="C298" t="str">
            <v>America East</v>
          </cell>
          <cell r="D298">
            <v>15289</v>
          </cell>
        </row>
        <row r="299">
          <cell r="A299">
            <v>190099</v>
          </cell>
          <cell r="B299" t="str">
            <v>Colgate</v>
          </cell>
          <cell r="C299" t="str">
            <v>Patriot</v>
          </cell>
          <cell r="D299">
            <v>15288</v>
          </cell>
        </row>
        <row r="300">
          <cell r="A300">
            <v>176044</v>
          </cell>
          <cell r="B300" t="str">
            <v>Mississippi Val.</v>
          </cell>
          <cell r="C300" t="str">
            <v>SWAC</v>
          </cell>
          <cell r="D300">
            <v>15247</v>
          </cell>
        </row>
        <row r="301">
          <cell r="A301">
            <v>190150</v>
          </cell>
          <cell r="B301" t="str">
            <v>Columbia</v>
          </cell>
          <cell r="C301" t="str">
            <v>Ivy League</v>
          </cell>
          <cell r="D301">
            <v>15058</v>
          </cell>
        </row>
        <row r="302">
          <cell r="A302">
            <v>151111</v>
          </cell>
          <cell r="B302" t="str">
            <v>IU Indy</v>
          </cell>
          <cell r="C302" t="str">
            <v>Horizon</v>
          </cell>
          <cell r="D302">
            <v>15040</v>
          </cell>
        </row>
        <row r="303">
          <cell r="A303">
            <v>175856</v>
          </cell>
          <cell r="B303" t="str">
            <v>Jackson St.</v>
          </cell>
          <cell r="C303" t="str">
            <v>SWAC</v>
          </cell>
          <cell r="D303">
            <v>15035</v>
          </cell>
        </row>
        <row r="304">
          <cell r="A304">
            <v>500001</v>
          </cell>
          <cell r="B304" t="str">
            <v>Army West Point</v>
          </cell>
          <cell r="C304" t="str">
            <v>Patriot</v>
          </cell>
          <cell r="D304">
            <v>14944</v>
          </cell>
        </row>
        <row r="305">
          <cell r="A305">
            <v>159009</v>
          </cell>
          <cell r="B305" t="str">
            <v>Grambling</v>
          </cell>
          <cell r="C305" t="str">
            <v>SWAC</v>
          </cell>
          <cell r="D305">
            <v>14912</v>
          </cell>
        </row>
        <row r="306">
          <cell r="A306">
            <v>121150</v>
          </cell>
          <cell r="B306" t="str">
            <v>Pepperdine</v>
          </cell>
          <cell r="C306" t="str">
            <v>WCC</v>
          </cell>
          <cell r="D306">
            <v>14868</v>
          </cell>
        </row>
        <row r="307">
          <cell r="A307">
            <v>131159</v>
          </cell>
          <cell r="B307" t="str">
            <v>American</v>
          </cell>
          <cell r="C307" t="str">
            <v>Patriot</v>
          </cell>
          <cell r="D307">
            <v>14150</v>
          </cell>
        </row>
        <row r="308">
          <cell r="A308">
            <v>209807</v>
          </cell>
          <cell r="B308" t="str">
            <v>Portland St.</v>
          </cell>
          <cell r="C308" t="str">
            <v>Big Sky</v>
          </cell>
          <cell r="D308">
            <v>14090</v>
          </cell>
        </row>
        <row r="309">
          <cell r="A309">
            <v>127060</v>
          </cell>
          <cell r="B309" t="str">
            <v>Denver</v>
          </cell>
          <cell r="C309" t="str">
            <v>Summit League</v>
          </cell>
          <cell r="D309">
            <v>14024</v>
          </cell>
        </row>
        <row r="310">
          <cell r="A310">
            <v>130794</v>
          </cell>
          <cell r="B310" t="str">
            <v>Yale</v>
          </cell>
          <cell r="C310" t="str">
            <v>Ivy League</v>
          </cell>
          <cell r="D310">
            <v>14016</v>
          </cell>
        </row>
        <row r="311">
          <cell r="A311">
            <v>196060</v>
          </cell>
          <cell r="B311" t="str">
            <v>UAlbany</v>
          </cell>
          <cell r="C311" t="str">
            <v>America East</v>
          </cell>
          <cell r="D311">
            <v>13719</v>
          </cell>
        </row>
        <row r="312">
          <cell r="A312">
            <v>213543</v>
          </cell>
          <cell r="B312" t="str">
            <v>Lehigh</v>
          </cell>
          <cell r="C312" t="str">
            <v>Patriot</v>
          </cell>
          <cell r="D312">
            <v>13574</v>
          </cell>
        </row>
        <row r="313">
          <cell r="A313">
            <v>193973</v>
          </cell>
          <cell r="B313" t="str">
            <v>Niagara</v>
          </cell>
          <cell r="C313" t="str">
            <v>MAAC</v>
          </cell>
          <cell r="D313">
            <v>13379</v>
          </cell>
        </row>
        <row r="314">
          <cell r="A314">
            <v>178402</v>
          </cell>
          <cell r="B314" t="str">
            <v>Kansas City</v>
          </cell>
          <cell r="C314" t="str">
            <v>Summit League</v>
          </cell>
          <cell r="D314">
            <v>13108</v>
          </cell>
        </row>
        <row r="315">
          <cell r="A315">
            <v>227526</v>
          </cell>
          <cell r="B315" t="str">
            <v>Prairie View</v>
          </cell>
          <cell r="C315" t="str">
            <v>SWAC</v>
          </cell>
          <cell r="D315">
            <v>12845</v>
          </cell>
        </row>
        <row r="316">
          <cell r="A316">
            <v>217165</v>
          </cell>
          <cell r="B316" t="str">
            <v>Bryant</v>
          </cell>
          <cell r="C316" t="str">
            <v>America East</v>
          </cell>
          <cell r="D316">
            <v>12813</v>
          </cell>
        </row>
        <row r="317">
          <cell r="A317">
            <v>192703</v>
          </cell>
          <cell r="B317" t="str">
            <v>Manhattan</v>
          </cell>
          <cell r="C317" t="str">
            <v>MAAC</v>
          </cell>
          <cell r="D317">
            <v>12327</v>
          </cell>
        </row>
        <row r="318">
          <cell r="A318">
            <v>130934</v>
          </cell>
          <cell r="B318" t="str">
            <v>Delaware St.</v>
          </cell>
          <cell r="C318" t="str">
            <v>MEAC</v>
          </cell>
          <cell r="D318">
            <v>12273</v>
          </cell>
        </row>
        <row r="319">
          <cell r="A319">
            <v>189705</v>
          </cell>
          <cell r="B319" t="str">
            <v>Canisius</v>
          </cell>
          <cell r="C319" t="str">
            <v>MAAC</v>
          </cell>
          <cell r="D319">
            <v>12130</v>
          </cell>
        </row>
        <row r="320">
          <cell r="A320">
            <v>110565</v>
          </cell>
          <cell r="B320" t="str">
            <v>Cal St. Fullerton</v>
          </cell>
          <cell r="C320" t="str">
            <v>Big West</v>
          </cell>
          <cell r="D320">
            <v>12063</v>
          </cell>
        </row>
        <row r="321">
          <cell r="A321">
            <v>160612</v>
          </cell>
          <cell r="B321" t="str">
            <v>Southeastern La.</v>
          </cell>
          <cell r="C321" t="str">
            <v>Southland</v>
          </cell>
          <cell r="D321">
            <v>12053</v>
          </cell>
        </row>
        <row r="322">
          <cell r="A322">
            <v>163046</v>
          </cell>
          <cell r="B322" t="str">
            <v>Loyola Maryland</v>
          </cell>
          <cell r="C322" t="str">
            <v>Patriot</v>
          </cell>
          <cell r="D322">
            <v>12026</v>
          </cell>
        </row>
        <row r="323">
          <cell r="A323">
            <v>232265</v>
          </cell>
          <cell r="B323" t="str">
            <v>Hampton</v>
          </cell>
          <cell r="C323" t="str">
            <v>CAA</v>
          </cell>
          <cell r="D323">
            <v>11692</v>
          </cell>
        </row>
        <row r="324">
          <cell r="A324">
            <v>134945</v>
          </cell>
          <cell r="B324" t="str">
            <v>Jacksonville</v>
          </cell>
          <cell r="C324" t="str">
            <v>ASUN</v>
          </cell>
          <cell r="D324">
            <v>11589</v>
          </cell>
        </row>
        <row r="325">
          <cell r="A325">
            <v>164988</v>
          </cell>
          <cell r="B325" t="str">
            <v>Boston U.</v>
          </cell>
          <cell r="C325" t="str">
            <v>Patriot</v>
          </cell>
          <cell r="D325">
            <v>11559</v>
          </cell>
        </row>
        <row r="326">
          <cell r="A326">
            <v>162283</v>
          </cell>
          <cell r="B326" t="str">
            <v>Coppin St.</v>
          </cell>
          <cell r="C326" t="str">
            <v>MEAC</v>
          </cell>
          <cell r="D326">
            <v>11445</v>
          </cell>
        </row>
        <row r="327">
          <cell r="A327">
            <v>167358</v>
          </cell>
          <cell r="B327" t="str">
            <v>Northeastern</v>
          </cell>
          <cell r="C327" t="str">
            <v>CAA</v>
          </cell>
          <cell r="D327">
            <v>11301</v>
          </cell>
        </row>
        <row r="328">
          <cell r="A328">
            <v>217156</v>
          </cell>
          <cell r="B328" t="str">
            <v>Brown</v>
          </cell>
          <cell r="C328" t="str">
            <v>Ivy League</v>
          </cell>
          <cell r="D328">
            <v>11087</v>
          </cell>
        </row>
        <row r="329">
          <cell r="A329">
            <v>128771</v>
          </cell>
          <cell r="B329" t="str">
            <v>Central Conn. St.</v>
          </cell>
          <cell r="C329" t="str">
            <v>NEC</v>
          </cell>
          <cell r="D329">
            <v>11060</v>
          </cell>
        </row>
        <row r="330">
          <cell r="A330">
            <v>163338</v>
          </cell>
          <cell r="B330" t="str">
            <v>UMES</v>
          </cell>
          <cell r="C330" t="str">
            <v>MEAC</v>
          </cell>
          <cell r="D330">
            <v>10988</v>
          </cell>
        </row>
        <row r="331">
          <cell r="A331">
            <v>147703</v>
          </cell>
          <cell r="B331" t="str">
            <v>NIU</v>
          </cell>
          <cell r="C331" t="str">
            <v>MAC</v>
          </cell>
          <cell r="D331">
            <v>10822</v>
          </cell>
        </row>
        <row r="332">
          <cell r="A332">
            <v>149772</v>
          </cell>
          <cell r="B332" t="str">
            <v>Western Ill.</v>
          </cell>
          <cell r="C332" t="str">
            <v>Summit League</v>
          </cell>
          <cell r="D332">
            <v>10778</v>
          </cell>
        </row>
        <row r="333">
          <cell r="A333">
            <v>190415</v>
          </cell>
          <cell r="B333" t="str">
            <v>Cornell</v>
          </cell>
          <cell r="C333" t="str">
            <v>Ivy League</v>
          </cell>
          <cell r="D333">
            <v>10682</v>
          </cell>
        </row>
        <row r="334">
          <cell r="A334">
            <v>225399</v>
          </cell>
          <cell r="B334" t="str">
            <v>Houston Christian</v>
          </cell>
          <cell r="C334" t="str">
            <v>Southland</v>
          </cell>
          <cell r="D334">
            <v>10442</v>
          </cell>
        </row>
        <row r="335">
          <cell r="A335">
            <v>184603</v>
          </cell>
          <cell r="B335" t="str">
            <v>FDU</v>
          </cell>
          <cell r="C335" t="str">
            <v>NEC</v>
          </cell>
          <cell r="D335">
            <v>10402</v>
          </cell>
        </row>
        <row r="336">
          <cell r="A336">
            <v>105330</v>
          </cell>
          <cell r="B336" t="str">
            <v>Northern Ariz.</v>
          </cell>
          <cell r="C336" t="str">
            <v>Big Sky</v>
          </cell>
          <cell r="D336">
            <v>10368</v>
          </cell>
        </row>
        <row r="337">
          <cell r="A337">
            <v>215743</v>
          </cell>
          <cell r="B337" t="str">
            <v>Saint Francis</v>
          </cell>
          <cell r="C337" t="str">
            <v>NEC</v>
          </cell>
          <cell r="D337">
            <v>10152</v>
          </cell>
        </row>
        <row r="338">
          <cell r="A338">
            <v>161253</v>
          </cell>
          <cell r="B338" t="str">
            <v>Maine</v>
          </cell>
          <cell r="C338" t="str">
            <v>America East</v>
          </cell>
          <cell r="D338">
            <v>10149</v>
          </cell>
        </row>
        <row r="339">
          <cell r="A339">
            <v>183044</v>
          </cell>
          <cell r="B339" t="str">
            <v>New Hampshire</v>
          </cell>
          <cell r="C339" t="str">
            <v>America East</v>
          </cell>
          <cell r="D339">
            <v>9798</v>
          </cell>
        </row>
        <row r="340">
          <cell r="A340">
            <v>110617</v>
          </cell>
          <cell r="B340" t="str">
            <v>Sacramento St.</v>
          </cell>
          <cell r="C340" t="str">
            <v>Big Sky</v>
          </cell>
          <cell r="D340">
            <v>9746</v>
          </cell>
        </row>
        <row r="341">
          <cell r="A341">
            <v>130253</v>
          </cell>
          <cell r="B341" t="str">
            <v>Sacred Heart</v>
          </cell>
          <cell r="C341" t="str">
            <v>NEC</v>
          </cell>
          <cell r="D341">
            <v>9528</v>
          </cell>
        </row>
        <row r="342">
          <cell r="A342">
            <v>197197</v>
          </cell>
          <cell r="B342" t="str">
            <v>Wagner</v>
          </cell>
          <cell r="C342" t="str">
            <v>NEC</v>
          </cell>
          <cell r="D342">
            <v>9195</v>
          </cell>
        </row>
        <row r="343">
          <cell r="A343">
            <v>110671</v>
          </cell>
          <cell r="B343" t="str">
            <v>UC Riverside</v>
          </cell>
          <cell r="C343" t="str">
            <v>Big West</v>
          </cell>
          <cell r="D343">
            <v>9180</v>
          </cell>
        </row>
        <row r="344">
          <cell r="A344">
            <v>217688</v>
          </cell>
          <cell r="B344" t="str">
            <v>Charleston So.</v>
          </cell>
          <cell r="C344" t="str">
            <v>Big South</v>
          </cell>
          <cell r="D344">
            <v>8972</v>
          </cell>
        </row>
        <row r="345">
          <cell r="A345">
            <v>132602</v>
          </cell>
          <cell r="B345" t="str">
            <v>Bethune-Cookman</v>
          </cell>
          <cell r="C345" t="str">
            <v>SWAC</v>
          </cell>
          <cell r="D345">
            <v>8948</v>
          </cell>
        </row>
        <row r="346">
          <cell r="A346" t="e">
            <v>#N/A</v>
          </cell>
          <cell r="B346" t="str">
            <v>Stonehill</v>
          </cell>
          <cell r="C346" t="str">
            <v>NEC</v>
          </cell>
          <cell r="D346">
            <v>8771</v>
          </cell>
        </row>
        <row r="347">
          <cell r="A347">
            <v>198561</v>
          </cell>
          <cell r="B347" t="str">
            <v>Gardner-Webb</v>
          </cell>
          <cell r="C347" t="str">
            <v>Big South</v>
          </cell>
          <cell r="D347">
            <v>8580</v>
          </cell>
        </row>
        <row r="348">
          <cell r="A348">
            <v>182670</v>
          </cell>
          <cell r="B348" t="str">
            <v>Dartmouth</v>
          </cell>
          <cell r="C348" t="str">
            <v>Ivy League</v>
          </cell>
          <cell r="D348">
            <v>8313</v>
          </cell>
        </row>
        <row r="349">
          <cell r="A349">
            <v>159966</v>
          </cell>
          <cell r="B349" t="str">
            <v>Nicholls</v>
          </cell>
          <cell r="C349" t="str">
            <v>Southland</v>
          </cell>
          <cell r="D349">
            <v>8157</v>
          </cell>
        </row>
        <row r="350">
          <cell r="A350">
            <v>186432</v>
          </cell>
          <cell r="B350" t="str">
            <v>Saint Peter's</v>
          </cell>
          <cell r="C350" t="str">
            <v>MAAC</v>
          </cell>
          <cell r="D350">
            <v>8028</v>
          </cell>
        </row>
        <row r="351">
          <cell r="A351">
            <v>137546</v>
          </cell>
          <cell r="B351" t="str">
            <v>Stetson</v>
          </cell>
          <cell r="C351" t="str">
            <v>ASUN</v>
          </cell>
          <cell r="D351">
            <v>7741</v>
          </cell>
        </row>
        <row r="352">
          <cell r="A352" t="e">
            <v>#N/A</v>
          </cell>
          <cell r="B352" t="str">
            <v>Queens (NC)</v>
          </cell>
          <cell r="C352" t="str">
            <v>ASUN</v>
          </cell>
          <cell r="D352">
            <v>7578</v>
          </cell>
        </row>
        <row r="353">
          <cell r="A353">
            <v>100724</v>
          </cell>
          <cell r="B353" t="str">
            <v>Alabama St.</v>
          </cell>
          <cell r="C353" t="str">
            <v>SWAC</v>
          </cell>
          <cell r="D353">
            <v>7441</v>
          </cell>
        </row>
        <row r="354">
          <cell r="A354">
            <v>218742</v>
          </cell>
          <cell r="B354" t="str">
            <v>USC Upstate</v>
          </cell>
          <cell r="C354" t="str">
            <v>Big South</v>
          </cell>
          <cell r="D354">
            <v>6287</v>
          </cell>
        </row>
        <row r="355">
          <cell r="A355">
            <v>110608</v>
          </cell>
          <cell r="B355" t="str">
            <v>CSUN</v>
          </cell>
          <cell r="C355" t="str">
            <v>Big West</v>
          </cell>
          <cell r="D355">
            <v>5976</v>
          </cell>
        </row>
        <row r="356">
          <cell r="A356">
            <v>218539</v>
          </cell>
          <cell r="B356" t="str">
            <v>Presbyterian</v>
          </cell>
          <cell r="C356" t="str">
            <v>Big South</v>
          </cell>
          <cell r="D356">
            <v>5919</v>
          </cell>
        </row>
        <row r="357">
          <cell r="A357">
            <v>185828</v>
          </cell>
          <cell r="B357" t="str">
            <v>NJIT</v>
          </cell>
          <cell r="C357" t="str">
            <v>America East</v>
          </cell>
          <cell r="D357">
            <v>5810</v>
          </cell>
        </row>
        <row r="358">
          <cell r="A358">
            <v>129525</v>
          </cell>
          <cell r="B358" t="str">
            <v>Hartford</v>
          </cell>
          <cell r="C358" t="str">
            <v>DI Independent</v>
          </cell>
          <cell r="D358">
            <v>5207</v>
          </cell>
        </row>
        <row r="359">
          <cell r="A359">
            <v>218733</v>
          </cell>
          <cell r="B359" t="str">
            <v>South Carolina St.</v>
          </cell>
          <cell r="C359" t="str">
            <v>MEAC</v>
          </cell>
          <cell r="D359">
            <v>5196</v>
          </cell>
        </row>
        <row r="360">
          <cell r="A360">
            <v>225627</v>
          </cell>
          <cell r="B360" t="str">
            <v>UIW</v>
          </cell>
          <cell r="C360" t="str">
            <v>Southland</v>
          </cell>
          <cell r="D360">
            <v>4919</v>
          </cell>
        </row>
        <row r="361">
          <cell r="A361">
            <v>192448</v>
          </cell>
          <cell r="B361" t="str">
            <v>LIU</v>
          </cell>
          <cell r="C361" t="str">
            <v>NEC</v>
          </cell>
          <cell r="D361">
            <v>4157</v>
          </cell>
        </row>
        <row r="362">
          <cell r="A362" t="e">
            <v>#N/A</v>
          </cell>
          <cell r="B362" t="str">
            <v>East Texas A&amp;M</v>
          </cell>
          <cell r="C362" t="str">
            <v>Southland</v>
          </cell>
          <cell r="D362">
            <v>3872</v>
          </cell>
        </row>
        <row r="363">
          <cell r="A363">
            <v>195173</v>
          </cell>
          <cell r="B363" t="str">
            <v>St. Francis Brooklyn</v>
          </cell>
          <cell r="C363" t="str">
            <v>NEC</v>
          </cell>
          <cell r="D363">
            <v>3324</v>
          </cell>
        </row>
        <row r="364">
          <cell r="A364">
            <v>144005</v>
          </cell>
          <cell r="B364" t="str">
            <v>Chicago St.</v>
          </cell>
          <cell r="C364" t="str">
            <v>DI Independent</v>
          </cell>
          <cell r="D364">
            <v>1279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6D3D-DB33-4D3B-9A35-91AF3BE5ED9A}">
  <sheetPr>
    <tabColor rgb="FFC00000"/>
  </sheetPr>
  <dimension ref="A1:K57"/>
  <sheetViews>
    <sheetView tabSelected="1" workbookViewId="0"/>
  </sheetViews>
  <sheetFormatPr baseColWidth="10" defaultColWidth="8.83203125" defaultRowHeight="15" x14ac:dyDescent="0.2"/>
  <cols>
    <col min="1" max="1" width="4.33203125" bestFit="1" customWidth="1"/>
    <col min="2" max="2" width="17.1640625" customWidth="1"/>
    <col min="3" max="3" width="8.6640625" customWidth="1"/>
    <col min="4" max="4" width="5.1640625" customWidth="1"/>
    <col min="5" max="5" width="15.5" bestFit="1" customWidth="1"/>
    <col min="6" max="6" width="19" bestFit="1" customWidth="1"/>
    <col min="7" max="7" width="14.1640625" bestFit="1" customWidth="1"/>
    <col min="8" max="8" width="17.83203125" bestFit="1" customWidth="1"/>
    <col min="9" max="9" width="13.83203125" bestFit="1" customWidth="1"/>
    <col min="10" max="10" width="17.5" bestFit="1" customWidth="1"/>
    <col min="11" max="11" width="14.33203125" bestFit="1" customWidth="1"/>
    <col min="12" max="12" width="10.33203125" bestFit="1" customWidth="1"/>
    <col min="13" max="13" width="6.5" bestFit="1" customWidth="1"/>
    <col min="14" max="14" width="6.6640625" bestFit="1" customWidth="1"/>
    <col min="15" max="15" width="10.1640625" bestFit="1" customWidth="1"/>
    <col min="16" max="16" width="10.33203125" bestFit="1" customWidth="1"/>
    <col min="17" max="17" width="13.33203125" bestFit="1" customWidth="1"/>
    <col min="18" max="18" width="13.5" bestFit="1" customWidth="1"/>
    <col min="19" max="19" width="10.1640625" bestFit="1" customWidth="1"/>
    <col min="20" max="20" width="10.33203125" bestFit="1" customWidth="1"/>
  </cols>
  <sheetData>
    <row r="1" spans="1:11" x14ac:dyDescent="0.2">
      <c r="A1" s="5" t="s">
        <v>270</v>
      </c>
      <c r="B1" s="5" t="s">
        <v>17</v>
      </c>
      <c r="C1" s="5" t="s">
        <v>15</v>
      </c>
      <c r="D1" s="5" t="s">
        <v>16</v>
      </c>
      <c r="E1" t="s">
        <v>275</v>
      </c>
      <c r="F1" t="s">
        <v>276</v>
      </c>
      <c r="G1" t="s">
        <v>284</v>
      </c>
      <c r="H1" t="s">
        <v>285</v>
      </c>
      <c r="I1" t="s">
        <v>286</v>
      </c>
      <c r="J1" t="s">
        <v>287</v>
      </c>
      <c r="K1" t="s">
        <v>274</v>
      </c>
    </row>
    <row r="2" spans="1:11" x14ac:dyDescent="0.2">
      <c r="A2" s="7">
        <v>2</v>
      </c>
      <c r="B2" s="8" t="s">
        <v>45</v>
      </c>
      <c r="C2">
        <v>104179</v>
      </c>
      <c r="D2">
        <v>2017</v>
      </c>
      <c r="E2">
        <v>2934038</v>
      </c>
      <c r="F2">
        <f>E2/VLOOKUP($D2,CPI!$P$16:$R$22,3,FALSE)</f>
        <v>3623594.0312705413</v>
      </c>
      <c r="G2">
        <v>9900132</v>
      </c>
      <c r="H2">
        <f>G2/VLOOKUP($D2,CPI!$P$16:$R$22,3,FALSE)</f>
        <v>12226855.693072308</v>
      </c>
      <c r="I2">
        <v>1469240</v>
      </c>
      <c r="J2">
        <f>I2/VLOOKUP($D2,CPI!$P$16:$R$22,3,FALSE)</f>
        <v>1814539.9938596331</v>
      </c>
      <c r="K2">
        <f>VLOOKUP(C2,Total!A:O,8,FALSE)</f>
        <v>551769</v>
      </c>
    </row>
    <row r="3" spans="1:11" x14ac:dyDescent="0.2">
      <c r="A3">
        <f>IF(ISBLANK(A$2),"",$A$2)</f>
        <v>2</v>
      </c>
      <c r="B3" t="str">
        <f t="shared" ref="B3:B8" si="0">B2</f>
        <v>Arizona</v>
      </c>
      <c r="C3">
        <v>104179</v>
      </c>
      <c r="D3">
        <f>IF(D2=2023,2017,D2+1)</f>
        <v>2018</v>
      </c>
      <c r="E3" s="6">
        <v>2433487</v>
      </c>
      <c r="F3">
        <f>E3/VLOOKUP($D3,CPI!$P$16:$R$22,3,FALSE)</f>
        <v>2939154.9790771632</v>
      </c>
      <c r="G3" s="6">
        <v>8865761</v>
      </c>
      <c r="H3">
        <f>G3/VLOOKUP($D3,CPI!$P$16:$R$22,3,FALSE)</f>
        <v>10708027.446400218</v>
      </c>
      <c r="I3" s="6">
        <v>1620431</v>
      </c>
      <c r="J3">
        <f>I3/VLOOKUP($D3,CPI!$P$16:$R$22,3,FALSE)</f>
        <v>1957149.490381903</v>
      </c>
      <c r="K3">
        <f>VLOOKUP(C3,Total!A:O,9,FALSE)</f>
        <v>455423</v>
      </c>
    </row>
    <row r="4" spans="1:11" x14ac:dyDescent="0.2">
      <c r="A4">
        <f t="shared" ref="A4:A57" si="1">IF(ISBLANK(A$2),"",$A$2)</f>
        <v>2</v>
      </c>
      <c r="B4" t="str">
        <f t="shared" si="0"/>
        <v>Arizona</v>
      </c>
      <c r="C4">
        <v>104179</v>
      </c>
      <c r="D4">
        <f t="shared" ref="D4:D29" si="2">IF(D3=2023,2017,D3+1)</f>
        <v>2019</v>
      </c>
      <c r="E4" s="6">
        <v>2110407</v>
      </c>
      <c r="F4">
        <f>E4/VLOOKUP($D4,CPI!$P$16:$R$22,3,FALSE)</f>
        <v>2497185.3072865359</v>
      </c>
      <c r="G4" s="6">
        <v>8763036</v>
      </c>
      <c r="H4">
        <f>G4/VLOOKUP($D4,CPI!$P$16:$R$22,3,FALSE)</f>
        <v>10369054.284990041</v>
      </c>
      <c r="I4" s="6">
        <v>1501762</v>
      </c>
      <c r="J4">
        <f>I4/VLOOKUP($D4,CPI!$P$16:$R$22,3,FALSE)</f>
        <v>1776992.7798008833</v>
      </c>
      <c r="K4">
        <f>VLOOKUP(C4,Total!A:O,10,FALSE)</f>
        <v>522517</v>
      </c>
    </row>
    <row r="5" spans="1:11" x14ac:dyDescent="0.2">
      <c r="A5">
        <f t="shared" si="1"/>
        <v>2</v>
      </c>
      <c r="B5" t="str">
        <f t="shared" si="0"/>
        <v>Arizona</v>
      </c>
      <c r="C5">
        <v>104179</v>
      </c>
      <c r="D5">
        <f t="shared" si="2"/>
        <v>2020</v>
      </c>
      <c r="E5" s="6">
        <v>1876754</v>
      </c>
      <c r="F5">
        <f>E5/VLOOKUP($D5,CPI!$P$16:$R$22,3,FALSE)</f>
        <v>2186509.9749912531</v>
      </c>
      <c r="G5" s="6">
        <v>8370957</v>
      </c>
      <c r="H5">
        <f>G5/VLOOKUP($D5,CPI!$P$16:$R$22,3,FALSE)</f>
        <v>9752573.3158010356</v>
      </c>
      <c r="I5" s="6">
        <v>1482270</v>
      </c>
      <c r="J5">
        <f>I5/VLOOKUP($D5,CPI!$P$16:$R$22,3,FALSE)</f>
        <v>1726916.8685028963</v>
      </c>
      <c r="K5">
        <f>VLOOKUP(C5,Total!A:O,11,FALSE)</f>
        <v>441655</v>
      </c>
    </row>
    <row r="6" spans="1:11" x14ac:dyDescent="0.2">
      <c r="A6">
        <f t="shared" si="1"/>
        <v>2</v>
      </c>
      <c r="B6" t="str">
        <f t="shared" si="0"/>
        <v>Arizona</v>
      </c>
      <c r="C6">
        <v>104179</v>
      </c>
      <c r="D6">
        <f t="shared" si="2"/>
        <v>2021</v>
      </c>
      <c r="E6" s="6">
        <v>563251</v>
      </c>
      <c r="F6">
        <f>E6/VLOOKUP($D6,CPI!$P$16:$R$22,3,FALSE)</f>
        <v>641451.02350366069</v>
      </c>
      <c r="G6" s="6">
        <v>6874440</v>
      </c>
      <c r="H6">
        <f>G6/VLOOKUP($D6,CPI!$P$16:$R$22,3,FALSE)</f>
        <v>7828865.947889138</v>
      </c>
      <c r="I6" s="6">
        <v>369632</v>
      </c>
      <c r="J6">
        <f>I6/VLOOKUP($D6,CPI!$P$16:$R$22,3,FALSE)</f>
        <v>420950.56150757853</v>
      </c>
      <c r="K6">
        <f>VLOOKUP(C6,Total!A:O,12,FALSE)</f>
        <v>106443</v>
      </c>
    </row>
    <row r="7" spans="1:11" x14ac:dyDescent="0.2">
      <c r="A7">
        <f t="shared" si="1"/>
        <v>2</v>
      </c>
      <c r="B7" t="str">
        <f t="shared" si="0"/>
        <v>Arizona</v>
      </c>
      <c r="C7">
        <v>104179</v>
      </c>
      <c r="D7">
        <f t="shared" si="2"/>
        <v>2022</v>
      </c>
      <c r="E7" s="6">
        <v>2456996</v>
      </c>
      <c r="F7">
        <f>E7/VLOOKUP($D7,CPI!$P$16:$R$22,3,FALSE)</f>
        <v>2610853.9128020573</v>
      </c>
      <c r="G7" s="6">
        <v>9512261</v>
      </c>
      <c r="H7">
        <f>G7/VLOOKUP($D7,CPI!$P$16:$R$22,3,FALSE)</f>
        <v>10107921.971156815</v>
      </c>
      <c r="I7" s="6">
        <v>1608565</v>
      </c>
      <c r="J7">
        <f>I7/VLOOKUP($D7,CPI!$P$16:$R$22,3,FALSE)</f>
        <v>1709293.8792926164</v>
      </c>
      <c r="K7">
        <f>VLOOKUP(C7,Total!A:O,13,FALSE)</f>
        <v>514933</v>
      </c>
    </row>
    <row r="8" spans="1:11" x14ac:dyDescent="0.2">
      <c r="A8">
        <f t="shared" si="1"/>
        <v>2</v>
      </c>
      <c r="B8" t="str">
        <f t="shared" si="0"/>
        <v>Arizona</v>
      </c>
      <c r="C8">
        <v>104179</v>
      </c>
      <c r="D8">
        <f t="shared" si="2"/>
        <v>2023</v>
      </c>
      <c r="E8" s="6">
        <v>3656522</v>
      </c>
      <c r="F8">
        <f>E8/VLOOKUP($D8,CPI!$P$16:$R$22,3,FALSE)</f>
        <v>3656522</v>
      </c>
      <c r="G8" s="6">
        <v>12468828</v>
      </c>
      <c r="H8">
        <f>G8/VLOOKUP($D8,CPI!$P$16:$R$22,3,FALSE)</f>
        <v>12468828</v>
      </c>
      <c r="I8" s="6">
        <v>1769772</v>
      </c>
      <c r="J8">
        <f>I8/VLOOKUP($D8,CPI!$P$16:$R$22,3,FALSE)</f>
        <v>1769772</v>
      </c>
      <c r="K8">
        <f>VLOOKUP(C8,Total!A:O,14,FALSE)</f>
        <v>515674</v>
      </c>
    </row>
    <row r="9" spans="1:11" x14ac:dyDescent="0.2">
      <c r="A9">
        <f t="shared" si="1"/>
        <v>2</v>
      </c>
      <c r="B9" s="8" t="s">
        <v>63</v>
      </c>
      <c r="C9">
        <v>110635</v>
      </c>
      <c r="D9">
        <f t="shared" si="2"/>
        <v>2017</v>
      </c>
      <c r="E9" s="6">
        <v>835280</v>
      </c>
      <c r="F9">
        <f>E9/VLOOKUP($D9,CPI!$P$16:$R$22,3,FALSE)</f>
        <v>1031587.0559412175</v>
      </c>
      <c r="G9" s="6">
        <v>12847555</v>
      </c>
      <c r="H9">
        <f>G9/VLOOKUP($D9,CPI!$P$16:$R$22,3,FALSE)</f>
        <v>15866980.459837262</v>
      </c>
      <c r="I9" s="6">
        <v>4075181</v>
      </c>
      <c r="J9">
        <f>I9/VLOOKUP($D9,CPI!$P$16:$R$22,3,FALSE)</f>
        <v>5032927.8448156146</v>
      </c>
      <c r="K9">
        <f>VLOOKUP(C9,Total!A:O,8,FALSE)</f>
        <v>370402</v>
      </c>
    </row>
    <row r="10" spans="1:11" x14ac:dyDescent="0.2">
      <c r="A10">
        <f t="shared" si="1"/>
        <v>2</v>
      </c>
      <c r="B10" t="str">
        <f t="shared" ref="B10:B15" si="3">B9</f>
        <v>California</v>
      </c>
      <c r="C10">
        <v>110635</v>
      </c>
      <c r="D10">
        <f t="shared" si="2"/>
        <v>2018</v>
      </c>
      <c r="E10" s="6">
        <v>662604</v>
      </c>
      <c r="F10">
        <f>E10/VLOOKUP($D10,CPI!$P$16:$R$22,3,FALSE)</f>
        <v>800290.21965453052</v>
      </c>
      <c r="G10" s="6">
        <v>21490730</v>
      </c>
      <c r="H10">
        <f>G10/VLOOKUP($D10,CPI!$P$16:$R$22,3,FALSE)</f>
        <v>25956409.910347972</v>
      </c>
      <c r="I10" s="6">
        <v>3922991</v>
      </c>
      <c r="J10">
        <f>I10/VLOOKUP($D10,CPI!$P$16:$R$22,3,FALSE)</f>
        <v>4738171.4102129573</v>
      </c>
      <c r="K10">
        <f>VLOOKUP(C10,Total!A:O,9,FALSE)</f>
        <v>303448</v>
      </c>
    </row>
    <row r="11" spans="1:11" x14ac:dyDescent="0.2">
      <c r="A11">
        <f t="shared" si="1"/>
        <v>2</v>
      </c>
      <c r="B11" t="str">
        <f t="shared" si="3"/>
        <v>California</v>
      </c>
      <c r="C11">
        <v>110635</v>
      </c>
      <c r="D11">
        <f t="shared" si="2"/>
        <v>2019</v>
      </c>
      <c r="E11" s="6">
        <v>867441</v>
      </c>
      <c r="F11">
        <f>E11/VLOOKUP($D11,CPI!$P$16:$R$22,3,FALSE)</f>
        <v>1026418.56293025</v>
      </c>
      <c r="G11" s="6">
        <v>17201102</v>
      </c>
      <c r="H11">
        <f>G11/VLOOKUP($D11,CPI!$P$16:$R$22,3,FALSE)</f>
        <v>20353580.699617207</v>
      </c>
      <c r="I11" s="6">
        <v>4802534</v>
      </c>
      <c r="J11">
        <f>I11/VLOOKUP($D11,CPI!$P$16:$R$22,3,FALSE)</f>
        <v>5682703.5460667238</v>
      </c>
      <c r="K11">
        <f>VLOOKUP(C11,Total!A:O,10,FALSE)</f>
        <v>376515</v>
      </c>
    </row>
    <row r="12" spans="1:11" x14ac:dyDescent="0.2">
      <c r="A12">
        <f t="shared" si="1"/>
        <v>2</v>
      </c>
      <c r="B12" t="str">
        <f t="shared" si="3"/>
        <v>California</v>
      </c>
      <c r="C12">
        <v>110635</v>
      </c>
      <c r="D12">
        <f t="shared" si="2"/>
        <v>2020</v>
      </c>
      <c r="E12" s="6">
        <v>812075</v>
      </c>
      <c r="F12">
        <f>E12/VLOOKUP($D12,CPI!$P$16:$R$22,3,FALSE)</f>
        <v>946106.99534463324</v>
      </c>
      <c r="G12" s="6">
        <v>17907314</v>
      </c>
      <c r="H12">
        <f>G12/VLOOKUP($D12,CPI!$P$16:$R$22,3,FALSE)</f>
        <v>20862894.490327723</v>
      </c>
      <c r="I12" s="6">
        <v>4446741</v>
      </c>
      <c r="J12">
        <f>I12/VLOOKUP($D12,CPI!$P$16:$R$22,3,FALSE)</f>
        <v>5180670.2171422467</v>
      </c>
      <c r="K12">
        <f>VLOOKUP(C12,Total!A:O,11,FALSE)</f>
        <v>310066</v>
      </c>
    </row>
    <row r="13" spans="1:11" x14ac:dyDescent="0.2">
      <c r="A13">
        <f t="shared" si="1"/>
        <v>2</v>
      </c>
      <c r="B13" t="str">
        <f t="shared" si="3"/>
        <v>California</v>
      </c>
      <c r="C13">
        <v>110635</v>
      </c>
      <c r="D13">
        <f t="shared" si="2"/>
        <v>2021</v>
      </c>
      <c r="E13" s="6">
        <v>74025</v>
      </c>
      <c r="F13">
        <f>E13/VLOOKUP($D13,CPI!$P$16:$R$22,3,FALSE)</f>
        <v>84302.401619985554</v>
      </c>
      <c r="G13" s="6">
        <v>9202835</v>
      </c>
      <c r="H13">
        <f>G13/VLOOKUP($D13,CPI!$P$16:$R$22,3,FALSE)</f>
        <v>10480528.094730966</v>
      </c>
      <c r="I13" s="6">
        <v>1890830</v>
      </c>
      <c r="J13">
        <f>I13/VLOOKUP($D13,CPI!$P$16:$R$22,3,FALSE)</f>
        <v>2153346.978117086</v>
      </c>
      <c r="K13">
        <f>VLOOKUP(C13,Total!A:O,12,FALSE)</f>
        <v>21102</v>
      </c>
    </row>
    <row r="14" spans="1:11" x14ac:dyDescent="0.2">
      <c r="A14">
        <f t="shared" si="1"/>
        <v>2</v>
      </c>
      <c r="B14" t="str">
        <f t="shared" si="3"/>
        <v>California</v>
      </c>
      <c r="C14">
        <v>110635</v>
      </c>
      <c r="D14">
        <f t="shared" si="2"/>
        <v>2022</v>
      </c>
      <c r="E14" s="6">
        <v>602939</v>
      </c>
      <c r="F14">
        <f>E14/VLOOKUP($D14,CPI!$P$16:$R$22,3,FALSE)</f>
        <v>640695.24221079703</v>
      </c>
      <c r="G14" s="6">
        <v>13083897</v>
      </c>
      <c r="H14">
        <f>G14/VLOOKUP($D14,CPI!$P$16:$R$22,3,FALSE)</f>
        <v>13903215.01424874</v>
      </c>
      <c r="I14" s="6">
        <v>4244985</v>
      </c>
      <c r="J14">
        <f>I14/VLOOKUP($D14,CPI!$P$16:$R$22,3,FALSE)</f>
        <v>4510807.3830954712</v>
      </c>
      <c r="K14">
        <f>VLOOKUP(C14,Total!A:O,13,FALSE)</f>
        <v>288739</v>
      </c>
    </row>
    <row r="15" spans="1:11" x14ac:dyDescent="0.2">
      <c r="A15">
        <f t="shared" si="1"/>
        <v>2</v>
      </c>
      <c r="B15" t="str">
        <f t="shared" si="3"/>
        <v>California</v>
      </c>
      <c r="C15">
        <v>110635</v>
      </c>
      <c r="D15">
        <f t="shared" si="2"/>
        <v>2023</v>
      </c>
      <c r="E15" s="6">
        <v>899070</v>
      </c>
      <c r="F15">
        <f>E15/VLOOKUP($D15,CPI!$P$16:$R$22,3,FALSE)</f>
        <v>899070</v>
      </c>
      <c r="G15" s="6">
        <v>14449998</v>
      </c>
      <c r="H15">
        <f>G15/VLOOKUP($D15,CPI!$P$16:$R$22,3,FALSE)</f>
        <v>14449998</v>
      </c>
      <c r="I15" s="6">
        <v>8105193</v>
      </c>
      <c r="J15">
        <f>I15/VLOOKUP($D15,CPI!$P$16:$R$22,3,FALSE)</f>
        <v>8105193</v>
      </c>
      <c r="K15">
        <f>VLOOKUP(C15,Total!A:O,14,FALSE)</f>
        <v>320988</v>
      </c>
    </row>
    <row r="16" spans="1:11" x14ac:dyDescent="0.2">
      <c r="A16">
        <f t="shared" si="1"/>
        <v>2</v>
      </c>
      <c r="B16" s="8" t="s">
        <v>75</v>
      </c>
      <c r="C16">
        <v>126614</v>
      </c>
      <c r="D16">
        <f t="shared" si="2"/>
        <v>2017</v>
      </c>
      <c r="E16" s="6">
        <v>1617492</v>
      </c>
      <c r="F16">
        <f>E16/VLOOKUP($D16,CPI!$P$16:$R$22,3,FALSE)</f>
        <v>1997634.0990906903</v>
      </c>
      <c r="G16" s="6">
        <v>6416499</v>
      </c>
      <c r="H16">
        <f>G16/VLOOKUP($D16,CPI!$P$16:$R$22,3,FALSE)</f>
        <v>7924501.140766887</v>
      </c>
      <c r="I16" s="6">
        <v>1885874</v>
      </c>
      <c r="J16">
        <f>I16/VLOOKUP($D16,CPI!$P$16:$R$22,3,FALSE)</f>
        <v>2329091.0922518047</v>
      </c>
      <c r="K16">
        <f>VLOOKUP(C16,Total!A:O,8,FALSE)</f>
        <v>351226</v>
      </c>
    </row>
    <row r="17" spans="1:11" x14ac:dyDescent="0.2">
      <c r="A17">
        <f t="shared" si="1"/>
        <v>2</v>
      </c>
      <c r="B17" t="str">
        <f t="shared" ref="B17:B22" si="4">B16</f>
        <v>Colorado</v>
      </c>
      <c r="C17">
        <v>126614</v>
      </c>
      <c r="D17">
        <f t="shared" si="2"/>
        <v>2018</v>
      </c>
      <c r="E17" s="6">
        <v>1638587</v>
      </c>
      <c r="F17">
        <f>E17/VLOOKUP($D17,CPI!$P$16:$R$22,3,FALSE)</f>
        <v>1979078.227950719</v>
      </c>
      <c r="G17" s="6">
        <v>7281345</v>
      </c>
      <c r="H17">
        <f>G17/VLOOKUP($D17,CPI!$P$16:$R$22,3,FALSE)</f>
        <v>8794376.7158520278</v>
      </c>
      <c r="I17" s="6">
        <v>1854403</v>
      </c>
      <c r="J17">
        <f>I17/VLOOKUP($D17,CPI!$P$16:$R$22,3,FALSE)</f>
        <v>2239739.8509487119</v>
      </c>
      <c r="K17">
        <f>VLOOKUP(C17,Total!A:O,9,FALSE)</f>
        <v>344020</v>
      </c>
    </row>
    <row r="18" spans="1:11" x14ac:dyDescent="0.2">
      <c r="A18">
        <f t="shared" si="1"/>
        <v>2</v>
      </c>
      <c r="B18" t="str">
        <f t="shared" si="4"/>
        <v>Colorado</v>
      </c>
      <c r="C18">
        <v>126614</v>
      </c>
      <c r="D18">
        <f t="shared" si="2"/>
        <v>2019</v>
      </c>
      <c r="E18" s="6">
        <v>2307881</v>
      </c>
      <c r="F18">
        <f>E18/VLOOKUP($D18,CPI!$P$16:$R$22,3,FALSE)</f>
        <v>2730850.7430868824</v>
      </c>
      <c r="G18" s="6">
        <v>8742848</v>
      </c>
      <c r="H18">
        <f>G18/VLOOKUP($D18,CPI!$P$16:$R$22,3,FALSE)</f>
        <v>10345166.391809484</v>
      </c>
      <c r="I18" s="6">
        <v>1782701</v>
      </c>
      <c r="J18">
        <f>I18/VLOOKUP($D18,CPI!$P$16:$R$22,3,FALSE)</f>
        <v>2109420.0049966737</v>
      </c>
      <c r="K18">
        <f>VLOOKUP(C18,Total!A:O,10,FALSE)</f>
        <v>339747</v>
      </c>
    </row>
    <row r="19" spans="1:11" x14ac:dyDescent="0.2">
      <c r="A19">
        <f t="shared" si="1"/>
        <v>2</v>
      </c>
      <c r="B19" t="str">
        <f t="shared" si="4"/>
        <v>Colorado</v>
      </c>
      <c r="C19">
        <v>126614</v>
      </c>
      <c r="D19">
        <f t="shared" si="2"/>
        <v>2020</v>
      </c>
      <c r="E19" s="6">
        <v>3868507</v>
      </c>
      <c r="F19">
        <f>E19/VLOOKUP($D19,CPI!$P$16:$R$22,3,FALSE)</f>
        <v>4506999.3956711898</v>
      </c>
      <c r="G19" s="6">
        <v>7105608</v>
      </c>
      <c r="H19">
        <f>G19/VLOOKUP($D19,CPI!$P$16:$R$22,3,FALSE)</f>
        <v>8278379.995661471</v>
      </c>
      <c r="I19" s="6">
        <v>1007477</v>
      </c>
      <c r="J19">
        <f>I19/VLOOKUP($D19,CPI!$P$16:$R$22,3,FALSE)</f>
        <v>1173759.858817012</v>
      </c>
      <c r="K19">
        <f>VLOOKUP(C19,Total!A:O,11,FALSE)</f>
        <v>359954</v>
      </c>
    </row>
    <row r="20" spans="1:11" x14ac:dyDescent="0.2">
      <c r="A20">
        <f t="shared" si="1"/>
        <v>2</v>
      </c>
      <c r="B20" t="str">
        <f t="shared" si="4"/>
        <v>Colorado</v>
      </c>
      <c r="C20">
        <v>126614</v>
      </c>
      <c r="D20">
        <f t="shared" si="2"/>
        <v>2021</v>
      </c>
      <c r="E20" s="6">
        <v>73564</v>
      </c>
      <c r="F20">
        <f>E20/VLOOKUP($D20,CPI!$P$16:$R$22,3,FALSE)</f>
        <v>83777.397808478447</v>
      </c>
      <c r="G20" s="6">
        <v>7578753</v>
      </c>
      <c r="H20">
        <f>G20/VLOOKUP($D20,CPI!$P$16:$R$22,3,FALSE)</f>
        <v>8630963.5823663678</v>
      </c>
      <c r="I20" s="6">
        <v>187544</v>
      </c>
      <c r="J20">
        <f>I20/VLOOKUP($D20,CPI!$P$16:$R$22,3,FALSE)</f>
        <v>213582.02782058183</v>
      </c>
      <c r="K20">
        <f>VLOOKUP(C20,Total!A:O,12,FALSE)</f>
        <v>1588</v>
      </c>
    </row>
    <row r="21" spans="1:11" x14ac:dyDescent="0.2">
      <c r="A21">
        <f t="shared" si="1"/>
        <v>2</v>
      </c>
      <c r="B21" t="str">
        <f t="shared" si="4"/>
        <v>Colorado</v>
      </c>
      <c r="C21">
        <v>126614</v>
      </c>
      <c r="D21">
        <f t="shared" si="2"/>
        <v>2022</v>
      </c>
      <c r="E21" s="6">
        <v>2722208</v>
      </c>
      <c r="F21">
        <f>E21/VLOOKUP($D21,CPI!$P$16:$R$22,3,FALSE)</f>
        <v>2892673.577108413</v>
      </c>
      <c r="G21" s="6">
        <v>5911440</v>
      </c>
      <c r="H21">
        <f>G21/VLOOKUP($D21,CPI!$P$16:$R$22,3,FALSE)</f>
        <v>6281616.3535856763</v>
      </c>
      <c r="I21" s="6">
        <v>821185</v>
      </c>
      <c r="J21">
        <f>I21/VLOOKUP($D21,CPI!$P$16:$R$22,3,FALSE)</f>
        <v>872607.87985994166</v>
      </c>
      <c r="K21">
        <f>VLOOKUP(C21,Total!A:O,13,FALSE)</f>
        <v>328750</v>
      </c>
    </row>
    <row r="22" spans="1:11" x14ac:dyDescent="0.2">
      <c r="A22">
        <f t="shared" si="1"/>
        <v>2</v>
      </c>
      <c r="B22" t="str">
        <f t="shared" si="4"/>
        <v>Colorado</v>
      </c>
      <c r="C22">
        <v>126614</v>
      </c>
      <c r="D22">
        <f t="shared" si="2"/>
        <v>2023</v>
      </c>
      <c r="E22" s="6">
        <v>2249977</v>
      </c>
      <c r="F22">
        <f>E22/VLOOKUP($D22,CPI!$P$16:$R$22,3,FALSE)</f>
        <v>2249977</v>
      </c>
      <c r="G22" s="6">
        <v>6674982</v>
      </c>
      <c r="H22">
        <f>G22/VLOOKUP($D22,CPI!$P$16:$R$22,3,FALSE)</f>
        <v>6674982</v>
      </c>
      <c r="I22" s="6">
        <v>1187198</v>
      </c>
      <c r="J22">
        <f>I22/VLOOKUP($D22,CPI!$P$16:$R$22,3,FALSE)</f>
        <v>1187198</v>
      </c>
      <c r="K22">
        <f>VLOOKUP(C22,Total!A:O,14,FALSE)</f>
        <v>315103</v>
      </c>
    </row>
    <row r="23" spans="1:11" x14ac:dyDescent="0.2">
      <c r="A23">
        <f t="shared" si="1"/>
        <v>2</v>
      </c>
      <c r="B23" s="8" t="s">
        <v>127</v>
      </c>
      <c r="C23">
        <v>163268</v>
      </c>
      <c r="D23">
        <f t="shared" si="2"/>
        <v>2017</v>
      </c>
      <c r="E23" s="6">
        <v>0</v>
      </c>
      <c r="F23">
        <f>E23/VLOOKUP($D23,CPI!$P$16:$R$22,3,FALSE)</f>
        <v>0</v>
      </c>
      <c r="G23" s="6">
        <v>267785</v>
      </c>
      <c r="H23">
        <f>G23/VLOOKUP($D23,CPI!$P$16:$R$22,3,FALSE)</f>
        <v>330719.6865424994</v>
      </c>
      <c r="I23" s="6">
        <v>214800</v>
      </c>
      <c r="J23">
        <f>I23/VLOOKUP($D23,CPI!$P$16:$R$22,3,FALSE)</f>
        <v>265282.18036607304</v>
      </c>
      <c r="K23">
        <f>VLOOKUP(C23,Total!A:O,8,FALSE)</f>
        <v>33569</v>
      </c>
    </row>
    <row r="24" spans="1:11" x14ac:dyDescent="0.2">
      <c r="A24">
        <f t="shared" si="1"/>
        <v>2</v>
      </c>
      <c r="B24" t="str">
        <f>B23</f>
        <v>Maryland Baltimore County</v>
      </c>
      <c r="C24">
        <v>163268</v>
      </c>
      <c r="D24">
        <f t="shared" si="2"/>
        <v>2018</v>
      </c>
      <c r="E24" s="6">
        <v>0</v>
      </c>
      <c r="F24">
        <f>E24/VLOOKUP($D24,CPI!$P$16:$R$22,3,FALSE)</f>
        <v>0</v>
      </c>
      <c r="G24" s="6">
        <v>10408</v>
      </c>
      <c r="H24">
        <f>G24/VLOOKUP($D24,CPI!$P$16:$R$22,3,FALSE)</f>
        <v>12570.73698040512</v>
      </c>
      <c r="I24" s="6">
        <v>216275</v>
      </c>
      <c r="J24">
        <f>I24/VLOOKUP($D24,CPI!$P$16:$R$22,3,FALSE)</f>
        <v>261216.00119495744</v>
      </c>
      <c r="K24">
        <f>VLOOKUP(C24,Total!A:O,9,FALSE)</f>
        <v>37456</v>
      </c>
    </row>
    <row r="25" spans="1:11" x14ac:dyDescent="0.2">
      <c r="A25">
        <f t="shared" si="1"/>
        <v>2</v>
      </c>
      <c r="B25" t="str">
        <f t="shared" ref="B25:B29" si="5">B24</f>
        <v>Maryland Baltimore County</v>
      </c>
      <c r="C25">
        <v>163268</v>
      </c>
      <c r="D25">
        <f t="shared" si="2"/>
        <v>2019</v>
      </c>
      <c r="E25" s="6">
        <v>0</v>
      </c>
      <c r="F25">
        <f>E25/VLOOKUP($D25,CPI!$P$16:$R$22,3,FALSE)</f>
        <v>0</v>
      </c>
      <c r="G25" s="6">
        <v>145623</v>
      </c>
      <c r="H25">
        <f>G25/VLOOKUP($D25,CPI!$P$16:$R$22,3,FALSE)</f>
        <v>172311.6043507187</v>
      </c>
      <c r="I25" s="6">
        <v>116822</v>
      </c>
      <c r="J25">
        <f>I25/VLOOKUP($D25,CPI!$P$16:$R$22,3,FALSE)</f>
        <v>138232.19026843054</v>
      </c>
      <c r="K25">
        <f>VLOOKUP(C25,Total!A:O,10,FALSE)</f>
        <v>40248</v>
      </c>
    </row>
    <row r="26" spans="1:11" x14ac:dyDescent="0.2">
      <c r="A26">
        <f t="shared" si="1"/>
        <v>2</v>
      </c>
      <c r="B26" t="str">
        <f t="shared" si="5"/>
        <v>Maryland Baltimore County</v>
      </c>
      <c r="C26">
        <v>163268</v>
      </c>
      <c r="D26">
        <f t="shared" si="2"/>
        <v>2020</v>
      </c>
      <c r="E26" s="6">
        <v>0</v>
      </c>
      <c r="F26">
        <f>E26/VLOOKUP($D26,CPI!$P$16:$R$22,3,FALSE)</f>
        <v>0</v>
      </c>
      <c r="G26" s="6">
        <v>85087</v>
      </c>
      <c r="H26">
        <f>G26/VLOOKUP($D26,CPI!$P$16:$R$22,3,FALSE)</f>
        <v>99130.506311472229</v>
      </c>
      <c r="I26" s="6">
        <v>99303</v>
      </c>
      <c r="J26">
        <f>I26/VLOOKUP($D26,CPI!$P$16:$R$22,3,FALSE)</f>
        <v>115692.83989620185</v>
      </c>
      <c r="K26">
        <f>VLOOKUP(C26,Total!A:O,11,FALSE)</f>
        <v>19692</v>
      </c>
    </row>
    <row r="27" spans="1:11" x14ac:dyDescent="0.2">
      <c r="A27">
        <f t="shared" si="1"/>
        <v>2</v>
      </c>
      <c r="B27" t="str">
        <f t="shared" si="5"/>
        <v>Maryland Baltimore County</v>
      </c>
      <c r="C27">
        <v>163268</v>
      </c>
      <c r="D27">
        <f t="shared" si="2"/>
        <v>2021</v>
      </c>
      <c r="E27" s="6">
        <v>0</v>
      </c>
      <c r="F27">
        <f>E27/VLOOKUP($D27,CPI!$P$16:$R$22,3,FALSE)</f>
        <v>0</v>
      </c>
      <c r="G27" s="6">
        <v>92788</v>
      </c>
      <c r="H27">
        <f>G27/VLOOKUP($D27,CPI!$P$16:$R$22,3,FALSE)</f>
        <v>105670.39839939505</v>
      </c>
      <c r="I27" s="6">
        <v>17092</v>
      </c>
      <c r="J27">
        <f>I27/VLOOKUP($D27,CPI!$P$16:$R$22,3,FALSE)</f>
        <v>19465.000317308924</v>
      </c>
      <c r="K27">
        <f>VLOOKUP(C27,Total!A:O,12,FALSE)</f>
        <v>6144</v>
      </c>
    </row>
    <row r="28" spans="1:11" x14ac:dyDescent="0.2">
      <c r="A28">
        <f t="shared" si="1"/>
        <v>2</v>
      </c>
      <c r="B28" t="str">
        <f t="shared" si="5"/>
        <v>Maryland Baltimore County</v>
      </c>
      <c r="C28">
        <v>163268</v>
      </c>
      <c r="D28">
        <f t="shared" si="2"/>
        <v>2022</v>
      </c>
      <c r="E28" s="6">
        <v>0</v>
      </c>
      <c r="F28">
        <f>E28/VLOOKUP($D28,CPI!$P$16:$R$22,3,FALSE)</f>
        <v>0</v>
      </c>
      <c r="G28" s="6">
        <v>146229</v>
      </c>
      <c r="H28">
        <f>G28/VLOOKUP($D28,CPI!$P$16:$R$22,3,FALSE)</f>
        <v>155385.90897792752</v>
      </c>
      <c r="I28" s="6">
        <v>88199</v>
      </c>
      <c r="J28">
        <f>I28/VLOOKUP($D28,CPI!$P$16:$R$22,3,FALSE)</f>
        <v>93722.050933427905</v>
      </c>
      <c r="K28">
        <f>VLOOKUP(C28,Total!A:O,13,FALSE)</f>
        <v>44218</v>
      </c>
    </row>
    <row r="29" spans="1:11" x14ac:dyDescent="0.2">
      <c r="A29">
        <f t="shared" si="1"/>
        <v>2</v>
      </c>
      <c r="B29" t="str">
        <f t="shared" si="5"/>
        <v>Maryland Baltimore County</v>
      </c>
      <c r="C29">
        <v>163268</v>
      </c>
      <c r="D29">
        <f t="shared" si="2"/>
        <v>2023</v>
      </c>
      <c r="E29" s="6">
        <v>0</v>
      </c>
      <c r="F29">
        <f>E29/VLOOKUP($D29,CPI!$P$16:$R$22,3,FALSE)</f>
        <v>0</v>
      </c>
      <c r="G29" s="6">
        <v>267593</v>
      </c>
      <c r="H29">
        <f>G29/VLOOKUP($D29,CPI!$P$16:$R$22,3,FALSE)</f>
        <v>267593</v>
      </c>
      <c r="I29" s="6">
        <v>115335</v>
      </c>
      <c r="J29">
        <f>I29/VLOOKUP($D29,CPI!$P$16:$R$22,3,FALSE)</f>
        <v>115335</v>
      </c>
      <c r="K29">
        <f>VLOOKUP(C29,Total!A:O,14,FALSE)</f>
        <v>46741</v>
      </c>
    </row>
    <row r="30" spans="1:11" x14ac:dyDescent="0.2">
      <c r="A30">
        <f t="shared" si="1"/>
        <v>2</v>
      </c>
      <c r="B30" s="8" t="s">
        <v>166</v>
      </c>
      <c r="C30">
        <v>199218</v>
      </c>
      <c r="D30">
        <v>2017</v>
      </c>
      <c r="E30" s="6">
        <v>0</v>
      </c>
      <c r="F30">
        <f>E30/VLOOKUP($D30,CPI!$P$16:$R$22,3,FALSE)</f>
        <v>0</v>
      </c>
      <c r="G30" s="6">
        <v>510225</v>
      </c>
      <c r="H30">
        <f>G30/VLOOKUP($D30,CPI!$P$16:$R$22,3,FALSE)</f>
        <v>630137.80482904857</v>
      </c>
      <c r="I30" s="6">
        <v>124676</v>
      </c>
      <c r="J30">
        <f>I30/VLOOKUP($D30,CPI!$P$16:$R$22,3,FALSE)</f>
        <v>153977.28640279573</v>
      </c>
      <c r="K30">
        <f>VLOOKUP(C30,Total!A:O,8,FALSE)</f>
        <v>77225</v>
      </c>
    </row>
    <row r="31" spans="1:11" x14ac:dyDescent="0.2">
      <c r="A31">
        <f t="shared" si="1"/>
        <v>2</v>
      </c>
      <c r="B31" t="str">
        <f t="shared" ref="B31:B36" si="6">B30</f>
        <v>North Carolina Wilmington</v>
      </c>
      <c r="C31">
        <v>199218</v>
      </c>
      <c r="D31">
        <f>IF(D30=2023,2017,D30+1)</f>
        <v>2018</v>
      </c>
      <c r="E31" s="6">
        <v>0</v>
      </c>
      <c r="F31">
        <f>E31/VLOOKUP($D31,CPI!$P$16:$R$22,3,FALSE)</f>
        <v>0</v>
      </c>
      <c r="G31" s="6">
        <v>568950</v>
      </c>
      <c r="H31">
        <f>G31/VLOOKUP($D31,CPI!$P$16:$R$22,3,FALSE)</f>
        <v>687175.32715233404</v>
      </c>
      <c r="I31" s="6">
        <v>128120</v>
      </c>
      <c r="J31">
        <f>I31/VLOOKUP($D31,CPI!$P$16:$R$22,3,FALSE)</f>
        <v>154742.77689560951</v>
      </c>
      <c r="K31">
        <f>VLOOKUP(C31,Total!A:O,9,FALSE)</f>
        <v>66942</v>
      </c>
    </row>
    <row r="32" spans="1:11" x14ac:dyDescent="0.2">
      <c r="A32">
        <f t="shared" si="1"/>
        <v>2</v>
      </c>
      <c r="B32" t="str">
        <f t="shared" si="6"/>
        <v>North Carolina Wilmington</v>
      </c>
      <c r="C32">
        <v>199218</v>
      </c>
      <c r="D32">
        <f t="shared" ref="D32:D57" si="7">IF(D31=2023,2017,D31+1)</f>
        <v>2019</v>
      </c>
      <c r="E32" s="6">
        <v>0</v>
      </c>
      <c r="F32">
        <f>E32/VLOOKUP($D32,CPI!$P$16:$R$22,3,FALSE)</f>
        <v>0</v>
      </c>
      <c r="G32" s="6">
        <v>549897</v>
      </c>
      <c r="H32">
        <f>G32/VLOOKUP($D32,CPI!$P$16:$R$22,3,FALSE)</f>
        <v>650677.66972007975</v>
      </c>
      <c r="I32" s="6">
        <v>113372</v>
      </c>
      <c r="J32">
        <f>I32/VLOOKUP($D32,CPI!$P$16:$R$22,3,FALSE)</f>
        <v>134149.90220260317</v>
      </c>
      <c r="K32">
        <f>VLOOKUP(C32,Total!A:O,10,FALSE)</f>
        <v>45082</v>
      </c>
    </row>
    <row r="33" spans="1:11" x14ac:dyDescent="0.2">
      <c r="A33">
        <f t="shared" si="1"/>
        <v>2</v>
      </c>
      <c r="B33" t="str">
        <f t="shared" si="6"/>
        <v>North Carolina Wilmington</v>
      </c>
      <c r="C33">
        <v>199218</v>
      </c>
      <c r="D33">
        <f t="shared" si="7"/>
        <v>2020</v>
      </c>
      <c r="E33" s="6">
        <v>0</v>
      </c>
      <c r="F33">
        <f>E33/VLOOKUP($D33,CPI!$P$16:$R$22,3,FALSE)</f>
        <v>0</v>
      </c>
      <c r="G33" s="6">
        <v>583414</v>
      </c>
      <c r="H33">
        <f>G33/VLOOKUP($D33,CPI!$P$16:$R$22,3,FALSE)</f>
        <v>679705.77419818845</v>
      </c>
      <c r="I33" s="6">
        <v>103920</v>
      </c>
      <c r="J33">
        <f>I33/VLOOKUP($D33,CPI!$P$16:$R$22,3,FALSE)</f>
        <v>121071.87015511411</v>
      </c>
      <c r="K33">
        <f>VLOOKUP(C33,Total!A:O,11,FALSE)</f>
        <v>44205</v>
      </c>
    </row>
    <row r="34" spans="1:11" x14ac:dyDescent="0.2">
      <c r="A34">
        <f t="shared" si="1"/>
        <v>2</v>
      </c>
      <c r="B34" t="str">
        <f t="shared" si="6"/>
        <v>North Carolina Wilmington</v>
      </c>
      <c r="C34">
        <v>199218</v>
      </c>
      <c r="D34">
        <f t="shared" si="7"/>
        <v>2021</v>
      </c>
      <c r="E34" s="6">
        <v>0</v>
      </c>
      <c r="F34">
        <f>E34/VLOOKUP($D34,CPI!$P$16:$R$22,3,FALSE)</f>
        <v>0</v>
      </c>
      <c r="G34" s="6">
        <v>309314</v>
      </c>
      <c r="H34">
        <f>G34/VLOOKUP($D34,CPI!$P$16:$R$22,3,FALSE)</f>
        <v>352258.19729394407</v>
      </c>
      <c r="I34" s="6">
        <v>10578</v>
      </c>
      <c r="J34">
        <f>I34/VLOOKUP($D34,CPI!$P$16:$R$22,3,FALSE)</f>
        <v>12046.616742130458</v>
      </c>
      <c r="K34">
        <f>VLOOKUP(C34,Total!A:O,12,FALSE)</f>
        <v>36711</v>
      </c>
    </row>
    <row r="35" spans="1:11" x14ac:dyDescent="0.2">
      <c r="A35">
        <f t="shared" si="1"/>
        <v>2</v>
      </c>
      <c r="B35" t="str">
        <f t="shared" si="6"/>
        <v>North Carolina Wilmington</v>
      </c>
      <c r="C35">
        <v>199218</v>
      </c>
      <c r="D35">
        <f t="shared" si="7"/>
        <v>2022</v>
      </c>
      <c r="E35" s="6">
        <v>0</v>
      </c>
      <c r="F35">
        <f>E35/VLOOKUP($D35,CPI!$P$16:$R$22,3,FALSE)</f>
        <v>0</v>
      </c>
      <c r="G35" s="6">
        <v>514794</v>
      </c>
      <c r="H35">
        <f>G35/VLOOKUP($D35,CPI!$P$16:$R$22,3,FALSE)</f>
        <v>547030.57277546334</v>
      </c>
      <c r="I35" s="6">
        <v>65710</v>
      </c>
      <c r="J35">
        <f>I35/VLOOKUP($D35,CPI!$P$16:$R$22,3,FALSE)</f>
        <v>69824.782217888496</v>
      </c>
      <c r="K35">
        <f>VLOOKUP(C35,Total!A:O,13,FALSE)</f>
        <v>57240</v>
      </c>
    </row>
    <row r="36" spans="1:11" x14ac:dyDescent="0.2">
      <c r="A36">
        <f t="shared" si="1"/>
        <v>2</v>
      </c>
      <c r="B36" t="str">
        <f t="shared" si="6"/>
        <v>North Carolina Wilmington</v>
      </c>
      <c r="C36">
        <v>199218</v>
      </c>
      <c r="D36">
        <f t="shared" si="7"/>
        <v>2023</v>
      </c>
      <c r="E36" s="6">
        <v>0</v>
      </c>
      <c r="F36">
        <f>E36/VLOOKUP($D36,CPI!$P$16:$R$22,3,FALSE)</f>
        <v>0</v>
      </c>
      <c r="G36" s="6">
        <v>791926</v>
      </c>
      <c r="H36">
        <f>G36/VLOOKUP($D36,CPI!$P$16:$R$22,3,FALSE)</f>
        <v>791926</v>
      </c>
      <c r="I36" s="6">
        <v>106227</v>
      </c>
      <c r="J36">
        <f>I36/VLOOKUP($D36,CPI!$P$16:$R$22,3,FALSE)</f>
        <v>106227</v>
      </c>
      <c r="K36">
        <f>VLOOKUP(C36,Total!A:O,14,FALSE)</f>
        <v>29648</v>
      </c>
    </row>
    <row r="37" spans="1:11" x14ac:dyDescent="0.2">
      <c r="A37">
        <f t="shared" si="1"/>
        <v>2</v>
      </c>
      <c r="B37" s="8" t="s">
        <v>183</v>
      </c>
      <c r="C37">
        <v>209542</v>
      </c>
      <c r="D37">
        <f t="shared" si="7"/>
        <v>2017</v>
      </c>
      <c r="E37" s="6">
        <v>946108</v>
      </c>
      <c r="F37">
        <f>E37/VLOOKUP($D37,CPI!$P$16:$R$22,3,FALSE)</f>
        <v>1168461.7928388484</v>
      </c>
      <c r="G37" s="6">
        <v>8884197</v>
      </c>
      <c r="H37">
        <f>G37/VLOOKUP($D37,CPI!$P$16:$R$22,3,FALSE)</f>
        <v>10972156.196283637</v>
      </c>
      <c r="I37" s="6">
        <v>3023142</v>
      </c>
      <c r="J37">
        <f>I37/VLOOKUP($D37,CPI!$P$16:$R$22,3,FALSE)</f>
        <v>3733639.2053829185</v>
      </c>
      <c r="K37">
        <f>VLOOKUP(C37,Total!A:O,8,FALSE)</f>
        <v>480132</v>
      </c>
    </row>
    <row r="38" spans="1:11" x14ac:dyDescent="0.2">
      <c r="A38">
        <f t="shared" si="1"/>
        <v>2</v>
      </c>
      <c r="B38" t="str">
        <f t="shared" ref="B38:B43" si="8">B37</f>
        <v>Oregon State</v>
      </c>
      <c r="C38">
        <v>209542</v>
      </c>
      <c r="D38">
        <f t="shared" si="7"/>
        <v>2018</v>
      </c>
      <c r="E38" s="6">
        <v>1077705</v>
      </c>
      <c r="F38">
        <f>E38/VLOOKUP($D38,CPI!$P$16:$R$22,3,FALSE)</f>
        <v>1301647.3959903438</v>
      </c>
      <c r="G38" s="6">
        <v>7695860</v>
      </c>
      <c r="H38">
        <f>G38/VLOOKUP($D38,CPI!$P$16:$R$22,3,FALSE)</f>
        <v>9295026.1239450946</v>
      </c>
      <c r="I38" s="6">
        <v>1881904</v>
      </c>
      <c r="J38">
        <f>I38/VLOOKUP($D38,CPI!$P$16:$R$22,3,FALSE)</f>
        <v>2272955.4387367712</v>
      </c>
      <c r="K38">
        <f>VLOOKUP(C38,Total!A:O,9,FALSE)</f>
        <v>424599</v>
      </c>
    </row>
    <row r="39" spans="1:11" x14ac:dyDescent="0.2">
      <c r="A39">
        <f t="shared" si="1"/>
        <v>2</v>
      </c>
      <c r="B39" t="str">
        <f t="shared" si="8"/>
        <v>Oregon State</v>
      </c>
      <c r="C39">
        <v>209542</v>
      </c>
      <c r="D39">
        <f t="shared" si="7"/>
        <v>2019</v>
      </c>
      <c r="E39" s="6">
        <v>1439503</v>
      </c>
      <c r="F39">
        <f>E39/VLOOKUP($D39,CPI!$P$16:$R$22,3,FALSE)</f>
        <v>1703323.4543833917</v>
      </c>
      <c r="G39" s="6">
        <v>8203013</v>
      </c>
      <c r="H39">
        <f>G39/VLOOKUP($D39,CPI!$P$16:$R$22,3,FALSE)</f>
        <v>9706394.8039787821</v>
      </c>
      <c r="I39" s="6">
        <v>1862983</v>
      </c>
      <c r="J39">
        <f>I39/VLOOKUP($D39,CPI!$P$16:$R$22,3,FALSE)</f>
        <v>2204415.4399244282</v>
      </c>
      <c r="K39">
        <f>VLOOKUP(C39,Total!A:O,10,FALSE)</f>
        <v>347403</v>
      </c>
    </row>
    <row r="40" spans="1:11" x14ac:dyDescent="0.2">
      <c r="A40">
        <f t="shared" si="1"/>
        <v>2</v>
      </c>
      <c r="B40" t="str">
        <f t="shared" si="8"/>
        <v>Oregon State</v>
      </c>
      <c r="C40">
        <v>209542</v>
      </c>
      <c r="D40">
        <f t="shared" si="7"/>
        <v>2020</v>
      </c>
      <c r="E40" s="6">
        <v>1007113</v>
      </c>
      <c r="F40">
        <f>E40/VLOOKUP($D40,CPI!$P$16:$R$22,3,FALSE)</f>
        <v>1173335.7810578083</v>
      </c>
      <c r="G40" s="6">
        <v>7501576</v>
      </c>
      <c r="H40">
        <f>G40/VLOOKUP($D40,CPI!$P$16:$R$22,3,FALSE)</f>
        <v>8739702.0345527362</v>
      </c>
      <c r="I40" s="6">
        <v>1778519</v>
      </c>
      <c r="J40">
        <f>I40/VLOOKUP($D40,CPI!$P$16:$R$22,3,FALSE)</f>
        <v>2072061.4072017262</v>
      </c>
      <c r="K40">
        <f>VLOOKUP(C40,Total!A:O,11,FALSE)</f>
        <v>324109</v>
      </c>
    </row>
    <row r="41" spans="1:11" x14ac:dyDescent="0.2">
      <c r="A41">
        <f t="shared" si="1"/>
        <v>2</v>
      </c>
      <c r="B41" t="str">
        <f t="shared" si="8"/>
        <v>Oregon State</v>
      </c>
      <c r="C41">
        <v>209542</v>
      </c>
      <c r="D41">
        <f t="shared" si="7"/>
        <v>2021</v>
      </c>
      <c r="E41" s="6">
        <v>384877</v>
      </c>
      <c r="F41">
        <f>E41/VLOOKUP($D41,CPI!$P$16:$R$22,3,FALSE)</f>
        <v>438312.13006815506</v>
      </c>
      <c r="G41" s="6">
        <v>5629884</v>
      </c>
      <c r="H41">
        <f>G41/VLOOKUP($D41,CPI!$P$16:$R$22,3,FALSE)</f>
        <v>6411519.649333749</v>
      </c>
      <c r="I41" s="6">
        <v>1268919</v>
      </c>
      <c r="J41">
        <f>I41/VLOOKUP($D41,CPI!$P$16:$R$22,3,FALSE)</f>
        <v>1445091.7819821741</v>
      </c>
      <c r="K41">
        <f>VLOOKUP(C41,Total!A:O,12,FALSE)</f>
        <v>127035</v>
      </c>
    </row>
    <row r="42" spans="1:11" x14ac:dyDescent="0.2">
      <c r="A42">
        <f t="shared" si="1"/>
        <v>2</v>
      </c>
      <c r="B42" t="str">
        <f t="shared" si="8"/>
        <v>Oregon State</v>
      </c>
      <c r="C42">
        <v>209542</v>
      </c>
      <c r="D42">
        <f t="shared" si="7"/>
        <v>2022</v>
      </c>
      <c r="E42" s="6">
        <v>529965</v>
      </c>
      <c r="F42">
        <f>E42/VLOOKUP($D42,CPI!$P$16:$R$22,3,FALSE)</f>
        <v>563151.58587891154</v>
      </c>
      <c r="G42" s="6">
        <v>8222413</v>
      </c>
      <c r="H42">
        <f>G42/VLOOKUP($D42,CPI!$P$16:$R$22,3,FALSE)</f>
        <v>8737303.2571988311</v>
      </c>
      <c r="I42" s="6">
        <v>1819187</v>
      </c>
      <c r="J42">
        <f>I42/VLOOKUP($D42,CPI!$P$16:$R$22,3,FALSE)</f>
        <v>1933105.0995071363</v>
      </c>
      <c r="K42">
        <f>VLOOKUP(C42,Total!A:O,13,FALSE)</f>
        <v>378012</v>
      </c>
    </row>
    <row r="43" spans="1:11" x14ac:dyDescent="0.2">
      <c r="A43">
        <f t="shared" si="1"/>
        <v>2</v>
      </c>
      <c r="B43" t="str">
        <f t="shared" si="8"/>
        <v>Oregon State</v>
      </c>
      <c r="C43">
        <v>209542</v>
      </c>
      <c r="D43">
        <f t="shared" si="7"/>
        <v>2023</v>
      </c>
      <c r="E43" s="6">
        <v>1493441</v>
      </c>
      <c r="F43">
        <f>E43/VLOOKUP($D43,CPI!$P$16:$R$22,3,FALSE)</f>
        <v>1493441</v>
      </c>
      <c r="G43" s="6">
        <v>10041519</v>
      </c>
      <c r="H43">
        <f>G43/VLOOKUP($D43,CPI!$P$16:$R$22,3,FALSE)</f>
        <v>10041519</v>
      </c>
      <c r="I43" s="6">
        <v>2093660</v>
      </c>
      <c r="J43">
        <f>I43/VLOOKUP($D43,CPI!$P$16:$R$22,3,FALSE)</f>
        <v>2093660</v>
      </c>
      <c r="K43">
        <f>VLOOKUP(C43,Total!A:O,14,FALSE)</f>
        <v>271417</v>
      </c>
    </row>
    <row r="44" spans="1:11" x14ac:dyDescent="0.2">
      <c r="A44">
        <f t="shared" si="1"/>
        <v>2</v>
      </c>
      <c r="B44" s="8" t="s">
        <v>185</v>
      </c>
      <c r="C44">
        <v>209807</v>
      </c>
      <c r="D44">
        <f t="shared" si="7"/>
        <v>2017</v>
      </c>
      <c r="E44" s="6">
        <v>2762</v>
      </c>
      <c r="F44">
        <f>E44/VLOOKUP($D44,CPI!$P$16:$R$22,3,FALSE)</f>
        <v>3411.1237531242728</v>
      </c>
      <c r="G44" s="6">
        <v>186334</v>
      </c>
      <c r="H44">
        <f>G44/VLOOKUP($D44,CPI!$P$16:$R$22,3,FALSE)</f>
        <v>230126.11637026005</v>
      </c>
      <c r="I44" s="6">
        <v>114646</v>
      </c>
      <c r="J44">
        <f>I44/VLOOKUP($D44,CPI!$P$16:$R$22,3,FALSE)</f>
        <v>141590.04120227566</v>
      </c>
      <c r="K44">
        <f>VLOOKUP(C44,Total!A:O,8,FALSE)</f>
        <v>33613</v>
      </c>
    </row>
    <row r="45" spans="1:11" x14ac:dyDescent="0.2">
      <c r="A45">
        <f t="shared" si="1"/>
        <v>2</v>
      </c>
      <c r="B45" t="str">
        <f t="shared" ref="B45:B50" si="9">B44</f>
        <v>Portland State</v>
      </c>
      <c r="C45">
        <v>209807</v>
      </c>
      <c r="D45">
        <f t="shared" si="7"/>
        <v>2018</v>
      </c>
      <c r="E45" s="6">
        <v>6193</v>
      </c>
      <c r="F45">
        <f>E45/VLOOKUP($D45,CPI!$P$16:$R$22,3,FALSE)</f>
        <v>7479.8783742937067</v>
      </c>
      <c r="G45" s="6">
        <v>105890</v>
      </c>
      <c r="H45">
        <f>G45/VLOOKUP($D45,CPI!$P$16:$R$22,3,FALSE)</f>
        <v>127893.47990537068</v>
      </c>
      <c r="I45" s="6">
        <v>46036</v>
      </c>
      <c r="J45">
        <f>I45/VLOOKUP($D45,CPI!$P$16:$R$22,3,FALSE)</f>
        <v>55602.079902952544</v>
      </c>
      <c r="K45">
        <f>VLOOKUP(C45,Total!A:O,9,FALSE)</f>
        <v>29273</v>
      </c>
    </row>
    <row r="46" spans="1:11" x14ac:dyDescent="0.2">
      <c r="A46">
        <f t="shared" si="1"/>
        <v>2</v>
      </c>
      <c r="B46" t="str">
        <f t="shared" si="9"/>
        <v>Portland State</v>
      </c>
      <c r="C46">
        <v>209807</v>
      </c>
      <c r="D46">
        <f t="shared" si="7"/>
        <v>2019</v>
      </c>
      <c r="E46" s="6">
        <v>0</v>
      </c>
      <c r="F46">
        <f>E46/VLOOKUP($D46,CPI!$P$16:$R$22,3,FALSE)</f>
        <v>0</v>
      </c>
      <c r="G46" s="6">
        <v>314872</v>
      </c>
      <c r="H46">
        <f>G46/VLOOKUP($D46,CPI!$P$16:$R$22,3,FALSE)</f>
        <v>372579.1906849845</v>
      </c>
      <c r="I46" s="6">
        <v>138199</v>
      </c>
      <c r="J46">
        <f>I46/VLOOKUP($D46,CPI!$P$16:$R$22,3,FALSE)</f>
        <v>163526.99374181946</v>
      </c>
      <c r="K46">
        <f>VLOOKUP(C46,Total!A:O,10,FALSE)</f>
        <v>34099</v>
      </c>
    </row>
    <row r="47" spans="1:11" x14ac:dyDescent="0.2">
      <c r="A47">
        <f t="shared" si="1"/>
        <v>2</v>
      </c>
      <c r="B47" t="str">
        <f t="shared" si="9"/>
        <v>Portland State</v>
      </c>
      <c r="C47">
        <v>209807</v>
      </c>
      <c r="D47">
        <f t="shared" si="7"/>
        <v>2020</v>
      </c>
      <c r="E47" s="6">
        <v>0</v>
      </c>
      <c r="F47">
        <f>E47/VLOOKUP($D47,CPI!$P$16:$R$22,3,FALSE)</f>
        <v>0</v>
      </c>
      <c r="G47" s="6">
        <v>281762</v>
      </c>
      <c r="H47">
        <f>G47/VLOOKUP($D47,CPI!$P$16:$R$22,3,FALSE)</f>
        <v>328266.47689227544</v>
      </c>
      <c r="I47" s="6">
        <v>215506</v>
      </c>
      <c r="J47">
        <f>I47/VLOOKUP($D47,CPI!$P$16:$R$22,3,FALSE)</f>
        <v>251075.00432686703</v>
      </c>
      <c r="K47">
        <f>VLOOKUP(C47,Total!A:O,11,FALSE)</f>
        <v>36118</v>
      </c>
    </row>
    <row r="48" spans="1:11" x14ac:dyDescent="0.2">
      <c r="A48">
        <f t="shared" si="1"/>
        <v>2</v>
      </c>
      <c r="B48" t="str">
        <f t="shared" si="9"/>
        <v>Portland State</v>
      </c>
      <c r="C48">
        <v>209807</v>
      </c>
      <c r="D48">
        <f t="shared" si="7"/>
        <v>2021</v>
      </c>
      <c r="E48" s="6">
        <v>0</v>
      </c>
      <c r="F48">
        <f>E48/VLOOKUP($D48,CPI!$P$16:$R$22,3,FALSE)</f>
        <v>0</v>
      </c>
      <c r="G48" s="6">
        <v>94171</v>
      </c>
      <c r="H48">
        <f>G48/VLOOKUP($D48,CPI!$P$16:$R$22,3,FALSE)</f>
        <v>107245.40983391638</v>
      </c>
      <c r="I48" s="6">
        <v>87596</v>
      </c>
      <c r="J48">
        <f>I48/VLOOKUP($D48,CPI!$P$16:$R$22,3,FALSE)</f>
        <v>99757.557207757578</v>
      </c>
      <c r="K48">
        <f>VLOOKUP(C48,Total!A:O,12,FALSE)</f>
        <v>1492</v>
      </c>
    </row>
    <row r="49" spans="1:11" x14ac:dyDescent="0.2">
      <c r="A49">
        <f t="shared" si="1"/>
        <v>2</v>
      </c>
      <c r="B49" t="str">
        <f t="shared" si="9"/>
        <v>Portland State</v>
      </c>
      <c r="C49">
        <v>209807</v>
      </c>
      <c r="D49">
        <f t="shared" si="7"/>
        <v>2022</v>
      </c>
      <c r="E49" s="6">
        <v>0</v>
      </c>
      <c r="F49">
        <f>E49/VLOOKUP($D49,CPI!$P$16:$R$22,3,FALSE)</f>
        <v>0</v>
      </c>
      <c r="G49" s="6">
        <v>251416</v>
      </c>
      <c r="H49">
        <f>G49/VLOOKUP($D49,CPI!$P$16:$R$22,3,FALSE)</f>
        <v>267159.75416363805</v>
      </c>
      <c r="I49" s="6">
        <v>109282</v>
      </c>
      <c r="J49">
        <f>I49/VLOOKUP($D49,CPI!$P$16:$R$22,3,FALSE)</f>
        <v>116125.27545784951</v>
      </c>
      <c r="K49">
        <f>VLOOKUP(C49,Total!A:O,13,FALSE)</f>
        <v>29728</v>
      </c>
    </row>
    <row r="50" spans="1:11" x14ac:dyDescent="0.2">
      <c r="A50">
        <f t="shared" si="1"/>
        <v>2</v>
      </c>
      <c r="B50" t="str">
        <f t="shared" si="9"/>
        <v>Portland State</v>
      </c>
      <c r="C50">
        <v>209807</v>
      </c>
      <c r="D50">
        <f t="shared" si="7"/>
        <v>2023</v>
      </c>
      <c r="E50" s="6">
        <v>0</v>
      </c>
      <c r="F50">
        <f>E50/VLOOKUP($D50,CPI!$P$16:$R$22,3,FALSE)</f>
        <v>0</v>
      </c>
      <c r="G50" s="6">
        <v>451157</v>
      </c>
      <c r="H50">
        <f>G50/VLOOKUP($D50,CPI!$P$16:$R$22,3,FALSE)</f>
        <v>451157</v>
      </c>
      <c r="I50" s="6">
        <v>318775</v>
      </c>
      <c r="J50">
        <f>I50/VLOOKUP($D50,CPI!$P$16:$R$22,3,FALSE)</f>
        <v>318775</v>
      </c>
      <c r="K50">
        <f>VLOOKUP(C50,Total!A:O,14,FALSE)</f>
        <v>31799</v>
      </c>
    </row>
    <row r="51" spans="1:11" x14ac:dyDescent="0.2">
      <c r="A51">
        <f t="shared" si="1"/>
        <v>2</v>
      </c>
      <c r="B51" s="8" t="s">
        <v>246</v>
      </c>
      <c r="C51">
        <v>230782</v>
      </c>
      <c r="D51">
        <f t="shared" si="7"/>
        <v>2017</v>
      </c>
      <c r="E51" s="6">
        <v>2323</v>
      </c>
      <c r="F51">
        <f>E51/VLOOKUP($D51,CPI!$P$16:$R$22,3,FALSE)</f>
        <v>2868.9502094524569</v>
      </c>
      <c r="G51" s="6">
        <v>678551</v>
      </c>
      <c r="H51">
        <f>G51/VLOOKUP($D51,CPI!$P$16:$R$22,3,FALSE)</f>
        <v>838023.69073360914</v>
      </c>
      <c r="I51" s="6">
        <v>524588</v>
      </c>
      <c r="J51">
        <f>I51/VLOOKUP($D51,CPI!$P$16:$R$22,3,FALSE)</f>
        <v>647876.38935697172</v>
      </c>
      <c r="K51">
        <f>VLOOKUP(C51,Total!A:O,8,FALSE)</f>
        <v>70489</v>
      </c>
    </row>
    <row r="52" spans="1:11" x14ac:dyDescent="0.2">
      <c r="A52">
        <f t="shared" si="1"/>
        <v>2</v>
      </c>
      <c r="B52" t="str">
        <f t="shared" ref="B52:B57" si="10">B51</f>
        <v>Weber State</v>
      </c>
      <c r="C52">
        <v>230782</v>
      </c>
      <c r="D52">
        <f t="shared" si="7"/>
        <v>2018</v>
      </c>
      <c r="E52" s="6">
        <v>11215</v>
      </c>
      <c r="F52">
        <f>E52/VLOOKUP($D52,CPI!$P$16:$R$22,3,FALSE)</f>
        <v>13545.42805872823</v>
      </c>
      <c r="G52" s="6">
        <v>849611</v>
      </c>
      <c r="H52">
        <f>G52/VLOOKUP($D52,CPI!$P$16:$R$22,3,FALSE)</f>
        <v>1026156.4581724609</v>
      </c>
      <c r="I52" s="6">
        <v>658083</v>
      </c>
      <c r="J52">
        <f>I52/VLOOKUP($D52,CPI!$P$16:$R$22,3,FALSE)</f>
        <v>794829.77558377618</v>
      </c>
      <c r="K52">
        <f>VLOOKUP(C52,Total!A:O,9,FALSE)</f>
        <v>79842</v>
      </c>
    </row>
    <row r="53" spans="1:11" x14ac:dyDescent="0.2">
      <c r="A53">
        <f t="shared" si="1"/>
        <v>2</v>
      </c>
      <c r="B53" t="str">
        <f t="shared" si="10"/>
        <v>Weber State</v>
      </c>
      <c r="C53">
        <v>230782</v>
      </c>
      <c r="D53">
        <f t="shared" si="7"/>
        <v>2019</v>
      </c>
      <c r="E53" s="6">
        <v>14023</v>
      </c>
      <c r="F53">
        <f>E53/VLOOKUP($D53,CPI!$P$16:$R$22,3,FALSE)</f>
        <v>16593.02189770935</v>
      </c>
      <c r="G53" s="6">
        <v>510817</v>
      </c>
      <c r="H53">
        <f>G53/VLOOKUP($D53,CPI!$P$16:$R$22,3,FALSE)</f>
        <v>604435.40374543227</v>
      </c>
      <c r="I53" s="6">
        <v>344497</v>
      </c>
      <c r="J53">
        <f>I53/VLOOKUP($D53,CPI!$P$16:$R$22,3,FALSE)</f>
        <v>407633.62081545871</v>
      </c>
      <c r="K53">
        <f>VLOOKUP(C53,Total!A:O,10,FALSE)</f>
        <v>80581</v>
      </c>
    </row>
    <row r="54" spans="1:11" x14ac:dyDescent="0.2">
      <c r="A54">
        <f t="shared" si="1"/>
        <v>2</v>
      </c>
      <c r="B54" t="str">
        <f t="shared" si="10"/>
        <v>Weber State</v>
      </c>
      <c r="C54">
        <v>230782</v>
      </c>
      <c r="D54">
        <f t="shared" si="7"/>
        <v>2020</v>
      </c>
      <c r="E54" s="6">
        <v>21160</v>
      </c>
      <c r="F54">
        <f>E54/VLOOKUP($D54,CPI!$P$16:$R$22,3,FALSE)</f>
        <v>24652.432375694905</v>
      </c>
      <c r="G54" s="6">
        <v>476578</v>
      </c>
      <c r="H54">
        <f>G54/VLOOKUP($D54,CPI!$P$16:$R$22,3,FALSE)</f>
        <v>555236.62177428766</v>
      </c>
      <c r="I54" s="6">
        <v>312828</v>
      </c>
      <c r="J54">
        <f>I54/VLOOKUP($D54,CPI!$P$16:$R$22,3,FALSE)</f>
        <v>364459.88257201726</v>
      </c>
      <c r="K54">
        <f>VLOOKUP(C54,Total!A:O,11,FALSE)</f>
        <v>71817</v>
      </c>
    </row>
    <row r="55" spans="1:11" x14ac:dyDescent="0.2">
      <c r="A55">
        <f t="shared" si="1"/>
        <v>2</v>
      </c>
      <c r="B55" t="str">
        <f t="shared" si="10"/>
        <v>Weber State</v>
      </c>
      <c r="C55">
        <v>230782</v>
      </c>
      <c r="D55">
        <f t="shared" si="7"/>
        <v>2021</v>
      </c>
      <c r="E55" s="6">
        <v>9626</v>
      </c>
      <c r="F55">
        <f>E55/VLOOKUP($D55,CPI!$P$16:$R$22,3,FALSE)</f>
        <v>10962.444012076743</v>
      </c>
      <c r="G55" s="6">
        <v>160023</v>
      </c>
      <c r="H55">
        <f>G55/VLOOKUP($D55,CPI!$P$16:$R$22,3,FALSE)</f>
        <v>182240.09745943866</v>
      </c>
      <c r="I55" s="6">
        <v>198894</v>
      </c>
      <c r="J55">
        <f>I55/VLOOKUP($D55,CPI!$P$16:$R$22,3,FALSE)</f>
        <v>226507.82665052896</v>
      </c>
      <c r="K55">
        <f>VLOOKUP(C55,Total!A:O,12,FALSE)</f>
        <v>19912</v>
      </c>
    </row>
    <row r="56" spans="1:11" x14ac:dyDescent="0.2">
      <c r="A56">
        <f t="shared" si="1"/>
        <v>2</v>
      </c>
      <c r="B56" t="str">
        <f t="shared" si="10"/>
        <v>Weber State</v>
      </c>
      <c r="C56">
        <v>230782</v>
      </c>
      <c r="D56">
        <f t="shared" si="7"/>
        <v>2022</v>
      </c>
      <c r="E56" s="6">
        <v>13481</v>
      </c>
      <c r="F56">
        <f>E56/VLOOKUP($D56,CPI!$P$16:$R$22,3,FALSE)</f>
        <v>14325.184737168694</v>
      </c>
      <c r="G56" s="6">
        <v>547550</v>
      </c>
      <c r="H56">
        <f>G56/VLOOKUP($D56,CPI!$P$16:$R$22,3,FALSE)</f>
        <v>581837.76447123499</v>
      </c>
      <c r="I56" s="6">
        <v>381113</v>
      </c>
      <c r="J56">
        <f>I56/VLOOKUP($D56,CPI!$P$16:$R$22,3,FALSE)</f>
        <v>404978.42376207793</v>
      </c>
      <c r="K56">
        <f>VLOOKUP(C56,Total!A:O,13,FALSE)</f>
        <v>52398</v>
      </c>
    </row>
    <row r="57" spans="1:11" x14ac:dyDescent="0.2">
      <c r="A57">
        <f t="shared" si="1"/>
        <v>2</v>
      </c>
      <c r="B57" t="str">
        <f t="shared" si="10"/>
        <v>Weber State</v>
      </c>
      <c r="C57">
        <v>230782</v>
      </c>
      <c r="D57">
        <f t="shared" si="7"/>
        <v>2023</v>
      </c>
      <c r="E57" s="6">
        <v>19175</v>
      </c>
      <c r="F57">
        <f>E57/VLOOKUP($D57,CPI!$P$16:$R$22,3,FALSE)</f>
        <v>19175</v>
      </c>
      <c r="G57" s="6">
        <v>891844</v>
      </c>
      <c r="H57">
        <f>G57/VLOOKUP($D57,CPI!$P$16:$R$22,3,FALSE)</f>
        <v>891844</v>
      </c>
      <c r="I57" s="6">
        <v>400596</v>
      </c>
      <c r="J57">
        <f>I57/VLOOKUP($D57,CPI!$P$16:$R$22,3,FALSE)</f>
        <v>400596</v>
      </c>
      <c r="K57">
        <f>VLOOKUP(C57,Total!A:O,14,FALSE)</f>
        <v>73458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6A60-419F-419C-A0DD-AC8DBBE88769}">
  <sheetPr>
    <tabColor rgb="FFC00000"/>
  </sheetPr>
  <dimension ref="A1:O844"/>
  <sheetViews>
    <sheetView workbookViewId="0"/>
  </sheetViews>
  <sheetFormatPr baseColWidth="10" defaultColWidth="9.1640625" defaultRowHeight="15" x14ac:dyDescent="0.2"/>
  <cols>
    <col min="1" max="1" width="4.83203125" customWidth="1"/>
    <col min="2" max="2" width="4.5" customWidth="1"/>
    <col min="3" max="3" width="5.5" bestFit="1" customWidth="1"/>
    <col min="4" max="4" width="5.6640625" customWidth="1"/>
    <col min="5" max="5" width="7" bestFit="1" customWidth="1"/>
    <col min="6" max="6" width="9.5" bestFit="1" customWidth="1"/>
    <col min="7" max="7" width="7.5" bestFit="1" customWidth="1"/>
    <col min="8" max="8" width="24.5" bestFit="1" customWidth="1"/>
    <col min="9" max="9" width="11.33203125" bestFit="1" customWidth="1"/>
    <col min="10" max="10" width="14.83203125" bestFit="1" customWidth="1"/>
    <col min="11" max="11" width="9" customWidth="1"/>
    <col min="12" max="12" width="9.5" bestFit="1" customWidth="1"/>
    <col min="13" max="13" width="10.5" customWidth="1"/>
    <col min="14" max="14" width="13.1640625" customWidth="1"/>
    <col min="15" max="15" width="9.33203125" bestFit="1" customWidth="1"/>
  </cols>
  <sheetData>
    <row r="1" spans="1:15" x14ac:dyDescent="0.2">
      <c r="A1" t="s">
        <v>270</v>
      </c>
      <c r="B1" t="s">
        <v>269</v>
      </c>
      <c r="C1" t="s">
        <v>20</v>
      </c>
      <c r="D1" s="5" t="s">
        <v>16</v>
      </c>
      <c r="E1" s="5" t="s">
        <v>15</v>
      </c>
      <c r="F1" s="5" t="s">
        <v>17</v>
      </c>
      <c r="G1" s="5" t="s">
        <v>18</v>
      </c>
      <c r="H1" s="5" t="s">
        <v>19</v>
      </c>
      <c r="I1" t="s">
        <v>272</v>
      </c>
      <c r="J1" t="s">
        <v>273</v>
      </c>
      <c r="K1" t="s">
        <v>279</v>
      </c>
      <c r="L1" t="s">
        <v>278</v>
      </c>
      <c r="M1" t="s">
        <v>280</v>
      </c>
      <c r="N1" t="s">
        <v>281</v>
      </c>
      <c r="O1" t="s">
        <v>288</v>
      </c>
    </row>
    <row r="2" spans="1:15" ht="16" thickBot="1" x14ac:dyDescent="0.25">
      <c r="A2" s="15">
        <v>2</v>
      </c>
      <c r="B2">
        <f>IF(ISBLANK(G2),"",IF(MID(G2,1,1)="M",0,1))</f>
        <v>0</v>
      </c>
      <c r="C2">
        <f>IF(ISBLANK(H2),"",VLOOKUP(H2,Code!B:C,2,FALSE))</f>
        <v>1</v>
      </c>
      <c r="D2">
        <v>2017</v>
      </c>
      <c r="E2">
        <v>104179</v>
      </c>
      <c r="F2" t="s">
        <v>45</v>
      </c>
      <c r="G2" t="s">
        <v>289</v>
      </c>
      <c r="H2" t="s">
        <v>0</v>
      </c>
      <c r="I2" cm="1">
        <f t="array" ref="I2">IF(B2=0,INDEX('Category 14'!F:F,MATCH(C2&amp;E2&amp;D2,'Category 14'!B:B&amp;'Category 14'!C:C&amp;'Category 14'!A:A,0)),INDEX('Category 14'!G:G,MATCH(C2&amp;E2&amp;D2,'Category 14'!B:B&amp;'Category 14'!C:C&amp;'Category 14'!A:A,0)))</f>
        <v>23795</v>
      </c>
      <c r="J2">
        <f>I2/VLOOKUP($D2,CPI!$P$16:$R$22,3,FALSE)</f>
        <v>29387.288090366426</v>
      </c>
      <c r="K2" cm="1">
        <f t="array" ref="K2">IF(B2=0,INDEX('Category 15'!F:F,MATCH(C2&amp;E2&amp;D2,'Category 15'!B:B&amp;'Category 15'!C:C&amp;'Category 15'!A:A,0)),INDEX('Category 15'!G:G,MATCH(C2&amp;E2&amp;D2,'Category 15'!B:B&amp;'Category 31'!C:C&amp;'Category 15'!A:A,0)))</f>
        <v>0</v>
      </c>
      <c r="L2">
        <f>K2/VLOOKUP($D2,CPI!$P$16:$R$22,3,FALSE)</f>
        <v>0</v>
      </c>
      <c r="M2" s="16" cm="1">
        <f t="array" ref="M2">IF(B2=0,INDEX('Category 31'!F:F,MATCH(C2&amp;E2&amp;D2,'Category 31'!B:B&amp;'Category 31'!C:C&amp;'Category 31'!A:A,0)),INDEX('Category 31'!G:G,MATCH(C2&amp;E2&amp;D2,'Category 31'!B:B&amp;'Category 31'!C:C&amp;'Category 31'!A:A,0)))</f>
        <v>0</v>
      </c>
      <c r="N2" s="16">
        <f>M2/VLOOKUP($D2,CPI!$P$16:$R$22,3,FALSE)</f>
        <v>0</v>
      </c>
      <c r="O2" s="17">
        <f>VLOOKUP(E2,MBaseball!C:O,6,FALSE)</f>
        <v>103896</v>
      </c>
    </row>
    <row r="3" spans="1:15" ht="16" thickBot="1" x14ac:dyDescent="0.25">
      <c r="A3" s="15">
        <v>2</v>
      </c>
      <c r="B3">
        <f t="shared" ref="B3:B66" si="0">IF(ISBLANK(G3),"",IF(MID(G3,1,1)="M",0,1))</f>
        <v>0</v>
      </c>
      <c r="C3">
        <f>IF(ISBLANK(H3),"",VLOOKUP(H3,Code!B:C,2,FALSE))</f>
        <v>2</v>
      </c>
      <c r="D3">
        <v>2017</v>
      </c>
      <c r="E3">
        <v>104179</v>
      </c>
      <c r="F3" t="s">
        <v>45</v>
      </c>
      <c r="G3" t="s">
        <v>289</v>
      </c>
      <c r="H3" t="s">
        <v>1</v>
      </c>
      <c r="I3" cm="1">
        <f t="array" ref="I3">IF(B3=0,INDEX('Category 14'!F:F,MATCH(C3&amp;E3&amp;D3,'Category 14'!B:B&amp;'Category 14'!C:C&amp;'Category 14'!A:A,0)),INDEX('Category 14'!G:G,MATCH(C3&amp;E3&amp;D3,'Category 14'!B:B&amp;'Category 14'!C:C&amp;'Category 14'!A:A,0)))</f>
        <v>353895</v>
      </c>
      <c r="J3">
        <f>I3/VLOOKUP($D3,CPI!$P$16:$R$22,3,FALSE)</f>
        <v>437067.21238664538</v>
      </c>
      <c r="K3" cm="1">
        <f t="array" ref="K3">IF(B3=0,INDEX('Category 15'!F:F,MATCH(C3&amp;E3&amp;D3,'Category 15'!B:B&amp;'Category 15'!C:C&amp;'Category 15'!A:A,0)),INDEX('Category 15'!G:G,MATCH(C3&amp;E3&amp;D3,'Category 15'!B:B&amp;'Category 31'!C:C&amp;'Category 15'!A:A,0)))</f>
        <v>4950066</v>
      </c>
      <c r="L3">
        <f>K3/VLOOKUP($D3,CPI!$P$16:$R$22,3,FALSE)</f>
        <v>6113427.8465361539</v>
      </c>
      <c r="M3" s="16">
        <v>0</v>
      </c>
      <c r="N3" s="16">
        <f>M3/VLOOKUP($D3,CPI!$P$16:$R$22,3,FALSE)</f>
        <v>0</v>
      </c>
      <c r="O3" s="17">
        <f>VLOOKUP(E3,MBasketball!C:P,6,FALSE)</f>
        <v>230560</v>
      </c>
    </row>
    <row r="4" spans="1:15" ht="16" thickBot="1" x14ac:dyDescent="0.25">
      <c r="A4" s="15">
        <v>2</v>
      </c>
      <c r="B4">
        <f t="shared" si="0"/>
        <v>0</v>
      </c>
      <c r="C4">
        <f>IF(ISBLANK(H4),"",VLOOKUP(H4,Code!B:C,2,FALSE))</f>
        <v>8</v>
      </c>
      <c r="D4">
        <v>2017</v>
      </c>
      <c r="E4">
        <v>104179</v>
      </c>
      <c r="F4" t="s">
        <v>45</v>
      </c>
      <c r="G4" t="s">
        <v>289</v>
      </c>
      <c r="H4" t="s">
        <v>2</v>
      </c>
      <c r="I4" cm="1">
        <f t="array" ref="I4">IF(B4=0,INDEX('Category 14'!F:F,MATCH(C4&amp;E4&amp;D4,'Category 14'!B:B&amp;'Category 14'!C:C&amp;'Category 14'!A:A,0)),INDEX('Category 14'!G:G,MATCH(C4&amp;E4&amp;D4,'Category 14'!B:B&amp;'Category 14'!C:C&amp;'Category 14'!A:A,0)))</f>
        <v>659525</v>
      </c>
      <c r="J4">
        <f>I4/VLOOKUP($D4,CPI!$P$16:$R$22,3,FALSE)</f>
        <v>814526.21045593265</v>
      </c>
      <c r="K4" cm="1">
        <f t="array" ref="K4">IF(B4=0,INDEX('Category 15'!F:F,MATCH(C4&amp;E4&amp;D4,'Category 15'!B:B&amp;'Category 15'!C:C&amp;'Category 15'!A:A,0)),INDEX('Category 15'!G:G,MATCH(C4&amp;E4&amp;D4,'Category 15'!B:B&amp;'Category 31'!C:C&amp;'Category 15'!A:A,0)))</f>
        <v>4950066</v>
      </c>
      <c r="L4">
        <f>K4/VLOOKUP($D4,CPI!$P$16:$R$22,3,FALSE)</f>
        <v>6113427.8465361539</v>
      </c>
      <c r="M4" s="16" cm="1">
        <f t="array" ref="M4">IF(B4=0,INDEX('Category 31'!F:F,MATCH(C4&amp;E4&amp;D4,'Category 31'!B:B&amp;'Category 31'!C:C&amp;'Category 31'!A:A,0)),INDEX('Category 31'!G:G,MATCH(C4&amp;E4&amp;D4,'Category 31'!B:B&amp;'Category 31'!C:C&amp;'Category 31'!A:A,0)))</f>
        <v>0</v>
      </c>
      <c r="N4" s="16">
        <f>M4/VLOOKUP($D4,CPI!$P$16:$R$22,3,FALSE)</f>
        <v>0</v>
      </c>
      <c r="O4" s="17">
        <f>VLOOKUP(E4,MFootball!C:P,6,FALSE)</f>
        <v>338017</v>
      </c>
    </row>
    <row r="5" spans="1:15" ht="16" thickBot="1" x14ac:dyDescent="0.25">
      <c r="A5" s="15">
        <v>2</v>
      </c>
      <c r="B5">
        <f t="shared" si="0"/>
        <v>0</v>
      </c>
      <c r="C5">
        <f>IF(ISBLANK(H5),"",VLOOKUP(H5,Code!B:C,2,FALSE))</f>
        <v>9</v>
      </c>
      <c r="D5">
        <v>2017</v>
      </c>
      <c r="E5">
        <v>104179</v>
      </c>
      <c r="F5" t="s">
        <v>45</v>
      </c>
      <c r="G5" t="s">
        <v>289</v>
      </c>
      <c r="H5" t="s">
        <v>3</v>
      </c>
      <c r="I5" cm="1">
        <f t="array" ref="I5">IF(B5=0,INDEX('Category 14'!F:F,MATCH(C5&amp;E5&amp;D5,'Category 14'!B:B&amp;'Category 14'!C:C&amp;'Category 14'!A:A,0)),INDEX('Category 14'!G:G,MATCH(C5&amp;E5&amp;D5,'Category 14'!B:B&amp;'Category 14'!C:C&amp;'Category 14'!A:A,0)))</f>
        <v>18513</v>
      </c>
      <c r="J5">
        <f>I5/VLOOKUP($D5,CPI!$P$16:$R$22,3,FALSE)</f>
        <v>22863.915293841295</v>
      </c>
      <c r="K5" cm="1">
        <f t="array" ref="K5">IF(B5=0,INDEX('Category 15'!F:F,MATCH(C5&amp;E5&amp;D5,'Category 15'!B:B&amp;'Category 15'!C:C&amp;'Category 15'!A:A,0)),INDEX('Category 15'!G:G,MATCH(C5&amp;E5&amp;D5,'Category 15'!B:B&amp;'Category 31'!C:C&amp;'Category 15'!A:A,0)))</f>
        <v>0</v>
      </c>
      <c r="L5">
        <f>K5/VLOOKUP($D5,CPI!$P$16:$R$22,3,FALSE)</f>
        <v>0</v>
      </c>
      <c r="M5" s="16" cm="1">
        <f t="array" ref="M5">IF(B5=0,INDEX('Category 31'!F:F,MATCH(C5&amp;E5&amp;D5,'Category 31'!B:B&amp;'Category 31'!C:C&amp;'Category 31'!A:A,0)),INDEX('Category 31'!G:G,MATCH(C5&amp;E5&amp;D5,'Category 31'!B:B&amp;'Category 31'!C:C&amp;'Category 31'!A:A,0)))</f>
        <v>0</v>
      </c>
      <c r="N5" s="16">
        <f>M5/VLOOKUP($D5,CPI!$P$16:$R$22,3,FALSE)</f>
        <v>0</v>
      </c>
      <c r="O5" s="17">
        <v>0</v>
      </c>
    </row>
    <row r="6" spans="1:15" ht="16" thickBot="1" x14ac:dyDescent="0.25">
      <c r="A6" s="15">
        <v>2</v>
      </c>
      <c r="B6">
        <f t="shared" si="0"/>
        <v>0</v>
      </c>
      <c r="C6">
        <f>IF(ISBLANK(H6),"",VLOOKUP(H6,Code!B:C,2,FALSE))</f>
        <v>19</v>
      </c>
      <c r="D6">
        <v>2017</v>
      </c>
      <c r="E6">
        <v>104179</v>
      </c>
      <c r="F6" t="s">
        <v>45</v>
      </c>
      <c r="G6" t="s">
        <v>289</v>
      </c>
      <c r="H6" t="s">
        <v>7</v>
      </c>
      <c r="I6" cm="1">
        <f t="array" ref="I6">IF(B6=0,INDEX('Category 14'!F:F,MATCH(C6&amp;E6&amp;D6,'Category 14'!B:B&amp;'Category 14'!C:C&amp;'Category 14'!A:A,0)),INDEX('Category 14'!G:G,MATCH(C6&amp;E6&amp;D6,'Category 14'!B:B&amp;'Category 14'!C:C&amp;'Category 14'!A:A,0)))</f>
        <v>5787</v>
      </c>
      <c r="J6">
        <f>I6/VLOOKUP($D6,CPI!$P$16:$R$22,3,FALSE)</f>
        <v>7147.057624666968</v>
      </c>
      <c r="K6" cm="1">
        <f t="array" ref="K6">IF(B6=0,INDEX('Category 15'!F:F,MATCH(C6&amp;E6&amp;D6,'Category 15'!B:B&amp;'Category 15'!C:C&amp;'Category 15'!A:A,0)),INDEX('Category 15'!G:G,MATCH(C6&amp;E6&amp;D6,'Category 15'!B:B&amp;'Category 31'!C:C&amp;'Category 15'!A:A,0)))</f>
        <v>0</v>
      </c>
      <c r="L6">
        <f>K6/VLOOKUP($D6,CPI!$P$16:$R$22,3,FALSE)</f>
        <v>0</v>
      </c>
      <c r="M6" s="16" cm="1">
        <f t="array" ref="M6">IF(B6=0,INDEX('Category 31'!F:F,MATCH(C6&amp;E6&amp;D6,'Category 31'!B:B&amp;'Category 31'!C:C&amp;'Category 31'!A:A,0)),INDEX('Category 31'!G:G,MATCH(C6&amp;E6&amp;D6,'Category 31'!B:B&amp;'Category 31'!C:C&amp;'Category 31'!A:A,0)))</f>
        <v>0</v>
      </c>
      <c r="N6" s="16">
        <f>M6/VLOOKUP($D6,CPI!$P$16:$R$22,3,FALSE)</f>
        <v>0</v>
      </c>
      <c r="O6" s="17">
        <v>0</v>
      </c>
    </row>
    <row r="7" spans="1:15" ht="16" thickBot="1" x14ac:dyDescent="0.25">
      <c r="A7" s="15">
        <v>2</v>
      </c>
      <c r="B7">
        <f t="shared" si="0"/>
        <v>0</v>
      </c>
      <c r="C7">
        <f>IF(ISBLANK(H7),"",VLOOKUP(H7,Code!B:C,2,FALSE))</f>
        <v>20</v>
      </c>
      <c r="D7">
        <v>2017</v>
      </c>
      <c r="E7">
        <v>104179</v>
      </c>
      <c r="F7" t="s">
        <v>45</v>
      </c>
      <c r="G7" t="s">
        <v>289</v>
      </c>
      <c r="H7" t="s">
        <v>8</v>
      </c>
      <c r="I7" cm="1">
        <f t="array" ref="I7">IF(B7=0,INDEX('Category 14'!F:F,MATCH(C7&amp;E7&amp;D7,'Category 14'!B:B&amp;'Category 14'!C:C&amp;'Category 14'!A:A,0)),INDEX('Category 14'!G:G,MATCH(C7&amp;E7&amp;D7,'Category 14'!B:B&amp;'Category 14'!C:C&amp;'Category 14'!A:A,0)))</f>
        <v>0</v>
      </c>
      <c r="J7">
        <f>I7/VLOOKUP($D7,CPI!$P$16:$R$22,3,FALSE)</f>
        <v>0</v>
      </c>
      <c r="K7" cm="1">
        <f t="array" ref="K7">IF(B7=0,INDEX('Category 15'!F:F,MATCH(C7&amp;E7&amp;D7,'Category 15'!B:B&amp;'Category 15'!C:C&amp;'Category 15'!A:A,0)),INDEX('Category 15'!G:G,MATCH(C7&amp;E7&amp;D7,'Category 15'!B:B&amp;'Category 31'!C:C&amp;'Category 15'!A:A,0)))</f>
        <v>0</v>
      </c>
      <c r="L7">
        <f>K7/VLOOKUP($D7,CPI!$P$16:$R$22,3,FALSE)</f>
        <v>0</v>
      </c>
      <c r="M7" s="16" cm="1">
        <f t="array" ref="M7">IF(B7=0,INDEX('Category 31'!F:F,MATCH(C7&amp;E7&amp;D7,'Category 31'!B:B&amp;'Category 31'!C:C&amp;'Category 31'!A:A,0)),INDEX('Category 31'!G:G,MATCH(C7&amp;E7&amp;D7,'Category 31'!B:B&amp;'Category 31'!C:C&amp;'Category 31'!A:A,0)))</f>
        <v>0</v>
      </c>
      <c r="N7" s="16">
        <f>M7/VLOOKUP($D7,CPI!$P$16:$R$22,3,FALSE)</f>
        <v>0</v>
      </c>
      <c r="O7" s="17">
        <v>0</v>
      </c>
    </row>
    <row r="8" spans="1:15" ht="16" thickBot="1" x14ac:dyDescent="0.25">
      <c r="A8" s="15">
        <v>2</v>
      </c>
      <c r="B8">
        <f t="shared" si="0"/>
        <v>0</v>
      </c>
      <c r="C8">
        <f>IF(ISBLANK(H8),"",VLOOKUP(H8,Code!B:C,2,FALSE))</f>
        <v>21</v>
      </c>
      <c r="D8">
        <v>2017</v>
      </c>
      <c r="E8">
        <v>104179</v>
      </c>
      <c r="F8" t="s">
        <v>45</v>
      </c>
      <c r="G8" t="s">
        <v>289</v>
      </c>
      <c r="H8" t="s">
        <v>36</v>
      </c>
      <c r="I8" cm="1">
        <f t="array" ref="I8">IF(B8=0,INDEX('Category 14'!F:F,MATCH(C8&amp;E8&amp;D8,'Category 14'!B:B&amp;'Category 14'!C:C&amp;'Category 14'!A:A,0)),INDEX('Category 14'!G:G,MATCH(C8&amp;E8&amp;D8,'Category 14'!B:B&amp;'Category 14'!C:C&amp;'Category 14'!A:A,0)))</f>
        <v>15915</v>
      </c>
      <c r="J8">
        <f>I8/VLOOKUP($D8,CPI!$P$16:$R$22,3,FALSE)</f>
        <v>19655.334732430412</v>
      </c>
      <c r="K8" cm="1">
        <f t="array" ref="K8">IF(B8=0,INDEX('Category 15'!F:F,MATCH(C8&amp;E8&amp;D8,'Category 15'!B:B&amp;'Category 15'!C:C&amp;'Category 15'!A:A,0)),INDEX('Category 15'!G:G,MATCH(C8&amp;E8&amp;D8,'Category 15'!B:B&amp;'Category 31'!C:C&amp;'Category 15'!A:A,0)))</f>
        <v>0</v>
      </c>
      <c r="L8">
        <f>K8/VLOOKUP($D8,CPI!$P$16:$R$22,3,FALSE)</f>
        <v>0</v>
      </c>
      <c r="M8" s="16" cm="1">
        <f t="array" ref="M8">IF(B8=0,INDEX('Category 31'!F:F,MATCH(C8&amp;E8&amp;D8,'Category 31'!B:B&amp;'Category 31'!C:C&amp;'Category 31'!A:A,0)),INDEX('Category 31'!G:G,MATCH(C8&amp;E8&amp;D8,'Category 31'!B:B&amp;'Category 31'!C:C&amp;'Category 31'!A:A,0)))</f>
        <v>0</v>
      </c>
      <c r="N8" s="16">
        <f>M8/VLOOKUP($D8,CPI!$P$16:$R$22,3,FALSE)</f>
        <v>0</v>
      </c>
      <c r="O8" s="17">
        <v>0</v>
      </c>
    </row>
    <row r="9" spans="1:15" ht="16" thickBot="1" x14ac:dyDescent="0.25">
      <c r="A9" s="15">
        <v>2</v>
      </c>
      <c r="B9">
        <f t="shared" si="0"/>
        <v>1</v>
      </c>
      <c r="C9">
        <f>IF(ISBLANK(H9),"",VLOOKUP(H9,Code!B:C,2,FALSE))</f>
        <v>2</v>
      </c>
      <c r="D9">
        <v>2017</v>
      </c>
      <c r="E9">
        <v>104179</v>
      </c>
      <c r="F9" t="s">
        <v>45</v>
      </c>
      <c r="G9" t="s">
        <v>290</v>
      </c>
      <c r="H9" t="s">
        <v>1</v>
      </c>
      <c r="I9" cm="1">
        <f t="array" ref="I9">IF(B9=0,INDEX('Category 14'!F:F,MATCH(C9&amp;E9&amp;D9,'Category 14'!B:B&amp;'Category 14'!C:C&amp;'Category 14'!A:A,0)),INDEX('Category 14'!G:G,MATCH(C9&amp;E9&amp;D9,'Category 14'!B:B&amp;'Category 14'!C:C&amp;'Category 14'!A:A,0)))</f>
        <v>0</v>
      </c>
      <c r="J9">
        <f>I9/VLOOKUP($D9,CPI!$P$16:$R$22,3,FALSE)</f>
        <v>0</v>
      </c>
      <c r="K9" cm="1">
        <f t="array" ref="K9">IF(B9=0,INDEX('Category 15'!F:F,MATCH(C9&amp;E9&amp;D9,'Category 15'!B:B&amp;'Category 15'!C:C&amp;'Category 15'!A:A,0)),INDEX('Category 15'!G:G,MATCH(C9&amp;E9&amp;D9,'Category 15'!B:B&amp;'Category 31'!C:C&amp;'Category 15'!A:A,0)))</f>
        <v>0</v>
      </c>
      <c r="L9">
        <f>K9/VLOOKUP($D9,CPI!$P$16:$R$22,3,FALSE)</f>
        <v>0</v>
      </c>
      <c r="M9" s="16">
        <v>0</v>
      </c>
      <c r="N9" s="16">
        <f>M9/VLOOKUP($D9,CPI!$P$16:$R$22,3,FALSE)</f>
        <v>0</v>
      </c>
      <c r="O9" s="17">
        <f>VLOOKUP(E9,WBasketball!C:P,6,FALSE)</f>
        <v>29422</v>
      </c>
    </row>
    <row r="10" spans="1:15" ht="16" thickBot="1" x14ac:dyDescent="0.25">
      <c r="A10" s="15">
        <v>2</v>
      </c>
      <c r="B10">
        <f t="shared" si="0"/>
        <v>1</v>
      </c>
      <c r="C10">
        <f>IF(ISBLANK(H10),"",VLOOKUP(H10,Code!B:C,2,FALSE))</f>
        <v>3</v>
      </c>
      <c r="D10">
        <v>2017</v>
      </c>
      <c r="E10">
        <v>104179</v>
      </c>
      <c r="F10" t="s">
        <v>45</v>
      </c>
      <c r="G10" t="s">
        <v>290</v>
      </c>
      <c r="H10" t="s">
        <v>21</v>
      </c>
      <c r="I10" cm="1">
        <f t="array" ref="I10">IF(B10=0,INDEX('Category 14'!F:F,MATCH(C10&amp;E10&amp;D10,'Category 14'!B:B&amp;'Category 14'!C:C&amp;'Category 14'!A:A,0)),INDEX('Category 14'!G:G,MATCH(C10&amp;E10&amp;D10,'Category 14'!B:B&amp;'Category 14'!C:C&amp;'Category 14'!A:A,0)))</f>
        <v>328</v>
      </c>
      <c r="J10">
        <f>I10/VLOOKUP($D10,CPI!$P$16:$R$22,3,FALSE)</f>
        <v>405.08638342677824</v>
      </c>
      <c r="K10" cm="1">
        <f t="array" ref="K10">IF(B10=0,INDEX('Category 15'!F:F,MATCH(C10&amp;E10&amp;D10,'Category 15'!B:B&amp;'Category 15'!C:C&amp;'Category 15'!A:A,0)),INDEX('Category 15'!G:G,MATCH(C10&amp;E10&amp;D10,'Category 15'!B:B&amp;'Category 31'!C:C&amp;'Category 15'!A:A,0)))</f>
        <v>0</v>
      </c>
      <c r="L10">
        <f>K10/VLOOKUP($D10,CPI!$P$16:$R$22,3,FALSE)</f>
        <v>0</v>
      </c>
      <c r="M10" s="16" cm="1">
        <f t="array" ref="M10">IF(B10=0,INDEX('Category 31'!F:F,MATCH(C10&amp;E10&amp;D10,'Category 31'!B:B&amp;'Category 31'!C:C&amp;'Category 31'!A:A,0)),INDEX('Category 31'!G:G,MATCH(C10&amp;E10&amp;D10,'Category 31'!B:B&amp;'Category 31'!C:C&amp;'Category 31'!A:A,0)))</f>
        <v>0</v>
      </c>
      <c r="N10" s="16">
        <f>M10/VLOOKUP($D10,CPI!$P$16:$R$22,3,FALSE)</f>
        <v>0</v>
      </c>
      <c r="O10" s="17">
        <v>0</v>
      </c>
    </row>
    <row r="11" spans="1:15" ht="16" thickBot="1" x14ac:dyDescent="0.25">
      <c r="A11" s="15">
        <v>2</v>
      </c>
      <c r="B11">
        <f t="shared" si="0"/>
        <v>1</v>
      </c>
      <c r="C11">
        <f>IF(ISBLANK(H11),"",VLOOKUP(H11,Code!B:C,2,FALSE))</f>
        <v>9</v>
      </c>
      <c r="D11">
        <v>2017</v>
      </c>
      <c r="E11">
        <v>104179</v>
      </c>
      <c r="F11" t="s">
        <v>45</v>
      </c>
      <c r="G11" t="s">
        <v>290</v>
      </c>
      <c r="H11" t="s">
        <v>3</v>
      </c>
      <c r="I11" cm="1">
        <f t="array" ref="I11">IF(B11=0,INDEX('Category 14'!F:F,MATCH(C11&amp;E11&amp;D11,'Category 14'!B:B&amp;'Category 14'!C:C&amp;'Category 14'!A:A,0)),INDEX('Category 14'!G:G,MATCH(C11&amp;E11&amp;D11,'Category 14'!B:B&amp;'Category 14'!C:C&amp;'Category 14'!A:A,0)))</f>
        <v>4680</v>
      </c>
      <c r="J11">
        <f>I11/VLOOKUP($D11,CPI!$P$16:$R$22,3,FALSE)</f>
        <v>5779.891080601592</v>
      </c>
      <c r="K11" cm="1">
        <f t="array" ref="K11">IF(B11=0,INDEX('Category 15'!F:F,MATCH(C11&amp;E11&amp;D11,'Category 15'!B:B&amp;'Category 15'!C:C&amp;'Category 15'!A:A,0)),INDEX('Category 15'!G:G,MATCH(C11&amp;E11&amp;D11,'Category 15'!B:B&amp;'Category 31'!C:C&amp;'Category 15'!A:A,0)))</f>
        <v>0</v>
      </c>
      <c r="L11">
        <f>K11/VLOOKUP($D11,CPI!$P$16:$R$22,3,FALSE)</f>
        <v>0</v>
      </c>
      <c r="M11" s="16" cm="1">
        <f t="array" ref="M11">IF(B11=0,INDEX('Category 31'!F:F,MATCH(C11&amp;E11&amp;D11,'Category 31'!B:B&amp;'Category 31'!C:C&amp;'Category 31'!A:A,0)),INDEX('Category 31'!G:G,MATCH(C11&amp;E11&amp;D11,'Category 31'!B:B&amp;'Category 31'!C:C&amp;'Category 31'!A:A,0)))</f>
        <v>0</v>
      </c>
      <c r="N11" s="16">
        <f>M11/VLOOKUP($D11,CPI!$P$16:$R$22,3,FALSE)</f>
        <v>0</v>
      </c>
      <c r="O11" s="17">
        <v>0</v>
      </c>
    </row>
    <row r="12" spans="1:15" ht="16" thickBot="1" x14ac:dyDescent="0.25">
      <c r="A12" s="15">
        <v>2</v>
      </c>
      <c r="B12">
        <f t="shared" si="0"/>
        <v>1</v>
      </c>
      <c r="C12">
        <f>IF(ISBLANK(H12),"",VLOOKUP(H12,Code!B:C,2,FALSE))</f>
        <v>10</v>
      </c>
      <c r="D12">
        <v>2017</v>
      </c>
      <c r="E12">
        <v>104179</v>
      </c>
      <c r="F12" t="s">
        <v>45</v>
      </c>
      <c r="G12" t="s">
        <v>290</v>
      </c>
      <c r="H12" t="s">
        <v>4</v>
      </c>
      <c r="I12" cm="1">
        <f t="array" ref="I12">IF(B12=0,INDEX('Category 14'!F:F,MATCH(C12&amp;E12&amp;D12,'Category 14'!B:B&amp;'Category 14'!C:C&amp;'Category 14'!A:A,0)),INDEX('Category 14'!G:G,MATCH(C12&amp;E12&amp;D12,'Category 14'!B:B&amp;'Category 14'!C:C&amp;'Category 14'!A:A,0)))</f>
        <v>295</v>
      </c>
      <c r="J12">
        <f>I12/VLOOKUP($D12,CPI!$P$16:$R$22,3,FALSE)</f>
        <v>364.330741191767</v>
      </c>
      <c r="K12" cm="1">
        <f t="array" ref="K12">IF(B12=0,INDEX('Category 15'!F:F,MATCH(C12&amp;E12&amp;D12,'Category 15'!B:B&amp;'Category 15'!C:C&amp;'Category 15'!A:A,0)),INDEX('Category 15'!G:G,MATCH(C12&amp;E12&amp;D12,'Category 15'!B:B&amp;'Category 31'!C:C&amp;'Category 15'!A:A,0)))</f>
        <v>0</v>
      </c>
      <c r="L12">
        <f>K12/VLOOKUP($D12,CPI!$P$16:$R$22,3,FALSE)</f>
        <v>0</v>
      </c>
      <c r="M12" s="16" cm="1">
        <f t="array" ref="M12">IF(B12=0,INDEX('Category 31'!F:F,MATCH(C12&amp;E12&amp;D12,'Category 31'!B:B&amp;'Category 31'!C:C&amp;'Category 31'!A:A,0)),INDEX('Category 31'!G:G,MATCH(C12&amp;E12&amp;D12,'Category 31'!B:B&amp;'Category 31'!C:C&amp;'Category 31'!A:A,0)))</f>
        <v>0</v>
      </c>
      <c r="N12" s="16">
        <f>M12/VLOOKUP($D12,CPI!$P$16:$R$22,3,FALSE)</f>
        <v>0</v>
      </c>
      <c r="O12" s="17">
        <v>0</v>
      </c>
    </row>
    <row r="13" spans="1:15" ht="16" thickBot="1" x14ac:dyDescent="0.25">
      <c r="A13" s="15">
        <v>2</v>
      </c>
      <c r="B13">
        <f t="shared" si="0"/>
        <v>1</v>
      </c>
      <c r="C13">
        <f>IF(ISBLANK(H13),"",VLOOKUP(H13,Code!B:C,2,FALSE))</f>
        <v>17</v>
      </c>
      <c r="D13">
        <v>2017</v>
      </c>
      <c r="E13">
        <v>104179</v>
      </c>
      <c r="F13" t="s">
        <v>45</v>
      </c>
      <c r="G13" t="s">
        <v>290</v>
      </c>
      <c r="H13" t="s">
        <v>5</v>
      </c>
      <c r="I13" cm="1">
        <f t="array" ref="I13">IF(B13=0,INDEX('Category 14'!F:F,MATCH(C13&amp;E13&amp;D13,'Category 14'!B:B&amp;'Category 14'!C:C&amp;'Category 14'!A:A,0)),INDEX('Category 14'!G:G,MATCH(C13&amp;E13&amp;D13,'Category 14'!B:B&amp;'Category 14'!C:C&amp;'Category 14'!A:A,0)))</f>
        <v>2346</v>
      </c>
      <c r="J13">
        <f>I13/VLOOKUP($D13,CPI!$P$16:$R$22,3,FALSE)</f>
        <v>2897.3556570707979</v>
      </c>
      <c r="K13" cm="1">
        <f t="array" ref="K13">IF(B13=0,INDEX('Category 15'!F:F,MATCH(C13&amp;E13&amp;D13,'Category 15'!B:B&amp;'Category 15'!C:C&amp;'Category 15'!A:A,0)),INDEX('Category 15'!G:G,MATCH(C13&amp;E13&amp;D13,'Category 15'!B:B&amp;'Category 31'!C:C&amp;'Category 15'!A:A,0)))</f>
        <v>0</v>
      </c>
      <c r="L13">
        <f>K13/VLOOKUP($D13,CPI!$P$16:$R$22,3,FALSE)</f>
        <v>0</v>
      </c>
      <c r="M13" s="16" cm="1">
        <f t="array" ref="M13">IF(B13=0,INDEX('Category 31'!F:F,MATCH(C13&amp;E13&amp;D13,'Category 31'!B:B&amp;'Category 31'!C:C&amp;'Category 31'!A:A,0)),INDEX('Category 31'!G:G,MATCH(C13&amp;E13&amp;D13,'Category 31'!B:B&amp;'Category 31'!C:C&amp;'Category 31'!A:A,0)))</f>
        <v>0</v>
      </c>
      <c r="N13" s="16">
        <f>M13/VLOOKUP($D13,CPI!$P$16:$R$22,3,FALSE)</f>
        <v>0</v>
      </c>
      <c r="O13" s="17">
        <f>VLOOKUP(E13,WSoccer!C:P,6,FALSE)</f>
        <v>5822</v>
      </c>
    </row>
    <row r="14" spans="1:15" ht="16" thickBot="1" x14ac:dyDescent="0.25">
      <c r="A14" s="15">
        <v>2</v>
      </c>
      <c r="B14">
        <f t="shared" si="0"/>
        <v>1</v>
      </c>
      <c r="C14">
        <f>IF(ISBLANK(H14),"",VLOOKUP(H14,Code!B:C,2,FALSE))</f>
        <v>18</v>
      </c>
      <c r="D14">
        <v>2017</v>
      </c>
      <c r="E14">
        <v>104179</v>
      </c>
      <c r="F14" t="s">
        <v>45</v>
      </c>
      <c r="G14" t="s">
        <v>290</v>
      </c>
      <c r="H14" t="s">
        <v>6</v>
      </c>
      <c r="I14" cm="1">
        <f t="array" ref="I14">IF(B14=0,INDEX('Category 14'!F:F,MATCH(C14&amp;E14&amp;D14,'Category 14'!B:B&amp;'Category 14'!C:C&amp;'Category 14'!A:A,0)),INDEX('Category 14'!G:G,MATCH(C14&amp;E14&amp;D14,'Category 14'!B:B&amp;'Category 14'!C:C&amp;'Category 14'!A:A,0)))</f>
        <v>30388</v>
      </c>
      <c r="J14">
        <f>I14/VLOOKUP($D14,CPI!$P$16:$R$22,3,FALSE)</f>
        <v>37529.771401137004</v>
      </c>
      <c r="K14" cm="1">
        <f t="array" ref="K14">IF(B14=0,INDEX('Category 15'!F:F,MATCH(C14&amp;E14&amp;D14,'Category 15'!B:B&amp;'Category 15'!C:C&amp;'Category 15'!A:A,0)),INDEX('Category 15'!G:G,MATCH(C14&amp;E14&amp;D14,'Category 15'!B:B&amp;'Category 31'!C:C&amp;'Category 15'!A:A,0)))</f>
        <v>0</v>
      </c>
      <c r="L14">
        <f>K14/VLOOKUP($D14,CPI!$P$16:$R$22,3,FALSE)</f>
        <v>0</v>
      </c>
      <c r="M14" s="16" cm="1">
        <f t="array" ref="M14">IF(B14=0,INDEX('Category 31'!F:F,MATCH(C14&amp;E14&amp;D14,'Category 31'!B:B&amp;'Category 31'!C:C&amp;'Category 31'!A:A,0)),INDEX('Category 31'!G:G,MATCH(C14&amp;E14&amp;D14,'Category 31'!B:B&amp;'Category 31'!C:C&amp;'Category 31'!A:A,0)))</f>
        <v>0</v>
      </c>
      <c r="N14" s="16">
        <f>M14/VLOOKUP($D14,CPI!$P$16:$R$22,3,FALSE)</f>
        <v>0</v>
      </c>
      <c r="O14">
        <f>VLOOKUP(E14,WSoftball!C:P,6,FALSE)</f>
        <v>66402</v>
      </c>
    </row>
    <row r="15" spans="1:15" ht="16" thickBot="1" x14ac:dyDescent="0.25">
      <c r="A15" s="15">
        <v>2</v>
      </c>
      <c r="B15">
        <f t="shared" si="0"/>
        <v>1</v>
      </c>
      <c r="C15">
        <f>IF(ISBLANK(H15),"",VLOOKUP(H15,Code!B:C,2,FALSE))</f>
        <v>19</v>
      </c>
      <c r="D15">
        <v>2017</v>
      </c>
      <c r="E15">
        <v>104179</v>
      </c>
      <c r="F15" t="s">
        <v>45</v>
      </c>
      <c r="G15" t="s">
        <v>290</v>
      </c>
      <c r="H15" t="s">
        <v>7</v>
      </c>
      <c r="I15" cm="1">
        <f t="array" ref="I15">IF(B15=0,INDEX('Category 14'!F:F,MATCH(C15&amp;E15&amp;D15,'Category 14'!B:B&amp;'Category 14'!C:C&amp;'Category 14'!A:A,0)),INDEX('Category 14'!G:G,MATCH(C15&amp;E15&amp;D15,'Category 14'!B:B&amp;'Category 14'!C:C&amp;'Category 14'!A:A,0)))</f>
        <v>8180</v>
      </c>
      <c r="J15">
        <f>I15/VLOOKUP($D15,CPI!$P$16:$R$22,3,FALSE)</f>
        <v>10102.459196436115</v>
      </c>
      <c r="K15" cm="1">
        <f t="array" ref="K15">IF(B15=0,INDEX('Category 15'!F:F,MATCH(C15&amp;E15&amp;D15,'Category 15'!B:B&amp;'Category 15'!C:C&amp;'Category 15'!A:A,0)),INDEX('Category 15'!G:G,MATCH(C15&amp;E15&amp;D15,'Category 15'!B:B&amp;'Category 31'!C:C&amp;'Category 15'!A:A,0)))</f>
        <v>0</v>
      </c>
      <c r="L15">
        <f>K15/VLOOKUP($D15,CPI!$P$16:$R$22,3,FALSE)</f>
        <v>0</v>
      </c>
      <c r="M15" s="16" cm="1">
        <f t="array" ref="M15">IF(B15=0,INDEX('Category 31'!F:F,MATCH(C15&amp;E15&amp;D15,'Category 31'!B:B&amp;'Category 31'!C:C&amp;'Category 31'!A:A,0)),INDEX('Category 31'!G:G,MATCH(C15&amp;E15&amp;D15,'Category 31'!B:B&amp;'Category 31'!C:C&amp;'Category 31'!A:A,0)))</f>
        <v>0</v>
      </c>
      <c r="N15" s="16">
        <f>M15/VLOOKUP($D15,CPI!$P$16:$R$22,3,FALSE)</f>
        <v>0</v>
      </c>
      <c r="O15" s="17">
        <v>0</v>
      </c>
    </row>
    <row r="16" spans="1:15" ht="16" thickBot="1" x14ac:dyDescent="0.25">
      <c r="A16" s="15">
        <v>2</v>
      </c>
      <c r="B16">
        <f t="shared" si="0"/>
        <v>1</v>
      </c>
      <c r="C16">
        <f>IF(ISBLANK(H16),"",VLOOKUP(H16,Code!B:C,2,FALSE))</f>
        <v>20</v>
      </c>
      <c r="D16">
        <v>2017</v>
      </c>
      <c r="E16">
        <v>104179</v>
      </c>
      <c r="F16" t="s">
        <v>45</v>
      </c>
      <c r="G16" t="s">
        <v>290</v>
      </c>
      <c r="H16" t="s">
        <v>8</v>
      </c>
      <c r="I16" cm="1">
        <f t="array" ref="I16">IF(B16=0,INDEX('Category 14'!F:F,MATCH(C16&amp;E16&amp;D16,'Category 14'!B:B&amp;'Category 14'!C:C&amp;'Category 14'!A:A,0)),INDEX('Category 14'!G:G,MATCH(C16&amp;E16&amp;D16,'Category 14'!B:B&amp;'Category 14'!C:C&amp;'Category 14'!A:A,0)))</f>
        <v>12187</v>
      </c>
      <c r="J16">
        <f>I16/VLOOKUP($D16,CPI!$P$16:$R$22,3,FALSE)</f>
        <v>15051.182179335812</v>
      </c>
      <c r="K16" cm="1">
        <f t="array" ref="K16">IF(B16=0,INDEX('Category 15'!F:F,MATCH(C16&amp;E16&amp;D16,'Category 15'!B:B&amp;'Category 15'!C:C&amp;'Category 15'!A:A,0)),INDEX('Category 15'!G:G,MATCH(C16&amp;E16&amp;D16,'Category 15'!B:B&amp;'Category 31'!C:C&amp;'Category 15'!A:A,0)))</f>
        <v>0</v>
      </c>
      <c r="L16">
        <f>K16/VLOOKUP($D16,CPI!$P$16:$R$22,3,FALSE)</f>
        <v>0</v>
      </c>
      <c r="M16" s="16" cm="1">
        <f t="array" ref="M16">IF(B16=0,INDEX('Category 31'!F:F,MATCH(C16&amp;E16&amp;D16,'Category 31'!B:B&amp;'Category 31'!C:C&amp;'Category 31'!A:A,0)),INDEX('Category 31'!G:G,MATCH(C16&amp;E16&amp;D16,'Category 31'!B:B&amp;'Category 31'!C:C&amp;'Category 31'!A:A,0)))</f>
        <v>0</v>
      </c>
      <c r="N16" s="16">
        <f>M16/VLOOKUP($D16,CPI!$P$16:$R$22,3,FALSE)</f>
        <v>0</v>
      </c>
      <c r="O16" s="17">
        <v>0</v>
      </c>
    </row>
    <row r="17" spans="1:15" ht="16" thickBot="1" x14ac:dyDescent="0.25">
      <c r="A17" s="15">
        <v>2</v>
      </c>
      <c r="B17">
        <f t="shared" si="0"/>
        <v>1</v>
      </c>
      <c r="C17">
        <f>IF(ISBLANK(H17),"",VLOOKUP(H17,Code!B:C,2,FALSE))</f>
        <v>21</v>
      </c>
      <c r="D17">
        <v>2017</v>
      </c>
      <c r="E17">
        <v>104179</v>
      </c>
      <c r="F17" t="s">
        <v>45</v>
      </c>
      <c r="G17" t="s">
        <v>290</v>
      </c>
      <c r="H17" t="s">
        <v>36</v>
      </c>
      <c r="I17" cm="1">
        <f t="array" ref="I17">IF(B17=0,INDEX('Category 14'!F:F,MATCH(C17&amp;E17&amp;D17,'Category 14'!B:B&amp;'Category 14'!C:C&amp;'Category 14'!A:A,0)),INDEX('Category 14'!G:G,MATCH(C17&amp;E17&amp;D17,'Category 14'!B:B&amp;'Category 14'!C:C&amp;'Category 14'!A:A,0)))</f>
        <v>9702</v>
      </c>
      <c r="J17">
        <f>I17/VLOOKUP($D17,CPI!$P$16:$R$22,3,FALSE)</f>
        <v>11982.158817093299</v>
      </c>
      <c r="K17" cm="1">
        <f t="array" ref="K17">IF(B17=0,INDEX('Category 15'!F:F,MATCH(C17&amp;E17&amp;D17,'Category 15'!B:B&amp;'Category 15'!C:C&amp;'Category 15'!A:A,0)),INDEX('Category 15'!G:G,MATCH(C17&amp;E17&amp;D17,'Category 15'!B:B&amp;'Category 31'!C:C&amp;'Category 15'!A:A,0)))</f>
        <v>0</v>
      </c>
      <c r="L17">
        <f>K17/VLOOKUP($D17,CPI!$P$16:$R$22,3,FALSE)</f>
        <v>0</v>
      </c>
      <c r="M17" s="16" cm="1">
        <f t="array" ref="M17">IF(B17=0,INDEX('Category 31'!F:F,MATCH(C17&amp;E17&amp;D17,'Category 31'!B:B&amp;'Category 31'!C:C&amp;'Category 31'!A:A,0)),INDEX('Category 31'!G:G,MATCH(C17&amp;E17&amp;D17,'Category 31'!B:B&amp;'Category 31'!C:C&amp;'Category 31'!A:A,0)))</f>
        <v>0</v>
      </c>
      <c r="N17" s="16">
        <f>M17/VLOOKUP($D17,CPI!$P$16:$R$22,3,FALSE)</f>
        <v>0</v>
      </c>
      <c r="O17" s="17">
        <v>0</v>
      </c>
    </row>
    <row r="18" spans="1:15" ht="16" thickBot="1" x14ac:dyDescent="0.25">
      <c r="A18" s="15">
        <v>2</v>
      </c>
      <c r="B18">
        <f t="shared" si="0"/>
        <v>1</v>
      </c>
      <c r="C18">
        <f>IF(ISBLANK(H18),"",VLOOKUP(H18,Code!B:C,2,FALSE))</f>
        <v>23</v>
      </c>
      <c r="D18">
        <v>2017</v>
      </c>
      <c r="E18">
        <v>104179</v>
      </c>
      <c r="F18" t="s">
        <v>45</v>
      </c>
      <c r="G18" t="s">
        <v>290</v>
      </c>
      <c r="H18" t="s">
        <v>10</v>
      </c>
      <c r="I18" cm="1">
        <f t="array" ref="I18">IF(B18=0,INDEX('Category 14'!F:F,MATCH(C18&amp;E18&amp;D18,'Category 14'!B:B&amp;'Category 14'!C:C&amp;'Category 14'!A:A,0)),INDEX('Category 14'!G:G,MATCH(C18&amp;E18&amp;D18,'Category 14'!B:B&amp;'Category 14'!C:C&amp;'Category 14'!A:A,0)))</f>
        <v>19455</v>
      </c>
      <c r="J18">
        <f>I18/VLOOKUP($D18,CPI!$P$16:$R$22,3,FALSE)</f>
        <v>24027.303626731617</v>
      </c>
      <c r="K18" cm="1">
        <f t="array" ref="K18">IF(B18=0,INDEX('Category 15'!F:F,MATCH(C18&amp;E18&amp;D18,'Category 15'!B:B&amp;'Category 15'!C:C&amp;'Category 15'!A:A,0)),INDEX('Category 15'!G:G,MATCH(C18&amp;E18&amp;D18,'Category 15'!B:B&amp;'Category 31'!C:C&amp;'Category 15'!A:A,0)))</f>
        <v>0</v>
      </c>
      <c r="L18">
        <f>K18/VLOOKUP($D18,CPI!$P$16:$R$22,3,FALSE)</f>
        <v>0</v>
      </c>
      <c r="M18" s="16" cm="1">
        <f t="array" ref="M18">IF(B18=0,INDEX('Category 31'!F:F,MATCH(C18&amp;E18&amp;D18,'Category 31'!B:B&amp;'Category 31'!C:C&amp;'Category 31'!A:A,0)),INDEX('Category 31'!G:G,MATCH(C18&amp;E18&amp;D18,'Category 31'!B:B&amp;'Category 31'!C:C&amp;'Category 31'!A:A,0)))</f>
        <v>0</v>
      </c>
      <c r="N18" s="16">
        <f>M18/VLOOKUP($D18,CPI!$P$16:$R$22,3,FALSE)</f>
        <v>0</v>
      </c>
      <c r="O18" s="17">
        <f>VLOOKUP(E18,WVolleyball!C:P,6,FALSE)</f>
        <v>18595</v>
      </c>
    </row>
    <row r="19" spans="1:15" ht="16" thickBot="1" x14ac:dyDescent="0.25">
      <c r="A19" s="15">
        <v>2</v>
      </c>
      <c r="B19">
        <f t="shared" si="0"/>
        <v>0</v>
      </c>
      <c r="C19">
        <f>IF(ISBLANK(H19),"",VLOOKUP(H19,Code!B:C,2,FALSE))</f>
        <v>1</v>
      </c>
      <c r="D19">
        <v>2018</v>
      </c>
      <c r="E19">
        <v>104179</v>
      </c>
      <c r="F19" t="s">
        <v>45</v>
      </c>
      <c r="G19" t="s">
        <v>289</v>
      </c>
      <c r="H19" t="s">
        <v>0</v>
      </c>
      <c r="I19" cm="1">
        <f t="array" ref="I19">IF(B19=0,INDEX('Category 14'!F:F,MATCH(C19&amp;E19&amp;D19,'Category 14'!B:B&amp;'Category 14'!C:C&amp;'Category 14'!A:A,0)),INDEX('Category 14'!G:G,MATCH(C19&amp;E19&amp;D19,'Category 14'!B:B&amp;'Category 14'!C:C&amp;'Category 14'!A:A,0)))</f>
        <v>2150</v>
      </c>
      <c r="J19">
        <f>I19/VLOOKUP($D19,CPI!$P$16:$R$22,3,FALSE)</f>
        <v>2596.7606175894512</v>
      </c>
      <c r="K19" cm="1">
        <f t="array" ref="K19">IF(B19=0,INDEX('Category 15'!F:F,MATCH(C19&amp;E19&amp;D19,'Category 15'!B:B&amp;'Category 15'!C:C&amp;'Category 15'!A:A,0)),INDEX('Category 15'!G:G,MATCH(C19&amp;E19&amp;D19,'Category 15'!B:B&amp;'Category 31'!C:C&amp;'Category 15'!A:A,0)))</f>
        <v>0</v>
      </c>
      <c r="L19">
        <f>K19/VLOOKUP($D19,CPI!$P$16:$R$22,3,FALSE)</f>
        <v>0</v>
      </c>
      <c r="M19" s="16" cm="1">
        <f t="array" ref="M19">IF(B19=0,INDEX('Category 31'!F:F,MATCH(C19&amp;E19&amp;D19,'Category 31'!B:B&amp;'Category 31'!C:C&amp;'Category 31'!A:A,0)),INDEX('Category 31'!G:G,MATCH(C19&amp;E19&amp;D19,'Category 31'!B:B&amp;'Category 31'!C:C&amp;'Category 31'!A:A,0)))</f>
        <v>0</v>
      </c>
      <c r="N19" s="16">
        <f>M19/VLOOKUP($D19,CPI!$P$16:$R$22,3,FALSE)</f>
        <v>0</v>
      </c>
      <c r="O19">
        <v>93511</v>
      </c>
    </row>
    <row r="20" spans="1:15" ht="16" thickBot="1" x14ac:dyDescent="0.25">
      <c r="A20" s="15">
        <v>2</v>
      </c>
      <c r="B20">
        <f t="shared" si="0"/>
        <v>0</v>
      </c>
      <c r="C20">
        <f>IF(ISBLANK(H20),"",VLOOKUP(H20,Code!B:C,2,FALSE))</f>
        <v>2</v>
      </c>
      <c r="D20">
        <v>2018</v>
      </c>
      <c r="E20">
        <v>104179</v>
      </c>
      <c r="F20" t="s">
        <v>45</v>
      </c>
      <c r="G20" t="s">
        <v>289</v>
      </c>
      <c r="H20" t="s">
        <v>1</v>
      </c>
      <c r="I20" cm="1">
        <f t="array" ref="I20">IF(B20=0,INDEX('Category 14'!F:F,MATCH(C20&amp;E20&amp;D20,'Category 14'!B:B&amp;'Category 14'!C:C&amp;'Category 14'!A:A,0)),INDEX('Category 14'!G:G,MATCH(C20&amp;E20&amp;D20,'Category 14'!B:B&amp;'Category 14'!C:C&amp;'Category 14'!A:A,0)))</f>
        <v>166804</v>
      </c>
      <c r="J20">
        <f>I20/VLOOKUP($D20,CPI!$P$16:$R$22,3,FALSE)</f>
        <v>201465.14328204223</v>
      </c>
      <c r="K20" cm="1">
        <f t="array" ref="K20">IF(B20=0,INDEX('Category 15'!F:F,MATCH(C20&amp;E20&amp;D20,'Category 15'!B:B&amp;'Category 15'!C:C&amp;'Category 15'!A:A,0)),INDEX('Category 15'!G:G,MATCH(C20&amp;E20&amp;D20,'Category 15'!B:B&amp;'Category 31'!C:C&amp;'Category 15'!A:A,0)))</f>
        <v>4432881</v>
      </c>
      <c r="L20">
        <f>K20/VLOOKUP($D20,CPI!$P$16:$R$22,3,FALSE)</f>
        <v>5354014.3270979272</v>
      </c>
      <c r="M20" s="16" cm="1">
        <f t="array" ref="M20">IF(B20=0,INDEX('Category 31'!F:F,MATCH(C20&amp;E20&amp;D20,'Category 31'!B:B&amp;'Category 31'!C:C&amp;'Category 31'!A:A,0)),INDEX('Category 31'!G:G,MATCH(C20&amp;E20&amp;D20,'Category 31'!B:B&amp;'Category 31'!C:C&amp;'Category 31'!A:A,0)))</f>
        <v>0</v>
      </c>
      <c r="N20" s="16">
        <f>M20/VLOOKUP($D20,CPI!$P$16:$R$22,3,FALSE)</f>
        <v>0</v>
      </c>
      <c r="O20" s="17">
        <f>VLOOKUP(E3,MBasketball!C:P,7,FALSE)</f>
        <v>230947</v>
      </c>
    </row>
    <row r="21" spans="1:15" ht="16" thickBot="1" x14ac:dyDescent="0.25">
      <c r="A21" s="15">
        <v>2</v>
      </c>
      <c r="B21">
        <f t="shared" si="0"/>
        <v>0</v>
      </c>
      <c r="C21">
        <f>IF(ISBLANK(H21),"",VLOOKUP(H21,Code!B:C,2,FALSE))</f>
        <v>8</v>
      </c>
      <c r="D21">
        <v>2018</v>
      </c>
      <c r="E21">
        <v>104179</v>
      </c>
      <c r="F21" t="s">
        <v>45</v>
      </c>
      <c r="G21" t="s">
        <v>289</v>
      </c>
      <c r="H21" t="s">
        <v>2</v>
      </c>
      <c r="I21" cm="1">
        <f t="array" ref="I21">IF(B21=0,INDEX('Category 14'!F:F,MATCH(C21&amp;E21&amp;D21,'Category 14'!B:B&amp;'Category 14'!C:C&amp;'Category 14'!A:A,0)),INDEX('Category 14'!G:G,MATCH(C21&amp;E21&amp;D21,'Category 14'!B:B&amp;'Category 14'!C:C&amp;'Category 14'!A:A,0)))</f>
        <v>592731</v>
      </c>
      <c r="J21">
        <f>I21/VLOOKUP($D21,CPI!$P$16:$R$22,3,FALSE)</f>
        <v>715897.91517414548</v>
      </c>
      <c r="K21" cm="1">
        <f t="array" ref="K21">IF(B21=0,INDEX('Category 15'!F:F,MATCH(C21&amp;E21&amp;D21,'Category 15'!B:B&amp;'Category 15'!C:C&amp;'Category 15'!A:A,0)),INDEX('Category 15'!G:G,MATCH(C21&amp;E21&amp;D21,'Category 15'!B:B&amp;'Category 31'!C:C&amp;'Category 15'!A:A,0)))</f>
        <v>4432880</v>
      </c>
      <c r="L21">
        <f>K21/VLOOKUP($D21,CPI!$P$16:$R$22,3,FALSE)</f>
        <v>5354013.1193022905</v>
      </c>
      <c r="M21" s="16" cm="1">
        <f t="array" ref="M21">IF(B21=0,INDEX('Category 31'!F:F,MATCH(C21&amp;E21&amp;D21,'Category 31'!B:B&amp;'Category 31'!C:C&amp;'Category 31'!A:A,0)),INDEX('Category 31'!G:G,MATCH(C21&amp;E21&amp;D21,'Category 31'!B:B&amp;'Category 31'!C:C&amp;'Category 31'!A:A,0)))</f>
        <v>0</v>
      </c>
      <c r="N21" s="16">
        <f>M21/VLOOKUP($D21,CPI!$P$16:$R$22,3,FALSE)</f>
        <v>0</v>
      </c>
      <c r="O21" s="17">
        <f>VLOOKUP(E4,MFootball!C:P,7,FALSE)</f>
        <v>255791</v>
      </c>
    </row>
    <row r="22" spans="1:15" ht="16" thickBot="1" x14ac:dyDescent="0.25">
      <c r="A22" s="15">
        <v>2</v>
      </c>
      <c r="B22">
        <f t="shared" si="0"/>
        <v>0</v>
      </c>
      <c r="C22">
        <f>IF(ISBLANK(H22),"",VLOOKUP(H22,Code!B:C,2,FALSE))</f>
        <v>9</v>
      </c>
      <c r="D22">
        <v>2018</v>
      </c>
      <c r="E22">
        <v>104179</v>
      </c>
      <c r="F22" t="s">
        <v>45</v>
      </c>
      <c r="G22" t="s">
        <v>289</v>
      </c>
      <c r="H22" t="s">
        <v>3</v>
      </c>
      <c r="I22" cm="1">
        <f t="array" ref="I22">IF(B22=0,INDEX('Category 14'!F:F,MATCH(C22&amp;E22&amp;D22,'Category 14'!B:B&amp;'Category 14'!C:C&amp;'Category 14'!A:A,0)),INDEX('Category 14'!G:G,MATCH(C22&amp;E22&amp;D22,'Category 14'!B:B&amp;'Category 14'!C:C&amp;'Category 14'!A:A,0)))</f>
        <v>32700</v>
      </c>
      <c r="J22">
        <f>I22/VLOOKUP($D22,CPI!$P$16:$R$22,3,FALSE)</f>
        <v>39494.917300081419</v>
      </c>
      <c r="K22" cm="1">
        <f t="array" ref="K22">IF(B22=0,INDEX('Category 15'!F:F,MATCH(C22&amp;E22&amp;D22,'Category 15'!B:B&amp;'Category 15'!C:C&amp;'Category 15'!A:A,0)),INDEX('Category 15'!G:G,MATCH(C22&amp;E22&amp;D22,'Category 15'!B:B&amp;'Category 31'!C:C&amp;'Category 15'!A:A,0)))</f>
        <v>0</v>
      </c>
      <c r="L22">
        <f>K22/VLOOKUP($D22,CPI!$P$16:$R$22,3,FALSE)</f>
        <v>0</v>
      </c>
      <c r="M22" s="16" cm="1">
        <f t="array" ref="M22">IF(B22=0,INDEX('Category 31'!F:F,MATCH(C22&amp;E22&amp;D22,'Category 31'!B:B&amp;'Category 31'!C:C&amp;'Category 31'!A:A,0)),INDEX('Category 31'!G:G,MATCH(C22&amp;E22&amp;D22,'Category 31'!B:B&amp;'Category 31'!C:C&amp;'Category 31'!A:A,0)))</f>
        <v>0</v>
      </c>
      <c r="N22" s="16">
        <f>M22/VLOOKUP($D22,CPI!$P$16:$R$22,3,FALSE)</f>
        <v>0</v>
      </c>
      <c r="O22">
        <v>0</v>
      </c>
    </row>
    <row r="23" spans="1:15" ht="16" thickBot="1" x14ac:dyDescent="0.25">
      <c r="A23" s="15">
        <v>2</v>
      </c>
      <c r="B23">
        <f t="shared" si="0"/>
        <v>0</v>
      </c>
      <c r="C23">
        <f>IF(ISBLANK(H23),"",VLOOKUP(H23,Code!B:C,2,FALSE))</f>
        <v>19</v>
      </c>
      <c r="D23">
        <v>2018</v>
      </c>
      <c r="E23">
        <v>104179</v>
      </c>
      <c r="F23" t="s">
        <v>45</v>
      </c>
      <c r="G23" t="s">
        <v>289</v>
      </c>
      <c r="H23" t="s">
        <v>7</v>
      </c>
      <c r="I23" cm="1">
        <f t="array" ref="I23">IF(B23=0,INDEX('Category 14'!F:F,MATCH(C23&amp;E23&amp;D23,'Category 14'!B:B&amp;'Category 14'!C:C&amp;'Category 14'!A:A,0)),INDEX('Category 14'!G:G,MATCH(C23&amp;E23&amp;D23,'Category 14'!B:B&amp;'Category 14'!C:C&amp;'Category 14'!A:A,0)))</f>
        <v>1296</v>
      </c>
      <c r="J23">
        <f>I23/VLOOKUP($D23,CPI!$P$16:$R$22,3,FALSE)</f>
        <v>1565.3031443701993</v>
      </c>
      <c r="K23" cm="1">
        <f t="array" ref="K23">IF(B23=0,INDEX('Category 15'!F:F,MATCH(C23&amp;E23&amp;D23,'Category 15'!B:B&amp;'Category 15'!C:C&amp;'Category 15'!A:A,0)),INDEX('Category 15'!G:G,MATCH(C23&amp;E23&amp;D23,'Category 15'!B:B&amp;'Category 31'!C:C&amp;'Category 15'!A:A,0)))</f>
        <v>0</v>
      </c>
      <c r="L23">
        <f>K23/VLOOKUP($D23,CPI!$P$16:$R$22,3,FALSE)</f>
        <v>0</v>
      </c>
      <c r="M23" s="16" cm="1">
        <f t="array" ref="M23">IF(B23=0,INDEX('Category 31'!F:F,MATCH(C23&amp;E23&amp;D23,'Category 31'!B:B&amp;'Category 31'!C:C&amp;'Category 31'!A:A,0)),INDEX('Category 31'!G:G,MATCH(C23&amp;E23&amp;D23,'Category 31'!B:B&amp;'Category 31'!C:C&amp;'Category 31'!A:A,0)))</f>
        <v>0</v>
      </c>
      <c r="N23" s="16">
        <f>M23/VLOOKUP($D23,CPI!$P$16:$R$22,3,FALSE)</f>
        <v>0</v>
      </c>
      <c r="O23">
        <v>0</v>
      </c>
    </row>
    <row r="24" spans="1:15" ht="16" thickBot="1" x14ac:dyDescent="0.25">
      <c r="A24" s="15">
        <v>2</v>
      </c>
      <c r="B24">
        <f t="shared" si="0"/>
        <v>0</v>
      </c>
      <c r="C24">
        <f>IF(ISBLANK(H24),"",VLOOKUP(H24,Code!B:C,2,FALSE))</f>
        <v>20</v>
      </c>
      <c r="D24">
        <v>2018</v>
      </c>
      <c r="E24">
        <v>104179</v>
      </c>
      <c r="F24" t="s">
        <v>45</v>
      </c>
      <c r="G24" t="s">
        <v>289</v>
      </c>
      <c r="H24" t="s">
        <v>8</v>
      </c>
      <c r="I24" cm="1">
        <f t="array" ref="I24">IF(B24=0,INDEX('Category 14'!F:F,MATCH(C24&amp;E24&amp;D24,'Category 14'!B:B&amp;'Category 14'!C:C&amp;'Category 14'!A:A,0)),INDEX('Category 14'!G:G,MATCH(C24&amp;E24&amp;D24,'Category 14'!B:B&amp;'Category 14'!C:C&amp;'Category 14'!A:A,0)))</f>
        <v>0</v>
      </c>
      <c r="J24">
        <f>I24/VLOOKUP($D24,CPI!$P$16:$R$22,3,FALSE)</f>
        <v>0</v>
      </c>
      <c r="K24" cm="1">
        <f t="array" ref="K24">IF(B24=0,INDEX('Category 15'!F:F,MATCH(C24&amp;E24&amp;D24,'Category 15'!B:B&amp;'Category 15'!C:C&amp;'Category 15'!A:A,0)),INDEX('Category 15'!G:G,MATCH(C24&amp;E24&amp;D24,'Category 15'!B:B&amp;'Category 31'!C:C&amp;'Category 15'!A:A,0)))</f>
        <v>0</v>
      </c>
      <c r="L24">
        <f>K24/VLOOKUP($D24,CPI!$P$16:$R$22,3,FALSE)</f>
        <v>0</v>
      </c>
      <c r="M24" s="16" cm="1">
        <f t="array" ref="M24">IF(B24=0,INDEX('Category 31'!F:F,MATCH(C24&amp;E24&amp;D24,'Category 31'!B:B&amp;'Category 31'!C:C&amp;'Category 31'!A:A,0)),INDEX('Category 31'!G:G,MATCH(C24&amp;E24&amp;D24,'Category 31'!B:B&amp;'Category 31'!C:C&amp;'Category 31'!A:A,0)))</f>
        <v>0</v>
      </c>
      <c r="N24" s="16">
        <f>M24/VLOOKUP($D24,CPI!$P$16:$R$22,3,FALSE)</f>
        <v>0</v>
      </c>
      <c r="O24">
        <v>0</v>
      </c>
    </row>
    <row r="25" spans="1:15" ht="16" thickBot="1" x14ac:dyDescent="0.25">
      <c r="A25" s="15">
        <v>2</v>
      </c>
      <c r="B25">
        <f t="shared" si="0"/>
        <v>0</v>
      </c>
      <c r="C25">
        <f>IF(ISBLANK(H25),"",VLOOKUP(H25,Code!B:C,2,FALSE))</f>
        <v>21</v>
      </c>
      <c r="D25">
        <v>2018</v>
      </c>
      <c r="E25">
        <v>104179</v>
      </c>
      <c r="F25" t="s">
        <v>45</v>
      </c>
      <c r="G25" t="s">
        <v>289</v>
      </c>
      <c r="H25" t="s">
        <v>36</v>
      </c>
      <c r="I25" cm="1">
        <f t="array" ref="I25">IF(B25=0,INDEX('Category 14'!F:F,MATCH(C25&amp;E25&amp;D25,'Category 14'!B:B&amp;'Category 14'!C:C&amp;'Category 14'!A:A,0)),INDEX('Category 14'!G:G,MATCH(C25&amp;E25&amp;D25,'Category 14'!B:B&amp;'Category 14'!C:C&amp;'Category 14'!A:A,0)))</f>
        <v>11082</v>
      </c>
      <c r="J25">
        <f>I25/VLOOKUP($D25,CPI!$P$16:$R$22,3,FALSE)</f>
        <v>13384.79123912851</v>
      </c>
      <c r="K25" cm="1">
        <f t="array" ref="K25">IF(B25=0,INDEX('Category 15'!F:F,MATCH(C25&amp;E25&amp;D25,'Category 15'!B:B&amp;'Category 15'!C:C&amp;'Category 15'!A:A,0)),INDEX('Category 15'!G:G,MATCH(C25&amp;E25&amp;D25,'Category 15'!B:B&amp;'Category 31'!C:C&amp;'Category 15'!A:A,0)))</f>
        <v>0</v>
      </c>
      <c r="L25">
        <f>K25/VLOOKUP($D25,CPI!$P$16:$R$22,3,FALSE)</f>
        <v>0</v>
      </c>
      <c r="M25" s="16" cm="1">
        <f t="array" ref="M25">IF(B25=0,INDEX('Category 31'!F:F,MATCH(C25&amp;E25&amp;D25,'Category 31'!B:B&amp;'Category 31'!C:C&amp;'Category 31'!A:A,0)),INDEX('Category 31'!G:G,MATCH(C25&amp;E25&amp;D25,'Category 31'!B:B&amp;'Category 31'!C:C&amp;'Category 31'!A:A,0)))</f>
        <v>0</v>
      </c>
      <c r="N25" s="16">
        <f>M25/VLOOKUP($D25,CPI!$P$16:$R$22,3,FALSE)</f>
        <v>0</v>
      </c>
      <c r="O25">
        <v>0</v>
      </c>
    </row>
    <row r="26" spans="1:15" ht="16" thickBot="1" x14ac:dyDescent="0.25">
      <c r="A26" s="15">
        <v>2</v>
      </c>
      <c r="B26">
        <f t="shared" si="0"/>
        <v>1</v>
      </c>
      <c r="C26">
        <f>IF(ISBLANK(H26),"",VLOOKUP(H26,Code!B:C,2,FALSE))</f>
        <v>2</v>
      </c>
      <c r="D26">
        <v>2018</v>
      </c>
      <c r="E26">
        <v>104179</v>
      </c>
      <c r="F26" t="s">
        <v>45</v>
      </c>
      <c r="G26" t="s">
        <v>290</v>
      </c>
      <c r="H26" t="s">
        <v>1</v>
      </c>
      <c r="I26" cm="1">
        <f t="array" ref="I26">IF(B26=0,INDEX('Category 14'!F:F,MATCH(C26&amp;E26&amp;D26,'Category 14'!B:B&amp;'Category 14'!C:C&amp;'Category 14'!A:A,0)),INDEX('Category 14'!G:G,MATCH(C26&amp;E26&amp;D26,'Category 14'!B:B&amp;'Category 14'!C:C&amp;'Category 14'!A:A,0)))</f>
        <v>0</v>
      </c>
      <c r="J26">
        <f>I26/VLOOKUP($D26,CPI!$P$16:$R$22,3,FALSE)</f>
        <v>0</v>
      </c>
      <c r="K26" cm="1">
        <f t="array" ref="K26">IF(B26=0,INDEX('Category 15'!F:F,MATCH(C26&amp;E26&amp;D26,'Category 15'!B:B&amp;'Category 15'!C:C&amp;'Category 15'!A:A,0)),INDEX('Category 15'!G:G,MATCH(C26&amp;E26&amp;D26,'Category 15'!B:B&amp;'Category 31'!C:C&amp;'Category 15'!A:A,0)))</f>
        <v>0</v>
      </c>
      <c r="L26">
        <f>K26/VLOOKUP($D26,CPI!$P$16:$R$22,3,FALSE)</f>
        <v>0</v>
      </c>
      <c r="M26" s="16" cm="1">
        <f t="array" ref="M26">IF(B26=0,INDEX('Category 31'!F:F,MATCH(C26&amp;E26&amp;D26,'Category 31'!B:B&amp;'Category 31'!C:C&amp;'Category 31'!A:A,0)),INDEX('Category 31'!G:G,MATCH(C26&amp;E26&amp;D26,'Category 31'!B:B&amp;'Category 31'!C:C&amp;'Category 31'!A:A,0)))</f>
        <v>0</v>
      </c>
      <c r="N26" s="16">
        <f>M26/VLOOKUP($D26,CPI!$P$16:$R$22,3,FALSE)</f>
        <v>0</v>
      </c>
      <c r="O26">
        <f>VLOOKUP(E26,WBasketball!C:P,7,FALSE)</f>
        <v>28988</v>
      </c>
    </row>
    <row r="27" spans="1:15" ht="16" thickBot="1" x14ac:dyDescent="0.25">
      <c r="A27" s="15">
        <v>2</v>
      </c>
      <c r="B27">
        <f t="shared" si="0"/>
        <v>1</v>
      </c>
      <c r="C27">
        <f>IF(ISBLANK(H27),"",VLOOKUP(H27,Code!B:C,2,FALSE))</f>
        <v>3</v>
      </c>
      <c r="D27">
        <v>2018</v>
      </c>
      <c r="E27">
        <v>104179</v>
      </c>
      <c r="F27" t="s">
        <v>45</v>
      </c>
      <c r="G27" t="s">
        <v>290</v>
      </c>
      <c r="H27" t="s">
        <v>21</v>
      </c>
      <c r="I27" cm="1">
        <f t="array" ref="I27">IF(B27=0,INDEX('Category 14'!F:F,MATCH(C27&amp;E27&amp;D27,'Category 14'!B:B&amp;'Category 14'!C:C&amp;'Category 14'!A:A,0)),INDEX('Category 14'!G:G,MATCH(C27&amp;E27&amp;D27,'Category 14'!B:B&amp;'Category 14'!C:C&amp;'Category 14'!A:A,0)))</f>
        <v>0</v>
      </c>
      <c r="J27">
        <f>I27/VLOOKUP($D27,CPI!$P$16:$R$22,3,FALSE)</f>
        <v>0</v>
      </c>
      <c r="K27" cm="1">
        <f t="array" ref="K27">IF(B27=0,INDEX('Category 15'!F:F,MATCH(C27&amp;E27&amp;D27,'Category 15'!B:B&amp;'Category 15'!C:C&amp;'Category 15'!A:A,0)),INDEX('Category 15'!G:G,MATCH(C27&amp;E27&amp;D27,'Category 15'!B:B&amp;'Category 31'!C:C&amp;'Category 15'!A:A,0)))</f>
        <v>0</v>
      </c>
      <c r="L27">
        <f>K27/VLOOKUP($D27,CPI!$P$16:$R$22,3,FALSE)</f>
        <v>0</v>
      </c>
      <c r="M27" s="16" cm="1">
        <f t="array" ref="M27">IF(B27=0,INDEX('Category 31'!F:F,MATCH(C27&amp;E27&amp;D27,'Category 31'!B:B&amp;'Category 31'!C:C&amp;'Category 31'!A:A,0)),INDEX('Category 31'!G:G,MATCH(C27&amp;E27&amp;D27,'Category 31'!B:B&amp;'Category 31'!C:C&amp;'Category 31'!A:A,0)))</f>
        <v>0</v>
      </c>
      <c r="N27" s="16">
        <f>M27/VLOOKUP($D27,CPI!$P$16:$R$22,3,FALSE)</f>
        <v>0</v>
      </c>
      <c r="O27">
        <v>0</v>
      </c>
    </row>
    <row r="28" spans="1:15" ht="16" thickBot="1" x14ac:dyDescent="0.25">
      <c r="A28" s="15">
        <v>2</v>
      </c>
      <c r="B28">
        <f t="shared" si="0"/>
        <v>1</v>
      </c>
      <c r="C28">
        <f>IF(ISBLANK(H28),"",VLOOKUP(H28,Code!B:C,2,FALSE))</f>
        <v>9</v>
      </c>
      <c r="D28">
        <v>2018</v>
      </c>
      <c r="E28">
        <v>104179</v>
      </c>
      <c r="F28" t="s">
        <v>45</v>
      </c>
      <c r="G28" t="s">
        <v>290</v>
      </c>
      <c r="H28" t="s">
        <v>3</v>
      </c>
      <c r="I28" cm="1">
        <f t="array" ref="I28">IF(B28=0,INDEX('Category 14'!F:F,MATCH(C28&amp;E28&amp;D28,'Category 14'!B:B&amp;'Category 14'!C:C&amp;'Category 14'!A:A,0)),INDEX('Category 14'!G:G,MATCH(C28&amp;E28&amp;D28,'Category 14'!B:B&amp;'Category 14'!C:C&amp;'Category 14'!A:A,0)))</f>
        <v>11085</v>
      </c>
      <c r="J28">
        <f>I28/VLOOKUP($D28,CPI!$P$16:$R$22,3,FALSE)</f>
        <v>13388.414626036774</v>
      </c>
      <c r="K28" cm="1">
        <f t="array" ref="K28">IF(B28=0,INDEX('Category 15'!F:F,MATCH(C28&amp;E28&amp;D28,'Category 15'!B:B&amp;'Category 15'!C:C&amp;'Category 15'!A:A,0)),INDEX('Category 15'!G:G,MATCH(C28&amp;E28&amp;D28,'Category 15'!B:B&amp;'Category 31'!C:C&amp;'Category 15'!A:A,0)))</f>
        <v>0</v>
      </c>
      <c r="L28">
        <f>K28/VLOOKUP($D28,CPI!$P$16:$R$22,3,FALSE)</f>
        <v>0</v>
      </c>
      <c r="M28" s="16" cm="1">
        <f t="array" ref="M28">IF(B28=0,INDEX('Category 31'!F:F,MATCH(C28&amp;E28&amp;D28,'Category 31'!B:B&amp;'Category 31'!C:C&amp;'Category 31'!A:A,0)),INDEX('Category 31'!G:G,MATCH(C28&amp;E28&amp;D28,'Category 31'!B:B&amp;'Category 31'!C:C&amp;'Category 31'!A:A,0)))</f>
        <v>0</v>
      </c>
      <c r="N28" s="16">
        <f>M28/VLOOKUP($D28,CPI!$P$16:$R$22,3,FALSE)</f>
        <v>0</v>
      </c>
      <c r="O28">
        <v>0</v>
      </c>
    </row>
    <row r="29" spans="1:15" ht="16" thickBot="1" x14ac:dyDescent="0.25">
      <c r="A29" s="15">
        <v>2</v>
      </c>
      <c r="B29">
        <f t="shared" si="0"/>
        <v>1</v>
      </c>
      <c r="C29">
        <f>IF(ISBLANK(H29),"",VLOOKUP(H29,Code!B:C,2,FALSE))</f>
        <v>10</v>
      </c>
      <c r="D29">
        <v>2018</v>
      </c>
      <c r="E29">
        <v>104179</v>
      </c>
      <c r="F29" t="s">
        <v>45</v>
      </c>
      <c r="G29" t="s">
        <v>290</v>
      </c>
      <c r="H29" t="s">
        <v>4</v>
      </c>
      <c r="I29" cm="1">
        <f t="array" ref="I29">IF(B29=0,INDEX('Category 14'!F:F,MATCH(C29&amp;E29&amp;D29,'Category 14'!B:B&amp;'Category 14'!C:C&amp;'Category 14'!A:A,0)),INDEX('Category 14'!G:G,MATCH(C29&amp;E29&amp;D29,'Category 14'!B:B&amp;'Category 14'!C:C&amp;'Category 14'!A:A,0)))</f>
        <v>1937</v>
      </c>
      <c r="J29">
        <f>I29/VLOOKUP($D29,CPI!$P$16:$R$22,3,FALSE)</f>
        <v>2339.5001471026821</v>
      </c>
      <c r="K29" cm="1">
        <f t="array" ref="K29">IF(B29=0,INDEX('Category 15'!F:F,MATCH(C29&amp;E29&amp;D29,'Category 15'!B:B&amp;'Category 15'!C:C&amp;'Category 15'!A:A,0)),INDEX('Category 15'!G:G,MATCH(C29&amp;E29&amp;D29,'Category 15'!B:B&amp;'Category 31'!C:C&amp;'Category 15'!A:A,0)))</f>
        <v>0</v>
      </c>
      <c r="L29">
        <f>K29/VLOOKUP($D29,CPI!$P$16:$R$22,3,FALSE)</f>
        <v>0</v>
      </c>
      <c r="M29" s="16" cm="1">
        <f t="array" ref="M29">IF(B29=0,INDEX('Category 31'!F:F,MATCH(C29&amp;E29&amp;D29,'Category 31'!B:B&amp;'Category 31'!C:C&amp;'Category 31'!A:A,0)),INDEX('Category 31'!G:G,MATCH(C29&amp;E29&amp;D29,'Category 31'!B:B&amp;'Category 31'!C:C&amp;'Category 31'!A:A,0)))</f>
        <v>0</v>
      </c>
      <c r="N29" s="16">
        <f>M29/VLOOKUP($D29,CPI!$P$16:$R$22,3,FALSE)</f>
        <v>0</v>
      </c>
      <c r="O29">
        <v>0</v>
      </c>
    </row>
    <row r="30" spans="1:15" ht="16" thickBot="1" x14ac:dyDescent="0.25">
      <c r="A30" s="15">
        <v>2</v>
      </c>
      <c r="B30">
        <f t="shared" si="0"/>
        <v>1</v>
      </c>
      <c r="C30">
        <f>IF(ISBLANK(H30),"",VLOOKUP(H30,Code!B:C,2,FALSE))</f>
        <v>17</v>
      </c>
      <c r="D30">
        <v>2018</v>
      </c>
      <c r="E30">
        <v>104179</v>
      </c>
      <c r="F30" t="s">
        <v>45</v>
      </c>
      <c r="G30" t="s">
        <v>290</v>
      </c>
      <c r="H30" t="s">
        <v>5</v>
      </c>
      <c r="I30" cm="1">
        <f t="array" ref="I30">IF(B30=0,INDEX('Category 14'!F:F,MATCH(C30&amp;E30&amp;D30,'Category 14'!B:B&amp;'Category 14'!C:C&amp;'Category 14'!A:A,0)),INDEX('Category 14'!G:G,MATCH(C30&amp;E30&amp;D30,'Category 14'!B:B&amp;'Category 14'!C:C&amp;'Category 14'!A:A,0)))</f>
        <v>2300</v>
      </c>
      <c r="J30">
        <f>I30/VLOOKUP($D30,CPI!$P$16:$R$22,3,FALSE)</f>
        <v>2777.9299630026685</v>
      </c>
      <c r="K30" cm="1">
        <f t="array" ref="K30">IF(B30=0,INDEX('Category 15'!F:F,MATCH(C30&amp;E30&amp;D30,'Category 15'!B:B&amp;'Category 15'!C:C&amp;'Category 15'!A:A,0)),INDEX('Category 15'!G:G,MATCH(C30&amp;E30&amp;D30,'Category 15'!B:B&amp;'Category 31'!C:C&amp;'Category 15'!A:A,0)))</f>
        <v>0</v>
      </c>
      <c r="L30">
        <f>K30/VLOOKUP($D30,CPI!$P$16:$R$22,3,FALSE)</f>
        <v>0</v>
      </c>
      <c r="M30" s="16" cm="1">
        <f t="array" ref="M30">IF(B30=0,INDEX('Category 31'!F:F,MATCH(C30&amp;E30&amp;D30,'Category 31'!B:B&amp;'Category 31'!C:C&amp;'Category 31'!A:A,0)),INDEX('Category 31'!G:G,MATCH(C30&amp;E30&amp;D30,'Category 31'!B:B&amp;'Category 31'!C:C&amp;'Category 31'!A:A,0)))</f>
        <v>0</v>
      </c>
      <c r="N30" s="16">
        <f>M30/VLOOKUP($D30,CPI!$P$16:$R$22,3,FALSE)</f>
        <v>0</v>
      </c>
      <c r="O30">
        <f>VLOOKUP(E30,WSoccer!C:P,7,FALSE)</f>
        <v>7125</v>
      </c>
    </row>
    <row r="31" spans="1:15" ht="16" thickBot="1" x14ac:dyDescent="0.25">
      <c r="A31" s="15">
        <v>2</v>
      </c>
      <c r="B31">
        <f t="shared" si="0"/>
        <v>1</v>
      </c>
      <c r="C31">
        <f>IF(ISBLANK(H31),"",VLOOKUP(H31,Code!B:C,2,FALSE))</f>
        <v>18</v>
      </c>
      <c r="D31">
        <v>2018</v>
      </c>
      <c r="E31">
        <v>104179</v>
      </c>
      <c r="F31" t="s">
        <v>45</v>
      </c>
      <c r="G31" t="s">
        <v>290</v>
      </c>
      <c r="H31" t="s">
        <v>6</v>
      </c>
      <c r="I31" cm="1">
        <f t="array" ref="I31">IF(B31=0,INDEX('Category 14'!F:F,MATCH(C31&amp;E31&amp;D31,'Category 14'!B:B&amp;'Category 14'!C:C&amp;'Category 14'!A:A,0)),INDEX('Category 14'!G:G,MATCH(C31&amp;E31&amp;D31,'Category 14'!B:B&amp;'Category 14'!C:C&amp;'Category 14'!A:A,0)))</f>
        <v>0</v>
      </c>
      <c r="J31">
        <f>I31/VLOOKUP($D31,CPI!$P$16:$R$22,3,FALSE)</f>
        <v>0</v>
      </c>
      <c r="K31" cm="1">
        <f t="array" ref="K31">IF(B31=0,INDEX('Category 15'!F:F,MATCH(C31&amp;E31&amp;D31,'Category 15'!B:B&amp;'Category 15'!C:C&amp;'Category 15'!A:A,0)),INDEX('Category 15'!G:G,MATCH(C31&amp;E31&amp;D31,'Category 15'!B:B&amp;'Category 31'!C:C&amp;'Category 15'!A:A,0)))</f>
        <v>0</v>
      </c>
      <c r="L31">
        <f>K31/VLOOKUP($D31,CPI!$P$16:$R$22,3,FALSE)</f>
        <v>0</v>
      </c>
      <c r="M31" s="16" cm="1">
        <f t="array" ref="M31">IF(B31=0,INDEX('Category 31'!F:F,MATCH(C31&amp;E31&amp;D31,'Category 31'!B:B&amp;'Category 31'!C:C&amp;'Category 31'!A:A,0)),INDEX('Category 31'!G:G,MATCH(C31&amp;E31&amp;D31,'Category 31'!B:B&amp;'Category 31'!C:C&amp;'Category 31'!A:A,0)))</f>
        <v>0</v>
      </c>
      <c r="N31" s="16">
        <f>M31/VLOOKUP($D31,CPI!$P$16:$R$22,3,FALSE)</f>
        <v>0</v>
      </c>
      <c r="O31">
        <f>VLOOKUP(E31,WSoftball!C:P,7,FALSE)</f>
        <v>57769</v>
      </c>
    </row>
    <row r="32" spans="1:15" ht="16" thickBot="1" x14ac:dyDescent="0.25">
      <c r="A32" s="15">
        <v>2</v>
      </c>
      <c r="B32">
        <f t="shared" si="0"/>
        <v>1</v>
      </c>
      <c r="C32">
        <f>IF(ISBLANK(H32),"",VLOOKUP(H32,Code!B:C,2,FALSE))</f>
        <v>19</v>
      </c>
      <c r="D32">
        <v>2018</v>
      </c>
      <c r="E32">
        <v>104179</v>
      </c>
      <c r="F32" t="s">
        <v>45</v>
      </c>
      <c r="G32" t="s">
        <v>290</v>
      </c>
      <c r="H32" t="s">
        <v>7</v>
      </c>
      <c r="I32" cm="1">
        <f t="array" ref="I32">IF(B32=0,INDEX('Category 14'!F:F,MATCH(C32&amp;E32&amp;D32,'Category 14'!B:B&amp;'Category 14'!C:C&amp;'Category 14'!A:A,0)),INDEX('Category 14'!G:G,MATCH(C32&amp;E32&amp;D32,'Category 14'!B:B&amp;'Category 14'!C:C&amp;'Category 14'!A:A,0)))</f>
        <v>1121</v>
      </c>
      <c r="J32">
        <f>I32/VLOOKUP($D32,CPI!$P$16:$R$22,3,FALSE)</f>
        <v>1353.9389080547789</v>
      </c>
      <c r="K32" cm="1">
        <f t="array" ref="K32">IF(B32=0,INDEX('Category 15'!F:F,MATCH(C32&amp;E32&amp;D32,'Category 15'!B:B&amp;'Category 15'!C:C&amp;'Category 15'!A:A,0)),INDEX('Category 15'!G:G,MATCH(C32&amp;E32&amp;D32,'Category 15'!B:B&amp;'Category 31'!C:C&amp;'Category 15'!A:A,0)))</f>
        <v>0</v>
      </c>
      <c r="L32">
        <f>K32/VLOOKUP($D32,CPI!$P$16:$R$22,3,FALSE)</f>
        <v>0</v>
      </c>
      <c r="M32" s="16" cm="1">
        <f t="array" ref="M32">IF(B32=0,INDEX('Category 31'!F:F,MATCH(C32&amp;E32&amp;D32,'Category 31'!B:B&amp;'Category 31'!C:C&amp;'Category 31'!A:A,0)),INDEX('Category 31'!G:G,MATCH(C32&amp;E32&amp;D32,'Category 31'!B:B&amp;'Category 31'!C:C&amp;'Category 31'!A:A,0)))</f>
        <v>0</v>
      </c>
      <c r="N32" s="16">
        <f>M32/VLOOKUP($D32,CPI!$P$16:$R$22,3,FALSE)</f>
        <v>0</v>
      </c>
      <c r="O32">
        <v>0</v>
      </c>
    </row>
    <row r="33" spans="1:15" ht="16" thickBot="1" x14ac:dyDescent="0.25">
      <c r="A33" s="15">
        <v>2</v>
      </c>
      <c r="B33">
        <f t="shared" si="0"/>
        <v>1</v>
      </c>
      <c r="C33">
        <f>IF(ISBLANK(H33),"",VLOOKUP(H33,Code!B:C,2,FALSE))</f>
        <v>20</v>
      </c>
      <c r="D33">
        <v>2018</v>
      </c>
      <c r="E33">
        <v>104179</v>
      </c>
      <c r="F33" t="s">
        <v>45</v>
      </c>
      <c r="G33" t="s">
        <v>290</v>
      </c>
      <c r="H33" t="s">
        <v>8</v>
      </c>
      <c r="I33" cm="1">
        <f t="array" ref="I33">IF(B33=0,INDEX('Category 14'!F:F,MATCH(C33&amp;E33&amp;D33,'Category 14'!B:B&amp;'Category 14'!C:C&amp;'Category 14'!A:A,0)),INDEX('Category 14'!G:G,MATCH(C33&amp;E33&amp;D33,'Category 14'!B:B&amp;'Category 14'!C:C&amp;'Category 14'!A:A,0)))</f>
        <v>870</v>
      </c>
      <c r="J33">
        <f>I33/VLOOKUP($D33,CPI!$P$16:$R$22,3,FALSE)</f>
        <v>1050.7822033966615</v>
      </c>
      <c r="K33" cm="1">
        <f t="array" ref="K33">IF(B33=0,INDEX('Category 15'!F:F,MATCH(C33&amp;E33&amp;D33,'Category 15'!B:B&amp;'Category 15'!C:C&amp;'Category 15'!A:A,0)),INDEX('Category 15'!G:G,MATCH(C33&amp;E33&amp;D33,'Category 15'!B:B&amp;'Category 31'!C:C&amp;'Category 15'!A:A,0)))</f>
        <v>0</v>
      </c>
      <c r="L33">
        <f>K33/VLOOKUP($D33,CPI!$P$16:$R$22,3,FALSE)</f>
        <v>0</v>
      </c>
      <c r="M33" s="16" cm="1">
        <f t="array" ref="M33">IF(B33=0,INDEX('Category 31'!F:F,MATCH(C33&amp;E33&amp;D33,'Category 31'!B:B&amp;'Category 31'!C:C&amp;'Category 31'!A:A,0)),INDEX('Category 31'!G:G,MATCH(C33&amp;E33&amp;D33,'Category 31'!B:B&amp;'Category 31'!C:C&amp;'Category 31'!A:A,0)))</f>
        <v>0</v>
      </c>
      <c r="N33" s="16">
        <f>M33/VLOOKUP($D33,CPI!$P$16:$R$22,3,FALSE)</f>
        <v>0</v>
      </c>
      <c r="O33">
        <v>0</v>
      </c>
    </row>
    <row r="34" spans="1:15" ht="16" thickBot="1" x14ac:dyDescent="0.25">
      <c r="A34" s="15">
        <v>2</v>
      </c>
      <c r="B34">
        <f t="shared" si="0"/>
        <v>1</v>
      </c>
      <c r="C34">
        <f>IF(ISBLANK(H34),"",VLOOKUP(H34,Code!B:C,2,FALSE))</f>
        <v>21</v>
      </c>
      <c r="D34">
        <v>2018</v>
      </c>
      <c r="E34">
        <v>104179</v>
      </c>
      <c r="F34" t="s">
        <v>45</v>
      </c>
      <c r="G34" t="s">
        <v>290</v>
      </c>
      <c r="H34" t="s">
        <v>36</v>
      </c>
      <c r="I34" cm="1">
        <f t="array" ref="I34">IF(B34=0,INDEX('Category 14'!F:F,MATCH(C34&amp;E34&amp;D34,'Category 14'!B:B&amp;'Category 14'!C:C&amp;'Category 14'!A:A,0)),INDEX('Category 14'!G:G,MATCH(C34&amp;E34&amp;D34,'Category 14'!B:B&amp;'Category 14'!C:C&amp;'Category 14'!A:A,0)))</f>
        <v>10223</v>
      </c>
      <c r="J34">
        <f>I34/VLOOKUP($D34,CPI!$P$16:$R$22,3,FALSE)</f>
        <v>12347.294787728817</v>
      </c>
      <c r="K34" cm="1">
        <f t="array" ref="K34">IF(B34=0,INDEX('Category 15'!F:F,MATCH(C34&amp;E34&amp;D34,'Category 15'!B:B&amp;'Category 15'!C:C&amp;'Category 15'!A:A,0)),INDEX('Category 15'!G:G,MATCH(C34&amp;E34&amp;D34,'Category 15'!B:B&amp;'Category 31'!C:C&amp;'Category 15'!A:A,0)))</f>
        <v>0</v>
      </c>
      <c r="L34">
        <f>K34/VLOOKUP($D34,CPI!$P$16:$R$22,3,FALSE)</f>
        <v>0</v>
      </c>
      <c r="M34" s="16" cm="1">
        <f t="array" ref="M34">IF(B34=0,INDEX('Category 31'!F:F,MATCH(C34&amp;E34&amp;D34,'Category 31'!B:B&amp;'Category 31'!C:C&amp;'Category 31'!A:A,0)),INDEX('Category 31'!G:G,MATCH(C34&amp;E34&amp;D34,'Category 31'!B:B&amp;'Category 31'!C:C&amp;'Category 31'!A:A,0)))</f>
        <v>0</v>
      </c>
      <c r="N34" s="16">
        <f>M34/VLOOKUP($D34,CPI!$P$16:$R$22,3,FALSE)</f>
        <v>0</v>
      </c>
      <c r="O34">
        <v>0</v>
      </c>
    </row>
    <row r="35" spans="1:15" ht="16" thickBot="1" x14ac:dyDescent="0.25">
      <c r="A35" s="15">
        <v>2</v>
      </c>
      <c r="B35">
        <f t="shared" si="0"/>
        <v>1</v>
      </c>
      <c r="C35">
        <f>IF(ISBLANK(H35),"",VLOOKUP(H35,Code!B:C,2,FALSE))</f>
        <v>23</v>
      </c>
      <c r="D35">
        <v>2018</v>
      </c>
      <c r="E35">
        <v>104179</v>
      </c>
      <c r="F35" t="s">
        <v>45</v>
      </c>
      <c r="G35" t="s">
        <v>290</v>
      </c>
      <c r="H35" t="s">
        <v>10</v>
      </c>
      <c r="I35" cm="1">
        <f t="array" ref="I35">IF(B35=0,INDEX('Category 14'!F:F,MATCH(C35&amp;E35&amp;D35,'Category 14'!B:B&amp;'Category 14'!C:C&amp;'Category 14'!A:A,0)),INDEX('Category 14'!G:G,MATCH(C35&amp;E35&amp;D35,'Category 14'!B:B&amp;'Category 14'!C:C&amp;'Category 14'!A:A,0)))</f>
        <v>0</v>
      </c>
      <c r="J35">
        <f>I35/VLOOKUP($D35,CPI!$P$16:$R$22,3,FALSE)</f>
        <v>0</v>
      </c>
      <c r="K35" cm="1">
        <f t="array" ref="K35">IF(B35=0,INDEX('Category 15'!F:F,MATCH(C35&amp;E35&amp;D35,'Category 15'!B:B&amp;'Category 15'!C:C&amp;'Category 15'!A:A,0)),INDEX('Category 15'!G:G,MATCH(C35&amp;E35&amp;D35,'Category 15'!B:B&amp;'Category 31'!C:C&amp;'Category 15'!A:A,0)))</f>
        <v>0</v>
      </c>
      <c r="L35">
        <f>K35/VLOOKUP($D35,CPI!$P$16:$R$22,3,FALSE)</f>
        <v>0</v>
      </c>
      <c r="M35" s="16" cm="1">
        <f t="array" ref="M35">IF(B35=0,INDEX('Category 31'!F:F,MATCH(C35&amp;E35&amp;D35,'Category 31'!B:B&amp;'Category 31'!C:C&amp;'Category 31'!A:A,0)),INDEX('Category 31'!G:G,MATCH(C35&amp;E35&amp;D35,'Category 31'!B:B&amp;'Category 31'!C:C&amp;'Category 31'!A:A,0)))</f>
        <v>0</v>
      </c>
      <c r="N35" s="16">
        <f>M35/VLOOKUP($D35,CPI!$P$16:$R$22,3,FALSE)</f>
        <v>0</v>
      </c>
      <c r="O35">
        <f>VLOOKUP(E35,WVolleyball!C:P,7,FALSE)</f>
        <v>24356</v>
      </c>
    </row>
    <row r="36" spans="1:15" ht="16" thickBot="1" x14ac:dyDescent="0.25">
      <c r="A36" s="15">
        <v>2</v>
      </c>
      <c r="B36">
        <f t="shared" si="0"/>
        <v>0</v>
      </c>
      <c r="C36">
        <f>IF(ISBLANK(H36),"",VLOOKUP(H36,Code!B:C,2,FALSE))</f>
        <v>1</v>
      </c>
      <c r="D36">
        <v>2019</v>
      </c>
      <c r="E36">
        <v>104179</v>
      </c>
      <c r="F36" t="s">
        <v>45</v>
      </c>
      <c r="G36" t="s">
        <v>289</v>
      </c>
      <c r="H36" t="s">
        <v>0</v>
      </c>
      <c r="I36" cm="1">
        <f t="array" ref="I36">IF(B36=0,INDEX('Category 14'!F:F,MATCH(C36&amp;E36&amp;D36,'Category 14'!B:B&amp;'Category 14'!C:C&amp;'Category 14'!A:A,0)),INDEX('Category 14'!G:G,MATCH(C36&amp;E36&amp;D36,'Category 14'!B:B&amp;'Category 14'!C:C&amp;'Category 14'!A:A,0)))</f>
        <v>3435</v>
      </c>
      <c r="J36">
        <f>I36/VLOOKUP($D36,CPI!$P$16:$R$22,3,FALSE)</f>
        <v>4064.5389872802975</v>
      </c>
      <c r="K36" cm="1">
        <f t="array" ref="K36">IF(B36=0,INDEX('Category 15'!F:F,MATCH(C36&amp;E36&amp;D36,'Category 15'!B:B&amp;'Category 15'!C:C&amp;'Category 15'!A:A,0)),INDEX('Category 15'!G:G,MATCH(C36&amp;E36&amp;D36,'Category 15'!B:B&amp;'Category 31'!C:C&amp;'Category 15'!A:A,0)))</f>
        <v>0</v>
      </c>
      <c r="L36">
        <f>K36/VLOOKUP($D36,CPI!$P$16:$R$22,3,FALSE)</f>
        <v>0</v>
      </c>
      <c r="M36" s="16" cm="1">
        <f t="array" ref="M36">IF(B36=0,INDEX('Category 31'!F:F,MATCH(C36&amp;E36&amp;D36,'Category 31'!B:B&amp;'Category 31'!C:C&amp;'Category 31'!A:A,0)),INDEX('Category 31'!G:G,MATCH(C36&amp;E36&amp;D36,'Category 31'!B:B&amp;'Category 31'!C:C&amp;'Category 31'!A:A,0)))</f>
        <v>0</v>
      </c>
      <c r="N36" s="16">
        <f>M36/VLOOKUP($D36,CPI!$P$16:$R$22,3,FALSE)</f>
        <v>0</v>
      </c>
      <c r="O36">
        <v>81394</v>
      </c>
    </row>
    <row r="37" spans="1:15" ht="16" thickBot="1" x14ac:dyDescent="0.25">
      <c r="A37" s="15">
        <v>2</v>
      </c>
      <c r="B37">
        <f t="shared" si="0"/>
        <v>0</v>
      </c>
      <c r="C37">
        <f>IF(ISBLANK(H37),"",VLOOKUP(H37,Code!B:C,2,FALSE))</f>
        <v>2</v>
      </c>
      <c r="D37">
        <v>2019</v>
      </c>
      <c r="E37">
        <v>104179</v>
      </c>
      <c r="F37" t="s">
        <v>45</v>
      </c>
      <c r="G37" t="s">
        <v>289</v>
      </c>
      <c r="H37" t="s">
        <v>1</v>
      </c>
      <c r="I37" cm="1">
        <f t="array" ref="I37">IF(B37=0,INDEX('Category 14'!F:F,MATCH(C37&amp;E37&amp;D37,'Category 14'!B:B&amp;'Category 14'!C:C&amp;'Category 14'!A:A,0)),INDEX('Category 14'!G:G,MATCH(C37&amp;E37&amp;D37,'Category 14'!B:B&amp;'Category 14'!C:C&amp;'Category 14'!A:A,0)))</f>
        <v>45770</v>
      </c>
      <c r="J37">
        <f>I37/VLOOKUP($D37,CPI!$P$16:$R$22,3,FALSE)</f>
        <v>54158.355006643149</v>
      </c>
      <c r="K37" cm="1">
        <f t="array" ref="K37">IF(B37=0,INDEX('Category 15'!F:F,MATCH(C37&amp;E37&amp;D37,'Category 15'!B:B&amp;'Category 15'!C:C&amp;'Category 15'!A:A,0)),INDEX('Category 15'!G:G,MATCH(C37&amp;E37&amp;D37,'Category 15'!B:B&amp;'Category 31'!C:C&amp;'Category 15'!A:A,0)))</f>
        <v>4381518</v>
      </c>
      <c r="L37">
        <f>K37/VLOOKUP($D37,CPI!$P$16:$R$22,3,FALSE)</f>
        <v>5184527.1424950203</v>
      </c>
      <c r="M37" s="16" cm="1">
        <f t="array" ref="M37">IF(B37=0,INDEX('Category 31'!F:F,MATCH(C37&amp;E37&amp;D37,'Category 31'!B:B&amp;'Category 31'!C:C&amp;'Category 31'!A:A,0)),INDEX('Category 31'!G:G,MATCH(C37&amp;E37&amp;D37,'Category 31'!B:B&amp;'Category 31'!C:C&amp;'Category 31'!A:A,0)))</f>
        <v>0</v>
      </c>
      <c r="N37" s="16">
        <f>M37/VLOOKUP($D37,CPI!$P$16:$R$22,3,FALSE)</f>
        <v>0</v>
      </c>
      <c r="O37">
        <f>VLOOKUP(E37,MBasketball!C:P,8,FALSE)</f>
        <v>233645</v>
      </c>
    </row>
    <row r="38" spans="1:15" ht="16" thickBot="1" x14ac:dyDescent="0.25">
      <c r="A38" s="15">
        <v>2</v>
      </c>
      <c r="B38">
        <f t="shared" si="0"/>
        <v>0</v>
      </c>
      <c r="C38">
        <f>IF(ISBLANK(H38),"",VLOOKUP(H38,Code!B:C,2,FALSE))</f>
        <v>8</v>
      </c>
      <c r="D38">
        <v>2019</v>
      </c>
      <c r="E38">
        <v>104179</v>
      </c>
      <c r="F38" t="s">
        <v>45</v>
      </c>
      <c r="G38" t="s">
        <v>289</v>
      </c>
      <c r="H38" t="s">
        <v>2</v>
      </c>
      <c r="I38" cm="1">
        <f t="array" ref="I38">IF(B38=0,INDEX('Category 14'!F:F,MATCH(C38&amp;E38&amp;D38,'Category 14'!B:B&amp;'Category 14'!C:C&amp;'Category 14'!A:A,0)),INDEX('Category 14'!G:G,MATCH(C38&amp;E38&amp;D38,'Category 14'!B:B&amp;'Category 14'!C:C&amp;'Category 14'!A:A,0)))</f>
        <v>471041</v>
      </c>
      <c r="J38">
        <f>I38/VLOOKUP($D38,CPI!$P$16:$R$22,3,FALSE)</f>
        <v>557369.58052620047</v>
      </c>
      <c r="K38" cm="1">
        <f t="array" ref="K38">IF(B38=0,INDEX('Category 15'!F:F,MATCH(C38&amp;E38&amp;D38,'Category 15'!B:B&amp;'Category 15'!C:C&amp;'Category 15'!A:A,0)),INDEX('Category 15'!G:G,MATCH(C38&amp;E38&amp;D38,'Category 15'!B:B&amp;'Category 31'!C:C&amp;'Category 15'!A:A,0)))</f>
        <v>4381518</v>
      </c>
      <c r="L38">
        <f>K38/VLOOKUP($D38,CPI!$P$16:$R$22,3,FALSE)</f>
        <v>5184527.1424950203</v>
      </c>
      <c r="M38" s="16" cm="1">
        <f t="array" ref="M38">IF(B38=0,INDEX('Category 31'!F:F,MATCH(C38&amp;E38&amp;D38,'Category 31'!B:B&amp;'Category 31'!C:C&amp;'Category 31'!A:A,0)),INDEX('Category 31'!G:G,MATCH(C38&amp;E38&amp;D38,'Category 31'!B:B&amp;'Category 31'!C:C&amp;'Category 31'!A:A,0)))</f>
        <v>0</v>
      </c>
      <c r="N38" s="16">
        <f>M38/VLOOKUP($D38,CPI!$P$16:$R$22,3,FALSE)</f>
        <v>0</v>
      </c>
      <c r="O38">
        <f>VLOOKUP(E38,MFootball!C:P,8,FALSE)</f>
        <v>318051</v>
      </c>
    </row>
    <row r="39" spans="1:15" ht="16" thickBot="1" x14ac:dyDescent="0.25">
      <c r="A39" s="15">
        <v>2</v>
      </c>
      <c r="B39">
        <f t="shared" si="0"/>
        <v>0</v>
      </c>
      <c r="C39">
        <f>IF(ISBLANK(H39),"",VLOOKUP(H39,Code!B:C,2,FALSE))</f>
        <v>9</v>
      </c>
      <c r="D39">
        <v>2019</v>
      </c>
      <c r="E39">
        <v>104179</v>
      </c>
      <c r="F39" t="s">
        <v>45</v>
      </c>
      <c r="G39" t="s">
        <v>289</v>
      </c>
      <c r="H39" t="s">
        <v>3</v>
      </c>
      <c r="I39" cm="1">
        <f t="array" ref="I39">IF(B39=0,INDEX('Category 14'!F:F,MATCH(C39&amp;E39&amp;D39,'Category 14'!B:B&amp;'Category 14'!C:C&amp;'Category 14'!A:A,0)),INDEX('Category 14'!G:G,MATCH(C39&amp;E39&amp;D39,'Category 14'!B:B&amp;'Category 14'!C:C&amp;'Category 14'!A:A,0)))</f>
        <v>0</v>
      </c>
      <c r="J39">
        <f>I39/VLOOKUP($D39,CPI!$P$16:$R$22,3,FALSE)</f>
        <v>0</v>
      </c>
      <c r="K39" cm="1">
        <f t="array" ref="K39">IF(B39=0,INDEX('Category 15'!F:F,MATCH(C39&amp;E39&amp;D39,'Category 15'!B:B&amp;'Category 15'!C:C&amp;'Category 15'!A:A,0)),INDEX('Category 15'!G:G,MATCH(C39&amp;E39&amp;D39,'Category 15'!B:B&amp;'Category 31'!C:C&amp;'Category 15'!A:A,0)))</f>
        <v>0</v>
      </c>
      <c r="L39">
        <f>K39/VLOOKUP($D39,CPI!$P$16:$R$22,3,FALSE)</f>
        <v>0</v>
      </c>
      <c r="M39" s="16" cm="1">
        <f t="array" ref="M39">IF(B39=0,INDEX('Category 31'!F:F,MATCH(C39&amp;E39&amp;D39,'Category 31'!B:B&amp;'Category 31'!C:C&amp;'Category 31'!A:A,0)),INDEX('Category 31'!G:G,MATCH(C39&amp;E39&amp;D39,'Category 31'!B:B&amp;'Category 31'!C:C&amp;'Category 31'!A:A,0)))</f>
        <v>0</v>
      </c>
      <c r="N39" s="16">
        <f>M39/VLOOKUP($D39,CPI!$P$16:$R$22,3,FALSE)</f>
        <v>0</v>
      </c>
      <c r="O39">
        <v>0</v>
      </c>
    </row>
    <row r="40" spans="1:15" ht="16" thickBot="1" x14ac:dyDescent="0.25">
      <c r="A40" s="15">
        <v>2</v>
      </c>
      <c r="B40">
        <f t="shared" si="0"/>
        <v>0</v>
      </c>
      <c r="C40">
        <f>IF(ISBLANK(H40),"",VLOOKUP(H40,Code!B:C,2,FALSE))</f>
        <v>19</v>
      </c>
      <c r="D40">
        <v>2019</v>
      </c>
      <c r="E40">
        <v>104179</v>
      </c>
      <c r="F40" t="s">
        <v>45</v>
      </c>
      <c r="G40" t="s">
        <v>289</v>
      </c>
      <c r="H40" t="s">
        <v>7</v>
      </c>
      <c r="I40" cm="1">
        <f t="array" ref="I40">IF(B40=0,INDEX('Category 14'!F:F,MATCH(C40&amp;E40&amp;D40,'Category 14'!B:B&amp;'Category 14'!C:C&amp;'Category 14'!A:A,0)),INDEX('Category 14'!G:G,MATCH(C40&amp;E40&amp;D40,'Category 14'!B:B&amp;'Category 14'!C:C&amp;'Category 14'!A:A,0)))</f>
        <v>0</v>
      </c>
      <c r="J40">
        <f>I40/VLOOKUP($D40,CPI!$P$16:$R$22,3,FALSE)</f>
        <v>0</v>
      </c>
      <c r="K40" cm="1">
        <f t="array" ref="K40">IF(B40=0,INDEX('Category 15'!F:F,MATCH(C40&amp;E40&amp;D40,'Category 15'!B:B&amp;'Category 15'!C:C&amp;'Category 15'!A:A,0)),INDEX('Category 15'!G:G,MATCH(C40&amp;E40&amp;D40,'Category 15'!B:B&amp;'Category 31'!C:C&amp;'Category 15'!A:A,0)))</f>
        <v>0</v>
      </c>
      <c r="L40">
        <f>K40/VLOOKUP($D40,CPI!$P$16:$R$22,3,FALSE)</f>
        <v>0</v>
      </c>
      <c r="M40" s="16" cm="1">
        <f t="array" ref="M40">IF(B40=0,INDEX('Category 31'!F:F,MATCH(C40&amp;E40&amp;D40,'Category 31'!B:B&amp;'Category 31'!C:C&amp;'Category 31'!A:A,0)),INDEX('Category 31'!G:G,MATCH(C40&amp;E40&amp;D40,'Category 31'!B:B&amp;'Category 31'!C:C&amp;'Category 31'!A:A,0)))</f>
        <v>0</v>
      </c>
      <c r="N40" s="16">
        <f>M40/VLOOKUP($D40,CPI!$P$16:$R$22,3,FALSE)</f>
        <v>0</v>
      </c>
      <c r="O40">
        <v>0</v>
      </c>
    </row>
    <row r="41" spans="1:15" ht="16" thickBot="1" x14ac:dyDescent="0.25">
      <c r="A41" s="15">
        <v>2</v>
      </c>
      <c r="B41">
        <f t="shared" si="0"/>
        <v>0</v>
      </c>
      <c r="C41">
        <f>IF(ISBLANK(H41),"",VLOOKUP(H41,Code!B:C,2,FALSE))</f>
        <v>20</v>
      </c>
      <c r="D41">
        <v>2019</v>
      </c>
      <c r="E41">
        <v>104179</v>
      </c>
      <c r="F41" t="s">
        <v>45</v>
      </c>
      <c r="G41" t="s">
        <v>289</v>
      </c>
      <c r="H41" t="s">
        <v>8</v>
      </c>
      <c r="I41" cm="1">
        <f t="array" ref="I41">IF(B41=0,INDEX('Category 14'!F:F,MATCH(C41&amp;E41&amp;D41,'Category 14'!B:B&amp;'Category 14'!C:C&amp;'Category 14'!A:A,0)),INDEX('Category 14'!G:G,MATCH(C41&amp;E41&amp;D41,'Category 14'!B:B&amp;'Category 14'!C:C&amp;'Category 14'!A:A,0)))</f>
        <v>0</v>
      </c>
      <c r="J41">
        <f>I41/VLOOKUP($D41,CPI!$P$16:$R$22,3,FALSE)</f>
        <v>0</v>
      </c>
      <c r="K41" cm="1">
        <f t="array" ref="K41">IF(B41=0,INDEX('Category 15'!F:F,MATCH(C41&amp;E41&amp;D41,'Category 15'!B:B&amp;'Category 15'!C:C&amp;'Category 15'!A:A,0)),INDEX('Category 15'!G:G,MATCH(C41&amp;E41&amp;D41,'Category 15'!B:B&amp;'Category 31'!C:C&amp;'Category 15'!A:A,0)))</f>
        <v>0</v>
      </c>
      <c r="L41">
        <f>K41/VLOOKUP($D41,CPI!$P$16:$R$22,3,FALSE)</f>
        <v>0</v>
      </c>
      <c r="M41" s="16" cm="1">
        <f t="array" ref="M41">IF(B41=0,INDEX('Category 31'!F:F,MATCH(C41&amp;E41&amp;D41,'Category 31'!B:B&amp;'Category 31'!C:C&amp;'Category 31'!A:A,0)),INDEX('Category 31'!G:G,MATCH(C41&amp;E41&amp;D41,'Category 31'!B:B&amp;'Category 31'!C:C&amp;'Category 31'!A:A,0)))</f>
        <v>0</v>
      </c>
      <c r="N41" s="16">
        <f>M41/VLOOKUP($D41,CPI!$P$16:$R$22,3,FALSE)</f>
        <v>0</v>
      </c>
      <c r="O41">
        <v>0</v>
      </c>
    </row>
    <row r="42" spans="1:15" ht="16" thickBot="1" x14ac:dyDescent="0.25">
      <c r="A42" s="15">
        <v>2</v>
      </c>
      <c r="B42">
        <f t="shared" si="0"/>
        <v>0</v>
      </c>
      <c r="C42">
        <f>IF(ISBLANK(H42),"",VLOOKUP(H42,Code!B:C,2,FALSE))</f>
        <v>21</v>
      </c>
      <c r="D42">
        <v>2019</v>
      </c>
      <c r="E42">
        <v>104179</v>
      </c>
      <c r="F42" t="s">
        <v>45</v>
      </c>
      <c r="G42" t="s">
        <v>289</v>
      </c>
      <c r="H42" t="s">
        <v>36</v>
      </c>
      <c r="I42" cm="1">
        <f t="array" ref="I42">IF(B42=0,INDEX('Category 14'!F:F,MATCH(C42&amp;E42&amp;D42,'Category 14'!B:B&amp;'Category 14'!C:C&amp;'Category 14'!A:A,0)),INDEX('Category 14'!G:G,MATCH(C42&amp;E42&amp;D42,'Category 14'!B:B&amp;'Category 14'!C:C&amp;'Category 14'!A:A,0)))</f>
        <v>0</v>
      </c>
      <c r="J42">
        <f>I42/VLOOKUP($D42,CPI!$P$16:$R$22,3,FALSE)</f>
        <v>0</v>
      </c>
      <c r="K42" cm="1">
        <f t="array" ref="K42">IF(B42=0,INDEX('Category 15'!F:F,MATCH(C42&amp;E42&amp;D42,'Category 15'!B:B&amp;'Category 15'!C:C&amp;'Category 15'!A:A,0)),INDEX('Category 15'!G:G,MATCH(C42&amp;E42&amp;D42,'Category 15'!B:B&amp;'Category 31'!C:C&amp;'Category 15'!A:A,0)))</f>
        <v>0</v>
      </c>
      <c r="L42">
        <f>K42/VLOOKUP($D42,CPI!$P$16:$R$22,3,FALSE)</f>
        <v>0</v>
      </c>
      <c r="M42" s="16" cm="1">
        <f t="array" ref="M42">IF(B42=0,INDEX('Category 31'!F:F,MATCH(C42&amp;E42&amp;D42,'Category 31'!B:B&amp;'Category 31'!C:C&amp;'Category 31'!A:A,0)),INDEX('Category 31'!G:G,MATCH(C42&amp;E42&amp;D42,'Category 31'!B:B&amp;'Category 31'!C:C&amp;'Category 31'!A:A,0)))</f>
        <v>0</v>
      </c>
      <c r="N42" s="16">
        <f>M42/VLOOKUP($D42,CPI!$P$16:$R$22,3,FALSE)</f>
        <v>0</v>
      </c>
      <c r="O42">
        <v>0</v>
      </c>
    </row>
    <row r="43" spans="1:15" ht="16" thickBot="1" x14ac:dyDescent="0.25">
      <c r="A43" s="15">
        <v>2</v>
      </c>
      <c r="B43">
        <f t="shared" si="0"/>
        <v>1</v>
      </c>
      <c r="C43">
        <f>IF(ISBLANK(H43),"",VLOOKUP(H43,Code!B:C,2,FALSE))</f>
        <v>2</v>
      </c>
      <c r="D43">
        <v>2019</v>
      </c>
      <c r="E43">
        <v>104179</v>
      </c>
      <c r="F43" t="s">
        <v>45</v>
      </c>
      <c r="G43" t="s">
        <v>290</v>
      </c>
      <c r="H43" t="s">
        <v>1</v>
      </c>
      <c r="I43" cm="1">
        <f t="array" ref="I43">IF(B43=0,INDEX('Category 14'!F:F,MATCH(C43&amp;E43&amp;D43,'Category 14'!B:B&amp;'Category 14'!C:C&amp;'Category 14'!A:A,0)),INDEX('Category 14'!G:G,MATCH(C43&amp;E43&amp;D43,'Category 14'!B:B&amp;'Category 14'!C:C&amp;'Category 14'!A:A,0)))</f>
        <v>0</v>
      </c>
      <c r="J43">
        <f>I43/VLOOKUP($D43,CPI!$P$16:$R$22,3,FALSE)</f>
        <v>0</v>
      </c>
      <c r="K43" cm="1">
        <f t="array" ref="K43">IF(B43=0,INDEX('Category 15'!F:F,MATCH(C43&amp;E43&amp;D43,'Category 15'!B:B&amp;'Category 15'!C:C&amp;'Category 15'!A:A,0)),INDEX('Category 15'!G:G,MATCH(C43&amp;E43&amp;D43,'Category 15'!B:B&amp;'Category 31'!C:C&amp;'Category 15'!A:A,0)))</f>
        <v>0</v>
      </c>
      <c r="L43">
        <f>K43/VLOOKUP($D43,CPI!$P$16:$R$22,3,FALSE)</f>
        <v>0</v>
      </c>
      <c r="M43" s="16" cm="1">
        <f t="array" ref="M43">IF(B43=0,INDEX('Category 31'!F:F,MATCH(C43&amp;E43&amp;D43,'Category 31'!B:B&amp;'Category 31'!C:C&amp;'Category 31'!A:A,0)),INDEX('Category 31'!G:G,MATCH(C43&amp;E43&amp;D43,'Category 31'!B:B&amp;'Category 31'!C:C&amp;'Category 31'!A:A,0)))</f>
        <v>0</v>
      </c>
      <c r="N43" s="16">
        <f>M43/VLOOKUP($D43,CPI!$P$16:$R$22,3,FALSE)</f>
        <v>0</v>
      </c>
      <c r="O43">
        <f>VLOOKUP(E43,WBasketball!C:P,8,FALSE)</f>
        <v>80850</v>
      </c>
    </row>
    <row r="44" spans="1:15" ht="16" thickBot="1" x14ac:dyDescent="0.25">
      <c r="A44" s="15">
        <v>2</v>
      </c>
      <c r="B44">
        <f t="shared" si="0"/>
        <v>1</v>
      </c>
      <c r="C44">
        <f>IF(ISBLANK(H44),"",VLOOKUP(H44,Code!B:C,2,FALSE))</f>
        <v>3</v>
      </c>
      <c r="D44">
        <v>2019</v>
      </c>
      <c r="E44">
        <v>104179</v>
      </c>
      <c r="F44" t="s">
        <v>45</v>
      </c>
      <c r="G44" t="s">
        <v>290</v>
      </c>
      <c r="H44" t="s">
        <v>21</v>
      </c>
      <c r="I44" cm="1">
        <f t="array" ref="I44">IF(B44=0,INDEX('Category 14'!F:F,MATCH(C44&amp;E44&amp;D44,'Category 14'!B:B&amp;'Category 14'!C:C&amp;'Category 14'!A:A,0)),INDEX('Category 14'!G:G,MATCH(C44&amp;E44&amp;D44,'Category 14'!B:B&amp;'Category 14'!C:C&amp;'Category 14'!A:A,0)))</f>
        <v>590</v>
      </c>
      <c r="J44">
        <f>I44/VLOOKUP($D44,CPI!$P$16:$R$22,3,FALSE)</f>
        <v>698.13042285163772</v>
      </c>
      <c r="K44" cm="1">
        <f t="array" ref="K44">IF(B44=0,INDEX('Category 15'!F:F,MATCH(C44&amp;E44&amp;D44,'Category 15'!B:B&amp;'Category 15'!C:C&amp;'Category 15'!A:A,0)),INDEX('Category 15'!G:G,MATCH(C44&amp;E44&amp;D44,'Category 15'!B:B&amp;'Category 31'!C:C&amp;'Category 15'!A:A,0)))</f>
        <v>0</v>
      </c>
      <c r="L44">
        <f>K44/VLOOKUP($D44,CPI!$P$16:$R$22,3,FALSE)</f>
        <v>0</v>
      </c>
      <c r="M44" s="16" cm="1">
        <f t="array" ref="M44">IF(B44=0,INDEX('Category 31'!F:F,MATCH(C44&amp;E44&amp;D44,'Category 31'!B:B&amp;'Category 31'!C:C&amp;'Category 31'!A:A,0)),INDEX('Category 31'!G:G,MATCH(C44&amp;E44&amp;D44,'Category 31'!B:B&amp;'Category 31'!C:C&amp;'Category 31'!A:A,0)))</f>
        <v>0</v>
      </c>
      <c r="N44" s="16">
        <f>M44/VLOOKUP($D44,CPI!$P$16:$R$22,3,FALSE)</f>
        <v>0</v>
      </c>
      <c r="O44">
        <v>0</v>
      </c>
    </row>
    <row r="45" spans="1:15" ht="16" thickBot="1" x14ac:dyDescent="0.25">
      <c r="A45" s="15">
        <v>2</v>
      </c>
      <c r="B45">
        <f t="shared" si="0"/>
        <v>1</v>
      </c>
      <c r="C45">
        <f>IF(ISBLANK(H45),"",VLOOKUP(H45,Code!B:C,2,FALSE))</f>
        <v>9</v>
      </c>
      <c r="D45">
        <v>2019</v>
      </c>
      <c r="E45">
        <v>104179</v>
      </c>
      <c r="F45" t="s">
        <v>45</v>
      </c>
      <c r="G45" t="s">
        <v>290</v>
      </c>
      <c r="H45" t="s">
        <v>3</v>
      </c>
      <c r="I45" cm="1">
        <f t="array" ref="I45">IF(B45=0,INDEX('Category 14'!F:F,MATCH(C45&amp;E45&amp;D45,'Category 14'!B:B&amp;'Category 14'!C:C&amp;'Category 14'!A:A,0)),INDEX('Category 14'!G:G,MATCH(C45&amp;E45&amp;D45,'Category 14'!B:B&amp;'Category 14'!C:C&amp;'Category 14'!A:A,0)))</f>
        <v>0</v>
      </c>
      <c r="J45">
        <f>I45/VLOOKUP($D45,CPI!$P$16:$R$22,3,FALSE)</f>
        <v>0</v>
      </c>
      <c r="K45" cm="1">
        <f t="array" ref="K45">IF(B45=0,INDEX('Category 15'!F:F,MATCH(C45&amp;E45&amp;D45,'Category 15'!B:B&amp;'Category 15'!C:C&amp;'Category 15'!A:A,0)),INDEX('Category 15'!G:G,MATCH(C45&amp;E45&amp;D45,'Category 15'!B:B&amp;'Category 31'!C:C&amp;'Category 15'!A:A,0)))</f>
        <v>0</v>
      </c>
      <c r="L45">
        <f>K45/VLOOKUP($D45,CPI!$P$16:$R$22,3,FALSE)</f>
        <v>0</v>
      </c>
      <c r="M45" s="16" cm="1">
        <f t="array" ref="M45">IF(B45=0,INDEX('Category 31'!F:F,MATCH(C45&amp;E45&amp;D45,'Category 31'!B:B&amp;'Category 31'!C:C&amp;'Category 31'!A:A,0)),INDEX('Category 31'!G:G,MATCH(C45&amp;E45&amp;D45,'Category 31'!B:B&amp;'Category 31'!C:C&amp;'Category 31'!A:A,0)))</f>
        <v>0</v>
      </c>
      <c r="N45" s="16">
        <f>M45/VLOOKUP($D45,CPI!$P$16:$R$22,3,FALSE)</f>
        <v>0</v>
      </c>
      <c r="O45">
        <v>0</v>
      </c>
    </row>
    <row r="46" spans="1:15" ht="16" thickBot="1" x14ac:dyDescent="0.25">
      <c r="A46" s="15">
        <v>2</v>
      </c>
      <c r="B46">
        <f t="shared" si="0"/>
        <v>1</v>
      </c>
      <c r="C46">
        <f>IF(ISBLANK(H46),"",VLOOKUP(H46,Code!B:C,2,FALSE))</f>
        <v>10</v>
      </c>
      <c r="D46">
        <v>2019</v>
      </c>
      <c r="E46">
        <v>104179</v>
      </c>
      <c r="F46" t="s">
        <v>45</v>
      </c>
      <c r="G46" t="s">
        <v>290</v>
      </c>
      <c r="H46" t="s">
        <v>4</v>
      </c>
      <c r="I46" cm="1">
        <f t="array" ref="I46">IF(B46=0,INDEX('Category 14'!F:F,MATCH(C46&amp;E46&amp;D46,'Category 14'!B:B&amp;'Category 14'!C:C&amp;'Category 14'!A:A,0)),INDEX('Category 14'!G:G,MATCH(C46&amp;E46&amp;D46,'Category 14'!B:B&amp;'Category 14'!C:C&amp;'Category 14'!A:A,0)))</f>
        <v>0</v>
      </c>
      <c r="J46">
        <f>I46/VLOOKUP($D46,CPI!$P$16:$R$22,3,FALSE)</f>
        <v>0</v>
      </c>
      <c r="K46" cm="1">
        <f t="array" ref="K46">IF(B46=0,INDEX('Category 15'!F:F,MATCH(C46&amp;E46&amp;D46,'Category 15'!B:B&amp;'Category 15'!C:C&amp;'Category 15'!A:A,0)),INDEX('Category 15'!G:G,MATCH(C46&amp;E46&amp;D46,'Category 15'!B:B&amp;'Category 31'!C:C&amp;'Category 15'!A:A,0)))</f>
        <v>0</v>
      </c>
      <c r="L46">
        <f>K46/VLOOKUP($D46,CPI!$P$16:$R$22,3,FALSE)</f>
        <v>0</v>
      </c>
      <c r="M46" s="16" cm="1">
        <f t="array" ref="M46">IF(B46=0,INDEX('Category 31'!F:F,MATCH(C46&amp;E46&amp;D46,'Category 31'!B:B&amp;'Category 31'!C:C&amp;'Category 31'!A:A,0)),INDEX('Category 31'!G:G,MATCH(C46&amp;E46&amp;D46,'Category 31'!B:B&amp;'Category 31'!C:C&amp;'Category 31'!A:A,0)))</f>
        <v>0</v>
      </c>
      <c r="N46" s="16">
        <f>M46/VLOOKUP($D46,CPI!$P$16:$R$22,3,FALSE)</f>
        <v>0</v>
      </c>
      <c r="O46">
        <v>0</v>
      </c>
    </row>
    <row r="47" spans="1:15" ht="16" thickBot="1" x14ac:dyDescent="0.25">
      <c r="A47" s="15">
        <v>2</v>
      </c>
      <c r="B47">
        <f t="shared" si="0"/>
        <v>1</v>
      </c>
      <c r="C47">
        <f>IF(ISBLANK(H47),"",VLOOKUP(H47,Code!B:C,2,FALSE))</f>
        <v>17</v>
      </c>
      <c r="D47">
        <v>2019</v>
      </c>
      <c r="E47">
        <v>104179</v>
      </c>
      <c r="F47" t="s">
        <v>45</v>
      </c>
      <c r="G47" t="s">
        <v>290</v>
      </c>
      <c r="H47" t="s">
        <v>5</v>
      </c>
      <c r="I47" cm="1">
        <f t="array" ref="I47">IF(B47=0,INDEX('Category 14'!F:F,MATCH(C47&amp;E47&amp;D47,'Category 14'!B:B&amp;'Category 14'!C:C&amp;'Category 14'!A:A,0)),INDEX('Category 14'!G:G,MATCH(C47&amp;E47&amp;D47,'Category 14'!B:B&amp;'Category 14'!C:C&amp;'Category 14'!A:A,0)))</f>
        <v>14756</v>
      </c>
      <c r="J47">
        <f>I47/VLOOKUP($D47,CPI!$P$16:$R$22,3,FALSE)</f>
        <v>17460.360202709773</v>
      </c>
      <c r="K47" cm="1">
        <f t="array" ref="K47">IF(B47=0,INDEX('Category 15'!F:F,MATCH(C47&amp;E47&amp;D47,'Category 15'!B:B&amp;'Category 15'!C:C&amp;'Category 15'!A:A,0)),INDEX('Category 15'!G:G,MATCH(C47&amp;E47&amp;D47,'Category 15'!B:B&amp;'Category 31'!C:C&amp;'Category 15'!A:A,0)))</f>
        <v>0</v>
      </c>
      <c r="L47">
        <f>K47/VLOOKUP($D47,CPI!$P$16:$R$22,3,FALSE)</f>
        <v>0</v>
      </c>
      <c r="M47" s="16" cm="1">
        <f t="array" ref="M47">IF(B47=0,INDEX('Category 31'!F:F,MATCH(C47&amp;E47&amp;D47,'Category 31'!B:B&amp;'Category 31'!C:C&amp;'Category 31'!A:A,0)),INDEX('Category 31'!G:G,MATCH(C47&amp;E47&amp;D47,'Category 31'!B:B&amp;'Category 31'!C:C&amp;'Category 31'!A:A,0)))</f>
        <v>0</v>
      </c>
      <c r="N47" s="16">
        <f>M47/VLOOKUP($D47,CPI!$P$16:$R$22,3,FALSE)</f>
        <v>0</v>
      </c>
      <c r="O47">
        <f>VLOOKUP(E47,WSoccer!C:P,8,FALSE)</f>
        <v>9314</v>
      </c>
    </row>
    <row r="48" spans="1:15" ht="16" thickBot="1" x14ac:dyDescent="0.25">
      <c r="A48" s="15">
        <v>2</v>
      </c>
      <c r="B48">
        <f t="shared" si="0"/>
        <v>1</v>
      </c>
      <c r="C48">
        <f>IF(ISBLANK(H48),"",VLOOKUP(H48,Code!B:C,2,FALSE))</f>
        <v>18</v>
      </c>
      <c r="D48">
        <v>2019</v>
      </c>
      <c r="E48">
        <v>104179</v>
      </c>
      <c r="F48" t="s">
        <v>45</v>
      </c>
      <c r="G48" t="s">
        <v>290</v>
      </c>
      <c r="H48" t="s">
        <v>6</v>
      </c>
      <c r="I48" cm="1">
        <f t="array" ref="I48">IF(B48=0,INDEX('Category 14'!F:F,MATCH(C48&amp;E48&amp;D48,'Category 14'!B:B&amp;'Category 14'!C:C&amp;'Category 14'!A:A,0)),INDEX('Category 14'!G:G,MATCH(C48&amp;E48&amp;D48,'Category 14'!B:B&amp;'Category 14'!C:C&amp;'Category 14'!A:A,0)))</f>
        <v>0</v>
      </c>
      <c r="J48">
        <f>I48/VLOOKUP($D48,CPI!$P$16:$R$22,3,FALSE)</f>
        <v>0</v>
      </c>
      <c r="K48" cm="1">
        <f t="array" ref="K48">IF(B48=0,INDEX('Category 15'!F:F,MATCH(C48&amp;E48&amp;D48,'Category 15'!B:B&amp;'Category 15'!C:C&amp;'Category 15'!A:A,0)),INDEX('Category 15'!G:G,MATCH(C48&amp;E48&amp;D48,'Category 15'!B:B&amp;'Category 31'!C:C&amp;'Category 15'!A:A,0)))</f>
        <v>0</v>
      </c>
      <c r="L48">
        <f>K48/VLOOKUP($D48,CPI!$P$16:$R$22,3,FALSE)</f>
        <v>0</v>
      </c>
      <c r="M48" s="16" cm="1">
        <f t="array" ref="M48">IF(B48=0,INDEX('Category 31'!F:F,MATCH(C48&amp;E48&amp;D48,'Category 31'!B:B&amp;'Category 31'!C:C&amp;'Category 31'!A:A,0)),INDEX('Category 31'!G:G,MATCH(C48&amp;E48&amp;D48,'Category 31'!B:B&amp;'Category 31'!C:C&amp;'Category 31'!A:A,0)))</f>
        <v>0</v>
      </c>
      <c r="N48" s="16">
        <f>M48/VLOOKUP($D48,CPI!$P$16:$R$22,3,FALSE)</f>
        <v>0</v>
      </c>
      <c r="O48">
        <f>VLOOKUP(E48,WSoftball!C:P,8,FALSE)</f>
        <v>72405</v>
      </c>
    </row>
    <row r="49" spans="1:15" ht="16" thickBot="1" x14ac:dyDescent="0.25">
      <c r="A49" s="15">
        <v>2</v>
      </c>
      <c r="B49">
        <f t="shared" si="0"/>
        <v>1</v>
      </c>
      <c r="C49">
        <f>IF(ISBLANK(H49),"",VLOOKUP(H49,Code!B:C,2,FALSE))</f>
        <v>19</v>
      </c>
      <c r="D49">
        <v>2019</v>
      </c>
      <c r="E49">
        <v>104179</v>
      </c>
      <c r="F49" t="s">
        <v>45</v>
      </c>
      <c r="G49" t="s">
        <v>290</v>
      </c>
      <c r="H49" t="s">
        <v>7</v>
      </c>
      <c r="I49" cm="1">
        <f t="array" ref="I49">IF(B49=0,INDEX('Category 14'!F:F,MATCH(C49&amp;E49&amp;D49,'Category 14'!B:B&amp;'Category 14'!C:C&amp;'Category 14'!A:A,0)),INDEX('Category 14'!G:G,MATCH(C49&amp;E49&amp;D49,'Category 14'!B:B&amp;'Category 14'!C:C&amp;'Category 14'!A:A,0)))</f>
        <v>0</v>
      </c>
      <c r="J49">
        <f>I49/VLOOKUP($D49,CPI!$P$16:$R$22,3,FALSE)</f>
        <v>0</v>
      </c>
      <c r="K49" cm="1">
        <f t="array" ref="K49">IF(B49=0,INDEX('Category 15'!F:F,MATCH(C49&amp;E49&amp;D49,'Category 15'!B:B&amp;'Category 15'!C:C&amp;'Category 15'!A:A,0)),INDEX('Category 15'!G:G,MATCH(C49&amp;E49&amp;D49,'Category 15'!B:B&amp;'Category 31'!C:C&amp;'Category 15'!A:A,0)))</f>
        <v>0</v>
      </c>
      <c r="L49">
        <f>K49/VLOOKUP($D49,CPI!$P$16:$R$22,3,FALSE)</f>
        <v>0</v>
      </c>
      <c r="M49" s="16" cm="1">
        <f t="array" ref="M49">IF(B49=0,INDEX('Category 31'!F:F,MATCH(C49&amp;E49&amp;D49,'Category 31'!B:B&amp;'Category 31'!C:C&amp;'Category 31'!A:A,0)),INDEX('Category 31'!G:G,MATCH(C49&amp;E49&amp;D49,'Category 31'!B:B&amp;'Category 31'!C:C&amp;'Category 31'!A:A,0)))</f>
        <v>0</v>
      </c>
      <c r="N49" s="16">
        <f>M49/VLOOKUP($D49,CPI!$P$16:$R$22,3,FALSE)</f>
        <v>0</v>
      </c>
      <c r="O49">
        <v>0</v>
      </c>
    </row>
    <row r="50" spans="1:15" ht="16" thickBot="1" x14ac:dyDescent="0.25">
      <c r="A50" s="15">
        <v>2</v>
      </c>
      <c r="B50">
        <f t="shared" si="0"/>
        <v>1</v>
      </c>
      <c r="C50">
        <f>IF(ISBLANK(H50),"",VLOOKUP(H50,Code!B:C,2,FALSE))</f>
        <v>20</v>
      </c>
      <c r="D50">
        <v>2019</v>
      </c>
      <c r="E50">
        <v>104179</v>
      </c>
      <c r="F50" t="s">
        <v>45</v>
      </c>
      <c r="G50" t="s">
        <v>290</v>
      </c>
      <c r="H50" t="s">
        <v>8</v>
      </c>
      <c r="I50" cm="1">
        <f t="array" ref="I50">IF(B50=0,INDEX('Category 14'!F:F,MATCH(C50&amp;E50&amp;D50,'Category 14'!B:B&amp;'Category 14'!C:C&amp;'Category 14'!A:A,0)),INDEX('Category 14'!G:G,MATCH(C50&amp;E50&amp;D50,'Category 14'!B:B&amp;'Category 14'!C:C&amp;'Category 14'!A:A,0)))</f>
        <v>0</v>
      </c>
      <c r="J50">
        <f>I50/VLOOKUP($D50,CPI!$P$16:$R$22,3,FALSE)</f>
        <v>0</v>
      </c>
      <c r="K50" cm="1">
        <f t="array" ref="K50">IF(B50=0,INDEX('Category 15'!F:F,MATCH(C50&amp;E50&amp;D50,'Category 15'!B:B&amp;'Category 15'!C:C&amp;'Category 15'!A:A,0)),INDEX('Category 15'!G:G,MATCH(C50&amp;E50&amp;D50,'Category 15'!B:B&amp;'Category 31'!C:C&amp;'Category 15'!A:A,0)))</f>
        <v>0</v>
      </c>
      <c r="L50">
        <f>K50/VLOOKUP($D50,CPI!$P$16:$R$22,3,FALSE)</f>
        <v>0</v>
      </c>
      <c r="M50" s="16" cm="1">
        <f t="array" ref="M50">IF(B50=0,INDEX('Category 31'!F:F,MATCH(C50&amp;E50&amp;D50,'Category 31'!B:B&amp;'Category 31'!C:C&amp;'Category 31'!A:A,0)),INDEX('Category 31'!G:G,MATCH(C50&amp;E50&amp;D50,'Category 31'!B:B&amp;'Category 31'!C:C&amp;'Category 31'!A:A,0)))</f>
        <v>0</v>
      </c>
      <c r="N50" s="16">
        <f>M50/VLOOKUP($D50,CPI!$P$16:$R$22,3,FALSE)</f>
        <v>0</v>
      </c>
      <c r="O50">
        <v>0</v>
      </c>
    </row>
    <row r="51" spans="1:15" ht="16" thickBot="1" x14ac:dyDescent="0.25">
      <c r="A51" s="15">
        <v>2</v>
      </c>
      <c r="B51">
        <f t="shared" si="0"/>
        <v>1</v>
      </c>
      <c r="C51">
        <f>IF(ISBLANK(H51),"",VLOOKUP(H51,Code!B:C,2,FALSE))</f>
        <v>21</v>
      </c>
      <c r="D51">
        <v>2019</v>
      </c>
      <c r="E51">
        <v>104179</v>
      </c>
      <c r="F51" t="s">
        <v>45</v>
      </c>
      <c r="G51" t="s">
        <v>290</v>
      </c>
      <c r="H51" t="s">
        <v>36</v>
      </c>
      <c r="I51" cm="1">
        <f t="array" ref="I51">IF(B51=0,INDEX('Category 14'!F:F,MATCH(C51&amp;E51&amp;D51,'Category 14'!B:B&amp;'Category 14'!C:C&amp;'Category 14'!A:A,0)),INDEX('Category 14'!G:G,MATCH(C51&amp;E51&amp;D51,'Category 14'!B:B&amp;'Category 14'!C:C&amp;'Category 14'!A:A,0)))</f>
        <v>0</v>
      </c>
      <c r="J51">
        <f>I51/VLOOKUP($D51,CPI!$P$16:$R$22,3,FALSE)</f>
        <v>0</v>
      </c>
      <c r="K51" cm="1">
        <f t="array" ref="K51">IF(B51=0,INDEX('Category 15'!F:F,MATCH(C51&amp;E51&amp;D51,'Category 15'!B:B&amp;'Category 15'!C:C&amp;'Category 15'!A:A,0)),INDEX('Category 15'!G:G,MATCH(C51&amp;E51&amp;D51,'Category 15'!B:B&amp;'Category 31'!C:C&amp;'Category 15'!A:A,0)))</f>
        <v>0</v>
      </c>
      <c r="L51">
        <f>K51/VLOOKUP($D51,CPI!$P$16:$R$22,3,FALSE)</f>
        <v>0</v>
      </c>
      <c r="M51" s="16" cm="1">
        <f t="array" ref="M51">IF(B51=0,INDEX('Category 31'!F:F,MATCH(C51&amp;E51&amp;D51,'Category 31'!B:B&amp;'Category 31'!C:C&amp;'Category 31'!A:A,0)),INDEX('Category 31'!G:G,MATCH(C51&amp;E51&amp;D51,'Category 31'!B:B&amp;'Category 31'!C:C&amp;'Category 31'!A:A,0)))</f>
        <v>0</v>
      </c>
      <c r="N51" s="16">
        <f>M51/VLOOKUP($D51,CPI!$P$16:$R$22,3,FALSE)</f>
        <v>0</v>
      </c>
      <c r="O51">
        <v>0</v>
      </c>
    </row>
    <row r="52" spans="1:15" ht="16" thickBot="1" x14ac:dyDescent="0.25">
      <c r="A52" s="15">
        <v>2</v>
      </c>
      <c r="B52">
        <f t="shared" si="0"/>
        <v>1</v>
      </c>
      <c r="C52">
        <f>IF(ISBLANK(H52),"",VLOOKUP(H52,Code!B:C,2,FALSE))</f>
        <v>23</v>
      </c>
      <c r="D52">
        <v>2019</v>
      </c>
      <c r="E52">
        <v>104179</v>
      </c>
      <c r="F52" t="s">
        <v>45</v>
      </c>
      <c r="G52" t="s">
        <v>290</v>
      </c>
      <c r="H52" t="s">
        <v>10</v>
      </c>
      <c r="I52" cm="1">
        <f t="array" ref="I52">IF(B52=0,INDEX('Category 14'!F:F,MATCH(C52&amp;E52&amp;D52,'Category 14'!B:B&amp;'Category 14'!C:C&amp;'Category 14'!A:A,0)),INDEX('Category 14'!G:G,MATCH(C52&amp;E52&amp;D52,'Category 14'!B:B&amp;'Category 14'!C:C&amp;'Category 14'!A:A,0)))</f>
        <v>0</v>
      </c>
      <c r="J52">
        <f>I52/VLOOKUP($D52,CPI!$P$16:$R$22,3,FALSE)</f>
        <v>0</v>
      </c>
      <c r="K52" cm="1">
        <f t="array" ref="K52">IF(B52=0,INDEX('Category 15'!F:F,MATCH(C52&amp;E52&amp;D52,'Category 15'!B:B&amp;'Category 15'!C:C&amp;'Category 15'!A:A,0)),INDEX('Category 15'!G:G,MATCH(C52&amp;E52&amp;D52,'Category 15'!B:B&amp;'Category 31'!C:C&amp;'Category 15'!A:A,0)))</f>
        <v>0</v>
      </c>
      <c r="L52">
        <f>K52/VLOOKUP($D52,CPI!$P$16:$R$22,3,FALSE)</f>
        <v>0</v>
      </c>
      <c r="M52" s="16" cm="1">
        <f t="array" ref="M52">IF(B52=0,INDEX('Category 31'!F:F,MATCH(C52&amp;E52&amp;D52,'Category 31'!B:B&amp;'Category 31'!C:C&amp;'Category 31'!A:A,0)),INDEX('Category 31'!G:G,MATCH(C52&amp;E52&amp;D52,'Category 31'!B:B&amp;'Category 31'!C:C&amp;'Category 31'!A:A,0)))</f>
        <v>0</v>
      </c>
      <c r="N52" s="16">
        <f>M52/VLOOKUP($D52,CPI!$P$16:$R$22,3,FALSE)</f>
        <v>0</v>
      </c>
      <c r="O52">
        <f>VLOOKUP(E52,WVolleyball!C:P,8,FALSE)</f>
        <v>20066</v>
      </c>
    </row>
    <row r="53" spans="1:15" ht="16" thickBot="1" x14ac:dyDescent="0.25">
      <c r="A53" s="15">
        <v>2</v>
      </c>
      <c r="B53">
        <f t="shared" si="0"/>
        <v>0</v>
      </c>
      <c r="C53">
        <f>IF(ISBLANK(H53),"",VLOOKUP(H53,Code!B:C,2,FALSE))</f>
        <v>1</v>
      </c>
      <c r="D53">
        <v>2020</v>
      </c>
      <c r="E53">
        <v>104179</v>
      </c>
      <c r="F53" t="s">
        <v>45</v>
      </c>
      <c r="G53" t="s">
        <v>289</v>
      </c>
      <c r="H53" t="s">
        <v>0</v>
      </c>
      <c r="I53" cm="1">
        <f t="array" ref="I53">IF(B53=0,INDEX('Category 14'!F:F,MATCH(C53&amp;E53&amp;D53,'Category 14'!B:B&amp;'Category 14'!C:C&amp;'Category 14'!A:A,0)),INDEX('Category 14'!G:G,MATCH(C53&amp;E53&amp;D53,'Category 14'!B:B&amp;'Category 14'!C:C&amp;'Category 14'!A:A,0)))</f>
        <v>55</v>
      </c>
      <c r="J53">
        <f>I53/VLOOKUP($D53,CPI!$P$16:$R$22,3,FALSE)</f>
        <v>64.077683396182408</v>
      </c>
      <c r="K53" cm="1">
        <f t="array" ref="K53">IF(B53=0,INDEX('Category 15'!F:F,MATCH(C53&amp;E53&amp;D53,'Category 15'!B:B&amp;'Category 15'!C:C&amp;'Category 15'!A:A,0)),INDEX('Category 15'!G:G,MATCH(C53&amp;E53&amp;D53,'Category 15'!B:B&amp;'Category 31'!C:C&amp;'Category 15'!A:A,0)))</f>
        <v>0</v>
      </c>
      <c r="L53">
        <f>K53/VLOOKUP($D53,CPI!$P$16:$R$22,3,FALSE)</f>
        <v>0</v>
      </c>
      <c r="M53" s="16" cm="1">
        <f t="array" ref="M53">IF(B53=0,INDEX('Category 31'!F:F,MATCH(C53&amp;E53&amp;D53,'Category 31'!B:B&amp;'Category 31'!C:C&amp;'Category 31'!A:A,0)),INDEX('Category 31'!G:G,MATCH(C53&amp;E53&amp;D53,'Category 31'!B:B&amp;'Category 31'!C:C&amp;'Category 31'!A:A,0)))</f>
        <v>0</v>
      </c>
      <c r="N53" s="16">
        <f>M53/VLOOKUP($D53,CPI!$P$16:$R$22,3,FALSE)</f>
        <v>0</v>
      </c>
      <c r="O53">
        <v>21831</v>
      </c>
    </row>
    <row r="54" spans="1:15" ht="16" thickBot="1" x14ac:dyDescent="0.25">
      <c r="A54" s="15">
        <v>2</v>
      </c>
      <c r="B54">
        <f t="shared" si="0"/>
        <v>0</v>
      </c>
      <c r="C54">
        <f>IF(ISBLANK(H54),"",VLOOKUP(H54,Code!B:C,2,FALSE))</f>
        <v>2</v>
      </c>
      <c r="D54">
        <v>2020</v>
      </c>
      <c r="E54">
        <v>104179</v>
      </c>
      <c r="F54" t="s">
        <v>45</v>
      </c>
      <c r="G54" t="s">
        <v>289</v>
      </c>
      <c r="H54" t="s">
        <v>1</v>
      </c>
      <c r="I54" cm="1">
        <f t="array" ref="I54">IF(B54=0,INDEX('Category 14'!F:F,MATCH(C54&amp;E54&amp;D54,'Category 14'!B:B&amp;'Category 14'!C:C&amp;'Category 14'!A:A,0)),INDEX('Category 14'!G:G,MATCH(C54&amp;E54&amp;D54,'Category 14'!B:B&amp;'Category 14'!C:C&amp;'Category 14'!A:A,0)))</f>
        <v>111966</v>
      </c>
      <c r="J54">
        <f>I54/VLOOKUP($D54,CPI!$P$16:$R$22,3,FALSE)</f>
        <v>130445.85271158109</v>
      </c>
      <c r="K54" cm="1">
        <f t="array" ref="K54">IF(B54=0,INDEX('Category 15'!F:F,MATCH(C54&amp;E54&amp;D54,'Category 15'!B:B&amp;'Category 15'!C:C&amp;'Category 15'!A:A,0)),INDEX('Category 15'!G:G,MATCH(C54&amp;E54&amp;D54,'Category 15'!B:B&amp;'Category 31'!C:C&amp;'Category 15'!A:A,0)))</f>
        <v>4185479</v>
      </c>
      <c r="L54">
        <f>K54/VLOOKUP($D54,CPI!$P$16:$R$22,3,FALSE)</f>
        <v>4876287.2404249115</v>
      </c>
      <c r="M54" s="16" cm="1">
        <f t="array" ref="M54">IF(B54=0,INDEX('Category 31'!F:F,MATCH(C54&amp;E54&amp;D54,'Category 31'!B:B&amp;'Category 31'!C:C&amp;'Category 31'!A:A,0)),INDEX('Category 31'!G:G,MATCH(C54&amp;E54&amp;D54,'Category 31'!B:B&amp;'Category 31'!C:C&amp;'Category 31'!A:A,0)))</f>
        <v>0</v>
      </c>
      <c r="N54" s="16">
        <f>M54/VLOOKUP($D54,CPI!$P$16:$R$22,3,FALSE)</f>
        <v>0</v>
      </c>
      <c r="O54">
        <f>VLOOKUP(E37,MBasketball!C:P,9,FALSE)</f>
        <v>232114</v>
      </c>
    </row>
    <row r="55" spans="1:15" ht="16" thickBot="1" x14ac:dyDescent="0.25">
      <c r="A55" s="15">
        <v>2</v>
      </c>
      <c r="B55">
        <f t="shared" si="0"/>
        <v>0</v>
      </c>
      <c r="C55">
        <f>IF(ISBLANK(H55),"",VLOOKUP(H55,Code!B:C,2,FALSE))</f>
        <v>8</v>
      </c>
      <c r="D55">
        <v>2020</v>
      </c>
      <c r="E55">
        <v>104179</v>
      </c>
      <c r="F55" t="s">
        <v>45</v>
      </c>
      <c r="G55" t="s">
        <v>289</v>
      </c>
      <c r="H55" t="s">
        <v>2</v>
      </c>
      <c r="I55" cm="1">
        <f t="array" ref="I55">IF(B55=0,INDEX('Category 14'!F:F,MATCH(C55&amp;E55&amp;D55,'Category 14'!B:B&amp;'Category 14'!C:C&amp;'Category 14'!A:A,0)),INDEX('Category 14'!G:G,MATCH(C55&amp;E55&amp;D55,'Category 14'!B:B&amp;'Category 14'!C:C&amp;'Category 14'!A:A,0)))</f>
        <v>448366</v>
      </c>
      <c r="J55">
        <f>I55/VLOOKUP($D55,CPI!$P$16:$R$22,3,FALSE)</f>
        <v>522368.26533841313</v>
      </c>
      <c r="K55" cm="1">
        <f t="array" ref="K55">IF(B55=0,INDEX('Category 15'!F:F,MATCH(C55&amp;E55&amp;D55,'Category 15'!B:B&amp;'Category 15'!C:C&amp;'Category 15'!A:A,0)),INDEX('Category 15'!G:G,MATCH(C55&amp;E55&amp;D55,'Category 15'!B:B&amp;'Category 31'!C:C&amp;'Category 15'!A:A,0)))</f>
        <v>4185478</v>
      </c>
      <c r="L55">
        <f>K55/VLOOKUP($D55,CPI!$P$16:$R$22,3,FALSE)</f>
        <v>4876286.0753761232</v>
      </c>
      <c r="M55" s="16" cm="1">
        <f t="array" ref="M55">IF(B55=0,INDEX('Category 31'!F:F,MATCH(C55&amp;E55&amp;D55,'Category 31'!B:B&amp;'Category 31'!C:C&amp;'Category 31'!A:A,0)),INDEX('Category 31'!G:G,MATCH(C55&amp;E55&amp;D55,'Category 31'!B:B&amp;'Category 31'!C:C&amp;'Category 31'!A:A,0)))</f>
        <v>0</v>
      </c>
      <c r="N55" s="16">
        <f>M55/VLOOKUP($D55,CPI!$P$16:$R$22,3,FALSE)</f>
        <v>0</v>
      </c>
      <c r="O55">
        <f>VLOOKUP(E38,MFootball!C:P,9,FALSE)</f>
        <v>237194</v>
      </c>
    </row>
    <row r="56" spans="1:15" ht="16" thickBot="1" x14ac:dyDescent="0.25">
      <c r="A56" s="15">
        <v>2</v>
      </c>
      <c r="B56">
        <f t="shared" si="0"/>
        <v>0</v>
      </c>
      <c r="C56">
        <f>IF(ISBLANK(H56),"",VLOOKUP(H56,Code!B:C,2,FALSE))</f>
        <v>9</v>
      </c>
      <c r="D56">
        <v>2020</v>
      </c>
      <c r="E56">
        <v>104179</v>
      </c>
      <c r="F56" t="s">
        <v>45</v>
      </c>
      <c r="G56" t="s">
        <v>289</v>
      </c>
      <c r="H56" t="s">
        <v>3</v>
      </c>
      <c r="I56" cm="1">
        <f t="array" ref="I56">IF(B56=0,INDEX('Category 14'!F:F,MATCH(C56&amp;E56&amp;D56,'Category 14'!B:B&amp;'Category 14'!C:C&amp;'Category 14'!A:A,0)),INDEX('Category 14'!G:G,MATCH(C56&amp;E56&amp;D56,'Category 14'!B:B&amp;'Category 14'!C:C&amp;'Category 14'!A:A,0)))</f>
        <v>0</v>
      </c>
      <c r="J56">
        <f>I56/VLOOKUP($D56,CPI!$P$16:$R$22,3,FALSE)</f>
        <v>0</v>
      </c>
      <c r="K56" cm="1">
        <f t="array" ref="K56">IF(B56=0,INDEX('Category 15'!F:F,MATCH(C56&amp;E56&amp;D56,'Category 15'!B:B&amp;'Category 15'!C:C&amp;'Category 15'!A:A,0)),INDEX('Category 15'!G:G,MATCH(C56&amp;E56&amp;D56,'Category 15'!B:B&amp;'Category 31'!C:C&amp;'Category 15'!A:A,0)))</f>
        <v>0</v>
      </c>
      <c r="L56">
        <f>K56/VLOOKUP($D56,CPI!$P$16:$R$22,3,FALSE)</f>
        <v>0</v>
      </c>
      <c r="M56" s="16" cm="1">
        <f t="array" ref="M56">IF(B56=0,INDEX('Category 31'!F:F,MATCH(C56&amp;E56&amp;D56,'Category 31'!B:B&amp;'Category 31'!C:C&amp;'Category 31'!A:A,0)),INDEX('Category 31'!G:G,MATCH(C56&amp;E56&amp;D56,'Category 31'!B:B&amp;'Category 31'!C:C&amp;'Category 31'!A:A,0)))</f>
        <v>0</v>
      </c>
      <c r="N56" s="16">
        <f>M56/VLOOKUP($D56,CPI!$P$16:$R$22,3,FALSE)</f>
        <v>0</v>
      </c>
      <c r="O56">
        <v>0</v>
      </c>
    </row>
    <row r="57" spans="1:15" ht="16" thickBot="1" x14ac:dyDescent="0.25">
      <c r="A57" s="15">
        <v>2</v>
      </c>
      <c r="B57">
        <f t="shared" si="0"/>
        <v>0</v>
      </c>
      <c r="C57">
        <f>IF(ISBLANK(H57),"",VLOOKUP(H57,Code!B:C,2,FALSE))</f>
        <v>19</v>
      </c>
      <c r="D57">
        <v>2020</v>
      </c>
      <c r="E57">
        <v>104179</v>
      </c>
      <c r="F57" t="s">
        <v>45</v>
      </c>
      <c r="G57" t="s">
        <v>289</v>
      </c>
      <c r="H57" t="s">
        <v>7</v>
      </c>
      <c r="I57" cm="1">
        <f t="array" ref="I57">IF(B57=0,INDEX('Category 14'!F:F,MATCH(C57&amp;E57&amp;D57,'Category 14'!B:B&amp;'Category 14'!C:C&amp;'Category 14'!A:A,0)),INDEX('Category 14'!G:G,MATCH(C57&amp;E57&amp;D57,'Category 14'!B:B&amp;'Category 14'!C:C&amp;'Category 14'!A:A,0)))</f>
        <v>0</v>
      </c>
      <c r="J57">
        <f>I57/VLOOKUP($D57,CPI!$P$16:$R$22,3,FALSE)</f>
        <v>0</v>
      </c>
      <c r="K57" cm="1">
        <f t="array" ref="K57">IF(B57=0,INDEX('Category 15'!F:F,MATCH(C57&amp;E57&amp;D57,'Category 15'!B:B&amp;'Category 15'!C:C&amp;'Category 15'!A:A,0)),INDEX('Category 15'!G:G,MATCH(C57&amp;E57&amp;D57,'Category 15'!B:B&amp;'Category 31'!C:C&amp;'Category 15'!A:A,0)))</f>
        <v>0</v>
      </c>
      <c r="L57">
        <f>K57/VLOOKUP($D57,CPI!$P$16:$R$22,3,FALSE)</f>
        <v>0</v>
      </c>
      <c r="M57" s="16" cm="1">
        <f t="array" ref="M57">IF(B57=0,INDEX('Category 31'!F:F,MATCH(C57&amp;E57&amp;D57,'Category 31'!B:B&amp;'Category 31'!C:C&amp;'Category 31'!A:A,0)),INDEX('Category 31'!G:G,MATCH(C57&amp;E57&amp;D57,'Category 31'!B:B&amp;'Category 31'!C:C&amp;'Category 31'!A:A,0)))</f>
        <v>0</v>
      </c>
      <c r="N57" s="16">
        <f>M57/VLOOKUP($D57,CPI!$P$16:$R$22,3,FALSE)</f>
        <v>0</v>
      </c>
      <c r="O57">
        <v>0</v>
      </c>
    </row>
    <row r="58" spans="1:15" ht="16" thickBot="1" x14ac:dyDescent="0.25">
      <c r="A58" s="15">
        <v>2</v>
      </c>
      <c r="B58">
        <f t="shared" si="0"/>
        <v>0</v>
      </c>
      <c r="C58">
        <f>IF(ISBLANK(H58),"",VLOOKUP(H58,Code!B:C,2,FALSE))</f>
        <v>20</v>
      </c>
      <c r="D58">
        <v>2020</v>
      </c>
      <c r="E58">
        <v>104179</v>
      </c>
      <c r="F58" t="s">
        <v>45</v>
      </c>
      <c r="G58" t="s">
        <v>289</v>
      </c>
      <c r="H58" t="s">
        <v>8</v>
      </c>
      <c r="I58" cm="1">
        <f t="array" ref="I58">IF(B58=0,INDEX('Category 14'!F:F,MATCH(C58&amp;E58&amp;D58,'Category 14'!B:B&amp;'Category 14'!C:C&amp;'Category 14'!A:A,0)),INDEX('Category 14'!G:G,MATCH(C58&amp;E58&amp;D58,'Category 14'!B:B&amp;'Category 14'!C:C&amp;'Category 14'!A:A,0)))</f>
        <v>0</v>
      </c>
      <c r="J58">
        <f>I58/VLOOKUP($D58,CPI!$P$16:$R$22,3,FALSE)</f>
        <v>0</v>
      </c>
      <c r="K58" cm="1">
        <f t="array" ref="K58">IF(B58=0,INDEX('Category 15'!F:F,MATCH(C58&amp;E58&amp;D58,'Category 15'!B:B&amp;'Category 15'!C:C&amp;'Category 15'!A:A,0)),INDEX('Category 15'!G:G,MATCH(C58&amp;E58&amp;D58,'Category 15'!B:B&amp;'Category 31'!C:C&amp;'Category 15'!A:A,0)))</f>
        <v>0</v>
      </c>
      <c r="L58">
        <f>K58/VLOOKUP($D58,CPI!$P$16:$R$22,3,FALSE)</f>
        <v>0</v>
      </c>
      <c r="M58" s="16" cm="1">
        <f t="array" ref="M58">IF(B58=0,INDEX('Category 31'!F:F,MATCH(C58&amp;E58&amp;D58,'Category 31'!B:B&amp;'Category 31'!C:C&amp;'Category 31'!A:A,0)),INDEX('Category 31'!G:G,MATCH(C58&amp;E58&amp;D58,'Category 31'!B:B&amp;'Category 31'!C:C&amp;'Category 31'!A:A,0)))</f>
        <v>0</v>
      </c>
      <c r="N58" s="16">
        <f>M58/VLOOKUP($D58,CPI!$P$16:$R$22,3,FALSE)</f>
        <v>0</v>
      </c>
      <c r="O58">
        <v>0</v>
      </c>
    </row>
    <row r="59" spans="1:15" ht="16" thickBot="1" x14ac:dyDescent="0.25">
      <c r="A59" s="15">
        <v>2</v>
      </c>
      <c r="B59">
        <f t="shared" si="0"/>
        <v>0</v>
      </c>
      <c r="C59">
        <f>IF(ISBLANK(H59),"",VLOOKUP(H59,Code!B:C,2,FALSE))</f>
        <v>21</v>
      </c>
      <c r="D59">
        <v>2020</v>
      </c>
      <c r="E59">
        <v>104179</v>
      </c>
      <c r="F59" t="s">
        <v>45</v>
      </c>
      <c r="G59" t="s">
        <v>289</v>
      </c>
      <c r="H59" t="s">
        <v>36</v>
      </c>
      <c r="I59" cm="1">
        <f t="array" ref="I59">IF(B59=0,INDEX('Category 14'!F:F,MATCH(C59&amp;E59&amp;D59,'Category 14'!B:B&amp;'Category 14'!C:C&amp;'Category 14'!A:A,0)),INDEX('Category 14'!G:G,MATCH(C59&amp;E59&amp;D59,'Category 14'!B:B&amp;'Category 14'!C:C&amp;'Category 14'!A:A,0)))</f>
        <v>0</v>
      </c>
      <c r="J59">
        <f>I59/VLOOKUP($D59,CPI!$P$16:$R$22,3,FALSE)</f>
        <v>0</v>
      </c>
      <c r="K59" cm="1">
        <f t="array" ref="K59">IF(B59=0,INDEX('Category 15'!F:F,MATCH(C59&amp;E59&amp;D59,'Category 15'!B:B&amp;'Category 15'!C:C&amp;'Category 15'!A:A,0)),INDEX('Category 15'!G:G,MATCH(C59&amp;E59&amp;D59,'Category 15'!B:B&amp;'Category 31'!C:C&amp;'Category 15'!A:A,0)))</f>
        <v>0</v>
      </c>
      <c r="L59">
        <f>K59/VLOOKUP($D59,CPI!$P$16:$R$22,3,FALSE)</f>
        <v>0</v>
      </c>
      <c r="M59" s="16" cm="1">
        <f t="array" ref="M59">IF(B59=0,INDEX('Category 31'!F:F,MATCH(C59&amp;E59&amp;D59,'Category 31'!B:B&amp;'Category 31'!C:C&amp;'Category 31'!A:A,0)),INDEX('Category 31'!G:G,MATCH(C59&amp;E59&amp;D59,'Category 31'!B:B&amp;'Category 31'!C:C&amp;'Category 31'!A:A,0)))</f>
        <v>0</v>
      </c>
      <c r="N59" s="16">
        <f>M59/VLOOKUP($D59,CPI!$P$16:$R$22,3,FALSE)</f>
        <v>0</v>
      </c>
      <c r="O59">
        <v>0</v>
      </c>
    </row>
    <row r="60" spans="1:15" ht="16" thickBot="1" x14ac:dyDescent="0.25">
      <c r="A60" s="15">
        <v>2</v>
      </c>
      <c r="B60">
        <f t="shared" si="0"/>
        <v>1</v>
      </c>
      <c r="C60">
        <f>IF(ISBLANK(H60),"",VLOOKUP(H60,Code!B:C,2,FALSE))</f>
        <v>2</v>
      </c>
      <c r="D60">
        <v>2020</v>
      </c>
      <c r="E60">
        <v>104179</v>
      </c>
      <c r="F60" t="s">
        <v>45</v>
      </c>
      <c r="G60" t="s">
        <v>290</v>
      </c>
      <c r="H60" t="s">
        <v>1</v>
      </c>
      <c r="I60" cm="1">
        <f t="array" ref="I60">IF(B60=0,INDEX('Category 14'!F:F,MATCH(C60&amp;E60&amp;D60,'Category 14'!B:B&amp;'Category 14'!C:C&amp;'Category 14'!A:A,0)),INDEX('Category 14'!G:G,MATCH(C60&amp;E60&amp;D60,'Category 14'!B:B&amp;'Category 14'!C:C&amp;'Category 14'!A:A,0)))</f>
        <v>0</v>
      </c>
      <c r="J60">
        <f>I60/VLOOKUP($D60,CPI!$P$16:$R$22,3,FALSE)</f>
        <v>0</v>
      </c>
      <c r="K60" cm="1">
        <f t="array" ref="K60">IF(B60=0,INDEX('Category 15'!F:F,MATCH(C60&amp;E60&amp;D60,'Category 15'!B:B&amp;'Category 15'!C:C&amp;'Category 15'!A:A,0)),INDEX('Category 15'!G:G,MATCH(C60&amp;E60&amp;D60,'Category 15'!B:B&amp;'Category 31'!C:C&amp;'Category 15'!A:A,0)))</f>
        <v>0</v>
      </c>
      <c r="L60">
        <f>K60/VLOOKUP($D60,CPI!$P$16:$R$22,3,FALSE)</f>
        <v>0</v>
      </c>
      <c r="M60" s="16" cm="1">
        <f t="array" ref="M60">IF(B60=0,INDEX('Category 31'!F:F,MATCH(C60&amp;E60&amp;D60,'Category 31'!B:B&amp;'Category 31'!C:C&amp;'Category 31'!A:A,0)),INDEX('Category 31'!G:G,MATCH(C60&amp;E60&amp;D60,'Category 31'!B:B&amp;'Category 31'!C:C&amp;'Category 31'!A:A,0)))</f>
        <v>0</v>
      </c>
      <c r="N60" s="16">
        <f>M60/VLOOKUP($D60,CPI!$P$16:$R$22,3,FALSE)</f>
        <v>0</v>
      </c>
      <c r="O60">
        <f>VLOOKUP(E43,WBasketball!C:P,9,FALSE)</f>
        <v>95098</v>
      </c>
    </row>
    <row r="61" spans="1:15" ht="16" thickBot="1" x14ac:dyDescent="0.25">
      <c r="A61" s="15">
        <v>2</v>
      </c>
      <c r="B61">
        <f t="shared" si="0"/>
        <v>1</v>
      </c>
      <c r="C61">
        <f>IF(ISBLANK(H61),"",VLOOKUP(H61,Code!B:C,2,FALSE))</f>
        <v>3</v>
      </c>
      <c r="D61">
        <v>2020</v>
      </c>
      <c r="E61">
        <v>104179</v>
      </c>
      <c r="F61" t="s">
        <v>45</v>
      </c>
      <c r="G61" t="s">
        <v>290</v>
      </c>
      <c r="H61" t="s">
        <v>21</v>
      </c>
      <c r="I61" cm="1">
        <f t="array" ref="I61">IF(B61=0,INDEX('Category 14'!F:F,MATCH(C61&amp;E61&amp;D61,'Category 14'!B:B&amp;'Category 14'!C:C&amp;'Category 14'!A:A,0)),INDEX('Category 14'!G:G,MATCH(C61&amp;E61&amp;D61,'Category 14'!B:B&amp;'Category 14'!C:C&amp;'Category 14'!A:A,0)))</f>
        <v>0</v>
      </c>
      <c r="J61">
        <f>I61/VLOOKUP($D61,CPI!$P$16:$R$22,3,FALSE)</f>
        <v>0</v>
      </c>
      <c r="K61" cm="1">
        <f t="array" ref="K61">IF(B61=0,INDEX('Category 15'!F:F,MATCH(C61&amp;E61&amp;D61,'Category 15'!B:B&amp;'Category 15'!C:C&amp;'Category 15'!A:A,0)),INDEX('Category 15'!G:G,MATCH(C61&amp;E61&amp;D61,'Category 15'!B:B&amp;'Category 31'!C:C&amp;'Category 15'!A:A,0)))</f>
        <v>0</v>
      </c>
      <c r="L61">
        <f>K61/VLOOKUP($D61,CPI!$P$16:$R$22,3,FALSE)</f>
        <v>0</v>
      </c>
      <c r="M61" s="16" cm="1">
        <f t="array" ref="M61">IF(B61=0,INDEX('Category 31'!F:F,MATCH(C61&amp;E61&amp;D61,'Category 31'!B:B&amp;'Category 31'!C:C&amp;'Category 31'!A:A,0)),INDEX('Category 31'!G:G,MATCH(C61&amp;E61&amp;D61,'Category 31'!B:B&amp;'Category 31'!C:C&amp;'Category 31'!A:A,0)))</f>
        <v>0</v>
      </c>
      <c r="N61" s="16">
        <f>M61/VLOOKUP($D61,CPI!$P$16:$R$22,3,FALSE)</f>
        <v>0</v>
      </c>
      <c r="O61">
        <v>0</v>
      </c>
    </row>
    <row r="62" spans="1:15" ht="16" thickBot="1" x14ac:dyDescent="0.25">
      <c r="A62" s="15">
        <v>2</v>
      </c>
      <c r="B62">
        <f t="shared" si="0"/>
        <v>1</v>
      </c>
      <c r="C62">
        <f>IF(ISBLANK(H62),"",VLOOKUP(H62,Code!B:C,2,FALSE))</f>
        <v>9</v>
      </c>
      <c r="D62">
        <v>2020</v>
      </c>
      <c r="E62">
        <v>104179</v>
      </c>
      <c r="F62" t="s">
        <v>45</v>
      </c>
      <c r="G62" t="s">
        <v>290</v>
      </c>
      <c r="H62" t="s">
        <v>3</v>
      </c>
      <c r="I62" cm="1">
        <f t="array" ref="I62">IF(B62=0,INDEX('Category 14'!F:F,MATCH(C62&amp;E62&amp;D62,'Category 14'!B:B&amp;'Category 14'!C:C&amp;'Category 14'!A:A,0)),INDEX('Category 14'!G:G,MATCH(C62&amp;E62&amp;D62,'Category 14'!B:B&amp;'Category 14'!C:C&amp;'Category 14'!A:A,0)))</f>
        <v>0</v>
      </c>
      <c r="J62">
        <f>I62/VLOOKUP($D62,CPI!$P$16:$R$22,3,FALSE)</f>
        <v>0</v>
      </c>
      <c r="K62" cm="1">
        <f t="array" ref="K62">IF(B62=0,INDEX('Category 15'!F:F,MATCH(C62&amp;E62&amp;D62,'Category 15'!B:B&amp;'Category 15'!C:C&amp;'Category 15'!A:A,0)),INDEX('Category 15'!G:G,MATCH(C62&amp;E62&amp;D62,'Category 15'!B:B&amp;'Category 31'!C:C&amp;'Category 15'!A:A,0)))</f>
        <v>0</v>
      </c>
      <c r="L62">
        <f>K62/VLOOKUP($D62,CPI!$P$16:$R$22,3,FALSE)</f>
        <v>0</v>
      </c>
      <c r="M62" s="16" cm="1">
        <f t="array" ref="M62">IF(B62=0,INDEX('Category 31'!F:F,MATCH(C62&amp;E62&amp;D62,'Category 31'!B:B&amp;'Category 31'!C:C&amp;'Category 31'!A:A,0)),INDEX('Category 31'!G:G,MATCH(C62&amp;E62&amp;D62,'Category 31'!B:B&amp;'Category 31'!C:C&amp;'Category 31'!A:A,0)))</f>
        <v>0</v>
      </c>
      <c r="N62" s="16">
        <f>M62/VLOOKUP($D62,CPI!$P$16:$R$22,3,FALSE)</f>
        <v>0</v>
      </c>
      <c r="O62">
        <v>0</v>
      </c>
    </row>
    <row r="63" spans="1:15" ht="16" thickBot="1" x14ac:dyDescent="0.25">
      <c r="A63" s="15">
        <v>2</v>
      </c>
      <c r="B63">
        <f t="shared" si="0"/>
        <v>1</v>
      </c>
      <c r="C63">
        <f>IF(ISBLANK(H63),"",VLOOKUP(H63,Code!B:C,2,FALSE))</f>
        <v>10</v>
      </c>
      <c r="D63">
        <v>2020</v>
      </c>
      <c r="E63">
        <v>104179</v>
      </c>
      <c r="F63" t="s">
        <v>45</v>
      </c>
      <c r="G63" t="s">
        <v>290</v>
      </c>
      <c r="H63" t="s">
        <v>4</v>
      </c>
      <c r="I63" cm="1">
        <f t="array" ref="I63">IF(B63=0,INDEX('Category 14'!F:F,MATCH(C63&amp;E63&amp;D63,'Category 14'!B:B&amp;'Category 14'!C:C&amp;'Category 14'!A:A,0)),INDEX('Category 14'!G:G,MATCH(C63&amp;E63&amp;D63,'Category 14'!B:B&amp;'Category 14'!C:C&amp;'Category 14'!A:A,0)))</f>
        <v>0</v>
      </c>
      <c r="J63">
        <f>I63/VLOOKUP($D63,CPI!$P$16:$R$22,3,FALSE)</f>
        <v>0</v>
      </c>
      <c r="K63" cm="1">
        <f t="array" ref="K63">IF(B63=0,INDEX('Category 15'!F:F,MATCH(C63&amp;E63&amp;D63,'Category 15'!B:B&amp;'Category 15'!C:C&amp;'Category 15'!A:A,0)),INDEX('Category 15'!G:G,MATCH(C63&amp;E63&amp;D63,'Category 15'!B:B&amp;'Category 31'!C:C&amp;'Category 15'!A:A,0)))</f>
        <v>0</v>
      </c>
      <c r="L63">
        <f>K63/VLOOKUP($D63,CPI!$P$16:$R$22,3,FALSE)</f>
        <v>0</v>
      </c>
      <c r="M63" s="16" cm="1">
        <f t="array" ref="M63">IF(B63=0,INDEX('Category 31'!F:F,MATCH(C63&amp;E63&amp;D63,'Category 31'!B:B&amp;'Category 31'!C:C&amp;'Category 31'!A:A,0)),INDEX('Category 31'!G:G,MATCH(C63&amp;E63&amp;D63,'Category 31'!B:B&amp;'Category 31'!C:C&amp;'Category 31'!A:A,0)))</f>
        <v>0</v>
      </c>
      <c r="N63" s="16">
        <f>M63/VLOOKUP($D63,CPI!$P$16:$R$22,3,FALSE)</f>
        <v>0</v>
      </c>
      <c r="O63">
        <v>0</v>
      </c>
    </row>
    <row r="64" spans="1:15" ht="16" thickBot="1" x14ac:dyDescent="0.25">
      <c r="A64" s="15">
        <v>2</v>
      </c>
      <c r="B64">
        <f t="shared" si="0"/>
        <v>1</v>
      </c>
      <c r="C64">
        <f>IF(ISBLANK(H64),"",VLOOKUP(H64,Code!B:C,2,FALSE))</f>
        <v>17</v>
      </c>
      <c r="D64">
        <v>2020</v>
      </c>
      <c r="E64">
        <v>104179</v>
      </c>
      <c r="F64" t="s">
        <v>45</v>
      </c>
      <c r="G64" t="s">
        <v>290</v>
      </c>
      <c r="H64" t="s">
        <v>5</v>
      </c>
      <c r="I64" cm="1">
        <f t="array" ref="I64">IF(B64=0,INDEX('Category 14'!F:F,MATCH(C64&amp;E64&amp;D64,'Category 14'!B:B&amp;'Category 14'!C:C&amp;'Category 14'!A:A,0)),INDEX('Category 14'!G:G,MATCH(C64&amp;E64&amp;D64,'Category 14'!B:B&amp;'Category 14'!C:C&amp;'Category 14'!A:A,0)))</f>
        <v>20490</v>
      </c>
      <c r="J64">
        <f>I64/VLOOKUP($D64,CPI!$P$16:$R$22,3,FALSE)</f>
        <v>23871.849687050501</v>
      </c>
      <c r="K64" cm="1">
        <f t="array" ref="K64">IF(B64=0,INDEX('Category 15'!F:F,MATCH(C64&amp;E64&amp;D64,'Category 15'!B:B&amp;'Category 15'!C:C&amp;'Category 15'!A:A,0)),INDEX('Category 15'!G:G,MATCH(C64&amp;E64&amp;D64,'Category 15'!B:B&amp;'Category 31'!C:C&amp;'Category 15'!A:A,0)))</f>
        <v>0</v>
      </c>
      <c r="L64">
        <f>K64/VLOOKUP($D64,CPI!$P$16:$R$22,3,FALSE)</f>
        <v>0</v>
      </c>
      <c r="M64" s="16" cm="1">
        <f t="array" ref="M64">IF(B64=0,INDEX('Category 31'!F:F,MATCH(C64&amp;E64&amp;D64,'Category 31'!B:B&amp;'Category 31'!C:C&amp;'Category 31'!A:A,0)),INDEX('Category 31'!G:G,MATCH(C64&amp;E64&amp;D64,'Category 31'!B:B&amp;'Category 31'!C:C&amp;'Category 31'!A:A,0)))</f>
        <v>0</v>
      </c>
      <c r="N64" s="16">
        <f>M64/VLOOKUP($D64,CPI!$P$16:$R$22,3,FALSE)</f>
        <v>0</v>
      </c>
      <c r="O64">
        <f>VLOOKUP(E47,WSoccer!C:S,9,FALSE)</f>
        <v>9594</v>
      </c>
    </row>
    <row r="65" spans="1:15" ht="16" thickBot="1" x14ac:dyDescent="0.25">
      <c r="A65" s="15">
        <v>2</v>
      </c>
      <c r="B65">
        <f t="shared" si="0"/>
        <v>1</v>
      </c>
      <c r="C65">
        <f>IF(ISBLANK(H65),"",VLOOKUP(H65,Code!B:C,2,FALSE))</f>
        <v>18</v>
      </c>
      <c r="D65">
        <v>2020</v>
      </c>
      <c r="E65">
        <v>104179</v>
      </c>
      <c r="F65" t="s">
        <v>45</v>
      </c>
      <c r="G65" t="s">
        <v>290</v>
      </c>
      <c r="H65" t="s">
        <v>6</v>
      </c>
      <c r="I65" cm="1">
        <f t="array" ref="I65">IF(B65=0,INDEX('Category 14'!F:F,MATCH(C65&amp;E65&amp;D65,'Category 14'!B:B&amp;'Category 14'!C:C&amp;'Category 14'!A:A,0)),INDEX('Category 14'!G:G,MATCH(C65&amp;E65&amp;D65,'Category 14'!B:B&amp;'Category 14'!C:C&amp;'Category 14'!A:A,0)))</f>
        <v>0</v>
      </c>
      <c r="J65">
        <f>I65/VLOOKUP($D65,CPI!$P$16:$R$22,3,FALSE)</f>
        <v>0</v>
      </c>
      <c r="K65" cm="1">
        <f t="array" ref="K65">IF(B65=0,INDEX('Category 15'!F:F,MATCH(C65&amp;E65&amp;D65,'Category 15'!B:B&amp;'Category 15'!C:C&amp;'Category 15'!A:A,0)),INDEX('Category 15'!G:G,MATCH(C65&amp;E65&amp;D65,'Category 15'!B:B&amp;'Category 31'!C:C&amp;'Category 15'!A:A,0)))</f>
        <v>0</v>
      </c>
      <c r="L65">
        <f>K65/VLOOKUP($D65,CPI!$P$16:$R$22,3,FALSE)</f>
        <v>0</v>
      </c>
      <c r="M65" s="16" cm="1">
        <f t="array" ref="M65">IF(B65=0,INDEX('Category 31'!F:F,MATCH(C65&amp;E65&amp;D65,'Category 31'!B:B&amp;'Category 31'!C:C&amp;'Category 31'!A:A,0)),INDEX('Category 31'!G:G,MATCH(C65&amp;E65&amp;D65,'Category 31'!B:B&amp;'Category 31'!C:C&amp;'Category 31'!A:A,0)))</f>
        <v>0</v>
      </c>
      <c r="N65" s="16">
        <f>M65/VLOOKUP($D65,CPI!$P$16:$R$22,3,FALSE)</f>
        <v>0</v>
      </c>
      <c r="O65">
        <f>VLOOKUP(E48,WSoftball!C:S,9,FALSE)</f>
        <v>18456</v>
      </c>
    </row>
    <row r="66" spans="1:15" ht="16" thickBot="1" x14ac:dyDescent="0.25">
      <c r="A66" s="15">
        <v>2</v>
      </c>
      <c r="B66">
        <f t="shared" si="0"/>
        <v>1</v>
      </c>
      <c r="C66">
        <f>IF(ISBLANK(H66),"",VLOOKUP(H66,Code!B:C,2,FALSE))</f>
        <v>19</v>
      </c>
      <c r="D66">
        <v>2020</v>
      </c>
      <c r="E66">
        <v>104179</v>
      </c>
      <c r="F66" t="s">
        <v>45</v>
      </c>
      <c r="G66" t="s">
        <v>290</v>
      </c>
      <c r="H66" t="s">
        <v>7</v>
      </c>
      <c r="I66" cm="1">
        <f t="array" ref="I66">IF(B66=0,INDEX('Category 14'!F:F,MATCH(C66&amp;E66&amp;D66,'Category 14'!B:B&amp;'Category 14'!C:C&amp;'Category 14'!A:A,0)),INDEX('Category 14'!G:G,MATCH(C66&amp;E66&amp;D66,'Category 14'!B:B&amp;'Category 14'!C:C&amp;'Category 14'!A:A,0)))</f>
        <v>0</v>
      </c>
      <c r="J66">
        <f>I66/VLOOKUP($D66,CPI!$P$16:$R$22,3,FALSE)</f>
        <v>0</v>
      </c>
      <c r="K66" cm="1">
        <f t="array" ref="K66">IF(B66=0,INDEX('Category 15'!F:F,MATCH(C66&amp;E66&amp;D66,'Category 15'!B:B&amp;'Category 15'!C:C&amp;'Category 15'!A:A,0)),INDEX('Category 15'!G:G,MATCH(C66&amp;E66&amp;D66,'Category 15'!B:B&amp;'Category 31'!C:C&amp;'Category 15'!A:A,0)))</f>
        <v>0</v>
      </c>
      <c r="L66">
        <f>K66/VLOOKUP($D66,CPI!$P$16:$R$22,3,FALSE)</f>
        <v>0</v>
      </c>
      <c r="M66" s="16" cm="1">
        <f t="array" ref="M66">IF(B66=0,INDEX('Category 31'!F:F,MATCH(C66&amp;E66&amp;D66,'Category 31'!B:B&amp;'Category 31'!C:C&amp;'Category 31'!A:A,0)),INDEX('Category 31'!G:G,MATCH(C66&amp;E66&amp;D66,'Category 31'!B:B&amp;'Category 31'!C:C&amp;'Category 31'!A:A,0)))</f>
        <v>0</v>
      </c>
      <c r="N66" s="16">
        <f>M66/VLOOKUP($D66,CPI!$P$16:$R$22,3,FALSE)</f>
        <v>0</v>
      </c>
      <c r="O66">
        <v>0</v>
      </c>
    </row>
    <row r="67" spans="1:15" ht="16" thickBot="1" x14ac:dyDescent="0.25">
      <c r="A67" s="15">
        <v>2</v>
      </c>
      <c r="B67">
        <f t="shared" ref="B67:B130" si="1">IF(ISBLANK(G67),"",IF(MID(G67,1,1)="M",0,1))</f>
        <v>1</v>
      </c>
      <c r="C67">
        <f>IF(ISBLANK(H67),"",VLOOKUP(H67,Code!B:C,2,FALSE))</f>
        <v>20</v>
      </c>
      <c r="D67">
        <v>2020</v>
      </c>
      <c r="E67">
        <v>104179</v>
      </c>
      <c r="F67" t="s">
        <v>45</v>
      </c>
      <c r="G67" t="s">
        <v>290</v>
      </c>
      <c r="H67" t="s">
        <v>8</v>
      </c>
      <c r="I67" cm="1">
        <f t="array" ref="I67">IF(B67=0,INDEX('Category 14'!F:F,MATCH(C67&amp;E67&amp;D67,'Category 14'!B:B&amp;'Category 14'!C:C&amp;'Category 14'!A:A,0)),INDEX('Category 14'!G:G,MATCH(C67&amp;E67&amp;D67,'Category 14'!B:B&amp;'Category 14'!C:C&amp;'Category 14'!A:A,0)))</f>
        <v>0</v>
      </c>
      <c r="J67">
        <f>I67/VLOOKUP($D67,CPI!$P$16:$R$22,3,FALSE)</f>
        <v>0</v>
      </c>
      <c r="K67" cm="1">
        <f t="array" ref="K67">IF(B67=0,INDEX('Category 15'!F:F,MATCH(C67&amp;E67&amp;D67,'Category 15'!B:B&amp;'Category 15'!C:C&amp;'Category 15'!A:A,0)),INDEX('Category 15'!G:G,MATCH(C67&amp;E67&amp;D67,'Category 15'!B:B&amp;'Category 31'!C:C&amp;'Category 15'!A:A,0)))</f>
        <v>0</v>
      </c>
      <c r="L67">
        <f>K67/VLOOKUP($D67,CPI!$P$16:$R$22,3,FALSE)</f>
        <v>0</v>
      </c>
      <c r="M67" s="16" cm="1">
        <f t="array" ref="M67">IF(B67=0,INDEX('Category 31'!F:F,MATCH(C67&amp;E67&amp;D67,'Category 31'!B:B&amp;'Category 31'!C:C&amp;'Category 31'!A:A,0)),INDEX('Category 31'!G:G,MATCH(C67&amp;E67&amp;D67,'Category 31'!B:B&amp;'Category 31'!C:C&amp;'Category 31'!A:A,0)))</f>
        <v>0</v>
      </c>
      <c r="N67" s="16">
        <f>M67/VLOOKUP($D67,CPI!$P$16:$R$22,3,FALSE)</f>
        <v>0</v>
      </c>
      <c r="O67">
        <v>0</v>
      </c>
    </row>
    <row r="68" spans="1:15" ht="16" thickBot="1" x14ac:dyDescent="0.25">
      <c r="A68" s="15">
        <v>2</v>
      </c>
      <c r="B68">
        <f t="shared" si="1"/>
        <v>1</v>
      </c>
      <c r="C68">
        <f>IF(ISBLANK(H68),"",VLOOKUP(H68,Code!B:C,2,FALSE))</f>
        <v>21</v>
      </c>
      <c r="D68">
        <v>2020</v>
      </c>
      <c r="E68">
        <v>104179</v>
      </c>
      <c r="F68" t="s">
        <v>45</v>
      </c>
      <c r="G68" t="s">
        <v>290</v>
      </c>
      <c r="H68" t="s">
        <v>36</v>
      </c>
      <c r="I68" cm="1">
        <f t="array" ref="I68">IF(B68=0,INDEX('Category 14'!F:F,MATCH(C68&amp;E68&amp;D68,'Category 14'!B:B&amp;'Category 14'!C:C&amp;'Category 14'!A:A,0)),INDEX('Category 14'!G:G,MATCH(C68&amp;E68&amp;D68,'Category 14'!B:B&amp;'Category 14'!C:C&amp;'Category 14'!A:A,0)))</f>
        <v>0</v>
      </c>
      <c r="J68">
        <f>I68/VLOOKUP($D68,CPI!$P$16:$R$22,3,FALSE)</f>
        <v>0</v>
      </c>
      <c r="K68" cm="1">
        <f t="array" ref="K68">IF(B68=0,INDEX('Category 15'!F:F,MATCH(C68&amp;E68&amp;D68,'Category 15'!B:B&amp;'Category 15'!C:C&amp;'Category 15'!A:A,0)),INDEX('Category 15'!G:G,MATCH(C68&amp;E68&amp;D68,'Category 15'!B:B&amp;'Category 31'!C:C&amp;'Category 15'!A:A,0)))</f>
        <v>0</v>
      </c>
      <c r="L68">
        <f>K68/VLOOKUP($D68,CPI!$P$16:$R$22,3,FALSE)</f>
        <v>0</v>
      </c>
      <c r="M68" s="16" cm="1">
        <f t="array" ref="M68">IF(B68=0,INDEX('Category 31'!F:F,MATCH(C68&amp;E68&amp;D68,'Category 31'!B:B&amp;'Category 31'!C:C&amp;'Category 31'!A:A,0)),INDEX('Category 31'!G:G,MATCH(C68&amp;E68&amp;D68,'Category 31'!B:B&amp;'Category 31'!C:C&amp;'Category 31'!A:A,0)))</f>
        <v>0</v>
      </c>
      <c r="N68" s="16">
        <f>M68/VLOOKUP($D68,CPI!$P$16:$R$22,3,FALSE)</f>
        <v>0</v>
      </c>
      <c r="O68">
        <v>0</v>
      </c>
    </row>
    <row r="69" spans="1:15" ht="16" thickBot="1" x14ac:dyDescent="0.25">
      <c r="A69" s="15">
        <v>2</v>
      </c>
      <c r="B69">
        <f t="shared" si="1"/>
        <v>1</v>
      </c>
      <c r="C69">
        <f>IF(ISBLANK(H69),"",VLOOKUP(H69,Code!B:C,2,FALSE))</f>
        <v>23</v>
      </c>
      <c r="D69">
        <v>2020</v>
      </c>
      <c r="E69">
        <v>104179</v>
      </c>
      <c r="F69" t="s">
        <v>45</v>
      </c>
      <c r="G69" t="s">
        <v>290</v>
      </c>
      <c r="H69" t="s">
        <v>10</v>
      </c>
      <c r="I69" cm="1">
        <f t="array" ref="I69">IF(B69=0,INDEX('Category 14'!F:F,MATCH(C69&amp;E69&amp;D69,'Category 14'!B:B&amp;'Category 14'!C:C&amp;'Category 14'!A:A,0)),INDEX('Category 14'!G:G,MATCH(C69&amp;E69&amp;D69,'Category 14'!B:B&amp;'Category 14'!C:C&amp;'Category 14'!A:A,0)))</f>
        <v>0</v>
      </c>
      <c r="J69">
        <f>I69/VLOOKUP($D69,CPI!$P$16:$R$22,3,FALSE)</f>
        <v>0</v>
      </c>
      <c r="K69" cm="1">
        <f t="array" ref="K69">IF(B69=0,INDEX('Category 15'!F:F,MATCH(C69&amp;E69&amp;D69,'Category 15'!B:B&amp;'Category 15'!C:C&amp;'Category 15'!A:A,0)),INDEX('Category 15'!G:G,MATCH(C69&amp;E69&amp;D69,'Category 15'!B:B&amp;'Category 31'!C:C&amp;'Category 15'!A:A,0)))</f>
        <v>0</v>
      </c>
      <c r="L69">
        <f>K69/VLOOKUP($D69,CPI!$P$16:$R$22,3,FALSE)</f>
        <v>0</v>
      </c>
      <c r="M69" s="16" cm="1">
        <f t="array" ref="M69">IF(B69=0,INDEX('Category 31'!F:F,MATCH(C69&amp;E69&amp;D69,'Category 31'!B:B&amp;'Category 31'!C:C&amp;'Category 31'!A:A,0)),INDEX('Category 31'!G:G,MATCH(C69&amp;E69&amp;D69,'Category 31'!B:B&amp;'Category 31'!C:C&amp;'Category 31'!A:A,0)))</f>
        <v>0</v>
      </c>
      <c r="N69" s="16">
        <f>M69/VLOOKUP($D69,CPI!$P$16:$R$22,3,FALSE)</f>
        <v>0</v>
      </c>
      <c r="O69">
        <f>VLOOKUP(E52,WVolleyball!C:S,9,FALSE)</f>
        <v>20759</v>
      </c>
    </row>
    <row r="70" spans="1:15" ht="16" thickBot="1" x14ac:dyDescent="0.25">
      <c r="A70" s="15">
        <v>2</v>
      </c>
      <c r="B70">
        <f t="shared" si="1"/>
        <v>0</v>
      </c>
      <c r="C70">
        <f>IF(ISBLANK(H70),"",VLOOKUP(H70,Code!B:C,2,FALSE))</f>
        <v>1</v>
      </c>
      <c r="D70">
        <v>2021</v>
      </c>
      <c r="E70">
        <v>104179</v>
      </c>
      <c r="F70" t="s">
        <v>45</v>
      </c>
      <c r="G70" t="s">
        <v>289</v>
      </c>
      <c r="H70" t="s">
        <v>0</v>
      </c>
      <c r="I70" cm="1">
        <f t="array" ref="I70">IF(B70=0,INDEX('Category 14'!F:F,MATCH(C70&amp;E70&amp;D70,'Category 14'!B:B&amp;'Category 14'!C:C&amp;'Category 14'!A:A,0)),INDEX('Category 14'!G:G,MATCH(C70&amp;E70&amp;D70,'Category 14'!B:B&amp;'Category 14'!C:C&amp;'Category 14'!A:A,0)))</f>
        <v>0</v>
      </c>
      <c r="J70">
        <f>I70/VLOOKUP($D70,CPI!$P$16:$R$22,3,FALSE)</f>
        <v>0</v>
      </c>
      <c r="K70" cm="1">
        <f t="array" ref="K70">IF(B70=0,INDEX('Category 15'!F:F,MATCH(C70&amp;E70&amp;D70,'Category 15'!B:B&amp;'Category 15'!C:C&amp;'Category 15'!A:A,0)),INDEX('Category 15'!G:G,MATCH(C70&amp;E70&amp;D70,'Category 15'!B:B&amp;'Category 31'!C:C&amp;'Category 15'!A:A,0)))</f>
        <v>0</v>
      </c>
      <c r="L70">
        <f>K70/VLOOKUP($D70,CPI!$P$16:$R$22,3,FALSE)</f>
        <v>0</v>
      </c>
      <c r="M70" s="16" cm="1">
        <f t="array" ref="M70">IF(B70=0,INDEX('Category 31'!F:F,MATCH(C70&amp;E70&amp;D70,'Category 31'!B:B&amp;'Category 31'!C:C&amp;'Category 31'!A:A,0)),INDEX('Category 31'!G:G,MATCH(C70&amp;E70&amp;D70,'Category 31'!B:B&amp;'Category 31'!C:C&amp;'Category 31'!A:A,0)))</f>
        <v>0</v>
      </c>
      <c r="N70" s="16">
        <f>M70/VLOOKUP($D70,CPI!$P$16:$R$22,3,FALSE)</f>
        <v>0</v>
      </c>
      <c r="O70">
        <v>60554</v>
      </c>
    </row>
    <row r="71" spans="1:15" ht="16" thickBot="1" x14ac:dyDescent="0.25">
      <c r="A71" s="15">
        <v>2</v>
      </c>
      <c r="B71">
        <f t="shared" si="1"/>
        <v>0</v>
      </c>
      <c r="C71">
        <f>IF(ISBLANK(H71),"",VLOOKUP(H71,Code!B:C,2,FALSE))</f>
        <v>2</v>
      </c>
      <c r="D71">
        <v>2021</v>
      </c>
      <c r="E71">
        <v>104179</v>
      </c>
      <c r="F71" t="s">
        <v>45</v>
      </c>
      <c r="G71" t="s">
        <v>289</v>
      </c>
      <c r="H71" t="s">
        <v>1</v>
      </c>
      <c r="I71" cm="1">
        <f t="array" ref="I71">IF(B71=0,INDEX('Category 14'!F:F,MATCH(C71&amp;E71&amp;D71,'Category 14'!B:B&amp;'Category 14'!C:C&amp;'Category 14'!A:A,0)),INDEX('Category 14'!G:G,MATCH(C71&amp;E71&amp;D71,'Category 14'!B:B&amp;'Category 14'!C:C&amp;'Category 14'!A:A,0)))</f>
        <v>29555</v>
      </c>
      <c r="J71">
        <f>I71/VLOOKUP($D71,CPI!$P$16:$R$22,3,FALSE)</f>
        <v>33658.324618421786</v>
      </c>
      <c r="K71" cm="1">
        <f t="array" ref="K71">IF(B71=0,INDEX('Category 15'!F:F,MATCH(C71&amp;E71&amp;D71,'Category 15'!B:B&amp;'Category 15'!C:C&amp;'Category 15'!A:A,0)),INDEX('Category 15'!G:G,MATCH(C71&amp;E71&amp;D71,'Category 15'!B:B&amp;'Category 31'!C:C&amp;'Category 15'!A:A,0)))</f>
        <v>3437220</v>
      </c>
      <c r="L71">
        <f>K71/VLOOKUP($D71,CPI!$P$16:$R$22,3,FALSE)</f>
        <v>3914432.973944569</v>
      </c>
      <c r="M71" s="16" cm="1">
        <f t="array" ref="M71">IF(B71=0,INDEX('Category 31'!F:F,MATCH(C71&amp;E71&amp;D71,'Category 31'!B:B&amp;'Category 31'!C:C&amp;'Category 31'!A:A,0)),INDEX('Category 31'!G:G,MATCH(C71&amp;E71&amp;D71,'Category 31'!B:B&amp;'Category 31'!C:C&amp;'Category 31'!A:A,0)))</f>
        <v>0</v>
      </c>
      <c r="N71" s="16">
        <f>M71/VLOOKUP($D71,CPI!$P$16:$R$22,3,FALSE)</f>
        <v>0</v>
      </c>
      <c r="O71">
        <f>VLOOKUP(E37,MBasketball!C:N,10,FALSE)</f>
        <v>0</v>
      </c>
    </row>
    <row r="72" spans="1:15" ht="16" thickBot="1" x14ac:dyDescent="0.25">
      <c r="A72" s="15">
        <v>2</v>
      </c>
      <c r="B72">
        <f t="shared" si="1"/>
        <v>0</v>
      </c>
      <c r="C72">
        <f>IF(ISBLANK(H72),"",VLOOKUP(H72,Code!B:C,2,FALSE))</f>
        <v>8</v>
      </c>
      <c r="D72">
        <v>2021</v>
      </c>
      <c r="E72">
        <v>104179</v>
      </c>
      <c r="F72" t="s">
        <v>45</v>
      </c>
      <c r="G72" t="s">
        <v>289</v>
      </c>
      <c r="H72" t="s">
        <v>2</v>
      </c>
      <c r="I72" cm="1">
        <f t="array" ref="I72">IF(B72=0,INDEX('Category 14'!F:F,MATCH(C72&amp;E72&amp;D72,'Category 14'!B:B&amp;'Category 14'!C:C&amp;'Category 14'!A:A,0)),INDEX('Category 14'!G:G,MATCH(C72&amp;E72&amp;D72,'Category 14'!B:B&amp;'Category 14'!C:C&amp;'Category 14'!A:A,0)))</f>
        <v>305983</v>
      </c>
      <c r="J72">
        <f>I72/VLOOKUP($D72,CPI!$P$16:$R$22,3,FALSE)</f>
        <v>348464.73157565738</v>
      </c>
      <c r="K72" cm="1">
        <f t="array" ref="K72">IF(B72=0,INDEX('Category 15'!F:F,MATCH(C72&amp;E72&amp;D72,'Category 15'!B:B&amp;'Category 15'!C:C&amp;'Category 15'!A:A,0)),INDEX('Category 15'!G:G,MATCH(C72&amp;E72&amp;D72,'Category 15'!B:B&amp;'Category 31'!C:C&amp;'Category 15'!A:A,0)))</f>
        <v>3437220</v>
      </c>
      <c r="L72">
        <f>K72/VLOOKUP($D72,CPI!$P$16:$R$22,3,FALSE)</f>
        <v>3914432.973944569</v>
      </c>
      <c r="M72" s="16" cm="1">
        <f t="array" ref="M72">IF(B72=0,INDEX('Category 31'!F:F,MATCH(C72&amp;E72&amp;D72,'Category 31'!B:B&amp;'Category 31'!C:C&amp;'Category 31'!A:A,0)),INDEX('Category 31'!G:G,MATCH(C72&amp;E72&amp;D72,'Category 31'!B:B&amp;'Category 31'!C:C&amp;'Category 31'!A:A,0)))</f>
        <v>0</v>
      </c>
      <c r="N72" s="16">
        <f>M72/VLOOKUP($D72,CPI!$P$16:$R$22,3,FALSE)</f>
        <v>0</v>
      </c>
      <c r="O72">
        <f>VLOOKUP(E38,MFootball!C:S,10,FALSE)</f>
        <v>0</v>
      </c>
    </row>
    <row r="73" spans="1:15" ht="16" thickBot="1" x14ac:dyDescent="0.25">
      <c r="A73" s="15">
        <v>2</v>
      </c>
      <c r="B73">
        <f t="shared" si="1"/>
        <v>0</v>
      </c>
      <c r="C73">
        <v>9</v>
      </c>
      <c r="D73">
        <v>2021</v>
      </c>
      <c r="E73">
        <v>104179</v>
      </c>
      <c r="F73" t="s">
        <v>45</v>
      </c>
      <c r="G73" t="s">
        <v>289</v>
      </c>
      <c r="H73" t="s">
        <v>292</v>
      </c>
      <c r="I73" cm="1">
        <f t="array" ref="I73">IF(B73=0,INDEX('Category 14'!F:F,MATCH(C73&amp;E73&amp;D73,'Category 14'!B:B&amp;'Category 14'!C:C&amp;'Category 14'!A:A,0)),INDEX('Category 14'!G:G,MATCH(C73&amp;E73&amp;D73,'Category 14'!B:B&amp;'Category 14'!C:C&amp;'Category 14'!A:A,0)))</f>
        <v>0</v>
      </c>
      <c r="J73">
        <f>I73/VLOOKUP($D73,CPI!$P$16:$R$22,3,FALSE)</f>
        <v>0</v>
      </c>
      <c r="K73" cm="1">
        <f t="array" ref="K73">IF(B73=0,INDEX('Category 15'!F:F,MATCH(C73&amp;E73&amp;D73,'Category 15'!B:B&amp;'Category 15'!C:C&amp;'Category 15'!A:A,0)),INDEX('Category 15'!G:G,MATCH(C73&amp;E73&amp;D73,'Category 15'!B:B&amp;'Category 31'!C:C&amp;'Category 15'!A:A,0)))</f>
        <v>0</v>
      </c>
      <c r="L73">
        <f>K73/VLOOKUP($D73,CPI!$P$16:$R$22,3,FALSE)</f>
        <v>0</v>
      </c>
      <c r="M73" s="16" cm="1">
        <f t="array" ref="M73">IF(B73=0,INDEX('Category 31'!F:F,MATCH(C73&amp;E73&amp;D73,'Category 31'!B:B&amp;'Category 31'!C:C&amp;'Category 31'!A:A,0)),INDEX('Category 31'!G:G,MATCH(C73&amp;E73&amp;D73,'Category 31'!B:B&amp;'Category 31'!C:C&amp;'Category 31'!A:A,0)))</f>
        <v>0</v>
      </c>
      <c r="N73" s="16">
        <f>M73/VLOOKUP($D73,CPI!$P$16:$R$22,3,FALSE)</f>
        <v>0</v>
      </c>
      <c r="O73">
        <v>0</v>
      </c>
    </row>
    <row r="74" spans="1:15" ht="16" thickBot="1" x14ac:dyDescent="0.25">
      <c r="A74" s="15">
        <v>2</v>
      </c>
      <c r="B74">
        <f t="shared" si="1"/>
        <v>0</v>
      </c>
      <c r="C74">
        <v>19</v>
      </c>
      <c r="D74">
        <v>2021</v>
      </c>
      <c r="E74">
        <v>104179</v>
      </c>
      <c r="F74" t="s">
        <v>45</v>
      </c>
      <c r="G74" t="s">
        <v>289</v>
      </c>
      <c r="H74" t="s">
        <v>293</v>
      </c>
      <c r="I74" cm="1">
        <f t="array" ref="I74">IF(B74=0,INDEX('Category 14'!F:F,MATCH(C74&amp;E74&amp;D74,'Category 14'!B:B&amp;'Category 14'!C:C&amp;'Category 14'!A:A,0)),INDEX('Category 14'!G:G,MATCH(C74&amp;E74&amp;D74,'Category 14'!B:B&amp;'Category 14'!C:C&amp;'Category 14'!A:A,0)))</f>
        <v>0</v>
      </c>
      <c r="J74">
        <f>I74/VLOOKUP($D74,CPI!$P$16:$R$22,3,FALSE)</f>
        <v>0</v>
      </c>
      <c r="K74" cm="1">
        <f t="array" ref="K74">IF(B74=0,INDEX('Category 15'!F:F,MATCH(C74&amp;E74&amp;D74,'Category 15'!B:B&amp;'Category 15'!C:C&amp;'Category 15'!A:A,0)),INDEX('Category 15'!G:G,MATCH(C74&amp;E74&amp;D74,'Category 15'!B:B&amp;'Category 31'!C:C&amp;'Category 15'!A:A,0)))</f>
        <v>0</v>
      </c>
      <c r="L74">
        <f>K74/VLOOKUP($D74,CPI!$P$16:$R$22,3,FALSE)</f>
        <v>0</v>
      </c>
      <c r="M74" s="16" cm="1">
        <f t="array" ref="M74">IF(B74=0,INDEX('Category 31'!F:F,MATCH(C74&amp;E74&amp;D74,'Category 31'!B:B&amp;'Category 31'!C:C&amp;'Category 31'!A:A,0)),INDEX('Category 31'!G:G,MATCH(C74&amp;E74&amp;D74,'Category 31'!B:B&amp;'Category 31'!C:C&amp;'Category 31'!A:A,0)))</f>
        <v>0</v>
      </c>
      <c r="N74" s="16">
        <f>M74/VLOOKUP($D74,CPI!$P$16:$R$22,3,FALSE)</f>
        <v>0</v>
      </c>
      <c r="O74">
        <v>0</v>
      </c>
    </row>
    <row r="75" spans="1:15" ht="16" thickBot="1" x14ac:dyDescent="0.25">
      <c r="A75" s="15">
        <v>2</v>
      </c>
      <c r="B75">
        <f t="shared" si="1"/>
        <v>0</v>
      </c>
      <c r="C75">
        <f>IF(ISBLANK(H75),"",VLOOKUP(H75,Code!B:C,2,FALSE))</f>
        <v>20</v>
      </c>
      <c r="D75">
        <v>2021</v>
      </c>
      <c r="E75">
        <v>104179</v>
      </c>
      <c r="F75" t="s">
        <v>45</v>
      </c>
      <c r="G75" t="s">
        <v>289</v>
      </c>
      <c r="H75" t="s">
        <v>8</v>
      </c>
      <c r="I75" cm="1">
        <f t="array" ref="I75">IF(B75=0,INDEX('Category 14'!F:F,MATCH(C75&amp;E75&amp;D75,'Category 14'!B:B&amp;'Category 14'!C:C&amp;'Category 14'!A:A,0)),INDEX('Category 14'!G:G,MATCH(C75&amp;E75&amp;D75,'Category 14'!B:B&amp;'Category 14'!C:C&amp;'Category 14'!A:A,0)))</f>
        <v>0</v>
      </c>
      <c r="J75">
        <f>I75/VLOOKUP($D75,CPI!$P$16:$R$22,3,FALSE)</f>
        <v>0</v>
      </c>
      <c r="K75" cm="1">
        <f t="array" ref="K75">IF(B75=0,INDEX('Category 15'!F:F,MATCH(C75&amp;E75&amp;D75,'Category 15'!B:B&amp;'Category 15'!C:C&amp;'Category 15'!A:A,0)),INDEX('Category 15'!G:G,MATCH(C75&amp;E75&amp;D75,'Category 15'!B:B&amp;'Category 31'!C:C&amp;'Category 15'!A:A,0)))</f>
        <v>0</v>
      </c>
      <c r="L75">
        <f>K75/VLOOKUP($D75,CPI!$P$16:$R$22,3,FALSE)</f>
        <v>0</v>
      </c>
      <c r="M75" s="16" cm="1">
        <f t="array" ref="M75">IF(B75=0,INDEX('Category 31'!F:F,MATCH(C75&amp;E75&amp;D75,'Category 31'!B:B&amp;'Category 31'!C:C&amp;'Category 31'!A:A,0)),INDEX('Category 31'!G:G,MATCH(C75&amp;E75&amp;D75,'Category 31'!B:B&amp;'Category 31'!C:C&amp;'Category 31'!A:A,0)))</f>
        <v>0</v>
      </c>
      <c r="N75" s="16">
        <f>M75/VLOOKUP($D75,CPI!$P$16:$R$22,3,FALSE)</f>
        <v>0</v>
      </c>
      <c r="O75">
        <v>0</v>
      </c>
    </row>
    <row r="76" spans="1:15" ht="16" thickBot="1" x14ac:dyDescent="0.25">
      <c r="A76" s="15">
        <v>2</v>
      </c>
      <c r="B76">
        <f t="shared" si="1"/>
        <v>0</v>
      </c>
      <c r="C76">
        <v>21</v>
      </c>
      <c r="D76">
        <v>2021</v>
      </c>
      <c r="E76">
        <v>104179</v>
      </c>
      <c r="F76" t="s">
        <v>45</v>
      </c>
      <c r="G76" t="s">
        <v>289</v>
      </c>
      <c r="H76" t="s">
        <v>294</v>
      </c>
      <c r="I76" cm="1">
        <f t="array" ref="I76">IF(B76=0,INDEX('Category 14'!F:F,MATCH(C76&amp;E76&amp;D76,'Category 14'!B:B&amp;'Category 14'!C:C&amp;'Category 14'!A:A,0)),INDEX('Category 14'!G:G,MATCH(C76&amp;E76&amp;D76,'Category 14'!B:B&amp;'Category 14'!C:C&amp;'Category 14'!A:A,0)))</f>
        <v>0</v>
      </c>
      <c r="J76">
        <f>I76/VLOOKUP($D76,CPI!$P$16:$R$22,3,FALSE)</f>
        <v>0</v>
      </c>
      <c r="K76" cm="1">
        <f t="array" ref="K76">IF(B76=0,INDEX('Category 15'!F:F,MATCH(C76&amp;E76&amp;D76,'Category 15'!B:B&amp;'Category 15'!C:C&amp;'Category 15'!A:A,0)),INDEX('Category 15'!G:G,MATCH(C76&amp;E76&amp;D76,'Category 15'!B:B&amp;'Category 31'!C:C&amp;'Category 15'!A:A,0)))</f>
        <v>0</v>
      </c>
      <c r="L76">
        <f>K76/VLOOKUP($D76,CPI!$P$16:$R$22,3,FALSE)</f>
        <v>0</v>
      </c>
      <c r="M76" s="16" cm="1">
        <f t="array" ref="M76">IF(B76=0,INDEX('Category 31'!F:F,MATCH(C76&amp;E76&amp;D76,'Category 31'!B:B&amp;'Category 31'!C:C&amp;'Category 31'!A:A,0)),INDEX('Category 31'!G:G,MATCH(C76&amp;E76&amp;D76,'Category 31'!B:B&amp;'Category 31'!C:C&amp;'Category 31'!A:A,0)))</f>
        <v>0</v>
      </c>
      <c r="N76" s="16">
        <f>M76/VLOOKUP($D76,CPI!$P$16:$R$22,3,FALSE)</f>
        <v>0</v>
      </c>
      <c r="O76">
        <v>0</v>
      </c>
    </row>
    <row r="77" spans="1:15" ht="16" thickBot="1" x14ac:dyDescent="0.25">
      <c r="A77" s="15">
        <v>2</v>
      </c>
      <c r="B77">
        <f t="shared" si="1"/>
        <v>1</v>
      </c>
      <c r="C77">
        <f>IF(ISBLANK(H77),"",VLOOKUP(H77,Code!B:C,2,FALSE))</f>
        <v>2</v>
      </c>
      <c r="D77">
        <v>2021</v>
      </c>
      <c r="E77">
        <v>104179</v>
      </c>
      <c r="F77" t="s">
        <v>45</v>
      </c>
      <c r="G77" t="s">
        <v>291</v>
      </c>
      <c r="H77" t="s">
        <v>1</v>
      </c>
      <c r="I77" cm="1">
        <f t="array" ref="I77">IF(B77=0,INDEX('Category 14'!F:F,MATCH(C77&amp;E77&amp;D77,'Category 14'!B:B&amp;'Category 14'!C:C&amp;'Category 14'!A:A,0)),INDEX('Category 14'!G:G,MATCH(C77&amp;E77&amp;D77,'Category 14'!B:B&amp;'Category 14'!C:C&amp;'Category 14'!A:A,0)))</f>
        <v>0</v>
      </c>
      <c r="J77">
        <f>I77/VLOOKUP($D77,CPI!$P$16:$R$22,3,FALSE)</f>
        <v>0</v>
      </c>
      <c r="K77" cm="1">
        <f t="array" ref="K77">IF(B77=0,INDEX('Category 15'!F:F,MATCH(C77&amp;E77&amp;D77,'Category 15'!B:B&amp;'Category 15'!C:C&amp;'Category 15'!A:A,0)),INDEX('Category 15'!G:G,MATCH(C77&amp;E77&amp;D77,'Category 15'!B:B&amp;'Category 31'!C:C&amp;'Category 15'!A:A,0)))</f>
        <v>0</v>
      </c>
      <c r="L77">
        <f>K77/VLOOKUP($D77,CPI!$P$16:$R$22,3,FALSE)</f>
        <v>0</v>
      </c>
      <c r="M77" s="16" cm="1">
        <f t="array" ref="M77">IF(B77=0,INDEX('Category 31'!F:F,MATCH(C77&amp;E77&amp;D77,'Category 31'!B:B&amp;'Category 31'!C:C&amp;'Category 31'!A:A,0)),INDEX('Category 31'!G:G,MATCH(C77&amp;E77&amp;D77,'Category 31'!B:B&amp;'Category 31'!C:C&amp;'Category 31'!A:A,0)))</f>
        <v>0</v>
      </c>
      <c r="N77" s="16">
        <f>M77/VLOOKUP($D77,CPI!$P$16:$R$22,3,FALSE)</f>
        <v>0</v>
      </c>
      <c r="O77">
        <f>VLOOKUP(E43,WBasketball!C:S,10,FALSE)</f>
        <v>0</v>
      </c>
    </row>
    <row r="78" spans="1:15" ht="16" thickBot="1" x14ac:dyDescent="0.25">
      <c r="A78" s="15">
        <v>2</v>
      </c>
      <c r="B78">
        <f t="shared" si="1"/>
        <v>1</v>
      </c>
      <c r="C78">
        <v>3</v>
      </c>
      <c r="D78">
        <v>2021</v>
      </c>
      <c r="E78">
        <v>104179</v>
      </c>
      <c r="F78" t="s">
        <v>45</v>
      </c>
      <c r="G78" t="s">
        <v>291</v>
      </c>
      <c r="H78" t="s">
        <v>295</v>
      </c>
      <c r="I78" cm="1">
        <f t="array" ref="I78">IF(B78=0,INDEX('Category 14'!F:F,MATCH(C78&amp;E78&amp;D78,'Category 14'!B:B&amp;'Category 14'!C:C&amp;'Category 14'!A:A,0)),INDEX('Category 14'!G:G,MATCH(C78&amp;E78&amp;D78,'Category 14'!B:B&amp;'Category 14'!C:C&amp;'Category 14'!A:A,0)))</f>
        <v>0</v>
      </c>
      <c r="J78">
        <f>I78/VLOOKUP($D78,CPI!$P$16:$R$22,3,FALSE)</f>
        <v>0</v>
      </c>
      <c r="K78" cm="1">
        <f t="array" ref="K78">IF(B78=0,INDEX('Category 15'!F:F,MATCH(C78&amp;E78&amp;D78,'Category 15'!B:B&amp;'Category 15'!C:C&amp;'Category 15'!A:A,0)),INDEX('Category 15'!G:G,MATCH(C78&amp;E78&amp;D78,'Category 15'!B:B&amp;'Category 31'!C:C&amp;'Category 15'!A:A,0)))</f>
        <v>0</v>
      </c>
      <c r="L78">
        <f>K78/VLOOKUP($D78,CPI!$P$16:$R$22,3,FALSE)</f>
        <v>0</v>
      </c>
      <c r="M78" s="16" cm="1">
        <f t="array" ref="M78">IF(B78=0,INDEX('Category 31'!F:F,MATCH(C78&amp;E78&amp;D78,'Category 31'!B:B&amp;'Category 31'!C:C&amp;'Category 31'!A:A,0)),INDEX('Category 31'!G:G,MATCH(C78&amp;E78&amp;D78,'Category 31'!B:B&amp;'Category 31'!C:C&amp;'Category 31'!A:A,0)))</f>
        <v>0</v>
      </c>
      <c r="N78" s="16">
        <f>M78/VLOOKUP($D78,CPI!$P$16:$R$22,3,FALSE)</f>
        <v>0</v>
      </c>
      <c r="O78">
        <v>0</v>
      </c>
    </row>
    <row r="79" spans="1:15" ht="16" thickBot="1" x14ac:dyDescent="0.25">
      <c r="A79" s="15">
        <v>2</v>
      </c>
      <c r="B79">
        <f t="shared" si="1"/>
        <v>1</v>
      </c>
      <c r="C79">
        <v>9</v>
      </c>
      <c r="D79">
        <v>2021</v>
      </c>
      <c r="E79">
        <v>104179</v>
      </c>
      <c r="F79" t="s">
        <v>45</v>
      </c>
      <c r="G79" t="s">
        <v>291</v>
      </c>
      <c r="H79" t="s">
        <v>292</v>
      </c>
      <c r="I79" cm="1">
        <f t="array" ref="I79">IF(B79=0,INDEX('Category 14'!F:F,MATCH(C79&amp;E79&amp;D79,'Category 14'!B:B&amp;'Category 14'!C:C&amp;'Category 14'!A:A,0)),INDEX('Category 14'!G:G,MATCH(C79&amp;E79&amp;D79,'Category 14'!B:B&amp;'Category 14'!C:C&amp;'Category 14'!A:A,0)))</f>
        <v>0</v>
      </c>
      <c r="J79">
        <f>I79/VLOOKUP($D79,CPI!$P$16:$R$22,3,FALSE)</f>
        <v>0</v>
      </c>
      <c r="K79" cm="1">
        <f t="array" ref="K79">IF(B79=0,INDEX('Category 15'!F:F,MATCH(C79&amp;E79&amp;D79,'Category 15'!B:B&amp;'Category 15'!C:C&amp;'Category 15'!A:A,0)),INDEX('Category 15'!G:G,MATCH(C79&amp;E79&amp;D79,'Category 15'!B:B&amp;'Category 31'!C:C&amp;'Category 15'!A:A,0)))</f>
        <v>0</v>
      </c>
      <c r="L79">
        <f>K79/VLOOKUP($D79,CPI!$P$16:$R$22,3,FALSE)</f>
        <v>0</v>
      </c>
      <c r="M79" s="16" cm="1">
        <f t="array" ref="M79">IF(B79=0,INDEX('Category 31'!F:F,MATCH(C79&amp;E79&amp;D79,'Category 31'!B:B&amp;'Category 31'!C:C&amp;'Category 31'!A:A,0)),INDEX('Category 31'!G:G,MATCH(C79&amp;E79&amp;D79,'Category 31'!B:B&amp;'Category 31'!C:C&amp;'Category 31'!A:A,0)))</f>
        <v>0</v>
      </c>
      <c r="N79" s="16">
        <f>M79/VLOOKUP($D79,CPI!$P$16:$R$22,3,FALSE)</f>
        <v>0</v>
      </c>
      <c r="O79">
        <v>0</v>
      </c>
    </row>
    <row r="80" spans="1:15" ht="16" thickBot="1" x14ac:dyDescent="0.25">
      <c r="A80" s="15">
        <v>2</v>
      </c>
      <c r="B80">
        <f t="shared" si="1"/>
        <v>1</v>
      </c>
      <c r="C80">
        <f>IF(ISBLANK(H80),"",VLOOKUP(H80,Code!B:C,2,FALSE))</f>
        <v>10</v>
      </c>
      <c r="D80">
        <v>2021</v>
      </c>
      <c r="E80">
        <v>104179</v>
      </c>
      <c r="F80" t="s">
        <v>45</v>
      </c>
      <c r="G80" t="s">
        <v>291</v>
      </c>
      <c r="H80" t="s">
        <v>4</v>
      </c>
      <c r="I80" cm="1">
        <f t="array" ref="I80">IF(B80=0,INDEX('Category 14'!F:F,MATCH(C80&amp;E80&amp;D80,'Category 14'!B:B&amp;'Category 14'!C:C&amp;'Category 14'!A:A,0)),INDEX('Category 14'!G:G,MATCH(C80&amp;E80&amp;D80,'Category 14'!B:B&amp;'Category 14'!C:C&amp;'Category 14'!A:A,0)))</f>
        <v>0</v>
      </c>
      <c r="J80">
        <f>I80/VLOOKUP($D80,CPI!$P$16:$R$22,3,FALSE)</f>
        <v>0</v>
      </c>
      <c r="K80" cm="1">
        <f t="array" ref="K80">IF(B80=0,INDEX('Category 15'!F:F,MATCH(C80&amp;E80&amp;D80,'Category 15'!B:B&amp;'Category 15'!C:C&amp;'Category 15'!A:A,0)),INDEX('Category 15'!G:G,MATCH(C80&amp;E80&amp;D80,'Category 15'!B:B&amp;'Category 31'!C:C&amp;'Category 15'!A:A,0)))</f>
        <v>0</v>
      </c>
      <c r="L80">
        <f>K80/VLOOKUP($D80,CPI!$P$16:$R$22,3,FALSE)</f>
        <v>0</v>
      </c>
      <c r="M80" s="16" cm="1">
        <f t="array" ref="M80">IF(B80=0,INDEX('Category 31'!F:F,MATCH(C80&amp;E80&amp;D80,'Category 31'!B:B&amp;'Category 31'!C:C&amp;'Category 31'!A:A,0)),INDEX('Category 31'!G:G,MATCH(C80&amp;E80&amp;D80,'Category 31'!B:B&amp;'Category 31'!C:C&amp;'Category 31'!A:A,0)))</f>
        <v>0</v>
      </c>
      <c r="N80" s="16">
        <f>M80/VLOOKUP($D80,CPI!$P$16:$R$22,3,FALSE)</f>
        <v>0</v>
      </c>
      <c r="O80">
        <v>0</v>
      </c>
    </row>
    <row r="81" spans="1:15" ht="16" thickBot="1" x14ac:dyDescent="0.25">
      <c r="A81" s="15">
        <v>2</v>
      </c>
      <c r="B81">
        <f t="shared" si="1"/>
        <v>1</v>
      </c>
      <c r="C81">
        <f>IF(ISBLANK(H81),"",VLOOKUP(H81,Code!B:C,2,FALSE))</f>
        <v>17</v>
      </c>
      <c r="D81">
        <v>2021</v>
      </c>
      <c r="E81">
        <v>104179</v>
      </c>
      <c r="F81" t="s">
        <v>45</v>
      </c>
      <c r="G81" t="s">
        <v>291</v>
      </c>
      <c r="H81" t="s">
        <v>5</v>
      </c>
      <c r="I81" cm="1">
        <f t="array" ref="I81">IF(B81=0,INDEX('Category 14'!F:F,MATCH(C81&amp;E81&amp;D81,'Category 14'!B:B&amp;'Category 14'!C:C&amp;'Category 14'!A:A,0)),INDEX('Category 14'!G:G,MATCH(C81&amp;E81&amp;D81,'Category 14'!B:B&amp;'Category 14'!C:C&amp;'Category 14'!A:A,0)))</f>
        <v>0</v>
      </c>
      <c r="J81">
        <f>I81/VLOOKUP($D81,CPI!$P$16:$R$22,3,FALSE)</f>
        <v>0</v>
      </c>
      <c r="K81" cm="1">
        <f t="array" ref="K81">IF(B81=0,INDEX('Category 15'!F:F,MATCH(C81&amp;E81&amp;D81,'Category 15'!B:B&amp;'Category 15'!C:C&amp;'Category 15'!A:A,0)),INDEX('Category 15'!G:G,MATCH(C81&amp;E81&amp;D81,'Category 15'!B:B&amp;'Category 31'!C:C&amp;'Category 15'!A:A,0)))</f>
        <v>0</v>
      </c>
      <c r="L81">
        <f>K81/VLOOKUP($D81,CPI!$P$16:$R$22,3,FALSE)</f>
        <v>0</v>
      </c>
      <c r="M81" s="16" cm="1">
        <f t="array" ref="M81">IF(B81=0,INDEX('Category 31'!F:F,MATCH(C81&amp;E81&amp;D81,'Category 31'!B:B&amp;'Category 31'!C:C&amp;'Category 31'!A:A,0)),INDEX('Category 31'!G:G,MATCH(C81&amp;E81&amp;D81,'Category 31'!B:B&amp;'Category 31'!C:C&amp;'Category 31'!A:A,0)))</f>
        <v>0</v>
      </c>
      <c r="N81" s="16">
        <f>M81/VLOOKUP($D81,CPI!$P$16:$R$22,3,FALSE)</f>
        <v>0</v>
      </c>
      <c r="O81">
        <f>VLOOKUP(E47,WSoccer!C:S,10,FALSE)</f>
        <v>0</v>
      </c>
    </row>
    <row r="82" spans="1:15" ht="16" thickBot="1" x14ac:dyDescent="0.25">
      <c r="A82" s="15">
        <v>2</v>
      </c>
      <c r="B82">
        <f t="shared" si="1"/>
        <v>1</v>
      </c>
      <c r="C82">
        <f>IF(ISBLANK(H82),"",VLOOKUP(H82,Code!B:C,2,FALSE))</f>
        <v>18</v>
      </c>
      <c r="D82">
        <v>2021</v>
      </c>
      <c r="E82">
        <v>104179</v>
      </c>
      <c r="F82" t="s">
        <v>45</v>
      </c>
      <c r="G82" t="s">
        <v>291</v>
      </c>
      <c r="H82" t="s">
        <v>6</v>
      </c>
      <c r="I82" cm="1">
        <f t="array" ref="I82">IF(B82=0,INDEX('Category 14'!F:F,MATCH(C82&amp;E82&amp;D82,'Category 14'!B:B&amp;'Category 14'!C:C&amp;'Category 14'!A:A,0)),INDEX('Category 14'!G:G,MATCH(C82&amp;E82&amp;D82,'Category 14'!B:B&amp;'Category 14'!C:C&amp;'Category 14'!A:A,0)))</f>
        <v>0</v>
      </c>
      <c r="J82">
        <f>I82/VLOOKUP($D82,CPI!$P$16:$R$22,3,FALSE)</f>
        <v>0</v>
      </c>
      <c r="K82" cm="1">
        <f t="array" ref="K82">IF(B82=0,INDEX('Category 15'!F:F,MATCH(C82&amp;E82&amp;D82,'Category 15'!B:B&amp;'Category 15'!C:C&amp;'Category 15'!A:A,0)),INDEX('Category 15'!G:G,MATCH(C82&amp;E82&amp;D82,'Category 15'!B:B&amp;'Category 31'!C:C&amp;'Category 15'!A:A,0)))</f>
        <v>0</v>
      </c>
      <c r="L82">
        <f>K82/VLOOKUP($D82,CPI!$P$16:$R$22,3,FALSE)</f>
        <v>0</v>
      </c>
      <c r="M82" s="16" cm="1">
        <f t="array" ref="M82">IF(B82=0,INDEX('Category 31'!F:F,MATCH(C82&amp;E82&amp;D82,'Category 31'!B:B&amp;'Category 31'!C:C&amp;'Category 31'!A:A,0)),INDEX('Category 31'!G:G,MATCH(C82&amp;E82&amp;D82,'Category 31'!B:B&amp;'Category 31'!C:C&amp;'Category 31'!A:A,0)))</f>
        <v>0</v>
      </c>
      <c r="N82" s="16">
        <f>M82/VLOOKUP($D82,CPI!$P$16:$R$22,3,FALSE)</f>
        <v>0</v>
      </c>
      <c r="O82">
        <f>VLOOKUP(E48,WSoftball!C:S,10,FALSE)</f>
        <v>6217</v>
      </c>
    </row>
    <row r="83" spans="1:15" ht="16" thickBot="1" x14ac:dyDescent="0.25">
      <c r="A83" s="15">
        <v>2</v>
      </c>
      <c r="B83">
        <f t="shared" si="1"/>
        <v>1</v>
      </c>
      <c r="C83">
        <v>19</v>
      </c>
      <c r="D83">
        <v>2021</v>
      </c>
      <c r="E83">
        <v>104179</v>
      </c>
      <c r="F83" t="s">
        <v>45</v>
      </c>
      <c r="G83" t="s">
        <v>291</v>
      </c>
      <c r="H83" t="s">
        <v>293</v>
      </c>
      <c r="I83" cm="1">
        <f t="array" ref="I83">IF(B83=0,INDEX('Category 14'!F:F,MATCH(C83&amp;E83&amp;D83,'Category 14'!B:B&amp;'Category 14'!C:C&amp;'Category 14'!A:A,0)),INDEX('Category 14'!G:G,MATCH(C83&amp;E83&amp;D83,'Category 14'!B:B&amp;'Category 14'!C:C&amp;'Category 14'!A:A,0)))</f>
        <v>0</v>
      </c>
      <c r="J83">
        <f>I83/VLOOKUP($D83,CPI!$P$16:$R$22,3,FALSE)</f>
        <v>0</v>
      </c>
      <c r="K83" cm="1">
        <f t="array" ref="K83">IF(B83=0,INDEX('Category 15'!F:F,MATCH(C83&amp;E83&amp;D83,'Category 15'!B:B&amp;'Category 15'!C:C&amp;'Category 15'!A:A,0)),INDEX('Category 15'!G:G,MATCH(C83&amp;E83&amp;D83,'Category 15'!B:B&amp;'Category 31'!C:C&amp;'Category 15'!A:A,0)))</f>
        <v>0</v>
      </c>
      <c r="L83">
        <f>K83/VLOOKUP($D83,CPI!$P$16:$R$22,3,FALSE)</f>
        <v>0</v>
      </c>
      <c r="M83" s="16" cm="1">
        <f t="array" ref="M83">IF(B83=0,INDEX('Category 31'!F:F,MATCH(C83&amp;E83&amp;D83,'Category 31'!B:B&amp;'Category 31'!C:C&amp;'Category 31'!A:A,0)),INDEX('Category 31'!G:G,MATCH(C83&amp;E83&amp;D83,'Category 31'!B:B&amp;'Category 31'!C:C&amp;'Category 31'!A:A,0)))</f>
        <v>0</v>
      </c>
      <c r="N83" s="16">
        <f>M83/VLOOKUP($D83,CPI!$P$16:$R$22,3,FALSE)</f>
        <v>0</v>
      </c>
      <c r="O83">
        <v>0</v>
      </c>
    </row>
    <row r="84" spans="1:15" ht="16" thickBot="1" x14ac:dyDescent="0.25">
      <c r="A84" s="15">
        <v>2</v>
      </c>
      <c r="B84">
        <f t="shared" si="1"/>
        <v>1</v>
      </c>
      <c r="C84">
        <f>IF(ISBLANK(H84),"",VLOOKUP(H84,Code!B:C,2,FALSE))</f>
        <v>20</v>
      </c>
      <c r="D84">
        <v>2021</v>
      </c>
      <c r="E84">
        <v>104179</v>
      </c>
      <c r="F84" t="s">
        <v>45</v>
      </c>
      <c r="G84" t="s">
        <v>291</v>
      </c>
      <c r="H84" t="s">
        <v>8</v>
      </c>
      <c r="I84" cm="1">
        <f t="array" ref="I84">IF(B84=0,INDEX('Category 14'!F:F,MATCH(C84&amp;E84&amp;D84,'Category 14'!B:B&amp;'Category 14'!C:C&amp;'Category 14'!A:A,0)),INDEX('Category 14'!G:G,MATCH(C84&amp;E84&amp;D84,'Category 14'!B:B&amp;'Category 14'!C:C&amp;'Category 14'!A:A,0)))</f>
        <v>0</v>
      </c>
      <c r="J84">
        <f>I84/VLOOKUP($D84,CPI!$P$16:$R$22,3,FALSE)</f>
        <v>0</v>
      </c>
      <c r="K84" cm="1">
        <f t="array" ref="K84">IF(B84=0,INDEX('Category 15'!F:F,MATCH(C84&amp;E84&amp;D84,'Category 15'!B:B&amp;'Category 15'!C:C&amp;'Category 15'!A:A,0)),INDEX('Category 15'!G:G,MATCH(C84&amp;E84&amp;D84,'Category 15'!B:B&amp;'Category 31'!C:C&amp;'Category 15'!A:A,0)))</f>
        <v>0</v>
      </c>
      <c r="L84">
        <f>K84/VLOOKUP($D84,CPI!$P$16:$R$22,3,FALSE)</f>
        <v>0</v>
      </c>
      <c r="M84" s="16" cm="1">
        <f t="array" ref="M84">IF(B84=0,INDEX('Category 31'!F:F,MATCH(C84&amp;E84&amp;D84,'Category 31'!B:B&amp;'Category 31'!C:C&amp;'Category 31'!A:A,0)),INDEX('Category 31'!G:G,MATCH(C84&amp;E84&amp;D84,'Category 31'!B:B&amp;'Category 31'!C:C&amp;'Category 31'!A:A,0)))</f>
        <v>0</v>
      </c>
      <c r="N84" s="16">
        <f>M84/VLOOKUP($D84,CPI!$P$16:$R$22,3,FALSE)</f>
        <v>0</v>
      </c>
      <c r="O84">
        <v>0</v>
      </c>
    </row>
    <row r="85" spans="1:15" ht="16" thickBot="1" x14ac:dyDescent="0.25">
      <c r="A85" s="15">
        <v>2</v>
      </c>
      <c r="B85">
        <f t="shared" si="1"/>
        <v>1</v>
      </c>
      <c r="C85">
        <v>21</v>
      </c>
      <c r="D85">
        <v>2021</v>
      </c>
      <c r="E85">
        <v>104179</v>
      </c>
      <c r="F85" t="s">
        <v>45</v>
      </c>
      <c r="G85" t="s">
        <v>291</v>
      </c>
      <c r="H85" t="s">
        <v>294</v>
      </c>
      <c r="I85" cm="1">
        <f t="array" ref="I85">IF(B85=0,INDEX('Category 14'!F:F,MATCH(C85&amp;E85&amp;D85,'Category 14'!B:B&amp;'Category 14'!C:C&amp;'Category 14'!A:A,0)),INDEX('Category 14'!G:G,MATCH(C85&amp;E85&amp;D85,'Category 14'!B:B&amp;'Category 14'!C:C&amp;'Category 14'!A:A,0)))</f>
        <v>0</v>
      </c>
      <c r="J85">
        <f>I85/VLOOKUP($D85,CPI!$P$16:$R$22,3,FALSE)</f>
        <v>0</v>
      </c>
      <c r="K85" cm="1">
        <f t="array" ref="K85">IF(B85=0,INDEX('Category 15'!F:F,MATCH(C85&amp;E85&amp;D85,'Category 15'!B:B&amp;'Category 15'!C:C&amp;'Category 15'!A:A,0)),INDEX('Category 15'!G:G,MATCH(C85&amp;E85&amp;D85,'Category 15'!B:B&amp;'Category 31'!C:C&amp;'Category 15'!A:A,0)))</f>
        <v>0</v>
      </c>
      <c r="L85">
        <f>K85/VLOOKUP($D85,CPI!$P$16:$R$22,3,FALSE)</f>
        <v>0</v>
      </c>
      <c r="M85" s="16" cm="1">
        <f t="array" ref="M85">IF(B85=0,INDEX('Category 31'!F:F,MATCH(C85&amp;E85&amp;D85,'Category 31'!B:B&amp;'Category 31'!C:C&amp;'Category 31'!A:A,0)),INDEX('Category 31'!G:G,MATCH(C85&amp;E85&amp;D85,'Category 31'!B:B&amp;'Category 31'!C:C&amp;'Category 31'!A:A,0)))</f>
        <v>0</v>
      </c>
      <c r="N85" s="16">
        <f>M85/VLOOKUP($D85,CPI!$P$16:$R$22,3,FALSE)</f>
        <v>0</v>
      </c>
      <c r="O85">
        <v>0</v>
      </c>
    </row>
    <row r="86" spans="1:15" ht="16" thickBot="1" x14ac:dyDescent="0.25">
      <c r="A86" s="15">
        <v>2</v>
      </c>
      <c r="B86">
        <f t="shared" si="1"/>
        <v>1</v>
      </c>
      <c r="C86">
        <f>IF(ISBLANK(H86),"",VLOOKUP(H86,Code!B:C,2,FALSE))</f>
        <v>23</v>
      </c>
      <c r="D86">
        <v>2021</v>
      </c>
      <c r="E86">
        <v>104179</v>
      </c>
      <c r="F86" t="s">
        <v>45</v>
      </c>
      <c r="G86" t="s">
        <v>291</v>
      </c>
      <c r="H86" t="s">
        <v>10</v>
      </c>
      <c r="I86" cm="1">
        <f t="array" ref="I86">IF(B86=0,INDEX('Category 14'!F:F,MATCH(C86&amp;E86&amp;D86,'Category 14'!B:B&amp;'Category 14'!C:C&amp;'Category 14'!A:A,0)),INDEX('Category 14'!G:G,MATCH(C86&amp;E86&amp;D86,'Category 14'!B:B&amp;'Category 14'!C:C&amp;'Category 14'!A:A,0)))</f>
        <v>0</v>
      </c>
      <c r="J86">
        <f>I86/VLOOKUP($D86,CPI!$P$16:$R$22,3,FALSE)</f>
        <v>0</v>
      </c>
      <c r="K86" cm="1">
        <f t="array" ref="K86">IF(B86=0,INDEX('Category 15'!F:F,MATCH(C86&amp;E86&amp;D86,'Category 15'!B:B&amp;'Category 15'!C:C&amp;'Category 15'!A:A,0)),INDEX('Category 15'!G:G,MATCH(C86&amp;E86&amp;D86,'Category 15'!B:B&amp;'Category 31'!C:C&amp;'Category 15'!A:A,0)))</f>
        <v>0</v>
      </c>
      <c r="L86">
        <f>K86/VLOOKUP($D86,CPI!$P$16:$R$22,3,FALSE)</f>
        <v>0</v>
      </c>
      <c r="M86" s="16" cm="1">
        <f t="array" ref="M86">IF(B86=0,INDEX('Category 31'!F:F,MATCH(C86&amp;E86&amp;D86,'Category 31'!B:B&amp;'Category 31'!C:C&amp;'Category 31'!A:A,0)),INDEX('Category 31'!G:G,MATCH(C86&amp;E86&amp;D86,'Category 31'!B:B&amp;'Category 31'!C:C&amp;'Category 31'!A:A,0)))</f>
        <v>0</v>
      </c>
      <c r="N86" s="16">
        <f>M86/VLOOKUP($D86,CPI!$P$16:$R$22,3,FALSE)</f>
        <v>0</v>
      </c>
      <c r="O86">
        <f>VLOOKUP(E52,WVolleyball!C:S,10,FALSE)</f>
        <v>0</v>
      </c>
    </row>
    <row r="87" spans="1:15" ht="16" thickBot="1" x14ac:dyDescent="0.25">
      <c r="A87" s="15">
        <v>2</v>
      </c>
      <c r="B87">
        <f t="shared" si="1"/>
        <v>0</v>
      </c>
      <c r="C87">
        <f>IF(ISBLANK(H87),"",VLOOKUP(H87,Code!B:C,2,FALSE))</f>
        <v>1</v>
      </c>
      <c r="D87">
        <v>2022</v>
      </c>
      <c r="E87">
        <v>104179</v>
      </c>
      <c r="F87" t="s">
        <v>45</v>
      </c>
      <c r="G87" t="s">
        <v>289</v>
      </c>
      <c r="H87" t="s">
        <v>0</v>
      </c>
      <c r="I87" cm="1">
        <f t="array" ref="I87">IF(B87=0,INDEX('Category 14'!F:F,MATCH(C87&amp;E87&amp;D87,'Category 14'!B:B&amp;'Category 14'!C:C&amp;'Category 14'!A:A,0)),INDEX('Category 14'!G:G,MATCH(C87&amp;E87&amp;D87,'Category 14'!B:B&amp;'Category 14'!C:C&amp;'Category 14'!A:A,0)))</f>
        <v>986</v>
      </c>
      <c r="J87">
        <f>I87/VLOOKUP($D87,CPI!$P$16:$R$22,3,FALSE)</f>
        <v>1047.7436503856043</v>
      </c>
      <c r="K87" cm="1">
        <f t="array" ref="K87">IF(B87=0,INDEX('Category 15'!F:F,MATCH(C87&amp;E87&amp;D87,'Category 15'!B:B&amp;'Category 15'!C:C&amp;'Category 15'!A:A,0)),INDEX('Category 15'!G:G,MATCH(C87&amp;E87&amp;D87,'Category 15'!B:B&amp;'Category 31'!C:C&amp;'Category 15'!A:A,0)))</f>
        <v>0</v>
      </c>
      <c r="L87">
        <f>K87/VLOOKUP($D87,CPI!$P$16:$R$22,3,FALSE)</f>
        <v>0</v>
      </c>
      <c r="M87" s="16" cm="1">
        <f t="array" ref="M87">IF(B87=0,INDEX('Category 31'!F:F,MATCH(C87&amp;E87&amp;D87,'Category 31'!B:B&amp;'Category 31'!C:C&amp;'Category 31'!A:A,0)),INDEX('Category 31'!G:G,MATCH(C87&amp;E87&amp;D87,'Category 31'!B:B&amp;'Category 31'!C:C&amp;'Category 31'!A:A,0)))</f>
        <v>0</v>
      </c>
      <c r="N87" s="16">
        <f>M87/VLOOKUP($D87,CPI!$P$16:$R$22,3,FALSE)</f>
        <v>0</v>
      </c>
      <c r="O87">
        <v>100226</v>
      </c>
    </row>
    <row r="88" spans="1:15" ht="16" thickBot="1" x14ac:dyDescent="0.25">
      <c r="A88" s="15">
        <v>2</v>
      </c>
      <c r="B88">
        <f t="shared" si="1"/>
        <v>0</v>
      </c>
      <c r="C88">
        <f>IF(ISBLANK(H88),"",VLOOKUP(H88,Code!B:C,2,FALSE))</f>
        <v>2</v>
      </c>
      <c r="D88">
        <v>2022</v>
      </c>
      <c r="E88">
        <v>104179</v>
      </c>
      <c r="F88" t="s">
        <v>45</v>
      </c>
      <c r="G88" t="s">
        <v>289</v>
      </c>
      <c r="H88" t="s">
        <v>1</v>
      </c>
      <c r="I88" cm="1">
        <f t="array" ref="I88">IF(B88=0,INDEX('Category 14'!F:F,MATCH(C88&amp;E88&amp;D88,'Category 14'!B:B&amp;'Category 14'!C:C&amp;'Category 14'!A:A,0)),INDEX('Category 14'!G:G,MATCH(C88&amp;E88&amp;D88,'Category 14'!B:B&amp;'Category 14'!C:C&amp;'Category 14'!A:A,0)))</f>
        <v>29403</v>
      </c>
      <c r="J88">
        <f>I88/VLOOKUP($D88,CPI!$P$16:$R$22,3,FALSE)</f>
        <v>31244.225712259558</v>
      </c>
      <c r="K88" cm="1">
        <f t="array" ref="K88">IF(B88=0,INDEX('Category 15'!F:F,MATCH(C88&amp;E88&amp;D88,'Category 15'!B:B&amp;'Category 15'!C:C&amp;'Category 15'!A:A,0)),INDEX('Category 15'!G:G,MATCH(C88&amp;E88&amp;D88,'Category 15'!B:B&amp;'Category 31'!C:C&amp;'Category 15'!A:A,0)))</f>
        <v>4756131</v>
      </c>
      <c r="L88">
        <f>K88/VLOOKUP($D88,CPI!$P$16:$R$22,3,FALSE)</f>
        <v>5053961.5168885747</v>
      </c>
      <c r="M88" s="16" cm="1">
        <f t="array" ref="M88">IF(B88=0,INDEX('Category 31'!F:F,MATCH(C88&amp;E88&amp;D88,'Category 31'!B:B&amp;'Category 31'!C:C&amp;'Category 31'!A:A,0)),INDEX('Category 31'!G:G,MATCH(C88&amp;E88&amp;D88,'Category 31'!B:B&amp;'Category 31'!C:C&amp;'Category 31'!A:A,0)))</f>
        <v>0</v>
      </c>
      <c r="N88" s="16">
        <f>M88/VLOOKUP($D88,CPI!$P$16:$R$22,3,FALSE)</f>
        <v>0</v>
      </c>
      <c r="O88">
        <f>VLOOKUP(E37,MBasketball!C:N,11,FALSE)</f>
        <v>228040</v>
      </c>
    </row>
    <row r="89" spans="1:15" ht="16" thickBot="1" x14ac:dyDescent="0.25">
      <c r="A89" s="15">
        <v>2</v>
      </c>
      <c r="B89">
        <f t="shared" si="1"/>
        <v>0</v>
      </c>
      <c r="C89">
        <f>IF(ISBLANK(H89),"",VLOOKUP(H89,Code!B:C,2,FALSE))</f>
        <v>8</v>
      </c>
      <c r="D89">
        <v>2022</v>
      </c>
      <c r="E89">
        <v>104179</v>
      </c>
      <c r="F89" t="s">
        <v>45</v>
      </c>
      <c r="G89" t="s">
        <v>289</v>
      </c>
      <c r="H89" t="s">
        <v>2</v>
      </c>
      <c r="I89" cm="1">
        <f t="array" ref="I89">IF(B89=0,INDEX('Category 14'!F:F,MATCH(C89&amp;E89&amp;D89,'Category 14'!B:B&amp;'Category 14'!C:C&amp;'Category 14'!A:A,0)),INDEX('Category 14'!G:G,MATCH(C89&amp;E89&amp;D89,'Category 14'!B:B&amp;'Category 14'!C:C&amp;'Category 14'!A:A,0)))</f>
        <v>497067</v>
      </c>
      <c r="J89">
        <f>I89/VLOOKUP($D89,CPI!$P$16:$R$22,3,FALSE)</f>
        <v>528193.50209555903</v>
      </c>
      <c r="K89" cm="1">
        <f t="array" ref="K89">IF(B89=0,INDEX('Category 15'!F:F,MATCH(C89&amp;E89&amp;D89,'Category 15'!B:B&amp;'Category 15'!C:C&amp;'Category 15'!A:A,0)),INDEX('Category 15'!G:G,MATCH(C89&amp;E89&amp;D89,'Category 15'!B:B&amp;'Category 31'!C:C&amp;'Category 15'!A:A,0)))</f>
        <v>4756130</v>
      </c>
      <c r="L89">
        <f>K89/VLOOKUP($D89,CPI!$P$16:$R$22,3,FALSE)</f>
        <v>5053960.4542682394</v>
      </c>
      <c r="M89" s="16" cm="1">
        <f t="array" ref="M89">IF(B89=0,INDEX('Category 31'!F:F,MATCH(C89&amp;E89&amp;D89,'Category 31'!B:B&amp;'Category 31'!C:C&amp;'Category 31'!A:A,0)),INDEX('Category 31'!G:G,MATCH(C89&amp;E89&amp;D89,'Category 31'!B:B&amp;'Category 31'!C:C&amp;'Category 31'!A:A,0)))</f>
        <v>0</v>
      </c>
      <c r="N89" s="16">
        <f>M89/VLOOKUP($D89,CPI!$P$16:$R$22,3,FALSE)</f>
        <v>0</v>
      </c>
      <c r="O89">
        <f>VLOOKUP(E38,MFootball!C:S,11,FALSE)</f>
        <v>209401</v>
      </c>
    </row>
    <row r="90" spans="1:15" ht="16" thickBot="1" x14ac:dyDescent="0.25">
      <c r="A90" s="15">
        <v>2</v>
      </c>
      <c r="B90">
        <f t="shared" si="1"/>
        <v>0</v>
      </c>
      <c r="C90">
        <f>IF(ISBLANK(H90),"",VLOOKUP(H90,Code!B:C,2,FALSE))</f>
        <v>9</v>
      </c>
      <c r="D90">
        <v>2022</v>
      </c>
      <c r="E90">
        <v>104179</v>
      </c>
      <c r="F90" t="s">
        <v>45</v>
      </c>
      <c r="G90" t="s">
        <v>289</v>
      </c>
      <c r="H90" t="s">
        <v>3</v>
      </c>
      <c r="I90" cm="1">
        <f t="array" ref="I90">IF(B90=0,INDEX('Category 14'!F:F,MATCH(C90&amp;E90&amp;D90,'Category 14'!B:B&amp;'Category 14'!C:C&amp;'Category 14'!A:A,0)),INDEX('Category 14'!G:G,MATCH(C90&amp;E90&amp;D90,'Category 14'!B:B&amp;'Category 14'!C:C&amp;'Category 14'!A:A,0)))</f>
        <v>0</v>
      </c>
      <c r="J90">
        <f>I90/VLOOKUP($D90,CPI!$P$16:$R$22,3,FALSE)</f>
        <v>0</v>
      </c>
      <c r="K90" cm="1">
        <f t="array" ref="K90">IF(B90=0,INDEX('Category 15'!F:F,MATCH(C90&amp;E90&amp;D90,'Category 15'!B:B&amp;'Category 15'!C:C&amp;'Category 15'!A:A,0)),INDEX('Category 15'!G:G,MATCH(C90&amp;E90&amp;D90,'Category 15'!B:B&amp;'Category 31'!C:C&amp;'Category 15'!A:A,0)))</f>
        <v>0</v>
      </c>
      <c r="L90">
        <f>K90/VLOOKUP($D90,CPI!$P$16:$R$22,3,FALSE)</f>
        <v>0</v>
      </c>
      <c r="M90" s="16" cm="1">
        <f t="array" ref="M90">IF(B90=0,INDEX('Category 31'!F:F,MATCH(C90&amp;E90&amp;D90,'Category 31'!B:B&amp;'Category 31'!C:C&amp;'Category 31'!A:A,0)),INDEX('Category 31'!G:G,MATCH(C90&amp;E90&amp;D90,'Category 31'!B:B&amp;'Category 31'!C:C&amp;'Category 31'!A:A,0)))</f>
        <v>0</v>
      </c>
      <c r="N90" s="16">
        <f>M90/VLOOKUP($D90,CPI!$P$16:$R$22,3,FALSE)</f>
        <v>0</v>
      </c>
      <c r="O90">
        <v>0</v>
      </c>
    </row>
    <row r="91" spans="1:15" ht="16" thickBot="1" x14ac:dyDescent="0.25">
      <c r="A91" s="15">
        <v>2</v>
      </c>
      <c r="B91">
        <f t="shared" si="1"/>
        <v>0</v>
      </c>
      <c r="C91">
        <f>IF(ISBLANK(H91),"",VLOOKUP(H91,Code!B:C,2,FALSE))</f>
        <v>19</v>
      </c>
      <c r="D91">
        <v>2022</v>
      </c>
      <c r="E91">
        <v>104179</v>
      </c>
      <c r="F91" t="s">
        <v>45</v>
      </c>
      <c r="G91" t="s">
        <v>289</v>
      </c>
      <c r="H91" t="s">
        <v>7</v>
      </c>
      <c r="I91" cm="1">
        <f t="array" ref="I91">IF(B91=0,INDEX('Category 14'!F:F,MATCH(C91&amp;E91&amp;D91,'Category 14'!B:B&amp;'Category 14'!C:C&amp;'Category 14'!A:A,0)),INDEX('Category 14'!G:G,MATCH(C91&amp;E91&amp;D91,'Category 14'!B:B&amp;'Category 14'!C:C&amp;'Category 14'!A:A,0)))</f>
        <v>0</v>
      </c>
      <c r="J91">
        <f>I91/VLOOKUP($D91,CPI!$P$16:$R$22,3,FALSE)</f>
        <v>0</v>
      </c>
      <c r="K91" cm="1">
        <f t="array" ref="K91">IF(B91=0,INDEX('Category 15'!F:F,MATCH(C91&amp;E91&amp;D91,'Category 15'!B:B&amp;'Category 15'!C:C&amp;'Category 15'!A:A,0)),INDEX('Category 15'!G:G,MATCH(C91&amp;E91&amp;D91,'Category 15'!B:B&amp;'Category 31'!C:C&amp;'Category 15'!A:A,0)))</f>
        <v>0</v>
      </c>
      <c r="L91">
        <f>K91/VLOOKUP($D91,CPI!$P$16:$R$22,3,FALSE)</f>
        <v>0</v>
      </c>
      <c r="M91" s="16" cm="1">
        <f t="array" ref="M91">IF(B91=0,INDEX('Category 31'!F:F,MATCH(C91&amp;E91&amp;D91,'Category 31'!B:B&amp;'Category 31'!C:C&amp;'Category 31'!A:A,0)),INDEX('Category 31'!G:G,MATCH(C91&amp;E91&amp;D91,'Category 31'!B:B&amp;'Category 31'!C:C&amp;'Category 31'!A:A,0)))</f>
        <v>0</v>
      </c>
      <c r="N91" s="16">
        <f>M91/VLOOKUP($D91,CPI!$P$16:$R$22,3,FALSE)</f>
        <v>0</v>
      </c>
      <c r="O91">
        <v>0</v>
      </c>
    </row>
    <row r="92" spans="1:15" ht="16" thickBot="1" x14ac:dyDescent="0.25">
      <c r="A92" s="15">
        <v>2</v>
      </c>
      <c r="B92">
        <f t="shared" si="1"/>
        <v>0</v>
      </c>
      <c r="C92">
        <f>IF(ISBLANK(H92),"",VLOOKUP(H92,Code!B:C,2,FALSE))</f>
        <v>20</v>
      </c>
      <c r="D92">
        <v>2022</v>
      </c>
      <c r="E92">
        <v>104179</v>
      </c>
      <c r="F92" t="s">
        <v>45</v>
      </c>
      <c r="G92" t="s">
        <v>289</v>
      </c>
      <c r="H92" t="s">
        <v>8</v>
      </c>
      <c r="I92" cm="1">
        <f t="array" ref="I92">IF(B92=0,INDEX('Category 14'!F:F,MATCH(C92&amp;E92&amp;D92,'Category 14'!B:B&amp;'Category 14'!C:C&amp;'Category 14'!A:A,0)),INDEX('Category 14'!G:G,MATCH(C92&amp;E92&amp;D92,'Category 14'!B:B&amp;'Category 14'!C:C&amp;'Category 14'!A:A,0)))</f>
        <v>1155</v>
      </c>
      <c r="J92">
        <f>I92/VLOOKUP($D92,CPI!$P$16:$R$22,3,FALSE)</f>
        <v>1227.3264870135629</v>
      </c>
      <c r="K92" cm="1">
        <f t="array" ref="K92">IF(B92=0,INDEX('Category 15'!F:F,MATCH(C92&amp;E92&amp;D92,'Category 15'!B:B&amp;'Category 15'!C:C&amp;'Category 15'!A:A,0)),INDEX('Category 15'!G:G,MATCH(C92&amp;E92&amp;D92,'Category 15'!B:B&amp;'Category 31'!C:C&amp;'Category 15'!A:A,0)))</f>
        <v>0</v>
      </c>
      <c r="L92">
        <f>K92/VLOOKUP($D92,CPI!$P$16:$R$22,3,FALSE)</f>
        <v>0</v>
      </c>
      <c r="M92" s="16" cm="1">
        <f t="array" ref="M92">IF(B92=0,INDEX('Category 31'!F:F,MATCH(C92&amp;E92&amp;D92,'Category 31'!B:B&amp;'Category 31'!C:C&amp;'Category 31'!A:A,0)),INDEX('Category 31'!G:G,MATCH(C92&amp;E92&amp;D92,'Category 31'!B:B&amp;'Category 31'!C:C&amp;'Category 31'!A:A,0)))</f>
        <v>0</v>
      </c>
      <c r="N92" s="16">
        <f>M92/VLOOKUP($D92,CPI!$P$16:$R$22,3,FALSE)</f>
        <v>0</v>
      </c>
      <c r="O92">
        <v>0</v>
      </c>
    </row>
    <row r="93" spans="1:15" ht="16" thickBot="1" x14ac:dyDescent="0.25">
      <c r="A93" s="15">
        <v>2</v>
      </c>
      <c r="B93">
        <f t="shared" si="1"/>
        <v>0</v>
      </c>
      <c r="C93">
        <f>IF(ISBLANK(H93),"",VLOOKUP(H93,Code!B:C,2,FALSE))</f>
        <v>21</v>
      </c>
      <c r="D93">
        <v>2022</v>
      </c>
      <c r="E93">
        <v>104179</v>
      </c>
      <c r="F93" t="s">
        <v>45</v>
      </c>
      <c r="G93" t="s">
        <v>289</v>
      </c>
      <c r="H93" t="s">
        <v>36</v>
      </c>
      <c r="I93" cm="1">
        <f t="array" ref="I93">IF(B93=0,INDEX('Category 14'!F:F,MATCH(C93&amp;E93&amp;D93,'Category 14'!B:B&amp;'Category 14'!C:C&amp;'Category 14'!A:A,0)),INDEX('Category 14'!G:G,MATCH(C93&amp;E93&amp;D93,'Category 14'!B:B&amp;'Category 14'!C:C&amp;'Category 14'!A:A,0)))</f>
        <v>0</v>
      </c>
      <c r="J93">
        <f>I93/VLOOKUP($D93,CPI!$P$16:$R$22,3,FALSE)</f>
        <v>0</v>
      </c>
      <c r="K93" cm="1">
        <f t="array" ref="K93">IF(B93=0,INDEX('Category 15'!F:F,MATCH(C93&amp;E93&amp;D93,'Category 15'!B:B&amp;'Category 15'!C:C&amp;'Category 15'!A:A,0)),INDEX('Category 15'!G:G,MATCH(C93&amp;E93&amp;D93,'Category 15'!B:B&amp;'Category 31'!C:C&amp;'Category 15'!A:A,0)))</f>
        <v>0</v>
      </c>
      <c r="L93">
        <f>K93/VLOOKUP($D93,CPI!$P$16:$R$22,3,FALSE)</f>
        <v>0</v>
      </c>
      <c r="M93" s="16" cm="1">
        <f t="array" ref="M93">IF(B93=0,INDEX('Category 31'!F:F,MATCH(C93&amp;E93&amp;D93,'Category 31'!B:B&amp;'Category 31'!C:C&amp;'Category 31'!A:A,0)),INDEX('Category 31'!G:G,MATCH(C93&amp;E93&amp;D93,'Category 31'!B:B&amp;'Category 31'!C:C&amp;'Category 31'!A:A,0)))</f>
        <v>0</v>
      </c>
      <c r="N93" s="16">
        <f>M93/VLOOKUP($D93,CPI!$P$16:$R$22,3,FALSE)</f>
        <v>0</v>
      </c>
      <c r="O93">
        <v>0</v>
      </c>
    </row>
    <row r="94" spans="1:15" ht="16" thickBot="1" x14ac:dyDescent="0.25">
      <c r="A94" s="15">
        <v>2</v>
      </c>
      <c r="B94">
        <f t="shared" si="1"/>
        <v>1</v>
      </c>
      <c r="C94">
        <f>IF(ISBLANK(H94),"",VLOOKUP(H94,Code!B:C,2,FALSE))</f>
        <v>2</v>
      </c>
      <c r="D94">
        <v>2022</v>
      </c>
      <c r="E94">
        <v>104179</v>
      </c>
      <c r="F94" t="s">
        <v>45</v>
      </c>
      <c r="G94" t="s">
        <v>290</v>
      </c>
      <c r="H94" t="s">
        <v>1</v>
      </c>
      <c r="I94" cm="1">
        <f t="array" ref="I94">IF(B94=0,INDEX('Category 14'!F:F,MATCH(C94&amp;E94&amp;D94,'Category 14'!B:B&amp;'Category 14'!C:C&amp;'Category 14'!A:A,0)),INDEX('Category 14'!G:G,MATCH(C94&amp;E94&amp;D94,'Category 14'!B:B&amp;'Category 14'!C:C&amp;'Category 14'!A:A,0)))</f>
        <v>40615</v>
      </c>
      <c r="J94">
        <f>I94/VLOOKUP($D94,CPI!$P$16:$R$22,3,FALSE)</f>
        <v>43158.324909139272</v>
      </c>
      <c r="K94" cm="1">
        <f t="array" ref="K94">IF(B94=0,INDEX('Category 15'!F:F,MATCH(C94&amp;E94&amp;D94,'Category 15'!B:B&amp;'Category 15'!C:C&amp;'Category 15'!A:A,0)),INDEX('Category 15'!G:G,MATCH(C94&amp;E94&amp;D94,'Category 15'!B:B&amp;'Category 31'!C:C&amp;'Category 15'!A:A,0)))</f>
        <v>0</v>
      </c>
      <c r="L94">
        <f>K94/VLOOKUP($D94,CPI!$P$16:$R$22,3,FALSE)</f>
        <v>0</v>
      </c>
      <c r="M94" s="16" cm="1">
        <f t="array" ref="M94">IF(B94=0,INDEX('Category 31'!F:F,MATCH(C94&amp;E94&amp;D94,'Category 31'!B:B&amp;'Category 31'!C:C&amp;'Category 31'!A:A,0)),INDEX('Category 31'!G:G,MATCH(C94&amp;E94&amp;D94,'Category 31'!B:B&amp;'Category 31'!C:C&amp;'Category 31'!A:A,0)))</f>
        <v>0</v>
      </c>
      <c r="N94" s="16">
        <f>M94/VLOOKUP($D94,CPI!$P$16:$R$22,3,FALSE)</f>
        <v>0</v>
      </c>
      <c r="O94">
        <f>VLOOKUP(E43,WBasketball!C:S,11,FALSE)</f>
        <v>117330</v>
      </c>
    </row>
    <row r="95" spans="1:15" ht="16" thickBot="1" x14ac:dyDescent="0.25">
      <c r="A95" s="15">
        <v>2</v>
      </c>
      <c r="B95">
        <f t="shared" si="1"/>
        <v>1</v>
      </c>
      <c r="C95">
        <f>IF(ISBLANK(H95),"",VLOOKUP(H95,Code!B:C,2,FALSE))</f>
        <v>3</v>
      </c>
      <c r="D95">
        <v>2022</v>
      </c>
      <c r="E95">
        <v>104179</v>
      </c>
      <c r="F95" t="s">
        <v>45</v>
      </c>
      <c r="G95" t="s">
        <v>290</v>
      </c>
      <c r="H95" t="s">
        <v>21</v>
      </c>
      <c r="I95" cm="1">
        <f t="array" ref="I95">IF(B95=0,INDEX('Category 14'!F:F,MATCH(C95&amp;E95&amp;D95,'Category 14'!B:B&amp;'Category 14'!C:C&amp;'Category 14'!A:A,0)),INDEX('Category 14'!G:G,MATCH(C95&amp;E95&amp;D95,'Category 14'!B:B&amp;'Category 14'!C:C&amp;'Category 14'!A:A,0)))</f>
        <v>0</v>
      </c>
      <c r="J95">
        <f>I95/VLOOKUP($D95,CPI!$P$16:$R$22,3,FALSE)</f>
        <v>0</v>
      </c>
      <c r="K95" cm="1">
        <f t="array" ref="K95">IF(B95=0,INDEX('Category 15'!F:F,MATCH(C95&amp;E95&amp;D95,'Category 15'!B:B&amp;'Category 15'!C:C&amp;'Category 15'!A:A,0)),INDEX('Category 15'!G:G,MATCH(C95&amp;E95&amp;D95,'Category 15'!B:B&amp;'Category 31'!C:C&amp;'Category 15'!A:A,0)))</f>
        <v>0</v>
      </c>
      <c r="L95">
        <f>K95/VLOOKUP($D95,CPI!$P$16:$R$22,3,FALSE)</f>
        <v>0</v>
      </c>
      <c r="M95" s="16" cm="1">
        <f t="array" ref="M95">IF(B95=0,INDEX('Category 31'!F:F,MATCH(C95&amp;E95&amp;D95,'Category 31'!B:B&amp;'Category 31'!C:C&amp;'Category 31'!A:A,0)),INDEX('Category 31'!G:G,MATCH(C95&amp;E95&amp;D95,'Category 31'!B:B&amp;'Category 31'!C:C&amp;'Category 31'!A:A,0)))</f>
        <v>0</v>
      </c>
      <c r="N95" s="16">
        <f>M95/VLOOKUP($D95,CPI!$P$16:$R$22,3,FALSE)</f>
        <v>0</v>
      </c>
      <c r="O95">
        <v>0</v>
      </c>
    </row>
    <row r="96" spans="1:15" ht="16" thickBot="1" x14ac:dyDescent="0.25">
      <c r="A96" s="15">
        <v>2</v>
      </c>
      <c r="B96">
        <f t="shared" si="1"/>
        <v>1</v>
      </c>
      <c r="C96">
        <f>IF(ISBLANK(H96),"",VLOOKUP(H96,Code!B:C,2,FALSE))</f>
        <v>9</v>
      </c>
      <c r="D96">
        <v>2022</v>
      </c>
      <c r="E96">
        <v>104179</v>
      </c>
      <c r="F96" t="s">
        <v>45</v>
      </c>
      <c r="G96" t="s">
        <v>290</v>
      </c>
      <c r="H96" t="s">
        <v>3</v>
      </c>
      <c r="I96" cm="1">
        <f t="array" ref="I96">IF(B96=0,INDEX('Category 14'!F:F,MATCH(C96&amp;E96&amp;D96,'Category 14'!B:B&amp;'Category 14'!C:C&amp;'Category 14'!A:A,0)),INDEX('Category 14'!G:G,MATCH(C96&amp;E96&amp;D96,'Category 14'!B:B&amp;'Category 14'!C:C&amp;'Category 14'!A:A,0)))</f>
        <v>0</v>
      </c>
      <c r="J96">
        <f>I96/VLOOKUP($D96,CPI!$P$16:$R$22,3,FALSE)</f>
        <v>0</v>
      </c>
      <c r="K96" cm="1">
        <f t="array" ref="K96">IF(B96=0,INDEX('Category 15'!F:F,MATCH(C96&amp;E96&amp;D96,'Category 15'!B:B&amp;'Category 15'!C:C&amp;'Category 15'!A:A,0)),INDEX('Category 15'!G:G,MATCH(C96&amp;E96&amp;D96,'Category 15'!B:B&amp;'Category 31'!C:C&amp;'Category 15'!A:A,0)))</f>
        <v>0</v>
      </c>
      <c r="L96">
        <f>K96/VLOOKUP($D96,CPI!$P$16:$R$22,3,FALSE)</f>
        <v>0</v>
      </c>
      <c r="M96" s="16" cm="1">
        <f t="array" ref="M96">IF(B96=0,INDEX('Category 31'!F:F,MATCH(C96&amp;E96&amp;D96,'Category 31'!B:B&amp;'Category 31'!C:C&amp;'Category 31'!A:A,0)),INDEX('Category 31'!G:G,MATCH(C96&amp;E96&amp;D96,'Category 31'!B:B&amp;'Category 31'!C:C&amp;'Category 31'!A:A,0)))</f>
        <v>0</v>
      </c>
      <c r="N96" s="16">
        <f>M96/VLOOKUP($D96,CPI!$P$16:$R$22,3,FALSE)</f>
        <v>0</v>
      </c>
      <c r="O96">
        <v>0</v>
      </c>
    </row>
    <row r="97" spans="1:15" ht="16" thickBot="1" x14ac:dyDescent="0.25">
      <c r="A97" s="15">
        <v>2</v>
      </c>
      <c r="B97">
        <f t="shared" si="1"/>
        <v>1</v>
      </c>
      <c r="C97">
        <f>IF(ISBLANK(H97),"",VLOOKUP(H97,Code!B:C,2,FALSE))</f>
        <v>10</v>
      </c>
      <c r="D97">
        <v>2022</v>
      </c>
      <c r="E97">
        <v>104179</v>
      </c>
      <c r="F97" t="s">
        <v>45</v>
      </c>
      <c r="G97" t="s">
        <v>290</v>
      </c>
      <c r="H97" t="s">
        <v>4</v>
      </c>
      <c r="I97" cm="1">
        <f t="array" ref="I97">IF(B97=0,INDEX('Category 14'!F:F,MATCH(C97&amp;E97&amp;D97,'Category 14'!B:B&amp;'Category 14'!C:C&amp;'Category 14'!A:A,0)),INDEX('Category 14'!G:G,MATCH(C97&amp;E97&amp;D97,'Category 14'!B:B&amp;'Category 14'!C:C&amp;'Category 14'!A:A,0)))</f>
        <v>0</v>
      </c>
      <c r="J97">
        <f>I97/VLOOKUP($D97,CPI!$P$16:$R$22,3,FALSE)</f>
        <v>0</v>
      </c>
      <c r="K97" cm="1">
        <f t="array" ref="K97">IF(B97=0,INDEX('Category 15'!F:F,MATCH(C97&amp;E97&amp;D97,'Category 15'!B:B&amp;'Category 15'!C:C&amp;'Category 15'!A:A,0)),INDEX('Category 15'!G:G,MATCH(C97&amp;E97&amp;D97,'Category 15'!B:B&amp;'Category 31'!C:C&amp;'Category 15'!A:A,0)))</f>
        <v>0</v>
      </c>
      <c r="L97">
        <f>K97/VLOOKUP($D97,CPI!$P$16:$R$22,3,FALSE)</f>
        <v>0</v>
      </c>
      <c r="M97" s="16" cm="1">
        <f t="array" ref="M97">IF(B97=0,INDEX('Category 31'!F:F,MATCH(C97&amp;E97&amp;D97,'Category 31'!B:B&amp;'Category 31'!C:C&amp;'Category 31'!A:A,0)),INDEX('Category 31'!G:G,MATCH(C97&amp;E97&amp;D97,'Category 31'!B:B&amp;'Category 31'!C:C&amp;'Category 31'!A:A,0)))</f>
        <v>0</v>
      </c>
      <c r="N97" s="16">
        <f>M97/VLOOKUP($D97,CPI!$P$16:$R$22,3,FALSE)</f>
        <v>0</v>
      </c>
      <c r="O97">
        <v>0</v>
      </c>
    </row>
    <row r="98" spans="1:15" ht="16" thickBot="1" x14ac:dyDescent="0.25">
      <c r="A98" s="15">
        <v>2</v>
      </c>
      <c r="B98">
        <f t="shared" si="1"/>
        <v>1</v>
      </c>
      <c r="C98">
        <f>IF(ISBLANK(H98),"",VLOOKUP(H98,Code!B:C,2,FALSE))</f>
        <v>17</v>
      </c>
      <c r="D98">
        <v>2022</v>
      </c>
      <c r="E98">
        <v>104179</v>
      </c>
      <c r="F98" t="s">
        <v>45</v>
      </c>
      <c r="G98" t="s">
        <v>290</v>
      </c>
      <c r="H98" t="s">
        <v>5</v>
      </c>
      <c r="I98" cm="1">
        <f t="array" ref="I98">IF(B98=0,INDEX('Category 14'!F:F,MATCH(C98&amp;E98&amp;D98,'Category 14'!B:B&amp;'Category 14'!C:C&amp;'Category 14'!A:A,0)),INDEX('Category 14'!G:G,MATCH(C98&amp;E98&amp;D98,'Category 14'!B:B&amp;'Category 14'!C:C&amp;'Category 14'!A:A,0)))</f>
        <v>0</v>
      </c>
      <c r="J98">
        <f>I98/VLOOKUP($D98,CPI!$P$16:$R$22,3,FALSE)</f>
        <v>0</v>
      </c>
      <c r="K98" cm="1">
        <f t="array" ref="K98">IF(B98=0,INDEX('Category 15'!F:F,MATCH(C98&amp;E98&amp;D98,'Category 15'!B:B&amp;'Category 15'!C:C&amp;'Category 15'!A:A,0)),INDEX('Category 15'!G:G,MATCH(C98&amp;E98&amp;D98,'Category 15'!B:B&amp;'Category 31'!C:C&amp;'Category 15'!A:A,0)))</f>
        <v>0</v>
      </c>
      <c r="L98">
        <f>K98/VLOOKUP($D98,CPI!$P$16:$R$22,3,FALSE)</f>
        <v>0</v>
      </c>
      <c r="M98" s="16" cm="1">
        <f t="array" ref="M98">IF(B98=0,INDEX('Category 31'!F:F,MATCH(C98&amp;E98&amp;D98,'Category 31'!B:B&amp;'Category 31'!C:C&amp;'Category 31'!A:A,0)),INDEX('Category 31'!G:G,MATCH(C98&amp;E98&amp;D98,'Category 31'!B:B&amp;'Category 31'!C:C&amp;'Category 31'!A:A,0)))</f>
        <v>0</v>
      </c>
      <c r="N98" s="16">
        <f>M98/VLOOKUP($D98,CPI!$P$16:$R$22,3,FALSE)</f>
        <v>0</v>
      </c>
      <c r="O98">
        <f>VLOOKUP(E47,WSoccer!C:S,11,FALSE)</f>
        <v>5547</v>
      </c>
    </row>
    <row r="99" spans="1:15" ht="16" thickBot="1" x14ac:dyDescent="0.25">
      <c r="A99" s="15">
        <v>2</v>
      </c>
      <c r="B99">
        <f t="shared" si="1"/>
        <v>1</v>
      </c>
      <c r="C99">
        <f>IF(ISBLANK(H99),"",VLOOKUP(H99,Code!B:C,2,FALSE))</f>
        <v>18</v>
      </c>
      <c r="D99">
        <v>2022</v>
      </c>
      <c r="E99">
        <v>104179</v>
      </c>
      <c r="F99" t="s">
        <v>45</v>
      </c>
      <c r="G99" t="s">
        <v>290</v>
      </c>
      <c r="H99" t="s">
        <v>6</v>
      </c>
      <c r="I99" cm="1">
        <f t="array" ref="I99">IF(B99=0,INDEX('Category 14'!F:F,MATCH(C99&amp;E99&amp;D99,'Category 14'!B:B&amp;'Category 14'!C:C&amp;'Category 14'!A:A,0)),INDEX('Category 14'!G:G,MATCH(C99&amp;E99&amp;D99,'Category 14'!B:B&amp;'Category 14'!C:C&amp;'Category 14'!A:A,0)))</f>
        <v>0</v>
      </c>
      <c r="J99">
        <f>I99/VLOOKUP($D99,CPI!$P$16:$R$22,3,FALSE)</f>
        <v>0</v>
      </c>
      <c r="K99" cm="1">
        <f t="array" ref="K99">IF(B99=0,INDEX('Category 15'!F:F,MATCH(C99&amp;E99&amp;D99,'Category 15'!B:B&amp;'Category 15'!C:C&amp;'Category 15'!A:A,0)),INDEX('Category 15'!G:G,MATCH(C99&amp;E99&amp;D99,'Category 15'!B:B&amp;'Category 31'!C:C&amp;'Category 15'!A:A,0)))</f>
        <v>0</v>
      </c>
      <c r="L99">
        <f>K99/VLOOKUP($D99,CPI!$P$16:$R$22,3,FALSE)</f>
        <v>0</v>
      </c>
      <c r="M99" s="16" cm="1">
        <f t="array" ref="M99">IF(B99=0,INDEX('Category 31'!F:F,MATCH(C99&amp;E99&amp;D99,'Category 31'!B:B&amp;'Category 31'!C:C&amp;'Category 31'!A:A,0)),INDEX('Category 31'!G:G,MATCH(C99&amp;E99&amp;D99,'Category 31'!B:B&amp;'Category 31'!C:C&amp;'Category 31'!A:A,0)))</f>
        <v>0</v>
      </c>
      <c r="N99" s="16">
        <f>M99/VLOOKUP($D99,CPI!$P$16:$R$22,3,FALSE)</f>
        <v>0</v>
      </c>
      <c r="O99">
        <f>VLOOKUP(E48,WSoftball!C:S,11,FALSE)</f>
        <v>74028</v>
      </c>
    </row>
    <row r="100" spans="1:15" ht="16" thickBot="1" x14ac:dyDescent="0.25">
      <c r="A100" s="15">
        <v>2</v>
      </c>
      <c r="B100">
        <f t="shared" si="1"/>
        <v>1</v>
      </c>
      <c r="C100">
        <f>IF(ISBLANK(H100),"",VLOOKUP(H100,Code!B:C,2,FALSE))</f>
        <v>19</v>
      </c>
      <c r="D100">
        <v>2022</v>
      </c>
      <c r="E100">
        <v>104179</v>
      </c>
      <c r="F100" t="s">
        <v>45</v>
      </c>
      <c r="G100" t="s">
        <v>290</v>
      </c>
      <c r="H100" t="s">
        <v>7</v>
      </c>
      <c r="I100" cm="1">
        <f t="array" ref="I100">IF(B100=0,INDEX('Category 14'!F:F,MATCH(C100&amp;E100&amp;D100,'Category 14'!B:B&amp;'Category 14'!C:C&amp;'Category 14'!A:A,0)),INDEX('Category 14'!G:G,MATCH(C100&amp;E100&amp;D100,'Category 14'!B:B&amp;'Category 14'!C:C&amp;'Category 14'!A:A,0)))</f>
        <v>0</v>
      </c>
      <c r="J100">
        <f>I100/VLOOKUP($D100,CPI!$P$16:$R$22,3,FALSE)</f>
        <v>0</v>
      </c>
      <c r="K100" cm="1">
        <f t="array" ref="K100">IF(B100=0,INDEX('Category 15'!F:F,MATCH(C100&amp;E100&amp;D100,'Category 15'!B:B&amp;'Category 15'!C:C&amp;'Category 15'!A:A,0)),INDEX('Category 15'!G:G,MATCH(C100&amp;E100&amp;D100,'Category 15'!B:B&amp;'Category 31'!C:C&amp;'Category 15'!A:A,0)))</f>
        <v>0</v>
      </c>
      <c r="L100">
        <f>K100/VLOOKUP($D100,CPI!$P$16:$R$22,3,FALSE)</f>
        <v>0</v>
      </c>
      <c r="M100" s="16" cm="1">
        <f t="array" ref="M100">IF(B100=0,INDEX('Category 31'!F:F,MATCH(C100&amp;E100&amp;D100,'Category 31'!B:B&amp;'Category 31'!C:C&amp;'Category 31'!A:A,0)),INDEX('Category 31'!G:G,MATCH(C100&amp;E100&amp;D100,'Category 31'!B:B&amp;'Category 31'!C:C&amp;'Category 31'!A:A,0)))</f>
        <v>0</v>
      </c>
      <c r="N100" s="16">
        <f>M100/VLOOKUP($D100,CPI!$P$16:$R$22,3,FALSE)</f>
        <v>0</v>
      </c>
      <c r="O100">
        <v>0</v>
      </c>
    </row>
    <row r="101" spans="1:15" ht="16" thickBot="1" x14ac:dyDescent="0.25">
      <c r="A101" s="15">
        <v>2</v>
      </c>
      <c r="B101">
        <f t="shared" si="1"/>
        <v>1</v>
      </c>
      <c r="C101">
        <f>IF(ISBLANK(H101),"",VLOOKUP(H101,Code!B:C,2,FALSE))</f>
        <v>20</v>
      </c>
      <c r="D101">
        <v>2022</v>
      </c>
      <c r="E101">
        <v>104179</v>
      </c>
      <c r="F101" t="s">
        <v>45</v>
      </c>
      <c r="G101" t="s">
        <v>290</v>
      </c>
      <c r="H101" t="s">
        <v>8</v>
      </c>
      <c r="I101" cm="1">
        <f t="array" ref="I101">IF(B101=0,INDEX('Category 14'!F:F,MATCH(C101&amp;E101&amp;D101,'Category 14'!B:B&amp;'Category 14'!C:C&amp;'Category 14'!A:A,0)),INDEX('Category 14'!G:G,MATCH(C101&amp;E101&amp;D101,'Category 14'!B:B&amp;'Category 14'!C:C&amp;'Category 14'!A:A,0)))</f>
        <v>0</v>
      </c>
      <c r="J101">
        <f>I101/VLOOKUP($D101,CPI!$P$16:$R$22,3,FALSE)</f>
        <v>0</v>
      </c>
      <c r="K101" cm="1">
        <f t="array" ref="K101">IF(B101=0,INDEX('Category 15'!F:F,MATCH(C101&amp;E101&amp;D101,'Category 15'!B:B&amp;'Category 15'!C:C&amp;'Category 15'!A:A,0)),INDEX('Category 15'!G:G,MATCH(C101&amp;E101&amp;D101,'Category 15'!B:B&amp;'Category 31'!C:C&amp;'Category 15'!A:A,0)))</f>
        <v>0</v>
      </c>
      <c r="L101">
        <f>K101/VLOOKUP($D101,CPI!$P$16:$R$22,3,FALSE)</f>
        <v>0</v>
      </c>
      <c r="M101" s="16" cm="1">
        <f t="array" ref="M101">IF(B101=0,INDEX('Category 31'!F:F,MATCH(C101&amp;E101&amp;D101,'Category 31'!B:B&amp;'Category 31'!C:C&amp;'Category 31'!A:A,0)),INDEX('Category 31'!G:G,MATCH(C101&amp;E101&amp;D101,'Category 31'!B:B&amp;'Category 31'!C:C&amp;'Category 31'!A:A,0)))</f>
        <v>0</v>
      </c>
      <c r="N101" s="16">
        <f>M101/VLOOKUP($D101,CPI!$P$16:$R$22,3,FALSE)</f>
        <v>0</v>
      </c>
      <c r="O101">
        <v>0</v>
      </c>
    </row>
    <row r="102" spans="1:15" ht="16" thickBot="1" x14ac:dyDescent="0.25">
      <c r="A102" s="15">
        <v>2</v>
      </c>
      <c r="B102">
        <f t="shared" si="1"/>
        <v>1</v>
      </c>
      <c r="C102">
        <f>IF(ISBLANK(H102),"",VLOOKUP(H102,Code!B:C,2,FALSE))</f>
        <v>21</v>
      </c>
      <c r="D102">
        <v>2022</v>
      </c>
      <c r="E102">
        <v>104179</v>
      </c>
      <c r="F102" t="s">
        <v>45</v>
      </c>
      <c r="G102" t="s">
        <v>290</v>
      </c>
      <c r="H102" t="s">
        <v>36</v>
      </c>
      <c r="I102" cm="1">
        <f t="array" ref="I102">IF(B102=0,INDEX('Category 14'!F:F,MATCH(C102&amp;E102&amp;D102,'Category 14'!B:B&amp;'Category 14'!C:C&amp;'Category 14'!A:A,0)),INDEX('Category 14'!G:G,MATCH(C102&amp;E102&amp;D102,'Category 14'!B:B&amp;'Category 14'!C:C&amp;'Category 14'!A:A,0)))</f>
        <v>0</v>
      </c>
      <c r="J102">
        <f>I102/VLOOKUP($D102,CPI!$P$16:$R$22,3,FALSE)</f>
        <v>0</v>
      </c>
      <c r="K102" cm="1">
        <f t="array" ref="K102">IF(B102=0,INDEX('Category 15'!F:F,MATCH(C102&amp;E102&amp;D102,'Category 15'!B:B&amp;'Category 15'!C:C&amp;'Category 15'!A:A,0)),INDEX('Category 15'!G:G,MATCH(C102&amp;E102&amp;D102,'Category 15'!B:B&amp;'Category 31'!C:C&amp;'Category 15'!A:A,0)))</f>
        <v>0</v>
      </c>
      <c r="L102">
        <f>K102/VLOOKUP($D102,CPI!$P$16:$R$22,3,FALSE)</f>
        <v>0</v>
      </c>
      <c r="M102" s="16" cm="1">
        <f t="array" ref="M102">IF(B102=0,INDEX('Category 31'!F:F,MATCH(C102&amp;E102&amp;D102,'Category 31'!B:B&amp;'Category 31'!C:C&amp;'Category 31'!A:A,0)),INDEX('Category 31'!G:G,MATCH(C102&amp;E102&amp;D102,'Category 31'!B:B&amp;'Category 31'!C:C&amp;'Category 31'!A:A,0)))</f>
        <v>0</v>
      </c>
      <c r="N102" s="16">
        <f>M102/VLOOKUP($D102,CPI!$P$16:$R$22,3,FALSE)</f>
        <v>0</v>
      </c>
      <c r="O102">
        <v>0</v>
      </c>
    </row>
    <row r="103" spans="1:15" ht="16" thickBot="1" x14ac:dyDescent="0.25">
      <c r="A103" s="15">
        <v>2</v>
      </c>
      <c r="B103">
        <f t="shared" si="1"/>
        <v>1</v>
      </c>
      <c r="C103">
        <f>IF(ISBLANK(H103),"",VLOOKUP(H103,Code!B:C,2,FALSE))</f>
        <v>23</v>
      </c>
      <c r="D103">
        <v>2022</v>
      </c>
      <c r="E103">
        <v>104179</v>
      </c>
      <c r="F103" t="s">
        <v>45</v>
      </c>
      <c r="G103" t="s">
        <v>290</v>
      </c>
      <c r="H103" t="s">
        <v>10</v>
      </c>
      <c r="I103" cm="1">
        <f t="array" ref="I103">IF(B103=0,INDEX('Category 14'!F:F,MATCH(C103&amp;E103&amp;D103,'Category 14'!B:B&amp;'Category 14'!C:C&amp;'Category 14'!A:A,0)),INDEX('Category 14'!G:G,MATCH(C103&amp;E103&amp;D103,'Category 14'!B:B&amp;'Category 14'!C:C&amp;'Category 14'!A:A,0)))</f>
        <v>0</v>
      </c>
      <c r="J103">
        <f>I103/VLOOKUP($D103,CPI!$P$16:$R$22,3,FALSE)</f>
        <v>0</v>
      </c>
      <c r="K103" cm="1">
        <f t="array" ref="K103">IF(B103=0,INDEX('Category 15'!F:F,MATCH(C103&amp;E103&amp;D103,'Category 15'!B:B&amp;'Category 15'!C:C&amp;'Category 15'!A:A,0)),INDEX('Category 15'!G:G,MATCH(C103&amp;E103&amp;D103,'Category 15'!B:B&amp;'Category 31'!C:C&amp;'Category 15'!A:A,0)))</f>
        <v>0</v>
      </c>
      <c r="L103">
        <f>K103/VLOOKUP($D103,CPI!$P$16:$R$22,3,FALSE)</f>
        <v>0</v>
      </c>
      <c r="M103" s="16" cm="1">
        <f t="array" ref="M103">IF(B103=0,INDEX('Category 31'!F:F,MATCH(C103&amp;E103&amp;D103,'Category 31'!B:B&amp;'Category 31'!C:C&amp;'Category 31'!A:A,0)),INDEX('Category 31'!G:G,MATCH(C103&amp;E103&amp;D103,'Category 31'!B:B&amp;'Category 31'!C:C&amp;'Category 31'!A:A,0)))</f>
        <v>0</v>
      </c>
      <c r="N103" s="16">
        <f>M103/VLOOKUP($D103,CPI!$P$16:$R$22,3,FALSE)</f>
        <v>0</v>
      </c>
      <c r="O103">
        <f>VLOOKUP(E52,WVolleyball!C:S,11,FALSE)</f>
        <v>13688</v>
      </c>
    </row>
    <row r="104" spans="1:15" ht="16" thickBot="1" x14ac:dyDescent="0.25">
      <c r="A104" s="15">
        <v>2</v>
      </c>
      <c r="B104">
        <f t="shared" si="1"/>
        <v>0</v>
      </c>
      <c r="C104">
        <f>IF(ISBLANK(H104),"",VLOOKUP(H104,Code!B:C,2,FALSE))</f>
        <v>1</v>
      </c>
      <c r="D104">
        <v>2023</v>
      </c>
      <c r="E104">
        <v>104179</v>
      </c>
      <c r="F104" t="s">
        <v>45</v>
      </c>
      <c r="G104" t="s">
        <v>289</v>
      </c>
      <c r="H104" t="s">
        <v>0</v>
      </c>
      <c r="I104" cm="1">
        <f t="array" ref="I104">IF(B104=0,INDEX('Category 14'!F:F,MATCH(C104&amp;E104&amp;D104,'Category 14'!B:B&amp;'Category 14'!C:C&amp;'Category 14'!A:A,0)),INDEX('Category 14'!G:G,MATCH(C104&amp;E104&amp;D104,'Category 14'!B:B&amp;'Category 14'!C:C&amp;'Category 14'!A:A,0)))</f>
        <v>11162</v>
      </c>
      <c r="J104">
        <f>I104/VLOOKUP($D104,CPI!$P$16:$R$22,3,FALSE)</f>
        <v>11162</v>
      </c>
      <c r="K104" cm="1">
        <f t="array" ref="K104">IF(B104=0,INDEX('Category 15'!F:F,MATCH(C104&amp;E104&amp;D104,'Category 15'!B:B&amp;'Category 15'!C:C&amp;'Category 15'!A:A,0)),INDEX('Category 15'!G:G,MATCH(C104&amp;E104&amp;D104,'Category 15'!B:B&amp;'Category 31'!C:C&amp;'Category 15'!A:A,0)))</f>
        <v>0</v>
      </c>
      <c r="L104">
        <f>K104/VLOOKUP($D104,CPI!$P$16:$R$22,3,FALSE)</f>
        <v>0</v>
      </c>
      <c r="M104" s="16" cm="1">
        <f t="array" ref="M104">IF(B104=0,INDEX('Category 31'!F:F,MATCH(C104&amp;E104&amp;D104,'Category 31'!B:B&amp;'Category 31'!C:C&amp;'Category 31'!A:A,0)),INDEX('Category 31'!G:G,MATCH(C104&amp;E104&amp;D104,'Category 31'!B:B&amp;'Category 31'!C:C&amp;'Category 31'!A:A,0)))</f>
        <v>0</v>
      </c>
      <c r="N104" s="16">
        <f>M104/VLOOKUP($D104,CPI!$P$16:$R$22,3,FALSE)</f>
        <v>0</v>
      </c>
      <c r="O104">
        <v>94939</v>
      </c>
    </row>
    <row r="105" spans="1:15" ht="16" thickBot="1" x14ac:dyDescent="0.25">
      <c r="A105" s="15">
        <v>2</v>
      </c>
      <c r="B105">
        <f t="shared" si="1"/>
        <v>0</v>
      </c>
      <c r="C105">
        <f>IF(ISBLANK(H105),"",VLOOKUP(H105,Code!B:C,2,FALSE))</f>
        <v>2</v>
      </c>
      <c r="D105">
        <v>2023</v>
      </c>
      <c r="E105">
        <v>104179</v>
      </c>
      <c r="F105" t="s">
        <v>45</v>
      </c>
      <c r="G105" t="s">
        <v>289</v>
      </c>
      <c r="H105" t="s">
        <v>1</v>
      </c>
      <c r="I105" cm="1">
        <f t="array" ref="I105">IF(B105=0,INDEX('Category 14'!F:F,MATCH(C105&amp;E105&amp;D105,'Category 14'!B:B&amp;'Category 14'!C:C&amp;'Category 14'!A:A,0)),INDEX('Category 14'!G:G,MATCH(C105&amp;E105&amp;D105,'Category 14'!B:B&amp;'Category 14'!C:C&amp;'Category 14'!A:A,0)))</f>
        <v>86490</v>
      </c>
      <c r="J105">
        <f>I105/VLOOKUP($D105,CPI!$P$16:$R$22,3,FALSE)</f>
        <v>86490</v>
      </c>
      <c r="K105" cm="1">
        <f t="array" ref="K105">IF(B105=0,INDEX('Category 15'!F:F,MATCH(C105&amp;E105&amp;D105,'Category 15'!B:B&amp;'Category 15'!C:C&amp;'Category 15'!A:A,0)),INDEX('Category 15'!G:G,MATCH(C105&amp;E105&amp;D105,'Category 15'!B:B&amp;'Category 31'!C:C&amp;'Category 15'!A:A,0)))</f>
        <v>6234414</v>
      </c>
      <c r="L105">
        <f>K105/VLOOKUP($D105,CPI!$P$16:$R$22,3,FALSE)</f>
        <v>6234414</v>
      </c>
      <c r="M105" s="16" cm="1">
        <f t="array" ref="M105">IF(B105=0,INDEX('Category 31'!F:F,MATCH(C105&amp;E105&amp;D105,'Category 31'!B:B&amp;'Category 31'!C:C&amp;'Category 31'!A:A,0)),INDEX('Category 31'!G:G,MATCH(C105&amp;E105&amp;D105,'Category 31'!B:B&amp;'Category 31'!C:C&amp;'Category 31'!A:A,0)))</f>
        <v>0</v>
      </c>
      <c r="N105" s="16">
        <f>M105/VLOOKUP($D105,CPI!$P$16:$R$22,3,FALSE)</f>
        <v>0</v>
      </c>
      <c r="O105">
        <f>VLOOKUP(E37,MBasketball!C:P,12,FALSE)</f>
        <v>239947</v>
      </c>
    </row>
    <row r="106" spans="1:15" ht="16" thickBot="1" x14ac:dyDescent="0.25">
      <c r="A106" s="15">
        <v>2</v>
      </c>
      <c r="B106">
        <f t="shared" si="1"/>
        <v>0</v>
      </c>
      <c r="C106">
        <f>IF(ISBLANK(H106),"",VLOOKUP(H106,Code!B:C,2,FALSE))</f>
        <v>8</v>
      </c>
      <c r="D106">
        <v>2023</v>
      </c>
      <c r="E106">
        <v>104179</v>
      </c>
      <c r="F106" t="s">
        <v>45</v>
      </c>
      <c r="G106" t="s">
        <v>289</v>
      </c>
      <c r="H106" t="s">
        <v>2</v>
      </c>
      <c r="I106" cm="1">
        <f t="array" ref="I106">IF(B106=0,INDEX('Category 14'!F:F,MATCH(C106&amp;E106&amp;D106,'Category 14'!B:B&amp;'Category 14'!C:C&amp;'Category 14'!A:A,0)),INDEX('Category 14'!G:G,MATCH(C106&amp;E106&amp;D106,'Category 14'!B:B&amp;'Category 14'!C:C&amp;'Category 14'!A:A,0)))</f>
        <v>564856</v>
      </c>
      <c r="J106">
        <f>I106/VLOOKUP($D106,CPI!$P$16:$R$22,3,FALSE)</f>
        <v>564856</v>
      </c>
      <c r="K106" cm="1">
        <f t="array" ref="K106">IF(B106=0,INDEX('Category 15'!F:F,MATCH(C106&amp;E106&amp;D106,'Category 15'!B:B&amp;'Category 15'!C:C&amp;'Category 15'!A:A,0)),INDEX('Category 15'!G:G,MATCH(C106&amp;E106&amp;D106,'Category 15'!B:B&amp;'Category 31'!C:C&amp;'Category 15'!A:A,0)))</f>
        <v>6234414</v>
      </c>
      <c r="L106">
        <f>K106/VLOOKUP($D106,CPI!$P$16:$R$22,3,FALSE)</f>
        <v>6234414</v>
      </c>
      <c r="M106" s="16" cm="1">
        <f t="array" ref="M106">IF(B106=0,INDEX('Category 31'!F:F,MATCH(C106&amp;E106&amp;D106,'Category 31'!B:B&amp;'Category 31'!C:C&amp;'Category 31'!A:A,0)),INDEX('Category 31'!G:G,MATCH(C106&amp;E106&amp;D106,'Category 31'!B:B&amp;'Category 31'!C:C&amp;'Category 31'!A:A,0)))</f>
        <v>0</v>
      </c>
      <c r="N106" s="16">
        <f>M106/VLOOKUP($D106,CPI!$P$16:$R$22,3,FALSE)</f>
        <v>0</v>
      </c>
      <c r="O106">
        <f>VLOOKUP(E38,MFootball!C:S,12,FALSE)</f>
        <v>309465</v>
      </c>
    </row>
    <row r="107" spans="1:15" ht="16" thickBot="1" x14ac:dyDescent="0.25">
      <c r="A107" s="15">
        <v>2</v>
      </c>
      <c r="B107">
        <f t="shared" si="1"/>
        <v>0</v>
      </c>
      <c r="C107">
        <f>IF(ISBLANK(H107),"",VLOOKUP(H107,Code!B:C,2,FALSE))</f>
        <v>9</v>
      </c>
      <c r="D107">
        <v>2023</v>
      </c>
      <c r="E107">
        <v>104179</v>
      </c>
      <c r="F107" t="s">
        <v>45</v>
      </c>
      <c r="G107" t="s">
        <v>289</v>
      </c>
      <c r="H107" t="s">
        <v>3</v>
      </c>
      <c r="I107" cm="1">
        <f t="array" ref="I107">IF(B107=0,INDEX('Category 14'!F:F,MATCH(C107&amp;E107&amp;D107,'Category 14'!B:B&amp;'Category 14'!C:C&amp;'Category 14'!A:A,0)),INDEX('Category 14'!G:G,MATCH(C107&amp;E107&amp;D107,'Category 14'!B:B&amp;'Category 14'!C:C&amp;'Category 14'!A:A,0)))</f>
        <v>0</v>
      </c>
      <c r="J107">
        <f>I107/VLOOKUP($D107,CPI!$P$16:$R$22,3,FALSE)</f>
        <v>0</v>
      </c>
      <c r="K107" cm="1">
        <f t="array" ref="K107">IF(B107=0,INDEX('Category 15'!F:F,MATCH(C107&amp;E107&amp;D107,'Category 15'!B:B&amp;'Category 15'!C:C&amp;'Category 15'!A:A,0)),INDEX('Category 15'!G:G,MATCH(C107&amp;E107&amp;D107,'Category 15'!B:B&amp;'Category 31'!C:C&amp;'Category 15'!A:A,0)))</f>
        <v>0</v>
      </c>
      <c r="L107">
        <f>K107/VLOOKUP($D107,CPI!$P$16:$R$22,3,FALSE)</f>
        <v>0</v>
      </c>
      <c r="M107" s="16" cm="1">
        <f t="array" ref="M107">IF(B107=0,INDEX('Category 31'!F:F,MATCH(C107&amp;E107&amp;D107,'Category 31'!B:B&amp;'Category 31'!C:C&amp;'Category 31'!A:A,0)),INDEX('Category 31'!G:G,MATCH(C107&amp;E107&amp;D107,'Category 31'!B:B&amp;'Category 31'!C:C&amp;'Category 31'!A:A,0)))</f>
        <v>0</v>
      </c>
      <c r="N107" s="16">
        <f>M107/VLOOKUP($D107,CPI!$P$16:$R$22,3,FALSE)</f>
        <v>0</v>
      </c>
      <c r="O107">
        <v>0</v>
      </c>
    </row>
    <row r="108" spans="1:15" ht="16" thickBot="1" x14ac:dyDescent="0.25">
      <c r="A108" s="15">
        <v>2</v>
      </c>
      <c r="B108">
        <f t="shared" si="1"/>
        <v>0</v>
      </c>
      <c r="C108">
        <f>IF(ISBLANK(H108),"",VLOOKUP(H108,Code!B:C,2,FALSE))</f>
        <v>19</v>
      </c>
      <c r="D108">
        <v>2023</v>
      </c>
      <c r="E108">
        <v>104179</v>
      </c>
      <c r="F108" t="s">
        <v>45</v>
      </c>
      <c r="G108" t="s">
        <v>289</v>
      </c>
      <c r="H108" t="s">
        <v>7</v>
      </c>
      <c r="I108" cm="1">
        <f t="array" ref="I108">IF(B108=0,INDEX('Category 14'!F:F,MATCH(C108&amp;E108&amp;D108,'Category 14'!B:B&amp;'Category 14'!C:C&amp;'Category 14'!A:A,0)),INDEX('Category 14'!G:G,MATCH(C108&amp;E108&amp;D108,'Category 14'!B:B&amp;'Category 14'!C:C&amp;'Category 14'!A:A,0)))</f>
        <v>0</v>
      </c>
      <c r="J108">
        <f>I108/VLOOKUP($D108,CPI!$P$16:$R$22,3,FALSE)</f>
        <v>0</v>
      </c>
      <c r="K108" cm="1">
        <f t="array" ref="K108">IF(B108=0,INDEX('Category 15'!F:F,MATCH(C108&amp;E108&amp;D108,'Category 15'!B:B&amp;'Category 15'!C:C&amp;'Category 15'!A:A,0)),INDEX('Category 15'!G:G,MATCH(C108&amp;E108&amp;D108,'Category 15'!B:B&amp;'Category 31'!C:C&amp;'Category 15'!A:A,0)))</f>
        <v>0</v>
      </c>
      <c r="L108">
        <f>K108/VLOOKUP($D108,CPI!$P$16:$R$22,3,FALSE)</f>
        <v>0</v>
      </c>
      <c r="M108" s="16" cm="1">
        <f t="array" ref="M108">IF(B108=0,INDEX('Category 31'!F:F,MATCH(C108&amp;E108&amp;D108,'Category 31'!B:B&amp;'Category 31'!C:C&amp;'Category 31'!A:A,0)),INDEX('Category 31'!G:G,MATCH(C108&amp;E108&amp;D108,'Category 31'!B:B&amp;'Category 31'!C:C&amp;'Category 31'!A:A,0)))</f>
        <v>0</v>
      </c>
      <c r="N108" s="16">
        <f>M108/VLOOKUP($D108,CPI!$P$16:$R$22,3,FALSE)</f>
        <v>0</v>
      </c>
      <c r="O108">
        <v>0</v>
      </c>
    </row>
    <row r="109" spans="1:15" ht="16" thickBot="1" x14ac:dyDescent="0.25">
      <c r="A109" s="15">
        <v>2</v>
      </c>
      <c r="B109">
        <f t="shared" si="1"/>
        <v>0</v>
      </c>
      <c r="C109">
        <f>IF(ISBLANK(H109),"",VLOOKUP(H109,Code!B:C,2,FALSE))</f>
        <v>20</v>
      </c>
      <c r="D109">
        <v>2023</v>
      </c>
      <c r="E109">
        <v>104179</v>
      </c>
      <c r="F109" t="s">
        <v>45</v>
      </c>
      <c r="G109" t="s">
        <v>289</v>
      </c>
      <c r="H109" t="s">
        <v>8</v>
      </c>
      <c r="I109" cm="1">
        <f t="array" ref="I109">IF(B109=0,INDEX('Category 14'!F:F,MATCH(C109&amp;E109&amp;D109,'Category 14'!B:B&amp;'Category 14'!C:C&amp;'Category 14'!A:A,0)),INDEX('Category 14'!G:G,MATCH(C109&amp;E109&amp;D109,'Category 14'!B:B&amp;'Category 14'!C:C&amp;'Category 14'!A:A,0)))</f>
        <v>0</v>
      </c>
      <c r="J109">
        <f>I109/VLOOKUP($D109,CPI!$P$16:$R$22,3,FALSE)</f>
        <v>0</v>
      </c>
      <c r="K109" cm="1">
        <f t="array" ref="K109">IF(B109=0,INDEX('Category 15'!F:F,MATCH(C109&amp;E109&amp;D109,'Category 15'!B:B&amp;'Category 15'!C:C&amp;'Category 15'!A:A,0)),INDEX('Category 15'!G:G,MATCH(C109&amp;E109&amp;D109,'Category 15'!B:B&amp;'Category 31'!C:C&amp;'Category 15'!A:A,0)))</f>
        <v>0</v>
      </c>
      <c r="L109">
        <f>K109/VLOOKUP($D109,CPI!$P$16:$R$22,3,FALSE)</f>
        <v>0</v>
      </c>
      <c r="M109" s="16" cm="1">
        <f t="array" ref="M109">IF(B109=0,INDEX('Category 31'!F:F,MATCH(C109&amp;E109&amp;D109,'Category 31'!B:B&amp;'Category 31'!C:C&amp;'Category 31'!A:A,0)),INDEX('Category 31'!G:G,MATCH(C109&amp;E109&amp;D109,'Category 31'!B:B&amp;'Category 31'!C:C&amp;'Category 31'!A:A,0)))</f>
        <v>0</v>
      </c>
      <c r="N109" s="16">
        <f>M109/VLOOKUP($D109,CPI!$P$16:$R$22,3,FALSE)</f>
        <v>0</v>
      </c>
      <c r="O109">
        <v>0</v>
      </c>
    </row>
    <row r="110" spans="1:15" ht="16" thickBot="1" x14ac:dyDescent="0.25">
      <c r="A110" s="15">
        <v>2</v>
      </c>
      <c r="B110">
        <f t="shared" si="1"/>
        <v>0</v>
      </c>
      <c r="C110">
        <f>IF(ISBLANK(H110),"",VLOOKUP(H110,Code!B:C,2,FALSE))</f>
        <v>21</v>
      </c>
      <c r="D110">
        <v>2023</v>
      </c>
      <c r="E110">
        <v>104179</v>
      </c>
      <c r="F110" t="s">
        <v>45</v>
      </c>
      <c r="G110" t="s">
        <v>289</v>
      </c>
      <c r="H110" t="s">
        <v>9</v>
      </c>
      <c r="I110" cm="1">
        <f t="array" ref="I110">IF(B110=0,INDEX('Category 14'!F:F,MATCH(C110&amp;E110&amp;D110,'Category 14'!B:B&amp;'Category 14'!C:C&amp;'Category 14'!A:A,0)),INDEX('Category 14'!G:G,MATCH(C110&amp;E110&amp;D110,'Category 14'!B:B&amp;'Category 14'!C:C&amp;'Category 14'!A:A,0)))</f>
        <v>1579</v>
      </c>
      <c r="J110">
        <f>I110/VLOOKUP($D110,CPI!$P$16:$R$22,3,FALSE)</f>
        <v>1579</v>
      </c>
      <c r="K110" cm="1">
        <f t="array" ref="K110">IF(B110=0,INDEX('Category 15'!F:F,MATCH(C110&amp;E110&amp;D110,'Category 15'!B:B&amp;'Category 15'!C:C&amp;'Category 15'!A:A,0)),INDEX('Category 15'!G:G,MATCH(C110&amp;E110&amp;D110,'Category 15'!B:B&amp;'Category 31'!C:C&amp;'Category 15'!A:A,0)))</f>
        <v>0</v>
      </c>
      <c r="L110">
        <f>K110/VLOOKUP($D110,CPI!$P$16:$R$22,3,FALSE)</f>
        <v>0</v>
      </c>
      <c r="M110" s="16" cm="1">
        <f t="array" ref="M110">IF(B110=0,INDEX('Category 31'!F:F,MATCH(C110&amp;E110&amp;D110,'Category 31'!B:B&amp;'Category 31'!C:C&amp;'Category 31'!A:A,0)),INDEX('Category 31'!G:G,MATCH(C110&amp;E110&amp;D110,'Category 31'!B:B&amp;'Category 31'!C:C&amp;'Category 31'!A:A,0)))</f>
        <v>0</v>
      </c>
      <c r="N110" s="16">
        <f>M110/VLOOKUP($D110,CPI!$P$16:$R$22,3,FALSE)</f>
        <v>0</v>
      </c>
      <c r="O110">
        <v>0</v>
      </c>
    </row>
    <row r="111" spans="1:15" ht="16" thickBot="1" x14ac:dyDescent="0.25">
      <c r="A111" s="15">
        <v>2</v>
      </c>
      <c r="B111">
        <f t="shared" si="1"/>
        <v>1</v>
      </c>
      <c r="C111">
        <f>IF(ISBLANK(H111),"",VLOOKUP(H111,Code!B:C,2,FALSE))</f>
        <v>2</v>
      </c>
      <c r="D111">
        <v>2023</v>
      </c>
      <c r="E111">
        <v>104179</v>
      </c>
      <c r="F111" t="s">
        <v>45</v>
      </c>
      <c r="G111" t="s">
        <v>290</v>
      </c>
      <c r="H111" t="s">
        <v>1</v>
      </c>
      <c r="I111" cm="1">
        <f t="array" ref="I111">IF(B111=0,INDEX('Category 14'!F:F,MATCH(C111&amp;E111&amp;D111,'Category 14'!B:B&amp;'Category 14'!C:C&amp;'Category 14'!A:A,0)),INDEX('Category 14'!G:G,MATCH(C111&amp;E111&amp;D111,'Category 14'!B:B&amp;'Category 14'!C:C&amp;'Category 14'!A:A,0)))</f>
        <v>65747</v>
      </c>
      <c r="J111">
        <f>I111/VLOOKUP($D111,CPI!$P$16:$R$22,3,FALSE)</f>
        <v>65747</v>
      </c>
      <c r="K111" cm="1">
        <f t="array" ref="K111">IF(B111=0,INDEX('Category 15'!F:F,MATCH(C111&amp;E111&amp;D111,'Category 15'!B:B&amp;'Category 15'!C:C&amp;'Category 15'!A:A,0)),INDEX('Category 15'!G:G,MATCH(C111&amp;E111&amp;D111,'Category 15'!B:B&amp;'Category 31'!C:C&amp;'Category 15'!A:A,0)))</f>
        <v>0</v>
      </c>
      <c r="L111">
        <f>K111/VLOOKUP($D111,CPI!$P$16:$R$22,3,FALSE)</f>
        <v>0</v>
      </c>
      <c r="M111" s="16" cm="1">
        <f t="array" ref="M111">IF(B111=0,INDEX('Category 31'!F:F,MATCH(C111&amp;E111&amp;D111,'Category 31'!B:B&amp;'Category 31'!C:C&amp;'Category 31'!A:A,0)),INDEX('Category 31'!G:G,MATCH(C111&amp;E111&amp;D111,'Category 31'!B:B&amp;'Category 31'!C:C&amp;'Category 31'!A:A,0)))</f>
        <v>0</v>
      </c>
      <c r="N111" s="16">
        <f>M111/VLOOKUP($D111,CPI!$P$16:$R$22,3,FALSE)</f>
        <v>0</v>
      </c>
      <c r="O111">
        <f>VLOOKUP(E43,WBasketball!C:S,12,FALSE)</f>
        <v>115183</v>
      </c>
    </row>
    <row r="112" spans="1:15" ht="16" thickBot="1" x14ac:dyDescent="0.25">
      <c r="A112" s="15">
        <v>2</v>
      </c>
      <c r="B112">
        <f t="shared" si="1"/>
        <v>1</v>
      </c>
      <c r="C112">
        <f>IF(ISBLANK(H112),"",VLOOKUP(H112,Code!B:C,2,FALSE))</f>
        <v>3</v>
      </c>
      <c r="D112">
        <v>2023</v>
      </c>
      <c r="E112">
        <v>104179</v>
      </c>
      <c r="F112" t="s">
        <v>45</v>
      </c>
      <c r="G112" t="s">
        <v>290</v>
      </c>
      <c r="H112" t="s">
        <v>21</v>
      </c>
      <c r="I112" cm="1">
        <f t="array" ref="I112">IF(B112=0,INDEX('Category 14'!F:F,MATCH(C112&amp;E112&amp;D112,'Category 14'!B:B&amp;'Category 14'!C:C&amp;'Category 14'!A:A,0)),INDEX('Category 14'!G:G,MATCH(C112&amp;E112&amp;D112,'Category 14'!B:B&amp;'Category 14'!C:C&amp;'Category 14'!A:A,0)))</f>
        <v>0</v>
      </c>
      <c r="J112">
        <f>I112/VLOOKUP($D112,CPI!$P$16:$R$22,3,FALSE)</f>
        <v>0</v>
      </c>
      <c r="K112" cm="1">
        <f t="array" ref="K112">IF(B112=0,INDEX('Category 15'!F:F,MATCH(C112&amp;E112&amp;D112,'Category 15'!B:B&amp;'Category 15'!C:C&amp;'Category 15'!A:A,0)),INDEX('Category 15'!G:G,MATCH(C112&amp;E112&amp;D112,'Category 15'!B:B&amp;'Category 31'!C:C&amp;'Category 15'!A:A,0)))</f>
        <v>0</v>
      </c>
      <c r="L112">
        <f>K112/VLOOKUP($D112,CPI!$P$16:$R$22,3,FALSE)</f>
        <v>0</v>
      </c>
      <c r="M112" s="16" cm="1">
        <f t="array" ref="M112">IF(B112=0,INDEX('Category 31'!F:F,MATCH(C112&amp;E112&amp;D112,'Category 31'!B:B&amp;'Category 31'!C:C&amp;'Category 31'!A:A,0)),INDEX('Category 31'!G:G,MATCH(C112&amp;E112&amp;D112,'Category 31'!B:B&amp;'Category 31'!C:C&amp;'Category 31'!A:A,0)))</f>
        <v>0</v>
      </c>
      <c r="N112" s="16">
        <f>M112/VLOOKUP($D112,CPI!$P$16:$R$22,3,FALSE)</f>
        <v>0</v>
      </c>
      <c r="O112">
        <v>0</v>
      </c>
    </row>
    <row r="113" spans="1:15" ht="16" thickBot="1" x14ac:dyDescent="0.25">
      <c r="A113" s="15">
        <v>2</v>
      </c>
      <c r="B113">
        <f t="shared" si="1"/>
        <v>1</v>
      </c>
      <c r="C113">
        <f>IF(ISBLANK(H113),"",VLOOKUP(H113,Code!B:C,2,FALSE))</f>
        <v>9</v>
      </c>
      <c r="D113">
        <v>2023</v>
      </c>
      <c r="E113">
        <v>104179</v>
      </c>
      <c r="F113" t="s">
        <v>45</v>
      </c>
      <c r="G113" t="s">
        <v>290</v>
      </c>
      <c r="H113" t="s">
        <v>3</v>
      </c>
      <c r="I113" cm="1">
        <f t="array" ref="I113">IF(B113=0,INDEX('Category 14'!F:F,MATCH(C113&amp;E113&amp;D113,'Category 14'!B:B&amp;'Category 14'!C:C&amp;'Category 14'!A:A,0)),INDEX('Category 14'!G:G,MATCH(C113&amp;E113&amp;D113,'Category 14'!B:B&amp;'Category 14'!C:C&amp;'Category 14'!A:A,0)))</f>
        <v>0</v>
      </c>
      <c r="J113">
        <f>I113/VLOOKUP($D113,CPI!$P$16:$R$22,3,FALSE)</f>
        <v>0</v>
      </c>
      <c r="K113" cm="1">
        <f t="array" ref="K113">IF(B113=0,INDEX('Category 15'!F:F,MATCH(C113&amp;E113&amp;D113,'Category 15'!B:B&amp;'Category 15'!C:C&amp;'Category 15'!A:A,0)),INDEX('Category 15'!G:G,MATCH(C113&amp;E113&amp;D113,'Category 15'!B:B&amp;'Category 31'!C:C&amp;'Category 15'!A:A,0)))</f>
        <v>0</v>
      </c>
      <c r="L113">
        <f>K113/VLOOKUP($D113,CPI!$P$16:$R$22,3,FALSE)</f>
        <v>0</v>
      </c>
      <c r="M113" s="16" cm="1">
        <f t="array" ref="M113">IF(B113=0,INDEX('Category 31'!F:F,MATCH(C113&amp;E113&amp;D113,'Category 31'!B:B&amp;'Category 31'!C:C&amp;'Category 31'!A:A,0)),INDEX('Category 31'!G:G,MATCH(C113&amp;E113&amp;D113,'Category 31'!B:B&amp;'Category 31'!C:C&amp;'Category 31'!A:A,0)))</f>
        <v>0</v>
      </c>
      <c r="N113" s="16">
        <f>M113/VLOOKUP($D113,CPI!$P$16:$R$22,3,FALSE)</f>
        <v>0</v>
      </c>
      <c r="O113">
        <v>0</v>
      </c>
    </row>
    <row r="114" spans="1:15" ht="16" thickBot="1" x14ac:dyDescent="0.25">
      <c r="A114" s="15">
        <v>2</v>
      </c>
      <c r="B114">
        <f t="shared" si="1"/>
        <v>1</v>
      </c>
      <c r="C114">
        <f>IF(ISBLANK(H114),"",VLOOKUP(H114,Code!B:C,2,FALSE))</f>
        <v>10</v>
      </c>
      <c r="D114">
        <v>2023</v>
      </c>
      <c r="E114">
        <v>104179</v>
      </c>
      <c r="F114" t="s">
        <v>45</v>
      </c>
      <c r="G114" t="s">
        <v>290</v>
      </c>
      <c r="H114" t="s">
        <v>4</v>
      </c>
      <c r="I114" cm="1">
        <f t="array" ref="I114">IF(B114=0,INDEX('Category 14'!F:F,MATCH(C114&amp;E114&amp;D114,'Category 14'!B:B&amp;'Category 14'!C:C&amp;'Category 14'!A:A,0)),INDEX('Category 14'!G:G,MATCH(C114&amp;E114&amp;D114,'Category 14'!B:B&amp;'Category 14'!C:C&amp;'Category 14'!A:A,0)))</f>
        <v>0</v>
      </c>
      <c r="J114">
        <f>I114/VLOOKUP($D114,CPI!$P$16:$R$22,3,FALSE)</f>
        <v>0</v>
      </c>
      <c r="K114" cm="1">
        <f t="array" ref="K114">IF(B114=0,INDEX('Category 15'!F:F,MATCH(C114&amp;E114&amp;D114,'Category 15'!B:B&amp;'Category 15'!C:C&amp;'Category 15'!A:A,0)),INDEX('Category 15'!G:G,MATCH(C114&amp;E114&amp;D114,'Category 15'!B:B&amp;'Category 31'!C:C&amp;'Category 15'!A:A,0)))</f>
        <v>0</v>
      </c>
      <c r="L114">
        <f>K114/VLOOKUP($D114,CPI!$P$16:$R$22,3,FALSE)</f>
        <v>0</v>
      </c>
      <c r="M114" s="16" cm="1">
        <f t="array" ref="M114">IF(B114=0,INDEX('Category 31'!F:F,MATCH(C114&amp;E114&amp;D114,'Category 31'!B:B&amp;'Category 31'!C:C&amp;'Category 31'!A:A,0)),INDEX('Category 31'!G:G,MATCH(C114&amp;E114&amp;D114,'Category 31'!B:B&amp;'Category 31'!C:C&amp;'Category 31'!A:A,0)))</f>
        <v>0</v>
      </c>
      <c r="N114" s="16">
        <f>M114/VLOOKUP($D114,CPI!$P$16:$R$22,3,FALSE)</f>
        <v>0</v>
      </c>
      <c r="O114">
        <v>0</v>
      </c>
    </row>
    <row r="115" spans="1:15" ht="16" thickBot="1" x14ac:dyDescent="0.25">
      <c r="A115" s="15">
        <v>2</v>
      </c>
      <c r="B115">
        <f t="shared" si="1"/>
        <v>1</v>
      </c>
      <c r="C115">
        <f>IF(ISBLANK(H115),"",VLOOKUP(H115,Code!B:C,2,FALSE))</f>
        <v>17</v>
      </c>
      <c r="D115">
        <v>2023</v>
      </c>
      <c r="E115">
        <v>104179</v>
      </c>
      <c r="F115" t="s">
        <v>45</v>
      </c>
      <c r="G115" t="s">
        <v>290</v>
      </c>
      <c r="H115" t="s">
        <v>5</v>
      </c>
      <c r="I115" cm="1">
        <f t="array" ref="I115">IF(B115=0,INDEX('Category 14'!F:F,MATCH(C115&amp;E115&amp;D115,'Category 14'!B:B&amp;'Category 14'!C:C&amp;'Category 14'!A:A,0)),INDEX('Category 14'!G:G,MATCH(C115&amp;E115&amp;D115,'Category 14'!B:B&amp;'Category 14'!C:C&amp;'Category 14'!A:A,0)))</f>
        <v>0</v>
      </c>
      <c r="J115">
        <f>I115/VLOOKUP($D115,CPI!$P$16:$R$22,3,FALSE)</f>
        <v>0</v>
      </c>
      <c r="K115" cm="1">
        <f t="array" ref="K115">IF(B115=0,INDEX('Category 15'!F:F,MATCH(C115&amp;E115&amp;D115,'Category 15'!B:B&amp;'Category 15'!C:C&amp;'Category 15'!A:A,0)),INDEX('Category 15'!G:G,MATCH(C115&amp;E115&amp;D115,'Category 15'!B:B&amp;'Category 31'!C:C&amp;'Category 15'!A:A,0)))</f>
        <v>0</v>
      </c>
      <c r="L115">
        <f>K115/VLOOKUP($D115,CPI!$P$16:$R$22,3,FALSE)</f>
        <v>0</v>
      </c>
      <c r="M115" s="16" cm="1">
        <f t="array" ref="M115">IF(B115=0,INDEX('Category 31'!F:F,MATCH(C115&amp;E115&amp;D115,'Category 31'!B:B&amp;'Category 31'!C:C&amp;'Category 31'!A:A,0)),INDEX('Category 31'!G:G,MATCH(C115&amp;E115&amp;D115,'Category 31'!B:B&amp;'Category 31'!C:C&amp;'Category 31'!A:A,0)))</f>
        <v>0</v>
      </c>
      <c r="N115" s="16">
        <f>M115/VLOOKUP($D115,CPI!$P$16:$R$22,3,FALSE)</f>
        <v>0</v>
      </c>
      <c r="O115">
        <f>VLOOKUP(E47,WSoccer!C:S,12,FALSE)</f>
        <v>5311</v>
      </c>
    </row>
    <row r="116" spans="1:15" ht="16" thickBot="1" x14ac:dyDescent="0.25">
      <c r="A116" s="15">
        <v>2</v>
      </c>
      <c r="B116">
        <f t="shared" si="1"/>
        <v>1</v>
      </c>
      <c r="C116">
        <f>IF(ISBLANK(H116),"",VLOOKUP(H116,Code!B:C,2,FALSE))</f>
        <v>18</v>
      </c>
      <c r="D116">
        <v>2023</v>
      </c>
      <c r="E116">
        <v>104179</v>
      </c>
      <c r="F116" t="s">
        <v>45</v>
      </c>
      <c r="G116" t="s">
        <v>290</v>
      </c>
      <c r="H116" t="s">
        <v>6</v>
      </c>
      <c r="I116" cm="1">
        <f t="array" ref="I116">IF(B116=0,INDEX('Category 14'!F:F,MATCH(C116&amp;E116&amp;D116,'Category 14'!B:B&amp;'Category 14'!C:C&amp;'Category 14'!A:A,0)),INDEX('Category 14'!G:G,MATCH(C116&amp;E116&amp;D116,'Category 14'!B:B&amp;'Category 14'!C:C&amp;'Category 14'!A:A,0)))</f>
        <v>0</v>
      </c>
      <c r="J116">
        <f>I116/VLOOKUP($D116,CPI!$P$16:$R$22,3,FALSE)</f>
        <v>0</v>
      </c>
      <c r="K116" cm="1">
        <f t="array" ref="K116">IF(B116=0,INDEX('Category 15'!F:F,MATCH(C116&amp;E116&amp;D116,'Category 15'!B:B&amp;'Category 15'!C:C&amp;'Category 15'!A:A,0)),INDEX('Category 15'!G:G,MATCH(C116&amp;E116&amp;D116,'Category 15'!B:B&amp;'Category 31'!C:C&amp;'Category 15'!A:A,0)))</f>
        <v>0</v>
      </c>
      <c r="L116">
        <f>K116/VLOOKUP($D116,CPI!$P$16:$R$22,3,FALSE)</f>
        <v>0</v>
      </c>
      <c r="M116" s="16" cm="1">
        <f t="array" ref="M116">IF(B116=0,INDEX('Category 31'!F:F,MATCH(C116&amp;E116&amp;D116,'Category 31'!B:B&amp;'Category 31'!C:C&amp;'Category 31'!A:A,0)),INDEX('Category 31'!G:G,MATCH(C116&amp;E116&amp;D116,'Category 31'!B:B&amp;'Category 31'!C:C&amp;'Category 31'!A:A,0)))</f>
        <v>0</v>
      </c>
      <c r="N116" s="16">
        <f>M116/VLOOKUP($D116,CPI!$P$16:$R$22,3,FALSE)</f>
        <v>0</v>
      </c>
      <c r="O116">
        <f>VLOOKUP(E48,WSoftball!C:S,12,FALSE)</f>
        <v>64168</v>
      </c>
    </row>
    <row r="117" spans="1:15" ht="16" thickBot="1" x14ac:dyDescent="0.25">
      <c r="A117" s="15">
        <v>2</v>
      </c>
      <c r="B117">
        <f t="shared" si="1"/>
        <v>1</v>
      </c>
      <c r="C117">
        <f>IF(ISBLANK(H117),"",VLOOKUP(H117,Code!B:C,2,FALSE))</f>
        <v>19</v>
      </c>
      <c r="D117">
        <v>2023</v>
      </c>
      <c r="E117">
        <v>104179</v>
      </c>
      <c r="F117" t="s">
        <v>45</v>
      </c>
      <c r="G117" t="s">
        <v>290</v>
      </c>
      <c r="H117" t="s">
        <v>7</v>
      </c>
      <c r="I117" cm="1">
        <f t="array" ref="I117">IF(B117=0,INDEX('Category 14'!F:F,MATCH(C117&amp;E117&amp;D117,'Category 14'!B:B&amp;'Category 14'!C:C&amp;'Category 14'!A:A,0)),INDEX('Category 14'!G:G,MATCH(C117&amp;E117&amp;D117,'Category 14'!B:B&amp;'Category 14'!C:C&amp;'Category 14'!A:A,0)))</f>
        <v>0</v>
      </c>
      <c r="J117">
        <f>I117/VLOOKUP($D117,CPI!$P$16:$R$22,3,FALSE)</f>
        <v>0</v>
      </c>
      <c r="K117" cm="1">
        <f t="array" ref="K117">IF(B117=0,INDEX('Category 15'!F:F,MATCH(C117&amp;E117&amp;D117,'Category 15'!B:B&amp;'Category 15'!C:C&amp;'Category 15'!A:A,0)),INDEX('Category 15'!G:G,MATCH(C117&amp;E117&amp;D117,'Category 15'!B:B&amp;'Category 31'!C:C&amp;'Category 15'!A:A,0)))</f>
        <v>0</v>
      </c>
      <c r="L117">
        <f>K117/VLOOKUP($D117,CPI!$P$16:$R$22,3,FALSE)</f>
        <v>0</v>
      </c>
      <c r="M117" s="16" cm="1">
        <f t="array" ref="M117">IF(B117=0,INDEX('Category 31'!F:F,MATCH(C117&amp;E117&amp;D117,'Category 31'!B:B&amp;'Category 31'!C:C&amp;'Category 31'!A:A,0)),INDEX('Category 31'!G:G,MATCH(C117&amp;E117&amp;D117,'Category 31'!B:B&amp;'Category 31'!C:C&amp;'Category 31'!A:A,0)))</f>
        <v>0</v>
      </c>
      <c r="N117" s="16">
        <f>M117/VLOOKUP($D117,CPI!$P$16:$R$22,3,FALSE)</f>
        <v>0</v>
      </c>
      <c r="O117">
        <v>0</v>
      </c>
    </row>
    <row r="118" spans="1:15" ht="16" thickBot="1" x14ac:dyDescent="0.25">
      <c r="A118" s="15">
        <v>2</v>
      </c>
      <c r="B118">
        <f t="shared" si="1"/>
        <v>1</v>
      </c>
      <c r="C118">
        <f>IF(ISBLANK(H118),"",VLOOKUP(H118,Code!B:C,2,FALSE))</f>
        <v>20</v>
      </c>
      <c r="D118">
        <v>2023</v>
      </c>
      <c r="E118">
        <v>104179</v>
      </c>
      <c r="F118" t="s">
        <v>45</v>
      </c>
      <c r="G118" t="s">
        <v>290</v>
      </c>
      <c r="H118" t="s">
        <v>8</v>
      </c>
      <c r="I118" cm="1">
        <f t="array" ref="I118">IF(B118=0,INDEX('Category 14'!F:F,MATCH(C118&amp;E118&amp;D118,'Category 14'!B:B&amp;'Category 14'!C:C&amp;'Category 14'!A:A,0)),INDEX('Category 14'!G:G,MATCH(C118&amp;E118&amp;D118,'Category 14'!B:B&amp;'Category 14'!C:C&amp;'Category 14'!A:A,0)))</f>
        <v>0</v>
      </c>
      <c r="J118">
        <f>I118/VLOOKUP($D118,CPI!$P$16:$R$22,3,FALSE)</f>
        <v>0</v>
      </c>
      <c r="K118" cm="1">
        <f t="array" ref="K118">IF(B118=0,INDEX('Category 15'!F:F,MATCH(C118&amp;E118&amp;D118,'Category 15'!B:B&amp;'Category 15'!C:C&amp;'Category 15'!A:A,0)),INDEX('Category 15'!G:G,MATCH(C118&amp;E118&amp;D118,'Category 15'!B:B&amp;'Category 31'!C:C&amp;'Category 15'!A:A,0)))</f>
        <v>0</v>
      </c>
      <c r="L118">
        <f>K118/VLOOKUP($D118,CPI!$P$16:$R$22,3,FALSE)</f>
        <v>0</v>
      </c>
      <c r="M118" s="16" cm="1">
        <f t="array" ref="M118">IF(B118=0,INDEX('Category 31'!F:F,MATCH(C118&amp;E118&amp;D118,'Category 31'!B:B&amp;'Category 31'!C:C&amp;'Category 31'!A:A,0)),INDEX('Category 31'!G:G,MATCH(C118&amp;E118&amp;D118,'Category 31'!B:B&amp;'Category 31'!C:C&amp;'Category 31'!A:A,0)))</f>
        <v>0</v>
      </c>
      <c r="N118" s="16">
        <f>M118/VLOOKUP($D118,CPI!$P$16:$R$22,3,FALSE)</f>
        <v>0</v>
      </c>
      <c r="O118">
        <v>0</v>
      </c>
    </row>
    <row r="119" spans="1:15" ht="16" thickBot="1" x14ac:dyDescent="0.25">
      <c r="A119" s="15">
        <v>2</v>
      </c>
      <c r="B119">
        <f t="shared" si="1"/>
        <v>1</v>
      </c>
      <c r="C119">
        <f>IF(ISBLANK(H119),"",VLOOKUP(H119,Code!B:C,2,FALSE))</f>
        <v>21</v>
      </c>
      <c r="D119">
        <v>2023</v>
      </c>
      <c r="E119">
        <v>104179</v>
      </c>
      <c r="F119" t="s">
        <v>45</v>
      </c>
      <c r="G119" t="s">
        <v>290</v>
      </c>
      <c r="H119" t="s">
        <v>9</v>
      </c>
      <c r="I119" cm="1">
        <f t="array" ref="I119">IF(B119=0,INDEX('Category 14'!F:F,MATCH(C119&amp;E119&amp;D119,'Category 14'!B:B&amp;'Category 14'!C:C&amp;'Category 14'!A:A,0)),INDEX('Category 14'!G:G,MATCH(C119&amp;E119&amp;D119,'Category 14'!B:B&amp;'Category 14'!C:C&amp;'Category 14'!A:A,0)))</f>
        <v>0</v>
      </c>
      <c r="J119">
        <f>I119/VLOOKUP($D119,CPI!$P$16:$R$22,3,FALSE)</f>
        <v>0</v>
      </c>
      <c r="K119" cm="1">
        <f t="array" ref="K119">IF(B119=0,INDEX('Category 15'!F:F,MATCH(C119&amp;E119&amp;D119,'Category 15'!B:B&amp;'Category 15'!C:C&amp;'Category 15'!A:A,0)),INDEX('Category 15'!G:G,MATCH(C119&amp;E119&amp;D119,'Category 15'!B:B&amp;'Category 31'!C:C&amp;'Category 15'!A:A,0)))</f>
        <v>0</v>
      </c>
      <c r="L119">
        <f>K119/VLOOKUP($D119,CPI!$P$16:$R$22,3,FALSE)</f>
        <v>0</v>
      </c>
      <c r="M119" s="16" cm="1">
        <f t="array" ref="M119">IF(B119=0,INDEX('Category 31'!F:F,MATCH(C119&amp;E119&amp;D119,'Category 31'!B:B&amp;'Category 31'!C:C&amp;'Category 31'!A:A,0)),INDEX('Category 31'!G:G,MATCH(C119&amp;E119&amp;D119,'Category 31'!B:B&amp;'Category 31'!C:C&amp;'Category 31'!A:A,0)))</f>
        <v>0</v>
      </c>
      <c r="N119" s="16">
        <f>M119/VLOOKUP($D119,CPI!$P$16:$R$22,3,FALSE)</f>
        <v>0</v>
      </c>
      <c r="O119">
        <v>0</v>
      </c>
    </row>
    <row r="120" spans="1:15" ht="16" thickBot="1" x14ac:dyDescent="0.25">
      <c r="A120" s="15">
        <v>2</v>
      </c>
      <c r="B120">
        <f t="shared" si="1"/>
        <v>1</v>
      </c>
      <c r="C120">
        <f>IF(ISBLANK(H120),"",VLOOKUP(H120,Code!B:C,2,FALSE))</f>
        <v>23</v>
      </c>
      <c r="D120">
        <v>2023</v>
      </c>
      <c r="E120">
        <v>104179</v>
      </c>
      <c r="F120" t="s">
        <v>45</v>
      </c>
      <c r="G120" t="s">
        <v>290</v>
      </c>
      <c r="H120" t="s">
        <v>10</v>
      </c>
      <c r="I120" cm="1">
        <f t="array" ref="I120">IF(B120=0,INDEX('Category 14'!F:F,MATCH(C120&amp;E120&amp;D120,'Category 14'!B:B&amp;'Category 14'!C:C&amp;'Category 14'!A:A,0)),INDEX('Category 14'!G:G,MATCH(C120&amp;E120&amp;D120,'Category 14'!B:B&amp;'Category 14'!C:C&amp;'Category 14'!A:A,0)))</f>
        <v>0</v>
      </c>
      <c r="J120">
        <f>I120/VLOOKUP($D120,CPI!$P$16:$R$22,3,FALSE)</f>
        <v>0</v>
      </c>
      <c r="K120">
        <v>0</v>
      </c>
      <c r="L120">
        <f>K120/VLOOKUP($D120,CPI!$P$16:$R$22,3,FALSE)</f>
        <v>0</v>
      </c>
      <c r="M120" s="16" cm="1">
        <f t="array" ref="M120">IF(B120=0,INDEX('Category 31'!F:F,MATCH(C120&amp;E120&amp;D120,'Category 31'!B:B&amp;'Category 31'!C:C&amp;'Category 31'!A:A,0)),INDEX('Category 31'!G:G,MATCH(C120&amp;E120&amp;D120,'Category 31'!B:B&amp;'Category 31'!C:C&amp;'Category 31'!A:A,0)))</f>
        <v>0</v>
      </c>
      <c r="N120" s="16">
        <f>M120/VLOOKUP($D120,CPI!$P$16:$R$22,3,FALSE)</f>
        <v>0</v>
      </c>
      <c r="O120">
        <f>VLOOKUP(E52,WVolleyball!C:S,12,FALSE)</f>
        <v>21547</v>
      </c>
    </row>
    <row r="121" spans="1:15" ht="16" thickBot="1" x14ac:dyDescent="0.25">
      <c r="A121" s="15">
        <v>2</v>
      </c>
      <c r="B121">
        <f t="shared" si="1"/>
        <v>0</v>
      </c>
      <c r="C121">
        <f>IF(ISBLANK(H121),"",VLOOKUP(H121,Code!B:C,2,FALSE))</f>
        <v>1</v>
      </c>
      <c r="D121">
        <v>2017</v>
      </c>
      <c r="E121">
        <v>110635</v>
      </c>
      <c r="F121" t="s">
        <v>63</v>
      </c>
      <c r="G121" t="s">
        <v>289</v>
      </c>
      <c r="H121" t="s">
        <v>0</v>
      </c>
      <c r="I121" cm="1">
        <f t="array" ref="I121">IF(B121=0,INDEX('Category 14'!F:F,MATCH(C121&amp;E121&amp;D121,'Category 14'!B:B&amp;'Category 14'!C:C&amp;'Category 14'!A:A,0)),INDEX('Category 14'!G:G,MATCH(C121&amp;E121&amp;D121,'Category 14'!B:B&amp;'Category 14'!C:C&amp;'Category 14'!A:A,0)))</f>
        <v>7729</v>
      </c>
      <c r="J121">
        <f>I121/VLOOKUP($D121,CPI!$P$16:$R$22,3,FALSE)</f>
        <v>9545.4654192242961</v>
      </c>
      <c r="K121" cm="1">
        <f t="array" ref="K121">IF(B121=0,INDEX('Category 15'!F:F,MATCH(C121&amp;E121&amp;D121,'Category 15'!B:B&amp;'Category 15'!C:C&amp;'Category 15'!A:A,0)),INDEX('Category 15'!G:G,MATCH(C121&amp;E121&amp;D121,'Category 15'!B:B&amp;'Category 31'!C:C&amp;'Category 15'!A:A,0)))</f>
        <v>55000</v>
      </c>
      <c r="L121">
        <f>K121/VLOOKUP($D121,CPI!$P$16:$R$22,3,FALSE)</f>
        <v>67926.070391685367</v>
      </c>
      <c r="M121" s="16" cm="1">
        <f t="array" ref="M121">IF(B121=0,INDEX('Category 31'!F:F,MATCH(C121&amp;E121&amp;D121,'Category 31'!B:B&amp;'Category 31'!C:C&amp;'Category 31'!A:A,0)),INDEX('Category 31'!G:G,MATCH(C121&amp;E121&amp;D121,'Category 31'!B:B&amp;'Category 31'!C:C&amp;'Category 31'!A:A,0)))</f>
        <v>10253</v>
      </c>
      <c r="N121" s="16">
        <f>M121/VLOOKUP($D121,CPI!$P$16:$R$22,3,FALSE)</f>
        <v>12662.65454047182</v>
      </c>
      <c r="O121">
        <f>VLOOKUP(E121,MBaseball!C:R,6,FALSE)</f>
        <v>20930</v>
      </c>
    </row>
    <row r="122" spans="1:15" ht="16" thickBot="1" x14ac:dyDescent="0.25">
      <c r="A122" s="15">
        <v>2</v>
      </c>
      <c r="B122">
        <f t="shared" si="1"/>
        <v>0</v>
      </c>
      <c r="C122">
        <f>IF(ISBLANK(H122),"",VLOOKUP(H122,Code!B:C,2,FALSE))</f>
        <v>2</v>
      </c>
      <c r="D122">
        <v>2017</v>
      </c>
      <c r="E122">
        <v>110635</v>
      </c>
      <c r="F122" t="s">
        <v>63</v>
      </c>
      <c r="G122" t="s">
        <v>289</v>
      </c>
      <c r="H122" t="s">
        <v>1</v>
      </c>
      <c r="I122" cm="1">
        <f t="array" ref="I122">IF(B122=0,INDEX('Category 14'!F:F,MATCH(C122&amp;E122&amp;D122,'Category 14'!B:B&amp;'Category 14'!C:C&amp;'Category 14'!A:A,0)),INDEX('Category 14'!G:G,MATCH(C122&amp;E122&amp;D122,'Category 14'!B:B&amp;'Category 14'!C:C&amp;'Category 14'!A:A,0)))</f>
        <v>1499</v>
      </c>
      <c r="J122">
        <f>I122/VLOOKUP($D122,CPI!$P$16:$R$22,3,FALSE)</f>
        <v>1851.2941730388432</v>
      </c>
      <c r="K122" cm="1">
        <f t="array" ref="K122">IF(B122=0,INDEX('Category 15'!F:F,MATCH(C122&amp;E122&amp;D122,'Category 15'!B:B&amp;'Category 15'!C:C&amp;'Category 15'!A:A,0)),INDEX('Category 15'!G:G,MATCH(C122&amp;E122&amp;D122,'Category 15'!B:B&amp;'Category 31'!C:C&amp;'Category 15'!A:A,0)))</f>
        <v>465</v>
      </c>
      <c r="L122">
        <f>K122/VLOOKUP($D122,CPI!$P$16:$R$22,3,FALSE)</f>
        <v>574.28404967515814</v>
      </c>
      <c r="M122" s="16" cm="1">
        <f t="array" ref="M122">IF(B122=0,INDEX('Category 31'!F:F,MATCH(C122&amp;E122&amp;D122,'Category 31'!B:B&amp;'Category 31'!C:C&amp;'Category 31'!A:A,0)),INDEX('Category 31'!G:G,MATCH(C122&amp;E122&amp;D122,'Category 31'!B:B&amp;'Category 31'!C:C&amp;'Category 31'!A:A,0)))</f>
        <v>368417</v>
      </c>
      <c r="N122" s="16">
        <f>M122/VLOOKUP($D122,CPI!$P$16:$R$22,3,FALSE)</f>
        <v>455002.16500897362</v>
      </c>
      <c r="O122">
        <f>VLOOKUP(E122,MBasketball!C:P,6,FALSE)</f>
        <v>169298</v>
      </c>
    </row>
    <row r="123" spans="1:15" ht="16" thickBot="1" x14ac:dyDescent="0.25">
      <c r="A123" s="15">
        <v>2</v>
      </c>
      <c r="B123">
        <f t="shared" si="1"/>
        <v>0</v>
      </c>
      <c r="C123">
        <f>IF(ISBLANK(H123),"",VLOOKUP(H123,Code!B:C,2,FALSE))</f>
        <v>8</v>
      </c>
      <c r="D123">
        <v>2017</v>
      </c>
      <c r="E123">
        <v>110635</v>
      </c>
      <c r="F123" t="s">
        <v>63</v>
      </c>
      <c r="G123" t="s">
        <v>289</v>
      </c>
      <c r="H123" t="s">
        <v>2</v>
      </c>
      <c r="I123" cm="1">
        <f t="array" ref="I123">IF(B123=0,INDEX('Category 14'!F:F,MATCH(C123&amp;E123&amp;D123,'Category 14'!B:B&amp;'Category 14'!C:C&amp;'Category 14'!A:A,0)),INDEX('Category 14'!G:G,MATCH(C123&amp;E123&amp;D123,'Category 14'!B:B&amp;'Category 14'!C:C&amp;'Category 14'!A:A,0)))</f>
        <v>522852</v>
      </c>
      <c r="J123">
        <f>I123/VLOOKUP($D123,CPI!$P$16:$R$22,3,FALSE)</f>
        <v>645732.39557151787</v>
      </c>
      <c r="K123" cm="1">
        <f t="array" ref="K123">IF(B123=0,INDEX('Category 15'!F:F,MATCH(C123&amp;E123&amp;D123,'Category 15'!B:B&amp;'Category 15'!C:C&amp;'Category 15'!A:A,0)),INDEX('Category 15'!G:G,MATCH(C123&amp;E123&amp;D123,'Category 15'!B:B&amp;'Category 31'!C:C&amp;'Category 15'!A:A,0)))</f>
        <v>4501086</v>
      </c>
      <c r="L123">
        <f>K123/VLOOKUP($D123,CPI!$P$16:$R$22,3,FALSE)</f>
        <v>5558928.808636901</v>
      </c>
      <c r="M123" s="16" cm="1">
        <f t="array" ref="M123">IF(B123=0,INDEX('Category 31'!F:F,MATCH(C123&amp;E123&amp;D123,'Category 31'!B:B&amp;'Category 31'!C:C&amp;'Category 31'!A:A,0)),INDEX('Category 31'!G:G,MATCH(C123&amp;E123&amp;D123,'Category 31'!B:B&amp;'Category 31'!C:C&amp;'Category 31'!A:A,0)))</f>
        <v>924701</v>
      </c>
      <c r="N123" s="16">
        <f>M123/VLOOKUP($D123,CPI!$P$16:$R$22,3,FALSE)</f>
        <v>1142023.7312229429</v>
      </c>
      <c r="O123">
        <f>VLOOKUP(E123,MFootball!C:S,6,FALSE)</f>
        <v>279769</v>
      </c>
    </row>
    <row r="124" spans="1:15" ht="16" thickBot="1" x14ac:dyDescent="0.25">
      <c r="A124" s="15">
        <v>2</v>
      </c>
      <c r="B124">
        <f t="shared" si="1"/>
        <v>0</v>
      </c>
      <c r="C124">
        <f>IF(ISBLANK(H124),"",VLOOKUP(H124,Code!B:C,2,FALSE))</f>
        <v>9</v>
      </c>
      <c r="D124">
        <v>2017</v>
      </c>
      <c r="E124">
        <v>110635</v>
      </c>
      <c r="F124" t="s">
        <v>63</v>
      </c>
      <c r="G124" t="s">
        <v>289</v>
      </c>
      <c r="H124" t="s">
        <v>3</v>
      </c>
      <c r="I124" cm="1">
        <f t="array" ref="I124">IF(B124=0,INDEX('Category 14'!F:F,MATCH(C124&amp;E124&amp;D124,'Category 14'!B:B&amp;'Category 14'!C:C&amp;'Category 14'!A:A,0)),INDEX('Category 14'!G:G,MATCH(C124&amp;E124&amp;D124,'Category 14'!B:B&amp;'Category 14'!C:C&amp;'Category 14'!A:A,0)))</f>
        <v>0</v>
      </c>
      <c r="J124">
        <f>I124/VLOOKUP($D124,CPI!$P$16:$R$22,3,FALSE)</f>
        <v>0</v>
      </c>
      <c r="K124" cm="1">
        <f t="array" ref="K124">IF(B124=0,INDEX('Category 15'!F:F,MATCH(C124&amp;E124&amp;D124,'Category 15'!B:B&amp;'Category 15'!C:C&amp;'Category 15'!A:A,0)),INDEX('Category 15'!G:G,MATCH(C124&amp;E124&amp;D124,'Category 15'!B:B&amp;'Category 31'!C:C&amp;'Category 15'!A:A,0)))</f>
        <v>0</v>
      </c>
      <c r="L124">
        <f>K124/VLOOKUP($D124,CPI!$P$16:$R$22,3,FALSE)</f>
        <v>0</v>
      </c>
      <c r="M124" s="16" cm="1">
        <f t="array" ref="M124">IF(B124=0,INDEX('Category 31'!F:F,MATCH(C124&amp;E124&amp;D124,'Category 31'!B:B&amp;'Category 31'!C:C&amp;'Category 31'!A:A,0)),INDEX('Category 31'!G:G,MATCH(C124&amp;E124&amp;D124,'Category 31'!B:B&amp;'Category 31'!C:C&amp;'Category 31'!A:A,0)))</f>
        <v>84044</v>
      </c>
      <c r="N124" s="16">
        <f>M124/VLOOKUP($D124,CPI!$P$16:$R$22,3,FALSE)</f>
        <v>103795.97563634191</v>
      </c>
      <c r="O124">
        <v>0</v>
      </c>
    </row>
    <row r="125" spans="1:15" ht="16" thickBot="1" x14ac:dyDescent="0.25">
      <c r="A125" s="15">
        <v>2</v>
      </c>
      <c r="B125">
        <f t="shared" si="1"/>
        <v>0</v>
      </c>
      <c r="C125">
        <f>IF(ISBLANK(H125),"",VLOOKUP(H125,Code!B:C,2,FALSE))</f>
        <v>10</v>
      </c>
      <c r="D125">
        <v>2017</v>
      </c>
      <c r="E125">
        <v>110635</v>
      </c>
      <c r="F125" t="s">
        <v>63</v>
      </c>
      <c r="G125" t="s">
        <v>289</v>
      </c>
      <c r="H125" t="s">
        <v>4</v>
      </c>
      <c r="I125" cm="1">
        <f t="array" ref="I125">IF(B125=0,INDEX('Category 14'!F:F,MATCH(C125&amp;E125&amp;D125,'Category 14'!B:B&amp;'Category 14'!C:C&amp;'Category 14'!A:A,0)),INDEX('Category 14'!G:G,MATCH(C125&amp;E125&amp;D125,'Category 14'!B:B&amp;'Category 14'!C:C&amp;'Category 14'!A:A,0)))</f>
        <v>0</v>
      </c>
      <c r="J125">
        <f>I125/VLOOKUP($D125,CPI!$P$16:$R$22,3,FALSE)</f>
        <v>0</v>
      </c>
      <c r="K125" cm="1">
        <f t="array" ref="K125">IF(B125=0,INDEX('Category 15'!F:F,MATCH(C125&amp;E125&amp;D125,'Category 15'!B:B&amp;'Category 15'!C:C&amp;'Category 15'!A:A,0)),INDEX('Category 15'!G:G,MATCH(C125&amp;E125&amp;D125,'Category 15'!B:B&amp;'Category 31'!C:C&amp;'Category 15'!A:A,0)))</f>
        <v>0</v>
      </c>
      <c r="L125">
        <f>K125/VLOOKUP($D125,CPI!$P$16:$R$22,3,FALSE)</f>
        <v>0</v>
      </c>
      <c r="M125" s="16" cm="1">
        <f t="array" ref="M125">IF(B125=0,INDEX('Category 31'!F:F,MATCH(C125&amp;E125&amp;D125,'Category 31'!B:B&amp;'Category 31'!C:C&amp;'Category 31'!A:A,0)),INDEX('Category 31'!G:G,MATCH(C125&amp;E125&amp;D125,'Category 31'!B:B&amp;'Category 31'!C:C&amp;'Category 31'!A:A,0)))</f>
        <v>2419</v>
      </c>
      <c r="N125" s="16">
        <f>M125/VLOOKUP($D125,CPI!$P$16:$R$22,3,FALSE)</f>
        <v>2987.5120777724896</v>
      </c>
      <c r="O125">
        <v>0</v>
      </c>
    </row>
    <row r="126" spans="1:15" ht="16" thickBot="1" x14ac:dyDescent="0.25">
      <c r="A126" s="15">
        <v>2</v>
      </c>
      <c r="B126">
        <f t="shared" si="1"/>
        <v>0</v>
      </c>
      <c r="C126">
        <f>IF(ISBLANK(H126),"",VLOOKUP(H126,Code!B:C,2,FALSE))</f>
        <v>17</v>
      </c>
      <c r="D126">
        <v>2017</v>
      </c>
      <c r="E126">
        <v>110635</v>
      </c>
      <c r="F126" t="s">
        <v>63</v>
      </c>
      <c r="G126" t="s">
        <v>289</v>
      </c>
      <c r="H126" t="s">
        <v>5</v>
      </c>
      <c r="I126" cm="1">
        <f t="array" ref="I126">IF(B126=0,INDEX('Category 14'!F:F,MATCH(C126&amp;E126&amp;D126,'Category 14'!B:B&amp;'Category 14'!C:C&amp;'Category 14'!A:A,0)),INDEX('Category 14'!G:G,MATCH(C126&amp;E126&amp;D126,'Category 14'!B:B&amp;'Category 14'!C:C&amp;'Category 14'!A:A,0)))</f>
        <v>260</v>
      </c>
      <c r="J126">
        <f>I126/VLOOKUP($D126,CPI!$P$16:$R$22,3,FALSE)</f>
        <v>321.10506003342175</v>
      </c>
      <c r="K126" cm="1">
        <f t="array" ref="K126">IF(B126=0,INDEX('Category 15'!F:F,MATCH(C126&amp;E126&amp;D126,'Category 15'!B:B&amp;'Category 15'!C:C&amp;'Category 15'!A:A,0)),INDEX('Category 15'!G:G,MATCH(C126&amp;E126&amp;D126,'Category 15'!B:B&amp;'Category 31'!C:C&amp;'Category 15'!A:A,0)))</f>
        <v>0</v>
      </c>
      <c r="L126">
        <f>K126/VLOOKUP($D126,CPI!$P$16:$R$22,3,FALSE)</f>
        <v>0</v>
      </c>
      <c r="M126" s="16" cm="1">
        <f t="array" ref="M126">IF(B126=0,INDEX('Category 31'!F:F,MATCH(C126&amp;E126&amp;D126,'Category 31'!B:B&amp;'Category 31'!C:C&amp;'Category 31'!A:A,0)),INDEX('Category 31'!G:G,MATCH(C126&amp;E126&amp;D126,'Category 31'!B:B&amp;'Category 31'!C:C&amp;'Category 31'!A:A,0)))</f>
        <v>14360</v>
      </c>
      <c r="N126" s="16">
        <f>M126/VLOOKUP($D126,CPI!$P$16:$R$22,3,FALSE)</f>
        <v>17734.879469538217</v>
      </c>
      <c r="O126">
        <f>VLOOKUP(E123,MSoccer!C:S,6,FALSE)</f>
        <v>3993</v>
      </c>
    </row>
    <row r="127" spans="1:15" ht="16" thickBot="1" x14ac:dyDescent="0.25">
      <c r="A127" s="15">
        <v>2</v>
      </c>
      <c r="B127">
        <f t="shared" si="1"/>
        <v>0</v>
      </c>
      <c r="C127">
        <f>IF(ISBLANK(H127),"",VLOOKUP(H127,Code!B:C,2,FALSE))</f>
        <v>19</v>
      </c>
      <c r="D127">
        <v>2017</v>
      </c>
      <c r="E127">
        <v>110635</v>
      </c>
      <c r="F127" t="s">
        <v>63</v>
      </c>
      <c r="G127" t="s">
        <v>289</v>
      </c>
      <c r="H127" t="s">
        <v>7</v>
      </c>
      <c r="I127" cm="1">
        <f t="array" ref="I127">IF(B127=0,INDEX('Category 14'!F:F,MATCH(C127&amp;E127&amp;D127,'Category 14'!B:B&amp;'Category 14'!C:C&amp;'Category 14'!A:A,0)),INDEX('Category 14'!G:G,MATCH(C127&amp;E127&amp;D127,'Category 14'!B:B&amp;'Category 14'!C:C&amp;'Category 14'!A:A,0)))</f>
        <v>0</v>
      </c>
      <c r="J127">
        <f>I127/VLOOKUP($D127,CPI!$P$16:$R$22,3,FALSE)</f>
        <v>0</v>
      </c>
      <c r="K127" cm="1">
        <f t="array" ref="K127">IF(B127=0,INDEX('Category 15'!F:F,MATCH(C127&amp;E127&amp;D127,'Category 15'!B:B&amp;'Category 15'!C:C&amp;'Category 15'!A:A,0)),INDEX('Category 15'!G:G,MATCH(C127&amp;E127&amp;D127,'Category 15'!B:B&amp;'Category 31'!C:C&amp;'Category 15'!A:A,0)))</f>
        <v>24920</v>
      </c>
      <c r="L127">
        <f>K127/VLOOKUP($D127,CPI!$P$16:$R$22,3,FALSE)</f>
        <v>30776.684984741809</v>
      </c>
      <c r="M127" s="16" cm="1">
        <f t="array" ref="M127">IF(B127=0,INDEX('Category 31'!F:F,MATCH(C127&amp;E127&amp;D127,'Category 31'!B:B&amp;'Category 31'!C:C&amp;'Category 31'!A:A,0)),INDEX('Category 31'!G:G,MATCH(C127&amp;E127&amp;D127,'Category 31'!B:B&amp;'Category 31'!C:C&amp;'Category 31'!A:A,0)))</f>
        <v>26761</v>
      </c>
      <c r="N127" s="16">
        <f>M127/VLOOKUP($D127,CPI!$P$16:$R$22,3,FALSE)</f>
        <v>33050.355813670772</v>
      </c>
      <c r="O127">
        <v>0</v>
      </c>
    </row>
    <row r="128" spans="1:15" ht="16" thickBot="1" x14ac:dyDescent="0.25">
      <c r="A128" s="15">
        <v>2</v>
      </c>
      <c r="B128">
        <f t="shared" si="1"/>
        <v>0</v>
      </c>
      <c r="C128">
        <f>IF(ISBLANK(H128),"",VLOOKUP(H128,Code!B:C,2,FALSE))</f>
        <v>20</v>
      </c>
      <c r="D128">
        <v>2017</v>
      </c>
      <c r="E128">
        <v>110635</v>
      </c>
      <c r="F128" t="s">
        <v>63</v>
      </c>
      <c r="G128" t="s">
        <v>289</v>
      </c>
      <c r="H128" t="s">
        <v>8</v>
      </c>
      <c r="I128" cm="1">
        <f t="array" ref="I128">IF(B128=0,INDEX('Category 14'!F:F,MATCH(C128&amp;E128&amp;D128,'Category 14'!B:B&amp;'Category 14'!C:C&amp;'Category 14'!A:A,0)),INDEX('Category 14'!G:G,MATCH(C128&amp;E128&amp;D128,'Category 14'!B:B&amp;'Category 14'!C:C&amp;'Category 14'!A:A,0)))</f>
        <v>0</v>
      </c>
      <c r="J128">
        <f>I128/VLOOKUP($D128,CPI!$P$16:$R$22,3,FALSE)</f>
        <v>0</v>
      </c>
      <c r="K128" cm="1">
        <f t="array" ref="K128">IF(B128=0,INDEX('Category 15'!F:F,MATCH(C128&amp;E128&amp;D128,'Category 15'!B:B&amp;'Category 15'!C:C&amp;'Category 15'!A:A,0)),INDEX('Category 15'!G:G,MATCH(C128&amp;E128&amp;D128,'Category 15'!B:B&amp;'Category 31'!C:C&amp;'Category 15'!A:A,0)))</f>
        <v>0</v>
      </c>
      <c r="L128">
        <f>K128/VLOOKUP($D128,CPI!$P$16:$R$22,3,FALSE)</f>
        <v>0</v>
      </c>
      <c r="M128" s="16" cm="1">
        <f t="array" ref="M128">IF(B128=0,INDEX('Category 31'!F:F,MATCH(C128&amp;E128&amp;D128,'Category 31'!B:B&amp;'Category 31'!C:C&amp;'Category 31'!A:A,0)),INDEX('Category 31'!G:G,MATCH(C128&amp;E128&amp;D128,'Category 31'!B:B&amp;'Category 31'!C:C&amp;'Category 31'!A:A,0)))</f>
        <v>13666</v>
      </c>
      <c r="N128" s="16">
        <f>M128/VLOOKUP($D128,CPI!$P$16:$R$22,3,FALSE)</f>
        <v>16877.775963141314</v>
      </c>
      <c r="O128">
        <v>0</v>
      </c>
    </row>
    <row r="129" spans="1:15" ht="16" thickBot="1" x14ac:dyDescent="0.25">
      <c r="A129" s="15">
        <v>2</v>
      </c>
      <c r="B129">
        <f t="shared" si="1"/>
        <v>0</v>
      </c>
      <c r="C129">
        <f>IF(ISBLANK(H129),"",VLOOKUP(H129,Code!B:C,2,FALSE))</f>
        <v>21</v>
      </c>
      <c r="D129">
        <v>2017</v>
      </c>
      <c r="E129">
        <v>110635</v>
      </c>
      <c r="F129" t="s">
        <v>63</v>
      </c>
      <c r="G129" t="s">
        <v>289</v>
      </c>
      <c r="H129" t="s">
        <v>36</v>
      </c>
      <c r="I129" cm="1">
        <f t="array" ref="I129">IF(B129=0,INDEX('Category 14'!F:F,MATCH(C129&amp;E129&amp;D129,'Category 14'!B:B&amp;'Category 14'!C:C&amp;'Category 14'!A:A,0)),INDEX('Category 14'!G:G,MATCH(C129&amp;E129&amp;D129,'Category 14'!B:B&amp;'Category 14'!C:C&amp;'Category 14'!A:A,0)))</f>
        <v>0</v>
      </c>
      <c r="J129">
        <f>I129/VLOOKUP($D129,CPI!$P$16:$R$22,3,FALSE)</f>
        <v>0</v>
      </c>
      <c r="K129" cm="1">
        <f t="array" ref="K129">IF(B129=0,INDEX('Category 15'!F:F,MATCH(C129&amp;E129&amp;D129,'Category 15'!B:B&amp;'Category 15'!C:C&amp;'Category 15'!A:A,0)),INDEX('Category 15'!G:G,MATCH(C129&amp;E129&amp;D129,'Category 15'!B:B&amp;'Category 31'!C:C&amp;'Category 15'!A:A,0)))</f>
        <v>0</v>
      </c>
      <c r="L129">
        <f>K129/VLOOKUP($D129,CPI!$P$16:$R$22,3,FALSE)</f>
        <v>0</v>
      </c>
      <c r="M129" s="16" cm="1">
        <f t="array" ref="M129">IF(B129=0,INDEX('Category 31'!F:F,MATCH(C129&amp;E129&amp;D129,'Category 31'!B:B&amp;'Category 31'!C:C&amp;'Category 31'!A:A,0)),INDEX('Category 31'!G:G,MATCH(C129&amp;E129&amp;D129,'Category 31'!B:B&amp;'Category 31'!C:C&amp;'Category 31'!A:A,0)))</f>
        <v>3093</v>
      </c>
      <c r="N129" s="16">
        <f>M129/VLOOKUP($D129,CPI!$P$16:$R$22,3,FALSE)</f>
        <v>3819.9151949360521</v>
      </c>
      <c r="O129">
        <v>0</v>
      </c>
    </row>
    <row r="130" spans="1:15" ht="16" thickBot="1" x14ac:dyDescent="0.25">
      <c r="A130" s="15">
        <v>2</v>
      </c>
      <c r="B130">
        <f t="shared" si="1"/>
        <v>0</v>
      </c>
      <c r="C130">
        <f>IF(ISBLANK(H130),"",VLOOKUP(H130,Code!B:C,2,FALSE))</f>
        <v>24</v>
      </c>
      <c r="D130">
        <v>2017</v>
      </c>
      <c r="E130">
        <v>110635</v>
      </c>
      <c r="F130" t="s">
        <v>63</v>
      </c>
      <c r="G130" t="s">
        <v>289</v>
      </c>
      <c r="H130" t="s">
        <v>34</v>
      </c>
      <c r="I130" cm="1">
        <f t="array" ref="I130">IF(B130=0,INDEX('Category 14'!F:F,MATCH(C130&amp;E130&amp;D130,'Category 14'!B:B&amp;'Category 14'!C:C&amp;'Category 14'!A:A,0)),INDEX('Category 14'!G:G,MATCH(C130&amp;E130&amp;D130,'Category 14'!B:B&amp;'Category 14'!C:C&amp;'Category 14'!A:A,0)))</f>
        <v>0</v>
      </c>
      <c r="J130">
        <f>I130/VLOOKUP($D130,CPI!$P$16:$R$22,3,FALSE)</f>
        <v>0</v>
      </c>
      <c r="K130" cm="1">
        <f t="array" ref="K130">IF(B130=0,INDEX('Category 15'!F:F,MATCH(C130&amp;E130&amp;D130,'Category 15'!B:B&amp;'Category 15'!C:C&amp;'Category 15'!A:A,0)),INDEX('Category 15'!G:G,MATCH(C130&amp;E130&amp;D130,'Category 15'!B:B&amp;'Category 31'!C:C&amp;'Category 15'!A:A,0)))</f>
        <v>0</v>
      </c>
      <c r="L130">
        <f>K130/VLOOKUP($D130,CPI!$P$16:$R$22,3,FALSE)</f>
        <v>0</v>
      </c>
      <c r="M130" s="16" cm="1">
        <f t="array" ref="M130">IF(B130=0,INDEX('Category 31'!F:F,MATCH(C130&amp;E130&amp;D130,'Category 31'!B:B&amp;'Category 31'!C:C&amp;'Category 31'!A:A,0)),INDEX('Category 31'!G:G,MATCH(C130&amp;E130&amp;D130,'Category 31'!B:B&amp;'Category 31'!C:C&amp;'Category 31'!A:A,0)))</f>
        <v>19151</v>
      </c>
      <c r="N130" s="16">
        <f>M130/VLOOKUP($D130,CPI!$P$16:$R$22,3,FALSE)</f>
        <v>23651.857710384847</v>
      </c>
      <c r="O130">
        <v>0</v>
      </c>
    </row>
    <row r="131" spans="1:15" ht="16" thickBot="1" x14ac:dyDescent="0.25">
      <c r="A131" s="15">
        <v>2</v>
      </c>
      <c r="B131">
        <f t="shared" ref="B131:B194" si="2">IF(ISBLANK(G131),"",IF(MID(G131,1,1)="M",0,1))</f>
        <v>1</v>
      </c>
      <c r="C131">
        <f>IF(ISBLANK(H131),"",VLOOKUP(H131,Code!B:C,2,FALSE))</f>
        <v>2</v>
      </c>
      <c r="D131">
        <v>2017</v>
      </c>
      <c r="E131">
        <v>110635</v>
      </c>
      <c r="F131" t="s">
        <v>63</v>
      </c>
      <c r="G131" t="s">
        <v>290</v>
      </c>
      <c r="H131" t="s">
        <v>1</v>
      </c>
      <c r="I131" cm="1">
        <f t="array" ref="I131">IF(B131=0,INDEX('Category 14'!F:F,MATCH(C131&amp;E131&amp;D131,'Category 14'!B:B&amp;'Category 14'!C:C&amp;'Category 14'!A:A,0)),INDEX('Category 14'!G:G,MATCH(C131&amp;E131&amp;D131,'Category 14'!B:B&amp;'Category 14'!C:C&amp;'Category 14'!A:A,0)))</f>
        <v>671</v>
      </c>
      <c r="J131">
        <f>I131/VLOOKUP($D131,CPI!$P$16:$R$22,3,FALSE)</f>
        <v>828.69805877856152</v>
      </c>
      <c r="K131" cm="1">
        <f t="array" ref="K131">IF(B131=0,INDEX('Category 15'!F:F,MATCH(C131&amp;E131&amp;D131,'Category 15'!B:B&amp;'Category 15'!C:C&amp;'Category 15'!A:A,0)),INDEX('Category 15'!G:G,MATCH(C131&amp;E131&amp;D131,'Category 15'!B:B&amp;'Category 31'!C:C&amp;'Category 15'!A:A,0)))</f>
        <v>0</v>
      </c>
      <c r="L131">
        <f>K131/VLOOKUP($D131,CPI!$P$16:$R$22,3,FALSE)</f>
        <v>0</v>
      </c>
      <c r="M131" s="16" cm="1">
        <f t="array" ref="M131">IF(B131=0,INDEX('Category 31'!F:F,MATCH(C131&amp;E131&amp;D131,'Category 31'!B:B&amp;'Category 31'!C:C&amp;'Category 31'!A:A,0)),INDEX('Category 31'!G:G,MATCH(C131&amp;E131&amp;D131,'Category 31'!B:B&amp;'Category 31'!C:C&amp;'Category 31'!A:A,0)))</f>
        <v>101742</v>
      </c>
      <c r="N131" s="16">
        <f>M131/VLOOKUP($D131,CPI!$P$16:$R$22,3,FALSE)</f>
        <v>125653.3500689246</v>
      </c>
      <c r="O131">
        <f>VLOOKUP(E131,WBasketball!C:S,6,FALSE)</f>
        <v>40666</v>
      </c>
    </row>
    <row r="132" spans="1:15" ht="16" thickBot="1" x14ac:dyDescent="0.25">
      <c r="A132" s="15">
        <v>2</v>
      </c>
      <c r="B132">
        <f t="shared" si="2"/>
        <v>1</v>
      </c>
      <c r="C132">
        <f>IF(ISBLANK(H132),"",VLOOKUP(H132,Code!B:C,2,FALSE))</f>
        <v>3</v>
      </c>
      <c r="D132">
        <v>2017</v>
      </c>
      <c r="E132">
        <v>110635</v>
      </c>
      <c r="F132" t="s">
        <v>63</v>
      </c>
      <c r="G132" t="s">
        <v>290</v>
      </c>
      <c r="H132" t="s">
        <v>21</v>
      </c>
      <c r="I132" cm="1">
        <f t="array" ref="I132">IF(B132=0,INDEX('Category 14'!F:F,MATCH(C132&amp;E132&amp;D132,'Category 14'!B:B&amp;'Category 14'!C:C&amp;'Category 14'!A:A,0)),INDEX('Category 14'!G:G,MATCH(C132&amp;E132&amp;D132,'Category 14'!B:B&amp;'Category 14'!C:C&amp;'Category 14'!A:A,0)))</f>
        <v>0</v>
      </c>
      <c r="J132">
        <f>I132/VLOOKUP($D132,CPI!$P$16:$R$22,3,FALSE)</f>
        <v>0</v>
      </c>
      <c r="K132" cm="1">
        <f t="array" ref="K132">IF(B132=0,INDEX('Category 15'!F:F,MATCH(C132&amp;E132&amp;D132,'Category 15'!B:B&amp;'Category 15'!C:C&amp;'Category 15'!A:A,0)),INDEX('Category 15'!G:G,MATCH(C132&amp;E132&amp;D132,'Category 15'!B:B&amp;'Category 31'!C:C&amp;'Category 15'!A:A,0)))</f>
        <v>0</v>
      </c>
      <c r="L132">
        <f>K132/VLOOKUP($D132,CPI!$P$16:$R$22,3,FALSE)</f>
        <v>0</v>
      </c>
      <c r="M132" s="16" cm="1">
        <f t="array" ref="M132">IF(B132=0,INDEX('Category 31'!F:F,MATCH(C132&amp;E132&amp;D132,'Category 31'!B:B&amp;'Category 31'!C:C&amp;'Category 31'!A:A,0)),INDEX('Category 31'!G:G,MATCH(C132&amp;E132&amp;D132,'Category 31'!B:B&amp;'Category 31'!C:C&amp;'Category 31'!A:A,0)))</f>
        <v>1735</v>
      </c>
      <c r="N132" s="16">
        <f>M132/VLOOKUP($D132,CPI!$P$16:$R$22,3,FALSE)</f>
        <v>2142.7587659922569</v>
      </c>
      <c r="O132">
        <v>0</v>
      </c>
    </row>
    <row r="133" spans="1:15" ht="16" thickBot="1" x14ac:dyDescent="0.25">
      <c r="A133" s="15">
        <v>2</v>
      </c>
      <c r="B133">
        <f t="shared" si="2"/>
        <v>1</v>
      </c>
      <c r="C133">
        <f>IF(ISBLANK(H133),"",VLOOKUP(H133,Code!B:C,2,FALSE))</f>
        <v>7</v>
      </c>
      <c r="D133">
        <v>2017</v>
      </c>
      <c r="E133">
        <v>110635</v>
      </c>
      <c r="F133" t="s">
        <v>63</v>
      </c>
      <c r="G133" t="s">
        <v>290</v>
      </c>
      <c r="H133" t="s">
        <v>25</v>
      </c>
      <c r="I133" cm="1">
        <f t="array" ref="I133">IF(B133=0,INDEX('Category 14'!F:F,MATCH(C133&amp;E133&amp;D133,'Category 14'!B:B&amp;'Category 14'!C:C&amp;'Category 14'!A:A,0)),INDEX('Category 14'!G:G,MATCH(C133&amp;E133&amp;D133,'Category 14'!B:B&amp;'Category 14'!C:C&amp;'Category 14'!A:A,0)))</f>
        <v>0</v>
      </c>
      <c r="J133">
        <f>I133/VLOOKUP($D133,CPI!$P$16:$R$22,3,FALSE)</f>
        <v>0</v>
      </c>
      <c r="K133" cm="1">
        <f t="array" ref="K133">IF(B133=0,INDEX('Category 15'!F:F,MATCH(C133&amp;E133&amp;D133,'Category 15'!B:B&amp;'Category 15'!C:C&amp;'Category 15'!A:A,0)),INDEX('Category 15'!G:G,MATCH(C133&amp;E133&amp;D133,'Category 15'!B:B&amp;'Category 31'!C:C&amp;'Category 15'!A:A,0)))</f>
        <v>0</v>
      </c>
      <c r="L133">
        <f>K133/VLOOKUP($D133,CPI!$P$16:$R$22,3,FALSE)</f>
        <v>0</v>
      </c>
      <c r="M133" s="16" cm="1">
        <f t="array" ref="M133">IF(B133=0,INDEX('Category 31'!F:F,MATCH(C133&amp;E133&amp;D133,'Category 31'!B:B&amp;'Category 31'!C:C&amp;'Category 31'!A:A,0)),INDEX('Category 31'!G:G,MATCH(C133&amp;E133&amp;D133,'Category 31'!B:B&amp;'Category 31'!C:C&amp;'Category 31'!A:A,0)))</f>
        <v>9448</v>
      </c>
      <c r="N133" s="16">
        <f>M133/VLOOKUP($D133,CPI!$P$16:$R$22,3,FALSE)</f>
        <v>11668.46387382988</v>
      </c>
      <c r="O133">
        <f>VLOOKUP(E133,WFieldHockey!C:S,6,FALSE)</f>
        <v>1194</v>
      </c>
    </row>
    <row r="134" spans="1:15" ht="16" thickBot="1" x14ac:dyDescent="0.25">
      <c r="A134" s="15">
        <v>2</v>
      </c>
      <c r="B134">
        <f t="shared" si="2"/>
        <v>1</v>
      </c>
      <c r="C134">
        <f>IF(ISBLANK(H134),"",VLOOKUP(H134,Code!B:C,2,FALSE))</f>
        <v>9</v>
      </c>
      <c r="D134">
        <v>2017</v>
      </c>
      <c r="E134">
        <v>110635</v>
      </c>
      <c r="F134" t="s">
        <v>63</v>
      </c>
      <c r="G134" t="s">
        <v>290</v>
      </c>
      <c r="H134" t="s">
        <v>3</v>
      </c>
      <c r="I134" cm="1">
        <f t="array" ref="I134">IF(B134=0,INDEX('Category 14'!F:F,MATCH(C134&amp;E134&amp;D134,'Category 14'!B:B&amp;'Category 14'!C:C&amp;'Category 14'!A:A,0)),INDEX('Category 14'!G:G,MATCH(C134&amp;E134&amp;D134,'Category 14'!B:B&amp;'Category 14'!C:C&amp;'Category 14'!A:A,0)))</f>
        <v>0</v>
      </c>
      <c r="J134">
        <f>I134/VLOOKUP($D134,CPI!$P$16:$R$22,3,FALSE)</f>
        <v>0</v>
      </c>
      <c r="K134" cm="1">
        <f t="array" ref="K134">IF(B134=0,INDEX('Category 15'!F:F,MATCH(C134&amp;E134&amp;D134,'Category 15'!B:B&amp;'Category 15'!C:C&amp;'Category 15'!A:A,0)),INDEX('Category 15'!G:G,MATCH(C134&amp;E134&amp;D134,'Category 15'!B:B&amp;'Category 31'!C:C&amp;'Category 15'!A:A,0)))</f>
        <v>0</v>
      </c>
      <c r="L134">
        <f>K134/VLOOKUP($D134,CPI!$P$16:$R$22,3,FALSE)</f>
        <v>0</v>
      </c>
      <c r="M134" s="16" cm="1">
        <f t="array" ref="M134">IF(B134=0,INDEX('Category 31'!F:F,MATCH(C134&amp;E134&amp;D134,'Category 31'!B:B&amp;'Category 31'!C:C&amp;'Category 31'!A:A,0)),INDEX('Category 31'!G:G,MATCH(C134&amp;E134&amp;D134,'Category 31'!B:B&amp;'Category 31'!C:C&amp;'Category 31'!A:A,0)))</f>
        <v>6661</v>
      </c>
      <c r="N134" s="16">
        <f>M134/VLOOKUP($D134,CPI!$P$16:$R$22,3,FALSE)</f>
        <v>8226.4646341639327</v>
      </c>
      <c r="O134">
        <v>0</v>
      </c>
    </row>
    <row r="135" spans="1:15" ht="16" thickBot="1" x14ac:dyDescent="0.25">
      <c r="A135" s="15">
        <v>2</v>
      </c>
      <c r="B135">
        <f t="shared" si="2"/>
        <v>1</v>
      </c>
      <c r="C135">
        <f>IF(ISBLANK(H135),"",VLOOKUP(H135,Code!B:C,2,FALSE))</f>
        <v>10</v>
      </c>
      <c r="D135">
        <v>2017</v>
      </c>
      <c r="E135">
        <v>110635</v>
      </c>
      <c r="F135" t="s">
        <v>63</v>
      </c>
      <c r="G135" t="s">
        <v>290</v>
      </c>
      <c r="H135" t="s">
        <v>4</v>
      </c>
      <c r="I135" cm="1">
        <f t="array" ref="I135">IF(B135=0,INDEX('Category 14'!F:F,MATCH(C135&amp;E135&amp;D135,'Category 14'!B:B&amp;'Category 14'!C:C&amp;'Category 14'!A:A,0)),INDEX('Category 14'!G:G,MATCH(C135&amp;E135&amp;D135,'Category 14'!B:B&amp;'Category 14'!C:C&amp;'Category 14'!A:A,0)))</f>
        <v>0</v>
      </c>
      <c r="J135">
        <f>I135/VLOOKUP($D135,CPI!$P$16:$R$22,3,FALSE)</f>
        <v>0</v>
      </c>
      <c r="K135" cm="1">
        <f t="array" ref="K135">IF(B135=0,INDEX('Category 15'!F:F,MATCH(C135&amp;E135&amp;D135,'Category 15'!B:B&amp;'Category 15'!C:C&amp;'Category 15'!A:A,0)),INDEX('Category 15'!G:G,MATCH(C135&amp;E135&amp;D135,'Category 15'!B:B&amp;'Category 31'!C:C&amp;'Category 15'!A:A,0)))</f>
        <v>0</v>
      </c>
      <c r="L135">
        <f>K135/VLOOKUP($D135,CPI!$P$16:$R$22,3,FALSE)</f>
        <v>0</v>
      </c>
      <c r="M135" s="16" cm="1">
        <f t="array" ref="M135">IF(B135=0,INDEX('Category 31'!F:F,MATCH(C135&amp;E135&amp;D135,'Category 31'!B:B&amp;'Category 31'!C:C&amp;'Category 31'!A:A,0)),INDEX('Category 31'!G:G,MATCH(C135&amp;E135&amp;D135,'Category 31'!B:B&amp;'Category 31'!C:C&amp;'Category 31'!A:A,0)))</f>
        <v>4814</v>
      </c>
      <c r="N135" s="16">
        <f>M135/VLOOKUP($D135,CPI!$P$16:$R$22,3,FALSE)</f>
        <v>5945.3836884649709</v>
      </c>
      <c r="O135">
        <v>0</v>
      </c>
    </row>
    <row r="136" spans="1:15" ht="16" thickBot="1" x14ac:dyDescent="0.25">
      <c r="A136" s="15">
        <v>2</v>
      </c>
      <c r="B136">
        <f t="shared" si="2"/>
        <v>1</v>
      </c>
      <c r="C136">
        <f>IF(ISBLANK(H136),"",VLOOKUP(H136,Code!B:C,2,FALSE))</f>
        <v>12</v>
      </c>
      <c r="D136">
        <v>2017</v>
      </c>
      <c r="E136">
        <v>110635</v>
      </c>
      <c r="F136" t="s">
        <v>63</v>
      </c>
      <c r="G136" t="s">
        <v>290</v>
      </c>
      <c r="H136" t="s">
        <v>27</v>
      </c>
      <c r="I136" cm="1">
        <f t="array" ref="I136">IF(B136=0,INDEX('Category 14'!F:F,MATCH(C136&amp;E136&amp;D136,'Category 14'!B:B&amp;'Category 14'!C:C&amp;'Category 14'!A:A,0)),INDEX('Category 14'!G:G,MATCH(C136&amp;E136&amp;D136,'Category 14'!B:B&amp;'Category 14'!C:C&amp;'Category 14'!A:A,0)))</f>
        <v>0</v>
      </c>
      <c r="J136">
        <f>I136/VLOOKUP($D136,CPI!$P$16:$R$22,3,FALSE)</f>
        <v>0</v>
      </c>
      <c r="K136" cm="1">
        <f t="array" ref="K136">IF(B136=0,INDEX('Category 15'!F:F,MATCH(C136&amp;E136&amp;D136,'Category 15'!B:B&amp;'Category 15'!C:C&amp;'Category 15'!A:A,0)),INDEX('Category 15'!G:G,MATCH(C136&amp;E136&amp;D136,'Category 15'!B:B&amp;'Category 31'!C:C&amp;'Category 15'!A:A,0)))</f>
        <v>0</v>
      </c>
      <c r="L136">
        <f>K136/VLOOKUP($D136,CPI!$P$16:$R$22,3,FALSE)</f>
        <v>0</v>
      </c>
      <c r="M136" s="16" cm="1">
        <f t="array" ref="M136">IF(B136=0,INDEX('Category 31'!F:F,MATCH(C136&amp;E136&amp;D136,'Category 31'!B:B&amp;'Category 31'!C:C&amp;'Category 31'!A:A,0)),INDEX('Category 31'!G:G,MATCH(C136&amp;E136&amp;D136,'Category 31'!B:B&amp;'Category 31'!C:C&amp;'Category 31'!A:A,0)))</f>
        <v>2364</v>
      </c>
      <c r="N136" s="16">
        <f>M136/VLOOKUP($D136,CPI!$P$16:$R$22,3,FALSE)</f>
        <v>2919.5860073808039</v>
      </c>
      <c r="O136">
        <f>VLOOKUP(E136,WLacrosse!C:S,6,FALSE)</f>
        <v>1273</v>
      </c>
    </row>
    <row r="137" spans="1:15" ht="16" thickBot="1" x14ac:dyDescent="0.25">
      <c r="A137" s="15">
        <v>2</v>
      </c>
      <c r="B137">
        <f t="shared" si="2"/>
        <v>1</v>
      </c>
      <c r="C137">
        <f>IF(ISBLANK(H137),"",VLOOKUP(H137,Code!B:C,2,FALSE))</f>
        <v>14</v>
      </c>
      <c r="D137">
        <v>2017</v>
      </c>
      <c r="E137">
        <v>110635</v>
      </c>
      <c r="F137" t="s">
        <v>63</v>
      </c>
      <c r="G137" t="s">
        <v>290</v>
      </c>
      <c r="H137" t="s">
        <v>29</v>
      </c>
      <c r="I137" cm="1">
        <f t="array" ref="I137">IF(B137=0,INDEX('Category 14'!F:F,MATCH(C137&amp;E137&amp;D137,'Category 14'!B:B&amp;'Category 14'!C:C&amp;'Category 14'!A:A,0)),INDEX('Category 14'!G:G,MATCH(C137&amp;E137&amp;D137,'Category 14'!B:B&amp;'Category 14'!C:C&amp;'Category 14'!A:A,0)))</f>
        <v>0</v>
      </c>
      <c r="J137">
        <f>I137/VLOOKUP($D137,CPI!$P$16:$R$22,3,FALSE)</f>
        <v>0</v>
      </c>
      <c r="K137" cm="1">
        <f t="array" ref="K137">IF(B137=0,INDEX('Category 15'!F:F,MATCH(C137&amp;E137&amp;D137,'Category 15'!B:B&amp;'Category 15'!C:C&amp;'Category 15'!A:A,0)),INDEX('Category 15'!G:G,MATCH(C137&amp;E137&amp;D137,'Category 15'!B:B&amp;'Category 31'!C:C&amp;'Category 15'!A:A,0)))</f>
        <v>0</v>
      </c>
      <c r="L137">
        <f>K137/VLOOKUP($D137,CPI!$P$16:$R$22,3,FALSE)</f>
        <v>0</v>
      </c>
      <c r="M137" s="16" cm="1">
        <f t="array" ref="M137">IF(B137=0,INDEX('Category 31'!F:F,MATCH(C137&amp;E137&amp;D137,'Category 31'!B:B&amp;'Category 31'!C:C&amp;'Category 31'!A:A,0)),INDEX('Category 31'!G:G,MATCH(C137&amp;E137&amp;D137,'Category 31'!B:B&amp;'Category 31'!C:C&amp;'Category 31'!A:A,0)))</f>
        <v>12452</v>
      </c>
      <c r="N137" s="16">
        <f>M137/VLOOKUP($D137,CPI!$P$16:$R$22,3,FALSE)</f>
        <v>15378.462336677569</v>
      </c>
      <c r="O137">
        <v>0</v>
      </c>
    </row>
    <row r="138" spans="1:15" ht="16" thickBot="1" x14ac:dyDescent="0.25">
      <c r="A138" s="15">
        <v>2</v>
      </c>
      <c r="B138">
        <f t="shared" si="2"/>
        <v>1</v>
      </c>
      <c r="C138">
        <f>IF(ISBLANK(H138),"",VLOOKUP(H138,Code!B:C,2,FALSE))</f>
        <v>17</v>
      </c>
      <c r="D138">
        <v>2017</v>
      </c>
      <c r="E138">
        <v>110635</v>
      </c>
      <c r="F138" t="s">
        <v>63</v>
      </c>
      <c r="G138" t="s">
        <v>290</v>
      </c>
      <c r="H138" t="s">
        <v>5</v>
      </c>
      <c r="I138" cm="1">
        <f t="array" ref="I138">IF(B138=0,INDEX('Category 14'!F:F,MATCH(C138&amp;E138&amp;D138,'Category 14'!B:B&amp;'Category 14'!C:C&amp;'Category 14'!A:A,0)),INDEX('Category 14'!G:G,MATCH(C138&amp;E138&amp;D138,'Category 14'!B:B&amp;'Category 14'!C:C&amp;'Category 14'!A:A,0)))</f>
        <v>255</v>
      </c>
      <c r="J138">
        <f>I138/VLOOKUP($D138,CPI!$P$16:$R$22,3,FALSE)</f>
        <v>314.92996272508674</v>
      </c>
      <c r="K138" cm="1">
        <f t="array" ref="K138">IF(B138=0,INDEX('Category 15'!F:F,MATCH(C138&amp;E138&amp;D138,'Category 15'!B:B&amp;'Category 15'!C:C&amp;'Category 15'!A:A,0)),INDEX('Category 15'!G:G,MATCH(C138&amp;E138&amp;D138,'Category 15'!B:B&amp;'Category 31'!C:C&amp;'Category 15'!A:A,0)))</f>
        <v>0</v>
      </c>
      <c r="L138">
        <f>K138/VLOOKUP($D138,CPI!$P$16:$R$22,3,FALSE)</f>
        <v>0</v>
      </c>
      <c r="M138" s="16" cm="1">
        <f t="array" ref="M138">IF(B138=0,INDEX('Category 31'!F:F,MATCH(C138&amp;E138&amp;D138,'Category 31'!B:B&amp;'Category 31'!C:C&amp;'Category 31'!A:A,0)),INDEX('Category 31'!G:G,MATCH(C138&amp;E138&amp;D138,'Category 31'!B:B&amp;'Category 31'!C:C&amp;'Category 31'!A:A,0)))</f>
        <v>16976</v>
      </c>
      <c r="N138" s="16">
        <f>M138/VLOOKUP($D138,CPI!$P$16:$R$22,3,FALSE)</f>
        <v>20965.690381259108</v>
      </c>
      <c r="O138">
        <f>VLOOKUP(E138,WSoccer!C:S,6,FALSE)</f>
        <v>8022</v>
      </c>
    </row>
    <row r="139" spans="1:15" ht="16" thickBot="1" x14ac:dyDescent="0.25">
      <c r="A139" s="15">
        <v>2</v>
      </c>
      <c r="B139">
        <f t="shared" si="2"/>
        <v>1</v>
      </c>
      <c r="C139">
        <f>IF(ISBLANK(H139),"",VLOOKUP(H139,Code!B:C,2,FALSE))</f>
        <v>18</v>
      </c>
      <c r="D139">
        <v>2017</v>
      </c>
      <c r="E139">
        <v>110635</v>
      </c>
      <c r="F139" t="s">
        <v>63</v>
      </c>
      <c r="G139" t="s">
        <v>290</v>
      </c>
      <c r="H139" t="s">
        <v>6</v>
      </c>
      <c r="I139" cm="1">
        <f t="array" ref="I139">IF(B139=0,INDEX('Category 14'!F:F,MATCH(C139&amp;E139&amp;D139,'Category 14'!B:B&amp;'Category 14'!C:C&amp;'Category 14'!A:A,0)),INDEX('Category 14'!G:G,MATCH(C139&amp;E139&amp;D139,'Category 14'!B:B&amp;'Category 14'!C:C&amp;'Category 14'!A:A,0)))</f>
        <v>0</v>
      </c>
      <c r="J139">
        <f>I139/VLOOKUP($D139,CPI!$P$16:$R$22,3,FALSE)</f>
        <v>0</v>
      </c>
      <c r="K139" cm="1">
        <f t="array" ref="K139">IF(B139=0,INDEX('Category 15'!F:F,MATCH(C139&amp;E139&amp;D139,'Category 15'!B:B&amp;'Category 15'!C:C&amp;'Category 15'!A:A,0)),INDEX('Category 15'!G:G,MATCH(C139&amp;E139&amp;D139,'Category 15'!B:B&amp;'Category 31'!C:C&amp;'Category 15'!A:A,0)))</f>
        <v>30000</v>
      </c>
      <c r="L139">
        <f>K139/VLOOKUP($D139,CPI!$P$16:$R$22,3,FALSE)</f>
        <v>37050.583850010204</v>
      </c>
      <c r="M139" s="16" cm="1">
        <f t="array" ref="M139">IF(B139=0,INDEX('Category 31'!F:F,MATCH(C139&amp;E139&amp;D139,'Category 31'!B:B&amp;'Category 31'!C:C&amp;'Category 31'!A:A,0)),INDEX('Category 31'!G:G,MATCH(C139&amp;E139&amp;D139,'Category 31'!B:B&amp;'Category 31'!C:C&amp;'Category 31'!A:A,0)))</f>
        <v>8643</v>
      </c>
      <c r="N139" s="16">
        <f>M139/VLOOKUP($D139,CPI!$P$16:$R$22,3,FALSE)</f>
        <v>10674.27320718794</v>
      </c>
      <c r="O139">
        <f>VLOOKUP(E139,WSoftball!C:S,6,FALSE)</f>
        <v>4129</v>
      </c>
    </row>
    <row r="140" spans="1:15" ht="16" thickBot="1" x14ac:dyDescent="0.25">
      <c r="A140" s="15">
        <v>2</v>
      </c>
      <c r="B140">
        <f t="shared" si="2"/>
        <v>1</v>
      </c>
      <c r="C140">
        <f>IF(ISBLANK(H140),"",VLOOKUP(H140,Code!B:C,2,FALSE))</f>
        <v>19</v>
      </c>
      <c r="D140">
        <v>2017</v>
      </c>
      <c r="E140">
        <v>110635</v>
      </c>
      <c r="F140" t="s">
        <v>63</v>
      </c>
      <c r="G140" t="s">
        <v>290</v>
      </c>
      <c r="H140" t="s">
        <v>7</v>
      </c>
      <c r="I140" cm="1">
        <f t="array" ref="I140">IF(B140=0,INDEX('Category 14'!F:F,MATCH(C140&amp;E140&amp;D140,'Category 14'!B:B&amp;'Category 14'!C:C&amp;'Category 14'!A:A,0)),INDEX('Category 14'!G:G,MATCH(C140&amp;E140&amp;D140,'Category 14'!B:B&amp;'Category 14'!C:C&amp;'Category 14'!A:A,0)))</f>
        <v>0</v>
      </c>
      <c r="J140">
        <f>I140/VLOOKUP($D140,CPI!$P$16:$R$22,3,FALSE)</f>
        <v>0</v>
      </c>
      <c r="K140" cm="1">
        <f t="array" ref="K140">IF(B140=0,INDEX('Category 15'!F:F,MATCH(C140&amp;E140&amp;D140,'Category 15'!B:B&amp;'Category 15'!C:C&amp;'Category 15'!A:A,0)),INDEX('Category 15'!G:G,MATCH(C140&amp;E140&amp;D140,'Category 15'!B:B&amp;'Category 31'!C:C&amp;'Category 15'!A:A,0)))</f>
        <v>0</v>
      </c>
      <c r="L140">
        <f>K140/VLOOKUP($D140,CPI!$P$16:$R$22,3,FALSE)</f>
        <v>0</v>
      </c>
      <c r="M140" s="16" cm="1">
        <f t="array" ref="M140">IF(B140=0,INDEX('Category 31'!F:F,MATCH(C140&amp;E140&amp;D140,'Category 31'!B:B&amp;'Category 31'!C:C&amp;'Category 31'!A:A,0)),INDEX('Category 31'!G:G,MATCH(C140&amp;E140&amp;D140,'Category 31'!B:B&amp;'Category 31'!C:C&amp;'Category 31'!A:A,0)))</f>
        <v>24725</v>
      </c>
      <c r="N140" s="16">
        <f>M140/VLOOKUP($D140,CPI!$P$16:$R$22,3,FALSE)</f>
        <v>30535.856189716742</v>
      </c>
      <c r="O140">
        <v>0</v>
      </c>
    </row>
    <row r="141" spans="1:15" ht="16" thickBot="1" x14ac:dyDescent="0.25">
      <c r="A141" s="15">
        <v>2</v>
      </c>
      <c r="B141">
        <f t="shared" si="2"/>
        <v>1</v>
      </c>
      <c r="C141">
        <f>IF(ISBLANK(H141),"",VLOOKUP(H141,Code!B:C,2,FALSE))</f>
        <v>20</v>
      </c>
      <c r="D141">
        <v>2017</v>
      </c>
      <c r="E141">
        <v>110635</v>
      </c>
      <c r="F141" t="s">
        <v>63</v>
      </c>
      <c r="G141" t="s">
        <v>290</v>
      </c>
      <c r="H141" t="s">
        <v>8</v>
      </c>
      <c r="I141" cm="1">
        <f t="array" ref="I141">IF(B141=0,INDEX('Category 14'!F:F,MATCH(C141&amp;E141&amp;D141,'Category 14'!B:B&amp;'Category 14'!C:C&amp;'Category 14'!A:A,0)),INDEX('Category 14'!G:G,MATCH(C141&amp;E141&amp;D141,'Category 14'!B:B&amp;'Category 14'!C:C&amp;'Category 14'!A:A,0)))</f>
        <v>0</v>
      </c>
      <c r="J141">
        <f>I141/VLOOKUP($D141,CPI!$P$16:$R$22,3,FALSE)</f>
        <v>0</v>
      </c>
      <c r="K141" cm="1">
        <f t="array" ref="K141">IF(B141=0,INDEX('Category 15'!F:F,MATCH(C141&amp;E141&amp;D141,'Category 15'!B:B&amp;'Category 15'!C:C&amp;'Category 15'!A:A,0)),INDEX('Category 15'!G:G,MATCH(C141&amp;E141&amp;D141,'Category 15'!B:B&amp;'Category 31'!C:C&amp;'Category 15'!A:A,0)))</f>
        <v>0</v>
      </c>
      <c r="L141">
        <f>K141/VLOOKUP($D141,CPI!$P$16:$R$22,3,FALSE)</f>
        <v>0</v>
      </c>
      <c r="M141" s="16" cm="1">
        <f t="array" ref="M141">IF(B141=0,INDEX('Category 31'!F:F,MATCH(C141&amp;E141&amp;D141,'Category 31'!B:B&amp;'Category 31'!C:C&amp;'Category 31'!A:A,0)),INDEX('Category 31'!G:G,MATCH(C141&amp;E141&amp;D141,'Category 31'!B:B&amp;'Category 31'!C:C&amp;'Category 31'!A:A,0)))</f>
        <v>10364</v>
      </c>
      <c r="N141" s="16">
        <f>M141/VLOOKUP($D141,CPI!$P$16:$R$22,3,FALSE)</f>
        <v>12799.741700716859</v>
      </c>
      <c r="O141">
        <v>0</v>
      </c>
    </row>
    <row r="142" spans="1:15" ht="16" thickBot="1" x14ac:dyDescent="0.25">
      <c r="A142" s="15">
        <v>2</v>
      </c>
      <c r="B142">
        <f t="shared" si="2"/>
        <v>1</v>
      </c>
      <c r="C142">
        <f>IF(ISBLANK(H142),"",VLOOKUP(H142,Code!B:C,2,FALSE))</f>
        <v>21</v>
      </c>
      <c r="D142">
        <v>2017</v>
      </c>
      <c r="E142">
        <v>110635</v>
      </c>
      <c r="F142" t="s">
        <v>63</v>
      </c>
      <c r="G142" t="s">
        <v>290</v>
      </c>
      <c r="H142" t="s">
        <v>36</v>
      </c>
      <c r="I142" cm="1">
        <f t="array" ref="I142">IF(B142=0,INDEX('Category 14'!F:F,MATCH(C142&amp;E142&amp;D142,'Category 14'!B:B&amp;'Category 14'!C:C&amp;'Category 14'!A:A,0)),INDEX('Category 14'!G:G,MATCH(C142&amp;E142&amp;D142,'Category 14'!B:B&amp;'Category 14'!C:C&amp;'Category 14'!A:A,0)))</f>
        <v>0</v>
      </c>
      <c r="J142">
        <f>I142/VLOOKUP($D142,CPI!$P$16:$R$22,3,FALSE)</f>
        <v>0</v>
      </c>
      <c r="K142" cm="1">
        <f t="array" ref="K142">IF(B142=0,INDEX('Category 15'!F:F,MATCH(C142&amp;E142&amp;D142,'Category 15'!B:B&amp;'Category 15'!C:C&amp;'Category 15'!A:A,0)),INDEX('Category 15'!G:G,MATCH(C142&amp;E142&amp;D142,'Category 15'!B:B&amp;'Category 31'!C:C&amp;'Category 15'!A:A,0)))</f>
        <v>0</v>
      </c>
      <c r="L142">
        <f>K142/VLOOKUP($D142,CPI!$P$16:$R$22,3,FALSE)</f>
        <v>0</v>
      </c>
      <c r="M142" s="16" cm="1">
        <f t="array" ref="M142">IF(B142=0,INDEX('Category 31'!F:F,MATCH(C142&amp;E142&amp;D142,'Category 31'!B:B&amp;'Category 31'!C:C&amp;'Category 31'!A:A,0)),INDEX('Category 31'!G:G,MATCH(C142&amp;E142&amp;D142,'Category 31'!B:B&amp;'Category 31'!C:C&amp;'Category 31'!A:A,0)))</f>
        <v>3183</v>
      </c>
      <c r="N142" s="16">
        <f>M142/VLOOKUP($D142,CPI!$P$16:$R$22,3,FALSE)</f>
        <v>3931.0669464860825</v>
      </c>
      <c r="O142">
        <v>0</v>
      </c>
    </row>
    <row r="143" spans="1:15" ht="16" thickBot="1" x14ac:dyDescent="0.25">
      <c r="A143" s="15">
        <v>2</v>
      </c>
      <c r="B143">
        <f t="shared" si="2"/>
        <v>1</v>
      </c>
      <c r="C143">
        <f>IF(ISBLANK(H143),"",VLOOKUP(H143,Code!B:C,2,FALSE))</f>
        <v>23</v>
      </c>
      <c r="D143">
        <v>2017</v>
      </c>
      <c r="E143">
        <v>110635</v>
      </c>
      <c r="F143" t="s">
        <v>63</v>
      </c>
      <c r="G143" t="s">
        <v>290</v>
      </c>
      <c r="H143" t="s">
        <v>10</v>
      </c>
      <c r="I143" cm="1">
        <f t="array" ref="I143">IF(B143=0,INDEX('Category 14'!F:F,MATCH(C143&amp;E143&amp;D143,'Category 14'!B:B&amp;'Category 14'!C:C&amp;'Category 14'!A:A,0)),INDEX('Category 14'!G:G,MATCH(C143&amp;E143&amp;D143,'Category 14'!B:B&amp;'Category 14'!C:C&amp;'Category 14'!A:A,0)))</f>
        <v>203</v>
      </c>
      <c r="J143">
        <f>I143/VLOOKUP($D143,CPI!$P$16:$R$22,3,FALSE)</f>
        <v>250.70895071840238</v>
      </c>
      <c r="K143" cm="1">
        <f t="array" ref="K143">IF(B143=0,INDEX('Category 15'!F:F,MATCH(C143&amp;E143&amp;D143,'Category 15'!B:B&amp;'Category 15'!C:C&amp;'Category 15'!A:A,0)),INDEX('Category 15'!G:G,MATCH(C143&amp;E143&amp;D143,'Category 15'!B:B&amp;'Category 31'!C:C&amp;'Category 15'!A:A,0)))</f>
        <v>0</v>
      </c>
      <c r="L143">
        <f>K143/VLOOKUP($D143,CPI!$P$16:$R$22,3,FALSE)</f>
        <v>0</v>
      </c>
      <c r="M143" s="16" cm="1">
        <f t="array" ref="M143">IF(B143=0,INDEX('Category 31'!F:F,MATCH(C143&amp;E143&amp;D143,'Category 31'!B:B&amp;'Category 31'!C:C&amp;'Category 31'!A:A,0)),INDEX('Category 31'!G:G,MATCH(C143&amp;E143&amp;D143,'Category 31'!B:B&amp;'Category 31'!C:C&amp;'Category 31'!A:A,0)))</f>
        <v>18691</v>
      </c>
      <c r="N143" s="16">
        <f>M143/VLOOKUP($D143,CPI!$P$16:$R$22,3,FALSE)</f>
        <v>23083.748758018024</v>
      </c>
      <c r="O143">
        <f>VLOOKUP(E143,WVolleyball!C:S,6,FALSE)</f>
        <v>10426</v>
      </c>
    </row>
    <row r="144" spans="1:15" ht="16" thickBot="1" x14ac:dyDescent="0.25">
      <c r="A144" s="15">
        <v>2</v>
      </c>
      <c r="B144">
        <f t="shared" si="2"/>
        <v>1</v>
      </c>
      <c r="C144">
        <f>IF(ISBLANK(H144),"",VLOOKUP(H144,Code!B:C,2,FALSE))</f>
        <v>24</v>
      </c>
      <c r="D144">
        <v>2017</v>
      </c>
      <c r="E144">
        <v>110635</v>
      </c>
      <c r="F144" t="s">
        <v>63</v>
      </c>
      <c r="G144" t="s">
        <v>290</v>
      </c>
      <c r="H144" t="s">
        <v>34</v>
      </c>
      <c r="I144" cm="1">
        <f t="array" ref="I144">IF(B144=0,INDEX('Category 14'!F:F,MATCH(C144&amp;E144&amp;D144,'Category 14'!B:B&amp;'Category 14'!C:C&amp;'Category 14'!A:A,0)),INDEX('Category 14'!G:G,MATCH(C144&amp;E144&amp;D144,'Category 14'!B:B&amp;'Category 14'!C:C&amp;'Category 14'!A:A,0)))</f>
        <v>0</v>
      </c>
      <c r="J144">
        <f>I144/VLOOKUP($D144,CPI!$P$16:$R$22,3,FALSE)</f>
        <v>0</v>
      </c>
      <c r="K144" cm="1">
        <f t="array" ref="K144">IF(B144=0,INDEX('Category 15'!F:F,MATCH(C144&amp;E144&amp;D144,'Category 15'!B:B&amp;'Category 15'!C:C&amp;'Category 15'!A:A,0)),INDEX('Category 15'!G:G,MATCH(C144&amp;E144&amp;D144,'Category 15'!B:B&amp;'Category 31'!C:C&amp;'Category 15'!A:A,0)))</f>
        <v>0</v>
      </c>
      <c r="L144">
        <f>K144/VLOOKUP($D144,CPI!$P$16:$R$22,3,FALSE)</f>
        <v>0</v>
      </c>
      <c r="M144" s="16" cm="1">
        <f t="array" ref="M144">IF(B144=0,INDEX('Category 31'!F:F,MATCH(C144&amp;E144&amp;D144,'Category 31'!B:B&amp;'Category 31'!C:C&amp;'Category 31'!A:A,0)),INDEX('Category 31'!G:G,MATCH(C144&amp;E144&amp;D144,'Category 31'!B:B&amp;'Category 31'!C:C&amp;'Category 31'!A:A,0)))</f>
        <v>16268</v>
      </c>
      <c r="N144" s="16">
        <f>M144/VLOOKUP($D144,CPI!$P$16:$R$22,3,FALSE)</f>
        <v>20091.296602398867</v>
      </c>
      <c r="O144">
        <v>0</v>
      </c>
    </row>
    <row r="145" spans="1:15" ht="16" thickBot="1" x14ac:dyDescent="0.25">
      <c r="A145" s="15">
        <v>2</v>
      </c>
      <c r="B145">
        <f t="shared" si="2"/>
        <v>0</v>
      </c>
      <c r="C145">
        <f>IF(ISBLANK(H145),"",VLOOKUP(H145,Code!B:C,2,FALSE))</f>
        <v>1</v>
      </c>
      <c r="D145">
        <v>2018</v>
      </c>
      <c r="E145">
        <v>110635</v>
      </c>
      <c r="F145" t="s">
        <v>63</v>
      </c>
      <c r="G145" t="s">
        <v>289</v>
      </c>
      <c r="H145" t="s">
        <v>0</v>
      </c>
      <c r="I145" cm="1">
        <f t="array" ref="I145">IF(B145=0,INDEX('Category 14'!F:F,MATCH(C145&amp;E145&amp;D145,'Category 14'!B:B&amp;'Category 14'!C:C&amp;'Category 14'!A:A,0)),INDEX('Category 14'!G:G,MATCH(C145&amp;E145&amp;D145,'Category 14'!B:B&amp;'Category 14'!C:C&amp;'Category 14'!A:A,0)))</f>
        <v>3150</v>
      </c>
      <c r="J145">
        <f>I145/VLOOKUP($D145,CPI!$P$16:$R$22,3,FALSE)</f>
        <v>3804.5562536775678</v>
      </c>
      <c r="K145" cm="1">
        <f t="array" ref="K145">IF(B145=0,INDEX('Category 15'!F:F,MATCH(C145&amp;E145&amp;D145,'Category 15'!B:B&amp;'Category 15'!C:C&amp;'Category 15'!A:A,0)),INDEX('Category 15'!G:G,MATCH(C145&amp;E145&amp;D145,'Category 15'!B:B&amp;'Category 31'!C:C&amp;'Category 15'!A:A,0)))</f>
        <v>30000</v>
      </c>
      <c r="L145">
        <f>K145/VLOOKUP($D145,CPI!$P$16:$R$22,3,FALSE)</f>
        <v>36233.869082643505</v>
      </c>
      <c r="M145" s="16" cm="1">
        <f t="array" ref="M145">IF(B145=0,INDEX('Category 31'!F:F,MATCH(C145&amp;E145&amp;D145,'Category 31'!B:B&amp;'Category 31'!C:C&amp;'Category 31'!A:A,0)),INDEX('Category 31'!G:G,MATCH(C145&amp;E145&amp;D145,'Category 31'!B:B&amp;'Category 31'!C:C&amp;'Category 31'!A:A,0)))</f>
        <v>9036</v>
      </c>
      <c r="N145" s="16">
        <f>M145/VLOOKUP($D145,CPI!$P$16:$R$22,3,FALSE)</f>
        <v>10913.641367692222</v>
      </c>
      <c r="O145">
        <f>VLOOKUP(E121,MBaseball!C:R,7,FALSE)</f>
        <v>20930</v>
      </c>
    </row>
    <row r="146" spans="1:15" ht="16" thickBot="1" x14ac:dyDescent="0.25">
      <c r="A146" s="15">
        <v>2</v>
      </c>
      <c r="B146">
        <f t="shared" si="2"/>
        <v>0</v>
      </c>
      <c r="C146">
        <f>IF(ISBLANK(H146),"",VLOOKUP(H146,Code!B:C,2,FALSE))</f>
        <v>2</v>
      </c>
      <c r="D146">
        <v>2018</v>
      </c>
      <c r="E146">
        <v>110635</v>
      </c>
      <c r="F146" t="s">
        <v>63</v>
      </c>
      <c r="G146" t="s">
        <v>289</v>
      </c>
      <c r="H146" t="s">
        <v>1</v>
      </c>
      <c r="I146" cm="1">
        <f t="array" ref="I146">IF(B146=0,INDEX('Category 14'!F:F,MATCH(C146&amp;E146&amp;D146,'Category 14'!B:B&amp;'Category 14'!C:C&amp;'Category 14'!A:A,0)),INDEX('Category 14'!G:G,MATCH(C146&amp;E146&amp;D146,'Category 14'!B:B&amp;'Category 14'!C:C&amp;'Category 14'!A:A,0)))</f>
        <v>629</v>
      </c>
      <c r="J146">
        <f>I146/VLOOKUP($D146,CPI!$P$16:$R$22,3,FALSE)</f>
        <v>759.70345509942547</v>
      </c>
      <c r="K146" cm="1">
        <f t="array" ref="K146">IF(B146=0,INDEX('Category 15'!F:F,MATCH(C146&amp;E146&amp;D146,'Category 15'!B:B&amp;'Category 15'!C:C&amp;'Category 15'!A:A,0)),INDEX('Category 15'!G:G,MATCH(C146&amp;E146&amp;D146,'Category 15'!B:B&amp;'Category 31'!C:C&amp;'Category 15'!A:A,0)))</f>
        <v>0</v>
      </c>
      <c r="L146">
        <f>K146/VLOOKUP($D146,CPI!$P$16:$R$22,3,FALSE)</f>
        <v>0</v>
      </c>
      <c r="M146" s="16" cm="1">
        <f t="array" ref="M146">IF(B146=0,INDEX('Category 31'!F:F,MATCH(C146&amp;E146&amp;D146,'Category 31'!B:B&amp;'Category 31'!C:C&amp;'Category 31'!A:A,0)),INDEX('Category 31'!G:G,MATCH(C146&amp;E146&amp;D146,'Category 31'!B:B&amp;'Category 31'!C:C&amp;'Category 31'!A:A,0)))</f>
        <v>253154</v>
      </c>
      <c r="N146" s="16">
        <f>M146/VLOOKUP($D146,CPI!$P$16:$R$22,3,FALSE)</f>
        <v>305758.29645825113</v>
      </c>
      <c r="O146">
        <f>VLOOKUP(E146,MBasketball!C:P,7,FALSE)</f>
        <v>125386</v>
      </c>
    </row>
    <row r="147" spans="1:15" ht="16" thickBot="1" x14ac:dyDescent="0.25">
      <c r="A147" s="15">
        <v>2</v>
      </c>
      <c r="B147">
        <f t="shared" si="2"/>
        <v>0</v>
      </c>
      <c r="C147">
        <f>IF(ISBLANK(H147),"",VLOOKUP(H147,Code!B:C,2,FALSE))</f>
        <v>8</v>
      </c>
      <c r="D147">
        <v>2018</v>
      </c>
      <c r="E147">
        <v>110635</v>
      </c>
      <c r="F147" t="s">
        <v>63</v>
      </c>
      <c r="G147" t="s">
        <v>289</v>
      </c>
      <c r="H147" t="s">
        <v>2</v>
      </c>
      <c r="I147" cm="1">
        <f t="array" ref="I147">IF(B147=0,INDEX('Category 14'!F:F,MATCH(C147&amp;E147&amp;D147,'Category 14'!B:B&amp;'Category 14'!C:C&amp;'Category 14'!A:A,0)),INDEX('Category 14'!G:G,MATCH(C147&amp;E147&amp;D147,'Category 14'!B:B&amp;'Category 14'!C:C&amp;'Category 14'!A:A,0)))</f>
        <v>467266</v>
      </c>
      <c r="J147">
        <f>I147/VLOOKUP($D147,CPI!$P$16:$R$22,3,FALSE)</f>
        <v>564361.83569234994</v>
      </c>
      <c r="K147" cm="1">
        <f t="array" ref="K147">IF(B147=0,INDEX('Category 15'!F:F,MATCH(C147&amp;E147&amp;D147,'Category 15'!B:B&amp;'Category 15'!C:C&amp;'Category 15'!A:A,0)),INDEX('Category 15'!G:G,MATCH(C147&amp;E147&amp;D147,'Category 15'!B:B&amp;'Category 31'!C:C&amp;'Category 15'!A:A,0)))</f>
        <v>0</v>
      </c>
      <c r="L147">
        <f>K147/VLOOKUP($D147,CPI!$P$16:$R$22,3,FALSE)</f>
        <v>0</v>
      </c>
      <c r="M147" s="16" cm="1">
        <f t="array" ref="M147">IF(B147=0,INDEX('Category 31'!F:F,MATCH(C147&amp;E147&amp;D147,'Category 31'!B:B&amp;'Category 31'!C:C&amp;'Category 31'!A:A,0)),INDEX('Category 31'!G:G,MATCH(C147&amp;E147&amp;D147,'Category 31'!B:B&amp;'Category 31'!C:C&amp;'Category 31'!A:A,0)))</f>
        <v>896192</v>
      </c>
      <c r="N147" s="16">
        <f>M147/VLOOKUP($D147,CPI!$P$16:$R$22,3,FALSE)</f>
        <v>1082416.7866970815</v>
      </c>
      <c r="O147">
        <f>VLOOKUP(E147,MFootball!C:S,7,FALSE)</f>
        <v>219290</v>
      </c>
    </row>
    <row r="148" spans="1:15" ht="16" thickBot="1" x14ac:dyDescent="0.25">
      <c r="A148" s="15">
        <v>2</v>
      </c>
      <c r="B148">
        <f t="shared" si="2"/>
        <v>0</v>
      </c>
      <c r="C148">
        <f>IF(ISBLANK(H148),"",VLOOKUP(H148,Code!B:C,2,FALSE))</f>
        <v>9</v>
      </c>
      <c r="D148">
        <v>2018</v>
      </c>
      <c r="E148">
        <v>110635</v>
      </c>
      <c r="F148" t="s">
        <v>63</v>
      </c>
      <c r="G148" t="s">
        <v>289</v>
      </c>
      <c r="H148" t="s">
        <v>3</v>
      </c>
      <c r="I148" cm="1">
        <f t="array" ref="I148">IF(B148=0,INDEX('Category 14'!F:F,MATCH(C148&amp;E148&amp;D148,'Category 14'!B:B&amp;'Category 14'!C:C&amp;'Category 14'!A:A,0)),INDEX('Category 14'!G:G,MATCH(C148&amp;E148&amp;D148,'Category 14'!B:B&amp;'Category 14'!C:C&amp;'Category 14'!A:A,0)))</f>
        <v>0</v>
      </c>
      <c r="J148">
        <f>I148/VLOOKUP($D148,CPI!$P$16:$R$22,3,FALSE)</f>
        <v>0</v>
      </c>
      <c r="K148" cm="1">
        <f t="array" ref="K148">IF(B148=0,INDEX('Category 15'!F:F,MATCH(C148&amp;E148&amp;D148,'Category 15'!B:B&amp;'Category 15'!C:C&amp;'Category 15'!A:A,0)),INDEX('Category 15'!G:G,MATCH(C148&amp;E148&amp;D148,'Category 15'!B:B&amp;'Category 31'!C:C&amp;'Category 15'!A:A,0)))</f>
        <v>0</v>
      </c>
      <c r="L148">
        <f>K148/VLOOKUP($D148,CPI!$P$16:$R$22,3,FALSE)</f>
        <v>0</v>
      </c>
      <c r="M148" s="16" cm="1">
        <f t="array" ref="M148">IF(B148=0,INDEX('Category 31'!F:F,MATCH(C148&amp;E148&amp;D148,'Category 31'!B:B&amp;'Category 31'!C:C&amp;'Category 31'!A:A,0)),INDEX('Category 31'!G:G,MATCH(C148&amp;E148&amp;D148,'Category 31'!B:B&amp;'Category 31'!C:C&amp;'Category 31'!A:A,0)))</f>
        <v>118733</v>
      </c>
      <c r="N148" s="16">
        <f>M148/VLOOKUP($D148,CPI!$P$16:$R$22,3,FALSE)</f>
        <v>143405.19925965037</v>
      </c>
      <c r="O148">
        <v>0</v>
      </c>
    </row>
    <row r="149" spans="1:15" ht="16" thickBot="1" x14ac:dyDescent="0.25">
      <c r="A149" s="15">
        <v>2</v>
      </c>
      <c r="B149">
        <f t="shared" si="2"/>
        <v>0</v>
      </c>
      <c r="C149">
        <f>IF(ISBLANK(H149),"",VLOOKUP(H149,Code!B:C,2,FALSE))</f>
        <v>10</v>
      </c>
      <c r="D149">
        <v>2018</v>
      </c>
      <c r="E149">
        <v>110635</v>
      </c>
      <c r="F149" t="s">
        <v>63</v>
      </c>
      <c r="G149" t="s">
        <v>289</v>
      </c>
      <c r="H149" t="s">
        <v>4</v>
      </c>
      <c r="I149" cm="1">
        <f t="array" ref="I149">IF(B149=0,INDEX('Category 14'!F:F,MATCH(C149&amp;E149&amp;D149,'Category 14'!B:B&amp;'Category 14'!C:C&amp;'Category 14'!A:A,0)),INDEX('Category 14'!G:G,MATCH(C149&amp;E149&amp;D149,'Category 14'!B:B&amp;'Category 14'!C:C&amp;'Category 14'!A:A,0)))</f>
        <v>0</v>
      </c>
      <c r="J149">
        <f>I149/VLOOKUP($D149,CPI!$P$16:$R$22,3,FALSE)</f>
        <v>0</v>
      </c>
      <c r="K149" cm="1">
        <f t="array" ref="K149">IF(B149=0,INDEX('Category 15'!F:F,MATCH(C149&amp;E149&amp;D149,'Category 15'!B:B&amp;'Category 15'!C:C&amp;'Category 15'!A:A,0)),INDEX('Category 15'!G:G,MATCH(C149&amp;E149&amp;D149,'Category 15'!B:B&amp;'Category 31'!C:C&amp;'Category 15'!A:A,0)))</f>
        <v>0</v>
      </c>
      <c r="L149">
        <f>K149/VLOOKUP($D149,CPI!$P$16:$R$22,3,FALSE)</f>
        <v>0</v>
      </c>
      <c r="M149" s="16" cm="1">
        <f t="array" ref="M149">IF(B149=0,INDEX('Category 31'!F:F,MATCH(C149&amp;E149&amp;D149,'Category 31'!B:B&amp;'Category 31'!C:C&amp;'Category 31'!A:A,0)),INDEX('Category 31'!G:G,MATCH(C149&amp;E149&amp;D149,'Category 31'!B:B&amp;'Category 31'!C:C&amp;'Category 31'!A:A,0)))</f>
        <v>1827</v>
      </c>
      <c r="N149" s="16">
        <f>M149/VLOOKUP($D149,CPI!$P$16:$R$22,3,FALSE)</f>
        <v>2206.6426271329892</v>
      </c>
      <c r="O149">
        <v>0</v>
      </c>
    </row>
    <row r="150" spans="1:15" ht="16" thickBot="1" x14ac:dyDescent="0.25">
      <c r="A150" s="15">
        <v>2</v>
      </c>
      <c r="B150">
        <f t="shared" si="2"/>
        <v>0</v>
      </c>
      <c r="C150">
        <f>IF(ISBLANK(H150),"",VLOOKUP(H150,Code!B:C,2,FALSE))</f>
        <v>17</v>
      </c>
      <c r="D150">
        <v>2018</v>
      </c>
      <c r="E150">
        <v>110635</v>
      </c>
      <c r="F150" t="s">
        <v>63</v>
      </c>
      <c r="G150" t="s">
        <v>289</v>
      </c>
      <c r="H150" t="s">
        <v>5</v>
      </c>
      <c r="I150" cm="1">
        <f t="array" ref="I150">IF(B150=0,INDEX('Category 14'!F:F,MATCH(C150&amp;E150&amp;D150,'Category 14'!B:B&amp;'Category 14'!C:C&amp;'Category 14'!A:A,0)),INDEX('Category 14'!G:G,MATCH(C150&amp;E150&amp;D150,'Category 14'!B:B&amp;'Category 14'!C:C&amp;'Category 14'!A:A,0)))</f>
        <v>0</v>
      </c>
      <c r="J150">
        <f>I150/VLOOKUP($D150,CPI!$P$16:$R$22,3,FALSE)</f>
        <v>0</v>
      </c>
      <c r="K150" cm="1">
        <f t="array" ref="K150">IF(B150=0,INDEX('Category 15'!F:F,MATCH(C150&amp;E150&amp;D150,'Category 15'!B:B&amp;'Category 15'!C:C&amp;'Category 15'!A:A,0)),INDEX('Category 15'!G:G,MATCH(C150&amp;E150&amp;D150,'Category 15'!B:B&amp;'Category 31'!C:C&amp;'Category 15'!A:A,0)))</f>
        <v>0</v>
      </c>
      <c r="L150">
        <f>K150/VLOOKUP($D150,CPI!$P$16:$R$22,3,FALSE)</f>
        <v>0</v>
      </c>
      <c r="M150" s="16" cm="1">
        <f t="array" ref="M150">IF(B150=0,INDEX('Category 31'!F:F,MATCH(C150&amp;E150&amp;D150,'Category 31'!B:B&amp;'Category 31'!C:C&amp;'Category 31'!A:A,0)),INDEX('Category 31'!G:G,MATCH(C150&amp;E150&amp;D150,'Category 31'!B:B&amp;'Category 31'!C:C&amp;'Category 31'!A:A,0)))</f>
        <v>12020</v>
      </c>
      <c r="N150" s="16">
        <f>M150/VLOOKUP($D150,CPI!$P$16:$R$22,3,FALSE)</f>
        <v>14517.703545779163</v>
      </c>
      <c r="O150">
        <f>VLOOKUP(E147,MSoccer!C:S,7,FALSE)</f>
        <v>4613</v>
      </c>
    </row>
    <row r="151" spans="1:15" ht="16" thickBot="1" x14ac:dyDescent="0.25">
      <c r="A151" s="15">
        <v>2</v>
      </c>
      <c r="B151">
        <f t="shared" si="2"/>
        <v>0</v>
      </c>
      <c r="C151">
        <f>IF(ISBLANK(H151),"",VLOOKUP(H151,Code!B:C,2,FALSE))</f>
        <v>19</v>
      </c>
      <c r="D151">
        <v>2018</v>
      </c>
      <c r="E151">
        <v>110635</v>
      </c>
      <c r="F151" t="s">
        <v>63</v>
      </c>
      <c r="G151" t="s">
        <v>289</v>
      </c>
      <c r="H151" t="s">
        <v>7</v>
      </c>
      <c r="I151" cm="1">
        <f t="array" ref="I151">IF(B151=0,INDEX('Category 14'!F:F,MATCH(C151&amp;E151&amp;D151,'Category 14'!B:B&amp;'Category 14'!C:C&amp;'Category 14'!A:A,0)),INDEX('Category 14'!G:G,MATCH(C151&amp;E151&amp;D151,'Category 14'!B:B&amp;'Category 14'!C:C&amp;'Category 14'!A:A,0)))</f>
        <v>0</v>
      </c>
      <c r="J151">
        <f>I151/VLOOKUP($D151,CPI!$P$16:$R$22,3,FALSE)</f>
        <v>0</v>
      </c>
      <c r="K151" cm="1">
        <f t="array" ref="K151">IF(B151=0,INDEX('Category 15'!F:F,MATCH(C151&amp;E151&amp;D151,'Category 15'!B:B&amp;'Category 15'!C:C&amp;'Category 15'!A:A,0)),INDEX('Category 15'!G:G,MATCH(C151&amp;E151&amp;D151,'Category 15'!B:B&amp;'Category 31'!C:C&amp;'Category 15'!A:A,0)))</f>
        <v>10000</v>
      </c>
      <c r="L151">
        <f>K151/VLOOKUP($D151,CPI!$P$16:$R$22,3,FALSE)</f>
        <v>12077.956360881168</v>
      </c>
      <c r="M151" s="16" cm="1">
        <f t="array" ref="M151">IF(B151=0,INDEX('Category 31'!F:F,MATCH(C151&amp;E151&amp;D151,'Category 31'!B:B&amp;'Category 31'!C:C&amp;'Category 31'!A:A,0)),INDEX('Category 31'!G:G,MATCH(C151&amp;E151&amp;D151,'Category 31'!B:B&amp;'Category 31'!C:C&amp;'Category 31'!A:A,0)))</f>
        <v>12770</v>
      </c>
      <c r="N151" s="16">
        <f>M151/VLOOKUP($D151,CPI!$P$16:$R$22,3,FALSE)</f>
        <v>15423.55027284525</v>
      </c>
      <c r="O151">
        <v>0</v>
      </c>
    </row>
    <row r="152" spans="1:15" ht="16" thickBot="1" x14ac:dyDescent="0.25">
      <c r="A152" s="15">
        <v>2</v>
      </c>
      <c r="B152">
        <f t="shared" si="2"/>
        <v>0</v>
      </c>
      <c r="C152">
        <f>IF(ISBLANK(H152),"",VLOOKUP(H152,Code!B:C,2,FALSE))</f>
        <v>20</v>
      </c>
      <c r="D152">
        <v>2018</v>
      </c>
      <c r="E152">
        <v>110635</v>
      </c>
      <c r="F152" t="s">
        <v>63</v>
      </c>
      <c r="G152" t="s">
        <v>289</v>
      </c>
      <c r="H152" t="s">
        <v>8</v>
      </c>
      <c r="I152" cm="1">
        <f t="array" ref="I152">IF(B152=0,INDEX('Category 14'!F:F,MATCH(C152&amp;E152&amp;D152,'Category 14'!B:B&amp;'Category 14'!C:C&amp;'Category 14'!A:A,0)),INDEX('Category 14'!G:G,MATCH(C152&amp;E152&amp;D152,'Category 14'!B:B&amp;'Category 14'!C:C&amp;'Category 14'!A:A,0)))</f>
        <v>0</v>
      </c>
      <c r="J152">
        <f>I152/VLOOKUP($D152,CPI!$P$16:$R$22,3,FALSE)</f>
        <v>0</v>
      </c>
      <c r="K152" cm="1">
        <f t="array" ref="K152">IF(B152=0,INDEX('Category 15'!F:F,MATCH(C152&amp;E152&amp;D152,'Category 15'!B:B&amp;'Category 15'!C:C&amp;'Category 15'!A:A,0)),INDEX('Category 15'!G:G,MATCH(C152&amp;E152&amp;D152,'Category 15'!B:B&amp;'Category 31'!C:C&amp;'Category 15'!A:A,0)))</f>
        <v>0</v>
      </c>
      <c r="L152">
        <f>K152/VLOOKUP($D152,CPI!$P$16:$R$22,3,FALSE)</f>
        <v>0</v>
      </c>
      <c r="M152" s="16" cm="1">
        <f t="array" ref="M152">IF(B152=0,INDEX('Category 31'!F:F,MATCH(C152&amp;E152&amp;D152,'Category 31'!B:B&amp;'Category 31'!C:C&amp;'Category 31'!A:A,0)),INDEX('Category 31'!G:G,MATCH(C152&amp;E152&amp;D152,'Category 31'!B:B&amp;'Category 31'!C:C&amp;'Category 31'!A:A,0)))</f>
        <v>10206</v>
      </c>
      <c r="N152" s="16">
        <f>M152/VLOOKUP($D152,CPI!$P$16:$R$22,3,FALSE)</f>
        <v>12326.762261915319</v>
      </c>
      <c r="O152">
        <v>0</v>
      </c>
    </row>
    <row r="153" spans="1:15" ht="16" thickBot="1" x14ac:dyDescent="0.25">
      <c r="A153" s="15">
        <v>2</v>
      </c>
      <c r="B153">
        <f t="shared" si="2"/>
        <v>0</v>
      </c>
      <c r="C153">
        <f>IF(ISBLANK(H153),"",VLOOKUP(H153,Code!B:C,2,FALSE))</f>
        <v>21</v>
      </c>
      <c r="D153">
        <v>2018</v>
      </c>
      <c r="E153">
        <v>110635</v>
      </c>
      <c r="F153" t="s">
        <v>63</v>
      </c>
      <c r="G153" t="s">
        <v>289</v>
      </c>
      <c r="H153" t="s">
        <v>36</v>
      </c>
      <c r="I153" cm="1">
        <f t="array" ref="I153">IF(B153=0,INDEX('Category 14'!F:F,MATCH(C153&amp;E153&amp;D153,'Category 14'!B:B&amp;'Category 14'!C:C&amp;'Category 14'!A:A,0)),INDEX('Category 14'!G:G,MATCH(C153&amp;E153&amp;D153,'Category 14'!B:B&amp;'Category 14'!C:C&amp;'Category 14'!A:A,0)))</f>
        <v>0</v>
      </c>
      <c r="J153">
        <f>I153/VLOOKUP($D153,CPI!$P$16:$R$22,3,FALSE)</f>
        <v>0</v>
      </c>
      <c r="K153" cm="1">
        <f t="array" ref="K153">IF(B153=0,INDEX('Category 15'!F:F,MATCH(C153&amp;E153&amp;D153,'Category 15'!B:B&amp;'Category 15'!C:C&amp;'Category 15'!A:A,0)),INDEX('Category 15'!G:G,MATCH(C153&amp;E153&amp;D153,'Category 15'!B:B&amp;'Category 31'!C:C&amp;'Category 15'!A:A,0)))</f>
        <v>0</v>
      </c>
      <c r="L153">
        <f>K153/VLOOKUP($D153,CPI!$P$16:$R$22,3,FALSE)</f>
        <v>0</v>
      </c>
      <c r="M153" s="16" cm="1">
        <f t="array" ref="M153">IF(B153=0,INDEX('Category 31'!F:F,MATCH(C153&amp;E153&amp;D153,'Category 31'!B:B&amp;'Category 31'!C:C&amp;'Category 31'!A:A,0)),INDEX('Category 31'!G:G,MATCH(C153&amp;E153&amp;D153,'Category 31'!B:B&amp;'Category 31'!C:C&amp;'Category 31'!A:A,0)))</f>
        <v>3692</v>
      </c>
      <c r="N153" s="16">
        <f>M153/VLOOKUP($D153,CPI!$P$16:$R$22,3,FALSE)</f>
        <v>4459.1814884373271</v>
      </c>
      <c r="O153">
        <v>0</v>
      </c>
    </row>
    <row r="154" spans="1:15" ht="16" thickBot="1" x14ac:dyDescent="0.25">
      <c r="A154" s="15">
        <v>2</v>
      </c>
      <c r="B154">
        <f t="shared" si="2"/>
        <v>0</v>
      </c>
      <c r="C154">
        <f>IF(ISBLANK(H154),"",VLOOKUP(H154,Code!B:C,2,FALSE))</f>
        <v>24</v>
      </c>
      <c r="D154">
        <v>2018</v>
      </c>
      <c r="E154">
        <v>110635</v>
      </c>
      <c r="F154" t="s">
        <v>63</v>
      </c>
      <c r="G154" t="s">
        <v>289</v>
      </c>
      <c r="H154" t="s">
        <v>34</v>
      </c>
      <c r="I154" cm="1">
        <f t="array" ref="I154">IF(B154=0,INDEX('Category 14'!F:F,MATCH(C154&amp;E154&amp;D154,'Category 14'!B:B&amp;'Category 14'!C:C&amp;'Category 14'!A:A,0)),INDEX('Category 14'!G:G,MATCH(C154&amp;E154&amp;D154,'Category 14'!B:B&amp;'Category 14'!C:C&amp;'Category 14'!A:A,0)))</f>
        <v>0</v>
      </c>
      <c r="J154">
        <f>I154/VLOOKUP($D154,CPI!$P$16:$R$22,3,FALSE)</f>
        <v>0</v>
      </c>
      <c r="K154" cm="1">
        <f t="array" ref="K154">IF(B154=0,INDEX('Category 15'!F:F,MATCH(C154&amp;E154&amp;D154,'Category 15'!B:B&amp;'Category 15'!C:C&amp;'Category 15'!A:A,0)),INDEX('Category 15'!G:G,MATCH(C154&amp;E154&amp;D154,'Category 15'!B:B&amp;'Category 31'!C:C&amp;'Category 15'!A:A,0)))</f>
        <v>0</v>
      </c>
      <c r="L154">
        <f>K154/VLOOKUP($D154,CPI!$P$16:$R$22,3,FALSE)</f>
        <v>0</v>
      </c>
      <c r="M154" s="16" cm="1">
        <f t="array" ref="M154">IF(B154=0,INDEX('Category 31'!F:F,MATCH(C154&amp;E154&amp;D154,'Category 31'!B:B&amp;'Category 31'!C:C&amp;'Category 31'!A:A,0)),INDEX('Category 31'!G:G,MATCH(C154&amp;E154&amp;D154,'Category 31'!B:B&amp;'Category 31'!C:C&amp;'Category 31'!A:A,0)))</f>
        <v>5216</v>
      </c>
      <c r="N154" s="16">
        <f>M154/VLOOKUP($D154,CPI!$P$16:$R$22,3,FALSE)</f>
        <v>6299.8620378356172</v>
      </c>
      <c r="O154">
        <v>0</v>
      </c>
    </row>
    <row r="155" spans="1:15" ht="16" thickBot="1" x14ac:dyDescent="0.25">
      <c r="A155" s="15">
        <v>2</v>
      </c>
      <c r="B155">
        <f t="shared" si="2"/>
        <v>1</v>
      </c>
      <c r="C155">
        <f>IF(ISBLANK(H155),"",VLOOKUP(H155,Code!B:C,2,FALSE))</f>
        <v>2</v>
      </c>
      <c r="D155">
        <v>2018</v>
      </c>
      <c r="E155">
        <v>110635</v>
      </c>
      <c r="F155" t="s">
        <v>63</v>
      </c>
      <c r="G155" t="s">
        <v>290</v>
      </c>
      <c r="H155" t="s">
        <v>1</v>
      </c>
      <c r="I155" cm="1">
        <f t="array" ref="I155">IF(B155=0,INDEX('Category 14'!F:F,MATCH(C155&amp;E155&amp;D155,'Category 14'!B:B&amp;'Category 14'!C:C&amp;'Category 14'!A:A,0)),INDEX('Category 14'!G:G,MATCH(C155&amp;E155&amp;D155,'Category 14'!B:B&amp;'Category 14'!C:C&amp;'Category 14'!A:A,0)))</f>
        <v>920</v>
      </c>
      <c r="J155">
        <f>I155/VLOOKUP($D155,CPI!$P$16:$R$22,3,FALSE)</f>
        <v>1111.1719852010674</v>
      </c>
      <c r="K155" cm="1">
        <f t="array" ref="K155">IF(B155=0,INDEX('Category 15'!F:F,MATCH(C155&amp;E155&amp;D155,'Category 15'!B:B&amp;'Category 15'!C:C&amp;'Category 15'!A:A,0)),INDEX('Category 15'!G:G,MATCH(C155&amp;E155&amp;D155,'Category 15'!B:B&amp;'Category 31'!C:C&amp;'Category 15'!A:A,0)))</f>
        <v>0</v>
      </c>
      <c r="L155">
        <f>K155/VLOOKUP($D155,CPI!$P$16:$R$22,3,FALSE)</f>
        <v>0</v>
      </c>
      <c r="M155" s="16" cm="1">
        <f t="array" ref="M155">IF(B155=0,INDEX('Category 31'!F:F,MATCH(C155&amp;E155&amp;D155,'Category 31'!B:B&amp;'Category 31'!C:C&amp;'Category 31'!A:A,0)),INDEX('Category 31'!G:G,MATCH(C155&amp;E155&amp;D155,'Category 31'!B:B&amp;'Category 31'!C:C&amp;'Category 31'!A:A,0)))</f>
        <v>54470</v>
      </c>
      <c r="N155" s="16">
        <f>M155/VLOOKUP($D155,CPI!$P$16:$R$22,3,FALSE)</f>
        <v>65788.628297719712</v>
      </c>
      <c r="O155">
        <f>VLOOKUP(E155,WBasketball!C:S,7,FALSE)</f>
        <v>34950</v>
      </c>
    </row>
    <row r="156" spans="1:15" ht="16" thickBot="1" x14ac:dyDescent="0.25">
      <c r="A156" s="15">
        <v>2</v>
      </c>
      <c r="B156">
        <f t="shared" si="2"/>
        <v>1</v>
      </c>
      <c r="C156">
        <f>IF(ISBLANK(H156),"",VLOOKUP(H156,Code!B:C,2,FALSE))</f>
        <v>3</v>
      </c>
      <c r="D156">
        <v>2018</v>
      </c>
      <c r="E156">
        <v>110635</v>
      </c>
      <c r="F156" t="s">
        <v>63</v>
      </c>
      <c r="G156" t="s">
        <v>290</v>
      </c>
      <c r="H156" t="s">
        <v>21</v>
      </c>
      <c r="I156" cm="1">
        <f t="array" ref="I156">IF(B156=0,INDEX('Category 14'!F:F,MATCH(C156&amp;E156&amp;D156,'Category 14'!B:B&amp;'Category 14'!C:C&amp;'Category 14'!A:A,0)),INDEX('Category 14'!G:G,MATCH(C156&amp;E156&amp;D156,'Category 14'!B:B&amp;'Category 14'!C:C&amp;'Category 14'!A:A,0)))</f>
        <v>0</v>
      </c>
      <c r="J156">
        <f>I156/VLOOKUP($D156,CPI!$P$16:$R$22,3,FALSE)</f>
        <v>0</v>
      </c>
      <c r="K156" cm="1">
        <f t="array" ref="K156">IF(B156=0,INDEX('Category 15'!F:F,MATCH(C156&amp;E156&amp;D156,'Category 15'!B:B&amp;'Category 15'!C:C&amp;'Category 15'!A:A,0)),INDEX('Category 15'!G:G,MATCH(C156&amp;E156&amp;D156,'Category 15'!B:B&amp;'Category 31'!C:C&amp;'Category 15'!A:A,0)))</f>
        <v>0</v>
      </c>
      <c r="L156">
        <f>K156/VLOOKUP($D156,CPI!$P$16:$R$22,3,FALSE)</f>
        <v>0</v>
      </c>
      <c r="M156" s="16" cm="1">
        <f t="array" ref="M156">IF(B156=0,INDEX('Category 31'!F:F,MATCH(C156&amp;E156&amp;D156,'Category 31'!B:B&amp;'Category 31'!C:C&amp;'Category 31'!A:A,0)),INDEX('Category 31'!G:G,MATCH(C156&amp;E156&amp;D156,'Category 31'!B:B&amp;'Category 31'!C:C&amp;'Category 31'!A:A,0)))</f>
        <v>5756</v>
      </c>
      <c r="N156" s="16">
        <f>M156/VLOOKUP($D156,CPI!$P$16:$R$22,3,FALSE)</f>
        <v>6952.0716813232002</v>
      </c>
      <c r="O156">
        <v>0</v>
      </c>
    </row>
    <row r="157" spans="1:15" ht="16" thickBot="1" x14ac:dyDescent="0.25">
      <c r="A157" s="15">
        <v>2</v>
      </c>
      <c r="B157">
        <f t="shared" si="2"/>
        <v>1</v>
      </c>
      <c r="C157">
        <f>IF(ISBLANK(H157),"",VLOOKUP(H157,Code!B:C,2,FALSE))</f>
        <v>7</v>
      </c>
      <c r="D157">
        <v>2018</v>
      </c>
      <c r="E157">
        <v>110635</v>
      </c>
      <c r="F157" t="s">
        <v>63</v>
      </c>
      <c r="G157" t="s">
        <v>290</v>
      </c>
      <c r="H157" t="s">
        <v>25</v>
      </c>
      <c r="I157" cm="1">
        <f t="array" ref="I157">IF(B157=0,INDEX('Category 14'!F:F,MATCH(C157&amp;E157&amp;D157,'Category 14'!B:B&amp;'Category 14'!C:C&amp;'Category 14'!A:A,0)),INDEX('Category 14'!G:G,MATCH(C157&amp;E157&amp;D157,'Category 14'!B:B&amp;'Category 14'!C:C&amp;'Category 14'!A:A,0)))</f>
        <v>0</v>
      </c>
      <c r="J157">
        <f>I157/VLOOKUP($D157,CPI!$P$16:$R$22,3,FALSE)</f>
        <v>0</v>
      </c>
      <c r="K157" cm="1">
        <f t="array" ref="K157">IF(B157=0,INDEX('Category 15'!F:F,MATCH(C157&amp;E157&amp;D157,'Category 15'!B:B&amp;'Category 15'!C:C&amp;'Category 15'!A:A,0)),INDEX('Category 15'!G:G,MATCH(C157&amp;E157&amp;D157,'Category 15'!B:B&amp;'Category 31'!C:C&amp;'Category 15'!A:A,0)))</f>
        <v>0</v>
      </c>
      <c r="L157">
        <f>K157/VLOOKUP($D157,CPI!$P$16:$R$22,3,FALSE)</f>
        <v>0</v>
      </c>
      <c r="M157" s="16" cm="1">
        <f t="array" ref="M157">IF(B157=0,INDEX('Category 31'!F:F,MATCH(C157&amp;E157&amp;D157,'Category 31'!B:B&amp;'Category 31'!C:C&amp;'Category 31'!A:A,0)),INDEX('Category 31'!G:G,MATCH(C157&amp;E157&amp;D157,'Category 31'!B:B&amp;'Category 31'!C:C&amp;'Category 31'!A:A,0)))</f>
        <v>10539</v>
      </c>
      <c r="N157" s="16">
        <f>M157/VLOOKUP($D157,CPI!$P$16:$R$22,3,FALSE)</f>
        <v>12728.958208732662</v>
      </c>
      <c r="O157">
        <f>VLOOKUP(E157,WFieldHockey!C:S,7,FALSE)</f>
        <v>1409</v>
      </c>
    </row>
    <row r="158" spans="1:15" ht="16" thickBot="1" x14ac:dyDescent="0.25">
      <c r="A158" s="15">
        <v>2</v>
      </c>
      <c r="B158">
        <f t="shared" si="2"/>
        <v>1</v>
      </c>
      <c r="C158">
        <f>IF(ISBLANK(H158),"",VLOOKUP(H158,Code!B:C,2,FALSE))</f>
        <v>9</v>
      </c>
      <c r="D158">
        <v>2018</v>
      </c>
      <c r="E158">
        <v>110635</v>
      </c>
      <c r="F158" t="s">
        <v>63</v>
      </c>
      <c r="G158" t="s">
        <v>290</v>
      </c>
      <c r="H158" t="s">
        <v>3</v>
      </c>
      <c r="I158" cm="1">
        <f t="array" ref="I158">IF(B158=0,INDEX('Category 14'!F:F,MATCH(C158&amp;E158&amp;D158,'Category 14'!B:B&amp;'Category 14'!C:C&amp;'Category 14'!A:A,0)),INDEX('Category 14'!G:G,MATCH(C158&amp;E158&amp;D158,'Category 14'!B:B&amp;'Category 14'!C:C&amp;'Category 14'!A:A,0)))</f>
        <v>0</v>
      </c>
      <c r="J158">
        <f>I158/VLOOKUP($D158,CPI!$P$16:$R$22,3,FALSE)</f>
        <v>0</v>
      </c>
      <c r="K158" cm="1">
        <f t="array" ref="K158">IF(B158=0,INDEX('Category 15'!F:F,MATCH(C158&amp;E158&amp;D158,'Category 15'!B:B&amp;'Category 15'!C:C&amp;'Category 15'!A:A,0)),INDEX('Category 15'!G:G,MATCH(C158&amp;E158&amp;D158,'Category 15'!B:B&amp;'Category 31'!C:C&amp;'Category 15'!A:A,0)))</f>
        <v>0</v>
      </c>
      <c r="L158">
        <f>K158/VLOOKUP($D158,CPI!$P$16:$R$22,3,FALSE)</f>
        <v>0</v>
      </c>
      <c r="M158" s="16" cm="1">
        <f t="array" ref="M158">IF(B158=0,INDEX('Category 31'!F:F,MATCH(C158&amp;E158&amp;D158,'Category 31'!B:B&amp;'Category 31'!C:C&amp;'Category 31'!A:A,0)),INDEX('Category 31'!G:G,MATCH(C158&amp;E158&amp;D158,'Category 31'!B:B&amp;'Category 31'!C:C&amp;'Category 31'!A:A,0)))</f>
        <v>13441</v>
      </c>
      <c r="N158" s="16">
        <f>M158/VLOOKUP($D158,CPI!$P$16:$R$22,3,FALSE)</f>
        <v>16233.981144660376</v>
      </c>
      <c r="O158">
        <v>0</v>
      </c>
    </row>
    <row r="159" spans="1:15" ht="16" thickBot="1" x14ac:dyDescent="0.25">
      <c r="A159" s="15">
        <v>2</v>
      </c>
      <c r="B159">
        <f t="shared" si="2"/>
        <v>1</v>
      </c>
      <c r="C159">
        <f>IF(ISBLANK(H159),"",VLOOKUP(H159,Code!B:C,2,FALSE))</f>
        <v>10</v>
      </c>
      <c r="D159">
        <v>2018</v>
      </c>
      <c r="E159">
        <v>110635</v>
      </c>
      <c r="F159" t="s">
        <v>63</v>
      </c>
      <c r="G159" t="s">
        <v>290</v>
      </c>
      <c r="H159" t="s">
        <v>4</v>
      </c>
      <c r="I159" cm="1">
        <f t="array" ref="I159">IF(B159=0,INDEX('Category 14'!F:F,MATCH(C159&amp;E159&amp;D159,'Category 14'!B:B&amp;'Category 14'!C:C&amp;'Category 14'!A:A,0)),INDEX('Category 14'!G:G,MATCH(C159&amp;E159&amp;D159,'Category 14'!B:B&amp;'Category 14'!C:C&amp;'Category 14'!A:A,0)))</f>
        <v>0</v>
      </c>
      <c r="J159">
        <f>I159/VLOOKUP($D159,CPI!$P$16:$R$22,3,FALSE)</f>
        <v>0</v>
      </c>
      <c r="K159" cm="1">
        <f t="array" ref="K159">IF(B159=0,INDEX('Category 15'!F:F,MATCH(C159&amp;E159&amp;D159,'Category 15'!B:B&amp;'Category 15'!C:C&amp;'Category 15'!A:A,0)),INDEX('Category 15'!G:G,MATCH(C159&amp;E159&amp;D159,'Category 15'!B:B&amp;'Category 31'!C:C&amp;'Category 15'!A:A,0)))</f>
        <v>0</v>
      </c>
      <c r="L159">
        <f>K159/VLOOKUP($D159,CPI!$P$16:$R$22,3,FALSE)</f>
        <v>0</v>
      </c>
      <c r="M159" s="16" cm="1">
        <f t="array" ref="M159">IF(B159=0,INDEX('Category 31'!F:F,MATCH(C159&amp;E159&amp;D159,'Category 31'!B:B&amp;'Category 31'!C:C&amp;'Category 31'!A:A,0)),INDEX('Category 31'!G:G,MATCH(C159&amp;E159&amp;D159,'Category 31'!B:B&amp;'Category 31'!C:C&amp;'Category 31'!A:A,0)))</f>
        <v>1864</v>
      </c>
      <c r="N159" s="16">
        <f>M159/VLOOKUP($D159,CPI!$P$16:$R$22,3,FALSE)</f>
        <v>2251.3310656682497</v>
      </c>
      <c r="O159">
        <v>0</v>
      </c>
    </row>
    <row r="160" spans="1:15" ht="16" thickBot="1" x14ac:dyDescent="0.25">
      <c r="A160" s="15">
        <v>2</v>
      </c>
      <c r="B160">
        <f t="shared" si="2"/>
        <v>1</v>
      </c>
      <c r="C160">
        <f>IF(ISBLANK(H160),"",VLOOKUP(H160,Code!B:C,2,FALSE))</f>
        <v>12</v>
      </c>
      <c r="D160">
        <v>2018</v>
      </c>
      <c r="E160">
        <v>110635</v>
      </c>
      <c r="F160" t="s">
        <v>63</v>
      </c>
      <c r="G160" t="s">
        <v>290</v>
      </c>
      <c r="H160" t="s">
        <v>27</v>
      </c>
      <c r="I160" cm="1">
        <f t="array" ref="I160">IF(B160=0,INDEX('Category 14'!F:F,MATCH(C160&amp;E160&amp;D160,'Category 14'!B:B&amp;'Category 14'!C:C&amp;'Category 14'!A:A,0)),INDEX('Category 14'!G:G,MATCH(C160&amp;E160&amp;D160,'Category 14'!B:B&amp;'Category 14'!C:C&amp;'Category 14'!A:A,0)))</f>
        <v>0</v>
      </c>
      <c r="J160">
        <f>I160/VLOOKUP($D160,CPI!$P$16:$R$22,3,FALSE)</f>
        <v>0</v>
      </c>
      <c r="K160" cm="1">
        <f t="array" ref="K160">IF(B160=0,INDEX('Category 15'!F:F,MATCH(C160&amp;E160&amp;D160,'Category 15'!B:B&amp;'Category 15'!C:C&amp;'Category 15'!A:A,0)),INDEX('Category 15'!G:G,MATCH(C160&amp;E160&amp;D160,'Category 15'!B:B&amp;'Category 31'!C:C&amp;'Category 15'!A:A,0)))</f>
        <v>0</v>
      </c>
      <c r="L160">
        <f>K160/VLOOKUP($D160,CPI!$P$16:$R$22,3,FALSE)</f>
        <v>0</v>
      </c>
      <c r="M160" s="16" cm="1">
        <f t="array" ref="M160">IF(B160=0,INDEX('Category 31'!F:F,MATCH(C160&amp;E160&amp;D160,'Category 31'!B:B&amp;'Category 31'!C:C&amp;'Category 31'!A:A,0)),INDEX('Category 31'!G:G,MATCH(C160&amp;E160&amp;D160,'Category 31'!B:B&amp;'Category 31'!C:C&amp;'Category 31'!A:A,0)))</f>
        <v>11881</v>
      </c>
      <c r="N160" s="16">
        <f>M160/VLOOKUP($D160,CPI!$P$16:$R$22,3,FALSE)</f>
        <v>14349.819952362916</v>
      </c>
      <c r="O160">
        <f>VLOOKUP(E160,WLacrosse!C:S,7,FALSE)</f>
        <v>1392</v>
      </c>
    </row>
    <row r="161" spans="1:15" ht="16" thickBot="1" x14ac:dyDescent="0.25">
      <c r="A161" s="15">
        <v>2</v>
      </c>
      <c r="B161">
        <f t="shared" si="2"/>
        <v>1</v>
      </c>
      <c r="C161">
        <f>IF(ISBLANK(H161),"",VLOOKUP(H161,Code!B:C,2,FALSE))</f>
        <v>14</v>
      </c>
      <c r="D161">
        <v>2018</v>
      </c>
      <c r="E161">
        <v>110635</v>
      </c>
      <c r="F161" t="s">
        <v>63</v>
      </c>
      <c r="G161" t="s">
        <v>290</v>
      </c>
      <c r="H161" t="s">
        <v>29</v>
      </c>
      <c r="I161" cm="1">
        <f t="array" ref="I161">IF(B161=0,INDEX('Category 14'!F:F,MATCH(C161&amp;E161&amp;D161,'Category 14'!B:B&amp;'Category 14'!C:C&amp;'Category 14'!A:A,0)),INDEX('Category 14'!G:G,MATCH(C161&amp;E161&amp;D161,'Category 14'!B:B&amp;'Category 14'!C:C&amp;'Category 14'!A:A,0)))</f>
        <v>0</v>
      </c>
      <c r="J161">
        <f>I161/VLOOKUP($D161,CPI!$P$16:$R$22,3,FALSE)</f>
        <v>0</v>
      </c>
      <c r="K161" cm="1">
        <f t="array" ref="K161">IF(B161=0,INDEX('Category 15'!F:F,MATCH(C161&amp;E161&amp;D161,'Category 15'!B:B&amp;'Category 15'!C:C&amp;'Category 15'!A:A,0)),INDEX('Category 15'!G:G,MATCH(C161&amp;E161&amp;D161,'Category 15'!B:B&amp;'Category 31'!C:C&amp;'Category 15'!A:A,0)))</f>
        <v>35000</v>
      </c>
      <c r="L161">
        <f>K161/VLOOKUP($D161,CPI!$P$16:$R$22,3,FALSE)</f>
        <v>42272.847263084084</v>
      </c>
      <c r="M161" s="16" cm="1">
        <f t="array" ref="M161">IF(B161=0,INDEX('Category 31'!F:F,MATCH(C161&amp;E161&amp;D161,'Category 31'!B:B&amp;'Category 31'!C:C&amp;'Category 31'!A:A,0)),INDEX('Category 31'!G:G,MATCH(C161&amp;E161&amp;D161,'Category 31'!B:B&amp;'Category 31'!C:C&amp;'Category 31'!A:A,0)))</f>
        <v>8032</v>
      </c>
      <c r="N161" s="16">
        <f>M161/VLOOKUP($D161,CPI!$P$16:$R$22,3,FALSE)</f>
        <v>9701.0145490597533</v>
      </c>
      <c r="O161">
        <v>0</v>
      </c>
    </row>
    <row r="162" spans="1:15" ht="16" thickBot="1" x14ac:dyDescent="0.25">
      <c r="A162" s="15">
        <v>2</v>
      </c>
      <c r="B162">
        <f t="shared" si="2"/>
        <v>1</v>
      </c>
      <c r="C162">
        <f>IF(ISBLANK(H162),"",VLOOKUP(H162,Code!B:C,2,FALSE))</f>
        <v>17</v>
      </c>
      <c r="D162">
        <v>2018</v>
      </c>
      <c r="E162">
        <v>110635</v>
      </c>
      <c r="F162" t="s">
        <v>63</v>
      </c>
      <c r="G162" t="s">
        <v>290</v>
      </c>
      <c r="H162" t="s">
        <v>5</v>
      </c>
      <c r="I162" cm="1">
        <f t="array" ref="I162">IF(B162=0,INDEX('Category 14'!F:F,MATCH(C162&amp;E162&amp;D162,'Category 14'!B:B&amp;'Category 14'!C:C&amp;'Category 14'!A:A,0)),INDEX('Category 14'!G:G,MATCH(C162&amp;E162&amp;D162,'Category 14'!B:B&amp;'Category 14'!C:C&amp;'Category 14'!A:A,0)))</f>
        <v>0</v>
      </c>
      <c r="J162">
        <f>I162/VLOOKUP($D162,CPI!$P$16:$R$22,3,FALSE)</f>
        <v>0</v>
      </c>
      <c r="K162" cm="1">
        <f t="array" ref="K162">IF(B162=0,INDEX('Category 15'!F:F,MATCH(C162&amp;E162&amp;D162,'Category 15'!B:B&amp;'Category 15'!C:C&amp;'Category 15'!A:A,0)),INDEX('Category 15'!G:G,MATCH(C162&amp;E162&amp;D162,'Category 15'!B:B&amp;'Category 31'!C:C&amp;'Category 15'!A:A,0)))</f>
        <v>0</v>
      </c>
      <c r="L162">
        <f>K162/VLOOKUP($D162,CPI!$P$16:$R$22,3,FALSE)</f>
        <v>0</v>
      </c>
      <c r="M162" s="16" cm="1">
        <f t="array" ref="M162">IF(B162=0,INDEX('Category 31'!F:F,MATCH(C162&amp;E162&amp;D162,'Category 31'!B:B&amp;'Category 31'!C:C&amp;'Category 31'!A:A,0)),INDEX('Category 31'!G:G,MATCH(C162&amp;E162&amp;D162,'Category 31'!B:B&amp;'Category 31'!C:C&amp;'Category 31'!A:A,0)))</f>
        <v>9093</v>
      </c>
      <c r="N162" s="16">
        <f>M162/VLOOKUP($D162,CPI!$P$16:$R$22,3,FALSE)</f>
        <v>10982.485718949245</v>
      </c>
      <c r="O162">
        <f>VLOOKUP(E162,WSoccer!C:S,7,FALSE)</f>
        <v>5535</v>
      </c>
    </row>
    <row r="163" spans="1:15" ht="16" thickBot="1" x14ac:dyDescent="0.25">
      <c r="A163" s="15">
        <v>2</v>
      </c>
      <c r="B163">
        <f t="shared" si="2"/>
        <v>1</v>
      </c>
      <c r="C163">
        <f>IF(ISBLANK(H163),"",VLOOKUP(H163,Code!B:C,2,FALSE))</f>
        <v>18</v>
      </c>
      <c r="D163">
        <v>2018</v>
      </c>
      <c r="E163">
        <v>110635</v>
      </c>
      <c r="F163" t="s">
        <v>63</v>
      </c>
      <c r="G163" t="s">
        <v>290</v>
      </c>
      <c r="H163" t="s">
        <v>6</v>
      </c>
      <c r="I163" cm="1">
        <f t="array" ref="I163">IF(B163=0,INDEX('Category 14'!F:F,MATCH(C163&amp;E163&amp;D163,'Category 14'!B:B&amp;'Category 14'!C:C&amp;'Category 14'!A:A,0)),INDEX('Category 14'!G:G,MATCH(C163&amp;E163&amp;D163,'Category 14'!B:B&amp;'Category 14'!C:C&amp;'Category 14'!A:A,0)))</f>
        <v>0</v>
      </c>
      <c r="J163">
        <f>I163/VLOOKUP($D163,CPI!$P$16:$R$22,3,FALSE)</f>
        <v>0</v>
      </c>
      <c r="K163" cm="1">
        <f t="array" ref="K163">IF(B163=0,INDEX('Category 15'!F:F,MATCH(C163&amp;E163&amp;D163,'Category 15'!B:B&amp;'Category 15'!C:C&amp;'Category 15'!A:A,0)),INDEX('Category 15'!G:G,MATCH(C163&amp;E163&amp;D163,'Category 15'!B:B&amp;'Category 31'!C:C&amp;'Category 15'!A:A,0)))</f>
        <v>-30000</v>
      </c>
      <c r="L163">
        <f>K163/VLOOKUP($D163,CPI!$P$16:$R$22,3,FALSE)</f>
        <v>-36233.869082643505</v>
      </c>
      <c r="M163" s="16" cm="1">
        <f t="array" ref="M163">IF(B163=0,INDEX('Category 31'!F:F,MATCH(C163&amp;E163&amp;D163,'Category 31'!B:B&amp;'Category 31'!C:C&amp;'Category 31'!A:A,0)),INDEX('Category 31'!G:G,MATCH(C163&amp;E163&amp;D163,'Category 31'!B:B&amp;'Category 31'!C:C&amp;'Category 31'!A:A,0)))</f>
        <v>14459</v>
      </c>
      <c r="N163" s="16">
        <f>M163/VLOOKUP($D163,CPI!$P$16:$R$22,3,FALSE)</f>
        <v>17463.517102198079</v>
      </c>
      <c r="O163">
        <f>VLOOKUP(E163,WSoftball!C:S,7,FALSE)</f>
        <v>6348</v>
      </c>
    </row>
    <row r="164" spans="1:15" ht="16" thickBot="1" x14ac:dyDescent="0.25">
      <c r="A164" s="15">
        <v>2</v>
      </c>
      <c r="B164">
        <f t="shared" si="2"/>
        <v>1</v>
      </c>
      <c r="C164">
        <f>IF(ISBLANK(H164),"",VLOOKUP(H164,Code!B:C,2,FALSE))</f>
        <v>19</v>
      </c>
      <c r="D164">
        <v>2018</v>
      </c>
      <c r="E164">
        <v>110635</v>
      </c>
      <c r="F164" t="s">
        <v>63</v>
      </c>
      <c r="G164" t="s">
        <v>290</v>
      </c>
      <c r="H164" t="s">
        <v>7</v>
      </c>
      <c r="I164" cm="1">
        <f t="array" ref="I164">IF(B164=0,INDEX('Category 14'!F:F,MATCH(C164&amp;E164&amp;D164,'Category 14'!B:B&amp;'Category 14'!C:C&amp;'Category 14'!A:A,0)),INDEX('Category 14'!G:G,MATCH(C164&amp;E164&amp;D164,'Category 14'!B:B&amp;'Category 14'!C:C&amp;'Category 14'!A:A,0)))</f>
        <v>0</v>
      </c>
      <c r="J164">
        <f>I164/VLOOKUP($D164,CPI!$P$16:$R$22,3,FALSE)</f>
        <v>0</v>
      </c>
      <c r="K164" cm="1">
        <f t="array" ref="K164">IF(B164=0,INDEX('Category 15'!F:F,MATCH(C164&amp;E164&amp;D164,'Category 15'!B:B&amp;'Category 15'!C:C&amp;'Category 15'!A:A,0)),INDEX('Category 15'!G:G,MATCH(C164&amp;E164&amp;D164,'Category 15'!B:B&amp;'Category 31'!C:C&amp;'Category 15'!A:A,0)))</f>
        <v>0</v>
      </c>
      <c r="L164">
        <f>K164/VLOOKUP($D164,CPI!$P$16:$R$22,3,FALSE)</f>
        <v>0</v>
      </c>
      <c r="M164" s="16" cm="1">
        <f t="array" ref="M164">IF(B164=0,INDEX('Category 31'!F:F,MATCH(C164&amp;E164&amp;D164,'Category 31'!B:B&amp;'Category 31'!C:C&amp;'Category 31'!A:A,0)),INDEX('Category 31'!G:G,MATCH(C164&amp;E164&amp;D164,'Category 31'!B:B&amp;'Category 31'!C:C&amp;'Category 31'!A:A,0)))</f>
        <v>16581</v>
      </c>
      <c r="N164" s="16">
        <f>M164/VLOOKUP($D164,CPI!$P$16:$R$22,3,FALSE)</f>
        <v>20026.459441977062</v>
      </c>
      <c r="O164">
        <v>0</v>
      </c>
    </row>
    <row r="165" spans="1:15" ht="16" thickBot="1" x14ac:dyDescent="0.25">
      <c r="A165" s="15">
        <v>2</v>
      </c>
      <c r="B165">
        <f t="shared" si="2"/>
        <v>1</v>
      </c>
      <c r="C165">
        <f>IF(ISBLANK(H165),"",VLOOKUP(H165,Code!B:C,2,FALSE))</f>
        <v>20</v>
      </c>
      <c r="D165">
        <v>2018</v>
      </c>
      <c r="E165">
        <v>110635</v>
      </c>
      <c r="F165" t="s">
        <v>63</v>
      </c>
      <c r="G165" t="s">
        <v>290</v>
      </c>
      <c r="H165" t="s">
        <v>8</v>
      </c>
      <c r="I165" cm="1">
        <f t="array" ref="I165">IF(B165=0,INDEX('Category 14'!F:F,MATCH(C165&amp;E165&amp;D165,'Category 14'!B:B&amp;'Category 14'!C:C&amp;'Category 14'!A:A,0)),INDEX('Category 14'!G:G,MATCH(C165&amp;E165&amp;D165,'Category 14'!B:B&amp;'Category 14'!C:C&amp;'Category 14'!A:A,0)))</f>
        <v>0</v>
      </c>
      <c r="J165">
        <f>I165/VLOOKUP($D165,CPI!$P$16:$R$22,3,FALSE)</f>
        <v>0</v>
      </c>
      <c r="K165" cm="1">
        <f t="array" ref="K165">IF(B165=0,INDEX('Category 15'!F:F,MATCH(C165&amp;E165&amp;D165,'Category 15'!B:B&amp;'Category 15'!C:C&amp;'Category 15'!A:A,0)),INDEX('Category 15'!G:G,MATCH(C165&amp;E165&amp;D165,'Category 15'!B:B&amp;'Category 31'!C:C&amp;'Category 15'!A:A,0)))</f>
        <v>0</v>
      </c>
      <c r="L165">
        <f>K165/VLOOKUP($D165,CPI!$P$16:$R$22,3,FALSE)</f>
        <v>0</v>
      </c>
      <c r="M165" s="16" cm="1">
        <f t="array" ref="M165">IF(B165=0,INDEX('Category 31'!F:F,MATCH(C165&amp;E165&amp;D165,'Category 31'!B:B&amp;'Category 31'!C:C&amp;'Category 31'!A:A,0)),INDEX('Category 31'!G:G,MATCH(C165&amp;E165&amp;D165,'Category 31'!B:B&amp;'Category 31'!C:C&amp;'Category 31'!A:A,0)))</f>
        <v>3390</v>
      </c>
      <c r="N165" s="16">
        <f>M165/VLOOKUP($D165,CPI!$P$16:$R$22,3,FALSE)</f>
        <v>4094.4272063387157</v>
      </c>
      <c r="O165">
        <v>0</v>
      </c>
    </row>
    <row r="166" spans="1:15" ht="16" thickBot="1" x14ac:dyDescent="0.25">
      <c r="A166" s="15">
        <v>2</v>
      </c>
      <c r="B166">
        <f t="shared" si="2"/>
        <v>1</v>
      </c>
      <c r="C166">
        <f>IF(ISBLANK(H166),"",VLOOKUP(H166,Code!B:C,2,FALSE))</f>
        <v>21</v>
      </c>
      <c r="D166">
        <v>2018</v>
      </c>
      <c r="E166">
        <v>110635</v>
      </c>
      <c r="F166" t="s">
        <v>63</v>
      </c>
      <c r="G166" t="s">
        <v>290</v>
      </c>
      <c r="H166" t="s">
        <v>36</v>
      </c>
      <c r="I166" cm="1">
        <f t="array" ref="I166">IF(B166=0,INDEX('Category 14'!F:F,MATCH(C166&amp;E166&amp;D166,'Category 14'!B:B&amp;'Category 14'!C:C&amp;'Category 14'!A:A,0)),INDEX('Category 14'!G:G,MATCH(C166&amp;E166&amp;D166,'Category 14'!B:B&amp;'Category 14'!C:C&amp;'Category 14'!A:A,0)))</f>
        <v>0</v>
      </c>
      <c r="J166">
        <f>I166/VLOOKUP($D166,CPI!$P$16:$R$22,3,FALSE)</f>
        <v>0</v>
      </c>
      <c r="K166" cm="1">
        <f t="array" ref="K166">IF(B166=0,INDEX('Category 15'!F:F,MATCH(C166&amp;E166&amp;D166,'Category 15'!B:B&amp;'Category 15'!C:C&amp;'Category 15'!A:A,0)),INDEX('Category 15'!G:G,MATCH(C166&amp;E166&amp;D166,'Category 15'!B:B&amp;'Category 31'!C:C&amp;'Category 15'!A:A,0)))</f>
        <v>0</v>
      </c>
      <c r="L166">
        <f>K166/VLOOKUP($D166,CPI!$P$16:$R$22,3,FALSE)</f>
        <v>0</v>
      </c>
      <c r="M166" s="16" cm="1">
        <f t="array" ref="M166">IF(B166=0,INDEX('Category 31'!F:F,MATCH(C166&amp;E166&amp;D166,'Category 31'!B:B&amp;'Category 31'!C:C&amp;'Category 31'!A:A,0)),INDEX('Category 31'!G:G,MATCH(C166&amp;E166&amp;D166,'Category 31'!B:B&amp;'Category 31'!C:C&amp;'Category 31'!A:A,0)))</f>
        <v>3692</v>
      </c>
      <c r="N166" s="16">
        <f>M166/VLOOKUP($D166,CPI!$P$16:$R$22,3,FALSE)</f>
        <v>4459.1814884373271</v>
      </c>
      <c r="O166">
        <v>0</v>
      </c>
    </row>
    <row r="167" spans="1:15" ht="16" thickBot="1" x14ac:dyDescent="0.25">
      <c r="A167" s="15">
        <v>2</v>
      </c>
      <c r="B167">
        <f t="shared" si="2"/>
        <v>1</v>
      </c>
      <c r="C167">
        <f>IF(ISBLANK(H167),"",VLOOKUP(H167,Code!B:C,2,FALSE))</f>
        <v>23</v>
      </c>
      <c r="D167">
        <v>2018</v>
      </c>
      <c r="E167">
        <v>110635</v>
      </c>
      <c r="F167" t="s">
        <v>63</v>
      </c>
      <c r="G167" t="s">
        <v>290</v>
      </c>
      <c r="H167" t="s">
        <v>10</v>
      </c>
      <c r="I167" cm="1">
        <f t="array" ref="I167">IF(B167=0,INDEX('Category 14'!F:F,MATCH(C167&amp;E167&amp;D167,'Category 14'!B:B&amp;'Category 14'!C:C&amp;'Category 14'!A:A,0)),INDEX('Category 14'!G:G,MATCH(C167&amp;E167&amp;D167,'Category 14'!B:B&amp;'Category 14'!C:C&amp;'Category 14'!A:A,0)))</f>
        <v>0</v>
      </c>
      <c r="J167">
        <f>I167/VLOOKUP($D167,CPI!$P$16:$R$22,3,FALSE)</f>
        <v>0</v>
      </c>
      <c r="K167" cm="1">
        <f t="array" ref="K167">IF(B167=0,INDEX('Category 15'!F:F,MATCH(C167&amp;E167&amp;D167,'Category 15'!B:B&amp;'Category 15'!C:C&amp;'Category 15'!A:A,0)),INDEX('Category 15'!G:G,MATCH(C167&amp;E167&amp;D167,'Category 15'!B:B&amp;'Category 31'!C:C&amp;'Category 15'!A:A,0)))</f>
        <v>0</v>
      </c>
      <c r="L167">
        <f>K167/VLOOKUP($D167,CPI!$P$16:$R$22,3,FALSE)</f>
        <v>0</v>
      </c>
      <c r="M167" s="16" cm="1">
        <f t="array" ref="M167">IF(B167=0,INDEX('Category 31'!F:F,MATCH(C167&amp;E167&amp;D167,'Category 31'!B:B&amp;'Category 31'!C:C&amp;'Category 31'!A:A,0)),INDEX('Category 31'!G:G,MATCH(C167&amp;E167&amp;D167,'Category 31'!B:B&amp;'Category 31'!C:C&amp;'Category 31'!A:A,0)))</f>
        <v>9334</v>
      </c>
      <c r="N167" s="16">
        <f>M167/VLOOKUP($D167,CPI!$P$16:$R$22,3,FALSE)</f>
        <v>11273.564467246482</v>
      </c>
      <c r="O167">
        <f>VLOOKUP(E167,WVolleyball!C:S,7,FALSE)</f>
        <v>12248</v>
      </c>
    </row>
    <row r="168" spans="1:15" ht="16" thickBot="1" x14ac:dyDescent="0.25">
      <c r="A168" s="15">
        <v>2</v>
      </c>
      <c r="B168">
        <f t="shared" si="2"/>
        <v>1</v>
      </c>
      <c r="C168">
        <f>IF(ISBLANK(H168),"",VLOOKUP(H168,Code!B:C,2,FALSE))</f>
        <v>24</v>
      </c>
      <c r="D168">
        <v>2018</v>
      </c>
      <c r="E168">
        <v>110635</v>
      </c>
      <c r="F168" t="s">
        <v>63</v>
      </c>
      <c r="G168" t="s">
        <v>290</v>
      </c>
      <c r="H168" t="s">
        <v>34</v>
      </c>
      <c r="I168" cm="1">
        <f t="array" ref="I168">IF(B168=0,INDEX('Category 14'!F:F,MATCH(C168&amp;E168&amp;D168,'Category 14'!B:B&amp;'Category 14'!C:C&amp;'Category 14'!A:A,0)),INDEX('Category 14'!G:G,MATCH(C168&amp;E168&amp;D168,'Category 14'!B:B&amp;'Category 14'!C:C&amp;'Category 14'!A:A,0)))</f>
        <v>0</v>
      </c>
      <c r="J168">
        <f>I168/VLOOKUP($D168,CPI!$P$16:$R$22,3,FALSE)</f>
        <v>0</v>
      </c>
      <c r="K168" cm="1">
        <f t="array" ref="K168">IF(B168=0,INDEX('Category 15'!F:F,MATCH(C168&amp;E168&amp;D168,'Category 15'!B:B&amp;'Category 15'!C:C&amp;'Category 15'!A:A,0)),INDEX('Category 15'!G:G,MATCH(C168&amp;E168&amp;D168,'Category 15'!B:B&amp;'Category 31'!C:C&amp;'Category 15'!A:A,0)))</f>
        <v>0</v>
      </c>
      <c r="L168">
        <f>K168/VLOOKUP($D168,CPI!$P$16:$R$22,3,FALSE)</f>
        <v>0</v>
      </c>
      <c r="M168" s="16" cm="1">
        <f t="array" ref="M168">IF(B168=0,INDEX('Category 31'!F:F,MATCH(C168&amp;E168&amp;D168,'Category 31'!B:B&amp;'Category 31'!C:C&amp;'Category 31'!A:A,0)),INDEX('Category 31'!G:G,MATCH(C168&amp;E168&amp;D168,'Category 31'!B:B&amp;'Category 31'!C:C&amp;'Category 31'!A:A,0)))</f>
        <v>3919</v>
      </c>
      <c r="N168" s="16">
        <f>M168/VLOOKUP($D168,CPI!$P$16:$R$22,3,FALSE)</f>
        <v>4733.3510978293298</v>
      </c>
      <c r="O168">
        <v>0</v>
      </c>
    </row>
    <row r="169" spans="1:15" ht="16" thickBot="1" x14ac:dyDescent="0.25">
      <c r="A169" s="15">
        <v>2</v>
      </c>
      <c r="B169">
        <f t="shared" si="2"/>
        <v>0</v>
      </c>
      <c r="C169">
        <f>IF(ISBLANK(H169),"",VLOOKUP(H169,Code!B:C,2,FALSE))</f>
        <v>1</v>
      </c>
      <c r="D169">
        <v>2019</v>
      </c>
      <c r="E169">
        <v>110635</v>
      </c>
      <c r="F169" t="s">
        <v>63</v>
      </c>
      <c r="G169" t="s">
        <v>289</v>
      </c>
      <c r="H169" t="s">
        <v>0</v>
      </c>
      <c r="I169" cm="1">
        <f t="array" ref="I169">IF(B169=0,INDEX('Category 14'!F:F,MATCH(C169&amp;E169&amp;D169,'Category 14'!B:B&amp;'Category 14'!C:C&amp;'Category 14'!A:A,0)),INDEX('Category 14'!G:G,MATCH(C169&amp;E169&amp;D169,'Category 14'!B:B&amp;'Category 14'!C:C&amp;'Category 14'!A:A,0)))</f>
        <v>2484</v>
      </c>
      <c r="J169">
        <f>I169/VLOOKUP($D169,CPI!$P$16:$R$22,3,FALSE)</f>
        <v>2939.2474073957087</v>
      </c>
      <c r="K169" cm="1">
        <f t="array" ref="K169">IF(B169=0,INDEX('Category 15'!F:F,MATCH(C169&amp;E169&amp;D169,'Category 15'!B:B&amp;'Category 15'!C:C&amp;'Category 15'!A:A,0)),INDEX('Category 15'!G:G,MATCH(C169&amp;E169&amp;D169,'Category 15'!B:B&amp;'Category 31'!C:C&amp;'Category 15'!A:A,0)))</f>
        <v>63000</v>
      </c>
      <c r="L169">
        <f>K169/VLOOKUP($D169,CPI!$P$16:$R$22,3,FALSE)</f>
        <v>74546.129897717241</v>
      </c>
      <c r="M169" s="16" cm="1">
        <f t="array" ref="M169">IF(B169=0,INDEX('Category 31'!F:F,MATCH(C169&amp;E169&amp;D169,'Category 31'!B:B&amp;'Category 31'!C:C&amp;'Category 31'!A:A,0)),INDEX('Category 31'!G:G,MATCH(C169&amp;E169&amp;D169,'Category 31'!B:B&amp;'Category 31'!C:C&amp;'Category 31'!A:A,0)))</f>
        <v>7440</v>
      </c>
      <c r="N169" s="16">
        <f>M169/VLOOKUP($D169,CPI!$P$16:$R$22,3,FALSE)</f>
        <v>8803.5429593494646</v>
      </c>
      <c r="O169">
        <f>VLOOKUP(E121,MBaseball!C:R,8,FALSE)</f>
        <v>17663</v>
      </c>
    </row>
    <row r="170" spans="1:15" ht="16" thickBot="1" x14ac:dyDescent="0.25">
      <c r="A170" s="15">
        <v>2</v>
      </c>
      <c r="B170">
        <f t="shared" si="2"/>
        <v>0</v>
      </c>
      <c r="C170">
        <f>IF(ISBLANK(H170),"",VLOOKUP(H170,Code!B:C,2,FALSE))</f>
        <v>2</v>
      </c>
      <c r="D170">
        <v>2019</v>
      </c>
      <c r="E170">
        <v>110635</v>
      </c>
      <c r="F170" t="s">
        <v>63</v>
      </c>
      <c r="G170" t="s">
        <v>289</v>
      </c>
      <c r="H170" t="s">
        <v>1</v>
      </c>
      <c r="I170" cm="1">
        <f t="array" ref="I170">IF(B170=0,INDEX('Category 14'!F:F,MATCH(C170&amp;E170&amp;D170,'Category 14'!B:B&amp;'Category 14'!C:C&amp;'Category 14'!A:A,0)),INDEX('Category 14'!G:G,MATCH(C170&amp;E170&amp;D170,'Category 14'!B:B&amp;'Category 14'!C:C&amp;'Category 14'!A:A,0)))</f>
        <v>-1140</v>
      </c>
      <c r="J170">
        <f>I170/VLOOKUP($D170,CPI!$P$16:$R$22,3,FALSE)</f>
        <v>-1348.9299695777406</v>
      </c>
      <c r="K170" cm="1">
        <f t="array" ref="K170">IF(B170=0,INDEX('Category 15'!F:F,MATCH(C170&amp;E170&amp;D170,'Category 15'!B:B&amp;'Category 15'!C:C&amp;'Category 15'!A:A,0)),INDEX('Category 15'!G:G,MATCH(C170&amp;E170&amp;D170,'Category 15'!B:B&amp;'Category 31'!C:C&amp;'Category 15'!A:A,0)))</f>
        <v>0</v>
      </c>
      <c r="L170">
        <f>K170/VLOOKUP($D170,CPI!$P$16:$R$22,3,FALSE)</f>
        <v>0</v>
      </c>
      <c r="M170" s="16" cm="1">
        <f t="array" ref="M170">IF(B170=0,INDEX('Category 31'!F:F,MATCH(C170&amp;E170&amp;D170,'Category 31'!B:B&amp;'Category 31'!C:C&amp;'Category 31'!A:A,0)),INDEX('Category 31'!G:G,MATCH(C170&amp;E170&amp;D170,'Category 31'!B:B&amp;'Category 31'!C:C&amp;'Category 31'!A:A,0)))</f>
        <v>160129</v>
      </c>
      <c r="N170" s="16">
        <f>M170/VLOOKUP($D170,CPI!$P$16:$R$22,3,FALSE)</f>
        <v>189476.1465776439</v>
      </c>
      <c r="O170">
        <f>VLOOKUP(E170,MBasketball!C:P,8,FALSE)</f>
        <v>90036</v>
      </c>
    </row>
    <row r="171" spans="1:15" ht="16" thickBot="1" x14ac:dyDescent="0.25">
      <c r="A171" s="15">
        <v>2</v>
      </c>
      <c r="B171">
        <f t="shared" si="2"/>
        <v>0</v>
      </c>
      <c r="C171">
        <f>IF(ISBLANK(H171),"",VLOOKUP(H171,Code!B:C,2,FALSE))</f>
        <v>8</v>
      </c>
      <c r="D171">
        <v>2019</v>
      </c>
      <c r="E171">
        <v>110635</v>
      </c>
      <c r="F171" t="s">
        <v>63</v>
      </c>
      <c r="G171" t="s">
        <v>289</v>
      </c>
      <c r="H171" t="s">
        <v>2</v>
      </c>
      <c r="I171" cm="1">
        <f t="array" ref="I171">IF(B171=0,INDEX('Category 14'!F:F,MATCH(C171&amp;E171&amp;D171,'Category 14'!B:B&amp;'Category 14'!C:C&amp;'Category 14'!A:A,0)),INDEX('Category 14'!G:G,MATCH(C171&amp;E171&amp;D171,'Category 14'!B:B&amp;'Category 14'!C:C&amp;'Category 14'!A:A,0)))</f>
        <v>0</v>
      </c>
      <c r="J171">
        <f>I171/VLOOKUP($D171,CPI!$P$16:$R$22,3,FALSE)</f>
        <v>0</v>
      </c>
      <c r="K171" cm="1">
        <f t="array" ref="K171">IF(B171=0,INDEX('Category 15'!F:F,MATCH(C171&amp;E171&amp;D171,'Category 15'!B:B&amp;'Category 15'!C:C&amp;'Category 15'!A:A,0)),INDEX('Category 15'!G:G,MATCH(C171&amp;E171&amp;D171,'Category 15'!B:B&amp;'Category 31'!C:C&amp;'Category 15'!A:A,0)))</f>
        <v>0</v>
      </c>
      <c r="L171">
        <f>K171/VLOOKUP($D171,CPI!$P$16:$R$22,3,FALSE)</f>
        <v>0</v>
      </c>
      <c r="M171" s="16" cm="1">
        <f t="array" ref="M171">IF(B171=0,INDEX('Category 31'!F:F,MATCH(C171&amp;E171&amp;D171,'Category 31'!B:B&amp;'Category 31'!C:C&amp;'Category 31'!A:A,0)),INDEX('Category 31'!G:G,MATCH(C171&amp;E171&amp;D171,'Category 31'!B:B&amp;'Category 31'!C:C&amp;'Category 31'!A:A,0)))</f>
        <v>973548</v>
      </c>
      <c r="N171" s="16">
        <f>M171/VLOOKUP($D171,CPI!$P$16:$R$22,3,FALSE)</f>
        <v>1151971.9947565529</v>
      </c>
      <c r="O171">
        <f>VLOOKUP(E171,MFootball!C:S,8,FALSE)</f>
        <v>300061</v>
      </c>
    </row>
    <row r="172" spans="1:15" ht="16" thickBot="1" x14ac:dyDescent="0.25">
      <c r="A172" s="15">
        <v>2</v>
      </c>
      <c r="B172">
        <f t="shared" si="2"/>
        <v>0</v>
      </c>
      <c r="C172">
        <f>IF(ISBLANK(H172),"",VLOOKUP(H172,Code!B:C,2,FALSE))</f>
        <v>9</v>
      </c>
      <c r="D172">
        <v>2019</v>
      </c>
      <c r="E172">
        <v>110635</v>
      </c>
      <c r="F172" t="s">
        <v>63</v>
      </c>
      <c r="G172" t="s">
        <v>289</v>
      </c>
      <c r="H172" t="s">
        <v>3</v>
      </c>
      <c r="I172" cm="1">
        <f t="array" ref="I172">IF(B172=0,INDEX('Category 14'!F:F,MATCH(C172&amp;E172&amp;D172,'Category 14'!B:B&amp;'Category 14'!C:C&amp;'Category 14'!A:A,0)),INDEX('Category 14'!G:G,MATCH(C172&amp;E172&amp;D172,'Category 14'!B:B&amp;'Category 14'!C:C&amp;'Category 14'!A:A,0)))</f>
        <v>0</v>
      </c>
      <c r="J172">
        <f>I172/VLOOKUP($D172,CPI!$P$16:$R$22,3,FALSE)</f>
        <v>0</v>
      </c>
      <c r="K172" cm="1">
        <f t="array" ref="K172">IF(B172=0,INDEX('Category 15'!F:F,MATCH(C172&amp;E172&amp;D172,'Category 15'!B:B&amp;'Category 15'!C:C&amp;'Category 15'!A:A,0)),INDEX('Category 15'!G:G,MATCH(C172&amp;E172&amp;D172,'Category 15'!B:B&amp;'Category 31'!C:C&amp;'Category 15'!A:A,0)))</f>
        <v>0</v>
      </c>
      <c r="L172">
        <f>K172/VLOOKUP($D172,CPI!$P$16:$R$22,3,FALSE)</f>
        <v>0</v>
      </c>
      <c r="M172" s="16" cm="1">
        <f t="array" ref="M172">IF(B172=0,INDEX('Category 31'!F:F,MATCH(C172&amp;E172&amp;D172,'Category 31'!B:B&amp;'Category 31'!C:C&amp;'Category 31'!A:A,0)),INDEX('Category 31'!G:G,MATCH(C172&amp;E172&amp;D172,'Category 31'!B:B&amp;'Category 31'!C:C&amp;'Category 31'!A:A,0)))</f>
        <v>83627</v>
      </c>
      <c r="N172" s="16">
        <f>M172/VLOOKUP($D172,CPI!$P$16:$R$22,3,FALSE)</f>
        <v>98953.479443752381</v>
      </c>
      <c r="O172">
        <v>0</v>
      </c>
    </row>
    <row r="173" spans="1:15" ht="16" thickBot="1" x14ac:dyDescent="0.25">
      <c r="A173" s="15">
        <v>2</v>
      </c>
      <c r="B173">
        <f t="shared" si="2"/>
        <v>0</v>
      </c>
      <c r="C173">
        <f>IF(ISBLANK(H173),"",VLOOKUP(H173,Code!B:C,2,FALSE))</f>
        <v>10</v>
      </c>
      <c r="D173">
        <v>2019</v>
      </c>
      <c r="E173">
        <v>110635</v>
      </c>
      <c r="F173" t="s">
        <v>63</v>
      </c>
      <c r="G173" t="s">
        <v>289</v>
      </c>
      <c r="H173" t="s">
        <v>4</v>
      </c>
      <c r="I173" cm="1">
        <f t="array" ref="I173">IF(B173=0,INDEX('Category 14'!F:F,MATCH(C173&amp;E173&amp;D173,'Category 14'!B:B&amp;'Category 14'!C:C&amp;'Category 14'!A:A,0)),INDEX('Category 14'!G:G,MATCH(C173&amp;E173&amp;D173,'Category 14'!B:B&amp;'Category 14'!C:C&amp;'Category 14'!A:A,0)))</f>
        <v>0</v>
      </c>
      <c r="J173">
        <f>I173/VLOOKUP($D173,CPI!$P$16:$R$22,3,FALSE)</f>
        <v>0</v>
      </c>
      <c r="K173" cm="1">
        <f t="array" ref="K173">IF(B173=0,INDEX('Category 15'!F:F,MATCH(C173&amp;E173&amp;D173,'Category 15'!B:B&amp;'Category 15'!C:C&amp;'Category 15'!A:A,0)),INDEX('Category 15'!G:G,MATCH(C173&amp;E173&amp;D173,'Category 15'!B:B&amp;'Category 31'!C:C&amp;'Category 15'!A:A,0)))</f>
        <v>0</v>
      </c>
      <c r="L173">
        <f>K173/VLOOKUP($D173,CPI!$P$16:$R$22,3,FALSE)</f>
        <v>0</v>
      </c>
      <c r="M173" s="16" cm="1">
        <f t="array" ref="M173">IF(B173=0,INDEX('Category 31'!F:F,MATCH(C173&amp;E173&amp;D173,'Category 31'!B:B&amp;'Category 31'!C:C&amp;'Category 31'!A:A,0)),INDEX('Category 31'!G:G,MATCH(C173&amp;E173&amp;D173,'Category 31'!B:B&amp;'Category 31'!C:C&amp;'Category 31'!A:A,0)))</f>
        <v>5602</v>
      </c>
      <c r="N173" s="16">
        <f>M173/VLOOKUP($D173,CPI!$P$16:$R$22,3,FALSE)</f>
        <v>6628.689201381143</v>
      </c>
      <c r="O173">
        <v>0</v>
      </c>
    </row>
    <row r="174" spans="1:15" ht="16" thickBot="1" x14ac:dyDescent="0.25">
      <c r="A174" s="15">
        <v>2</v>
      </c>
      <c r="B174">
        <f t="shared" si="2"/>
        <v>0</v>
      </c>
      <c r="C174">
        <f>IF(ISBLANK(H174),"",VLOOKUP(H174,Code!B:C,2,FALSE))</f>
        <v>17</v>
      </c>
      <c r="D174">
        <v>2019</v>
      </c>
      <c r="E174">
        <v>110635</v>
      </c>
      <c r="F174" t="s">
        <v>63</v>
      </c>
      <c r="G174" t="s">
        <v>289</v>
      </c>
      <c r="H174" t="s">
        <v>5</v>
      </c>
      <c r="I174" cm="1">
        <f t="array" ref="I174">IF(B174=0,INDEX('Category 14'!F:F,MATCH(C174&amp;E174&amp;D174,'Category 14'!B:B&amp;'Category 14'!C:C&amp;'Category 14'!A:A,0)),INDEX('Category 14'!G:G,MATCH(C174&amp;E174&amp;D174,'Category 14'!B:B&amp;'Category 14'!C:C&amp;'Category 14'!A:A,0)))</f>
        <v>0</v>
      </c>
      <c r="J174">
        <f>I174/VLOOKUP($D174,CPI!$P$16:$R$22,3,FALSE)</f>
        <v>0</v>
      </c>
      <c r="K174" cm="1">
        <f t="array" ref="K174">IF(B174=0,INDEX('Category 15'!F:F,MATCH(C174&amp;E174&amp;D174,'Category 15'!B:B&amp;'Category 15'!C:C&amp;'Category 15'!A:A,0)),INDEX('Category 15'!G:G,MATCH(C174&amp;E174&amp;D174,'Category 15'!B:B&amp;'Category 31'!C:C&amp;'Category 15'!A:A,0)))</f>
        <v>0</v>
      </c>
      <c r="L174">
        <f>K174/VLOOKUP($D174,CPI!$P$16:$R$22,3,FALSE)</f>
        <v>0</v>
      </c>
      <c r="M174" s="16" cm="1">
        <f t="array" ref="M174">IF(B174=0,INDEX('Category 31'!F:F,MATCH(C174&amp;E174&amp;D174,'Category 31'!B:B&amp;'Category 31'!C:C&amp;'Category 31'!A:A,0)),INDEX('Category 31'!G:G,MATCH(C174&amp;E174&amp;D174,'Category 31'!B:B&amp;'Category 31'!C:C&amp;'Category 31'!A:A,0)))</f>
        <v>26627</v>
      </c>
      <c r="N174" s="16">
        <f>M174/VLOOKUP($D174,CPI!$P$16:$R$22,3,FALSE)</f>
        <v>31506.98096486535</v>
      </c>
      <c r="O174">
        <f>VLOOKUP(E171,MSoccer!C:S,8,FALSE)</f>
        <v>3209</v>
      </c>
    </row>
    <row r="175" spans="1:15" ht="16" thickBot="1" x14ac:dyDescent="0.25">
      <c r="A175" s="15">
        <v>2</v>
      </c>
      <c r="B175">
        <f t="shared" si="2"/>
        <v>0</v>
      </c>
      <c r="C175">
        <f>IF(ISBLANK(H175),"",VLOOKUP(H175,Code!B:C,2,FALSE))</f>
        <v>19</v>
      </c>
      <c r="D175">
        <v>2019</v>
      </c>
      <c r="E175">
        <v>110635</v>
      </c>
      <c r="F175" t="s">
        <v>63</v>
      </c>
      <c r="G175" t="s">
        <v>289</v>
      </c>
      <c r="H175" t="s">
        <v>7</v>
      </c>
      <c r="I175" cm="1">
        <f t="array" ref="I175">IF(B175=0,INDEX('Category 14'!F:F,MATCH(C175&amp;E175&amp;D175,'Category 14'!B:B&amp;'Category 14'!C:C&amp;'Category 14'!A:A,0)),INDEX('Category 14'!G:G,MATCH(C175&amp;E175&amp;D175,'Category 14'!B:B&amp;'Category 14'!C:C&amp;'Category 14'!A:A,0)))</f>
        <v>0</v>
      </c>
      <c r="J175">
        <f>I175/VLOOKUP($D175,CPI!$P$16:$R$22,3,FALSE)</f>
        <v>0</v>
      </c>
      <c r="K175" cm="1">
        <f t="array" ref="K175">IF(B175=0,INDEX('Category 15'!F:F,MATCH(C175&amp;E175&amp;D175,'Category 15'!B:B&amp;'Category 15'!C:C&amp;'Category 15'!A:A,0)),INDEX('Category 15'!G:G,MATCH(C175&amp;E175&amp;D175,'Category 15'!B:B&amp;'Category 31'!C:C&amp;'Category 15'!A:A,0)))</f>
        <v>85000</v>
      </c>
      <c r="L175">
        <f>K175/VLOOKUP($D175,CPI!$P$16:$R$22,3,FALSE)</f>
        <v>100578.11176676136</v>
      </c>
      <c r="M175" s="16" cm="1">
        <f t="array" ref="M175">IF(B175=0,INDEX('Category 31'!F:F,MATCH(C175&amp;E175&amp;D175,'Category 31'!B:B&amp;'Category 31'!C:C&amp;'Category 31'!A:A,0)),INDEX('Category 31'!G:G,MATCH(C175&amp;E175&amp;D175,'Category 31'!B:B&amp;'Category 31'!C:C&amp;'Category 31'!A:A,0)))</f>
        <v>120970</v>
      </c>
      <c r="N175" s="16">
        <f>M175/VLOOKUP($D175,CPI!$P$16:$R$22,3,FALSE)</f>
        <v>143140.40212264849</v>
      </c>
      <c r="O175">
        <v>0</v>
      </c>
    </row>
    <row r="176" spans="1:15" ht="16" thickBot="1" x14ac:dyDescent="0.25">
      <c r="A176" s="15">
        <v>2</v>
      </c>
      <c r="B176">
        <f t="shared" si="2"/>
        <v>0</v>
      </c>
      <c r="C176">
        <f>IF(ISBLANK(H176),"",VLOOKUP(H176,Code!B:C,2,FALSE))</f>
        <v>20</v>
      </c>
      <c r="D176">
        <v>2019</v>
      </c>
      <c r="E176">
        <v>110635</v>
      </c>
      <c r="F176" t="s">
        <v>63</v>
      </c>
      <c r="G176" t="s">
        <v>289</v>
      </c>
      <c r="H176" t="s">
        <v>8</v>
      </c>
      <c r="I176" cm="1">
        <f t="array" ref="I176">IF(B176=0,INDEX('Category 14'!F:F,MATCH(C176&amp;E176&amp;D176,'Category 14'!B:B&amp;'Category 14'!C:C&amp;'Category 14'!A:A,0)),INDEX('Category 14'!G:G,MATCH(C176&amp;E176&amp;D176,'Category 14'!B:B&amp;'Category 14'!C:C&amp;'Category 14'!A:A,0)))</f>
        <v>0</v>
      </c>
      <c r="J176">
        <f>I176/VLOOKUP($D176,CPI!$P$16:$R$22,3,FALSE)</f>
        <v>0</v>
      </c>
      <c r="K176" cm="1">
        <f t="array" ref="K176">IF(B176=0,INDEX('Category 15'!F:F,MATCH(C176&amp;E176&amp;D176,'Category 15'!B:B&amp;'Category 15'!C:C&amp;'Category 15'!A:A,0)),INDEX('Category 15'!G:G,MATCH(C176&amp;E176&amp;D176,'Category 15'!B:B&amp;'Category 31'!C:C&amp;'Category 15'!A:A,0)))</f>
        <v>0</v>
      </c>
      <c r="L176">
        <f>K176/VLOOKUP($D176,CPI!$P$16:$R$22,3,FALSE)</f>
        <v>0</v>
      </c>
      <c r="M176" s="16" cm="1">
        <f t="array" ref="M176">IF(B176=0,INDEX('Category 31'!F:F,MATCH(C176&amp;E176&amp;D176,'Category 31'!B:B&amp;'Category 31'!C:C&amp;'Category 31'!A:A,0)),INDEX('Category 31'!G:G,MATCH(C176&amp;E176&amp;D176,'Category 31'!B:B&amp;'Category 31'!C:C&amp;'Category 31'!A:A,0)))</f>
        <v>30702</v>
      </c>
      <c r="N176" s="16">
        <f>M176/VLOOKUP($D176,CPI!$P$16:$R$22,3,FALSE)</f>
        <v>36328.813970154202</v>
      </c>
      <c r="O176">
        <v>0</v>
      </c>
    </row>
    <row r="177" spans="1:15" ht="16" thickBot="1" x14ac:dyDescent="0.25">
      <c r="A177" s="15">
        <v>2</v>
      </c>
      <c r="B177">
        <f t="shared" si="2"/>
        <v>0</v>
      </c>
      <c r="C177">
        <f>IF(ISBLANK(H177),"",VLOOKUP(H177,Code!B:C,2,FALSE))</f>
        <v>21</v>
      </c>
      <c r="D177">
        <v>2019</v>
      </c>
      <c r="E177">
        <v>110635</v>
      </c>
      <c r="F177" t="s">
        <v>63</v>
      </c>
      <c r="G177" t="s">
        <v>289</v>
      </c>
      <c r="H177" t="s">
        <v>36</v>
      </c>
      <c r="I177" cm="1">
        <f t="array" ref="I177">IF(B177=0,INDEX('Category 14'!F:F,MATCH(C177&amp;E177&amp;D177,'Category 14'!B:B&amp;'Category 14'!C:C&amp;'Category 14'!A:A,0)),INDEX('Category 14'!G:G,MATCH(C177&amp;E177&amp;D177,'Category 14'!B:B&amp;'Category 14'!C:C&amp;'Category 14'!A:A,0)))</f>
        <v>0</v>
      </c>
      <c r="J177">
        <f>I177/VLOOKUP($D177,CPI!$P$16:$R$22,3,FALSE)</f>
        <v>0</v>
      </c>
      <c r="K177" cm="1">
        <f t="array" ref="K177">IF(B177=0,INDEX('Category 15'!F:F,MATCH(C177&amp;E177&amp;D177,'Category 15'!B:B&amp;'Category 15'!C:C&amp;'Category 15'!A:A,0)),INDEX('Category 15'!G:G,MATCH(C177&amp;E177&amp;D177,'Category 15'!B:B&amp;'Category 31'!C:C&amp;'Category 15'!A:A,0)))</f>
        <v>0</v>
      </c>
      <c r="L177">
        <f>K177/VLOOKUP($D177,CPI!$P$16:$R$22,3,FALSE)</f>
        <v>0</v>
      </c>
      <c r="M177" s="16" cm="1">
        <f t="array" ref="M177">IF(B177=0,INDEX('Category 31'!F:F,MATCH(C177&amp;E177&amp;D177,'Category 31'!B:B&amp;'Category 31'!C:C&amp;'Category 31'!A:A,0)),INDEX('Category 31'!G:G,MATCH(C177&amp;E177&amp;D177,'Category 31'!B:B&amp;'Category 31'!C:C&amp;'Category 31'!A:A,0)))</f>
        <v>4995</v>
      </c>
      <c r="N177" s="16">
        <f>M177/VLOOKUP($D177,CPI!$P$16:$R$22,3,FALSE)</f>
        <v>5910.443156176153</v>
      </c>
      <c r="O177">
        <v>0</v>
      </c>
    </row>
    <row r="178" spans="1:15" ht="16" thickBot="1" x14ac:dyDescent="0.25">
      <c r="A178" s="15">
        <v>2</v>
      </c>
      <c r="B178">
        <f t="shared" si="2"/>
        <v>0</v>
      </c>
      <c r="C178">
        <f>IF(ISBLANK(H178),"",VLOOKUP(H178,Code!B:C,2,FALSE))</f>
        <v>24</v>
      </c>
      <c r="D178">
        <v>2019</v>
      </c>
      <c r="E178">
        <v>110635</v>
      </c>
      <c r="F178" t="s">
        <v>63</v>
      </c>
      <c r="G178" t="s">
        <v>289</v>
      </c>
      <c r="H178" t="s">
        <v>34</v>
      </c>
      <c r="I178" cm="1">
        <f t="array" ref="I178">IF(B178=0,INDEX('Category 14'!F:F,MATCH(C178&amp;E178&amp;D178,'Category 14'!B:B&amp;'Category 14'!C:C&amp;'Category 14'!A:A,0)),INDEX('Category 14'!G:G,MATCH(C178&amp;E178&amp;D178,'Category 14'!B:B&amp;'Category 14'!C:C&amp;'Category 14'!A:A,0)))</f>
        <v>0</v>
      </c>
      <c r="J178">
        <f>I178/VLOOKUP($D178,CPI!$P$16:$R$22,3,FALSE)</f>
        <v>0</v>
      </c>
      <c r="K178" cm="1">
        <f t="array" ref="K178">IF(B178=0,INDEX('Category 15'!F:F,MATCH(C178&amp;E178&amp;D178,'Category 15'!B:B&amp;'Category 15'!C:C&amp;'Category 15'!A:A,0)),INDEX('Category 15'!G:G,MATCH(C178&amp;E178&amp;D178,'Category 15'!B:B&amp;'Category 31'!C:C&amp;'Category 15'!A:A,0)))</f>
        <v>0</v>
      </c>
      <c r="L178">
        <f>K178/VLOOKUP($D178,CPI!$P$16:$R$22,3,FALSE)</f>
        <v>0</v>
      </c>
      <c r="M178" s="16" cm="1">
        <f t="array" ref="M178">IF(B178=0,INDEX('Category 31'!F:F,MATCH(C178&amp;E178&amp;D178,'Category 31'!B:B&amp;'Category 31'!C:C&amp;'Category 31'!A:A,0)),INDEX('Category 31'!G:G,MATCH(C178&amp;E178&amp;D178,'Category 31'!B:B&amp;'Category 31'!C:C&amp;'Category 31'!A:A,0)))</f>
        <v>5250</v>
      </c>
      <c r="N178" s="16">
        <f>M178/VLOOKUP($D178,CPI!$P$16:$R$22,3,FALSE)</f>
        <v>6212.1774914764374</v>
      </c>
      <c r="O178">
        <v>0</v>
      </c>
    </row>
    <row r="179" spans="1:15" ht="16" thickBot="1" x14ac:dyDescent="0.25">
      <c r="A179" s="15">
        <v>2</v>
      </c>
      <c r="B179">
        <f t="shared" si="2"/>
        <v>1</v>
      </c>
      <c r="C179">
        <f>IF(ISBLANK(H179),"",VLOOKUP(H179,Code!B:C,2,FALSE))</f>
        <v>2</v>
      </c>
      <c r="D179">
        <v>2019</v>
      </c>
      <c r="E179">
        <v>110635</v>
      </c>
      <c r="F179" t="s">
        <v>63</v>
      </c>
      <c r="G179" t="s">
        <v>290</v>
      </c>
      <c r="H179" t="s">
        <v>1</v>
      </c>
      <c r="I179" cm="1">
        <f t="array" ref="I179">IF(B179=0,INDEX('Category 14'!F:F,MATCH(C179&amp;E179&amp;D179,'Category 14'!B:B&amp;'Category 14'!C:C&amp;'Category 14'!A:A,0)),INDEX('Category 14'!G:G,MATCH(C179&amp;E179&amp;D179,'Category 14'!B:B&amp;'Category 14'!C:C&amp;'Category 14'!A:A,0)))</f>
        <v>1505</v>
      </c>
      <c r="J179">
        <f>I179/VLOOKUP($D179,CPI!$P$16:$R$22,3,FALSE)</f>
        <v>1780.8242142232452</v>
      </c>
      <c r="K179" cm="1">
        <f t="array" ref="K179">IF(B179=0,INDEX('Category 15'!F:F,MATCH(C179&amp;E179&amp;D179,'Category 15'!B:B&amp;'Category 15'!C:C&amp;'Category 15'!A:A,0)),INDEX('Category 15'!G:G,MATCH(C179&amp;E179&amp;D179,'Category 15'!B:B&amp;'Category 31'!C:C&amp;'Category 15'!A:A,0)))</f>
        <v>5000</v>
      </c>
      <c r="L179">
        <f>K179/VLOOKUP($D179,CPI!$P$16:$R$22,3,FALSE)</f>
        <v>5916.3595156918445</v>
      </c>
      <c r="M179" s="16" cm="1">
        <f t="array" ref="M179">IF(B179=0,INDEX('Category 31'!F:F,MATCH(C179&amp;E179&amp;D179,'Category 31'!B:B&amp;'Category 31'!C:C&amp;'Category 31'!A:A,0)),INDEX('Category 31'!G:G,MATCH(C179&amp;E179&amp;D179,'Category 31'!B:B&amp;'Category 31'!C:C&amp;'Category 31'!A:A,0)))</f>
        <v>82801</v>
      </c>
      <c r="N179" s="16">
        <f>M179/VLOOKUP($D179,CPI!$P$16:$R$22,3,FALSE)</f>
        <v>97976.096851760085</v>
      </c>
      <c r="O179">
        <f>VLOOKUP(E179,WBasketball!C:S,8,FALSE)</f>
        <v>41998</v>
      </c>
    </row>
    <row r="180" spans="1:15" ht="16" thickBot="1" x14ac:dyDescent="0.25">
      <c r="A180" s="15">
        <v>2</v>
      </c>
      <c r="B180">
        <f t="shared" si="2"/>
        <v>1</v>
      </c>
      <c r="C180">
        <f>IF(ISBLANK(H180),"",VLOOKUP(H180,Code!B:C,2,FALSE))</f>
        <v>3</v>
      </c>
      <c r="D180">
        <v>2019</v>
      </c>
      <c r="E180">
        <v>110635</v>
      </c>
      <c r="F180" t="s">
        <v>63</v>
      </c>
      <c r="G180" t="s">
        <v>290</v>
      </c>
      <c r="H180" t="s">
        <v>21</v>
      </c>
      <c r="I180" cm="1">
        <f t="array" ref="I180">IF(B180=0,INDEX('Category 14'!F:F,MATCH(C180&amp;E180&amp;D180,'Category 14'!B:B&amp;'Category 14'!C:C&amp;'Category 14'!A:A,0)),INDEX('Category 14'!G:G,MATCH(C180&amp;E180&amp;D180,'Category 14'!B:B&amp;'Category 14'!C:C&amp;'Category 14'!A:A,0)))</f>
        <v>0</v>
      </c>
      <c r="J180">
        <f>I180/VLOOKUP($D180,CPI!$P$16:$R$22,3,FALSE)</f>
        <v>0</v>
      </c>
      <c r="K180" cm="1">
        <f t="array" ref="K180">IF(B180=0,INDEX('Category 15'!F:F,MATCH(C180&amp;E180&amp;D180,'Category 15'!B:B&amp;'Category 15'!C:C&amp;'Category 15'!A:A,0)),INDEX('Category 15'!G:G,MATCH(C180&amp;E180&amp;D180,'Category 15'!B:B&amp;'Category 31'!C:C&amp;'Category 15'!A:A,0)))</f>
        <v>0</v>
      </c>
      <c r="L180">
        <f>K180/VLOOKUP($D180,CPI!$P$16:$R$22,3,FALSE)</f>
        <v>0</v>
      </c>
      <c r="M180" s="16" cm="1">
        <f t="array" ref="M180">IF(B180=0,INDEX('Category 31'!F:F,MATCH(C180&amp;E180&amp;D180,'Category 31'!B:B&amp;'Category 31'!C:C&amp;'Category 31'!A:A,0)),INDEX('Category 31'!G:G,MATCH(C180&amp;E180&amp;D180,'Category 31'!B:B&amp;'Category 31'!C:C&amp;'Category 31'!A:A,0)))</f>
        <v>2118</v>
      </c>
      <c r="N180" s="16">
        <f>M180/VLOOKUP($D180,CPI!$P$16:$R$22,3,FALSE)</f>
        <v>2506.1698908470657</v>
      </c>
      <c r="O180">
        <v>0</v>
      </c>
    </row>
    <row r="181" spans="1:15" ht="16" thickBot="1" x14ac:dyDescent="0.25">
      <c r="A181" s="15">
        <v>2</v>
      </c>
      <c r="B181">
        <f t="shared" si="2"/>
        <v>1</v>
      </c>
      <c r="C181">
        <f>IF(ISBLANK(H181),"",VLOOKUP(H181,Code!B:C,2,FALSE))</f>
        <v>7</v>
      </c>
      <c r="D181">
        <v>2019</v>
      </c>
      <c r="E181">
        <v>110635</v>
      </c>
      <c r="F181" t="s">
        <v>63</v>
      </c>
      <c r="G181" t="s">
        <v>290</v>
      </c>
      <c r="H181" t="s">
        <v>25</v>
      </c>
      <c r="I181" cm="1">
        <f t="array" ref="I181">IF(B181=0,INDEX('Category 14'!F:F,MATCH(C181&amp;E181&amp;D181,'Category 14'!B:B&amp;'Category 14'!C:C&amp;'Category 14'!A:A,0)),INDEX('Category 14'!G:G,MATCH(C181&amp;E181&amp;D181,'Category 14'!B:B&amp;'Category 14'!C:C&amp;'Category 14'!A:A,0)))</f>
        <v>0</v>
      </c>
      <c r="J181">
        <f>I181/VLOOKUP($D181,CPI!$P$16:$R$22,3,FALSE)</f>
        <v>0</v>
      </c>
      <c r="K181" cm="1">
        <f t="array" ref="K181">IF(B181=0,INDEX('Category 15'!F:F,MATCH(C181&amp;E181&amp;D181,'Category 15'!B:B&amp;'Category 15'!C:C&amp;'Category 15'!A:A,0)),INDEX('Category 15'!G:G,MATCH(C181&amp;E181&amp;D181,'Category 15'!B:B&amp;'Category 31'!C:C&amp;'Category 15'!A:A,0)))</f>
        <v>0</v>
      </c>
      <c r="L181">
        <f>K181/VLOOKUP($D181,CPI!$P$16:$R$22,3,FALSE)</f>
        <v>0</v>
      </c>
      <c r="M181" s="16" cm="1">
        <f t="array" ref="M181">IF(B181=0,INDEX('Category 31'!F:F,MATCH(C181&amp;E181&amp;D181,'Category 31'!B:B&amp;'Category 31'!C:C&amp;'Category 31'!A:A,0)),INDEX('Category 31'!G:G,MATCH(C181&amp;E181&amp;D181,'Category 31'!B:B&amp;'Category 31'!C:C&amp;'Category 31'!A:A,0)))</f>
        <v>8261</v>
      </c>
      <c r="N181" s="16">
        <f>M181/VLOOKUP($D181,CPI!$P$16:$R$22,3,FALSE)</f>
        <v>9775.0091918260659</v>
      </c>
      <c r="O181">
        <f>VLOOKUP(E181,WFieldHockey!C:S,8,FALSE)</f>
        <v>1425</v>
      </c>
    </row>
    <row r="182" spans="1:15" ht="16" thickBot="1" x14ac:dyDescent="0.25">
      <c r="A182" s="15">
        <v>2</v>
      </c>
      <c r="B182">
        <f t="shared" si="2"/>
        <v>1</v>
      </c>
      <c r="C182">
        <f>IF(ISBLANK(H182),"",VLOOKUP(H182,Code!B:C,2,FALSE))</f>
        <v>9</v>
      </c>
      <c r="D182">
        <v>2019</v>
      </c>
      <c r="E182">
        <v>110635</v>
      </c>
      <c r="F182" t="s">
        <v>63</v>
      </c>
      <c r="G182" t="s">
        <v>290</v>
      </c>
      <c r="H182" t="s">
        <v>3</v>
      </c>
      <c r="I182" cm="1">
        <f t="array" ref="I182">IF(B182=0,INDEX('Category 14'!F:F,MATCH(C182&amp;E182&amp;D182,'Category 14'!B:B&amp;'Category 14'!C:C&amp;'Category 14'!A:A,0)),INDEX('Category 14'!G:G,MATCH(C182&amp;E182&amp;D182,'Category 14'!B:B&amp;'Category 14'!C:C&amp;'Category 14'!A:A,0)))</f>
        <v>0</v>
      </c>
      <c r="J182">
        <f>I182/VLOOKUP($D182,CPI!$P$16:$R$22,3,FALSE)</f>
        <v>0</v>
      </c>
      <c r="K182" cm="1">
        <f t="array" ref="K182">IF(B182=0,INDEX('Category 15'!F:F,MATCH(C182&amp;E182&amp;D182,'Category 15'!B:B&amp;'Category 15'!C:C&amp;'Category 15'!A:A,0)),INDEX('Category 15'!G:G,MATCH(C182&amp;E182&amp;D182,'Category 15'!B:B&amp;'Category 31'!C:C&amp;'Category 15'!A:A,0)))</f>
        <v>0</v>
      </c>
      <c r="L182">
        <f>K182/VLOOKUP($D182,CPI!$P$16:$R$22,3,FALSE)</f>
        <v>0</v>
      </c>
      <c r="M182" s="16" cm="1">
        <f t="array" ref="M182">IF(B182=0,INDEX('Category 31'!F:F,MATCH(C182&amp;E182&amp;D182,'Category 31'!B:B&amp;'Category 31'!C:C&amp;'Category 31'!A:A,0)),INDEX('Category 31'!G:G,MATCH(C182&amp;E182&amp;D182,'Category 31'!B:B&amp;'Category 31'!C:C&amp;'Category 31'!A:A,0)))</f>
        <v>7919</v>
      </c>
      <c r="N182" s="16">
        <f>M182/VLOOKUP($D182,CPI!$P$16:$R$22,3,FALSE)</f>
        <v>9370.3302009527433</v>
      </c>
      <c r="O182">
        <v>0</v>
      </c>
    </row>
    <row r="183" spans="1:15" ht="16" thickBot="1" x14ac:dyDescent="0.25">
      <c r="A183" s="15">
        <v>2</v>
      </c>
      <c r="B183">
        <f t="shared" si="2"/>
        <v>1</v>
      </c>
      <c r="C183">
        <f>IF(ISBLANK(H183),"",VLOOKUP(H183,Code!B:C,2,FALSE))</f>
        <v>10</v>
      </c>
      <c r="D183">
        <v>2019</v>
      </c>
      <c r="E183">
        <v>110635</v>
      </c>
      <c r="F183" t="s">
        <v>63</v>
      </c>
      <c r="G183" t="s">
        <v>290</v>
      </c>
      <c r="H183" t="s">
        <v>4</v>
      </c>
      <c r="I183" cm="1">
        <f t="array" ref="I183">IF(B183=0,INDEX('Category 14'!F:F,MATCH(C183&amp;E183&amp;D183,'Category 14'!B:B&amp;'Category 14'!C:C&amp;'Category 14'!A:A,0)),INDEX('Category 14'!G:G,MATCH(C183&amp;E183&amp;D183,'Category 14'!B:B&amp;'Category 14'!C:C&amp;'Category 14'!A:A,0)))</f>
        <v>0</v>
      </c>
      <c r="J183">
        <f>I183/VLOOKUP($D183,CPI!$P$16:$R$22,3,FALSE)</f>
        <v>0</v>
      </c>
      <c r="K183" cm="1">
        <f t="array" ref="K183">IF(B183=0,INDEX('Category 15'!F:F,MATCH(C183&amp;E183&amp;D183,'Category 15'!B:B&amp;'Category 15'!C:C&amp;'Category 15'!A:A,0)),INDEX('Category 15'!G:G,MATCH(C183&amp;E183&amp;D183,'Category 15'!B:B&amp;'Category 31'!C:C&amp;'Category 15'!A:A,0)))</f>
        <v>0</v>
      </c>
      <c r="L183">
        <f>K183/VLOOKUP($D183,CPI!$P$16:$R$22,3,FALSE)</f>
        <v>0</v>
      </c>
      <c r="M183" s="16" cm="1">
        <f t="array" ref="M183">IF(B183=0,INDEX('Category 31'!F:F,MATCH(C183&amp;E183&amp;D183,'Category 31'!B:B&amp;'Category 31'!C:C&amp;'Category 31'!A:A,0)),INDEX('Category 31'!G:G,MATCH(C183&amp;E183&amp;D183,'Category 31'!B:B&amp;'Category 31'!C:C&amp;'Category 31'!A:A,0)))</f>
        <v>40391</v>
      </c>
      <c r="N183" s="16">
        <f>M183/VLOOKUP($D183,CPI!$P$16:$R$22,3,FALSE)</f>
        <v>47793.535439661864</v>
      </c>
      <c r="O183">
        <v>0</v>
      </c>
    </row>
    <row r="184" spans="1:15" ht="16" thickBot="1" x14ac:dyDescent="0.25">
      <c r="A184" s="15">
        <v>2</v>
      </c>
      <c r="B184">
        <f t="shared" si="2"/>
        <v>1</v>
      </c>
      <c r="C184">
        <f>IF(ISBLANK(H184),"",VLOOKUP(H184,Code!B:C,2,FALSE))</f>
        <v>12</v>
      </c>
      <c r="D184">
        <v>2019</v>
      </c>
      <c r="E184">
        <v>110635</v>
      </c>
      <c r="F184" t="s">
        <v>63</v>
      </c>
      <c r="G184" t="s">
        <v>290</v>
      </c>
      <c r="H184" t="s">
        <v>27</v>
      </c>
      <c r="I184" cm="1">
        <f t="array" ref="I184">IF(B184=0,INDEX('Category 14'!F:F,MATCH(C184&amp;E184&amp;D184,'Category 14'!B:B&amp;'Category 14'!C:C&amp;'Category 14'!A:A,0)),INDEX('Category 14'!G:G,MATCH(C184&amp;E184&amp;D184,'Category 14'!B:B&amp;'Category 14'!C:C&amp;'Category 14'!A:A,0)))</f>
        <v>0</v>
      </c>
      <c r="J184">
        <f>I184/VLOOKUP($D184,CPI!$P$16:$R$22,3,FALSE)</f>
        <v>0</v>
      </c>
      <c r="K184" cm="1">
        <f t="array" ref="K184">IF(B184=0,INDEX('Category 15'!F:F,MATCH(C184&amp;E184&amp;D184,'Category 15'!B:B&amp;'Category 15'!C:C&amp;'Category 15'!A:A,0)),INDEX('Category 15'!G:G,MATCH(C184&amp;E184&amp;D184,'Category 15'!B:B&amp;'Category 31'!C:C&amp;'Category 15'!A:A,0)))</f>
        <v>0</v>
      </c>
      <c r="L184">
        <f>K184/VLOOKUP($D184,CPI!$P$16:$R$22,3,FALSE)</f>
        <v>0</v>
      </c>
      <c r="M184" s="16" cm="1">
        <f t="array" ref="M184">IF(B184=0,INDEX('Category 31'!F:F,MATCH(C184&amp;E184&amp;D184,'Category 31'!B:B&amp;'Category 31'!C:C&amp;'Category 31'!A:A,0)),INDEX('Category 31'!G:G,MATCH(C184&amp;E184&amp;D184,'Category 31'!B:B&amp;'Category 31'!C:C&amp;'Category 31'!A:A,0)))</f>
        <v>13034</v>
      </c>
      <c r="N184" s="16">
        <f>M184/VLOOKUP($D184,CPI!$P$16:$R$22,3,FALSE)</f>
        <v>15422.765985505501</v>
      </c>
      <c r="O184">
        <f>VLOOKUP(E184,WLacrosse!C:S,8,FALSE)</f>
        <v>1403</v>
      </c>
    </row>
    <row r="185" spans="1:15" ht="16" thickBot="1" x14ac:dyDescent="0.25">
      <c r="A185" s="15">
        <v>2</v>
      </c>
      <c r="B185">
        <f t="shared" si="2"/>
        <v>1</v>
      </c>
      <c r="C185">
        <f>IF(ISBLANK(H185),"",VLOOKUP(H185,Code!B:C,2,FALSE))</f>
        <v>14</v>
      </c>
      <c r="D185">
        <v>2019</v>
      </c>
      <c r="E185">
        <v>110635</v>
      </c>
      <c r="F185" t="s">
        <v>63</v>
      </c>
      <c r="G185" t="s">
        <v>290</v>
      </c>
      <c r="H185" t="s">
        <v>29</v>
      </c>
      <c r="I185" cm="1">
        <f t="array" ref="I185">IF(B185=0,INDEX('Category 14'!F:F,MATCH(C185&amp;E185&amp;D185,'Category 14'!B:B&amp;'Category 14'!C:C&amp;'Category 14'!A:A,0)),INDEX('Category 14'!G:G,MATCH(C185&amp;E185&amp;D185,'Category 14'!B:B&amp;'Category 14'!C:C&amp;'Category 14'!A:A,0)))</f>
        <v>0</v>
      </c>
      <c r="J185">
        <f>I185/VLOOKUP($D185,CPI!$P$16:$R$22,3,FALSE)</f>
        <v>0</v>
      </c>
      <c r="K185" cm="1">
        <f t="array" ref="K185">IF(B185=0,INDEX('Category 15'!F:F,MATCH(C185&amp;E185&amp;D185,'Category 15'!B:B&amp;'Category 15'!C:C&amp;'Category 15'!A:A,0)),INDEX('Category 15'!G:G,MATCH(C185&amp;E185&amp;D185,'Category 15'!B:B&amp;'Category 31'!C:C&amp;'Category 15'!A:A,0)))</f>
        <v>10000</v>
      </c>
      <c r="L185">
        <f>K185/VLOOKUP($D185,CPI!$P$16:$R$22,3,FALSE)</f>
        <v>11832.719031383689</v>
      </c>
      <c r="M185" s="16" cm="1">
        <f t="array" ref="M185">IF(B185=0,INDEX('Category 31'!F:F,MATCH(C185&amp;E185&amp;D185,'Category 31'!B:B&amp;'Category 31'!C:C&amp;'Category 31'!A:A,0)),INDEX('Category 31'!G:G,MATCH(C185&amp;E185&amp;D185,'Category 31'!B:B&amp;'Category 31'!C:C&amp;'Category 31'!A:A,0)))</f>
        <v>5914</v>
      </c>
      <c r="N185" s="16">
        <f>M185/VLOOKUP($D185,CPI!$P$16:$R$22,3,FALSE)</f>
        <v>6997.8700351603138</v>
      </c>
      <c r="O185">
        <v>0</v>
      </c>
    </row>
    <row r="186" spans="1:15" ht="16" thickBot="1" x14ac:dyDescent="0.25">
      <c r="A186" s="15">
        <v>2</v>
      </c>
      <c r="B186">
        <f t="shared" si="2"/>
        <v>1</v>
      </c>
      <c r="C186">
        <f>IF(ISBLANK(H186),"",VLOOKUP(H186,Code!B:C,2,FALSE))</f>
        <v>17</v>
      </c>
      <c r="D186">
        <v>2019</v>
      </c>
      <c r="E186">
        <v>110635</v>
      </c>
      <c r="F186" t="s">
        <v>63</v>
      </c>
      <c r="G186" t="s">
        <v>290</v>
      </c>
      <c r="H186" t="s">
        <v>5</v>
      </c>
      <c r="I186" cm="1">
        <f t="array" ref="I186">IF(B186=0,INDEX('Category 14'!F:F,MATCH(C186&amp;E186&amp;D186,'Category 14'!B:B&amp;'Category 14'!C:C&amp;'Category 14'!A:A,0)),INDEX('Category 14'!G:G,MATCH(C186&amp;E186&amp;D186,'Category 14'!B:B&amp;'Category 14'!C:C&amp;'Category 14'!A:A,0)))</f>
        <v>0</v>
      </c>
      <c r="J186">
        <f>I186/VLOOKUP($D186,CPI!$P$16:$R$22,3,FALSE)</f>
        <v>0</v>
      </c>
      <c r="K186" cm="1">
        <f t="array" ref="K186">IF(B186=0,INDEX('Category 15'!F:F,MATCH(C186&amp;E186&amp;D186,'Category 15'!B:B&amp;'Category 15'!C:C&amp;'Category 15'!A:A,0)),INDEX('Category 15'!G:G,MATCH(C186&amp;E186&amp;D186,'Category 15'!B:B&amp;'Category 31'!C:C&amp;'Category 15'!A:A,0)))</f>
        <v>0</v>
      </c>
      <c r="L186">
        <f>K186/VLOOKUP($D186,CPI!$P$16:$R$22,3,FALSE)</f>
        <v>0</v>
      </c>
      <c r="M186" s="16" cm="1">
        <f t="array" ref="M186">IF(B186=0,INDEX('Category 31'!F:F,MATCH(C186&amp;E186&amp;D186,'Category 31'!B:B&amp;'Category 31'!C:C&amp;'Category 31'!A:A,0)),INDEX('Category 31'!G:G,MATCH(C186&amp;E186&amp;D186,'Category 31'!B:B&amp;'Category 31'!C:C&amp;'Category 31'!A:A,0)))</f>
        <v>4327</v>
      </c>
      <c r="N186" s="16">
        <f>M186/VLOOKUP($D186,CPI!$P$16:$R$22,3,FALSE)</f>
        <v>5120.0175248797223</v>
      </c>
      <c r="O186">
        <f>VLOOKUP(E186,WSoccer!C:S,8,FALSE)</f>
        <v>5544</v>
      </c>
    </row>
    <row r="187" spans="1:15" ht="16" thickBot="1" x14ac:dyDescent="0.25">
      <c r="A187" s="15">
        <v>2</v>
      </c>
      <c r="B187">
        <f t="shared" si="2"/>
        <v>1</v>
      </c>
      <c r="C187">
        <f>IF(ISBLANK(H187),"",VLOOKUP(H187,Code!B:C,2,FALSE))</f>
        <v>18</v>
      </c>
      <c r="D187">
        <v>2019</v>
      </c>
      <c r="E187">
        <v>110635</v>
      </c>
      <c r="F187" t="s">
        <v>63</v>
      </c>
      <c r="G187" t="s">
        <v>290</v>
      </c>
      <c r="H187" t="s">
        <v>6</v>
      </c>
      <c r="I187" cm="1">
        <f t="array" ref="I187">IF(B187=0,INDEX('Category 14'!F:F,MATCH(C187&amp;E187&amp;D187,'Category 14'!B:B&amp;'Category 14'!C:C&amp;'Category 14'!A:A,0)),INDEX('Category 14'!G:G,MATCH(C187&amp;E187&amp;D187,'Category 14'!B:B&amp;'Category 14'!C:C&amp;'Category 14'!A:A,0)))</f>
        <v>0</v>
      </c>
      <c r="J187">
        <f>I187/VLOOKUP($D187,CPI!$P$16:$R$22,3,FALSE)</f>
        <v>0</v>
      </c>
      <c r="K187" cm="1">
        <f t="array" ref="K187">IF(B187=0,INDEX('Category 15'!F:F,MATCH(C187&amp;E187&amp;D187,'Category 15'!B:B&amp;'Category 15'!C:C&amp;'Category 15'!A:A,0)),INDEX('Category 15'!G:G,MATCH(C187&amp;E187&amp;D187,'Category 15'!B:B&amp;'Category 31'!C:C&amp;'Category 15'!A:A,0)))</f>
        <v>0</v>
      </c>
      <c r="L187">
        <f>K187/VLOOKUP($D187,CPI!$P$16:$R$22,3,FALSE)</f>
        <v>0</v>
      </c>
      <c r="M187" s="16" cm="1">
        <f t="array" ref="M187">IF(B187=0,INDEX('Category 31'!F:F,MATCH(C187&amp;E187&amp;D187,'Category 31'!B:B&amp;'Category 31'!C:C&amp;'Category 31'!A:A,0)),INDEX('Category 31'!G:G,MATCH(C187&amp;E187&amp;D187,'Category 31'!B:B&amp;'Category 31'!C:C&amp;'Category 31'!A:A,0)))</f>
        <v>18746</v>
      </c>
      <c r="N187" s="16">
        <f>M187/VLOOKUP($D187,CPI!$P$16:$R$22,3,FALSE)</f>
        <v>22181.615096231864</v>
      </c>
      <c r="O187">
        <f>VLOOKUP(E187,WSoftball!C:S,8,FALSE)</f>
        <v>6252</v>
      </c>
    </row>
    <row r="188" spans="1:15" ht="16" thickBot="1" x14ac:dyDescent="0.25">
      <c r="A188" s="15">
        <v>2</v>
      </c>
      <c r="B188">
        <f t="shared" si="2"/>
        <v>1</v>
      </c>
      <c r="C188">
        <f>IF(ISBLANK(H188),"",VLOOKUP(H188,Code!B:C,2,FALSE))</f>
        <v>19</v>
      </c>
      <c r="D188">
        <v>2019</v>
      </c>
      <c r="E188">
        <v>110635</v>
      </c>
      <c r="F188" t="s">
        <v>63</v>
      </c>
      <c r="G188" t="s">
        <v>290</v>
      </c>
      <c r="H188" t="s">
        <v>7</v>
      </c>
      <c r="I188" cm="1">
        <f t="array" ref="I188">IF(B188=0,INDEX('Category 14'!F:F,MATCH(C188&amp;E188&amp;D188,'Category 14'!B:B&amp;'Category 14'!C:C&amp;'Category 14'!A:A,0)),INDEX('Category 14'!G:G,MATCH(C188&amp;E188&amp;D188,'Category 14'!B:B&amp;'Category 14'!C:C&amp;'Category 14'!A:A,0)))</f>
        <v>0</v>
      </c>
      <c r="J188">
        <f>I188/VLOOKUP($D188,CPI!$P$16:$R$22,3,FALSE)</f>
        <v>0</v>
      </c>
      <c r="K188" cm="1">
        <f t="array" ref="K188">IF(B188=0,INDEX('Category 15'!F:F,MATCH(C188&amp;E188&amp;D188,'Category 15'!B:B&amp;'Category 15'!C:C&amp;'Category 15'!A:A,0)),INDEX('Category 15'!G:G,MATCH(C188&amp;E188&amp;D188,'Category 15'!B:B&amp;'Category 31'!C:C&amp;'Category 15'!A:A,0)))</f>
        <v>20000</v>
      </c>
      <c r="L188">
        <f>K188/VLOOKUP($D188,CPI!$P$16:$R$22,3,FALSE)</f>
        <v>23665.438062767378</v>
      </c>
      <c r="M188" s="16" cm="1">
        <f t="array" ref="M188">IF(B188=0,INDEX('Category 31'!F:F,MATCH(C188&amp;E188&amp;D188,'Category 31'!B:B&amp;'Category 31'!C:C&amp;'Category 31'!A:A,0)),INDEX('Category 31'!G:G,MATCH(C188&amp;E188&amp;D188,'Category 31'!B:B&amp;'Category 31'!C:C&amp;'Category 31'!A:A,0)))</f>
        <v>11789</v>
      </c>
      <c r="N188" s="16">
        <f>M188/VLOOKUP($D188,CPI!$P$16:$R$22,3,FALSE)</f>
        <v>13949.592466098233</v>
      </c>
      <c r="O188">
        <v>0</v>
      </c>
    </row>
    <row r="189" spans="1:15" ht="16" thickBot="1" x14ac:dyDescent="0.25">
      <c r="A189" s="15">
        <v>2</v>
      </c>
      <c r="B189">
        <f t="shared" si="2"/>
        <v>1</v>
      </c>
      <c r="C189">
        <f>IF(ISBLANK(H189),"",VLOOKUP(H189,Code!B:C,2,FALSE))</f>
        <v>20</v>
      </c>
      <c r="D189">
        <v>2019</v>
      </c>
      <c r="E189">
        <v>110635</v>
      </c>
      <c r="F189" t="s">
        <v>63</v>
      </c>
      <c r="G189" t="s">
        <v>290</v>
      </c>
      <c r="H189" t="s">
        <v>8</v>
      </c>
      <c r="I189" cm="1">
        <f t="array" ref="I189">IF(B189=0,INDEX('Category 14'!F:F,MATCH(C189&amp;E189&amp;D189,'Category 14'!B:B&amp;'Category 14'!C:C&amp;'Category 14'!A:A,0)),INDEX('Category 14'!G:G,MATCH(C189&amp;E189&amp;D189,'Category 14'!B:B&amp;'Category 14'!C:C&amp;'Category 14'!A:A,0)))</f>
        <v>0</v>
      </c>
      <c r="J189">
        <f>I189/VLOOKUP($D189,CPI!$P$16:$R$22,3,FALSE)</f>
        <v>0</v>
      </c>
      <c r="K189" cm="1">
        <f t="array" ref="K189">IF(B189=0,INDEX('Category 15'!F:F,MATCH(C189&amp;E189&amp;D189,'Category 15'!B:B&amp;'Category 15'!C:C&amp;'Category 15'!A:A,0)),INDEX('Category 15'!G:G,MATCH(C189&amp;E189&amp;D189,'Category 15'!B:B&amp;'Category 31'!C:C&amp;'Category 15'!A:A,0)))</f>
        <v>0</v>
      </c>
      <c r="L189">
        <f>K189/VLOOKUP($D189,CPI!$P$16:$R$22,3,FALSE)</f>
        <v>0</v>
      </c>
      <c r="M189" s="16" cm="1">
        <f t="array" ref="M189">IF(B189=0,INDEX('Category 31'!F:F,MATCH(C189&amp;E189&amp;D189,'Category 31'!B:B&amp;'Category 31'!C:C&amp;'Category 31'!A:A,0)),INDEX('Category 31'!G:G,MATCH(C189&amp;E189&amp;D189,'Category 31'!B:B&amp;'Category 31'!C:C&amp;'Category 31'!A:A,0)))</f>
        <v>2510</v>
      </c>
      <c r="N189" s="16">
        <f>M189/VLOOKUP($D189,CPI!$P$16:$R$22,3,FALSE)</f>
        <v>2970.0124768773062</v>
      </c>
      <c r="O189">
        <v>0</v>
      </c>
    </row>
    <row r="190" spans="1:15" ht="16" thickBot="1" x14ac:dyDescent="0.25">
      <c r="A190" s="15">
        <v>2</v>
      </c>
      <c r="B190">
        <f t="shared" si="2"/>
        <v>1</v>
      </c>
      <c r="C190">
        <f>IF(ISBLANK(H190),"",VLOOKUP(H190,Code!B:C,2,FALSE))</f>
        <v>21</v>
      </c>
      <c r="D190">
        <v>2019</v>
      </c>
      <c r="E190">
        <v>110635</v>
      </c>
      <c r="F190" t="s">
        <v>63</v>
      </c>
      <c r="G190" t="s">
        <v>290</v>
      </c>
      <c r="H190" t="s">
        <v>36</v>
      </c>
      <c r="I190" cm="1">
        <f t="array" ref="I190">IF(B190=0,INDEX('Category 14'!F:F,MATCH(C190&amp;E190&amp;D190,'Category 14'!B:B&amp;'Category 14'!C:C&amp;'Category 14'!A:A,0)),INDEX('Category 14'!G:G,MATCH(C190&amp;E190&amp;D190,'Category 14'!B:B&amp;'Category 14'!C:C&amp;'Category 14'!A:A,0)))</f>
        <v>0</v>
      </c>
      <c r="J190">
        <f>I190/VLOOKUP($D190,CPI!$P$16:$R$22,3,FALSE)</f>
        <v>0</v>
      </c>
      <c r="K190" cm="1">
        <f t="array" ref="K190">IF(B190=0,INDEX('Category 15'!F:F,MATCH(C190&amp;E190&amp;D190,'Category 15'!B:B&amp;'Category 15'!C:C&amp;'Category 15'!A:A,0)),INDEX('Category 15'!G:G,MATCH(C190&amp;E190&amp;D190,'Category 15'!B:B&amp;'Category 31'!C:C&amp;'Category 15'!A:A,0)))</f>
        <v>0</v>
      </c>
      <c r="L190">
        <f>K190/VLOOKUP($D190,CPI!$P$16:$R$22,3,FALSE)</f>
        <v>0</v>
      </c>
      <c r="M190" s="16" cm="1">
        <f t="array" ref="M190">IF(B190=0,INDEX('Category 31'!F:F,MATCH(C190&amp;E190&amp;D190,'Category 31'!B:B&amp;'Category 31'!C:C&amp;'Category 31'!A:A,0)),INDEX('Category 31'!G:G,MATCH(C190&amp;E190&amp;D190,'Category 31'!B:B&amp;'Category 31'!C:C&amp;'Category 31'!A:A,0)))</f>
        <v>4995</v>
      </c>
      <c r="N190" s="16">
        <f>M190/VLOOKUP($D190,CPI!$P$16:$R$22,3,FALSE)</f>
        <v>5910.443156176153</v>
      </c>
      <c r="O190">
        <v>0</v>
      </c>
    </row>
    <row r="191" spans="1:15" ht="16" thickBot="1" x14ac:dyDescent="0.25">
      <c r="A191" s="15">
        <v>2</v>
      </c>
      <c r="B191">
        <f t="shared" si="2"/>
        <v>1</v>
      </c>
      <c r="C191">
        <f>IF(ISBLANK(H191),"",VLOOKUP(H191,Code!B:C,2,FALSE))</f>
        <v>23</v>
      </c>
      <c r="D191">
        <v>2019</v>
      </c>
      <c r="E191">
        <v>110635</v>
      </c>
      <c r="F191" t="s">
        <v>63</v>
      </c>
      <c r="G191" t="s">
        <v>290</v>
      </c>
      <c r="H191" t="s">
        <v>10</v>
      </c>
      <c r="I191" cm="1">
        <f t="array" ref="I191">IF(B191=0,INDEX('Category 14'!F:F,MATCH(C191&amp;E191&amp;D191,'Category 14'!B:B&amp;'Category 14'!C:C&amp;'Category 14'!A:A,0)),INDEX('Category 14'!G:G,MATCH(C191&amp;E191&amp;D191,'Category 14'!B:B&amp;'Category 14'!C:C&amp;'Category 14'!A:A,0)))</f>
        <v>0</v>
      </c>
      <c r="J191">
        <f>I191/VLOOKUP($D191,CPI!$P$16:$R$22,3,FALSE)</f>
        <v>0</v>
      </c>
      <c r="K191" cm="1">
        <f t="array" ref="K191">IF(B191=0,INDEX('Category 15'!F:F,MATCH(C191&amp;E191&amp;D191,'Category 15'!B:B&amp;'Category 15'!C:C&amp;'Category 15'!A:A,0)),INDEX('Category 15'!G:G,MATCH(C191&amp;E191&amp;D191,'Category 15'!B:B&amp;'Category 31'!C:C&amp;'Category 15'!A:A,0)))</f>
        <v>0</v>
      </c>
      <c r="L191">
        <f>K191/VLOOKUP($D191,CPI!$P$16:$R$22,3,FALSE)</f>
        <v>0</v>
      </c>
      <c r="M191" s="16" cm="1">
        <f t="array" ref="M191">IF(B191=0,INDEX('Category 31'!F:F,MATCH(C191&amp;E191&amp;D191,'Category 31'!B:B&amp;'Category 31'!C:C&amp;'Category 31'!A:A,0)),INDEX('Category 31'!G:G,MATCH(C191&amp;E191&amp;D191,'Category 31'!B:B&amp;'Category 31'!C:C&amp;'Category 31'!A:A,0)))</f>
        <v>15549</v>
      </c>
      <c r="N191" s="16">
        <f>M191/VLOOKUP($D191,CPI!$P$16:$R$22,3,FALSE)</f>
        <v>18398.694821898498</v>
      </c>
      <c r="O191">
        <f>VLOOKUP(E191,WVolleyball!C:S,8,FALSE)</f>
        <v>11870</v>
      </c>
    </row>
    <row r="192" spans="1:15" ht="16" thickBot="1" x14ac:dyDescent="0.25">
      <c r="A192" s="15">
        <v>2</v>
      </c>
      <c r="B192">
        <f t="shared" si="2"/>
        <v>1</v>
      </c>
      <c r="C192">
        <f>IF(ISBLANK(H192),"",VLOOKUP(H192,Code!B:C,2,FALSE))</f>
        <v>24</v>
      </c>
      <c r="D192">
        <v>2019</v>
      </c>
      <c r="E192">
        <v>110635</v>
      </c>
      <c r="F192" t="s">
        <v>63</v>
      </c>
      <c r="G192" t="s">
        <v>290</v>
      </c>
      <c r="H192" t="s">
        <v>34</v>
      </c>
      <c r="I192" cm="1">
        <f t="array" ref="I192">IF(B192=0,INDEX('Category 14'!F:F,MATCH(C192&amp;E192&amp;D192,'Category 14'!B:B&amp;'Category 14'!C:C&amp;'Category 14'!A:A,0)),INDEX('Category 14'!G:G,MATCH(C192&amp;E192&amp;D192,'Category 14'!B:B&amp;'Category 14'!C:C&amp;'Category 14'!A:A,0)))</f>
        <v>0</v>
      </c>
      <c r="J192">
        <f>I192/VLOOKUP($D192,CPI!$P$16:$R$22,3,FALSE)</f>
        <v>0</v>
      </c>
      <c r="K192" cm="1">
        <f t="array" ref="K192">IF(B192=0,INDEX('Category 15'!F:F,MATCH(C192&amp;E192&amp;D192,'Category 15'!B:B&amp;'Category 15'!C:C&amp;'Category 15'!A:A,0)),INDEX('Category 15'!G:G,MATCH(C192&amp;E192&amp;D192,'Category 15'!B:B&amp;'Category 31'!C:C&amp;'Category 15'!A:A,0)))</f>
        <v>0</v>
      </c>
      <c r="L192">
        <f>K192/VLOOKUP($D192,CPI!$P$16:$R$22,3,FALSE)</f>
        <v>0</v>
      </c>
      <c r="M192" s="16" cm="1">
        <f t="array" ref="M192">IF(B192=0,INDEX('Category 31'!F:F,MATCH(C192&amp;E192&amp;D192,'Category 31'!B:B&amp;'Category 31'!C:C&amp;'Category 31'!A:A,0)),INDEX('Category 31'!G:G,MATCH(C192&amp;E192&amp;D192,'Category 31'!B:B&amp;'Category 31'!C:C&amp;'Category 31'!A:A,0)))</f>
        <v>4212</v>
      </c>
      <c r="N192" s="16">
        <f>M192/VLOOKUP($D192,CPI!$P$16:$R$22,3,FALSE)</f>
        <v>4983.9412560188102</v>
      </c>
      <c r="O192">
        <v>0</v>
      </c>
    </row>
    <row r="193" spans="1:15" ht="16" thickBot="1" x14ac:dyDescent="0.25">
      <c r="A193" s="15">
        <v>2</v>
      </c>
      <c r="B193">
        <f t="shared" si="2"/>
        <v>0</v>
      </c>
      <c r="C193">
        <f>IF(ISBLANK(H193),"",VLOOKUP(H193,Code!B:C,2,FALSE))</f>
        <v>1</v>
      </c>
      <c r="D193">
        <v>2020</v>
      </c>
      <c r="E193">
        <v>110635</v>
      </c>
      <c r="F193" t="s">
        <v>63</v>
      </c>
      <c r="G193" t="s">
        <v>289</v>
      </c>
      <c r="H193" t="s">
        <v>0</v>
      </c>
      <c r="I193" cm="1">
        <f t="array" ref="I193">IF(B193=0,INDEX('Category 14'!F:F,MATCH(C193&amp;E193&amp;D193,'Category 14'!B:B&amp;'Category 14'!C:C&amp;'Category 14'!A:A,0)),INDEX('Category 14'!G:G,MATCH(C193&amp;E193&amp;D193,'Category 14'!B:B&amp;'Category 14'!C:C&amp;'Category 14'!A:A,0)))</f>
        <v>0</v>
      </c>
      <c r="J193">
        <f>I193/VLOOKUP($D193,CPI!$P$16:$R$22,3,FALSE)</f>
        <v>0</v>
      </c>
      <c r="K193" cm="1">
        <f t="array" ref="K193">IF(B193=0,INDEX('Category 15'!F:F,MATCH(C193&amp;E193&amp;D193,'Category 15'!B:B&amp;'Category 15'!C:C&amp;'Category 15'!A:A,0)),INDEX('Category 15'!G:G,MATCH(C193&amp;E193&amp;D193,'Category 15'!B:B&amp;'Category 31'!C:C&amp;'Category 15'!A:A,0)))</f>
        <v>8750</v>
      </c>
      <c r="L193">
        <f>K193/VLOOKUP($D193,CPI!$P$16:$R$22,3,FALSE)</f>
        <v>10194.176903938111</v>
      </c>
      <c r="M193" s="16" cm="1">
        <f t="array" ref="M193">IF(B193=0,INDEX('Category 31'!F:F,MATCH(C193&amp;E193&amp;D193,'Category 31'!B:B&amp;'Category 31'!C:C&amp;'Category 31'!A:A,0)),INDEX('Category 31'!G:G,MATCH(C193&amp;E193&amp;D193,'Category 31'!B:B&amp;'Category 31'!C:C&amp;'Category 31'!A:A,0)))</f>
        <v>5990</v>
      </c>
      <c r="N193" s="16">
        <f>M193/VLOOKUP($D193,CPI!$P$16:$R$22,3,FALSE)</f>
        <v>6978.6422462387754</v>
      </c>
      <c r="O193">
        <f>VLOOKUP(E121,MBaseball!C:R,9,FALSE)</f>
        <v>4753</v>
      </c>
    </row>
    <row r="194" spans="1:15" ht="16" thickBot="1" x14ac:dyDescent="0.25">
      <c r="A194" s="15">
        <v>2</v>
      </c>
      <c r="B194">
        <f t="shared" si="2"/>
        <v>0</v>
      </c>
      <c r="C194">
        <f>IF(ISBLANK(H194),"",VLOOKUP(H194,Code!B:C,2,FALSE))</f>
        <v>2</v>
      </c>
      <c r="D194">
        <v>2020</v>
      </c>
      <c r="E194">
        <v>110635</v>
      </c>
      <c r="F194" t="s">
        <v>63</v>
      </c>
      <c r="G194" t="s">
        <v>289</v>
      </c>
      <c r="H194" t="s">
        <v>1</v>
      </c>
      <c r="I194" cm="1">
        <f t="array" ref="I194">IF(B194=0,INDEX('Category 14'!F:F,MATCH(C194&amp;E194&amp;D194,'Category 14'!B:B&amp;'Category 14'!C:C&amp;'Category 14'!A:A,0)),INDEX('Category 14'!G:G,MATCH(C194&amp;E194&amp;D194,'Category 14'!B:B&amp;'Category 14'!C:C&amp;'Category 14'!A:A,0)))</f>
        <v>30</v>
      </c>
      <c r="J194">
        <f>I194/VLOOKUP($D194,CPI!$P$16:$R$22,3,FALSE)</f>
        <v>34.951463670644948</v>
      </c>
      <c r="K194" cm="1">
        <f t="array" ref="K194">IF(B194=0,INDEX('Category 15'!F:F,MATCH(C194&amp;E194&amp;D194,'Category 15'!B:B&amp;'Category 15'!C:C&amp;'Category 15'!A:A,0)),INDEX('Category 15'!G:G,MATCH(C194&amp;E194&amp;D194,'Category 15'!B:B&amp;'Category 31'!C:C&amp;'Category 15'!A:A,0)))</f>
        <v>0</v>
      </c>
      <c r="L194">
        <f>K194/VLOOKUP($D194,CPI!$P$16:$R$22,3,FALSE)</f>
        <v>0</v>
      </c>
      <c r="M194" s="16" cm="1">
        <f t="array" ref="M194">IF(B194=0,INDEX('Category 31'!F:F,MATCH(C194&amp;E194&amp;D194,'Category 31'!B:B&amp;'Category 31'!C:C&amp;'Category 31'!A:A,0)),INDEX('Category 31'!G:G,MATCH(C194&amp;E194&amp;D194,'Category 31'!B:B&amp;'Category 31'!C:C&amp;'Category 31'!A:A,0)))</f>
        <v>122682</v>
      </c>
      <c r="N194" s="16">
        <f>M194/VLOOKUP($D194,CPI!$P$16:$R$22,3,FALSE)</f>
        <v>142930.51553473546</v>
      </c>
      <c r="O194">
        <f>VLOOKUP(E194,MBasketball!C:P,9,FALSE)</f>
        <v>83996</v>
      </c>
    </row>
    <row r="195" spans="1:15" ht="16" thickBot="1" x14ac:dyDescent="0.25">
      <c r="A195" s="15">
        <v>2</v>
      </c>
      <c r="B195">
        <f t="shared" ref="B195:B258" si="3">IF(ISBLANK(G195),"",IF(MID(G195,1,1)="M",0,1))</f>
        <v>0</v>
      </c>
      <c r="C195">
        <f>IF(ISBLANK(H195),"",VLOOKUP(H195,Code!B:C,2,FALSE))</f>
        <v>8</v>
      </c>
      <c r="D195">
        <v>2020</v>
      </c>
      <c r="E195">
        <v>110635</v>
      </c>
      <c r="F195" t="s">
        <v>63</v>
      </c>
      <c r="G195" t="s">
        <v>289</v>
      </c>
      <c r="H195" t="s">
        <v>2</v>
      </c>
      <c r="I195" cm="1">
        <f t="array" ref="I195">IF(B195=0,INDEX('Category 14'!F:F,MATCH(C195&amp;E195&amp;D195,'Category 14'!B:B&amp;'Category 14'!C:C&amp;'Category 14'!A:A,0)),INDEX('Category 14'!G:G,MATCH(C195&amp;E195&amp;D195,'Category 14'!B:B&amp;'Category 14'!C:C&amp;'Category 14'!A:A,0)))</f>
        <v>489825</v>
      </c>
      <c r="J195">
        <f>I195/VLOOKUP($D195,CPI!$P$16:$R$22,3,FALSE)</f>
        <v>570670.02308245539</v>
      </c>
      <c r="K195" cm="1">
        <f t="array" ref="K195">IF(B195=0,INDEX('Category 15'!F:F,MATCH(C195&amp;E195&amp;D195,'Category 15'!B:B&amp;'Category 15'!C:C&amp;'Category 15'!A:A,0)),INDEX('Category 15'!G:G,MATCH(C195&amp;E195&amp;D195,'Category 15'!B:B&amp;'Category 31'!C:C&amp;'Category 15'!A:A,0)))</f>
        <v>25000</v>
      </c>
      <c r="L195">
        <f>K195/VLOOKUP($D195,CPI!$P$16:$R$22,3,FALSE)</f>
        <v>29126.219725537459</v>
      </c>
      <c r="M195" s="16" cm="1">
        <f t="array" ref="M195">IF(B195=0,INDEX('Category 31'!F:F,MATCH(C195&amp;E195&amp;D195,'Category 31'!B:B&amp;'Category 31'!C:C&amp;'Category 31'!A:A,0)),INDEX('Category 31'!G:G,MATCH(C195&amp;E195&amp;D195,'Category 31'!B:B&amp;'Category 31'!C:C&amp;'Category 31'!A:A,0)))</f>
        <v>752901</v>
      </c>
      <c r="N195" s="16">
        <f>M195/VLOOKUP($D195,CPI!$P$16:$R$22,3,FALSE)</f>
        <v>877166.39830307511</v>
      </c>
      <c r="O195">
        <f>VLOOKUP(E195,MFootball!C:S,9,FALSE)</f>
        <v>254597</v>
      </c>
    </row>
    <row r="196" spans="1:15" ht="16" thickBot="1" x14ac:dyDescent="0.25">
      <c r="A196" s="15">
        <v>2</v>
      </c>
      <c r="B196">
        <f t="shared" si="3"/>
        <v>0</v>
      </c>
      <c r="C196">
        <f>IF(ISBLANK(H196),"",VLOOKUP(H196,Code!B:C,2,FALSE))</f>
        <v>9</v>
      </c>
      <c r="D196">
        <v>2020</v>
      </c>
      <c r="E196">
        <v>110635</v>
      </c>
      <c r="F196" t="s">
        <v>63</v>
      </c>
      <c r="G196" t="s">
        <v>289</v>
      </c>
      <c r="H196" t="s">
        <v>3</v>
      </c>
      <c r="I196" cm="1">
        <f t="array" ref="I196">IF(B196=0,INDEX('Category 14'!F:F,MATCH(C196&amp;E196&amp;D196,'Category 14'!B:B&amp;'Category 14'!C:C&amp;'Category 14'!A:A,0)),INDEX('Category 14'!G:G,MATCH(C196&amp;E196&amp;D196,'Category 14'!B:B&amp;'Category 14'!C:C&amp;'Category 14'!A:A,0)))</f>
        <v>0</v>
      </c>
      <c r="J196">
        <f>I196/VLOOKUP($D196,CPI!$P$16:$R$22,3,FALSE)</f>
        <v>0</v>
      </c>
      <c r="K196" cm="1">
        <f t="array" ref="K196">IF(B196=0,INDEX('Category 15'!F:F,MATCH(C196&amp;E196&amp;D196,'Category 15'!B:B&amp;'Category 15'!C:C&amp;'Category 15'!A:A,0)),INDEX('Category 15'!G:G,MATCH(C196&amp;E196&amp;D196,'Category 15'!B:B&amp;'Category 31'!C:C&amp;'Category 15'!A:A,0)))</f>
        <v>0</v>
      </c>
      <c r="L196">
        <f>K196/VLOOKUP($D196,CPI!$P$16:$R$22,3,FALSE)</f>
        <v>0</v>
      </c>
      <c r="M196" s="16" cm="1">
        <f t="array" ref="M196">IF(B196=0,INDEX('Category 31'!F:F,MATCH(C196&amp;E196&amp;D196,'Category 31'!B:B&amp;'Category 31'!C:C&amp;'Category 31'!A:A,0)),INDEX('Category 31'!G:G,MATCH(C196&amp;E196&amp;D196,'Category 31'!B:B&amp;'Category 31'!C:C&amp;'Category 31'!A:A,0)))</f>
        <v>68775</v>
      </c>
      <c r="N196" s="16">
        <f>M196/VLOOKUP($D196,CPI!$P$16:$R$22,3,FALSE)</f>
        <v>80126.230464953551</v>
      </c>
      <c r="O196">
        <v>0</v>
      </c>
    </row>
    <row r="197" spans="1:15" ht="16" thickBot="1" x14ac:dyDescent="0.25">
      <c r="A197" s="15">
        <v>2</v>
      </c>
      <c r="B197">
        <f t="shared" si="3"/>
        <v>0</v>
      </c>
      <c r="C197">
        <f>IF(ISBLANK(H197),"",VLOOKUP(H197,Code!B:C,2,FALSE))</f>
        <v>10</v>
      </c>
      <c r="D197">
        <v>2020</v>
      </c>
      <c r="E197">
        <v>110635</v>
      </c>
      <c r="F197" t="s">
        <v>63</v>
      </c>
      <c r="G197" t="s">
        <v>289</v>
      </c>
      <c r="H197" t="s">
        <v>4</v>
      </c>
      <c r="I197" cm="1">
        <f t="array" ref="I197">IF(B197=0,INDEX('Category 14'!F:F,MATCH(C197&amp;E197&amp;D197,'Category 14'!B:B&amp;'Category 14'!C:C&amp;'Category 14'!A:A,0)),INDEX('Category 14'!G:G,MATCH(C197&amp;E197&amp;D197,'Category 14'!B:B&amp;'Category 14'!C:C&amp;'Category 14'!A:A,0)))</f>
        <v>0</v>
      </c>
      <c r="J197">
        <f>I197/VLOOKUP($D197,CPI!$P$16:$R$22,3,FALSE)</f>
        <v>0</v>
      </c>
      <c r="K197" cm="1">
        <f t="array" ref="K197">IF(B197=0,INDEX('Category 15'!F:F,MATCH(C197&amp;E197&amp;D197,'Category 15'!B:B&amp;'Category 15'!C:C&amp;'Category 15'!A:A,0)),INDEX('Category 15'!G:G,MATCH(C197&amp;E197&amp;D197,'Category 15'!B:B&amp;'Category 31'!C:C&amp;'Category 15'!A:A,0)))</f>
        <v>0</v>
      </c>
      <c r="L197">
        <f>K197/VLOOKUP($D197,CPI!$P$16:$R$22,3,FALSE)</f>
        <v>0</v>
      </c>
      <c r="M197" s="16" cm="1">
        <f t="array" ref="M197">IF(B197=0,INDEX('Category 31'!F:F,MATCH(C197&amp;E197&amp;D197,'Category 31'!B:B&amp;'Category 31'!C:C&amp;'Category 31'!A:A,0)),INDEX('Category 31'!G:G,MATCH(C197&amp;E197&amp;D197,'Category 31'!B:B&amp;'Category 31'!C:C&amp;'Category 31'!A:A,0)))</f>
        <v>3859</v>
      </c>
      <c r="N197" s="16">
        <f>M197/VLOOKUP($D197,CPI!$P$16:$R$22,3,FALSE)</f>
        <v>4495.9232768339625</v>
      </c>
      <c r="O197">
        <v>0</v>
      </c>
    </row>
    <row r="198" spans="1:15" ht="16" thickBot="1" x14ac:dyDescent="0.25">
      <c r="A198" s="15">
        <v>2</v>
      </c>
      <c r="B198">
        <f t="shared" si="3"/>
        <v>0</v>
      </c>
      <c r="C198">
        <f>IF(ISBLANK(H198),"",VLOOKUP(H198,Code!B:C,2,FALSE))</f>
        <v>17</v>
      </c>
      <c r="D198">
        <v>2020</v>
      </c>
      <c r="E198">
        <v>110635</v>
      </c>
      <c r="F198" t="s">
        <v>63</v>
      </c>
      <c r="G198" t="s">
        <v>289</v>
      </c>
      <c r="H198" t="s">
        <v>5</v>
      </c>
      <c r="I198" cm="1">
        <f t="array" ref="I198">IF(B198=0,INDEX('Category 14'!F:F,MATCH(C198&amp;E198&amp;D198,'Category 14'!B:B&amp;'Category 14'!C:C&amp;'Category 14'!A:A,0)),INDEX('Category 14'!G:G,MATCH(C198&amp;E198&amp;D198,'Category 14'!B:B&amp;'Category 14'!C:C&amp;'Category 14'!A:A,0)))</f>
        <v>0</v>
      </c>
      <c r="J198">
        <f>I198/VLOOKUP($D198,CPI!$P$16:$R$22,3,FALSE)</f>
        <v>0</v>
      </c>
      <c r="K198" cm="1">
        <f t="array" ref="K198">IF(B198=0,INDEX('Category 15'!F:F,MATCH(C198&amp;E198&amp;D198,'Category 15'!B:B&amp;'Category 15'!C:C&amp;'Category 15'!A:A,0)),INDEX('Category 15'!G:G,MATCH(C198&amp;E198&amp;D198,'Category 15'!B:B&amp;'Category 31'!C:C&amp;'Category 15'!A:A,0)))</f>
        <v>0</v>
      </c>
      <c r="L198">
        <f>K198/VLOOKUP($D198,CPI!$P$16:$R$22,3,FALSE)</f>
        <v>0</v>
      </c>
      <c r="M198" s="16" cm="1">
        <f t="array" ref="M198">IF(B198=0,INDEX('Category 31'!F:F,MATCH(C198&amp;E198&amp;D198,'Category 31'!B:B&amp;'Category 31'!C:C&amp;'Category 31'!A:A,0)),INDEX('Category 31'!G:G,MATCH(C198&amp;E198&amp;D198,'Category 31'!B:B&amp;'Category 31'!C:C&amp;'Category 31'!A:A,0)))</f>
        <v>11076</v>
      </c>
      <c r="N198" s="16">
        <f>M198/VLOOKUP($D198,CPI!$P$16:$R$22,3,FALSE)</f>
        <v>12904.080387202115</v>
      </c>
      <c r="O198">
        <f>VLOOKUP(E195,MSoccer!C:S,9,FALSE)</f>
        <v>0</v>
      </c>
    </row>
    <row r="199" spans="1:15" ht="16" thickBot="1" x14ac:dyDescent="0.25">
      <c r="A199" s="15">
        <v>2</v>
      </c>
      <c r="B199">
        <f t="shared" si="3"/>
        <v>0</v>
      </c>
      <c r="C199">
        <f>IF(ISBLANK(H199),"",VLOOKUP(H199,Code!B:C,2,FALSE))</f>
        <v>19</v>
      </c>
      <c r="D199">
        <v>2020</v>
      </c>
      <c r="E199">
        <v>110635</v>
      </c>
      <c r="F199" t="s">
        <v>63</v>
      </c>
      <c r="G199" t="s">
        <v>289</v>
      </c>
      <c r="H199" t="s">
        <v>7</v>
      </c>
      <c r="I199" cm="1">
        <f t="array" ref="I199">IF(B199=0,INDEX('Category 14'!F:F,MATCH(C199&amp;E199&amp;D199,'Category 14'!B:B&amp;'Category 14'!C:C&amp;'Category 14'!A:A,0)),INDEX('Category 14'!G:G,MATCH(C199&amp;E199&amp;D199,'Category 14'!B:B&amp;'Category 14'!C:C&amp;'Category 14'!A:A,0)))</f>
        <v>0</v>
      </c>
      <c r="J199">
        <f>I199/VLOOKUP($D199,CPI!$P$16:$R$22,3,FALSE)</f>
        <v>0</v>
      </c>
      <c r="K199" cm="1">
        <f t="array" ref="K199">IF(B199=0,INDEX('Category 15'!F:F,MATCH(C199&amp;E199&amp;D199,'Category 15'!B:B&amp;'Category 15'!C:C&amp;'Category 15'!A:A,0)),INDEX('Category 15'!G:G,MATCH(C199&amp;E199&amp;D199,'Category 15'!B:B&amp;'Category 31'!C:C&amp;'Category 15'!A:A,0)))</f>
        <v>10000</v>
      </c>
      <c r="L199">
        <f>K199/VLOOKUP($D199,CPI!$P$16:$R$22,3,FALSE)</f>
        <v>11650.487890214983</v>
      </c>
      <c r="M199" s="16" cm="1">
        <f t="array" ref="M199">IF(B199=0,INDEX('Category 31'!F:F,MATCH(C199&amp;E199&amp;D199,'Category 31'!B:B&amp;'Category 31'!C:C&amp;'Category 31'!A:A,0)),INDEX('Category 31'!G:G,MATCH(C199&amp;E199&amp;D199,'Category 31'!B:B&amp;'Category 31'!C:C&amp;'Category 31'!A:A,0)))</f>
        <v>42179</v>
      </c>
      <c r="N199" s="16">
        <f>M199/VLOOKUP($D199,CPI!$P$16:$R$22,3,FALSE)</f>
        <v>49140.592872137779</v>
      </c>
      <c r="O199">
        <v>0</v>
      </c>
    </row>
    <row r="200" spans="1:15" ht="16" thickBot="1" x14ac:dyDescent="0.25">
      <c r="A200" s="15">
        <v>2</v>
      </c>
      <c r="B200">
        <f t="shared" si="3"/>
        <v>0</v>
      </c>
      <c r="C200">
        <f>IF(ISBLANK(H200),"",VLOOKUP(H200,Code!B:C,2,FALSE))</f>
        <v>20</v>
      </c>
      <c r="D200">
        <v>2020</v>
      </c>
      <c r="E200">
        <v>110635</v>
      </c>
      <c r="F200" t="s">
        <v>63</v>
      </c>
      <c r="G200" t="s">
        <v>289</v>
      </c>
      <c r="H200" t="s">
        <v>8</v>
      </c>
      <c r="I200" cm="1">
        <f t="array" ref="I200">IF(B200=0,INDEX('Category 14'!F:F,MATCH(C200&amp;E200&amp;D200,'Category 14'!B:B&amp;'Category 14'!C:C&amp;'Category 14'!A:A,0)),INDEX('Category 14'!G:G,MATCH(C200&amp;E200&amp;D200,'Category 14'!B:B&amp;'Category 14'!C:C&amp;'Category 14'!A:A,0)))</f>
        <v>0</v>
      </c>
      <c r="J200">
        <f>I200/VLOOKUP($D200,CPI!$P$16:$R$22,3,FALSE)</f>
        <v>0</v>
      </c>
      <c r="K200" cm="1">
        <f t="array" ref="K200">IF(B200=0,INDEX('Category 15'!F:F,MATCH(C200&amp;E200&amp;D200,'Category 15'!B:B&amp;'Category 15'!C:C&amp;'Category 15'!A:A,0)),INDEX('Category 15'!G:G,MATCH(C200&amp;E200&amp;D200,'Category 15'!B:B&amp;'Category 31'!C:C&amp;'Category 15'!A:A,0)))</f>
        <v>0</v>
      </c>
      <c r="L200">
        <f>K200/VLOOKUP($D200,CPI!$P$16:$R$22,3,FALSE)</f>
        <v>0</v>
      </c>
      <c r="M200" s="16" cm="1">
        <f t="array" ref="M200">IF(B200=0,INDEX('Category 31'!F:F,MATCH(C200&amp;E200&amp;D200,'Category 31'!B:B&amp;'Category 31'!C:C&amp;'Category 31'!A:A,0)),INDEX('Category 31'!G:G,MATCH(C200&amp;E200&amp;D200,'Category 31'!B:B&amp;'Category 31'!C:C&amp;'Category 31'!A:A,0)))</f>
        <v>18021</v>
      </c>
      <c r="N200" s="16">
        <f>M200/VLOOKUP($D200,CPI!$P$16:$R$22,3,FALSE)</f>
        <v>20995.344226956422</v>
      </c>
      <c r="O200">
        <v>0</v>
      </c>
    </row>
    <row r="201" spans="1:15" ht="16" thickBot="1" x14ac:dyDescent="0.25">
      <c r="A201" s="15">
        <v>2</v>
      </c>
      <c r="B201">
        <f t="shared" si="3"/>
        <v>0</v>
      </c>
      <c r="C201">
        <f>IF(ISBLANK(H201),"",VLOOKUP(H201,Code!B:C,2,FALSE))</f>
        <v>21</v>
      </c>
      <c r="D201">
        <v>2020</v>
      </c>
      <c r="E201">
        <v>110635</v>
      </c>
      <c r="F201" t="s">
        <v>63</v>
      </c>
      <c r="G201" t="s">
        <v>289</v>
      </c>
      <c r="H201" t="s">
        <v>36</v>
      </c>
      <c r="I201" cm="1">
        <f t="array" ref="I201">IF(B201=0,INDEX('Category 14'!F:F,MATCH(C201&amp;E201&amp;D201,'Category 14'!B:B&amp;'Category 14'!C:C&amp;'Category 14'!A:A,0)),INDEX('Category 14'!G:G,MATCH(C201&amp;E201&amp;D201,'Category 14'!B:B&amp;'Category 14'!C:C&amp;'Category 14'!A:A,0)))</f>
        <v>0</v>
      </c>
      <c r="J201">
        <f>I201/VLOOKUP($D201,CPI!$P$16:$R$22,3,FALSE)</f>
        <v>0</v>
      </c>
      <c r="K201" cm="1">
        <f t="array" ref="K201">IF(B201=0,INDEX('Category 15'!F:F,MATCH(C201&amp;E201&amp;D201,'Category 15'!B:B&amp;'Category 15'!C:C&amp;'Category 15'!A:A,0)),INDEX('Category 15'!G:G,MATCH(C201&amp;E201&amp;D201,'Category 15'!B:B&amp;'Category 31'!C:C&amp;'Category 15'!A:A,0)))</f>
        <v>0</v>
      </c>
      <c r="L201">
        <f>K201/VLOOKUP($D201,CPI!$P$16:$R$22,3,FALSE)</f>
        <v>0</v>
      </c>
      <c r="M201" s="16" cm="1">
        <f t="array" ref="M201">IF(B201=0,INDEX('Category 31'!F:F,MATCH(C201&amp;E201&amp;D201,'Category 31'!B:B&amp;'Category 31'!C:C&amp;'Category 31'!A:A,0)),INDEX('Category 31'!G:G,MATCH(C201&amp;E201&amp;D201,'Category 31'!B:B&amp;'Category 31'!C:C&amp;'Category 31'!A:A,0)))</f>
        <v>1566</v>
      </c>
      <c r="N201" s="16">
        <f>M201/VLOOKUP($D201,CPI!$P$16:$R$22,3,FALSE)</f>
        <v>1824.4664036076665</v>
      </c>
      <c r="O201">
        <v>0</v>
      </c>
    </row>
    <row r="202" spans="1:15" ht="16" thickBot="1" x14ac:dyDescent="0.25">
      <c r="A202" s="15">
        <v>2</v>
      </c>
      <c r="B202">
        <f t="shared" si="3"/>
        <v>0</v>
      </c>
      <c r="C202">
        <f>IF(ISBLANK(H202),"",VLOOKUP(H202,Code!B:C,2,FALSE))</f>
        <v>24</v>
      </c>
      <c r="D202">
        <v>2020</v>
      </c>
      <c r="E202">
        <v>110635</v>
      </c>
      <c r="F202" t="s">
        <v>63</v>
      </c>
      <c r="G202" t="s">
        <v>289</v>
      </c>
      <c r="H202" t="s">
        <v>34</v>
      </c>
      <c r="I202" cm="1">
        <f t="array" ref="I202">IF(B202=0,INDEX('Category 14'!F:F,MATCH(C202&amp;E202&amp;D202,'Category 14'!B:B&amp;'Category 14'!C:C&amp;'Category 14'!A:A,0)),INDEX('Category 14'!G:G,MATCH(C202&amp;E202&amp;D202,'Category 14'!B:B&amp;'Category 14'!C:C&amp;'Category 14'!A:A,0)))</f>
        <v>0</v>
      </c>
      <c r="J202">
        <f>I202/VLOOKUP($D202,CPI!$P$16:$R$22,3,FALSE)</f>
        <v>0</v>
      </c>
      <c r="K202" cm="1">
        <f t="array" ref="K202">IF(B202=0,INDEX('Category 15'!F:F,MATCH(C202&amp;E202&amp;D202,'Category 15'!B:B&amp;'Category 15'!C:C&amp;'Category 15'!A:A,0)),INDEX('Category 15'!G:G,MATCH(C202&amp;E202&amp;D202,'Category 15'!B:B&amp;'Category 31'!C:C&amp;'Category 15'!A:A,0)))</f>
        <v>0</v>
      </c>
      <c r="L202">
        <f>K202/VLOOKUP($D202,CPI!$P$16:$R$22,3,FALSE)</f>
        <v>0</v>
      </c>
      <c r="M202" s="16" cm="1">
        <f t="array" ref="M202">IF(B202=0,INDEX('Category 31'!F:F,MATCH(C202&amp;E202&amp;D202,'Category 31'!B:B&amp;'Category 31'!C:C&amp;'Category 31'!A:A,0)),INDEX('Category 31'!G:G,MATCH(C202&amp;E202&amp;D202,'Category 31'!B:B&amp;'Category 31'!C:C&amp;'Category 31'!A:A,0)))</f>
        <v>3372</v>
      </c>
      <c r="N202" s="16">
        <f>M202/VLOOKUP($D202,CPI!$P$16:$R$22,3,FALSE)</f>
        <v>3928.5445165804922</v>
      </c>
      <c r="O202">
        <v>0</v>
      </c>
    </row>
    <row r="203" spans="1:15" ht="16" thickBot="1" x14ac:dyDescent="0.25">
      <c r="A203" s="15">
        <v>2</v>
      </c>
      <c r="B203">
        <f t="shared" si="3"/>
        <v>1</v>
      </c>
      <c r="C203">
        <f>IF(ISBLANK(H203),"",VLOOKUP(H203,Code!B:C,2,FALSE))</f>
        <v>2</v>
      </c>
      <c r="D203">
        <v>2020</v>
      </c>
      <c r="E203">
        <v>110635</v>
      </c>
      <c r="F203" t="s">
        <v>63</v>
      </c>
      <c r="G203" t="s">
        <v>290</v>
      </c>
      <c r="H203" t="s">
        <v>1</v>
      </c>
      <c r="I203" cm="1">
        <f t="array" ref="I203">IF(B203=0,INDEX('Category 14'!F:F,MATCH(C203&amp;E203&amp;D203,'Category 14'!B:B&amp;'Category 14'!C:C&amp;'Category 14'!A:A,0)),INDEX('Category 14'!G:G,MATCH(C203&amp;E203&amp;D203,'Category 14'!B:B&amp;'Category 14'!C:C&amp;'Category 14'!A:A,0)))</f>
        <v>235</v>
      </c>
      <c r="J203">
        <f>I203/VLOOKUP($D203,CPI!$P$16:$R$22,3,FALSE)</f>
        <v>273.78646542005214</v>
      </c>
      <c r="K203" cm="1">
        <f t="array" ref="K203">IF(B203=0,INDEX('Category 15'!F:F,MATCH(C203&amp;E203&amp;D203,'Category 15'!B:B&amp;'Category 15'!C:C&amp;'Category 15'!A:A,0)),INDEX('Category 15'!G:G,MATCH(C203&amp;E203&amp;D203,'Category 15'!B:B&amp;'Category 31'!C:C&amp;'Category 15'!A:A,0)))</f>
        <v>0</v>
      </c>
      <c r="L203">
        <f>K203/VLOOKUP($D203,CPI!$P$16:$R$22,3,FALSE)</f>
        <v>0</v>
      </c>
      <c r="M203" s="16" cm="1">
        <f t="array" ref="M203">IF(B203=0,INDEX('Category 31'!F:F,MATCH(C203&amp;E203&amp;D203,'Category 31'!B:B&amp;'Category 31'!C:C&amp;'Category 31'!A:A,0)),INDEX('Category 31'!G:G,MATCH(C203&amp;E203&amp;D203,'Category 31'!B:B&amp;'Category 31'!C:C&amp;'Category 31'!A:A,0)))</f>
        <v>44667</v>
      </c>
      <c r="N203" s="16">
        <f>M203/VLOOKUP($D203,CPI!$P$16:$R$22,3,FALSE)</f>
        <v>52039.234259223267</v>
      </c>
      <c r="O203">
        <f>VLOOKUP(E203,WBasketball!C:S,9,FALSE)</f>
        <v>37141</v>
      </c>
    </row>
    <row r="204" spans="1:15" ht="16" thickBot="1" x14ac:dyDescent="0.25">
      <c r="A204" s="15">
        <v>2</v>
      </c>
      <c r="B204">
        <f t="shared" si="3"/>
        <v>1</v>
      </c>
      <c r="C204">
        <f>IF(ISBLANK(H204),"",VLOOKUP(H204,Code!B:C,2,FALSE))</f>
        <v>3</v>
      </c>
      <c r="D204">
        <v>2020</v>
      </c>
      <c r="E204">
        <v>110635</v>
      </c>
      <c r="F204" t="s">
        <v>63</v>
      </c>
      <c r="G204" t="s">
        <v>290</v>
      </c>
      <c r="H204" t="s">
        <v>21</v>
      </c>
      <c r="I204" cm="1">
        <f t="array" ref="I204">IF(B204=0,INDEX('Category 14'!F:F,MATCH(C204&amp;E204&amp;D204,'Category 14'!B:B&amp;'Category 14'!C:C&amp;'Category 14'!A:A,0)),INDEX('Category 14'!G:G,MATCH(C204&amp;E204&amp;D204,'Category 14'!B:B&amp;'Category 14'!C:C&amp;'Category 14'!A:A,0)))</f>
        <v>0</v>
      </c>
      <c r="J204">
        <f>I204/VLOOKUP($D204,CPI!$P$16:$R$22,3,FALSE)</f>
        <v>0</v>
      </c>
      <c r="K204" cm="1">
        <f t="array" ref="K204">IF(B204=0,INDEX('Category 15'!F:F,MATCH(C204&amp;E204&amp;D204,'Category 15'!B:B&amp;'Category 15'!C:C&amp;'Category 15'!A:A,0)),INDEX('Category 15'!G:G,MATCH(C204&amp;E204&amp;D204,'Category 15'!B:B&amp;'Category 31'!C:C&amp;'Category 15'!A:A,0)))</f>
        <v>0</v>
      </c>
      <c r="L204">
        <f>K204/VLOOKUP($D204,CPI!$P$16:$R$22,3,FALSE)</f>
        <v>0</v>
      </c>
      <c r="M204" s="16" cm="1">
        <f t="array" ref="M204">IF(B204=0,INDEX('Category 31'!F:F,MATCH(C204&amp;E204&amp;D204,'Category 31'!B:B&amp;'Category 31'!C:C&amp;'Category 31'!A:A,0)),INDEX('Category 31'!G:G,MATCH(C204&amp;E204&amp;D204,'Category 31'!B:B&amp;'Category 31'!C:C&amp;'Category 31'!A:A,0)))</f>
        <v>1481</v>
      </c>
      <c r="N204" s="16">
        <f>M204/VLOOKUP($D204,CPI!$P$16:$R$22,3,FALSE)</f>
        <v>1725.4372565408391</v>
      </c>
      <c r="O204">
        <v>0</v>
      </c>
    </row>
    <row r="205" spans="1:15" ht="16" thickBot="1" x14ac:dyDescent="0.25">
      <c r="A205" s="15">
        <v>2</v>
      </c>
      <c r="B205">
        <f t="shared" si="3"/>
        <v>1</v>
      </c>
      <c r="C205">
        <f>IF(ISBLANK(H205),"",VLOOKUP(H205,Code!B:C,2,FALSE))</f>
        <v>7</v>
      </c>
      <c r="D205">
        <v>2020</v>
      </c>
      <c r="E205">
        <v>110635</v>
      </c>
      <c r="F205" t="s">
        <v>63</v>
      </c>
      <c r="G205" t="s">
        <v>290</v>
      </c>
      <c r="H205" t="s">
        <v>25</v>
      </c>
      <c r="I205" cm="1">
        <f t="array" ref="I205">IF(B205=0,INDEX('Category 14'!F:F,MATCH(C205&amp;E205&amp;D205,'Category 14'!B:B&amp;'Category 14'!C:C&amp;'Category 14'!A:A,0)),INDEX('Category 14'!G:G,MATCH(C205&amp;E205&amp;D205,'Category 14'!B:B&amp;'Category 14'!C:C&amp;'Category 14'!A:A,0)))</f>
        <v>0</v>
      </c>
      <c r="J205">
        <f>I205/VLOOKUP($D205,CPI!$P$16:$R$22,3,FALSE)</f>
        <v>0</v>
      </c>
      <c r="K205" cm="1">
        <f t="array" ref="K205">IF(B205=0,INDEX('Category 15'!F:F,MATCH(C205&amp;E205&amp;D205,'Category 15'!B:B&amp;'Category 15'!C:C&amp;'Category 15'!A:A,0)),INDEX('Category 15'!G:G,MATCH(C205&amp;E205&amp;D205,'Category 15'!B:B&amp;'Category 31'!C:C&amp;'Category 15'!A:A,0)))</f>
        <v>0</v>
      </c>
      <c r="L205">
        <f>K205/VLOOKUP($D205,CPI!$P$16:$R$22,3,FALSE)</f>
        <v>0</v>
      </c>
      <c r="M205" s="16" cm="1">
        <f t="array" ref="M205">IF(B205=0,INDEX('Category 31'!F:F,MATCH(C205&amp;E205&amp;D205,'Category 31'!B:B&amp;'Category 31'!C:C&amp;'Category 31'!A:A,0)),INDEX('Category 31'!G:G,MATCH(C205&amp;E205&amp;D205,'Category 31'!B:B&amp;'Category 31'!C:C&amp;'Category 31'!A:A,0)))</f>
        <v>7240</v>
      </c>
      <c r="N205" s="16">
        <f>M205/VLOOKUP($D205,CPI!$P$16:$R$22,3,FALSE)</f>
        <v>8434.9532325156488</v>
      </c>
      <c r="O205">
        <f>VLOOKUP(E205,WFieldHockey!C:S,9,FALSE)</f>
        <v>1400</v>
      </c>
    </row>
    <row r="206" spans="1:15" ht="16" thickBot="1" x14ac:dyDescent="0.25">
      <c r="A206" s="15">
        <v>2</v>
      </c>
      <c r="B206">
        <f t="shared" si="3"/>
        <v>1</v>
      </c>
      <c r="C206">
        <f>IF(ISBLANK(H206),"",VLOOKUP(H206,Code!B:C,2,FALSE))</f>
        <v>9</v>
      </c>
      <c r="D206">
        <v>2020</v>
      </c>
      <c r="E206">
        <v>110635</v>
      </c>
      <c r="F206" t="s">
        <v>63</v>
      </c>
      <c r="G206" t="s">
        <v>290</v>
      </c>
      <c r="H206" t="s">
        <v>3</v>
      </c>
      <c r="I206" cm="1">
        <f t="array" ref="I206">IF(B206=0,INDEX('Category 14'!F:F,MATCH(C206&amp;E206&amp;D206,'Category 14'!B:B&amp;'Category 14'!C:C&amp;'Category 14'!A:A,0)),INDEX('Category 14'!G:G,MATCH(C206&amp;E206&amp;D206,'Category 14'!B:B&amp;'Category 14'!C:C&amp;'Category 14'!A:A,0)))</f>
        <v>0</v>
      </c>
      <c r="J206">
        <f>I206/VLOOKUP($D206,CPI!$P$16:$R$22,3,FALSE)</f>
        <v>0</v>
      </c>
      <c r="K206" cm="1">
        <f t="array" ref="K206">IF(B206=0,INDEX('Category 15'!F:F,MATCH(C206&amp;E206&amp;D206,'Category 15'!B:B&amp;'Category 15'!C:C&amp;'Category 15'!A:A,0)),INDEX('Category 15'!G:G,MATCH(C206&amp;E206&amp;D206,'Category 15'!B:B&amp;'Category 31'!C:C&amp;'Category 15'!A:A,0)))</f>
        <v>0</v>
      </c>
      <c r="L206">
        <f>K206/VLOOKUP($D206,CPI!$P$16:$R$22,3,FALSE)</f>
        <v>0</v>
      </c>
      <c r="M206" s="16" cm="1">
        <f t="array" ref="M206">IF(B206=0,INDEX('Category 31'!F:F,MATCH(C206&amp;E206&amp;D206,'Category 31'!B:B&amp;'Category 31'!C:C&amp;'Category 31'!A:A,0)),INDEX('Category 31'!G:G,MATCH(C206&amp;E206&amp;D206,'Category 31'!B:B&amp;'Category 31'!C:C&amp;'Category 31'!A:A,0)))</f>
        <v>6620</v>
      </c>
      <c r="N206" s="16">
        <f>M206/VLOOKUP($D206,CPI!$P$16:$R$22,3,FALSE)</f>
        <v>7712.6229833223188</v>
      </c>
      <c r="O206">
        <v>0</v>
      </c>
    </row>
    <row r="207" spans="1:15" ht="16" thickBot="1" x14ac:dyDescent="0.25">
      <c r="A207" s="15">
        <v>2</v>
      </c>
      <c r="B207">
        <f t="shared" si="3"/>
        <v>1</v>
      </c>
      <c r="C207">
        <f>IF(ISBLANK(H207),"",VLOOKUP(H207,Code!B:C,2,FALSE))</f>
        <v>10</v>
      </c>
      <c r="D207">
        <v>2020</v>
      </c>
      <c r="E207">
        <v>110635</v>
      </c>
      <c r="F207" t="s">
        <v>63</v>
      </c>
      <c r="G207" t="s">
        <v>290</v>
      </c>
      <c r="H207" t="s">
        <v>4</v>
      </c>
      <c r="I207" cm="1">
        <f t="array" ref="I207">IF(B207=0,INDEX('Category 14'!F:F,MATCH(C207&amp;E207&amp;D207,'Category 14'!B:B&amp;'Category 14'!C:C&amp;'Category 14'!A:A,0)),INDEX('Category 14'!G:G,MATCH(C207&amp;E207&amp;D207,'Category 14'!B:B&amp;'Category 14'!C:C&amp;'Category 14'!A:A,0)))</f>
        <v>0</v>
      </c>
      <c r="J207">
        <f>I207/VLOOKUP($D207,CPI!$P$16:$R$22,3,FALSE)</f>
        <v>0</v>
      </c>
      <c r="K207" cm="1">
        <f t="array" ref="K207">IF(B207=0,INDEX('Category 15'!F:F,MATCH(C207&amp;E207&amp;D207,'Category 15'!B:B&amp;'Category 15'!C:C&amp;'Category 15'!A:A,0)),INDEX('Category 15'!G:G,MATCH(C207&amp;E207&amp;D207,'Category 15'!B:B&amp;'Category 31'!C:C&amp;'Category 15'!A:A,0)))</f>
        <v>0</v>
      </c>
      <c r="L207">
        <f>K207/VLOOKUP($D207,CPI!$P$16:$R$22,3,FALSE)</f>
        <v>0</v>
      </c>
      <c r="M207" s="16" cm="1">
        <f t="array" ref="M207">IF(B207=0,INDEX('Category 31'!F:F,MATCH(C207&amp;E207&amp;D207,'Category 31'!B:B&amp;'Category 31'!C:C&amp;'Category 31'!A:A,0)),INDEX('Category 31'!G:G,MATCH(C207&amp;E207&amp;D207,'Category 31'!B:B&amp;'Category 31'!C:C&amp;'Category 31'!A:A,0)))</f>
        <v>24600</v>
      </c>
      <c r="N207" s="16">
        <f>M207/VLOOKUP($D207,CPI!$P$16:$R$22,3,FALSE)</f>
        <v>28660.200209928858</v>
      </c>
      <c r="O207">
        <v>0</v>
      </c>
    </row>
    <row r="208" spans="1:15" ht="16" thickBot="1" x14ac:dyDescent="0.25">
      <c r="A208" s="15">
        <v>2</v>
      </c>
      <c r="B208">
        <f t="shared" si="3"/>
        <v>1</v>
      </c>
      <c r="C208">
        <f>IF(ISBLANK(H208),"",VLOOKUP(H208,Code!B:C,2,FALSE))</f>
        <v>12</v>
      </c>
      <c r="D208">
        <v>2020</v>
      </c>
      <c r="E208">
        <v>110635</v>
      </c>
      <c r="F208" t="s">
        <v>63</v>
      </c>
      <c r="G208" t="s">
        <v>290</v>
      </c>
      <c r="H208" t="s">
        <v>27</v>
      </c>
      <c r="I208" cm="1">
        <f t="array" ref="I208">IF(B208=0,INDEX('Category 14'!F:F,MATCH(C208&amp;E208&amp;D208,'Category 14'!B:B&amp;'Category 14'!C:C&amp;'Category 14'!A:A,0)),INDEX('Category 14'!G:G,MATCH(C208&amp;E208&amp;D208,'Category 14'!B:B&amp;'Category 14'!C:C&amp;'Category 14'!A:A,0)))</f>
        <v>0</v>
      </c>
      <c r="J208">
        <f>I208/VLOOKUP($D208,CPI!$P$16:$R$22,3,FALSE)</f>
        <v>0</v>
      </c>
      <c r="K208" cm="1">
        <f t="array" ref="K208">IF(B208=0,INDEX('Category 15'!F:F,MATCH(C208&amp;E208&amp;D208,'Category 15'!B:B&amp;'Category 15'!C:C&amp;'Category 15'!A:A,0)),INDEX('Category 15'!G:G,MATCH(C208&amp;E208&amp;D208,'Category 15'!B:B&amp;'Category 31'!C:C&amp;'Category 15'!A:A,0)))</f>
        <v>0</v>
      </c>
      <c r="L208">
        <f>K208/VLOOKUP($D208,CPI!$P$16:$R$22,3,FALSE)</f>
        <v>0</v>
      </c>
      <c r="M208" s="16" cm="1">
        <f t="array" ref="M208">IF(B208=0,INDEX('Category 31'!F:F,MATCH(C208&amp;E208&amp;D208,'Category 31'!B:B&amp;'Category 31'!C:C&amp;'Category 31'!A:A,0)),INDEX('Category 31'!G:G,MATCH(C208&amp;E208&amp;D208,'Category 31'!B:B&amp;'Category 31'!C:C&amp;'Category 31'!A:A,0)))</f>
        <v>17333</v>
      </c>
      <c r="N208" s="16">
        <f>M208/VLOOKUP($D208,CPI!$P$16:$R$22,3,FALSE)</f>
        <v>20193.790660109629</v>
      </c>
      <c r="O208">
        <f>VLOOKUP(E208,WLacrosse!C:S,9,FALSE)</f>
        <v>314</v>
      </c>
    </row>
    <row r="209" spans="1:15" ht="16" thickBot="1" x14ac:dyDescent="0.25">
      <c r="A209" s="15">
        <v>2</v>
      </c>
      <c r="B209">
        <f t="shared" si="3"/>
        <v>1</v>
      </c>
      <c r="C209">
        <f>IF(ISBLANK(H209),"",VLOOKUP(H209,Code!B:C,2,FALSE))</f>
        <v>14</v>
      </c>
      <c r="D209">
        <v>2020</v>
      </c>
      <c r="E209">
        <v>110635</v>
      </c>
      <c r="F209" t="s">
        <v>63</v>
      </c>
      <c r="G209" t="s">
        <v>290</v>
      </c>
      <c r="H209" t="s">
        <v>29</v>
      </c>
      <c r="I209" cm="1">
        <f t="array" ref="I209">IF(B209=0,INDEX('Category 14'!F:F,MATCH(C209&amp;E209&amp;D209,'Category 14'!B:B&amp;'Category 14'!C:C&amp;'Category 14'!A:A,0)),INDEX('Category 14'!G:G,MATCH(C209&amp;E209&amp;D209,'Category 14'!B:B&amp;'Category 14'!C:C&amp;'Category 14'!A:A,0)))</f>
        <v>0</v>
      </c>
      <c r="J209">
        <f>I209/VLOOKUP($D209,CPI!$P$16:$R$22,3,FALSE)</f>
        <v>0</v>
      </c>
      <c r="K209" cm="1">
        <f t="array" ref="K209">IF(B209=0,INDEX('Category 15'!F:F,MATCH(C209&amp;E209&amp;D209,'Category 15'!B:B&amp;'Category 15'!C:C&amp;'Category 15'!A:A,0)),INDEX('Category 15'!G:G,MATCH(C209&amp;E209&amp;D209,'Category 15'!B:B&amp;'Category 31'!C:C&amp;'Category 15'!A:A,0)))</f>
        <v>0</v>
      </c>
      <c r="L209">
        <f>K209/VLOOKUP($D209,CPI!$P$16:$R$22,3,FALSE)</f>
        <v>0</v>
      </c>
      <c r="M209" s="16" cm="1">
        <f t="array" ref="M209">IF(B209=0,INDEX('Category 31'!F:F,MATCH(C209&amp;E209&amp;D209,'Category 31'!B:B&amp;'Category 31'!C:C&amp;'Category 31'!A:A,0)),INDEX('Category 31'!G:G,MATCH(C209&amp;E209&amp;D209,'Category 31'!B:B&amp;'Category 31'!C:C&amp;'Category 31'!A:A,0)))</f>
        <v>1204</v>
      </c>
      <c r="N209" s="16">
        <f>M209/VLOOKUP($D209,CPI!$P$16:$R$22,3,FALSE)</f>
        <v>1402.718741981884</v>
      </c>
      <c r="O209">
        <v>0</v>
      </c>
    </row>
    <row r="210" spans="1:15" ht="16" thickBot="1" x14ac:dyDescent="0.25">
      <c r="A210" s="15">
        <v>2</v>
      </c>
      <c r="B210">
        <f t="shared" si="3"/>
        <v>1</v>
      </c>
      <c r="C210">
        <f>IF(ISBLANK(H210),"",VLOOKUP(H210,Code!B:C,2,FALSE))</f>
        <v>17</v>
      </c>
      <c r="D210">
        <v>2020</v>
      </c>
      <c r="E210">
        <v>110635</v>
      </c>
      <c r="F210" t="s">
        <v>63</v>
      </c>
      <c r="G210" t="s">
        <v>290</v>
      </c>
      <c r="H210" t="s">
        <v>5</v>
      </c>
      <c r="I210" cm="1">
        <f t="array" ref="I210">IF(B210=0,INDEX('Category 14'!F:F,MATCH(C210&amp;E210&amp;D210,'Category 14'!B:B&amp;'Category 14'!C:C&amp;'Category 14'!A:A,0)),INDEX('Category 14'!G:G,MATCH(C210&amp;E210&amp;D210,'Category 14'!B:B&amp;'Category 14'!C:C&amp;'Category 14'!A:A,0)))</f>
        <v>0</v>
      </c>
      <c r="J210">
        <f>I210/VLOOKUP($D210,CPI!$P$16:$R$22,3,FALSE)</f>
        <v>0</v>
      </c>
      <c r="K210" cm="1">
        <f t="array" ref="K210">IF(B210=0,INDEX('Category 15'!F:F,MATCH(C210&amp;E210&amp;D210,'Category 15'!B:B&amp;'Category 15'!C:C&amp;'Category 15'!A:A,0)),INDEX('Category 15'!G:G,MATCH(C210&amp;E210&amp;D210,'Category 15'!B:B&amp;'Category 31'!C:C&amp;'Category 15'!A:A,0)))</f>
        <v>0</v>
      </c>
      <c r="L210">
        <f>K210/VLOOKUP($D210,CPI!$P$16:$R$22,3,FALSE)</f>
        <v>0</v>
      </c>
      <c r="M210" s="16" cm="1">
        <f t="array" ref="M210">IF(B210=0,INDEX('Category 31'!F:F,MATCH(C210&amp;E210&amp;D210,'Category 31'!B:B&amp;'Category 31'!C:C&amp;'Category 31'!A:A,0)),INDEX('Category 31'!G:G,MATCH(C210&amp;E210&amp;D210,'Category 31'!B:B&amp;'Category 31'!C:C&amp;'Category 31'!A:A,0)))</f>
        <v>5749</v>
      </c>
      <c r="N210" s="16">
        <f>M210/VLOOKUP($D210,CPI!$P$16:$R$22,3,FALSE)</f>
        <v>6697.8654880845943</v>
      </c>
      <c r="O210">
        <f>VLOOKUP(E210,WSoccer!C:S,9,FALSE)</f>
        <v>4515</v>
      </c>
    </row>
    <row r="211" spans="1:15" ht="16" thickBot="1" x14ac:dyDescent="0.25">
      <c r="A211" s="15">
        <v>2</v>
      </c>
      <c r="B211">
        <f t="shared" si="3"/>
        <v>1</v>
      </c>
      <c r="C211">
        <f>IF(ISBLANK(H211),"",VLOOKUP(H211,Code!B:C,2,FALSE))</f>
        <v>18</v>
      </c>
      <c r="D211">
        <v>2020</v>
      </c>
      <c r="E211">
        <v>110635</v>
      </c>
      <c r="F211" t="s">
        <v>63</v>
      </c>
      <c r="G211" t="s">
        <v>290</v>
      </c>
      <c r="H211" t="s">
        <v>6</v>
      </c>
      <c r="I211" cm="1">
        <f t="array" ref="I211">IF(B211=0,INDEX('Category 14'!F:F,MATCH(C211&amp;E211&amp;D211,'Category 14'!B:B&amp;'Category 14'!C:C&amp;'Category 14'!A:A,0)),INDEX('Category 14'!G:G,MATCH(C211&amp;E211&amp;D211,'Category 14'!B:B&amp;'Category 14'!C:C&amp;'Category 14'!A:A,0)))</f>
        <v>0</v>
      </c>
      <c r="J211">
        <f>I211/VLOOKUP($D211,CPI!$P$16:$R$22,3,FALSE)</f>
        <v>0</v>
      </c>
      <c r="K211" cm="1">
        <f t="array" ref="K211">IF(B211=0,INDEX('Category 15'!F:F,MATCH(C211&amp;E211&amp;D211,'Category 15'!B:B&amp;'Category 15'!C:C&amp;'Category 15'!A:A,0)),INDEX('Category 15'!G:G,MATCH(C211&amp;E211&amp;D211,'Category 15'!B:B&amp;'Category 31'!C:C&amp;'Category 15'!A:A,0)))</f>
        <v>0</v>
      </c>
      <c r="L211">
        <f>K211/VLOOKUP($D211,CPI!$P$16:$R$22,3,FALSE)</f>
        <v>0</v>
      </c>
      <c r="M211" s="16" cm="1">
        <f t="array" ref="M211">IF(B211=0,INDEX('Category 31'!F:F,MATCH(C211&amp;E211&amp;D211,'Category 31'!B:B&amp;'Category 31'!C:C&amp;'Category 31'!A:A,0)),INDEX('Category 31'!G:G,MATCH(C211&amp;E211&amp;D211,'Category 31'!B:B&amp;'Category 31'!C:C&amp;'Category 31'!A:A,0)))</f>
        <v>1810</v>
      </c>
      <c r="N211" s="16">
        <f>M211/VLOOKUP($D211,CPI!$P$16:$R$22,3,FALSE)</f>
        <v>2108.7383081289122</v>
      </c>
      <c r="O211">
        <f>VLOOKUP(E211,WSoftball!C:S,9,FALSE)</f>
        <v>0</v>
      </c>
    </row>
    <row r="212" spans="1:15" ht="16" thickBot="1" x14ac:dyDescent="0.25">
      <c r="A212" s="15">
        <v>2</v>
      </c>
      <c r="B212">
        <f t="shared" si="3"/>
        <v>1</v>
      </c>
      <c r="C212">
        <f>IF(ISBLANK(H212),"",VLOOKUP(H212,Code!B:C,2,FALSE))</f>
        <v>19</v>
      </c>
      <c r="D212">
        <v>2020</v>
      </c>
      <c r="E212">
        <v>110635</v>
      </c>
      <c r="F212" t="s">
        <v>63</v>
      </c>
      <c r="G212" t="s">
        <v>290</v>
      </c>
      <c r="H212" t="s">
        <v>7</v>
      </c>
      <c r="I212" cm="1">
        <f t="array" ref="I212">IF(B212=0,INDEX('Category 14'!F:F,MATCH(C212&amp;E212&amp;D212,'Category 14'!B:B&amp;'Category 14'!C:C&amp;'Category 14'!A:A,0)),INDEX('Category 14'!G:G,MATCH(C212&amp;E212&amp;D212,'Category 14'!B:B&amp;'Category 14'!C:C&amp;'Category 14'!A:A,0)))</f>
        <v>0</v>
      </c>
      <c r="J212">
        <f>I212/VLOOKUP($D212,CPI!$P$16:$R$22,3,FALSE)</f>
        <v>0</v>
      </c>
      <c r="K212" cm="1">
        <f t="array" ref="K212">IF(B212=0,INDEX('Category 15'!F:F,MATCH(C212&amp;E212&amp;D212,'Category 15'!B:B&amp;'Category 15'!C:C&amp;'Category 15'!A:A,0)),INDEX('Category 15'!G:G,MATCH(C212&amp;E212&amp;D212,'Category 15'!B:B&amp;'Category 31'!C:C&amp;'Category 15'!A:A,0)))</f>
        <v>10000</v>
      </c>
      <c r="L212">
        <f>K212/VLOOKUP($D212,CPI!$P$16:$R$22,3,FALSE)</f>
        <v>11650.487890214983</v>
      </c>
      <c r="M212" s="16" cm="1">
        <f t="array" ref="M212">IF(B212=0,INDEX('Category 31'!F:F,MATCH(C212&amp;E212&amp;D212,'Category 31'!B:B&amp;'Category 31'!C:C&amp;'Category 31'!A:A,0)),INDEX('Category 31'!G:G,MATCH(C212&amp;E212&amp;D212,'Category 31'!B:B&amp;'Category 31'!C:C&amp;'Category 31'!A:A,0)))</f>
        <v>5973</v>
      </c>
      <c r="N212" s="16">
        <f>M212/VLOOKUP($D212,CPI!$P$16:$R$22,3,FALSE)</f>
        <v>6958.8364168254093</v>
      </c>
      <c r="O212">
        <v>0</v>
      </c>
    </row>
    <row r="213" spans="1:15" ht="16" thickBot="1" x14ac:dyDescent="0.25">
      <c r="A213" s="15">
        <v>2</v>
      </c>
      <c r="B213">
        <f t="shared" si="3"/>
        <v>1</v>
      </c>
      <c r="C213">
        <f>IF(ISBLANK(H213),"",VLOOKUP(H213,Code!B:C,2,FALSE))</f>
        <v>20</v>
      </c>
      <c r="D213">
        <v>2020</v>
      </c>
      <c r="E213">
        <v>110635</v>
      </c>
      <c r="F213" t="s">
        <v>63</v>
      </c>
      <c r="G213" t="s">
        <v>290</v>
      </c>
      <c r="H213" t="s">
        <v>8</v>
      </c>
      <c r="I213" cm="1">
        <f t="array" ref="I213">IF(B213=0,INDEX('Category 14'!F:F,MATCH(C213&amp;E213&amp;D213,'Category 14'!B:B&amp;'Category 14'!C:C&amp;'Category 14'!A:A,0)),INDEX('Category 14'!G:G,MATCH(C213&amp;E213&amp;D213,'Category 14'!B:B&amp;'Category 14'!C:C&amp;'Category 14'!A:A,0)))</f>
        <v>0</v>
      </c>
      <c r="J213">
        <f>I213/VLOOKUP($D213,CPI!$P$16:$R$22,3,FALSE)</f>
        <v>0</v>
      </c>
      <c r="K213" cm="1">
        <f t="array" ref="K213">IF(B213=0,INDEX('Category 15'!F:F,MATCH(C213&amp;E213&amp;D213,'Category 15'!B:B&amp;'Category 15'!C:C&amp;'Category 15'!A:A,0)),INDEX('Category 15'!G:G,MATCH(C213&amp;E213&amp;D213,'Category 15'!B:B&amp;'Category 31'!C:C&amp;'Category 15'!A:A,0)))</f>
        <v>0</v>
      </c>
      <c r="L213">
        <f>K213/VLOOKUP($D213,CPI!$P$16:$R$22,3,FALSE)</f>
        <v>0</v>
      </c>
      <c r="M213" s="16" cm="1">
        <f t="array" ref="M213">IF(B213=0,INDEX('Category 31'!F:F,MATCH(C213&amp;E213&amp;D213,'Category 31'!B:B&amp;'Category 31'!C:C&amp;'Category 31'!A:A,0)),INDEX('Category 31'!G:G,MATCH(C213&amp;E213&amp;D213,'Category 31'!B:B&amp;'Category 31'!C:C&amp;'Category 31'!A:A,0)))</f>
        <v>0</v>
      </c>
      <c r="N213" s="16">
        <f>M213/VLOOKUP($D213,CPI!$P$16:$R$22,3,FALSE)</f>
        <v>0</v>
      </c>
      <c r="O213">
        <v>0</v>
      </c>
    </row>
    <row r="214" spans="1:15" ht="16" thickBot="1" x14ac:dyDescent="0.25">
      <c r="A214" s="15">
        <v>2</v>
      </c>
      <c r="B214">
        <f t="shared" si="3"/>
        <v>1</v>
      </c>
      <c r="C214">
        <f>IF(ISBLANK(H214),"",VLOOKUP(H214,Code!B:C,2,FALSE))</f>
        <v>21</v>
      </c>
      <c r="D214">
        <v>2020</v>
      </c>
      <c r="E214">
        <v>110635</v>
      </c>
      <c r="F214" t="s">
        <v>63</v>
      </c>
      <c r="G214" t="s">
        <v>290</v>
      </c>
      <c r="H214" t="s">
        <v>36</v>
      </c>
      <c r="I214" cm="1">
        <f t="array" ref="I214">IF(B214=0,INDEX('Category 14'!F:F,MATCH(C214&amp;E214&amp;D214,'Category 14'!B:B&amp;'Category 14'!C:C&amp;'Category 14'!A:A,0)),INDEX('Category 14'!G:G,MATCH(C214&amp;E214&amp;D214,'Category 14'!B:B&amp;'Category 14'!C:C&amp;'Category 14'!A:A,0)))</f>
        <v>0</v>
      </c>
      <c r="J214">
        <f>I214/VLOOKUP($D214,CPI!$P$16:$R$22,3,FALSE)</f>
        <v>0</v>
      </c>
      <c r="K214" cm="1">
        <f t="array" ref="K214">IF(B214=0,INDEX('Category 15'!F:F,MATCH(C214&amp;E214&amp;D214,'Category 15'!B:B&amp;'Category 15'!C:C&amp;'Category 15'!A:A,0)),INDEX('Category 15'!G:G,MATCH(C214&amp;E214&amp;D214,'Category 15'!B:B&amp;'Category 31'!C:C&amp;'Category 15'!A:A,0)))</f>
        <v>0</v>
      </c>
      <c r="L214">
        <f>K214/VLOOKUP($D214,CPI!$P$16:$R$22,3,FALSE)</f>
        <v>0</v>
      </c>
      <c r="M214" s="16" cm="1">
        <f t="array" ref="M214">IF(B214=0,INDEX('Category 31'!F:F,MATCH(C214&amp;E214&amp;D214,'Category 31'!B:B&amp;'Category 31'!C:C&amp;'Category 31'!A:A,0)),INDEX('Category 31'!G:G,MATCH(C214&amp;E214&amp;D214,'Category 31'!B:B&amp;'Category 31'!C:C&amp;'Category 31'!A:A,0)))</f>
        <v>2253</v>
      </c>
      <c r="N214" s="16">
        <f>M214/VLOOKUP($D214,CPI!$P$16:$R$22,3,FALSE)</f>
        <v>2624.8549216654355</v>
      </c>
      <c r="O214">
        <v>0</v>
      </c>
    </row>
    <row r="215" spans="1:15" ht="16" thickBot="1" x14ac:dyDescent="0.25">
      <c r="A215" s="15">
        <v>2</v>
      </c>
      <c r="B215">
        <f t="shared" si="3"/>
        <v>1</v>
      </c>
      <c r="C215">
        <f>IF(ISBLANK(H215),"",VLOOKUP(H215,Code!B:C,2,FALSE))</f>
        <v>23</v>
      </c>
      <c r="D215">
        <v>2020</v>
      </c>
      <c r="E215">
        <v>110635</v>
      </c>
      <c r="F215" t="s">
        <v>63</v>
      </c>
      <c r="G215" t="s">
        <v>290</v>
      </c>
      <c r="H215" t="s">
        <v>10</v>
      </c>
      <c r="I215" cm="1">
        <f t="array" ref="I215">IF(B215=0,INDEX('Category 14'!F:F,MATCH(C215&amp;E215&amp;D215,'Category 14'!B:B&amp;'Category 14'!C:C&amp;'Category 14'!A:A,0)),INDEX('Category 14'!G:G,MATCH(C215&amp;E215&amp;D215,'Category 14'!B:B&amp;'Category 14'!C:C&amp;'Category 14'!A:A,0)))</f>
        <v>0</v>
      </c>
      <c r="J215">
        <f>I215/VLOOKUP($D215,CPI!$P$16:$R$22,3,FALSE)</f>
        <v>0</v>
      </c>
      <c r="K215" cm="1">
        <f t="array" ref="K215">IF(B215=0,INDEX('Category 15'!F:F,MATCH(C215&amp;E215&amp;D215,'Category 15'!B:B&amp;'Category 15'!C:C&amp;'Category 15'!A:A,0)),INDEX('Category 15'!G:G,MATCH(C215&amp;E215&amp;D215,'Category 15'!B:B&amp;'Category 31'!C:C&amp;'Category 15'!A:A,0)))</f>
        <v>0</v>
      </c>
      <c r="L215">
        <f>K215/VLOOKUP($D215,CPI!$P$16:$R$22,3,FALSE)</f>
        <v>0</v>
      </c>
      <c r="M215" s="16" cm="1">
        <f t="array" ref="M215">IF(B215=0,INDEX('Category 31'!F:F,MATCH(C215&amp;E215&amp;D215,'Category 31'!B:B&amp;'Category 31'!C:C&amp;'Category 31'!A:A,0)),INDEX('Category 31'!G:G,MATCH(C215&amp;E215&amp;D215,'Category 31'!B:B&amp;'Category 31'!C:C&amp;'Category 31'!A:A,0)))</f>
        <v>15074</v>
      </c>
      <c r="N215" s="16">
        <f>M215/VLOOKUP($D215,CPI!$P$16:$R$22,3,FALSE)</f>
        <v>17561.945445710066</v>
      </c>
      <c r="O215">
        <f>VLOOKUP(E215,WVolleyball!C:S,9,FALSE)</f>
        <v>12099</v>
      </c>
    </row>
    <row r="216" spans="1:15" ht="16" thickBot="1" x14ac:dyDescent="0.25">
      <c r="A216" s="15">
        <v>2</v>
      </c>
      <c r="B216">
        <f t="shared" si="3"/>
        <v>1</v>
      </c>
      <c r="C216">
        <f>IF(ISBLANK(H216),"",VLOOKUP(H216,Code!B:C,2,FALSE))</f>
        <v>24</v>
      </c>
      <c r="D216">
        <v>2020</v>
      </c>
      <c r="E216">
        <v>110635</v>
      </c>
      <c r="F216" t="s">
        <v>63</v>
      </c>
      <c r="G216" t="s">
        <v>290</v>
      </c>
      <c r="H216" t="s">
        <v>34</v>
      </c>
      <c r="I216" cm="1">
        <f t="array" ref="I216">IF(B216=0,INDEX('Category 14'!F:F,MATCH(C216&amp;E216&amp;D216,'Category 14'!B:B&amp;'Category 14'!C:C&amp;'Category 14'!A:A,0)),INDEX('Category 14'!G:G,MATCH(C216&amp;E216&amp;D216,'Category 14'!B:B&amp;'Category 14'!C:C&amp;'Category 14'!A:A,0)))</f>
        <v>0</v>
      </c>
      <c r="J216">
        <f>I216/VLOOKUP($D216,CPI!$P$16:$R$22,3,FALSE)</f>
        <v>0</v>
      </c>
      <c r="K216" cm="1">
        <f t="array" ref="K216">IF(B216=0,INDEX('Category 15'!F:F,MATCH(C216&amp;E216&amp;D216,'Category 15'!B:B&amp;'Category 15'!C:C&amp;'Category 15'!A:A,0)),INDEX('Category 15'!G:G,MATCH(C216&amp;E216&amp;D216,'Category 15'!B:B&amp;'Category 31'!C:C&amp;'Category 15'!A:A,0)))</f>
        <v>0</v>
      </c>
      <c r="L216">
        <f>K216/VLOOKUP($D216,CPI!$P$16:$R$22,3,FALSE)</f>
        <v>0</v>
      </c>
      <c r="M216" s="16" cm="1">
        <f t="array" ref="M216">IF(B216=0,INDEX('Category 31'!F:F,MATCH(C216&amp;E216&amp;D216,'Category 31'!B:B&amp;'Category 31'!C:C&amp;'Category 31'!A:A,0)),INDEX('Category 31'!G:G,MATCH(C216&amp;E216&amp;D216,'Category 31'!B:B&amp;'Category 31'!C:C&amp;'Category 31'!A:A,0)))</f>
        <v>657</v>
      </c>
      <c r="N216" s="16">
        <f>M216/VLOOKUP($D216,CPI!$P$16:$R$22,3,FALSE)</f>
        <v>765.43705438712436</v>
      </c>
      <c r="O216">
        <v>0</v>
      </c>
    </row>
    <row r="217" spans="1:15" ht="16" thickBot="1" x14ac:dyDescent="0.25">
      <c r="A217" s="15">
        <v>2</v>
      </c>
      <c r="B217">
        <f t="shared" si="3"/>
        <v>0</v>
      </c>
      <c r="C217">
        <f>IF(ISBLANK(H217),"",VLOOKUP(H217,Code!B:C,2,FALSE))</f>
        <v>1</v>
      </c>
      <c r="D217">
        <v>2021</v>
      </c>
      <c r="E217">
        <v>110635</v>
      </c>
      <c r="F217" t="s">
        <v>63</v>
      </c>
      <c r="G217" t="s">
        <v>289</v>
      </c>
      <c r="H217" t="s">
        <v>0</v>
      </c>
      <c r="I217" cm="1">
        <f t="array" ref="I217">IF(B217=0,INDEX('Category 14'!F:F,MATCH(C217&amp;E217&amp;D217,'Category 14'!B:B&amp;'Category 14'!C:C&amp;'Category 14'!A:A,0)),INDEX('Category 14'!G:G,MATCH(C217&amp;E217&amp;D217,'Category 14'!B:B&amp;'Category 14'!C:C&amp;'Category 14'!A:A,0)))</f>
        <v>0</v>
      </c>
      <c r="J217">
        <f>I217/VLOOKUP($D217,CPI!$P$16:$R$22,3,FALSE)</f>
        <v>0</v>
      </c>
      <c r="K217" cm="1">
        <f t="array" ref="K217">IF(B217=0,INDEX('Category 15'!F:F,MATCH(C217&amp;E217&amp;D217,'Category 15'!B:B&amp;'Category 15'!C:C&amp;'Category 15'!A:A,0)),INDEX('Category 15'!G:G,MATCH(C217&amp;E217&amp;D217,'Category 15'!B:B&amp;'Category 31'!C:C&amp;'Category 15'!A:A,0)))</f>
        <v>0</v>
      </c>
      <c r="L217">
        <f>K217/VLOOKUP($D217,CPI!$P$16:$R$22,3,FALSE)</f>
        <v>0</v>
      </c>
      <c r="M217" s="16" cm="1">
        <f t="array" ref="M217">IF(B217=0,INDEX('Category 31'!F:F,MATCH(C217&amp;E217&amp;D217,'Category 31'!B:B&amp;'Category 31'!C:C&amp;'Category 31'!A:A,0)),INDEX('Category 31'!G:G,MATCH(C217&amp;E217&amp;D217,'Category 31'!B:B&amp;'Category 31'!C:C&amp;'Category 31'!A:A,0)))</f>
        <v>131932</v>
      </c>
      <c r="N217" s="16">
        <f>M217/VLOOKUP($D217,CPI!$P$16:$R$22,3,FALSE)</f>
        <v>150249.03006454487</v>
      </c>
      <c r="O217">
        <f>VLOOKUP(E121,MBaseball!C:R,10,FALSE)</f>
        <v>0</v>
      </c>
    </row>
    <row r="218" spans="1:15" ht="16" thickBot="1" x14ac:dyDescent="0.25">
      <c r="A218" s="15">
        <v>2</v>
      </c>
      <c r="B218">
        <f t="shared" si="3"/>
        <v>0</v>
      </c>
      <c r="C218">
        <f>IF(ISBLANK(H218),"",VLOOKUP(H218,Code!B:C,2,FALSE))</f>
        <v>2</v>
      </c>
      <c r="D218">
        <v>2021</v>
      </c>
      <c r="E218">
        <v>110635</v>
      </c>
      <c r="F218" t="s">
        <v>63</v>
      </c>
      <c r="G218" t="s">
        <v>289</v>
      </c>
      <c r="H218" t="s">
        <v>1</v>
      </c>
      <c r="I218" cm="1">
        <f t="array" ref="I218">IF(B218=0,INDEX('Category 14'!F:F,MATCH(C218&amp;E218&amp;D218,'Category 14'!B:B&amp;'Category 14'!C:C&amp;'Category 14'!A:A,0)),INDEX('Category 14'!G:G,MATCH(C218&amp;E218&amp;D218,'Category 14'!B:B&amp;'Category 14'!C:C&amp;'Category 14'!A:A,0)))</f>
        <v>-295</v>
      </c>
      <c r="J218">
        <f>I218/VLOOKUP($D218,CPI!$P$16:$R$22,3,FALSE)</f>
        <v>-335.95688588849356</v>
      </c>
      <c r="K218" cm="1">
        <f t="array" ref="K218">IF(B218=0,INDEX('Category 15'!F:F,MATCH(C218&amp;E218&amp;D218,'Category 15'!B:B&amp;'Category 15'!C:C&amp;'Category 15'!A:A,0)),INDEX('Category 15'!G:G,MATCH(C218&amp;E218&amp;D218,'Category 15'!B:B&amp;'Category 31'!C:C&amp;'Category 15'!A:A,0)))</f>
        <v>0</v>
      </c>
      <c r="L218">
        <f>K218/VLOOKUP($D218,CPI!$P$16:$R$22,3,FALSE)</f>
        <v>0</v>
      </c>
      <c r="M218" s="16" cm="1">
        <f t="array" ref="M218">IF(B218=0,INDEX('Category 31'!F:F,MATCH(C218&amp;E218&amp;D218,'Category 31'!B:B&amp;'Category 31'!C:C&amp;'Category 31'!A:A,0)),INDEX('Category 31'!G:G,MATCH(C218&amp;E218&amp;D218,'Category 31'!B:B&amp;'Category 31'!C:C&amp;'Category 31'!A:A,0)))</f>
        <v>10980</v>
      </c>
      <c r="N218" s="16">
        <f>M218/VLOOKUP($D218,CPI!$P$16:$R$22,3,FALSE)</f>
        <v>12504.429176459862</v>
      </c>
      <c r="O218">
        <f>VLOOKUP(E218,MBasketball!C:P,10,FALSE)</f>
        <v>0</v>
      </c>
    </row>
    <row r="219" spans="1:15" ht="16" thickBot="1" x14ac:dyDescent="0.25">
      <c r="A219" s="15">
        <v>2</v>
      </c>
      <c r="B219">
        <f t="shared" si="3"/>
        <v>0</v>
      </c>
      <c r="C219">
        <f>IF(ISBLANK(H219),"",VLOOKUP(H219,Code!B:C,2,FALSE))</f>
        <v>8</v>
      </c>
      <c r="D219">
        <v>2021</v>
      </c>
      <c r="E219">
        <v>110635</v>
      </c>
      <c r="F219" t="s">
        <v>63</v>
      </c>
      <c r="G219" t="s">
        <v>289</v>
      </c>
      <c r="H219" t="s">
        <v>2</v>
      </c>
      <c r="I219" cm="1">
        <f t="array" ref="I219">IF(B219=0,INDEX('Category 14'!F:F,MATCH(C219&amp;E219&amp;D219,'Category 14'!B:B&amp;'Category 14'!C:C&amp;'Category 14'!A:A,0)),INDEX('Category 14'!G:G,MATCH(C219&amp;E219&amp;D219,'Category 14'!B:B&amp;'Category 14'!C:C&amp;'Category 14'!A:A,0)))</f>
        <v>0</v>
      </c>
      <c r="J219">
        <f>I219/VLOOKUP($D219,CPI!$P$16:$R$22,3,FALSE)</f>
        <v>0</v>
      </c>
      <c r="K219" cm="1">
        <f t="array" ref="K219">IF(B219=0,INDEX('Category 15'!F:F,MATCH(C219&amp;E219&amp;D219,'Category 15'!B:B&amp;'Category 15'!C:C&amp;'Category 15'!A:A,0)),INDEX('Category 15'!G:G,MATCH(C219&amp;E219&amp;D219,'Category 15'!B:B&amp;'Category 31'!C:C&amp;'Category 15'!A:A,0)))</f>
        <v>0</v>
      </c>
      <c r="L219">
        <f>K219/VLOOKUP($D219,CPI!$P$16:$R$22,3,FALSE)</f>
        <v>0</v>
      </c>
      <c r="M219" s="16" cm="1">
        <f t="array" ref="M219">IF(B219=0,INDEX('Category 31'!F:F,MATCH(C219&amp;E219&amp;D219,'Category 31'!B:B&amp;'Category 31'!C:C&amp;'Category 31'!A:A,0)),INDEX('Category 31'!G:G,MATCH(C219&amp;E219&amp;D219,'Category 31'!B:B&amp;'Category 31'!C:C&amp;'Category 31'!A:A,0)))</f>
        <v>20026</v>
      </c>
      <c r="N219" s="16">
        <f>M219/VLOOKUP($D219,CPI!$P$16:$R$22,3,FALSE)</f>
        <v>22806.347785772788</v>
      </c>
      <c r="O219">
        <f>VLOOKUP(E219,MFootball!C:S,10,FALSE)</f>
        <v>0</v>
      </c>
    </row>
    <row r="220" spans="1:15" ht="16" thickBot="1" x14ac:dyDescent="0.25">
      <c r="A220" s="15">
        <v>2</v>
      </c>
      <c r="B220">
        <f t="shared" si="3"/>
        <v>0</v>
      </c>
      <c r="C220">
        <f>IF(ISBLANK(H220),"",VLOOKUP(H220,Code!B:C,2,FALSE))</f>
        <v>9</v>
      </c>
      <c r="D220">
        <v>2021</v>
      </c>
      <c r="E220">
        <v>110635</v>
      </c>
      <c r="F220" t="s">
        <v>63</v>
      </c>
      <c r="G220" t="s">
        <v>289</v>
      </c>
      <c r="H220" t="s">
        <v>3</v>
      </c>
      <c r="I220" cm="1">
        <f t="array" ref="I220">IF(B220=0,INDEX('Category 14'!F:F,MATCH(C220&amp;E220&amp;D220,'Category 14'!B:B&amp;'Category 14'!C:C&amp;'Category 14'!A:A,0)),INDEX('Category 14'!G:G,MATCH(C220&amp;E220&amp;D220,'Category 14'!B:B&amp;'Category 14'!C:C&amp;'Category 14'!A:A,0)))</f>
        <v>0</v>
      </c>
      <c r="J220">
        <f>I220/VLOOKUP($D220,CPI!$P$16:$R$22,3,FALSE)</f>
        <v>0</v>
      </c>
      <c r="K220" cm="1">
        <f t="array" ref="K220">IF(B220=0,INDEX('Category 15'!F:F,MATCH(C220&amp;E220&amp;D220,'Category 15'!B:B&amp;'Category 15'!C:C&amp;'Category 15'!A:A,0)),INDEX('Category 15'!G:G,MATCH(C220&amp;E220&amp;D220,'Category 15'!B:B&amp;'Category 31'!C:C&amp;'Category 15'!A:A,0)))</f>
        <v>0</v>
      </c>
      <c r="L220">
        <f>K220/VLOOKUP($D220,CPI!$P$16:$R$22,3,FALSE)</f>
        <v>0</v>
      </c>
      <c r="M220" s="16" cm="1">
        <f t="array" ref="M220">IF(B220=0,INDEX('Category 31'!F:F,MATCH(C220&amp;E220&amp;D220,'Category 31'!B:B&amp;'Category 31'!C:C&amp;'Category 31'!A:A,0)),INDEX('Category 31'!G:G,MATCH(C220&amp;E220&amp;D220,'Category 31'!B:B&amp;'Category 31'!C:C&amp;'Category 31'!A:A,0)))</f>
        <v>188400</v>
      </c>
      <c r="N220" s="16">
        <f>M220/VLOOKUP($D220,CPI!$P$16:$R$22,3,FALSE)</f>
        <v>214556.87220810913</v>
      </c>
      <c r="O220">
        <v>0</v>
      </c>
    </row>
    <row r="221" spans="1:15" ht="16" thickBot="1" x14ac:dyDescent="0.25">
      <c r="A221" s="15">
        <v>2</v>
      </c>
      <c r="B221">
        <f t="shared" si="3"/>
        <v>0</v>
      </c>
      <c r="C221">
        <f>IF(ISBLANK(H221),"",VLOOKUP(H221,Code!B:C,2,FALSE))</f>
        <v>10</v>
      </c>
      <c r="D221">
        <v>2021</v>
      </c>
      <c r="E221">
        <v>110635</v>
      </c>
      <c r="F221" t="s">
        <v>63</v>
      </c>
      <c r="G221" t="s">
        <v>289</v>
      </c>
      <c r="H221" t="s">
        <v>4</v>
      </c>
      <c r="I221" cm="1">
        <f t="array" ref="I221">IF(B221=0,INDEX('Category 14'!F:F,MATCH(C221&amp;E221&amp;D221,'Category 14'!B:B&amp;'Category 14'!C:C&amp;'Category 14'!A:A,0)),INDEX('Category 14'!G:G,MATCH(C221&amp;E221&amp;D221,'Category 14'!B:B&amp;'Category 14'!C:C&amp;'Category 14'!A:A,0)))</f>
        <v>0</v>
      </c>
      <c r="J221">
        <f>I221/VLOOKUP($D221,CPI!$P$16:$R$22,3,FALSE)</f>
        <v>0</v>
      </c>
      <c r="K221" cm="1">
        <f t="array" ref="K221">IF(B221=0,INDEX('Category 15'!F:F,MATCH(C221&amp;E221&amp;D221,'Category 15'!B:B&amp;'Category 15'!C:C&amp;'Category 15'!A:A,0)),INDEX('Category 15'!G:G,MATCH(C221&amp;E221&amp;D221,'Category 15'!B:B&amp;'Category 31'!C:C&amp;'Category 15'!A:A,0)))</f>
        <v>0</v>
      </c>
      <c r="L221">
        <f>K221/VLOOKUP($D221,CPI!$P$16:$R$22,3,FALSE)</f>
        <v>0</v>
      </c>
      <c r="M221" s="16" cm="1">
        <f t="array" ref="M221">IF(B221=0,INDEX('Category 31'!F:F,MATCH(C221&amp;E221&amp;D221,'Category 31'!B:B&amp;'Category 31'!C:C&amp;'Category 31'!A:A,0)),INDEX('Category 31'!G:G,MATCH(C221&amp;E221&amp;D221,'Category 31'!B:B&amp;'Category 31'!C:C&amp;'Category 31'!A:A,0)))</f>
        <v>1000</v>
      </c>
      <c r="N221" s="16">
        <f>M221/VLOOKUP($D221,CPI!$P$16:$R$22,3,FALSE)</f>
        <v>1138.8369013169274</v>
      </c>
      <c r="O221">
        <v>0</v>
      </c>
    </row>
    <row r="222" spans="1:15" ht="16" thickBot="1" x14ac:dyDescent="0.25">
      <c r="A222" s="15">
        <v>2</v>
      </c>
      <c r="B222">
        <f t="shared" si="3"/>
        <v>0</v>
      </c>
      <c r="C222">
        <f>IF(ISBLANK(H222),"",VLOOKUP(H222,Code!B:C,2,FALSE))</f>
        <v>17</v>
      </c>
      <c r="D222">
        <v>2021</v>
      </c>
      <c r="E222">
        <v>110635</v>
      </c>
      <c r="F222" t="s">
        <v>63</v>
      </c>
      <c r="G222" t="s">
        <v>289</v>
      </c>
      <c r="H222" t="s">
        <v>5</v>
      </c>
      <c r="I222" cm="1">
        <f t="array" ref="I222">IF(B222=0,INDEX('Category 14'!F:F,MATCH(C222&amp;E222&amp;D222,'Category 14'!B:B&amp;'Category 14'!C:C&amp;'Category 14'!A:A,0)),INDEX('Category 14'!G:G,MATCH(C222&amp;E222&amp;D222,'Category 14'!B:B&amp;'Category 14'!C:C&amp;'Category 14'!A:A,0)))</f>
        <v>0</v>
      </c>
      <c r="J222">
        <f>I222/VLOOKUP($D222,CPI!$P$16:$R$22,3,FALSE)</f>
        <v>0</v>
      </c>
      <c r="K222" cm="1">
        <f t="array" ref="K222">IF(B222=0,INDEX('Category 15'!F:F,MATCH(C222&amp;E222&amp;D222,'Category 15'!B:B&amp;'Category 15'!C:C&amp;'Category 15'!A:A,0)),INDEX('Category 15'!G:G,MATCH(C222&amp;E222&amp;D222,'Category 15'!B:B&amp;'Category 31'!C:C&amp;'Category 15'!A:A,0)))</f>
        <v>0</v>
      </c>
      <c r="L222">
        <f>K222/VLOOKUP($D222,CPI!$P$16:$R$22,3,FALSE)</f>
        <v>0</v>
      </c>
      <c r="M222" s="16" cm="1">
        <f t="array" ref="M222">IF(B222=0,INDEX('Category 31'!F:F,MATCH(C222&amp;E222&amp;D222,'Category 31'!B:B&amp;'Category 31'!C:C&amp;'Category 31'!A:A,0)),INDEX('Category 31'!G:G,MATCH(C222&amp;E222&amp;D222,'Category 31'!B:B&amp;'Category 31'!C:C&amp;'Category 31'!A:A,0)))</f>
        <v>0</v>
      </c>
      <c r="N222" s="16">
        <f>M222/VLOOKUP($D222,CPI!$P$16:$R$22,3,FALSE)</f>
        <v>0</v>
      </c>
      <c r="O222">
        <f>VLOOKUP(E219,MSoccer!C:S,9,FALSE)</f>
        <v>0</v>
      </c>
    </row>
    <row r="223" spans="1:15" ht="16" thickBot="1" x14ac:dyDescent="0.25">
      <c r="A223" s="15">
        <v>2</v>
      </c>
      <c r="B223">
        <f t="shared" si="3"/>
        <v>0</v>
      </c>
      <c r="C223">
        <f>IF(ISBLANK(H223),"",VLOOKUP(H223,Code!B:C,2,FALSE))</f>
        <v>19</v>
      </c>
      <c r="D223">
        <v>2021</v>
      </c>
      <c r="E223">
        <v>110635</v>
      </c>
      <c r="F223" t="s">
        <v>63</v>
      </c>
      <c r="G223" t="s">
        <v>289</v>
      </c>
      <c r="H223" t="s">
        <v>7</v>
      </c>
      <c r="I223" cm="1">
        <f t="array" ref="I223">IF(B223=0,INDEX('Category 14'!F:F,MATCH(C223&amp;E223&amp;D223,'Category 14'!B:B&amp;'Category 14'!C:C&amp;'Category 14'!A:A,0)),INDEX('Category 14'!G:G,MATCH(C223&amp;E223&amp;D223,'Category 14'!B:B&amp;'Category 14'!C:C&amp;'Category 14'!A:A,0)))</f>
        <v>0</v>
      </c>
      <c r="J223">
        <f>I223/VLOOKUP($D223,CPI!$P$16:$R$22,3,FALSE)</f>
        <v>0</v>
      </c>
      <c r="K223" cm="1">
        <f t="array" ref="K223">IF(B223=0,INDEX('Category 15'!F:F,MATCH(C223&amp;E223&amp;D223,'Category 15'!B:B&amp;'Category 15'!C:C&amp;'Category 15'!A:A,0)),INDEX('Category 15'!G:G,MATCH(C223&amp;E223&amp;D223,'Category 15'!B:B&amp;'Category 31'!C:C&amp;'Category 15'!A:A,0)))</f>
        <v>10000</v>
      </c>
      <c r="L223">
        <f>K223/VLOOKUP($D223,CPI!$P$16:$R$22,3,FALSE)</f>
        <v>11388.369013169275</v>
      </c>
      <c r="M223" s="16" cm="1">
        <f t="array" ref="M223">IF(B223=0,INDEX('Category 31'!F:F,MATCH(C223&amp;E223&amp;D223,'Category 31'!B:B&amp;'Category 31'!C:C&amp;'Category 31'!A:A,0)),INDEX('Category 31'!G:G,MATCH(C223&amp;E223&amp;D223,'Category 31'!B:B&amp;'Category 31'!C:C&amp;'Category 31'!A:A,0)))</f>
        <v>0</v>
      </c>
      <c r="N223" s="16">
        <f>M223/VLOOKUP($D223,CPI!$P$16:$R$22,3,FALSE)</f>
        <v>0</v>
      </c>
      <c r="O223">
        <v>0</v>
      </c>
    </row>
    <row r="224" spans="1:15" ht="16" thickBot="1" x14ac:dyDescent="0.25">
      <c r="A224" s="15">
        <v>2</v>
      </c>
      <c r="B224">
        <f t="shared" si="3"/>
        <v>0</v>
      </c>
      <c r="C224">
        <f>IF(ISBLANK(H224),"",VLOOKUP(H224,Code!B:C,2,FALSE))</f>
        <v>20</v>
      </c>
      <c r="D224">
        <v>2021</v>
      </c>
      <c r="E224">
        <v>110635</v>
      </c>
      <c r="F224" t="s">
        <v>63</v>
      </c>
      <c r="G224" t="s">
        <v>289</v>
      </c>
      <c r="H224" t="s">
        <v>8</v>
      </c>
      <c r="I224" cm="1">
        <f t="array" ref="I224">IF(B224=0,INDEX('Category 14'!F:F,MATCH(C224&amp;E224&amp;D224,'Category 14'!B:B&amp;'Category 14'!C:C&amp;'Category 14'!A:A,0)),INDEX('Category 14'!G:G,MATCH(C224&amp;E224&amp;D224,'Category 14'!B:B&amp;'Category 14'!C:C&amp;'Category 14'!A:A,0)))</f>
        <v>0</v>
      </c>
      <c r="J224">
        <f>I224/VLOOKUP($D224,CPI!$P$16:$R$22,3,FALSE)</f>
        <v>0</v>
      </c>
      <c r="K224" cm="1">
        <f t="array" ref="K224">IF(B224=0,INDEX('Category 15'!F:F,MATCH(C224&amp;E224&amp;D224,'Category 15'!B:B&amp;'Category 15'!C:C&amp;'Category 15'!A:A,0)),INDEX('Category 15'!G:G,MATCH(C224&amp;E224&amp;D224,'Category 15'!B:B&amp;'Category 31'!C:C&amp;'Category 15'!A:A,0)))</f>
        <v>0</v>
      </c>
      <c r="L224">
        <f>K224/VLOOKUP($D224,CPI!$P$16:$R$22,3,FALSE)</f>
        <v>0</v>
      </c>
      <c r="M224" s="16" cm="1">
        <f t="array" ref="M224">IF(B224=0,INDEX('Category 31'!F:F,MATCH(C224&amp;E224&amp;D224,'Category 31'!B:B&amp;'Category 31'!C:C&amp;'Category 31'!A:A,0)),INDEX('Category 31'!G:G,MATCH(C224&amp;E224&amp;D224,'Category 31'!B:B&amp;'Category 31'!C:C&amp;'Category 31'!A:A,0)))</f>
        <v>0</v>
      </c>
      <c r="N224" s="16">
        <f>M224/VLOOKUP($D224,CPI!$P$16:$R$22,3,FALSE)</f>
        <v>0</v>
      </c>
      <c r="O224">
        <v>0</v>
      </c>
    </row>
    <row r="225" spans="1:15" ht="16" thickBot="1" x14ac:dyDescent="0.25">
      <c r="A225" s="15">
        <v>2</v>
      </c>
      <c r="B225">
        <f t="shared" si="3"/>
        <v>0</v>
      </c>
      <c r="C225">
        <f>IF(ISBLANK(H225),"",VLOOKUP(H225,Code!B:C,2,FALSE))</f>
        <v>21</v>
      </c>
      <c r="D225">
        <v>2021</v>
      </c>
      <c r="E225">
        <v>110635</v>
      </c>
      <c r="F225" t="s">
        <v>63</v>
      </c>
      <c r="G225" t="s">
        <v>289</v>
      </c>
      <c r="H225" t="s">
        <v>36</v>
      </c>
      <c r="I225" cm="1">
        <f t="array" ref="I225">IF(B225=0,INDEX('Category 14'!F:F,MATCH(C225&amp;E225&amp;D225,'Category 14'!B:B&amp;'Category 14'!C:C&amp;'Category 14'!A:A,0)),INDEX('Category 14'!G:G,MATCH(C225&amp;E225&amp;D225,'Category 14'!B:B&amp;'Category 14'!C:C&amp;'Category 14'!A:A,0)))</f>
        <v>0</v>
      </c>
      <c r="J225">
        <f>I225/VLOOKUP($D225,CPI!$P$16:$R$22,3,FALSE)</f>
        <v>0</v>
      </c>
      <c r="K225" cm="1">
        <f t="array" ref="K225">IF(B225=0,INDEX('Category 15'!F:F,MATCH(C225&amp;E225&amp;D225,'Category 15'!B:B&amp;'Category 15'!C:C&amp;'Category 15'!A:A,0)),INDEX('Category 15'!G:G,MATCH(C225&amp;E225&amp;D225,'Category 15'!B:B&amp;'Category 31'!C:C&amp;'Category 15'!A:A,0)))</f>
        <v>0</v>
      </c>
      <c r="L225">
        <f>K225/VLOOKUP($D225,CPI!$P$16:$R$22,3,FALSE)</f>
        <v>0</v>
      </c>
      <c r="M225" s="16" cm="1">
        <f t="array" ref="M225">IF(B225=0,INDEX('Category 31'!F:F,MATCH(C225&amp;E225&amp;D225,'Category 31'!B:B&amp;'Category 31'!C:C&amp;'Category 31'!A:A,0)),INDEX('Category 31'!G:G,MATCH(C225&amp;E225&amp;D225,'Category 31'!B:B&amp;'Category 31'!C:C&amp;'Category 31'!A:A,0)))</f>
        <v>0</v>
      </c>
      <c r="N225" s="16">
        <f>M225/VLOOKUP($D225,CPI!$P$16:$R$22,3,FALSE)</f>
        <v>0</v>
      </c>
      <c r="O225">
        <v>0</v>
      </c>
    </row>
    <row r="226" spans="1:15" ht="16" thickBot="1" x14ac:dyDescent="0.25">
      <c r="A226" s="15">
        <v>2</v>
      </c>
      <c r="B226">
        <f t="shared" si="3"/>
        <v>0</v>
      </c>
      <c r="C226">
        <f>IF(ISBLANK(H226),"",VLOOKUP(H226,Code!B:C,2,FALSE))</f>
        <v>24</v>
      </c>
      <c r="D226">
        <v>2021</v>
      </c>
      <c r="E226">
        <v>110635</v>
      </c>
      <c r="F226" t="s">
        <v>63</v>
      </c>
      <c r="G226" t="s">
        <v>289</v>
      </c>
      <c r="H226" t="s">
        <v>34</v>
      </c>
      <c r="I226" cm="1">
        <f t="array" ref="I226">IF(B226=0,INDEX('Category 14'!F:F,MATCH(C226&amp;E226&amp;D226,'Category 14'!B:B&amp;'Category 14'!C:C&amp;'Category 14'!A:A,0)),INDEX('Category 14'!G:G,MATCH(C226&amp;E226&amp;D226,'Category 14'!B:B&amp;'Category 14'!C:C&amp;'Category 14'!A:A,0)))</f>
        <v>0</v>
      </c>
      <c r="J226">
        <f>I226/VLOOKUP($D226,CPI!$P$16:$R$22,3,FALSE)</f>
        <v>0</v>
      </c>
      <c r="K226" cm="1">
        <f t="array" ref="K226">IF(B226=0,INDEX('Category 15'!F:F,MATCH(C226&amp;E226&amp;D226,'Category 15'!B:B&amp;'Category 15'!C:C&amp;'Category 15'!A:A,0)),INDEX('Category 15'!G:G,MATCH(C226&amp;E226&amp;D226,'Category 15'!B:B&amp;'Category 31'!C:C&amp;'Category 15'!A:A,0)))</f>
        <v>0</v>
      </c>
      <c r="L226">
        <f>K226/VLOOKUP($D226,CPI!$P$16:$R$22,3,FALSE)</f>
        <v>0</v>
      </c>
      <c r="M226" s="16" cm="1">
        <f t="array" ref="M226">IF(B226=0,INDEX('Category 31'!F:F,MATCH(C226&amp;E226&amp;D226,'Category 31'!B:B&amp;'Category 31'!C:C&amp;'Category 31'!A:A,0)),INDEX('Category 31'!G:G,MATCH(C226&amp;E226&amp;D226,'Category 31'!B:B&amp;'Category 31'!C:C&amp;'Category 31'!A:A,0)))</f>
        <v>0</v>
      </c>
      <c r="N226" s="16">
        <f>M226/VLOOKUP($D226,CPI!$P$16:$R$22,3,FALSE)</f>
        <v>0</v>
      </c>
      <c r="O226">
        <v>0</v>
      </c>
    </row>
    <row r="227" spans="1:15" ht="16" thickBot="1" x14ac:dyDescent="0.25">
      <c r="A227" s="15">
        <v>2</v>
      </c>
      <c r="B227">
        <f t="shared" si="3"/>
        <v>1</v>
      </c>
      <c r="C227">
        <f>IF(ISBLANK(H227),"",VLOOKUP(H227,Code!B:C,2,FALSE))</f>
        <v>2</v>
      </c>
      <c r="D227">
        <v>2021</v>
      </c>
      <c r="E227">
        <v>110635</v>
      </c>
      <c r="F227" t="s">
        <v>63</v>
      </c>
      <c r="G227" t="s">
        <v>290</v>
      </c>
      <c r="H227" t="s">
        <v>1</v>
      </c>
      <c r="I227" cm="1">
        <f t="array" ref="I227">IF(B227=0,INDEX('Category 14'!F:F,MATCH(C227&amp;E227&amp;D227,'Category 14'!B:B&amp;'Category 14'!C:C&amp;'Category 14'!A:A,0)),INDEX('Category 14'!G:G,MATCH(C227&amp;E227&amp;D227,'Category 14'!B:B&amp;'Category 14'!C:C&amp;'Category 14'!A:A,0)))</f>
        <v>0</v>
      </c>
      <c r="J227">
        <f>I227/VLOOKUP($D227,CPI!$P$16:$R$22,3,FALSE)</f>
        <v>0</v>
      </c>
      <c r="K227" cm="1">
        <f t="array" ref="K227">IF(B227=0,INDEX('Category 15'!F:F,MATCH(C227&amp;E227&amp;D227,'Category 15'!B:B&amp;'Category 15'!C:C&amp;'Category 15'!A:A,0)),INDEX('Category 15'!G:G,MATCH(C227&amp;E227&amp;D227,'Category 15'!B:B&amp;'Category 31'!C:C&amp;'Category 15'!A:A,0)))</f>
        <v>0</v>
      </c>
      <c r="L227">
        <f>K227/VLOOKUP($D227,CPI!$P$16:$R$22,3,FALSE)</f>
        <v>0</v>
      </c>
      <c r="M227" s="16" cm="1">
        <f t="array" ref="M227">IF(B227=0,INDEX('Category 31'!F:F,MATCH(C227&amp;E227&amp;D227,'Category 31'!B:B&amp;'Category 31'!C:C&amp;'Category 31'!A:A,0)),INDEX('Category 31'!G:G,MATCH(C227&amp;E227&amp;D227,'Category 31'!B:B&amp;'Category 31'!C:C&amp;'Category 31'!A:A,0)))</f>
        <v>0</v>
      </c>
      <c r="N227" s="16">
        <f>M227/VLOOKUP($D227,CPI!$P$16:$R$22,3,FALSE)</f>
        <v>0</v>
      </c>
      <c r="O227">
        <f>VLOOKUP(E227,WBasketball!C:S,10,FALSE)</f>
        <v>0</v>
      </c>
    </row>
    <row r="228" spans="1:15" ht="16" thickBot="1" x14ac:dyDescent="0.25">
      <c r="A228" s="15">
        <v>2</v>
      </c>
      <c r="B228">
        <f t="shared" si="3"/>
        <v>1</v>
      </c>
      <c r="C228">
        <f>IF(ISBLANK(H228),"",VLOOKUP(H228,Code!B:C,2,FALSE))</f>
        <v>3</v>
      </c>
      <c r="D228">
        <v>2021</v>
      </c>
      <c r="E228">
        <v>110635</v>
      </c>
      <c r="F228" t="s">
        <v>63</v>
      </c>
      <c r="G228" t="s">
        <v>290</v>
      </c>
      <c r="H228" t="s">
        <v>21</v>
      </c>
      <c r="I228" cm="1">
        <f t="array" ref="I228">IF(B228=0,INDEX('Category 14'!F:F,MATCH(C228&amp;E228&amp;D228,'Category 14'!B:B&amp;'Category 14'!C:C&amp;'Category 14'!A:A,0)),INDEX('Category 14'!G:G,MATCH(C228&amp;E228&amp;D228,'Category 14'!B:B&amp;'Category 14'!C:C&amp;'Category 14'!A:A,0)))</f>
        <v>0</v>
      </c>
      <c r="J228">
        <f>I228/VLOOKUP($D228,CPI!$P$16:$R$22,3,FALSE)</f>
        <v>0</v>
      </c>
      <c r="K228" cm="1">
        <f t="array" ref="K228">IF(B228=0,INDEX('Category 15'!F:F,MATCH(C228&amp;E228&amp;D228,'Category 15'!B:B&amp;'Category 15'!C:C&amp;'Category 15'!A:A,0)),INDEX('Category 15'!G:G,MATCH(C228&amp;E228&amp;D228,'Category 15'!B:B&amp;'Category 31'!C:C&amp;'Category 15'!A:A,0)))</f>
        <v>0</v>
      </c>
      <c r="L228">
        <f>K228/VLOOKUP($D228,CPI!$P$16:$R$22,3,FALSE)</f>
        <v>0</v>
      </c>
      <c r="M228" s="16" cm="1">
        <f t="array" ref="M228">IF(B228=0,INDEX('Category 31'!F:F,MATCH(C228&amp;E228&amp;D228,'Category 31'!B:B&amp;'Category 31'!C:C&amp;'Category 31'!A:A,0)),INDEX('Category 31'!G:G,MATCH(C228&amp;E228&amp;D228,'Category 31'!B:B&amp;'Category 31'!C:C&amp;'Category 31'!A:A,0)))</f>
        <v>0</v>
      </c>
      <c r="N228" s="16">
        <f>M228/VLOOKUP($D228,CPI!$P$16:$R$22,3,FALSE)</f>
        <v>0</v>
      </c>
      <c r="O228">
        <v>0</v>
      </c>
    </row>
    <row r="229" spans="1:15" ht="16" thickBot="1" x14ac:dyDescent="0.25">
      <c r="A229" s="15">
        <v>2</v>
      </c>
      <c r="B229">
        <f t="shared" si="3"/>
        <v>1</v>
      </c>
      <c r="C229">
        <f>IF(ISBLANK(H229),"",VLOOKUP(H229,Code!B:C,2,FALSE))</f>
        <v>7</v>
      </c>
      <c r="D229">
        <v>2021</v>
      </c>
      <c r="E229">
        <v>110635</v>
      </c>
      <c r="F229" t="s">
        <v>63</v>
      </c>
      <c r="G229" t="s">
        <v>290</v>
      </c>
      <c r="H229" t="s">
        <v>25</v>
      </c>
      <c r="I229" cm="1">
        <f t="array" ref="I229">IF(B229=0,INDEX('Category 14'!F:F,MATCH(C229&amp;E229&amp;D229,'Category 14'!B:B&amp;'Category 14'!C:C&amp;'Category 14'!A:A,0)),INDEX('Category 14'!G:G,MATCH(C229&amp;E229&amp;D229,'Category 14'!B:B&amp;'Category 14'!C:C&amp;'Category 14'!A:A,0)))</f>
        <v>0</v>
      </c>
      <c r="J229">
        <f>I229/VLOOKUP($D229,CPI!$P$16:$R$22,3,FALSE)</f>
        <v>0</v>
      </c>
      <c r="K229" cm="1">
        <f t="array" ref="K229">IF(B229=0,INDEX('Category 15'!F:F,MATCH(C229&amp;E229&amp;D229,'Category 15'!B:B&amp;'Category 15'!C:C&amp;'Category 15'!A:A,0)),INDEX('Category 15'!G:G,MATCH(C229&amp;E229&amp;D229,'Category 15'!B:B&amp;'Category 31'!C:C&amp;'Category 15'!A:A,0)))</f>
        <v>0</v>
      </c>
      <c r="L229">
        <f>K229/VLOOKUP($D229,CPI!$P$16:$R$22,3,FALSE)</f>
        <v>0</v>
      </c>
      <c r="M229" s="16" cm="1">
        <f t="array" ref="M229">IF(B229=0,INDEX('Category 31'!F:F,MATCH(C229&amp;E229&amp;D229,'Category 31'!B:B&amp;'Category 31'!C:C&amp;'Category 31'!A:A,0)),INDEX('Category 31'!G:G,MATCH(C229&amp;E229&amp;D229,'Category 31'!B:B&amp;'Category 31'!C:C&amp;'Category 31'!A:A,0)))</f>
        <v>0</v>
      </c>
      <c r="N229" s="16">
        <f>M229/VLOOKUP($D229,CPI!$P$16:$R$22,3,FALSE)</f>
        <v>0</v>
      </c>
      <c r="O229">
        <f>VLOOKUP(E229,WFieldHockey!C:S,10,FALSE)</f>
        <v>0</v>
      </c>
    </row>
    <row r="230" spans="1:15" ht="16" thickBot="1" x14ac:dyDescent="0.25">
      <c r="A230" s="15">
        <v>2</v>
      </c>
      <c r="B230">
        <f t="shared" si="3"/>
        <v>1</v>
      </c>
      <c r="C230">
        <f>IF(ISBLANK(H230),"",VLOOKUP(H230,Code!B:C,2,FALSE))</f>
        <v>9</v>
      </c>
      <c r="D230">
        <v>2021</v>
      </c>
      <c r="E230">
        <v>110635</v>
      </c>
      <c r="F230" t="s">
        <v>63</v>
      </c>
      <c r="G230" t="s">
        <v>290</v>
      </c>
      <c r="H230" t="s">
        <v>3</v>
      </c>
      <c r="I230" cm="1">
        <f t="array" ref="I230">IF(B230=0,INDEX('Category 14'!F:F,MATCH(C230&amp;E230&amp;D230,'Category 14'!B:B&amp;'Category 14'!C:C&amp;'Category 14'!A:A,0)),INDEX('Category 14'!G:G,MATCH(C230&amp;E230&amp;D230,'Category 14'!B:B&amp;'Category 14'!C:C&amp;'Category 14'!A:A,0)))</f>
        <v>0</v>
      </c>
      <c r="J230">
        <f>I230/VLOOKUP($D230,CPI!$P$16:$R$22,3,FALSE)</f>
        <v>0</v>
      </c>
      <c r="K230" cm="1">
        <f t="array" ref="K230">IF(B230=0,INDEX('Category 15'!F:F,MATCH(C230&amp;E230&amp;D230,'Category 15'!B:B&amp;'Category 15'!C:C&amp;'Category 15'!A:A,0)),INDEX('Category 15'!G:G,MATCH(C230&amp;E230&amp;D230,'Category 15'!B:B&amp;'Category 31'!C:C&amp;'Category 15'!A:A,0)))</f>
        <v>0</v>
      </c>
      <c r="L230">
        <f>K230/VLOOKUP($D230,CPI!$P$16:$R$22,3,FALSE)</f>
        <v>0</v>
      </c>
      <c r="M230" s="16" cm="1">
        <f t="array" ref="M230">IF(B230=0,INDEX('Category 31'!F:F,MATCH(C230&amp;E230&amp;D230,'Category 31'!B:B&amp;'Category 31'!C:C&amp;'Category 31'!A:A,0)),INDEX('Category 31'!G:G,MATCH(C230&amp;E230&amp;D230,'Category 31'!B:B&amp;'Category 31'!C:C&amp;'Category 31'!A:A,0)))</f>
        <v>107</v>
      </c>
      <c r="N230" s="16">
        <f>M230/VLOOKUP($D230,CPI!$P$16:$R$22,3,FALSE)</f>
        <v>121.85554844091124</v>
      </c>
      <c r="O230">
        <v>0</v>
      </c>
    </row>
    <row r="231" spans="1:15" ht="16" thickBot="1" x14ac:dyDescent="0.25">
      <c r="A231" s="15">
        <v>2</v>
      </c>
      <c r="B231">
        <f t="shared" si="3"/>
        <v>1</v>
      </c>
      <c r="C231">
        <f>IF(ISBLANK(H231),"",VLOOKUP(H231,Code!B:C,2,FALSE))</f>
        <v>10</v>
      </c>
      <c r="D231">
        <v>2021</v>
      </c>
      <c r="E231">
        <v>110635</v>
      </c>
      <c r="F231" t="s">
        <v>63</v>
      </c>
      <c r="G231" t="s">
        <v>290</v>
      </c>
      <c r="H231" t="s">
        <v>4</v>
      </c>
      <c r="I231" cm="1">
        <f t="array" ref="I231">IF(B231=0,INDEX('Category 14'!F:F,MATCH(C231&amp;E231&amp;D231,'Category 14'!B:B&amp;'Category 14'!C:C&amp;'Category 14'!A:A,0)),INDEX('Category 14'!G:G,MATCH(C231&amp;E231&amp;D231,'Category 14'!B:B&amp;'Category 14'!C:C&amp;'Category 14'!A:A,0)))</f>
        <v>0</v>
      </c>
      <c r="J231">
        <f>I231/VLOOKUP($D231,CPI!$P$16:$R$22,3,FALSE)</f>
        <v>0</v>
      </c>
      <c r="K231" cm="1">
        <f t="array" ref="K231">IF(B231=0,INDEX('Category 15'!F:F,MATCH(C231&amp;E231&amp;D231,'Category 15'!B:B&amp;'Category 15'!C:C&amp;'Category 15'!A:A,0)),INDEX('Category 15'!G:G,MATCH(C231&amp;E231&amp;D231,'Category 15'!B:B&amp;'Category 31'!C:C&amp;'Category 15'!A:A,0)))</f>
        <v>0</v>
      </c>
      <c r="L231">
        <f>K231/VLOOKUP($D231,CPI!$P$16:$R$22,3,FALSE)</f>
        <v>0</v>
      </c>
      <c r="M231" s="16" cm="1">
        <f t="array" ref="M231">IF(B231=0,INDEX('Category 31'!F:F,MATCH(C231&amp;E231&amp;D231,'Category 31'!B:B&amp;'Category 31'!C:C&amp;'Category 31'!A:A,0)),INDEX('Category 31'!G:G,MATCH(C231&amp;E231&amp;D231,'Category 31'!B:B&amp;'Category 31'!C:C&amp;'Category 31'!A:A,0)))</f>
        <v>0</v>
      </c>
      <c r="N231" s="16">
        <f>M231/VLOOKUP($D231,CPI!$P$16:$R$22,3,FALSE)</f>
        <v>0</v>
      </c>
      <c r="O231">
        <v>0</v>
      </c>
    </row>
    <row r="232" spans="1:15" ht="16" thickBot="1" x14ac:dyDescent="0.25">
      <c r="A232" s="15">
        <v>2</v>
      </c>
      <c r="B232">
        <f t="shared" si="3"/>
        <v>1</v>
      </c>
      <c r="C232">
        <f>IF(ISBLANK(H232),"",VLOOKUP(H232,Code!B:C,2,FALSE))</f>
        <v>12</v>
      </c>
      <c r="D232">
        <v>2021</v>
      </c>
      <c r="E232">
        <v>110635</v>
      </c>
      <c r="F232" t="s">
        <v>63</v>
      </c>
      <c r="G232" t="s">
        <v>290</v>
      </c>
      <c r="H232" t="s">
        <v>27</v>
      </c>
      <c r="I232" cm="1">
        <f t="array" ref="I232">IF(B232=0,INDEX('Category 14'!F:F,MATCH(C232&amp;E232&amp;D232,'Category 14'!B:B&amp;'Category 14'!C:C&amp;'Category 14'!A:A,0)),INDEX('Category 14'!G:G,MATCH(C232&amp;E232&amp;D232,'Category 14'!B:B&amp;'Category 14'!C:C&amp;'Category 14'!A:A,0)))</f>
        <v>0</v>
      </c>
      <c r="J232">
        <f>I232/VLOOKUP($D232,CPI!$P$16:$R$22,3,FALSE)</f>
        <v>0</v>
      </c>
      <c r="K232" cm="1">
        <f t="array" ref="K232">IF(B232=0,INDEX('Category 15'!F:F,MATCH(C232&amp;E232&amp;D232,'Category 15'!B:B&amp;'Category 15'!C:C&amp;'Category 15'!A:A,0)),INDEX('Category 15'!G:G,MATCH(C232&amp;E232&amp;D232,'Category 15'!B:B&amp;'Category 31'!C:C&amp;'Category 15'!A:A,0)))</f>
        <v>0</v>
      </c>
      <c r="L232">
        <f>K232/VLOOKUP($D232,CPI!$P$16:$R$22,3,FALSE)</f>
        <v>0</v>
      </c>
      <c r="M232" s="16" cm="1">
        <f t="array" ref="M232">IF(B232=0,INDEX('Category 31'!F:F,MATCH(C232&amp;E232&amp;D232,'Category 31'!B:B&amp;'Category 31'!C:C&amp;'Category 31'!A:A,0)),INDEX('Category 31'!G:G,MATCH(C232&amp;E232&amp;D232,'Category 31'!B:B&amp;'Category 31'!C:C&amp;'Category 31'!A:A,0)))</f>
        <v>0</v>
      </c>
      <c r="N232" s="16">
        <f>M232/VLOOKUP($D232,CPI!$P$16:$R$22,3,FALSE)</f>
        <v>0</v>
      </c>
      <c r="O232">
        <f>VLOOKUP(E232,WLacrosse!C:S,10,FALSE)</f>
        <v>307</v>
      </c>
    </row>
    <row r="233" spans="1:15" ht="16" thickBot="1" x14ac:dyDescent="0.25">
      <c r="A233" s="15">
        <v>2</v>
      </c>
      <c r="B233">
        <f t="shared" si="3"/>
        <v>1</v>
      </c>
      <c r="C233">
        <f>IF(ISBLANK(H233),"",VLOOKUP(H233,Code!B:C,2,FALSE))</f>
        <v>14</v>
      </c>
      <c r="D233">
        <v>2021</v>
      </c>
      <c r="E233">
        <v>110635</v>
      </c>
      <c r="F233" t="s">
        <v>63</v>
      </c>
      <c r="G233" t="s">
        <v>290</v>
      </c>
      <c r="H233" t="s">
        <v>29</v>
      </c>
      <c r="I233" cm="1">
        <f t="array" ref="I233">IF(B233=0,INDEX('Category 14'!F:F,MATCH(C233&amp;E233&amp;D233,'Category 14'!B:B&amp;'Category 14'!C:C&amp;'Category 14'!A:A,0)),INDEX('Category 14'!G:G,MATCH(C233&amp;E233&amp;D233,'Category 14'!B:B&amp;'Category 14'!C:C&amp;'Category 14'!A:A,0)))</f>
        <v>0</v>
      </c>
      <c r="J233">
        <f>I233/VLOOKUP($D233,CPI!$P$16:$R$22,3,FALSE)</f>
        <v>0</v>
      </c>
      <c r="K233" cm="1">
        <f t="array" ref="K233">IF(B233=0,INDEX('Category 15'!F:F,MATCH(C233&amp;E233&amp;D233,'Category 15'!B:B&amp;'Category 15'!C:C&amp;'Category 15'!A:A,0)),INDEX('Category 15'!G:G,MATCH(C233&amp;E233&amp;D233,'Category 15'!B:B&amp;'Category 31'!C:C&amp;'Category 15'!A:A,0)))</f>
        <v>0</v>
      </c>
      <c r="L233">
        <f>K233/VLOOKUP($D233,CPI!$P$16:$R$22,3,FALSE)</f>
        <v>0</v>
      </c>
      <c r="M233" s="16" cm="1">
        <f t="array" ref="M233">IF(B233=0,INDEX('Category 31'!F:F,MATCH(C233&amp;E233&amp;D233,'Category 31'!B:B&amp;'Category 31'!C:C&amp;'Category 31'!A:A,0)),INDEX('Category 31'!G:G,MATCH(C233&amp;E233&amp;D233,'Category 31'!B:B&amp;'Category 31'!C:C&amp;'Category 31'!A:A,0)))</f>
        <v>1000</v>
      </c>
      <c r="N233" s="16">
        <f>M233/VLOOKUP($D233,CPI!$P$16:$R$22,3,FALSE)</f>
        <v>1138.8369013169274</v>
      </c>
      <c r="O233">
        <v>0</v>
      </c>
    </row>
    <row r="234" spans="1:15" ht="16" thickBot="1" x14ac:dyDescent="0.25">
      <c r="A234" s="15">
        <v>2</v>
      </c>
      <c r="B234">
        <f t="shared" si="3"/>
        <v>1</v>
      </c>
      <c r="C234">
        <f>IF(ISBLANK(H234),"",VLOOKUP(H234,Code!B:C,2,FALSE))</f>
        <v>17</v>
      </c>
      <c r="D234">
        <v>2021</v>
      </c>
      <c r="E234">
        <v>110635</v>
      </c>
      <c r="F234" t="s">
        <v>63</v>
      </c>
      <c r="G234" t="s">
        <v>290</v>
      </c>
      <c r="H234" t="s">
        <v>5</v>
      </c>
      <c r="I234" cm="1">
        <f t="array" ref="I234">IF(B234=0,INDEX('Category 14'!F:F,MATCH(C234&amp;E234&amp;D234,'Category 14'!B:B&amp;'Category 14'!C:C&amp;'Category 14'!A:A,0)),INDEX('Category 14'!G:G,MATCH(C234&amp;E234&amp;D234,'Category 14'!B:B&amp;'Category 14'!C:C&amp;'Category 14'!A:A,0)))</f>
        <v>0</v>
      </c>
      <c r="J234">
        <f>I234/VLOOKUP($D234,CPI!$P$16:$R$22,3,FALSE)</f>
        <v>0</v>
      </c>
      <c r="K234" cm="1">
        <f t="array" ref="K234">IF(B234=0,INDEX('Category 15'!F:F,MATCH(C234&amp;E234&amp;D234,'Category 15'!B:B&amp;'Category 15'!C:C&amp;'Category 15'!A:A,0)),INDEX('Category 15'!G:G,MATCH(C234&amp;E234&amp;D234,'Category 15'!B:B&amp;'Category 31'!C:C&amp;'Category 15'!A:A,0)))</f>
        <v>0</v>
      </c>
      <c r="L234">
        <f>K234/VLOOKUP($D234,CPI!$P$16:$R$22,3,FALSE)</f>
        <v>0</v>
      </c>
      <c r="M234" s="16" cm="1">
        <f t="array" ref="M234">IF(B234=0,INDEX('Category 31'!F:F,MATCH(C234&amp;E234&amp;D234,'Category 31'!B:B&amp;'Category 31'!C:C&amp;'Category 31'!A:A,0)),INDEX('Category 31'!G:G,MATCH(C234&amp;E234&amp;D234,'Category 31'!B:B&amp;'Category 31'!C:C&amp;'Category 31'!A:A,0)))</f>
        <v>0</v>
      </c>
      <c r="N234" s="16">
        <f>M234/VLOOKUP($D234,CPI!$P$16:$R$22,3,FALSE)</f>
        <v>0</v>
      </c>
      <c r="O234">
        <f>VLOOKUP(E234,WSoccer!C:S,10,FALSE)</f>
        <v>98</v>
      </c>
    </row>
    <row r="235" spans="1:15" ht="16" thickBot="1" x14ac:dyDescent="0.25">
      <c r="A235" s="15">
        <v>2</v>
      </c>
      <c r="B235">
        <f t="shared" si="3"/>
        <v>1</v>
      </c>
      <c r="C235">
        <f>IF(ISBLANK(H235),"",VLOOKUP(H235,Code!B:C,2,FALSE))</f>
        <v>18</v>
      </c>
      <c r="D235">
        <v>2021</v>
      </c>
      <c r="E235">
        <v>110635</v>
      </c>
      <c r="F235" t="s">
        <v>63</v>
      </c>
      <c r="G235" t="s">
        <v>290</v>
      </c>
      <c r="H235" t="s">
        <v>6</v>
      </c>
      <c r="I235" cm="1">
        <f t="array" ref="I235">IF(B235=0,INDEX('Category 14'!F:F,MATCH(C235&amp;E235&amp;D235,'Category 14'!B:B&amp;'Category 14'!C:C&amp;'Category 14'!A:A,0)),INDEX('Category 14'!G:G,MATCH(C235&amp;E235&amp;D235,'Category 14'!B:B&amp;'Category 14'!C:C&amp;'Category 14'!A:A,0)))</f>
        <v>0</v>
      </c>
      <c r="J235">
        <f>I235/VLOOKUP($D235,CPI!$P$16:$R$22,3,FALSE)</f>
        <v>0</v>
      </c>
      <c r="K235" cm="1">
        <f t="array" ref="K235">IF(B235=0,INDEX('Category 15'!F:F,MATCH(C235&amp;E235&amp;D235,'Category 15'!B:B&amp;'Category 15'!C:C&amp;'Category 15'!A:A,0)),INDEX('Category 15'!G:G,MATCH(C235&amp;E235&amp;D235,'Category 15'!B:B&amp;'Category 31'!C:C&amp;'Category 15'!A:A,0)))</f>
        <v>0</v>
      </c>
      <c r="L235">
        <f>K235/VLOOKUP($D235,CPI!$P$16:$R$22,3,FALSE)</f>
        <v>0</v>
      </c>
      <c r="M235" s="16" cm="1">
        <f t="array" ref="M235">IF(B235=0,INDEX('Category 31'!F:F,MATCH(C235&amp;E235&amp;D235,'Category 31'!B:B&amp;'Category 31'!C:C&amp;'Category 31'!A:A,0)),INDEX('Category 31'!G:G,MATCH(C235&amp;E235&amp;D235,'Category 31'!B:B&amp;'Category 31'!C:C&amp;'Category 31'!A:A,0)))</f>
        <v>0</v>
      </c>
      <c r="N235" s="16">
        <f>M235/VLOOKUP($D235,CPI!$P$16:$R$22,3,FALSE)</f>
        <v>0</v>
      </c>
      <c r="O235">
        <f>VLOOKUP(E235,WSoftball!C:S,9,FALSE)</f>
        <v>0</v>
      </c>
    </row>
    <row r="236" spans="1:15" ht="16" thickBot="1" x14ac:dyDescent="0.25">
      <c r="A236" s="15">
        <v>2</v>
      </c>
      <c r="B236">
        <f t="shared" si="3"/>
        <v>1</v>
      </c>
      <c r="C236">
        <f>IF(ISBLANK(H236),"",VLOOKUP(H236,Code!B:C,2,FALSE))</f>
        <v>19</v>
      </c>
      <c r="D236">
        <v>2021</v>
      </c>
      <c r="E236">
        <v>110635</v>
      </c>
      <c r="F236" t="s">
        <v>63</v>
      </c>
      <c r="G236" t="s">
        <v>290</v>
      </c>
      <c r="H236" t="s">
        <v>7</v>
      </c>
      <c r="I236" cm="1">
        <f t="array" ref="I236">IF(B236=0,INDEX('Category 14'!F:F,MATCH(C236&amp;E236&amp;D236,'Category 14'!B:B&amp;'Category 14'!C:C&amp;'Category 14'!A:A,0)),INDEX('Category 14'!G:G,MATCH(C236&amp;E236&amp;D236,'Category 14'!B:B&amp;'Category 14'!C:C&amp;'Category 14'!A:A,0)))</f>
        <v>0</v>
      </c>
      <c r="J236">
        <f>I236/VLOOKUP($D236,CPI!$P$16:$R$22,3,FALSE)</f>
        <v>0</v>
      </c>
      <c r="K236" cm="1">
        <f t="array" ref="K236">IF(B236=0,INDEX('Category 15'!F:F,MATCH(C236&amp;E236&amp;D236,'Category 15'!B:B&amp;'Category 15'!C:C&amp;'Category 15'!A:A,0)),INDEX('Category 15'!G:G,MATCH(C236&amp;E236&amp;D236,'Category 15'!B:B&amp;'Category 31'!C:C&amp;'Category 15'!A:A,0)))</f>
        <v>10000</v>
      </c>
      <c r="L236">
        <f>K236/VLOOKUP($D236,CPI!$P$16:$R$22,3,FALSE)</f>
        <v>11388.369013169275</v>
      </c>
      <c r="M236" s="16" cm="1">
        <f t="array" ref="M236">IF(B236=0,INDEX('Category 31'!F:F,MATCH(C236&amp;E236&amp;D236,'Category 31'!B:B&amp;'Category 31'!C:C&amp;'Category 31'!A:A,0)),INDEX('Category 31'!G:G,MATCH(C236&amp;E236&amp;D236,'Category 31'!B:B&amp;'Category 31'!C:C&amp;'Category 31'!A:A,0)))</f>
        <v>418</v>
      </c>
      <c r="N236" s="16">
        <f>M236/VLOOKUP($D236,CPI!$P$16:$R$22,3,FALSE)</f>
        <v>476.03382475047567</v>
      </c>
      <c r="O236">
        <v>0</v>
      </c>
    </row>
    <row r="237" spans="1:15" ht="16" thickBot="1" x14ac:dyDescent="0.25">
      <c r="A237" s="15">
        <v>2</v>
      </c>
      <c r="B237">
        <f t="shared" si="3"/>
        <v>1</v>
      </c>
      <c r="C237">
        <f>IF(ISBLANK(H237),"",VLOOKUP(H237,Code!B:C,2,FALSE))</f>
        <v>20</v>
      </c>
      <c r="D237">
        <v>2021</v>
      </c>
      <c r="E237">
        <v>110635</v>
      </c>
      <c r="F237" t="s">
        <v>63</v>
      </c>
      <c r="G237" t="s">
        <v>290</v>
      </c>
      <c r="H237" t="s">
        <v>8</v>
      </c>
      <c r="I237" cm="1">
        <f t="array" ref="I237">IF(B237=0,INDEX('Category 14'!F:F,MATCH(C237&amp;E237&amp;D237,'Category 14'!B:B&amp;'Category 14'!C:C&amp;'Category 14'!A:A,0)),INDEX('Category 14'!G:G,MATCH(C237&amp;E237&amp;D237,'Category 14'!B:B&amp;'Category 14'!C:C&amp;'Category 14'!A:A,0)))</f>
        <v>0</v>
      </c>
      <c r="J237">
        <f>I237/VLOOKUP($D237,CPI!$P$16:$R$22,3,FALSE)</f>
        <v>0</v>
      </c>
      <c r="K237" cm="1">
        <f t="array" ref="K237">IF(B237=0,INDEX('Category 15'!F:F,MATCH(C237&amp;E237&amp;D237,'Category 15'!B:B&amp;'Category 15'!C:C&amp;'Category 15'!A:A,0)),INDEX('Category 15'!G:G,MATCH(C237&amp;E237&amp;D237,'Category 15'!B:B&amp;'Category 31'!C:C&amp;'Category 15'!A:A,0)))</f>
        <v>0</v>
      </c>
      <c r="L237">
        <f>K237/VLOOKUP($D237,CPI!$P$16:$R$22,3,FALSE)</f>
        <v>0</v>
      </c>
      <c r="M237" s="16" cm="1">
        <f t="array" ref="M237">IF(B237=0,INDEX('Category 31'!F:F,MATCH(C237&amp;E237&amp;D237,'Category 31'!B:B&amp;'Category 31'!C:C&amp;'Category 31'!A:A,0)),INDEX('Category 31'!G:G,MATCH(C237&amp;E237&amp;D237,'Category 31'!B:B&amp;'Category 31'!C:C&amp;'Category 31'!A:A,0)))</f>
        <v>0</v>
      </c>
      <c r="N237" s="16">
        <f>M237/VLOOKUP($D237,CPI!$P$16:$R$22,3,FALSE)</f>
        <v>0</v>
      </c>
      <c r="O237">
        <v>0</v>
      </c>
    </row>
    <row r="238" spans="1:15" ht="16" thickBot="1" x14ac:dyDescent="0.25">
      <c r="A238" s="15">
        <v>2</v>
      </c>
      <c r="B238">
        <f t="shared" si="3"/>
        <v>1</v>
      </c>
      <c r="C238">
        <f>IF(ISBLANK(H238),"",VLOOKUP(H238,Code!B:C,2,FALSE))</f>
        <v>21</v>
      </c>
      <c r="D238">
        <v>2021</v>
      </c>
      <c r="E238">
        <v>110635</v>
      </c>
      <c r="F238" t="s">
        <v>63</v>
      </c>
      <c r="G238" t="s">
        <v>290</v>
      </c>
      <c r="H238" t="s">
        <v>36</v>
      </c>
      <c r="I238" cm="1">
        <f t="array" ref="I238">IF(B238=0,INDEX('Category 14'!F:F,MATCH(C238&amp;E238&amp;D238,'Category 14'!B:B&amp;'Category 14'!C:C&amp;'Category 14'!A:A,0)),INDEX('Category 14'!G:G,MATCH(C238&amp;E238&amp;D238,'Category 14'!B:B&amp;'Category 14'!C:C&amp;'Category 14'!A:A,0)))</f>
        <v>0</v>
      </c>
      <c r="J238">
        <f>I238/VLOOKUP($D238,CPI!$P$16:$R$22,3,FALSE)</f>
        <v>0</v>
      </c>
      <c r="K238" cm="1">
        <f t="array" ref="K238">IF(B238=0,INDEX('Category 15'!F:F,MATCH(C238&amp;E238&amp;D238,'Category 15'!B:B&amp;'Category 15'!C:C&amp;'Category 15'!A:A,0)),INDEX('Category 15'!G:G,MATCH(C238&amp;E238&amp;D238,'Category 15'!B:B&amp;'Category 31'!C:C&amp;'Category 15'!A:A,0)))</f>
        <v>0</v>
      </c>
      <c r="L238">
        <f>K238/VLOOKUP($D238,CPI!$P$16:$R$22,3,FALSE)</f>
        <v>0</v>
      </c>
      <c r="M238" s="16" cm="1">
        <f t="array" ref="M238">IF(B238=0,INDEX('Category 31'!F:F,MATCH(C238&amp;E238&amp;D238,'Category 31'!B:B&amp;'Category 31'!C:C&amp;'Category 31'!A:A,0)),INDEX('Category 31'!G:G,MATCH(C238&amp;E238&amp;D238,'Category 31'!B:B&amp;'Category 31'!C:C&amp;'Category 31'!A:A,0)))</f>
        <v>0</v>
      </c>
      <c r="N238" s="16">
        <f>M238/VLOOKUP($D238,CPI!$P$16:$R$22,3,FALSE)</f>
        <v>0</v>
      </c>
      <c r="O238">
        <v>0</v>
      </c>
    </row>
    <row r="239" spans="1:15" ht="16" thickBot="1" x14ac:dyDescent="0.25">
      <c r="A239" s="15">
        <v>2</v>
      </c>
      <c r="B239">
        <f t="shared" si="3"/>
        <v>1</v>
      </c>
      <c r="C239">
        <f>IF(ISBLANK(H239),"",VLOOKUP(H239,Code!B:C,2,FALSE))</f>
        <v>23</v>
      </c>
      <c r="D239">
        <v>2021</v>
      </c>
      <c r="E239">
        <v>110635</v>
      </c>
      <c r="F239" t="s">
        <v>63</v>
      </c>
      <c r="G239" t="s">
        <v>290</v>
      </c>
      <c r="H239" t="s">
        <v>10</v>
      </c>
      <c r="I239" cm="1">
        <f t="array" ref="I239">IF(B239=0,INDEX('Category 14'!F:F,MATCH(C239&amp;E239&amp;D239,'Category 14'!B:B&amp;'Category 14'!C:C&amp;'Category 14'!A:A,0)),INDEX('Category 14'!G:G,MATCH(C239&amp;E239&amp;D239,'Category 14'!B:B&amp;'Category 14'!C:C&amp;'Category 14'!A:A,0)))</f>
        <v>0</v>
      </c>
      <c r="J239">
        <f>I239/VLOOKUP($D239,CPI!$P$16:$R$22,3,FALSE)</f>
        <v>0</v>
      </c>
      <c r="K239" cm="1">
        <f t="array" ref="K239">IF(B239=0,INDEX('Category 15'!F:F,MATCH(C239&amp;E239&amp;D239,'Category 15'!B:B&amp;'Category 15'!C:C&amp;'Category 15'!A:A,0)),INDEX('Category 15'!G:G,MATCH(C239&amp;E239&amp;D239,'Category 15'!B:B&amp;'Category 31'!C:C&amp;'Category 15'!A:A,0)))</f>
        <v>0</v>
      </c>
      <c r="L239">
        <f>K239/VLOOKUP($D239,CPI!$P$16:$R$22,3,FALSE)</f>
        <v>0</v>
      </c>
      <c r="M239" s="16" cm="1">
        <f t="array" ref="M239">IF(B239=0,INDEX('Category 31'!F:F,MATCH(C239&amp;E239&amp;D239,'Category 31'!B:B&amp;'Category 31'!C:C&amp;'Category 31'!A:A,0)),INDEX('Category 31'!G:G,MATCH(C239&amp;E239&amp;D239,'Category 31'!B:B&amp;'Category 31'!C:C&amp;'Category 31'!A:A,0)))</f>
        <v>160</v>
      </c>
      <c r="N239" s="16">
        <f>M239/VLOOKUP($D239,CPI!$P$16:$R$22,3,FALSE)</f>
        <v>182.21390421070839</v>
      </c>
      <c r="O239">
        <f>VLOOKUP(E239,WVolleyball!C:S,10,FALSE)</f>
        <v>0</v>
      </c>
    </row>
    <row r="240" spans="1:15" ht="16" thickBot="1" x14ac:dyDescent="0.25">
      <c r="A240" s="15">
        <v>2</v>
      </c>
      <c r="B240">
        <f t="shared" si="3"/>
        <v>1</v>
      </c>
      <c r="C240">
        <f>IF(ISBLANK(H240),"",VLOOKUP(H240,Code!B:C,2,FALSE))</f>
        <v>24</v>
      </c>
      <c r="D240">
        <v>2021</v>
      </c>
      <c r="E240">
        <v>110635</v>
      </c>
      <c r="F240" t="s">
        <v>63</v>
      </c>
      <c r="G240" t="s">
        <v>290</v>
      </c>
      <c r="H240" t="s">
        <v>34</v>
      </c>
      <c r="I240" cm="1">
        <f t="array" ref="I240">IF(B240=0,INDEX('Category 14'!F:F,MATCH(C240&amp;E240&amp;D240,'Category 14'!B:B&amp;'Category 14'!C:C&amp;'Category 14'!A:A,0)),INDEX('Category 14'!G:G,MATCH(C240&amp;E240&amp;D240,'Category 14'!B:B&amp;'Category 14'!C:C&amp;'Category 14'!A:A,0)))</f>
        <v>0</v>
      </c>
      <c r="J240">
        <f>I240/VLOOKUP($D240,CPI!$P$16:$R$22,3,FALSE)</f>
        <v>0</v>
      </c>
      <c r="K240" cm="1">
        <f t="array" ref="K240">IF(B240=0,INDEX('Category 15'!F:F,MATCH(C240&amp;E240&amp;D240,'Category 15'!B:B&amp;'Category 15'!C:C&amp;'Category 15'!A:A,0)),INDEX('Category 15'!G:G,MATCH(C240&amp;E240&amp;D240,'Category 15'!B:B&amp;'Category 31'!C:C&amp;'Category 15'!A:A,0)))</f>
        <v>0</v>
      </c>
      <c r="L240">
        <f>K240/VLOOKUP($D240,CPI!$P$16:$R$22,3,FALSE)</f>
        <v>0</v>
      </c>
      <c r="M240" s="16" cm="1">
        <f t="array" ref="M240">IF(B240=0,INDEX('Category 31'!F:F,MATCH(C240&amp;E240&amp;D240,'Category 31'!B:B&amp;'Category 31'!C:C&amp;'Category 31'!A:A,0)),INDEX('Category 31'!G:G,MATCH(C240&amp;E240&amp;D240,'Category 31'!B:B&amp;'Category 31'!C:C&amp;'Category 31'!A:A,0)))</f>
        <v>0</v>
      </c>
      <c r="N240" s="16">
        <f>M240/VLOOKUP($D240,CPI!$P$16:$R$22,3,FALSE)</f>
        <v>0</v>
      </c>
      <c r="O240">
        <v>0</v>
      </c>
    </row>
    <row r="241" spans="1:15" ht="16" thickBot="1" x14ac:dyDescent="0.25">
      <c r="A241" s="15">
        <v>2</v>
      </c>
      <c r="B241">
        <f t="shared" si="3"/>
        <v>0</v>
      </c>
      <c r="C241">
        <f>IF(ISBLANK(H241),"",VLOOKUP(H241,Code!B:C,2,FALSE))</f>
        <v>1</v>
      </c>
      <c r="D241">
        <v>2022</v>
      </c>
      <c r="E241">
        <v>110635</v>
      </c>
      <c r="F241" t="s">
        <v>63</v>
      </c>
      <c r="G241" t="s">
        <v>289</v>
      </c>
      <c r="H241" t="s">
        <v>0</v>
      </c>
      <c r="I241" cm="1">
        <f t="array" ref="I241">IF(B241=0,INDEX('Category 14'!F:F,MATCH(C241&amp;E241&amp;D241,'Category 14'!B:B&amp;'Category 14'!C:C&amp;'Category 14'!A:A,0)),INDEX('Category 14'!G:G,MATCH(C241&amp;E241&amp;D241,'Category 14'!B:B&amp;'Category 14'!C:C&amp;'Category 14'!A:A,0)))</f>
        <v>1008</v>
      </c>
      <c r="J241">
        <f>I241/VLOOKUP($D241,CPI!$P$16:$R$22,3,FALSE)</f>
        <v>1071.1212977572914</v>
      </c>
      <c r="K241" cm="1">
        <f t="array" ref="K241">IF(B241=0,INDEX('Category 15'!F:F,MATCH(C241&amp;E241&amp;D241,'Category 15'!B:B&amp;'Category 15'!C:C&amp;'Category 15'!A:A,0)),INDEX('Category 15'!G:G,MATCH(C241&amp;E241&amp;D241,'Category 15'!B:B&amp;'Category 31'!C:C&amp;'Category 15'!A:A,0)))</f>
        <v>0</v>
      </c>
      <c r="L241">
        <f>K241/VLOOKUP($D241,CPI!$P$16:$R$22,3,FALSE)</f>
        <v>0</v>
      </c>
      <c r="M241" s="16" cm="1">
        <f t="array" ref="M241">IF(B241=0,INDEX('Category 31'!F:F,MATCH(C241&amp;E241&amp;D241,'Category 31'!B:B&amp;'Category 31'!C:C&amp;'Category 31'!A:A,0)),INDEX('Category 31'!G:G,MATCH(C241&amp;E241&amp;D241,'Category 31'!B:B&amp;'Category 31'!C:C&amp;'Category 31'!A:A,0)))</f>
        <v>34364</v>
      </c>
      <c r="N241" s="16">
        <f>M241/VLOOKUP($D241,CPI!$P$16:$R$22,3,FALSE)</f>
        <v>36515.885194574956</v>
      </c>
      <c r="O241">
        <f>VLOOKUP(E121,MBaseball!C:R,11,FALSE)</f>
        <v>20667</v>
      </c>
    </row>
    <row r="242" spans="1:15" ht="16" thickBot="1" x14ac:dyDescent="0.25">
      <c r="A242" s="15">
        <v>2</v>
      </c>
      <c r="B242">
        <f t="shared" si="3"/>
        <v>0</v>
      </c>
      <c r="C242">
        <f>IF(ISBLANK(H242),"",VLOOKUP(H242,Code!B:C,2,FALSE))</f>
        <v>2</v>
      </c>
      <c r="D242">
        <v>2022</v>
      </c>
      <c r="E242">
        <v>110635</v>
      </c>
      <c r="F242" t="s">
        <v>63</v>
      </c>
      <c r="G242" t="s">
        <v>289</v>
      </c>
      <c r="H242" t="s">
        <v>1</v>
      </c>
      <c r="I242" cm="1">
        <f t="array" ref="I242">IF(B242=0,INDEX('Category 14'!F:F,MATCH(C242&amp;E242&amp;D242,'Category 14'!B:B&amp;'Category 14'!C:C&amp;'Category 14'!A:A,0)),INDEX('Category 14'!G:G,MATCH(C242&amp;E242&amp;D242,'Category 14'!B:B&amp;'Category 14'!C:C&amp;'Category 14'!A:A,0)))</f>
        <v>10</v>
      </c>
      <c r="J242">
        <f>I242/VLOOKUP($D242,CPI!$P$16:$R$22,3,FALSE)</f>
        <v>10.626203350766778</v>
      </c>
      <c r="K242" cm="1">
        <f t="array" ref="K242">IF(B242=0,INDEX('Category 15'!F:F,MATCH(C242&amp;E242&amp;D242,'Category 15'!B:B&amp;'Category 15'!C:C&amp;'Category 15'!A:A,0)),INDEX('Category 15'!G:G,MATCH(C242&amp;E242&amp;D242,'Category 15'!B:B&amp;'Category 31'!C:C&amp;'Category 15'!A:A,0)))</f>
        <v>0</v>
      </c>
      <c r="L242">
        <f>K242/VLOOKUP($D242,CPI!$P$16:$R$22,3,FALSE)</f>
        <v>0</v>
      </c>
      <c r="M242" s="16" cm="1">
        <f t="array" ref="M242">IF(B242=0,INDEX('Category 31'!F:F,MATCH(C242&amp;E242&amp;D242,'Category 31'!B:B&amp;'Category 31'!C:C&amp;'Category 31'!A:A,0)),INDEX('Category 31'!G:G,MATCH(C242&amp;E242&amp;D242,'Category 31'!B:B&amp;'Category 31'!C:C&amp;'Category 31'!A:A,0)))</f>
        <v>23042</v>
      </c>
      <c r="N242" s="16">
        <f>M242/VLOOKUP($D242,CPI!$P$16:$R$22,3,FALSE)</f>
        <v>24484.897760836811</v>
      </c>
      <c r="O242">
        <f>VLOOKUP(E242,MBasketball!C:P,11,FALSE)</f>
        <v>85430</v>
      </c>
    </row>
    <row r="243" spans="1:15" ht="16" thickBot="1" x14ac:dyDescent="0.25">
      <c r="A243" s="15">
        <v>2</v>
      </c>
      <c r="B243">
        <f t="shared" si="3"/>
        <v>0</v>
      </c>
      <c r="C243">
        <f>IF(ISBLANK(H243),"",VLOOKUP(H243,Code!B:C,2,FALSE))</f>
        <v>8</v>
      </c>
      <c r="D243">
        <v>2022</v>
      </c>
      <c r="E243">
        <v>110635</v>
      </c>
      <c r="F243" t="s">
        <v>63</v>
      </c>
      <c r="G243" t="s">
        <v>289</v>
      </c>
      <c r="H243" t="s">
        <v>2</v>
      </c>
      <c r="I243" cm="1">
        <f t="array" ref="I243">IF(B243=0,INDEX('Category 14'!F:F,MATCH(C243&amp;E243&amp;D243,'Category 14'!B:B&amp;'Category 14'!C:C&amp;'Category 14'!A:A,0)),INDEX('Category 14'!G:G,MATCH(C243&amp;E243&amp;D243,'Category 14'!B:B&amp;'Category 14'!C:C&amp;'Category 14'!A:A,0)))</f>
        <v>456868</v>
      </c>
      <c r="J243">
        <f>I243/VLOOKUP($D243,CPI!$P$16:$R$22,3,FALSE)</f>
        <v>485477.22724581166</v>
      </c>
      <c r="K243" cm="1">
        <f t="array" ref="K243">IF(B243=0,INDEX('Category 15'!F:F,MATCH(C243&amp;E243&amp;D243,'Category 15'!B:B&amp;'Category 15'!C:C&amp;'Category 15'!A:A,0)),INDEX('Category 15'!G:G,MATCH(C243&amp;E243&amp;D243,'Category 15'!B:B&amp;'Category 31'!C:C&amp;'Category 15'!A:A,0)))</f>
        <v>0</v>
      </c>
      <c r="L243">
        <f>K243/VLOOKUP($D243,CPI!$P$16:$R$22,3,FALSE)</f>
        <v>0</v>
      </c>
      <c r="M243" s="16" cm="1">
        <f t="array" ref="M243">IF(B243=0,INDEX('Category 31'!F:F,MATCH(C243&amp;E243&amp;D243,'Category 31'!B:B&amp;'Category 31'!C:C&amp;'Category 31'!A:A,0)),INDEX('Category 31'!G:G,MATCH(C243&amp;E243&amp;D243,'Category 31'!B:B&amp;'Category 31'!C:C&amp;'Category 31'!A:A,0)))</f>
        <v>822391</v>
      </c>
      <c r="N243" s="16">
        <f>M243/VLOOKUP($D243,CPI!$P$16:$R$22,3,FALSE)</f>
        <v>873889.39998404414</v>
      </c>
      <c r="O243">
        <f>VLOOKUP(E243,MFootball!C:S,11,FALSE)</f>
        <v>224297</v>
      </c>
    </row>
    <row r="244" spans="1:15" ht="16" thickBot="1" x14ac:dyDescent="0.25">
      <c r="A244" s="15">
        <v>2</v>
      </c>
      <c r="B244">
        <f t="shared" si="3"/>
        <v>0</v>
      </c>
      <c r="C244">
        <f>IF(ISBLANK(H244),"",VLOOKUP(H244,Code!B:C,2,FALSE))</f>
        <v>9</v>
      </c>
      <c r="D244">
        <v>2022</v>
      </c>
      <c r="E244">
        <v>110635</v>
      </c>
      <c r="F244" t="s">
        <v>63</v>
      </c>
      <c r="G244" t="s">
        <v>289</v>
      </c>
      <c r="H244" t="s">
        <v>3</v>
      </c>
      <c r="I244" cm="1">
        <f t="array" ref="I244">IF(B244=0,INDEX('Category 14'!F:F,MATCH(C244&amp;E244&amp;D244,'Category 14'!B:B&amp;'Category 14'!C:C&amp;'Category 14'!A:A,0)),INDEX('Category 14'!G:G,MATCH(C244&amp;E244&amp;D244,'Category 14'!B:B&amp;'Category 14'!C:C&amp;'Category 14'!A:A,0)))</f>
        <v>0</v>
      </c>
      <c r="J244">
        <f>I244/VLOOKUP($D244,CPI!$P$16:$R$22,3,FALSE)</f>
        <v>0</v>
      </c>
      <c r="K244" cm="1">
        <f t="array" ref="K244">IF(B244=0,INDEX('Category 15'!F:F,MATCH(C244&amp;E244&amp;D244,'Category 15'!B:B&amp;'Category 15'!C:C&amp;'Category 15'!A:A,0)),INDEX('Category 15'!G:G,MATCH(C244&amp;E244&amp;D244,'Category 15'!B:B&amp;'Category 31'!C:C&amp;'Category 15'!A:A,0)))</f>
        <v>0</v>
      </c>
      <c r="L244">
        <f>K244/VLOOKUP($D244,CPI!$P$16:$R$22,3,FALSE)</f>
        <v>0</v>
      </c>
      <c r="M244" s="16" cm="1">
        <f t="array" ref="M244">IF(B244=0,INDEX('Category 31'!F:F,MATCH(C244&amp;E244&amp;D244,'Category 31'!B:B&amp;'Category 31'!C:C&amp;'Category 31'!A:A,0)),INDEX('Category 31'!G:G,MATCH(C244&amp;E244&amp;D244,'Category 31'!B:B&amp;'Category 31'!C:C&amp;'Category 31'!A:A,0)))</f>
        <v>65780</v>
      </c>
      <c r="N244" s="16">
        <f>M244/VLOOKUP($D244,CPI!$P$16:$R$22,3,FALSE)</f>
        <v>69899.165641343861</v>
      </c>
      <c r="O244">
        <v>0</v>
      </c>
    </row>
    <row r="245" spans="1:15" ht="16" thickBot="1" x14ac:dyDescent="0.25">
      <c r="A245" s="15">
        <v>2</v>
      </c>
      <c r="B245">
        <f t="shared" si="3"/>
        <v>0</v>
      </c>
      <c r="C245">
        <f>IF(ISBLANK(H245),"",VLOOKUP(H245,Code!B:C,2,FALSE))</f>
        <v>10</v>
      </c>
      <c r="D245">
        <v>2022</v>
      </c>
      <c r="E245">
        <v>110635</v>
      </c>
      <c r="F245" t="s">
        <v>63</v>
      </c>
      <c r="G245" t="s">
        <v>289</v>
      </c>
      <c r="H245" t="s">
        <v>4</v>
      </c>
      <c r="I245" cm="1">
        <f t="array" ref="I245">IF(B245=0,INDEX('Category 14'!F:F,MATCH(C245&amp;E245&amp;D245,'Category 14'!B:B&amp;'Category 14'!C:C&amp;'Category 14'!A:A,0)),INDEX('Category 14'!G:G,MATCH(C245&amp;E245&amp;D245,'Category 14'!B:B&amp;'Category 14'!C:C&amp;'Category 14'!A:A,0)))</f>
        <v>0</v>
      </c>
      <c r="J245">
        <f>I245/VLOOKUP($D245,CPI!$P$16:$R$22,3,FALSE)</f>
        <v>0</v>
      </c>
      <c r="K245" cm="1">
        <f t="array" ref="K245">IF(B245=0,INDEX('Category 15'!F:F,MATCH(C245&amp;E245&amp;D245,'Category 15'!B:B&amp;'Category 15'!C:C&amp;'Category 15'!A:A,0)),INDEX('Category 15'!G:G,MATCH(C245&amp;E245&amp;D245,'Category 15'!B:B&amp;'Category 31'!C:C&amp;'Category 15'!A:A,0)))</f>
        <v>0</v>
      </c>
      <c r="L245">
        <f>K245/VLOOKUP($D245,CPI!$P$16:$R$22,3,FALSE)</f>
        <v>0</v>
      </c>
      <c r="M245" s="16" cm="1">
        <f t="array" ref="M245">IF(B245=0,INDEX('Category 31'!F:F,MATCH(C245&amp;E245&amp;D245,'Category 31'!B:B&amp;'Category 31'!C:C&amp;'Category 31'!A:A,0)),INDEX('Category 31'!G:G,MATCH(C245&amp;E245&amp;D245,'Category 31'!B:B&amp;'Category 31'!C:C&amp;'Category 31'!A:A,0)))</f>
        <v>459</v>
      </c>
      <c r="N245" s="16">
        <f>M245/VLOOKUP($D245,CPI!$P$16:$R$22,3,FALSE)</f>
        <v>487.74273380019514</v>
      </c>
      <c r="O245">
        <v>0</v>
      </c>
    </row>
    <row r="246" spans="1:15" ht="16" thickBot="1" x14ac:dyDescent="0.25">
      <c r="A246" s="15">
        <v>2</v>
      </c>
      <c r="B246">
        <f t="shared" si="3"/>
        <v>0</v>
      </c>
      <c r="C246">
        <f>IF(ISBLANK(H246),"",VLOOKUP(H246,Code!B:C,2,FALSE))</f>
        <v>17</v>
      </c>
      <c r="D246">
        <v>2022</v>
      </c>
      <c r="E246">
        <v>110635</v>
      </c>
      <c r="F246" t="s">
        <v>63</v>
      </c>
      <c r="G246" t="s">
        <v>289</v>
      </c>
      <c r="H246" t="s">
        <v>5</v>
      </c>
      <c r="I246" cm="1">
        <f t="array" ref="I246">IF(B246=0,INDEX('Category 14'!F:F,MATCH(C246&amp;E246&amp;D246,'Category 14'!B:B&amp;'Category 14'!C:C&amp;'Category 14'!A:A,0)),INDEX('Category 14'!G:G,MATCH(C246&amp;E246&amp;D246,'Category 14'!B:B&amp;'Category 14'!C:C&amp;'Category 14'!A:A,0)))</f>
        <v>0</v>
      </c>
      <c r="J246">
        <f>I246/VLOOKUP($D246,CPI!$P$16:$R$22,3,FALSE)</f>
        <v>0</v>
      </c>
      <c r="K246" cm="1">
        <f t="array" ref="K246">IF(B246=0,INDEX('Category 15'!F:F,MATCH(C246&amp;E246&amp;D246,'Category 15'!B:B&amp;'Category 15'!C:C&amp;'Category 15'!A:A,0)),INDEX('Category 15'!G:G,MATCH(C246&amp;E246&amp;D246,'Category 15'!B:B&amp;'Category 31'!C:C&amp;'Category 15'!A:A,0)))</f>
        <v>0</v>
      </c>
      <c r="L246">
        <f>K246/VLOOKUP($D246,CPI!$P$16:$R$22,3,FALSE)</f>
        <v>0</v>
      </c>
      <c r="M246" s="16" cm="1">
        <f t="array" ref="M246">IF(B246=0,INDEX('Category 31'!F:F,MATCH(C246&amp;E246&amp;D246,'Category 31'!B:B&amp;'Category 31'!C:C&amp;'Category 31'!A:A,0)),INDEX('Category 31'!G:G,MATCH(C246&amp;E246&amp;D246,'Category 31'!B:B&amp;'Category 31'!C:C&amp;'Category 31'!A:A,0)))</f>
        <v>0</v>
      </c>
      <c r="N246" s="16">
        <f>M246/VLOOKUP($D246,CPI!$P$16:$R$22,3,FALSE)</f>
        <v>0</v>
      </c>
      <c r="O246">
        <f>VLOOKUP(E243,MSoccer!C:S,11,FALSE)</f>
        <v>6307</v>
      </c>
    </row>
    <row r="247" spans="1:15" ht="16" thickBot="1" x14ac:dyDescent="0.25">
      <c r="A247" s="15">
        <v>2</v>
      </c>
      <c r="B247">
        <f t="shared" si="3"/>
        <v>0</v>
      </c>
      <c r="C247">
        <f>IF(ISBLANK(H247),"",VLOOKUP(H247,Code!B:C,2,FALSE))</f>
        <v>19</v>
      </c>
      <c r="D247">
        <v>2022</v>
      </c>
      <c r="E247">
        <v>110635</v>
      </c>
      <c r="F247" t="s">
        <v>63</v>
      </c>
      <c r="G247" t="s">
        <v>289</v>
      </c>
      <c r="H247" t="s">
        <v>7</v>
      </c>
      <c r="I247" cm="1">
        <f t="array" ref="I247">IF(B247=0,INDEX('Category 14'!F:F,MATCH(C247&amp;E247&amp;D247,'Category 14'!B:B&amp;'Category 14'!C:C&amp;'Category 14'!A:A,0)),INDEX('Category 14'!G:G,MATCH(C247&amp;E247&amp;D247,'Category 14'!B:B&amp;'Category 14'!C:C&amp;'Category 14'!A:A,0)))</f>
        <v>0</v>
      </c>
      <c r="J247">
        <f>I247/VLOOKUP($D247,CPI!$P$16:$R$22,3,FALSE)</f>
        <v>0</v>
      </c>
      <c r="K247" cm="1">
        <f t="array" ref="K247">IF(B247=0,INDEX('Category 15'!F:F,MATCH(C247&amp;E247&amp;D247,'Category 15'!B:B&amp;'Category 15'!C:C&amp;'Category 15'!A:A,0)),INDEX('Category 15'!G:G,MATCH(C247&amp;E247&amp;D247,'Category 15'!B:B&amp;'Category 31'!C:C&amp;'Category 15'!A:A,0)))</f>
        <v>20000</v>
      </c>
      <c r="L247">
        <f>K247/VLOOKUP($D247,CPI!$P$16:$R$22,3,FALSE)</f>
        <v>21252.406701533557</v>
      </c>
      <c r="M247" s="16" cm="1">
        <f t="array" ref="M247">IF(B247=0,INDEX('Category 31'!F:F,MATCH(C247&amp;E247&amp;D247,'Category 31'!B:B&amp;'Category 31'!C:C&amp;'Category 31'!A:A,0)),INDEX('Category 31'!G:G,MATCH(C247&amp;E247&amp;D247,'Category 31'!B:B&amp;'Category 31'!C:C&amp;'Category 31'!A:A,0)))</f>
        <v>14741</v>
      </c>
      <c r="N247" s="16">
        <f>M247/VLOOKUP($D247,CPI!$P$16:$R$22,3,FALSE)</f>
        <v>15664.086359365308</v>
      </c>
      <c r="O247">
        <v>0</v>
      </c>
    </row>
    <row r="248" spans="1:15" ht="16" thickBot="1" x14ac:dyDescent="0.25">
      <c r="A248" s="15">
        <v>2</v>
      </c>
      <c r="B248">
        <f t="shared" si="3"/>
        <v>0</v>
      </c>
      <c r="C248">
        <f>IF(ISBLANK(H248),"",VLOOKUP(H248,Code!B:C,2,FALSE))</f>
        <v>20</v>
      </c>
      <c r="D248">
        <v>2022</v>
      </c>
      <c r="E248">
        <v>110635</v>
      </c>
      <c r="F248" t="s">
        <v>63</v>
      </c>
      <c r="G248" t="s">
        <v>289</v>
      </c>
      <c r="H248" t="s">
        <v>8</v>
      </c>
      <c r="I248" cm="1">
        <f t="array" ref="I248">IF(B248=0,INDEX('Category 14'!F:F,MATCH(C248&amp;E248&amp;D248,'Category 14'!B:B&amp;'Category 14'!C:C&amp;'Category 14'!A:A,0)),INDEX('Category 14'!G:G,MATCH(C248&amp;E248&amp;D248,'Category 14'!B:B&amp;'Category 14'!C:C&amp;'Category 14'!A:A,0)))</f>
        <v>0</v>
      </c>
      <c r="J248">
        <f>I248/VLOOKUP($D248,CPI!$P$16:$R$22,3,FALSE)</f>
        <v>0</v>
      </c>
      <c r="K248" cm="1">
        <f t="array" ref="K248">IF(B248=0,INDEX('Category 15'!F:F,MATCH(C248&amp;E248&amp;D248,'Category 15'!B:B&amp;'Category 15'!C:C&amp;'Category 15'!A:A,0)),INDEX('Category 15'!G:G,MATCH(C248&amp;E248&amp;D248,'Category 15'!B:B&amp;'Category 31'!C:C&amp;'Category 15'!A:A,0)))</f>
        <v>0</v>
      </c>
      <c r="L248">
        <f>K248/VLOOKUP($D248,CPI!$P$16:$R$22,3,FALSE)</f>
        <v>0</v>
      </c>
      <c r="M248" s="16" cm="1">
        <f t="array" ref="M248">IF(B248=0,INDEX('Category 31'!F:F,MATCH(C248&amp;E248&amp;D248,'Category 31'!B:B&amp;'Category 31'!C:C&amp;'Category 31'!A:A,0)),INDEX('Category 31'!G:G,MATCH(C248&amp;E248&amp;D248,'Category 31'!B:B&amp;'Category 31'!C:C&amp;'Category 31'!A:A,0)))</f>
        <v>0</v>
      </c>
      <c r="N248" s="16">
        <f>M248/VLOOKUP($D248,CPI!$P$16:$R$22,3,FALSE)</f>
        <v>0</v>
      </c>
      <c r="O248">
        <v>0</v>
      </c>
    </row>
    <row r="249" spans="1:15" ht="16" thickBot="1" x14ac:dyDescent="0.25">
      <c r="A249" s="15">
        <v>2</v>
      </c>
      <c r="B249">
        <f t="shared" si="3"/>
        <v>0</v>
      </c>
      <c r="C249">
        <f>IF(ISBLANK(H249),"",VLOOKUP(H249,Code!B:C,2,FALSE))</f>
        <v>21</v>
      </c>
      <c r="D249">
        <v>2022</v>
      </c>
      <c r="E249">
        <v>110635</v>
      </c>
      <c r="F249" t="s">
        <v>63</v>
      </c>
      <c r="G249" t="s">
        <v>289</v>
      </c>
      <c r="H249" t="s">
        <v>36</v>
      </c>
      <c r="I249" cm="1">
        <f t="array" ref="I249">IF(B249=0,INDEX('Category 14'!F:F,MATCH(C249&amp;E249&amp;D249,'Category 14'!B:B&amp;'Category 14'!C:C&amp;'Category 14'!A:A,0)),INDEX('Category 14'!G:G,MATCH(C249&amp;E249&amp;D249,'Category 14'!B:B&amp;'Category 14'!C:C&amp;'Category 14'!A:A,0)))</f>
        <v>0</v>
      </c>
      <c r="J249">
        <f>I249/VLOOKUP($D249,CPI!$P$16:$R$22,3,FALSE)</f>
        <v>0</v>
      </c>
      <c r="K249" cm="1">
        <f t="array" ref="K249">IF(B249=0,INDEX('Category 15'!F:F,MATCH(C249&amp;E249&amp;D249,'Category 15'!B:B&amp;'Category 15'!C:C&amp;'Category 15'!A:A,0)),INDEX('Category 15'!G:G,MATCH(C249&amp;E249&amp;D249,'Category 15'!B:B&amp;'Category 31'!C:C&amp;'Category 15'!A:A,0)))</f>
        <v>0</v>
      </c>
      <c r="L249">
        <f>K249/VLOOKUP($D249,CPI!$P$16:$R$22,3,FALSE)</f>
        <v>0</v>
      </c>
      <c r="M249" s="16" cm="1">
        <f t="array" ref="M249">IF(B249=0,INDEX('Category 31'!F:F,MATCH(C249&amp;E249&amp;D249,'Category 31'!B:B&amp;'Category 31'!C:C&amp;'Category 31'!A:A,0)),INDEX('Category 31'!G:G,MATCH(C249&amp;E249&amp;D249,'Category 31'!B:B&amp;'Category 31'!C:C&amp;'Category 31'!A:A,0)))</f>
        <v>1295</v>
      </c>
      <c r="N249" s="16">
        <f>M249/VLOOKUP($D249,CPI!$P$16:$R$22,3,FALSE)</f>
        <v>1376.0933339242979</v>
      </c>
      <c r="O249">
        <v>0</v>
      </c>
    </row>
    <row r="250" spans="1:15" ht="16" thickBot="1" x14ac:dyDescent="0.25">
      <c r="A250" s="15">
        <v>2</v>
      </c>
      <c r="B250">
        <f t="shared" si="3"/>
        <v>0</v>
      </c>
      <c r="C250">
        <f>IF(ISBLANK(H250),"",VLOOKUP(H250,Code!B:C,2,FALSE))</f>
        <v>24</v>
      </c>
      <c r="D250">
        <v>2022</v>
      </c>
      <c r="E250">
        <v>110635</v>
      </c>
      <c r="F250" t="s">
        <v>63</v>
      </c>
      <c r="G250" t="s">
        <v>289</v>
      </c>
      <c r="H250" t="s">
        <v>34</v>
      </c>
      <c r="I250" cm="1">
        <f t="array" ref="I250">IF(B250=0,INDEX('Category 14'!F:F,MATCH(C250&amp;E250&amp;D250,'Category 14'!B:B&amp;'Category 14'!C:C&amp;'Category 14'!A:A,0)),INDEX('Category 14'!G:G,MATCH(C250&amp;E250&amp;D250,'Category 14'!B:B&amp;'Category 14'!C:C&amp;'Category 14'!A:A,0)))</f>
        <v>0</v>
      </c>
      <c r="J250">
        <f>I250/VLOOKUP($D250,CPI!$P$16:$R$22,3,FALSE)</f>
        <v>0</v>
      </c>
      <c r="K250" cm="1">
        <f t="array" ref="K250">IF(B250=0,INDEX('Category 15'!F:F,MATCH(C250&amp;E250&amp;D250,'Category 15'!B:B&amp;'Category 15'!C:C&amp;'Category 15'!A:A,0)),INDEX('Category 15'!G:G,MATCH(C250&amp;E250&amp;D250,'Category 15'!B:B&amp;'Category 31'!C:C&amp;'Category 15'!A:A,0)))</f>
        <v>0</v>
      </c>
      <c r="L250">
        <f>K250/VLOOKUP($D250,CPI!$P$16:$R$22,3,FALSE)</f>
        <v>0</v>
      </c>
      <c r="M250" s="16" cm="1">
        <f t="array" ref="M250">IF(B250=0,INDEX('Category 31'!F:F,MATCH(C250&amp;E250&amp;D250,'Category 31'!B:B&amp;'Category 31'!C:C&amp;'Category 31'!A:A,0)),INDEX('Category 31'!G:G,MATCH(C250&amp;E250&amp;D250,'Category 31'!B:B&amp;'Category 31'!C:C&amp;'Category 31'!A:A,0)))</f>
        <v>20776</v>
      </c>
      <c r="N250" s="16">
        <f>M250/VLOOKUP($D250,CPI!$P$16:$R$22,3,FALSE)</f>
        <v>22077.000081553058</v>
      </c>
      <c r="O250">
        <v>0</v>
      </c>
    </row>
    <row r="251" spans="1:15" ht="16" thickBot="1" x14ac:dyDescent="0.25">
      <c r="A251" s="15">
        <v>2</v>
      </c>
      <c r="B251">
        <f t="shared" si="3"/>
        <v>1</v>
      </c>
      <c r="C251">
        <f>IF(ISBLANK(H251),"",VLOOKUP(H251,Code!B:C,2,FALSE))</f>
        <v>2</v>
      </c>
      <c r="D251">
        <v>2022</v>
      </c>
      <c r="E251">
        <v>110635</v>
      </c>
      <c r="F251" t="s">
        <v>63</v>
      </c>
      <c r="G251" t="s">
        <v>290</v>
      </c>
      <c r="H251" t="s">
        <v>1</v>
      </c>
      <c r="I251" cm="1">
        <f t="array" ref="I251">IF(B251=0,INDEX('Category 14'!F:F,MATCH(C251&amp;E251&amp;D251,'Category 14'!B:B&amp;'Category 14'!C:C&amp;'Category 14'!A:A,0)),INDEX('Category 14'!G:G,MATCH(C251&amp;E251&amp;D251,'Category 14'!B:B&amp;'Category 14'!C:C&amp;'Category 14'!A:A,0)))</f>
        <v>0</v>
      </c>
      <c r="J251">
        <f>I251/VLOOKUP($D251,CPI!$P$16:$R$22,3,FALSE)</f>
        <v>0</v>
      </c>
      <c r="K251" cm="1">
        <f t="array" ref="K251">IF(B251=0,INDEX('Category 15'!F:F,MATCH(C251&amp;E251&amp;D251,'Category 15'!B:B&amp;'Category 15'!C:C&amp;'Category 15'!A:A,0)),INDEX('Category 15'!G:G,MATCH(C251&amp;E251&amp;D251,'Category 15'!B:B&amp;'Category 31'!C:C&amp;'Category 15'!A:A,0)))</f>
        <v>0</v>
      </c>
      <c r="L251">
        <f>K251/VLOOKUP($D251,CPI!$P$16:$R$22,3,FALSE)</f>
        <v>0</v>
      </c>
      <c r="M251" s="16" cm="1">
        <f t="array" ref="M251">IF(B251=0,INDEX('Category 31'!F:F,MATCH(C251&amp;E251&amp;D251,'Category 31'!B:B&amp;'Category 31'!C:C&amp;'Category 31'!A:A,0)),INDEX('Category 31'!G:G,MATCH(C251&amp;E251&amp;D251,'Category 31'!B:B&amp;'Category 31'!C:C&amp;'Category 31'!A:A,0)))</f>
        <v>12088</v>
      </c>
      <c r="N251" s="16">
        <f>M251/VLOOKUP($D251,CPI!$P$16:$R$22,3,FALSE)</f>
        <v>12844.954610406881</v>
      </c>
      <c r="O251">
        <f>VLOOKUP(E251,WBasketball!C:S,11,FALSE)</f>
        <v>19807</v>
      </c>
    </row>
    <row r="252" spans="1:15" ht="16" thickBot="1" x14ac:dyDescent="0.25">
      <c r="A252" s="15">
        <v>2</v>
      </c>
      <c r="B252">
        <f t="shared" si="3"/>
        <v>1</v>
      </c>
      <c r="C252">
        <f>IF(ISBLANK(H252),"",VLOOKUP(H252,Code!B:C,2,FALSE))</f>
        <v>3</v>
      </c>
      <c r="D252">
        <v>2022</v>
      </c>
      <c r="E252">
        <v>110635</v>
      </c>
      <c r="F252" t="s">
        <v>63</v>
      </c>
      <c r="G252" t="s">
        <v>290</v>
      </c>
      <c r="H252" t="s">
        <v>21</v>
      </c>
      <c r="I252" cm="1">
        <f t="array" ref="I252">IF(B252=0,INDEX('Category 14'!F:F,MATCH(C252&amp;E252&amp;D252,'Category 14'!B:B&amp;'Category 14'!C:C&amp;'Category 14'!A:A,0)),INDEX('Category 14'!G:G,MATCH(C252&amp;E252&amp;D252,'Category 14'!B:B&amp;'Category 14'!C:C&amp;'Category 14'!A:A,0)))</f>
        <v>0</v>
      </c>
      <c r="J252">
        <f>I252/VLOOKUP($D252,CPI!$P$16:$R$22,3,FALSE)</f>
        <v>0</v>
      </c>
      <c r="K252" cm="1">
        <f t="array" ref="K252">IF(B252=0,INDEX('Category 15'!F:F,MATCH(C252&amp;E252&amp;D252,'Category 15'!B:B&amp;'Category 15'!C:C&amp;'Category 15'!A:A,0)),INDEX('Category 15'!G:G,MATCH(C252&amp;E252&amp;D252,'Category 15'!B:B&amp;'Category 31'!C:C&amp;'Category 15'!A:A,0)))</f>
        <v>0</v>
      </c>
      <c r="L252">
        <f>K252/VLOOKUP($D252,CPI!$P$16:$R$22,3,FALSE)</f>
        <v>0</v>
      </c>
      <c r="M252" s="16" cm="1">
        <f t="array" ref="M252">IF(B252=0,INDEX('Category 31'!F:F,MATCH(C252&amp;E252&amp;D252,'Category 31'!B:B&amp;'Category 31'!C:C&amp;'Category 31'!A:A,0)),INDEX('Category 31'!G:G,MATCH(C252&amp;E252&amp;D252,'Category 31'!B:B&amp;'Category 31'!C:C&amp;'Category 31'!A:A,0)))</f>
        <v>7171</v>
      </c>
      <c r="N252" s="16">
        <f>M252/VLOOKUP($D252,CPI!$P$16:$R$22,3,FALSE)</f>
        <v>7620.0504228348564</v>
      </c>
      <c r="O252">
        <v>0</v>
      </c>
    </row>
    <row r="253" spans="1:15" ht="16" thickBot="1" x14ac:dyDescent="0.25">
      <c r="A253" s="15">
        <v>2</v>
      </c>
      <c r="B253">
        <f t="shared" si="3"/>
        <v>1</v>
      </c>
      <c r="C253">
        <f>IF(ISBLANK(H253),"",VLOOKUP(H253,Code!B:C,2,FALSE))</f>
        <v>7</v>
      </c>
      <c r="D253">
        <v>2022</v>
      </c>
      <c r="E253">
        <v>110635</v>
      </c>
      <c r="F253" t="s">
        <v>63</v>
      </c>
      <c r="G253" t="s">
        <v>290</v>
      </c>
      <c r="H253" t="s">
        <v>25</v>
      </c>
      <c r="I253" cm="1">
        <f t="array" ref="I253">IF(B253=0,INDEX('Category 14'!F:F,MATCH(C253&amp;E253&amp;D253,'Category 14'!B:B&amp;'Category 14'!C:C&amp;'Category 14'!A:A,0)),INDEX('Category 14'!G:G,MATCH(C253&amp;E253&amp;D253,'Category 14'!B:B&amp;'Category 14'!C:C&amp;'Category 14'!A:A,0)))</f>
        <v>0</v>
      </c>
      <c r="J253">
        <f>I253/VLOOKUP($D253,CPI!$P$16:$R$22,3,FALSE)</f>
        <v>0</v>
      </c>
      <c r="K253" cm="1">
        <f t="array" ref="K253">IF(B253=0,INDEX('Category 15'!F:F,MATCH(C253&amp;E253&amp;D253,'Category 15'!B:B&amp;'Category 15'!C:C&amp;'Category 15'!A:A,0)),INDEX('Category 15'!G:G,MATCH(C253&amp;E253&amp;D253,'Category 15'!B:B&amp;'Category 31'!C:C&amp;'Category 15'!A:A,0)))</f>
        <v>0</v>
      </c>
      <c r="L253">
        <f>K253/VLOOKUP($D253,CPI!$P$16:$R$22,3,FALSE)</f>
        <v>0</v>
      </c>
      <c r="M253" s="16" cm="1">
        <f t="array" ref="M253">IF(B253=0,INDEX('Category 31'!F:F,MATCH(C253&amp;E253&amp;D253,'Category 31'!B:B&amp;'Category 31'!C:C&amp;'Category 31'!A:A,0)),INDEX('Category 31'!G:G,MATCH(C253&amp;E253&amp;D253,'Category 31'!B:B&amp;'Category 31'!C:C&amp;'Category 31'!A:A,0)))</f>
        <v>0</v>
      </c>
      <c r="N253" s="16">
        <f>M253/VLOOKUP($D253,CPI!$P$16:$R$22,3,FALSE)</f>
        <v>0</v>
      </c>
      <c r="O253">
        <f>VLOOKUP(E253,WFieldHockey!C:S,11,FALSE)</f>
        <v>1037</v>
      </c>
    </row>
    <row r="254" spans="1:15" ht="16" thickBot="1" x14ac:dyDescent="0.25">
      <c r="A254" s="15">
        <v>2</v>
      </c>
      <c r="B254">
        <f t="shared" si="3"/>
        <v>1</v>
      </c>
      <c r="C254">
        <f>IF(ISBLANK(H254),"",VLOOKUP(H254,Code!B:C,2,FALSE))</f>
        <v>9</v>
      </c>
      <c r="D254">
        <v>2022</v>
      </c>
      <c r="E254">
        <v>110635</v>
      </c>
      <c r="F254" t="s">
        <v>63</v>
      </c>
      <c r="G254" t="s">
        <v>290</v>
      </c>
      <c r="H254" t="s">
        <v>3</v>
      </c>
      <c r="I254" cm="1">
        <f t="array" ref="I254">IF(B254=0,INDEX('Category 14'!F:F,MATCH(C254&amp;E254&amp;D254,'Category 14'!B:B&amp;'Category 14'!C:C&amp;'Category 14'!A:A,0)),INDEX('Category 14'!G:G,MATCH(C254&amp;E254&amp;D254,'Category 14'!B:B&amp;'Category 14'!C:C&amp;'Category 14'!A:A,0)))</f>
        <v>0</v>
      </c>
      <c r="J254">
        <f>I254/VLOOKUP($D254,CPI!$P$16:$R$22,3,FALSE)</f>
        <v>0</v>
      </c>
      <c r="K254" cm="1">
        <f t="array" ref="K254">IF(B254=0,INDEX('Category 15'!F:F,MATCH(C254&amp;E254&amp;D254,'Category 15'!B:B&amp;'Category 15'!C:C&amp;'Category 15'!A:A,0)),INDEX('Category 15'!G:G,MATCH(C254&amp;E254&amp;D254,'Category 15'!B:B&amp;'Category 31'!C:C&amp;'Category 15'!A:A,0)))</f>
        <v>0</v>
      </c>
      <c r="L254">
        <f>K254/VLOOKUP($D254,CPI!$P$16:$R$22,3,FALSE)</f>
        <v>0</v>
      </c>
      <c r="M254" s="16" cm="1">
        <f t="array" ref="M254">IF(B254=0,INDEX('Category 31'!F:F,MATCH(C254&amp;E254&amp;D254,'Category 31'!B:B&amp;'Category 31'!C:C&amp;'Category 31'!A:A,0)),INDEX('Category 31'!G:G,MATCH(C254&amp;E254&amp;D254,'Category 31'!B:B&amp;'Category 31'!C:C&amp;'Category 31'!A:A,0)))</f>
        <v>30085</v>
      </c>
      <c r="N254" s="16">
        <f>M254/VLOOKUP($D254,CPI!$P$16:$R$22,3,FALSE)</f>
        <v>31968.932780781852</v>
      </c>
      <c r="O254">
        <v>0</v>
      </c>
    </row>
    <row r="255" spans="1:15" ht="16" thickBot="1" x14ac:dyDescent="0.25">
      <c r="A255" s="15">
        <v>2</v>
      </c>
      <c r="B255">
        <f t="shared" si="3"/>
        <v>1</v>
      </c>
      <c r="C255">
        <f>IF(ISBLANK(H255),"",VLOOKUP(H255,Code!B:C,2,FALSE))</f>
        <v>10</v>
      </c>
      <c r="D255">
        <v>2022</v>
      </c>
      <c r="E255">
        <v>110635</v>
      </c>
      <c r="F255" t="s">
        <v>63</v>
      </c>
      <c r="G255" t="s">
        <v>290</v>
      </c>
      <c r="H255" t="s">
        <v>4</v>
      </c>
      <c r="I255" cm="1">
        <f t="array" ref="I255">IF(B255=0,INDEX('Category 14'!F:F,MATCH(C255&amp;E255&amp;D255,'Category 14'!B:B&amp;'Category 14'!C:C&amp;'Category 14'!A:A,0)),INDEX('Category 14'!G:G,MATCH(C255&amp;E255&amp;D255,'Category 14'!B:B&amp;'Category 14'!C:C&amp;'Category 14'!A:A,0)))</f>
        <v>0</v>
      </c>
      <c r="J255">
        <f>I255/VLOOKUP($D255,CPI!$P$16:$R$22,3,FALSE)</f>
        <v>0</v>
      </c>
      <c r="K255" cm="1">
        <f t="array" ref="K255">IF(B255=0,INDEX('Category 15'!F:F,MATCH(C255&amp;E255&amp;D255,'Category 15'!B:B&amp;'Category 15'!C:C&amp;'Category 15'!A:A,0)),INDEX('Category 15'!G:G,MATCH(C255&amp;E255&amp;D255,'Category 15'!B:B&amp;'Category 31'!C:C&amp;'Category 15'!A:A,0)))</f>
        <v>0</v>
      </c>
      <c r="L255">
        <f>K255/VLOOKUP($D255,CPI!$P$16:$R$22,3,FALSE)</f>
        <v>0</v>
      </c>
      <c r="M255" s="16" cm="1">
        <f t="array" ref="M255">IF(B255=0,INDEX('Category 31'!F:F,MATCH(C255&amp;E255&amp;D255,'Category 31'!B:B&amp;'Category 31'!C:C&amp;'Category 31'!A:A,0)),INDEX('Category 31'!G:G,MATCH(C255&amp;E255&amp;D255,'Category 31'!B:B&amp;'Category 31'!C:C&amp;'Category 31'!A:A,0)))</f>
        <v>2141</v>
      </c>
      <c r="N255" s="16">
        <f>M255/VLOOKUP($D255,CPI!$P$16:$R$22,3,FALSE)</f>
        <v>2275.0701373991674</v>
      </c>
      <c r="O255">
        <v>0</v>
      </c>
    </row>
    <row r="256" spans="1:15" ht="16" thickBot="1" x14ac:dyDescent="0.25">
      <c r="A256" s="15">
        <v>2</v>
      </c>
      <c r="B256">
        <f t="shared" si="3"/>
        <v>1</v>
      </c>
      <c r="C256">
        <f>IF(ISBLANK(H256),"",VLOOKUP(H256,Code!B:C,2,FALSE))</f>
        <v>12</v>
      </c>
      <c r="D256">
        <v>2022</v>
      </c>
      <c r="E256">
        <v>110635</v>
      </c>
      <c r="F256" t="s">
        <v>63</v>
      </c>
      <c r="G256" t="s">
        <v>290</v>
      </c>
      <c r="H256" t="s">
        <v>27</v>
      </c>
      <c r="I256" cm="1">
        <f t="array" ref="I256">IF(B256=0,INDEX('Category 14'!F:F,MATCH(C256&amp;E256&amp;D256,'Category 14'!B:B&amp;'Category 14'!C:C&amp;'Category 14'!A:A,0)),INDEX('Category 14'!G:G,MATCH(C256&amp;E256&amp;D256,'Category 14'!B:B&amp;'Category 14'!C:C&amp;'Category 14'!A:A,0)))</f>
        <v>0</v>
      </c>
      <c r="J256">
        <f>I256/VLOOKUP($D256,CPI!$P$16:$R$22,3,FALSE)</f>
        <v>0</v>
      </c>
      <c r="K256" cm="1">
        <f t="array" ref="K256">IF(B256=0,INDEX('Category 15'!F:F,MATCH(C256&amp;E256&amp;D256,'Category 15'!B:B&amp;'Category 15'!C:C&amp;'Category 15'!A:A,0)),INDEX('Category 15'!G:G,MATCH(C256&amp;E256&amp;D256,'Category 15'!B:B&amp;'Category 31'!C:C&amp;'Category 15'!A:A,0)))</f>
        <v>0</v>
      </c>
      <c r="L256">
        <f>K256/VLOOKUP($D256,CPI!$P$16:$R$22,3,FALSE)</f>
        <v>0</v>
      </c>
      <c r="M256" s="16" cm="1">
        <f t="array" ref="M256">IF(B256=0,INDEX('Category 31'!F:F,MATCH(C256&amp;E256&amp;D256,'Category 31'!B:B&amp;'Category 31'!C:C&amp;'Category 31'!A:A,0)),INDEX('Category 31'!G:G,MATCH(C256&amp;E256&amp;D256,'Category 31'!B:B&amp;'Category 31'!C:C&amp;'Category 31'!A:A,0)))</f>
        <v>11398</v>
      </c>
      <c r="N256" s="16">
        <f>M256/VLOOKUP($D256,CPI!$P$16:$R$22,3,FALSE)</f>
        <v>12111.746579203975</v>
      </c>
      <c r="O256">
        <f>VLOOKUP(E256,WLacrosse!C:S,11,FALSE)</f>
        <v>2314</v>
      </c>
    </row>
    <row r="257" spans="1:15" ht="16" thickBot="1" x14ac:dyDescent="0.25">
      <c r="A257" s="15">
        <v>2</v>
      </c>
      <c r="B257">
        <f t="shared" si="3"/>
        <v>1</v>
      </c>
      <c r="C257">
        <f>IF(ISBLANK(H257),"",VLOOKUP(H257,Code!B:C,2,FALSE))</f>
        <v>14</v>
      </c>
      <c r="D257">
        <v>2022</v>
      </c>
      <c r="E257">
        <v>110635</v>
      </c>
      <c r="F257" t="s">
        <v>63</v>
      </c>
      <c r="G257" t="s">
        <v>290</v>
      </c>
      <c r="H257" t="s">
        <v>29</v>
      </c>
      <c r="I257" cm="1">
        <f t="array" ref="I257">IF(B257=0,INDEX('Category 14'!F:F,MATCH(C257&amp;E257&amp;D257,'Category 14'!B:B&amp;'Category 14'!C:C&amp;'Category 14'!A:A,0)),INDEX('Category 14'!G:G,MATCH(C257&amp;E257&amp;D257,'Category 14'!B:B&amp;'Category 14'!C:C&amp;'Category 14'!A:A,0)))</f>
        <v>0</v>
      </c>
      <c r="J257">
        <f>I257/VLOOKUP($D257,CPI!$P$16:$R$22,3,FALSE)</f>
        <v>0</v>
      </c>
      <c r="K257" cm="1">
        <f t="array" ref="K257">IF(B257=0,INDEX('Category 15'!F:F,MATCH(C257&amp;E257&amp;D257,'Category 15'!B:B&amp;'Category 15'!C:C&amp;'Category 15'!A:A,0)),INDEX('Category 15'!G:G,MATCH(C257&amp;E257&amp;D257,'Category 15'!B:B&amp;'Category 31'!C:C&amp;'Category 15'!A:A,0)))</f>
        <v>0</v>
      </c>
      <c r="L257">
        <f>K257/VLOOKUP($D257,CPI!$P$16:$R$22,3,FALSE)</f>
        <v>0</v>
      </c>
      <c r="M257" s="16" cm="1">
        <f t="array" ref="M257">IF(B257=0,INDEX('Category 31'!F:F,MATCH(C257&amp;E257&amp;D257,'Category 31'!B:B&amp;'Category 31'!C:C&amp;'Category 31'!A:A,0)),INDEX('Category 31'!G:G,MATCH(C257&amp;E257&amp;D257,'Category 31'!B:B&amp;'Category 31'!C:C&amp;'Category 31'!A:A,0)))</f>
        <v>1861</v>
      </c>
      <c r="N257" s="16">
        <f>M257/VLOOKUP($D257,CPI!$P$16:$R$22,3,FALSE)</f>
        <v>1977.5364435776974</v>
      </c>
      <c r="O257">
        <v>0</v>
      </c>
    </row>
    <row r="258" spans="1:15" ht="16" thickBot="1" x14ac:dyDescent="0.25">
      <c r="A258" s="15">
        <v>2</v>
      </c>
      <c r="B258">
        <f t="shared" si="3"/>
        <v>1</v>
      </c>
      <c r="C258">
        <f>IF(ISBLANK(H258),"",VLOOKUP(H258,Code!B:C,2,FALSE))</f>
        <v>17</v>
      </c>
      <c r="D258">
        <v>2022</v>
      </c>
      <c r="E258">
        <v>110635</v>
      </c>
      <c r="F258" t="s">
        <v>63</v>
      </c>
      <c r="G258" t="s">
        <v>290</v>
      </c>
      <c r="H258" t="s">
        <v>5</v>
      </c>
      <c r="I258" cm="1">
        <f t="array" ref="I258">IF(B258=0,INDEX('Category 14'!F:F,MATCH(C258&amp;E258&amp;D258,'Category 14'!B:B&amp;'Category 14'!C:C&amp;'Category 14'!A:A,0)),INDEX('Category 14'!G:G,MATCH(C258&amp;E258&amp;D258,'Category 14'!B:B&amp;'Category 14'!C:C&amp;'Category 14'!A:A,0)))</f>
        <v>0</v>
      </c>
      <c r="J258">
        <f>I258/VLOOKUP($D258,CPI!$P$16:$R$22,3,FALSE)</f>
        <v>0</v>
      </c>
      <c r="K258" cm="1">
        <f t="array" ref="K258">IF(B258=0,INDEX('Category 15'!F:F,MATCH(C258&amp;E258&amp;D258,'Category 15'!B:B&amp;'Category 15'!C:C&amp;'Category 15'!A:A,0)),INDEX('Category 15'!G:G,MATCH(C258&amp;E258&amp;D258,'Category 15'!B:B&amp;'Category 31'!C:C&amp;'Category 15'!A:A,0)))</f>
        <v>0</v>
      </c>
      <c r="L258">
        <f>K258/VLOOKUP($D258,CPI!$P$16:$R$22,3,FALSE)</f>
        <v>0</v>
      </c>
      <c r="M258" s="16" cm="1">
        <f t="array" ref="M258">IF(B258=0,INDEX('Category 31'!F:F,MATCH(C258&amp;E258&amp;D258,'Category 31'!B:B&amp;'Category 31'!C:C&amp;'Category 31'!A:A,0)),INDEX('Category 31'!G:G,MATCH(C258&amp;E258&amp;D258,'Category 31'!B:B&amp;'Category 31'!C:C&amp;'Category 31'!A:A,0)))</f>
        <v>0</v>
      </c>
      <c r="N258" s="16">
        <f>M258/VLOOKUP($D258,CPI!$P$16:$R$22,3,FALSE)</f>
        <v>0</v>
      </c>
      <c r="O258">
        <f>VLOOKUP(E258,WSoccer!C:S,11,FALSE)</f>
        <v>3944</v>
      </c>
    </row>
    <row r="259" spans="1:15" ht="16" thickBot="1" x14ac:dyDescent="0.25">
      <c r="A259" s="15">
        <v>2</v>
      </c>
      <c r="B259">
        <f t="shared" ref="B259:B322" si="4">IF(ISBLANK(G259),"",IF(MID(G259,1,1)="M",0,1))</f>
        <v>1</v>
      </c>
      <c r="C259">
        <f>IF(ISBLANK(H259),"",VLOOKUP(H259,Code!B:C,2,FALSE))</f>
        <v>18</v>
      </c>
      <c r="D259">
        <v>2022</v>
      </c>
      <c r="E259">
        <v>110635</v>
      </c>
      <c r="F259" t="s">
        <v>63</v>
      </c>
      <c r="G259" t="s">
        <v>290</v>
      </c>
      <c r="H259" t="s">
        <v>6</v>
      </c>
      <c r="I259" cm="1">
        <f t="array" ref="I259">IF(B259=0,INDEX('Category 14'!F:F,MATCH(C259&amp;E259&amp;D259,'Category 14'!B:B&amp;'Category 14'!C:C&amp;'Category 14'!A:A,0)),INDEX('Category 14'!G:G,MATCH(C259&amp;E259&amp;D259,'Category 14'!B:B&amp;'Category 14'!C:C&amp;'Category 14'!A:A,0)))</f>
        <v>3040</v>
      </c>
      <c r="J259">
        <f>I259/VLOOKUP($D259,CPI!$P$16:$R$22,3,FALSE)</f>
        <v>3230.3658186331004</v>
      </c>
      <c r="K259" cm="1">
        <f t="array" ref="K259">IF(B259=0,INDEX('Category 15'!F:F,MATCH(C259&amp;E259&amp;D259,'Category 15'!B:B&amp;'Category 15'!C:C&amp;'Category 15'!A:A,0)),INDEX('Category 15'!G:G,MATCH(C259&amp;E259&amp;D259,'Category 15'!B:B&amp;'Category 31'!C:C&amp;'Category 15'!A:A,0)))</f>
        <v>0</v>
      </c>
      <c r="L259">
        <f>K259/VLOOKUP($D259,CPI!$P$16:$R$22,3,FALSE)</f>
        <v>0</v>
      </c>
      <c r="M259" s="16" cm="1">
        <f t="array" ref="M259">IF(B259=0,INDEX('Category 31'!F:F,MATCH(C259&amp;E259&amp;D259,'Category 31'!B:B&amp;'Category 31'!C:C&amp;'Category 31'!A:A,0)),INDEX('Category 31'!G:G,MATCH(C259&amp;E259&amp;D259,'Category 31'!B:B&amp;'Category 31'!C:C&amp;'Category 31'!A:A,0)))</f>
        <v>19284</v>
      </c>
      <c r="N259" s="16">
        <f>M259/VLOOKUP($D259,CPI!$P$16:$R$22,3,FALSE)</f>
        <v>20491.570541618654</v>
      </c>
      <c r="O259">
        <f>VLOOKUP(E259,WSoftball!C:S,11,FALSE)</f>
        <v>8614</v>
      </c>
    </row>
    <row r="260" spans="1:15" ht="16" thickBot="1" x14ac:dyDescent="0.25">
      <c r="A260" s="15">
        <v>2</v>
      </c>
      <c r="B260">
        <f t="shared" si="4"/>
        <v>1</v>
      </c>
      <c r="C260">
        <f>IF(ISBLANK(H260),"",VLOOKUP(H260,Code!B:C,2,FALSE))</f>
        <v>19</v>
      </c>
      <c r="D260">
        <v>2022</v>
      </c>
      <c r="E260">
        <v>110635</v>
      </c>
      <c r="F260" t="s">
        <v>63</v>
      </c>
      <c r="G260" t="s">
        <v>290</v>
      </c>
      <c r="H260" t="s">
        <v>7</v>
      </c>
      <c r="I260" cm="1">
        <f t="array" ref="I260">IF(B260=0,INDEX('Category 14'!F:F,MATCH(C260&amp;E260&amp;D260,'Category 14'!B:B&amp;'Category 14'!C:C&amp;'Category 14'!A:A,0)),INDEX('Category 14'!G:G,MATCH(C260&amp;E260&amp;D260,'Category 14'!B:B&amp;'Category 14'!C:C&amp;'Category 14'!A:A,0)))</f>
        <v>0</v>
      </c>
      <c r="J260">
        <f>I260/VLOOKUP($D260,CPI!$P$16:$R$22,3,FALSE)</f>
        <v>0</v>
      </c>
      <c r="K260" cm="1">
        <f t="array" ref="K260">IF(B260=0,INDEX('Category 15'!F:F,MATCH(C260&amp;E260&amp;D260,'Category 15'!B:B&amp;'Category 15'!C:C&amp;'Category 15'!A:A,0)),INDEX('Category 15'!G:G,MATCH(C260&amp;E260&amp;D260,'Category 15'!B:B&amp;'Category 31'!C:C&amp;'Category 15'!A:A,0)))</f>
        <v>20000</v>
      </c>
      <c r="L260">
        <f>K260/VLOOKUP($D260,CPI!$P$16:$R$22,3,FALSE)</f>
        <v>21252.406701533557</v>
      </c>
      <c r="M260" s="16" cm="1">
        <f t="array" ref="M260">IF(B260=0,INDEX('Category 31'!F:F,MATCH(C260&amp;E260&amp;D260,'Category 31'!B:B&amp;'Category 31'!C:C&amp;'Category 31'!A:A,0)),INDEX('Category 31'!G:G,MATCH(C260&amp;E260&amp;D260,'Category 31'!B:B&amp;'Category 31'!C:C&amp;'Category 31'!A:A,0)))</f>
        <v>12415</v>
      </c>
      <c r="N260" s="16">
        <f>M260/VLOOKUP($D260,CPI!$P$16:$R$22,3,FALSE)</f>
        <v>13192.431459976955</v>
      </c>
      <c r="O260">
        <v>0</v>
      </c>
    </row>
    <row r="261" spans="1:15" ht="16" thickBot="1" x14ac:dyDescent="0.25">
      <c r="A261" s="15">
        <v>2</v>
      </c>
      <c r="B261">
        <f t="shared" si="4"/>
        <v>1</v>
      </c>
      <c r="C261">
        <f>IF(ISBLANK(H261),"",VLOOKUP(H261,Code!B:C,2,FALSE))</f>
        <v>20</v>
      </c>
      <c r="D261">
        <v>2022</v>
      </c>
      <c r="E261">
        <v>110635</v>
      </c>
      <c r="F261" t="s">
        <v>63</v>
      </c>
      <c r="G261" t="s">
        <v>290</v>
      </c>
      <c r="H261" t="s">
        <v>8</v>
      </c>
      <c r="I261" cm="1">
        <f t="array" ref="I261">IF(B261=0,INDEX('Category 14'!F:F,MATCH(C261&amp;E261&amp;D261,'Category 14'!B:B&amp;'Category 14'!C:C&amp;'Category 14'!A:A,0)),INDEX('Category 14'!G:G,MATCH(C261&amp;E261&amp;D261,'Category 14'!B:B&amp;'Category 14'!C:C&amp;'Category 14'!A:A,0)))</f>
        <v>0</v>
      </c>
      <c r="J261">
        <f>I261/VLOOKUP($D261,CPI!$P$16:$R$22,3,FALSE)</f>
        <v>0</v>
      </c>
      <c r="K261" cm="1">
        <f t="array" ref="K261">IF(B261=0,INDEX('Category 15'!F:F,MATCH(C261&amp;E261&amp;D261,'Category 15'!B:B&amp;'Category 15'!C:C&amp;'Category 15'!A:A,0)),INDEX('Category 15'!G:G,MATCH(C261&amp;E261&amp;D261,'Category 15'!B:B&amp;'Category 31'!C:C&amp;'Category 15'!A:A,0)))</f>
        <v>0</v>
      </c>
      <c r="L261">
        <f>K261/VLOOKUP($D261,CPI!$P$16:$R$22,3,FALSE)</f>
        <v>0</v>
      </c>
      <c r="M261" s="16" cm="1">
        <f t="array" ref="M261">IF(B261=0,INDEX('Category 31'!F:F,MATCH(C261&amp;E261&amp;D261,'Category 31'!B:B&amp;'Category 31'!C:C&amp;'Category 31'!A:A,0)),INDEX('Category 31'!G:G,MATCH(C261&amp;E261&amp;D261,'Category 31'!B:B&amp;'Category 31'!C:C&amp;'Category 31'!A:A,0)))</f>
        <v>0</v>
      </c>
      <c r="N261" s="16">
        <f>M261/VLOOKUP($D261,CPI!$P$16:$R$22,3,FALSE)</f>
        <v>0</v>
      </c>
      <c r="O261">
        <v>0</v>
      </c>
    </row>
    <row r="262" spans="1:15" ht="16" thickBot="1" x14ac:dyDescent="0.25">
      <c r="A262" s="15">
        <v>2</v>
      </c>
      <c r="B262">
        <f t="shared" si="4"/>
        <v>1</v>
      </c>
      <c r="C262">
        <f>IF(ISBLANK(H262),"",VLOOKUP(H262,Code!B:C,2,FALSE))</f>
        <v>21</v>
      </c>
      <c r="D262">
        <v>2022</v>
      </c>
      <c r="E262">
        <v>110635</v>
      </c>
      <c r="F262" t="s">
        <v>63</v>
      </c>
      <c r="G262" t="s">
        <v>290</v>
      </c>
      <c r="H262" t="s">
        <v>36</v>
      </c>
      <c r="I262" cm="1">
        <f t="array" ref="I262">IF(B262=0,INDEX('Category 14'!F:F,MATCH(C262&amp;E262&amp;D262,'Category 14'!B:B&amp;'Category 14'!C:C&amp;'Category 14'!A:A,0)),INDEX('Category 14'!G:G,MATCH(C262&amp;E262&amp;D262,'Category 14'!B:B&amp;'Category 14'!C:C&amp;'Category 14'!A:A,0)))</f>
        <v>0</v>
      </c>
      <c r="J262">
        <f>I262/VLOOKUP($D262,CPI!$P$16:$R$22,3,FALSE)</f>
        <v>0</v>
      </c>
      <c r="K262" cm="1">
        <f t="array" ref="K262">IF(B262=0,INDEX('Category 15'!F:F,MATCH(C262&amp;E262&amp;D262,'Category 15'!B:B&amp;'Category 15'!C:C&amp;'Category 15'!A:A,0)),INDEX('Category 15'!G:G,MATCH(C262&amp;E262&amp;D262,'Category 15'!B:B&amp;'Category 31'!C:C&amp;'Category 15'!A:A,0)))</f>
        <v>0</v>
      </c>
      <c r="L262">
        <f>K262/VLOOKUP($D262,CPI!$P$16:$R$22,3,FALSE)</f>
        <v>0</v>
      </c>
      <c r="M262" s="16" cm="1">
        <f t="array" ref="M262">IF(B262=0,INDEX('Category 31'!F:F,MATCH(C262&amp;E262&amp;D262,'Category 31'!B:B&amp;'Category 31'!C:C&amp;'Category 31'!A:A,0)),INDEX('Category 31'!G:G,MATCH(C262&amp;E262&amp;D262,'Category 31'!B:B&amp;'Category 31'!C:C&amp;'Category 31'!A:A,0)))</f>
        <v>1243</v>
      </c>
      <c r="N262" s="16">
        <f>M262/VLOOKUP($D262,CPI!$P$16:$R$22,3,FALSE)</f>
        <v>1320.8370765003106</v>
      </c>
      <c r="O262">
        <v>0</v>
      </c>
    </row>
    <row r="263" spans="1:15" ht="16" thickBot="1" x14ac:dyDescent="0.25">
      <c r="A263" s="15">
        <v>2</v>
      </c>
      <c r="B263">
        <f t="shared" si="4"/>
        <v>1</v>
      </c>
      <c r="C263">
        <f>IF(ISBLANK(H263),"",VLOOKUP(H263,Code!B:C,2,FALSE))</f>
        <v>23</v>
      </c>
      <c r="D263">
        <v>2022</v>
      </c>
      <c r="E263">
        <v>110635</v>
      </c>
      <c r="F263" t="s">
        <v>63</v>
      </c>
      <c r="G263" t="s">
        <v>290</v>
      </c>
      <c r="H263" t="s">
        <v>10</v>
      </c>
      <c r="I263" cm="1">
        <f t="array" ref="I263">IF(B263=0,INDEX('Category 14'!F:F,MATCH(C263&amp;E263&amp;D263,'Category 14'!B:B&amp;'Category 14'!C:C&amp;'Category 14'!A:A,0)),INDEX('Category 14'!G:G,MATCH(C263&amp;E263&amp;D263,'Category 14'!B:B&amp;'Category 14'!C:C&amp;'Category 14'!A:A,0)))</f>
        <v>0</v>
      </c>
      <c r="J263">
        <f>I263/VLOOKUP($D263,CPI!$P$16:$R$22,3,FALSE)</f>
        <v>0</v>
      </c>
      <c r="K263" cm="1">
        <f t="array" ref="K263">IF(B263=0,INDEX('Category 15'!F:F,MATCH(C263&amp;E263&amp;D263,'Category 15'!B:B&amp;'Category 15'!C:C&amp;'Category 15'!A:A,0)),INDEX('Category 15'!G:G,MATCH(C263&amp;E263&amp;D263,'Category 15'!B:B&amp;'Category 31'!C:C&amp;'Category 15'!A:A,0)))</f>
        <v>0</v>
      </c>
      <c r="L263">
        <f>K263/VLOOKUP($D263,CPI!$P$16:$R$22,3,FALSE)</f>
        <v>0</v>
      </c>
      <c r="M263" s="16" cm="1">
        <f t="array" ref="M263">IF(B263=0,INDEX('Category 31'!F:F,MATCH(C263&amp;E263&amp;D263,'Category 31'!B:B&amp;'Category 31'!C:C&amp;'Category 31'!A:A,0)),INDEX('Category 31'!G:G,MATCH(C263&amp;E263&amp;D263,'Category 31'!B:B&amp;'Category 31'!C:C&amp;'Category 31'!A:A,0)))</f>
        <v>804</v>
      </c>
      <c r="N263" s="16">
        <f>M263/VLOOKUP($D263,CPI!$P$16:$R$22,3,FALSE)</f>
        <v>854.34674940164894</v>
      </c>
      <c r="O263">
        <f>VLOOKUP(E263,WVolleyball!C:S,11,FALSE)</f>
        <v>7608</v>
      </c>
    </row>
    <row r="264" spans="1:15" ht="16" thickBot="1" x14ac:dyDescent="0.25">
      <c r="A264" s="15">
        <v>2</v>
      </c>
      <c r="B264">
        <f t="shared" si="4"/>
        <v>1</v>
      </c>
      <c r="C264">
        <f>IF(ISBLANK(H264),"",VLOOKUP(H264,Code!B:C,2,FALSE))</f>
        <v>24</v>
      </c>
      <c r="D264">
        <v>2022</v>
      </c>
      <c r="E264">
        <v>110635</v>
      </c>
      <c r="F264" t="s">
        <v>63</v>
      </c>
      <c r="G264" t="s">
        <v>290</v>
      </c>
      <c r="H264" t="s">
        <v>34</v>
      </c>
      <c r="I264" cm="1">
        <f t="array" ref="I264">IF(B264=0,INDEX('Category 14'!F:F,MATCH(C264&amp;E264&amp;D264,'Category 14'!B:B&amp;'Category 14'!C:C&amp;'Category 14'!A:A,0)),INDEX('Category 14'!G:G,MATCH(C264&amp;E264&amp;D264,'Category 14'!B:B&amp;'Category 14'!C:C&amp;'Category 14'!A:A,0)))</f>
        <v>1620</v>
      </c>
      <c r="J264">
        <f>I264/VLOOKUP($D264,CPI!$P$16:$R$22,3,FALSE)</f>
        <v>1721.4449428242181</v>
      </c>
      <c r="K264" cm="1">
        <f t="array" ref="K264">IF(B264=0,INDEX('Category 15'!F:F,MATCH(C264&amp;E264&amp;D264,'Category 15'!B:B&amp;'Category 15'!C:C&amp;'Category 15'!A:A,0)),INDEX('Category 15'!G:G,MATCH(C264&amp;E264&amp;D264,'Category 15'!B:B&amp;'Category 31'!C:C&amp;'Category 15'!A:A,0)))</f>
        <v>0</v>
      </c>
      <c r="L264">
        <f>K264/VLOOKUP($D264,CPI!$P$16:$R$22,3,FALSE)</f>
        <v>0</v>
      </c>
      <c r="M264" s="16" cm="1">
        <f t="array" ref="M264">IF(B264=0,INDEX('Category 31'!F:F,MATCH(C264&amp;E264&amp;D264,'Category 31'!B:B&amp;'Category 31'!C:C&amp;'Category 31'!A:A,0)),INDEX('Category 31'!G:G,MATCH(C264&amp;E264&amp;D264,'Category 31'!B:B&amp;'Category 31'!C:C&amp;'Category 31'!A:A,0)))</f>
        <v>144</v>
      </c>
      <c r="N264" s="16">
        <f>M264/VLOOKUP($D264,CPI!$P$16:$R$22,3,FALSE)</f>
        <v>153.01732825104162</v>
      </c>
      <c r="O264">
        <v>0</v>
      </c>
    </row>
    <row r="265" spans="1:15" ht="16" thickBot="1" x14ac:dyDescent="0.25">
      <c r="A265" s="15">
        <v>2</v>
      </c>
      <c r="B265">
        <f t="shared" si="4"/>
        <v>0</v>
      </c>
      <c r="C265">
        <f>IF(ISBLANK(H265),"",VLOOKUP(H265,Code!B:C,2,FALSE))</f>
        <v>1</v>
      </c>
      <c r="D265">
        <v>2023</v>
      </c>
      <c r="E265">
        <v>110635</v>
      </c>
      <c r="F265" t="s">
        <v>63</v>
      </c>
      <c r="G265" t="s">
        <v>289</v>
      </c>
      <c r="H265" t="s">
        <v>0</v>
      </c>
      <c r="I265" cm="1">
        <f t="array" ref="I265">IF(B265=0,INDEX('Category 14'!F:F,MATCH(C265&amp;E265&amp;D265,'Category 14'!B:B&amp;'Category 14'!C:C&amp;'Category 14'!A:A,0)),INDEX('Category 14'!G:G,MATCH(C265&amp;E265&amp;D265,'Category 14'!B:B&amp;'Category 14'!C:C&amp;'Category 14'!A:A,0)))</f>
        <v>357</v>
      </c>
      <c r="J265">
        <f>I265/VLOOKUP($D265,CPI!$P$16:$R$22,3,FALSE)</f>
        <v>357</v>
      </c>
      <c r="K265" cm="1">
        <f t="array" ref="K265">IF(B265=0,INDEX('Category 15'!F:F,MATCH(C265&amp;E265&amp;D265,'Category 15'!B:B&amp;'Category 15'!C:C&amp;'Category 15'!A:A,0)),INDEX('Category 15'!G:G,MATCH(C265&amp;E265&amp;D265,'Category 15'!B:B&amp;'Category 31'!C:C&amp;'Category 15'!A:A,0)))</f>
        <v>0</v>
      </c>
      <c r="L265">
        <f>K265/VLOOKUP($D265,CPI!$P$16:$R$22,3,FALSE)</f>
        <v>0</v>
      </c>
      <c r="M265" s="16" cm="1">
        <f t="array" ref="M265">IF(B265=0,INDEX('Category 31'!F:F,MATCH(C265&amp;E265&amp;D265,'Category 31'!B:B&amp;'Category 31'!C:C&amp;'Category 31'!A:A,0)),INDEX('Category 31'!G:G,MATCH(C265&amp;E265&amp;D265,'Category 31'!B:B&amp;'Category 31'!C:C&amp;'Category 31'!A:A,0)))</f>
        <v>84522</v>
      </c>
      <c r="N265" s="16">
        <f>M265/VLOOKUP($D265,CPI!$P$16:$R$22,3,FALSE)</f>
        <v>84522</v>
      </c>
      <c r="O265">
        <f>VLOOKUP(E121,MBaseball!C:R,12,FALSE)</f>
        <v>14811</v>
      </c>
    </row>
    <row r="266" spans="1:15" ht="16" thickBot="1" x14ac:dyDescent="0.25">
      <c r="A266" s="15">
        <v>2</v>
      </c>
      <c r="B266">
        <f t="shared" si="4"/>
        <v>0</v>
      </c>
      <c r="C266">
        <f>IF(ISBLANK(H266),"",VLOOKUP(H266,Code!B:C,2,FALSE))</f>
        <v>2</v>
      </c>
      <c r="D266">
        <v>2023</v>
      </c>
      <c r="E266">
        <v>110635</v>
      </c>
      <c r="F266" t="s">
        <v>63</v>
      </c>
      <c r="G266" t="s">
        <v>289</v>
      </c>
      <c r="H266" t="s">
        <v>1</v>
      </c>
      <c r="I266" cm="1">
        <f t="array" ref="I266">IF(B266=0,INDEX('Category 14'!F:F,MATCH(C266&amp;E266&amp;D266,'Category 14'!B:B&amp;'Category 14'!C:C&amp;'Category 14'!A:A,0)),INDEX('Category 14'!G:G,MATCH(C266&amp;E266&amp;D266,'Category 14'!B:B&amp;'Category 14'!C:C&amp;'Category 14'!A:A,0)))</f>
        <v>2110</v>
      </c>
      <c r="J266">
        <f>I266/VLOOKUP($D266,CPI!$P$16:$R$22,3,FALSE)</f>
        <v>2110</v>
      </c>
      <c r="K266" cm="1">
        <f t="array" ref="K266">IF(B266=0,INDEX('Category 15'!F:F,MATCH(C266&amp;E266&amp;D266,'Category 15'!B:B&amp;'Category 15'!C:C&amp;'Category 15'!A:A,0)),INDEX('Category 15'!G:G,MATCH(C266&amp;E266&amp;D266,'Category 15'!B:B&amp;'Category 31'!C:C&amp;'Category 15'!A:A,0)))</f>
        <v>0</v>
      </c>
      <c r="L266">
        <f>K266/VLOOKUP($D266,CPI!$P$16:$R$22,3,FALSE)</f>
        <v>0</v>
      </c>
      <c r="M266" s="16" cm="1">
        <f t="array" ref="M266">IF(B266=0,INDEX('Category 31'!F:F,MATCH(C266&amp;E266&amp;D266,'Category 31'!B:B&amp;'Category 31'!C:C&amp;'Category 31'!A:A,0)),INDEX('Category 31'!G:G,MATCH(C266&amp;E266&amp;D266,'Category 31'!B:B&amp;'Category 31'!C:C&amp;'Category 31'!A:A,0)))</f>
        <v>79708</v>
      </c>
      <c r="N266" s="16">
        <f>M266/VLOOKUP($D266,CPI!$P$16:$R$22,3,FALSE)</f>
        <v>79708</v>
      </c>
      <c r="O266">
        <f>VLOOKUP(E266,MBasketball!C:P,12,FALSE)</f>
        <v>36639</v>
      </c>
    </row>
    <row r="267" spans="1:15" ht="16" thickBot="1" x14ac:dyDescent="0.25">
      <c r="A267" s="15">
        <v>2</v>
      </c>
      <c r="B267">
        <f t="shared" si="4"/>
        <v>0</v>
      </c>
      <c r="C267">
        <f>IF(ISBLANK(H267),"",VLOOKUP(H267,Code!B:C,2,FALSE))</f>
        <v>8</v>
      </c>
      <c r="D267">
        <v>2023</v>
      </c>
      <c r="E267">
        <v>110635</v>
      </c>
      <c r="F267" t="s">
        <v>63</v>
      </c>
      <c r="G267" t="s">
        <v>289</v>
      </c>
      <c r="H267" t="s">
        <v>2</v>
      </c>
      <c r="I267" cm="1">
        <f t="array" ref="I267">IF(B267=0,INDEX('Category 14'!F:F,MATCH(C267&amp;E267&amp;D267,'Category 14'!B:B&amp;'Category 14'!C:C&amp;'Category 14'!A:A,0)),INDEX('Category 14'!G:G,MATCH(C267&amp;E267&amp;D267,'Category 14'!B:B&amp;'Category 14'!C:C&amp;'Category 14'!A:A,0)))</f>
        <v>757083</v>
      </c>
      <c r="J267">
        <f>I267/VLOOKUP($D267,CPI!$P$16:$R$22,3,FALSE)</f>
        <v>757083</v>
      </c>
      <c r="K267" cm="1">
        <f t="array" ref="K267">IF(B267=0,INDEX('Category 15'!F:F,MATCH(C267&amp;E267&amp;D267,'Category 15'!B:B&amp;'Category 15'!C:C&amp;'Category 15'!A:A,0)),INDEX('Category 15'!G:G,MATCH(C267&amp;E267&amp;D267,'Category 15'!B:B&amp;'Category 31'!C:C&amp;'Category 15'!A:A,0)))</f>
        <v>466980</v>
      </c>
      <c r="L267">
        <f>K267/VLOOKUP($D267,CPI!$P$16:$R$22,3,FALSE)</f>
        <v>466980</v>
      </c>
      <c r="M267" s="16" cm="1">
        <f t="array" ref="M267">IF(B267=0,INDEX('Category 31'!F:F,MATCH(C267&amp;E267&amp;D267,'Category 31'!B:B&amp;'Category 31'!C:C&amp;'Category 31'!A:A,0)),INDEX('Category 31'!G:G,MATCH(C267&amp;E267&amp;D267,'Category 31'!B:B&amp;'Category 31'!C:C&amp;'Category 31'!A:A,0)))</f>
        <v>1232936</v>
      </c>
      <c r="N267" s="16">
        <f>M267/VLOOKUP($D267,CPI!$P$16:$R$22,3,FALSE)</f>
        <v>1232936</v>
      </c>
      <c r="O267">
        <f>VLOOKUP(E267,MFootball!C:S,12,FALSE)</f>
        <v>270172</v>
      </c>
    </row>
    <row r="268" spans="1:15" ht="16" thickBot="1" x14ac:dyDescent="0.25">
      <c r="A268" s="15">
        <v>2</v>
      </c>
      <c r="B268">
        <f t="shared" si="4"/>
        <v>0</v>
      </c>
      <c r="C268">
        <f>IF(ISBLANK(H268),"",VLOOKUP(H268,Code!B:C,2,FALSE))</f>
        <v>9</v>
      </c>
      <c r="D268">
        <v>2023</v>
      </c>
      <c r="E268">
        <v>110635</v>
      </c>
      <c r="F268" t="s">
        <v>63</v>
      </c>
      <c r="G268" t="s">
        <v>289</v>
      </c>
      <c r="H268" t="s">
        <v>3</v>
      </c>
      <c r="I268" cm="1">
        <f t="array" ref="I268">IF(B268=0,INDEX('Category 14'!F:F,MATCH(C268&amp;E268&amp;D268,'Category 14'!B:B&amp;'Category 14'!C:C&amp;'Category 14'!A:A,0)),INDEX('Category 14'!G:G,MATCH(C268&amp;E268&amp;D268,'Category 14'!B:B&amp;'Category 14'!C:C&amp;'Category 14'!A:A,0)))</f>
        <v>0</v>
      </c>
      <c r="J268">
        <f>I268/VLOOKUP($D268,CPI!$P$16:$R$22,3,FALSE)</f>
        <v>0</v>
      </c>
      <c r="K268" cm="1">
        <f t="array" ref="K268">IF(B268=0,INDEX('Category 15'!F:F,MATCH(C268&amp;E268&amp;D268,'Category 15'!B:B&amp;'Category 15'!C:C&amp;'Category 15'!A:A,0)),INDEX('Category 15'!G:G,MATCH(C268&amp;E268&amp;D268,'Category 15'!B:B&amp;'Category 31'!C:C&amp;'Category 15'!A:A,0)))</f>
        <v>0</v>
      </c>
      <c r="L268">
        <f>K268/VLOOKUP($D268,CPI!$P$16:$R$22,3,FALSE)</f>
        <v>0</v>
      </c>
      <c r="M268" s="16" cm="1">
        <f t="array" ref="M268">IF(B268=0,INDEX('Category 31'!F:F,MATCH(C268&amp;E268&amp;D268,'Category 31'!B:B&amp;'Category 31'!C:C&amp;'Category 31'!A:A,0)),INDEX('Category 31'!G:G,MATCH(C268&amp;E268&amp;D268,'Category 31'!B:B&amp;'Category 31'!C:C&amp;'Category 31'!A:A,0)))</f>
        <v>138189</v>
      </c>
      <c r="N268" s="16">
        <f>M268/VLOOKUP($D268,CPI!$P$16:$R$22,3,FALSE)</f>
        <v>138189</v>
      </c>
      <c r="O268">
        <v>0</v>
      </c>
    </row>
    <row r="269" spans="1:15" ht="16" thickBot="1" x14ac:dyDescent="0.25">
      <c r="A269" s="15">
        <v>2</v>
      </c>
      <c r="B269">
        <f t="shared" si="4"/>
        <v>0</v>
      </c>
      <c r="C269">
        <f>IF(ISBLANK(H269),"",VLOOKUP(H269,Code!B:C,2,FALSE))</f>
        <v>10</v>
      </c>
      <c r="D269">
        <v>2023</v>
      </c>
      <c r="E269">
        <v>110635</v>
      </c>
      <c r="F269" t="s">
        <v>63</v>
      </c>
      <c r="G269" t="s">
        <v>289</v>
      </c>
      <c r="H269" t="s">
        <v>4</v>
      </c>
      <c r="I269" cm="1">
        <f t="array" ref="I269">IF(B269=0,INDEX('Category 14'!F:F,MATCH(C269&amp;E269&amp;D269,'Category 14'!B:B&amp;'Category 14'!C:C&amp;'Category 14'!A:A,0)),INDEX('Category 14'!G:G,MATCH(C269&amp;E269&amp;D269,'Category 14'!B:B&amp;'Category 14'!C:C&amp;'Category 14'!A:A,0)))</f>
        <v>0</v>
      </c>
      <c r="J269">
        <f>I269/VLOOKUP($D269,CPI!$P$16:$R$22,3,FALSE)</f>
        <v>0</v>
      </c>
      <c r="K269" cm="1">
        <f t="array" ref="K269">IF(B269=0,INDEX('Category 15'!F:F,MATCH(C269&amp;E269&amp;D269,'Category 15'!B:B&amp;'Category 15'!C:C&amp;'Category 15'!A:A,0)),INDEX('Category 15'!G:G,MATCH(C269&amp;E269&amp;D269,'Category 15'!B:B&amp;'Category 31'!C:C&amp;'Category 15'!A:A,0)))</f>
        <v>0</v>
      </c>
      <c r="L269">
        <f>K269/VLOOKUP($D269,CPI!$P$16:$R$22,3,FALSE)</f>
        <v>0</v>
      </c>
      <c r="M269" s="16" cm="1">
        <f t="array" ref="M269">IF(B269=0,INDEX('Category 31'!F:F,MATCH(C269&amp;E269&amp;D269,'Category 31'!B:B&amp;'Category 31'!C:C&amp;'Category 31'!A:A,0)),INDEX('Category 31'!G:G,MATCH(C269&amp;E269&amp;D269,'Category 31'!B:B&amp;'Category 31'!C:C&amp;'Category 31'!A:A,0)))</f>
        <v>133</v>
      </c>
      <c r="N269" s="16">
        <f>M269/VLOOKUP($D269,CPI!$P$16:$R$22,3,FALSE)</f>
        <v>133</v>
      </c>
      <c r="O269">
        <v>0</v>
      </c>
    </row>
    <row r="270" spans="1:15" ht="16" thickBot="1" x14ac:dyDescent="0.25">
      <c r="A270" s="15">
        <v>2</v>
      </c>
      <c r="B270">
        <f t="shared" si="4"/>
        <v>0</v>
      </c>
      <c r="C270">
        <f>IF(ISBLANK(H270),"",VLOOKUP(H270,Code!B:C,2,FALSE))</f>
        <v>17</v>
      </c>
      <c r="D270">
        <v>2023</v>
      </c>
      <c r="E270">
        <v>110635</v>
      </c>
      <c r="F270" t="s">
        <v>63</v>
      </c>
      <c r="G270" t="s">
        <v>289</v>
      </c>
      <c r="H270" t="s">
        <v>5</v>
      </c>
      <c r="I270" cm="1">
        <f t="array" ref="I270">IF(B270=0,INDEX('Category 14'!F:F,MATCH(C270&amp;E270&amp;D270,'Category 14'!B:B&amp;'Category 14'!C:C&amp;'Category 14'!A:A,0)),INDEX('Category 14'!G:G,MATCH(C270&amp;E270&amp;D270,'Category 14'!B:B&amp;'Category 14'!C:C&amp;'Category 14'!A:A,0)))</f>
        <v>0</v>
      </c>
      <c r="J270">
        <f>I270/VLOOKUP($D270,CPI!$P$16:$R$22,3,FALSE)</f>
        <v>0</v>
      </c>
      <c r="K270" cm="1">
        <f t="array" ref="K270">IF(B270=0,INDEX('Category 15'!F:F,MATCH(C270&amp;E270&amp;D270,'Category 15'!B:B&amp;'Category 15'!C:C&amp;'Category 15'!A:A,0)),INDEX('Category 15'!G:G,MATCH(C270&amp;E270&amp;D270,'Category 15'!B:B&amp;'Category 31'!C:C&amp;'Category 15'!A:A,0)))</f>
        <v>0</v>
      </c>
      <c r="L270">
        <f>K270/VLOOKUP($D270,CPI!$P$16:$R$22,3,FALSE)</f>
        <v>0</v>
      </c>
      <c r="M270" s="16" cm="1">
        <f t="array" ref="M270">IF(B270=0,INDEX('Category 31'!F:F,MATCH(C270&amp;E270&amp;D270,'Category 31'!B:B&amp;'Category 31'!C:C&amp;'Category 31'!A:A,0)),INDEX('Category 31'!G:G,MATCH(C270&amp;E270&amp;D270,'Category 31'!B:B&amp;'Category 31'!C:C&amp;'Category 31'!A:A,0)))</f>
        <v>23625</v>
      </c>
      <c r="N270" s="16">
        <f>M270/VLOOKUP($D270,CPI!$P$16:$R$22,3,FALSE)</f>
        <v>23625</v>
      </c>
      <c r="O270">
        <f>VLOOKUP(E267,MSoccer!C:S,12,FALSE)</f>
        <v>4637</v>
      </c>
    </row>
    <row r="271" spans="1:15" ht="16" thickBot="1" x14ac:dyDescent="0.25">
      <c r="A271" s="15">
        <v>2</v>
      </c>
      <c r="B271">
        <f t="shared" si="4"/>
        <v>0</v>
      </c>
      <c r="C271">
        <f>IF(ISBLANK(H271),"",VLOOKUP(H271,Code!B:C,2,FALSE))</f>
        <v>19</v>
      </c>
      <c r="D271">
        <v>2023</v>
      </c>
      <c r="E271">
        <v>110635</v>
      </c>
      <c r="F271" t="s">
        <v>63</v>
      </c>
      <c r="G271" t="s">
        <v>289</v>
      </c>
      <c r="H271" t="s">
        <v>7</v>
      </c>
      <c r="I271" cm="1">
        <f t="array" ref="I271">IF(B271=0,INDEX('Category 14'!F:F,MATCH(C271&amp;E271&amp;D271,'Category 14'!B:B&amp;'Category 14'!C:C&amp;'Category 14'!A:A,0)),INDEX('Category 14'!G:G,MATCH(C271&amp;E271&amp;D271,'Category 14'!B:B&amp;'Category 14'!C:C&amp;'Category 14'!A:A,0)))</f>
        <v>0</v>
      </c>
      <c r="J271">
        <f>I271/VLOOKUP($D271,CPI!$P$16:$R$22,3,FALSE)</f>
        <v>0</v>
      </c>
      <c r="K271" cm="1">
        <f t="array" ref="K271">IF(B271=0,INDEX('Category 15'!F:F,MATCH(C271&amp;E271&amp;D271,'Category 15'!B:B&amp;'Category 15'!C:C&amp;'Category 15'!A:A,0)),INDEX('Category 15'!G:G,MATCH(C271&amp;E271&amp;D271,'Category 15'!B:B&amp;'Category 31'!C:C&amp;'Category 15'!A:A,0)))</f>
        <v>0</v>
      </c>
      <c r="L271">
        <f>K271/VLOOKUP($D271,CPI!$P$16:$R$22,3,FALSE)</f>
        <v>0</v>
      </c>
      <c r="M271" s="16" cm="1">
        <f t="array" ref="M271">IF(B271=0,INDEX('Category 31'!F:F,MATCH(C271&amp;E271&amp;D271,'Category 31'!B:B&amp;'Category 31'!C:C&amp;'Category 31'!A:A,0)),INDEX('Category 31'!G:G,MATCH(C271&amp;E271&amp;D271,'Category 31'!B:B&amp;'Category 31'!C:C&amp;'Category 31'!A:A,0)))</f>
        <v>71692</v>
      </c>
      <c r="N271" s="16">
        <f>M271/VLOOKUP($D271,CPI!$P$16:$R$22,3,FALSE)</f>
        <v>71692</v>
      </c>
      <c r="O271">
        <v>0</v>
      </c>
    </row>
    <row r="272" spans="1:15" ht="16" thickBot="1" x14ac:dyDescent="0.25">
      <c r="A272" s="15">
        <v>2</v>
      </c>
      <c r="B272">
        <f t="shared" si="4"/>
        <v>0</v>
      </c>
      <c r="C272">
        <f>IF(ISBLANK(H272),"",VLOOKUP(H272,Code!B:C,2,FALSE))</f>
        <v>20</v>
      </c>
      <c r="D272">
        <v>2023</v>
      </c>
      <c r="E272">
        <v>110635</v>
      </c>
      <c r="F272" t="s">
        <v>63</v>
      </c>
      <c r="G272" t="s">
        <v>289</v>
      </c>
      <c r="H272" t="s">
        <v>8</v>
      </c>
      <c r="I272" cm="1">
        <f t="array" ref="I272">IF(B272=0,INDEX('Category 14'!F:F,MATCH(C272&amp;E272&amp;D272,'Category 14'!B:B&amp;'Category 14'!C:C&amp;'Category 14'!A:A,0)),INDEX('Category 14'!G:G,MATCH(C272&amp;E272&amp;D272,'Category 14'!B:B&amp;'Category 14'!C:C&amp;'Category 14'!A:A,0)))</f>
        <v>0</v>
      </c>
      <c r="J272">
        <f>I272/VLOOKUP($D272,CPI!$P$16:$R$22,3,FALSE)</f>
        <v>0</v>
      </c>
      <c r="K272" cm="1">
        <f t="array" ref="K272">IF(B272=0,INDEX('Category 15'!F:F,MATCH(C272&amp;E272&amp;D272,'Category 15'!B:B&amp;'Category 15'!C:C&amp;'Category 15'!A:A,0)),INDEX('Category 15'!G:G,MATCH(C272&amp;E272&amp;D272,'Category 15'!B:B&amp;'Category 31'!C:C&amp;'Category 15'!A:A,0)))</f>
        <v>0</v>
      </c>
      <c r="L272">
        <f>K272/VLOOKUP($D272,CPI!$P$16:$R$22,3,FALSE)</f>
        <v>0</v>
      </c>
      <c r="M272" s="16" cm="1">
        <f t="array" ref="M272">IF(B272=0,INDEX('Category 31'!F:F,MATCH(C272&amp;E272&amp;D272,'Category 31'!B:B&amp;'Category 31'!C:C&amp;'Category 31'!A:A,0)),INDEX('Category 31'!G:G,MATCH(C272&amp;E272&amp;D272,'Category 31'!B:B&amp;'Category 31'!C:C&amp;'Category 31'!A:A,0)))</f>
        <v>1200</v>
      </c>
      <c r="N272" s="16">
        <f>M272/VLOOKUP($D272,CPI!$P$16:$R$22,3,FALSE)</f>
        <v>1200</v>
      </c>
      <c r="O272">
        <v>0</v>
      </c>
    </row>
    <row r="273" spans="1:15" ht="16" thickBot="1" x14ac:dyDescent="0.25">
      <c r="A273" s="15">
        <v>2</v>
      </c>
      <c r="B273">
        <f t="shared" si="4"/>
        <v>0</v>
      </c>
      <c r="C273">
        <f>IF(ISBLANK(H273),"",VLOOKUP(H273,Code!B:C,2,FALSE))</f>
        <v>21</v>
      </c>
      <c r="D273">
        <v>2023</v>
      </c>
      <c r="E273">
        <v>110635</v>
      </c>
      <c r="F273" t="s">
        <v>63</v>
      </c>
      <c r="G273" t="s">
        <v>289</v>
      </c>
      <c r="H273" t="s">
        <v>9</v>
      </c>
      <c r="I273" cm="1">
        <f t="array" ref="I273">IF(B273=0,INDEX('Category 14'!F:F,MATCH(C273&amp;E273&amp;D273,'Category 14'!B:B&amp;'Category 14'!C:C&amp;'Category 14'!A:A,0)),INDEX('Category 14'!G:G,MATCH(C273&amp;E273&amp;D273,'Category 14'!B:B&amp;'Category 14'!C:C&amp;'Category 14'!A:A,0)))</f>
        <v>0</v>
      </c>
      <c r="J273">
        <f>I273/VLOOKUP($D273,CPI!$P$16:$R$22,3,FALSE)</f>
        <v>0</v>
      </c>
      <c r="K273" cm="1">
        <f t="array" ref="K273">IF(B273=0,INDEX('Category 15'!F:F,MATCH(C273&amp;E273&amp;D273,'Category 15'!B:B&amp;'Category 15'!C:C&amp;'Category 15'!A:A,0)),INDEX('Category 15'!G:G,MATCH(C273&amp;E273&amp;D273,'Category 15'!B:B&amp;'Category 31'!C:C&amp;'Category 15'!A:A,0)))</f>
        <v>0</v>
      </c>
      <c r="L273">
        <f>K273/VLOOKUP($D273,CPI!$P$16:$R$22,3,FALSE)</f>
        <v>0</v>
      </c>
      <c r="M273" s="16" cm="1">
        <f t="array" ref="M273">IF(B273=0,INDEX('Category 31'!F:F,MATCH(C273&amp;E273&amp;D273,'Category 31'!B:B&amp;'Category 31'!C:C&amp;'Category 31'!A:A,0)),INDEX('Category 31'!G:G,MATCH(C273&amp;E273&amp;D273,'Category 31'!B:B&amp;'Category 31'!C:C&amp;'Category 31'!A:A,0)))</f>
        <v>6120</v>
      </c>
      <c r="N273" s="16">
        <f>M273/VLOOKUP($D273,CPI!$P$16:$R$22,3,FALSE)</f>
        <v>6120</v>
      </c>
      <c r="O273">
        <v>0</v>
      </c>
    </row>
    <row r="274" spans="1:15" ht="16" thickBot="1" x14ac:dyDescent="0.25">
      <c r="A274" s="15">
        <v>2</v>
      </c>
      <c r="B274">
        <f t="shared" si="4"/>
        <v>0</v>
      </c>
      <c r="C274">
        <f>IF(ISBLANK(H274),"",VLOOKUP(H274,Code!B:C,2,FALSE))</f>
        <v>24</v>
      </c>
      <c r="D274">
        <v>2023</v>
      </c>
      <c r="E274">
        <v>110635</v>
      </c>
      <c r="F274" t="s">
        <v>63</v>
      </c>
      <c r="G274" t="s">
        <v>289</v>
      </c>
      <c r="H274" t="s">
        <v>34</v>
      </c>
      <c r="I274" cm="1">
        <f t="array" ref="I274">IF(B274=0,INDEX('Category 14'!F:F,MATCH(C274&amp;E274&amp;D274,'Category 14'!B:B&amp;'Category 14'!C:C&amp;'Category 14'!A:A,0)),INDEX('Category 14'!G:G,MATCH(C274&amp;E274&amp;D274,'Category 14'!B:B&amp;'Category 14'!C:C&amp;'Category 14'!A:A,0)))</f>
        <v>0</v>
      </c>
      <c r="J274">
        <f>I274/VLOOKUP($D274,CPI!$P$16:$R$22,3,FALSE)</f>
        <v>0</v>
      </c>
      <c r="K274" cm="1">
        <f t="array" ref="K274">IF(B274=0,INDEX('Category 15'!F:F,MATCH(C274&amp;E274&amp;D274,'Category 15'!B:B&amp;'Category 15'!C:C&amp;'Category 15'!A:A,0)),INDEX('Category 15'!G:G,MATCH(C274&amp;E274&amp;D274,'Category 15'!B:B&amp;'Category 31'!C:C&amp;'Category 15'!A:A,0)))</f>
        <v>0</v>
      </c>
      <c r="L274">
        <f>K274/VLOOKUP($D274,CPI!$P$16:$R$22,3,FALSE)</f>
        <v>0</v>
      </c>
      <c r="M274" s="16" cm="1">
        <f t="array" ref="M274">IF(B274=0,INDEX('Category 31'!F:F,MATCH(C274&amp;E274&amp;D274,'Category 31'!B:B&amp;'Category 31'!C:C&amp;'Category 31'!A:A,0)),INDEX('Category 31'!G:G,MATCH(C274&amp;E274&amp;D274,'Category 31'!B:B&amp;'Category 31'!C:C&amp;'Category 31'!A:A,0)))</f>
        <v>13002</v>
      </c>
      <c r="N274" s="16">
        <f>M274/VLOOKUP($D274,CPI!$P$16:$R$22,3,FALSE)</f>
        <v>13002</v>
      </c>
      <c r="O274">
        <v>0</v>
      </c>
    </row>
    <row r="275" spans="1:15" ht="16" thickBot="1" x14ac:dyDescent="0.25">
      <c r="A275" s="15">
        <v>2</v>
      </c>
      <c r="B275">
        <f t="shared" si="4"/>
        <v>1</v>
      </c>
      <c r="C275">
        <f>IF(ISBLANK(H275),"",VLOOKUP(H275,Code!B:C,2,FALSE))</f>
        <v>2</v>
      </c>
      <c r="D275">
        <v>2023</v>
      </c>
      <c r="E275">
        <v>110635</v>
      </c>
      <c r="F275" t="s">
        <v>63</v>
      </c>
      <c r="G275" t="s">
        <v>290</v>
      </c>
      <c r="H275" t="s">
        <v>1</v>
      </c>
      <c r="I275" cm="1">
        <f t="array" ref="I275">IF(B275=0,INDEX('Category 14'!F:F,MATCH(C275&amp;E275&amp;D275,'Category 14'!B:B&amp;'Category 14'!C:C&amp;'Category 14'!A:A,0)),INDEX('Category 14'!G:G,MATCH(C275&amp;E275&amp;D275,'Category 14'!B:B&amp;'Category 14'!C:C&amp;'Category 14'!A:A,0)))</f>
        <v>2250</v>
      </c>
      <c r="J275">
        <f>I275/VLOOKUP($D275,CPI!$P$16:$R$22,3,FALSE)</f>
        <v>2250</v>
      </c>
      <c r="K275" cm="1">
        <f t="array" ref="K275">IF(B275=0,INDEX('Category 15'!F:F,MATCH(C275&amp;E275&amp;D275,'Category 15'!B:B&amp;'Category 15'!C:C&amp;'Category 15'!A:A,0)),INDEX('Category 15'!G:G,MATCH(C275&amp;E275&amp;D275,'Category 15'!B:B&amp;'Category 31'!C:C&amp;'Category 15'!A:A,0)))</f>
        <v>0</v>
      </c>
      <c r="L275">
        <f>K275/VLOOKUP($D275,CPI!$P$16:$R$22,3,FALSE)</f>
        <v>0</v>
      </c>
      <c r="M275" s="16" cm="1">
        <f t="array" ref="M275">IF(B275=0,INDEX('Category 31'!F:F,MATCH(C275&amp;E275&amp;D275,'Category 31'!B:B&amp;'Category 31'!C:C&amp;'Category 31'!A:A,0)),INDEX('Category 31'!G:G,MATCH(C275&amp;E275&amp;D275,'Category 31'!B:B&amp;'Category 31'!C:C&amp;'Category 31'!A:A,0)))</f>
        <v>36413</v>
      </c>
      <c r="N275" s="16">
        <f>M275/VLOOKUP($D275,CPI!$P$16:$R$22,3,FALSE)</f>
        <v>36413</v>
      </c>
      <c r="O275">
        <f>VLOOKUP(E275,WBasketball!C:S,12,FALSE)</f>
        <v>19714</v>
      </c>
    </row>
    <row r="276" spans="1:15" ht="16" thickBot="1" x14ac:dyDescent="0.25">
      <c r="A276" s="15">
        <v>2</v>
      </c>
      <c r="B276">
        <f t="shared" si="4"/>
        <v>1</v>
      </c>
      <c r="C276">
        <f>IF(ISBLANK(H276),"",VLOOKUP(H276,Code!B:C,2,FALSE))</f>
        <v>3</v>
      </c>
      <c r="D276">
        <v>2023</v>
      </c>
      <c r="E276">
        <v>110635</v>
      </c>
      <c r="F276" t="s">
        <v>63</v>
      </c>
      <c r="G276" t="s">
        <v>290</v>
      </c>
      <c r="H276" t="s">
        <v>21</v>
      </c>
      <c r="I276" cm="1">
        <f t="array" ref="I276">IF(B276=0,INDEX('Category 14'!F:F,MATCH(C276&amp;E276&amp;D276,'Category 14'!B:B&amp;'Category 14'!C:C&amp;'Category 14'!A:A,0)),INDEX('Category 14'!G:G,MATCH(C276&amp;E276&amp;D276,'Category 14'!B:B&amp;'Category 14'!C:C&amp;'Category 14'!A:A,0)))</f>
        <v>0</v>
      </c>
      <c r="J276">
        <f>I276/VLOOKUP($D276,CPI!$P$16:$R$22,3,FALSE)</f>
        <v>0</v>
      </c>
      <c r="K276" cm="1">
        <f t="array" ref="K276">IF(B276=0,INDEX('Category 15'!F:F,MATCH(C276&amp;E276&amp;D276,'Category 15'!B:B&amp;'Category 15'!C:C&amp;'Category 15'!A:A,0)),INDEX('Category 15'!G:G,MATCH(C276&amp;E276&amp;D276,'Category 15'!B:B&amp;'Category 31'!C:C&amp;'Category 15'!A:A,0)))</f>
        <v>0</v>
      </c>
      <c r="L276">
        <f>K276/VLOOKUP($D276,CPI!$P$16:$R$22,3,FALSE)</f>
        <v>0</v>
      </c>
      <c r="M276" s="16" cm="1">
        <f t="array" ref="M276">IF(B276=0,INDEX('Category 31'!F:F,MATCH(C276&amp;E276&amp;D276,'Category 31'!B:B&amp;'Category 31'!C:C&amp;'Category 31'!A:A,0)),INDEX('Category 31'!G:G,MATCH(C276&amp;E276&amp;D276,'Category 31'!B:B&amp;'Category 31'!C:C&amp;'Category 31'!A:A,0)))</f>
        <v>6455</v>
      </c>
      <c r="N276" s="16">
        <f>M276/VLOOKUP($D276,CPI!$P$16:$R$22,3,FALSE)</f>
        <v>6455</v>
      </c>
      <c r="O276">
        <v>0</v>
      </c>
    </row>
    <row r="277" spans="1:15" ht="16" thickBot="1" x14ac:dyDescent="0.25">
      <c r="A277" s="15">
        <v>2</v>
      </c>
      <c r="B277">
        <f t="shared" si="4"/>
        <v>1</v>
      </c>
      <c r="C277">
        <f>IF(ISBLANK(H277),"",VLOOKUP(H277,Code!B:C,2,FALSE))</f>
        <v>7</v>
      </c>
      <c r="D277">
        <v>2023</v>
      </c>
      <c r="E277">
        <v>110635</v>
      </c>
      <c r="F277" t="s">
        <v>63</v>
      </c>
      <c r="G277" t="s">
        <v>290</v>
      </c>
      <c r="H277" t="s">
        <v>25</v>
      </c>
      <c r="I277" cm="1">
        <f t="array" ref="I277">IF(B277=0,INDEX('Category 14'!F:F,MATCH(C277&amp;E277&amp;D277,'Category 14'!B:B&amp;'Category 14'!C:C&amp;'Category 14'!A:A,0)),INDEX('Category 14'!G:G,MATCH(C277&amp;E277&amp;D277,'Category 14'!B:B&amp;'Category 14'!C:C&amp;'Category 14'!A:A,0)))</f>
        <v>0</v>
      </c>
      <c r="J277">
        <f>I277/VLOOKUP($D277,CPI!$P$16:$R$22,3,FALSE)</f>
        <v>0</v>
      </c>
      <c r="K277" cm="1">
        <f t="array" ref="K277">IF(B277=0,INDEX('Category 15'!F:F,MATCH(C277&amp;E277&amp;D277,'Category 15'!B:B&amp;'Category 15'!C:C&amp;'Category 15'!A:A,0)),INDEX('Category 15'!G:G,MATCH(C277&amp;E277&amp;D277,'Category 15'!B:B&amp;'Category 31'!C:C&amp;'Category 15'!A:A,0)))</f>
        <v>0</v>
      </c>
      <c r="L277">
        <f>K277/VLOOKUP($D277,CPI!$P$16:$R$22,3,FALSE)</f>
        <v>0</v>
      </c>
      <c r="M277" s="16" cm="1">
        <f t="array" ref="M277">IF(B277=0,INDEX('Category 31'!F:F,MATCH(C277&amp;E277&amp;D277,'Category 31'!B:B&amp;'Category 31'!C:C&amp;'Category 31'!A:A,0)),INDEX('Category 31'!G:G,MATCH(C277&amp;E277&amp;D277,'Category 31'!B:B&amp;'Category 31'!C:C&amp;'Category 31'!A:A,0)))</f>
        <v>2739</v>
      </c>
      <c r="N277" s="16">
        <f>M277/VLOOKUP($D277,CPI!$P$16:$R$22,3,FALSE)</f>
        <v>2739</v>
      </c>
      <c r="O277">
        <f>VLOOKUP(E277,WFieldHockey!C:S,12,FALSE)</f>
        <v>1200</v>
      </c>
    </row>
    <row r="278" spans="1:15" ht="16" thickBot="1" x14ac:dyDescent="0.25">
      <c r="A278" s="15">
        <v>2</v>
      </c>
      <c r="B278">
        <f t="shared" si="4"/>
        <v>1</v>
      </c>
      <c r="C278">
        <f>IF(ISBLANK(H278),"",VLOOKUP(H278,Code!B:C,2,FALSE))</f>
        <v>9</v>
      </c>
      <c r="D278">
        <v>2023</v>
      </c>
      <c r="E278">
        <v>110635</v>
      </c>
      <c r="F278" t="s">
        <v>63</v>
      </c>
      <c r="G278" t="s">
        <v>290</v>
      </c>
      <c r="H278" t="s">
        <v>3</v>
      </c>
      <c r="I278" cm="1">
        <f t="array" ref="I278">IF(B278=0,INDEX('Category 14'!F:F,MATCH(C278&amp;E278&amp;D278,'Category 14'!B:B&amp;'Category 14'!C:C&amp;'Category 14'!A:A,0)),INDEX('Category 14'!G:G,MATCH(C278&amp;E278&amp;D278,'Category 14'!B:B&amp;'Category 14'!C:C&amp;'Category 14'!A:A,0)))</f>
        <v>0</v>
      </c>
      <c r="J278">
        <f>I278/VLOOKUP($D278,CPI!$P$16:$R$22,3,FALSE)</f>
        <v>0</v>
      </c>
      <c r="K278" cm="1">
        <f t="array" ref="K278">IF(B278=0,INDEX('Category 15'!F:F,MATCH(C278&amp;E278&amp;D278,'Category 15'!B:B&amp;'Category 15'!C:C&amp;'Category 15'!A:A,0)),INDEX('Category 15'!G:G,MATCH(C278&amp;E278&amp;D278,'Category 15'!B:B&amp;'Category 31'!C:C&amp;'Category 15'!A:A,0)))</f>
        <v>0</v>
      </c>
      <c r="L278">
        <f>K278/VLOOKUP($D278,CPI!$P$16:$R$22,3,FALSE)</f>
        <v>0</v>
      </c>
      <c r="M278" s="16" cm="1">
        <f t="array" ref="M278">IF(B278=0,INDEX('Category 31'!F:F,MATCH(C278&amp;E278&amp;D278,'Category 31'!B:B&amp;'Category 31'!C:C&amp;'Category 31'!A:A,0)),INDEX('Category 31'!G:G,MATCH(C278&amp;E278&amp;D278,'Category 31'!B:B&amp;'Category 31'!C:C&amp;'Category 31'!A:A,0)))</f>
        <v>7289</v>
      </c>
      <c r="N278" s="16">
        <f>M278/VLOOKUP($D278,CPI!$P$16:$R$22,3,FALSE)</f>
        <v>7289</v>
      </c>
      <c r="O278">
        <v>0</v>
      </c>
    </row>
    <row r="279" spans="1:15" ht="16" thickBot="1" x14ac:dyDescent="0.25">
      <c r="A279" s="15">
        <v>2</v>
      </c>
      <c r="B279">
        <f t="shared" si="4"/>
        <v>1</v>
      </c>
      <c r="C279">
        <f>IF(ISBLANK(H279),"",VLOOKUP(H279,Code!B:C,2,FALSE))</f>
        <v>10</v>
      </c>
      <c r="D279">
        <v>2023</v>
      </c>
      <c r="E279">
        <v>110635</v>
      </c>
      <c r="F279" t="s">
        <v>63</v>
      </c>
      <c r="G279" t="s">
        <v>290</v>
      </c>
      <c r="H279" t="s">
        <v>4</v>
      </c>
      <c r="I279" cm="1">
        <f t="array" ref="I279">IF(B279=0,INDEX('Category 14'!F:F,MATCH(C279&amp;E279&amp;D279,'Category 14'!B:B&amp;'Category 14'!C:C&amp;'Category 14'!A:A,0)),INDEX('Category 14'!G:G,MATCH(C279&amp;E279&amp;D279,'Category 14'!B:B&amp;'Category 14'!C:C&amp;'Category 14'!A:A,0)))</f>
        <v>0</v>
      </c>
      <c r="J279">
        <f>I279/VLOOKUP($D279,CPI!$P$16:$R$22,3,FALSE)</f>
        <v>0</v>
      </c>
      <c r="K279" cm="1">
        <f t="array" ref="K279">IF(B279=0,INDEX('Category 15'!F:F,MATCH(C279&amp;E279&amp;D279,'Category 15'!B:B&amp;'Category 15'!C:C&amp;'Category 15'!A:A,0)),INDEX('Category 15'!G:G,MATCH(C279&amp;E279&amp;D279,'Category 15'!B:B&amp;'Category 31'!C:C&amp;'Category 15'!A:A,0)))</f>
        <v>0</v>
      </c>
      <c r="L279">
        <f>K279/VLOOKUP($D279,CPI!$P$16:$R$22,3,FALSE)</f>
        <v>0</v>
      </c>
      <c r="M279" s="16" cm="1">
        <f t="array" ref="M279">IF(B279=0,INDEX('Category 31'!F:F,MATCH(C279&amp;E279&amp;D279,'Category 31'!B:B&amp;'Category 31'!C:C&amp;'Category 31'!A:A,0)),INDEX('Category 31'!G:G,MATCH(C279&amp;E279&amp;D279,'Category 31'!B:B&amp;'Category 31'!C:C&amp;'Category 31'!A:A,0)))</f>
        <v>19419</v>
      </c>
      <c r="N279" s="16">
        <f>M279/VLOOKUP($D279,CPI!$P$16:$R$22,3,FALSE)</f>
        <v>19419</v>
      </c>
      <c r="O279">
        <v>0</v>
      </c>
    </row>
    <row r="280" spans="1:15" ht="16" thickBot="1" x14ac:dyDescent="0.25">
      <c r="A280" s="15">
        <v>2</v>
      </c>
      <c r="B280">
        <f t="shared" si="4"/>
        <v>1</v>
      </c>
      <c r="C280">
        <f>IF(ISBLANK(H280),"",VLOOKUP(H280,Code!B:C,2,FALSE))</f>
        <v>12</v>
      </c>
      <c r="D280">
        <v>2023</v>
      </c>
      <c r="E280">
        <v>110635</v>
      </c>
      <c r="F280" t="s">
        <v>63</v>
      </c>
      <c r="G280" t="s">
        <v>290</v>
      </c>
      <c r="H280" t="s">
        <v>27</v>
      </c>
      <c r="I280" cm="1">
        <f t="array" ref="I280">IF(B280=0,INDEX('Category 14'!F:F,MATCH(C280&amp;E280&amp;D280,'Category 14'!B:B&amp;'Category 14'!C:C&amp;'Category 14'!A:A,0)),INDEX('Category 14'!G:G,MATCH(C280&amp;E280&amp;D280,'Category 14'!B:B&amp;'Category 14'!C:C&amp;'Category 14'!A:A,0)))</f>
        <v>0</v>
      </c>
      <c r="J280">
        <f>I280/VLOOKUP($D280,CPI!$P$16:$R$22,3,FALSE)</f>
        <v>0</v>
      </c>
      <c r="K280" cm="1">
        <f t="array" ref="K280">IF(B280=0,INDEX('Category 15'!F:F,MATCH(C280&amp;E280&amp;D280,'Category 15'!B:B&amp;'Category 15'!C:C&amp;'Category 15'!A:A,0)),INDEX('Category 15'!G:G,MATCH(C280&amp;E280&amp;D280,'Category 15'!B:B&amp;'Category 31'!C:C&amp;'Category 15'!A:A,0)))</f>
        <v>0</v>
      </c>
      <c r="L280">
        <f>K280/VLOOKUP($D280,CPI!$P$16:$R$22,3,FALSE)</f>
        <v>0</v>
      </c>
      <c r="M280" s="16" cm="1">
        <f t="array" ref="M280">IF(B280=0,INDEX('Category 31'!F:F,MATCH(C280&amp;E280&amp;D280,'Category 31'!B:B&amp;'Category 31'!C:C&amp;'Category 31'!A:A,0)),INDEX('Category 31'!G:G,MATCH(C280&amp;E280&amp;D280,'Category 31'!B:B&amp;'Category 31'!C:C&amp;'Category 31'!A:A,0)))</f>
        <v>10868</v>
      </c>
      <c r="N280" s="16">
        <f>M280/VLOOKUP($D280,CPI!$P$16:$R$22,3,FALSE)</f>
        <v>10868</v>
      </c>
      <c r="O280">
        <f>VLOOKUP(E280,WLacrosse!C:S,12,FALSE)</f>
        <v>1540</v>
      </c>
    </row>
    <row r="281" spans="1:15" ht="16" thickBot="1" x14ac:dyDescent="0.25">
      <c r="A281" s="15">
        <v>2</v>
      </c>
      <c r="B281">
        <f t="shared" si="4"/>
        <v>1</v>
      </c>
      <c r="C281">
        <f>IF(ISBLANK(H281),"",VLOOKUP(H281,Code!B:C,2,FALSE))</f>
        <v>14</v>
      </c>
      <c r="D281">
        <v>2023</v>
      </c>
      <c r="E281">
        <v>110635</v>
      </c>
      <c r="F281" t="s">
        <v>63</v>
      </c>
      <c r="G281" t="s">
        <v>290</v>
      </c>
      <c r="H281" t="s">
        <v>29</v>
      </c>
      <c r="I281" cm="1">
        <f t="array" ref="I281">IF(B281=0,INDEX('Category 14'!F:F,MATCH(C281&amp;E281&amp;D281,'Category 14'!B:B&amp;'Category 14'!C:C&amp;'Category 14'!A:A,0)),INDEX('Category 14'!G:G,MATCH(C281&amp;E281&amp;D281,'Category 14'!B:B&amp;'Category 14'!C:C&amp;'Category 14'!A:A,0)))</f>
        <v>0</v>
      </c>
      <c r="J281">
        <f>I281/VLOOKUP($D281,CPI!$P$16:$R$22,3,FALSE)</f>
        <v>0</v>
      </c>
      <c r="K281" cm="1">
        <f t="array" ref="K281">IF(B281=0,INDEX('Category 15'!F:F,MATCH(C281&amp;E281&amp;D281,'Category 15'!B:B&amp;'Category 15'!C:C&amp;'Category 15'!A:A,0)),INDEX('Category 15'!G:G,MATCH(C281&amp;E281&amp;D281,'Category 15'!B:B&amp;'Category 31'!C:C&amp;'Category 15'!A:A,0)))</f>
        <v>0</v>
      </c>
      <c r="L281">
        <f>K281/VLOOKUP($D281,CPI!$P$16:$R$22,3,FALSE)</f>
        <v>0</v>
      </c>
      <c r="M281" s="16" cm="1">
        <f t="array" ref="M281">IF(B281=0,INDEX('Category 31'!F:F,MATCH(C281&amp;E281&amp;D281,'Category 31'!B:B&amp;'Category 31'!C:C&amp;'Category 31'!A:A,0)),INDEX('Category 31'!G:G,MATCH(C281&amp;E281&amp;D281,'Category 31'!B:B&amp;'Category 31'!C:C&amp;'Category 31'!A:A,0)))</f>
        <v>0</v>
      </c>
      <c r="N281" s="16">
        <f>M281/VLOOKUP($D281,CPI!$P$16:$R$22,3,FALSE)</f>
        <v>0</v>
      </c>
      <c r="O281">
        <v>0</v>
      </c>
    </row>
    <row r="282" spans="1:15" ht="16" thickBot="1" x14ac:dyDescent="0.25">
      <c r="A282" s="15">
        <v>2</v>
      </c>
      <c r="B282">
        <f t="shared" si="4"/>
        <v>1</v>
      </c>
      <c r="C282">
        <f>IF(ISBLANK(H282),"",VLOOKUP(H282,Code!B:C,2,FALSE))</f>
        <v>17</v>
      </c>
      <c r="D282">
        <v>2023</v>
      </c>
      <c r="E282">
        <v>110635</v>
      </c>
      <c r="F282" t="s">
        <v>63</v>
      </c>
      <c r="G282" t="s">
        <v>290</v>
      </c>
      <c r="H282" t="s">
        <v>5</v>
      </c>
      <c r="I282" cm="1">
        <f t="array" ref="I282">IF(B282=0,INDEX('Category 14'!F:F,MATCH(C282&amp;E282&amp;D282,'Category 14'!B:B&amp;'Category 14'!C:C&amp;'Category 14'!A:A,0)),INDEX('Category 14'!G:G,MATCH(C282&amp;E282&amp;D282,'Category 14'!B:B&amp;'Category 14'!C:C&amp;'Category 14'!A:A,0)))</f>
        <v>0</v>
      </c>
      <c r="J282">
        <f>I282/VLOOKUP($D282,CPI!$P$16:$R$22,3,FALSE)</f>
        <v>0</v>
      </c>
      <c r="K282" cm="1">
        <f t="array" ref="K282">IF(B282=0,INDEX('Category 15'!F:F,MATCH(C282&amp;E282&amp;D282,'Category 15'!B:B&amp;'Category 15'!C:C&amp;'Category 15'!A:A,0)),INDEX('Category 15'!G:G,MATCH(C282&amp;E282&amp;D282,'Category 15'!B:B&amp;'Category 31'!C:C&amp;'Category 15'!A:A,0)))</f>
        <v>0</v>
      </c>
      <c r="L282">
        <f>K282/VLOOKUP($D282,CPI!$P$16:$R$22,3,FALSE)</f>
        <v>0</v>
      </c>
      <c r="M282" s="16" cm="1">
        <f t="array" ref="M282">IF(B282=0,INDEX('Category 31'!F:F,MATCH(C282&amp;E282&amp;D282,'Category 31'!B:B&amp;'Category 31'!C:C&amp;'Category 31'!A:A,0)),INDEX('Category 31'!G:G,MATCH(C282&amp;E282&amp;D282,'Category 31'!B:B&amp;'Category 31'!C:C&amp;'Category 31'!A:A,0)))</f>
        <v>8805</v>
      </c>
      <c r="N282" s="16">
        <f>M282/VLOOKUP($D282,CPI!$P$16:$R$22,3,FALSE)</f>
        <v>8805</v>
      </c>
      <c r="O282">
        <f>VLOOKUP(E282,WSoccer!C:S,12,FALSE)</f>
        <v>7266</v>
      </c>
    </row>
    <row r="283" spans="1:15" ht="16" thickBot="1" x14ac:dyDescent="0.25">
      <c r="A283" s="15">
        <v>2</v>
      </c>
      <c r="B283">
        <f t="shared" si="4"/>
        <v>1</v>
      </c>
      <c r="C283">
        <f>IF(ISBLANK(H283),"",VLOOKUP(H283,Code!B:C,2,FALSE))</f>
        <v>18</v>
      </c>
      <c r="D283">
        <v>2023</v>
      </c>
      <c r="E283">
        <v>110635</v>
      </c>
      <c r="F283" t="s">
        <v>63</v>
      </c>
      <c r="G283" t="s">
        <v>290</v>
      </c>
      <c r="H283" t="s">
        <v>6</v>
      </c>
      <c r="I283" cm="1">
        <f t="array" ref="I283">IF(B283=0,INDEX('Category 14'!F:F,MATCH(C283&amp;E283&amp;D283,'Category 14'!B:B&amp;'Category 14'!C:C&amp;'Category 14'!A:A,0)),INDEX('Category 14'!G:G,MATCH(C283&amp;E283&amp;D283,'Category 14'!B:B&amp;'Category 14'!C:C&amp;'Category 14'!A:A,0)))</f>
        <v>2282</v>
      </c>
      <c r="J283">
        <f>I283/VLOOKUP($D283,CPI!$P$16:$R$22,3,FALSE)</f>
        <v>2282</v>
      </c>
      <c r="K283" cm="1">
        <f t="array" ref="K283">IF(B283=0,INDEX('Category 15'!F:F,MATCH(C283&amp;E283&amp;D283,'Category 15'!B:B&amp;'Category 15'!C:C&amp;'Category 15'!A:A,0)),INDEX('Category 15'!G:G,MATCH(C283&amp;E283&amp;D283,'Category 15'!B:B&amp;'Category 31'!C:C&amp;'Category 15'!A:A,0)))</f>
        <v>0</v>
      </c>
      <c r="L283">
        <f>K283/VLOOKUP($D283,CPI!$P$16:$R$22,3,FALSE)</f>
        <v>0</v>
      </c>
      <c r="M283" s="16" cm="1">
        <f t="array" ref="M283">IF(B283=0,INDEX('Category 31'!F:F,MATCH(C283&amp;E283&amp;D283,'Category 31'!B:B&amp;'Category 31'!C:C&amp;'Category 31'!A:A,0)),INDEX('Category 31'!G:G,MATCH(C283&amp;E283&amp;D283,'Category 31'!B:B&amp;'Category 31'!C:C&amp;'Category 31'!A:A,0)))</f>
        <v>12996</v>
      </c>
      <c r="N283" s="16">
        <f>M283/VLOOKUP($D283,CPI!$P$16:$R$22,3,FALSE)</f>
        <v>12996</v>
      </c>
      <c r="O283">
        <f>VLOOKUP(E283,WSoftball!C:S,12,FALSE)</f>
        <v>7797</v>
      </c>
    </row>
    <row r="284" spans="1:15" ht="16" thickBot="1" x14ac:dyDescent="0.25">
      <c r="A284" s="15">
        <v>2</v>
      </c>
      <c r="B284">
        <f t="shared" si="4"/>
        <v>1</v>
      </c>
      <c r="C284">
        <f>IF(ISBLANK(H284),"",VLOOKUP(H284,Code!B:C,2,FALSE))</f>
        <v>19</v>
      </c>
      <c r="D284">
        <v>2023</v>
      </c>
      <c r="E284">
        <v>110635</v>
      </c>
      <c r="F284" t="s">
        <v>63</v>
      </c>
      <c r="G284" t="s">
        <v>290</v>
      </c>
      <c r="H284" t="s">
        <v>7</v>
      </c>
      <c r="I284" cm="1">
        <f t="array" ref="I284">IF(B284=0,INDEX('Category 14'!F:F,MATCH(C284&amp;E284&amp;D284,'Category 14'!B:B&amp;'Category 14'!C:C&amp;'Category 14'!A:A,0)),INDEX('Category 14'!G:G,MATCH(C284&amp;E284&amp;D284,'Category 14'!B:B&amp;'Category 14'!C:C&amp;'Category 14'!A:A,0)))</f>
        <v>0</v>
      </c>
      <c r="J284">
        <f>I284/VLOOKUP($D284,CPI!$P$16:$R$22,3,FALSE)</f>
        <v>0</v>
      </c>
      <c r="K284" cm="1">
        <f t="array" ref="K284">IF(B284=0,INDEX('Category 15'!F:F,MATCH(C284&amp;E284&amp;D284,'Category 15'!B:B&amp;'Category 15'!C:C&amp;'Category 15'!A:A,0)),INDEX('Category 15'!G:G,MATCH(C284&amp;E284&amp;D284,'Category 15'!B:B&amp;'Category 31'!C:C&amp;'Category 15'!A:A,0)))</f>
        <v>10000</v>
      </c>
      <c r="L284">
        <f>K284/VLOOKUP($D284,CPI!$P$16:$R$22,3,FALSE)</f>
        <v>10000</v>
      </c>
      <c r="M284" s="16" cm="1">
        <f t="array" ref="M284">IF(B284=0,INDEX('Category 31'!F:F,MATCH(C284&amp;E284&amp;D284,'Category 31'!B:B&amp;'Category 31'!C:C&amp;'Category 31'!A:A,0)),INDEX('Category 31'!G:G,MATCH(C284&amp;E284&amp;D284,'Category 31'!B:B&amp;'Category 31'!C:C&amp;'Category 31'!A:A,0)))</f>
        <v>8798</v>
      </c>
      <c r="N284" s="16">
        <f>M284/VLOOKUP($D284,CPI!$P$16:$R$22,3,FALSE)</f>
        <v>8798</v>
      </c>
      <c r="O284">
        <v>0</v>
      </c>
    </row>
    <row r="285" spans="1:15" ht="16" thickBot="1" x14ac:dyDescent="0.25">
      <c r="A285" s="15">
        <v>2</v>
      </c>
      <c r="B285">
        <f t="shared" si="4"/>
        <v>1</v>
      </c>
      <c r="C285">
        <f>IF(ISBLANK(H285),"",VLOOKUP(H285,Code!B:C,2,FALSE))</f>
        <v>20</v>
      </c>
      <c r="D285">
        <v>2023</v>
      </c>
      <c r="E285">
        <v>110635</v>
      </c>
      <c r="F285" t="s">
        <v>63</v>
      </c>
      <c r="G285" t="s">
        <v>290</v>
      </c>
      <c r="H285" t="s">
        <v>8</v>
      </c>
      <c r="I285" cm="1">
        <f t="array" ref="I285">IF(B285=0,INDEX('Category 14'!F:F,MATCH(C285&amp;E285&amp;D285,'Category 14'!B:B&amp;'Category 14'!C:C&amp;'Category 14'!A:A,0)),INDEX('Category 14'!G:G,MATCH(C285&amp;E285&amp;D285,'Category 14'!B:B&amp;'Category 14'!C:C&amp;'Category 14'!A:A,0)))</f>
        <v>0</v>
      </c>
      <c r="J285">
        <f>I285/VLOOKUP($D285,CPI!$P$16:$R$22,3,FALSE)</f>
        <v>0</v>
      </c>
      <c r="K285" cm="1">
        <f t="array" ref="K285">IF(B285=0,INDEX('Category 15'!F:F,MATCH(C285&amp;E285&amp;D285,'Category 15'!B:B&amp;'Category 15'!C:C&amp;'Category 15'!A:A,0)),INDEX('Category 15'!G:G,MATCH(C285&amp;E285&amp;D285,'Category 15'!B:B&amp;'Category 31'!C:C&amp;'Category 15'!A:A,0)))</f>
        <v>0</v>
      </c>
      <c r="L285">
        <f>K285/VLOOKUP($D285,CPI!$P$16:$R$22,3,FALSE)</f>
        <v>0</v>
      </c>
      <c r="M285" s="16" cm="1">
        <f t="array" ref="M285">IF(B285=0,INDEX('Category 31'!F:F,MATCH(C285&amp;E285&amp;D285,'Category 31'!B:B&amp;'Category 31'!C:C&amp;'Category 31'!A:A,0)),INDEX('Category 31'!G:G,MATCH(C285&amp;E285&amp;D285,'Category 31'!B:B&amp;'Category 31'!C:C&amp;'Category 31'!A:A,0)))</f>
        <v>0</v>
      </c>
      <c r="N285" s="16">
        <f>M285/VLOOKUP($D285,CPI!$P$16:$R$22,3,FALSE)</f>
        <v>0</v>
      </c>
      <c r="O285">
        <v>0</v>
      </c>
    </row>
    <row r="286" spans="1:15" ht="16" thickBot="1" x14ac:dyDescent="0.25">
      <c r="A286" s="15">
        <v>2</v>
      </c>
      <c r="B286">
        <f t="shared" si="4"/>
        <v>1</v>
      </c>
      <c r="C286">
        <f>IF(ISBLANK(H286),"",VLOOKUP(H286,Code!B:C,2,FALSE))</f>
        <v>21</v>
      </c>
      <c r="D286">
        <v>2023</v>
      </c>
      <c r="E286">
        <v>110635</v>
      </c>
      <c r="F286" t="s">
        <v>63</v>
      </c>
      <c r="G286" t="s">
        <v>290</v>
      </c>
      <c r="H286" t="s">
        <v>9</v>
      </c>
      <c r="I286" cm="1">
        <f t="array" ref="I286">IF(B286=0,INDEX('Category 14'!F:F,MATCH(C286&amp;E286&amp;D286,'Category 14'!B:B&amp;'Category 14'!C:C&amp;'Category 14'!A:A,0)),INDEX('Category 14'!G:G,MATCH(C286&amp;E286&amp;D286,'Category 14'!B:B&amp;'Category 14'!C:C&amp;'Category 14'!A:A,0)))</f>
        <v>0</v>
      </c>
      <c r="J286">
        <f>I286/VLOOKUP($D286,CPI!$P$16:$R$22,3,FALSE)</f>
        <v>0</v>
      </c>
      <c r="K286" cm="1">
        <f t="array" ref="K286">IF(B286=0,INDEX('Category 15'!F:F,MATCH(C286&amp;E286&amp;D286,'Category 15'!B:B&amp;'Category 15'!C:C&amp;'Category 15'!A:A,0)),INDEX('Category 15'!G:G,MATCH(C286&amp;E286&amp;D286,'Category 15'!B:B&amp;'Category 31'!C:C&amp;'Category 15'!A:A,0)))</f>
        <v>0</v>
      </c>
      <c r="L286">
        <f>K286/VLOOKUP($D286,CPI!$P$16:$R$22,3,FALSE)</f>
        <v>0</v>
      </c>
      <c r="M286" s="16" cm="1">
        <f t="array" ref="M286">IF(B286=0,INDEX('Category 31'!F:F,MATCH(C286&amp;E286&amp;D286,'Category 31'!B:B&amp;'Category 31'!C:C&amp;'Category 31'!A:A,0)),INDEX('Category 31'!G:G,MATCH(C286&amp;E286&amp;D286,'Category 31'!B:B&amp;'Category 31'!C:C&amp;'Category 31'!A:A,0)))</f>
        <v>5650</v>
      </c>
      <c r="N286" s="16">
        <f>M286/VLOOKUP($D286,CPI!$P$16:$R$22,3,FALSE)</f>
        <v>5650</v>
      </c>
      <c r="O286">
        <v>0</v>
      </c>
    </row>
    <row r="287" spans="1:15" ht="16" thickBot="1" x14ac:dyDescent="0.25">
      <c r="A287" s="15">
        <v>2</v>
      </c>
      <c r="B287">
        <f t="shared" si="4"/>
        <v>1</v>
      </c>
      <c r="C287">
        <f>IF(ISBLANK(H287),"",VLOOKUP(H287,Code!B:C,2,FALSE))</f>
        <v>23</v>
      </c>
      <c r="D287">
        <v>2023</v>
      </c>
      <c r="E287">
        <v>110635</v>
      </c>
      <c r="F287" t="s">
        <v>63</v>
      </c>
      <c r="G287" t="s">
        <v>290</v>
      </c>
      <c r="H287" t="s">
        <v>10</v>
      </c>
      <c r="I287" cm="1">
        <f t="array" ref="I287">IF(B287=0,INDEX('Category 14'!F:F,MATCH(C287&amp;E287&amp;D287,'Category 14'!B:B&amp;'Category 14'!C:C&amp;'Category 14'!A:A,0)),INDEX('Category 14'!G:G,MATCH(C287&amp;E287&amp;D287,'Category 14'!B:B&amp;'Category 14'!C:C&amp;'Category 14'!A:A,0)))</f>
        <v>1740</v>
      </c>
      <c r="J287">
        <f>I287/VLOOKUP($D287,CPI!$P$16:$R$22,3,FALSE)</f>
        <v>1740</v>
      </c>
      <c r="K287" cm="1">
        <f t="array" ref="K287">IF(B287=0,INDEX('Category 15'!F:F,MATCH(C287&amp;E287&amp;D287,'Category 15'!B:B&amp;'Category 15'!C:C&amp;'Category 15'!A:A,0)),INDEX('Category 15'!G:G,MATCH(C287&amp;E287&amp;D287,'Category 15'!B:B&amp;'Category 31'!C:C&amp;'Category 15'!A:A,0)))</f>
        <v>0</v>
      </c>
      <c r="L287">
        <f>K287/VLOOKUP($D287,CPI!$P$16:$R$22,3,FALSE)</f>
        <v>0</v>
      </c>
      <c r="M287" s="16" cm="1">
        <f t="array" ref="M287">IF(B287=0,INDEX('Category 31'!F:F,MATCH(C287&amp;E287&amp;D287,'Category 31'!B:B&amp;'Category 31'!C:C&amp;'Category 31'!A:A,0)),INDEX('Category 31'!G:G,MATCH(C287&amp;E287&amp;D287,'Category 31'!B:B&amp;'Category 31'!C:C&amp;'Category 31'!A:A,0)))</f>
        <v>4822</v>
      </c>
      <c r="N287" s="16">
        <f>M287/VLOOKUP($D287,CPI!$P$16:$R$22,3,FALSE)</f>
        <v>4822</v>
      </c>
      <c r="O287">
        <f>VLOOKUP(E287,WVolleyball!C:S,12,FALSE)</f>
        <v>8662</v>
      </c>
    </row>
    <row r="288" spans="1:15" ht="16" thickBot="1" x14ac:dyDescent="0.25">
      <c r="A288" s="15">
        <v>2</v>
      </c>
      <c r="B288">
        <f t="shared" si="4"/>
        <v>1</v>
      </c>
      <c r="C288">
        <f>IF(ISBLANK(H288),"",VLOOKUP(H288,Code!B:C,2,FALSE))</f>
        <v>24</v>
      </c>
      <c r="D288">
        <v>2023</v>
      </c>
      <c r="E288">
        <v>110635</v>
      </c>
      <c r="F288" t="s">
        <v>63</v>
      </c>
      <c r="G288" t="s">
        <v>290</v>
      </c>
      <c r="H288" t="s">
        <v>34</v>
      </c>
      <c r="I288" cm="1">
        <f t="array" ref="I288">IF(B288=0,INDEX('Category 14'!F:F,MATCH(C288&amp;E288&amp;D288,'Category 14'!B:B&amp;'Category 14'!C:C&amp;'Category 14'!A:A,0)),INDEX('Category 14'!G:G,MATCH(C288&amp;E288&amp;D288,'Category 14'!B:B&amp;'Category 14'!C:C&amp;'Category 14'!A:A,0)))</f>
        <v>0</v>
      </c>
      <c r="J288">
        <f>I288/VLOOKUP($D288,CPI!$P$16:$R$22,3,FALSE)</f>
        <v>0</v>
      </c>
      <c r="K288">
        <v>0</v>
      </c>
      <c r="L288">
        <f>K288/VLOOKUP($D288,CPI!$P$16:$R$22,3,FALSE)</f>
        <v>0</v>
      </c>
      <c r="M288" s="16" cm="1">
        <f t="array" ref="M288">IF(B288=0,INDEX('Category 31'!F:F,MATCH(C288&amp;E288&amp;D288,'Category 31'!B:B&amp;'Category 31'!C:C&amp;'Category 31'!A:A,0)),INDEX('Category 31'!G:G,MATCH(C288&amp;E288&amp;D288,'Category 31'!B:B&amp;'Category 31'!C:C&amp;'Category 31'!A:A,0)))</f>
        <v>0</v>
      </c>
      <c r="N288" s="16">
        <f>M288/VLOOKUP($D288,CPI!$P$16:$R$22,3,FALSE)</f>
        <v>0</v>
      </c>
      <c r="O288">
        <v>0</v>
      </c>
    </row>
    <row r="289" spans="1:15" ht="16" thickBot="1" x14ac:dyDescent="0.25">
      <c r="A289" s="15">
        <v>2</v>
      </c>
      <c r="B289">
        <f t="shared" si="4"/>
        <v>0</v>
      </c>
      <c r="C289">
        <f>IF(ISBLANK(H289),"",VLOOKUP(H289,Code!B:C,2,FALSE))</f>
        <v>2</v>
      </c>
      <c r="D289">
        <v>2017</v>
      </c>
      <c r="E289">
        <v>126614</v>
      </c>
      <c r="F289" t="s">
        <v>75</v>
      </c>
      <c r="G289" t="s">
        <v>289</v>
      </c>
      <c r="H289" t="s">
        <v>1</v>
      </c>
      <c r="I289" cm="1">
        <f t="array" ref="I289">IF(B289=0,INDEX('Category 14'!F:F,MATCH(C289&amp;E289&amp;D289,'Category 14'!B:B&amp;'Category 14'!C:C&amp;'Category 14'!A:A,0)),INDEX('Category 14'!G:G,MATCH(C289&amp;E289&amp;D289,'Category 14'!B:B&amp;'Category 14'!C:C&amp;'Category 14'!A:A,0)))</f>
        <v>91275</v>
      </c>
      <c r="J289">
        <f>I289/VLOOKUP($D289,CPI!$P$16:$R$22,3,FALSE)</f>
        <v>112726.40136365604</v>
      </c>
      <c r="K289" cm="1">
        <f t="array" ref="K289">IF(B289=0,INDEX('Category 15'!F:F,MATCH(C289&amp;E289&amp;D289,'Category 15'!B:B&amp;'Category 15'!C:C&amp;'Category 15'!A:A,0)),INDEX('Category 15'!G:G,MATCH(C289&amp;E289&amp;D289,'Category 15'!B:B&amp;'Category 31'!C:C&amp;'Category 15'!A:A,0)))</f>
        <v>0</v>
      </c>
      <c r="L289">
        <f>K289/VLOOKUP($D289,CPI!$P$16:$R$22,3,FALSE)</f>
        <v>0</v>
      </c>
      <c r="M289" s="16" cm="1">
        <f t="array" ref="M289">IF(B289=0,INDEX('Category 31'!F:F,MATCH(C289&amp;E289&amp;D289,'Category 31'!B:B&amp;'Category 31'!C:C&amp;'Category 31'!A:A,0)),INDEX('Category 31'!G:G,MATCH(C289&amp;E289&amp;D289,'Category 31'!B:B&amp;'Category 31'!C:C&amp;'Category 31'!A:A,0)))</f>
        <v>0</v>
      </c>
      <c r="N289" s="16">
        <f>M289/VLOOKUP($D289,CPI!$P$16:$R$22,3,FALSE)</f>
        <v>0</v>
      </c>
      <c r="O289">
        <f>VLOOKUP(E289,MBasketball!C:S,6,FALSE)</f>
        <v>132119</v>
      </c>
    </row>
    <row r="290" spans="1:15" ht="16" thickBot="1" x14ac:dyDescent="0.25">
      <c r="A290" s="15">
        <v>2</v>
      </c>
      <c r="B290">
        <f t="shared" si="4"/>
        <v>0</v>
      </c>
      <c r="C290">
        <f>IF(ISBLANK(H290),"",VLOOKUP(H290,Code!B:C,2,FALSE))</f>
        <v>8</v>
      </c>
      <c r="D290">
        <v>2017</v>
      </c>
      <c r="E290">
        <v>126614</v>
      </c>
      <c r="F290" t="s">
        <v>75</v>
      </c>
      <c r="G290" t="s">
        <v>289</v>
      </c>
      <c r="H290" t="s">
        <v>2</v>
      </c>
      <c r="I290" cm="1">
        <f t="array" ref="I290">IF(B290=0,INDEX('Category 14'!F:F,MATCH(C290&amp;E290&amp;D290,'Category 14'!B:B&amp;'Category 14'!C:C&amp;'Category 14'!A:A,0)),INDEX('Category 14'!G:G,MATCH(C290&amp;E290&amp;D290,'Category 14'!B:B&amp;'Category 14'!C:C&amp;'Category 14'!A:A,0)))</f>
        <v>1073596</v>
      </c>
      <c r="J290">
        <f>I290/VLOOKUP($D290,CPI!$P$16:$R$22,3,FALSE)</f>
        <v>1325911.9539678518</v>
      </c>
      <c r="K290" cm="1">
        <f t="array" ref="K290">IF(B290=0,INDEX('Category 15'!F:F,MATCH(C290&amp;E290&amp;D290,'Category 15'!B:B&amp;'Category 15'!C:C&amp;'Category 15'!A:A,0)),INDEX('Category 15'!G:G,MATCH(C290&amp;E290&amp;D290,'Category 15'!B:B&amp;'Category 31'!C:C&amp;'Category 15'!A:A,0)))</f>
        <v>42557</v>
      </c>
      <c r="L290">
        <f>K290/VLOOKUP($D290,CPI!$P$16:$R$22,3,FALSE)</f>
        <v>52558.72323016281</v>
      </c>
      <c r="M290" s="16" cm="1">
        <f t="array" ref="M290">IF(B290=0,INDEX('Category 31'!F:F,MATCH(C290&amp;E290&amp;D290,'Category 31'!B:B&amp;'Category 31'!C:C&amp;'Category 31'!A:A,0)),INDEX('Category 31'!G:G,MATCH(C290&amp;E290&amp;D290,'Category 31'!B:B&amp;'Category 31'!C:C&amp;'Category 31'!A:A,0)))</f>
        <v>0</v>
      </c>
      <c r="N290" s="16">
        <f>M290/VLOOKUP($D290,CPI!$P$16:$R$22,3,FALSE)</f>
        <v>0</v>
      </c>
      <c r="O290">
        <f>VLOOKUP(E290,MFootball!C:S,6,FALSE)</f>
        <v>279652</v>
      </c>
    </row>
    <row r="291" spans="1:15" ht="16" thickBot="1" x14ac:dyDescent="0.25">
      <c r="A291" s="15">
        <v>2</v>
      </c>
      <c r="B291">
        <f t="shared" si="4"/>
        <v>0</v>
      </c>
      <c r="C291">
        <f>IF(ISBLANK(H291),"",VLOOKUP(H291,Code!B:C,2,FALSE))</f>
        <v>9</v>
      </c>
      <c r="D291">
        <v>2017</v>
      </c>
      <c r="E291">
        <v>126614</v>
      </c>
      <c r="F291" t="s">
        <v>75</v>
      </c>
      <c r="G291" t="s">
        <v>289</v>
      </c>
      <c r="H291" t="s">
        <v>3</v>
      </c>
      <c r="I291" cm="1">
        <f t="array" ref="I291">IF(B291=0,INDEX('Category 14'!F:F,MATCH(C291&amp;E291&amp;D291,'Category 14'!B:B&amp;'Category 14'!C:C&amp;'Category 14'!A:A,0)),INDEX('Category 14'!G:G,MATCH(C291&amp;E291&amp;D291,'Category 14'!B:B&amp;'Category 14'!C:C&amp;'Category 14'!A:A,0)))</f>
        <v>0</v>
      </c>
      <c r="J291">
        <f>I291/VLOOKUP($D291,CPI!$P$16:$R$22,3,FALSE)</f>
        <v>0</v>
      </c>
      <c r="K291" cm="1">
        <f t="array" ref="K291">IF(B291=0,INDEX('Category 15'!F:F,MATCH(C291&amp;E291&amp;D291,'Category 15'!B:B&amp;'Category 15'!C:C&amp;'Category 15'!A:A,0)),INDEX('Category 15'!G:G,MATCH(C291&amp;E291&amp;D291,'Category 15'!B:B&amp;'Category 31'!C:C&amp;'Category 15'!A:A,0)))</f>
        <v>0</v>
      </c>
      <c r="L291">
        <f>K291/VLOOKUP($D291,CPI!$P$16:$R$22,3,FALSE)</f>
        <v>0</v>
      </c>
      <c r="M291" s="16" cm="1">
        <f t="array" ref="M291">IF(B291=0,INDEX('Category 31'!F:F,MATCH(C291&amp;E291&amp;D291,'Category 31'!B:B&amp;'Category 31'!C:C&amp;'Category 31'!A:A,0)),INDEX('Category 31'!G:G,MATCH(C291&amp;E291&amp;D291,'Category 31'!B:B&amp;'Category 31'!C:C&amp;'Category 31'!A:A,0)))</f>
        <v>15338</v>
      </c>
      <c r="N291" s="16">
        <f>M291/VLOOKUP($D291,CPI!$P$16:$R$22,3,FALSE)</f>
        <v>18942.728503048551</v>
      </c>
      <c r="O291">
        <v>0</v>
      </c>
    </row>
    <row r="292" spans="1:15" ht="16" thickBot="1" x14ac:dyDescent="0.25">
      <c r="A292" s="15">
        <v>2</v>
      </c>
      <c r="B292">
        <f t="shared" si="4"/>
        <v>0</v>
      </c>
      <c r="C292">
        <f>IF(ISBLANK(H292),"",VLOOKUP(H292,Code!B:C,2,FALSE))</f>
        <v>16</v>
      </c>
      <c r="D292">
        <v>2017</v>
      </c>
      <c r="E292">
        <v>126614</v>
      </c>
      <c r="F292" t="s">
        <v>75</v>
      </c>
      <c r="G292" t="s">
        <v>289</v>
      </c>
      <c r="H292" t="s">
        <v>31</v>
      </c>
      <c r="I292" cm="1">
        <f t="array" ref="I292">IF(B292=0,INDEX('Category 14'!F:F,MATCH(C292&amp;E292&amp;D292,'Category 14'!B:B&amp;'Category 14'!C:C&amp;'Category 14'!A:A,0)),INDEX('Category 14'!G:G,MATCH(C292&amp;E292&amp;D292,'Category 14'!B:B&amp;'Category 14'!C:C&amp;'Category 14'!A:A,0)))</f>
        <v>0</v>
      </c>
      <c r="J292">
        <f>I292/VLOOKUP($D292,CPI!$P$16:$R$22,3,FALSE)</f>
        <v>0</v>
      </c>
      <c r="K292" cm="1">
        <f t="array" ref="K292">IF(B292=0,INDEX('Category 15'!F:F,MATCH(C292&amp;E292&amp;D292,'Category 15'!B:B&amp;'Category 15'!C:C&amp;'Category 15'!A:A,0)),INDEX('Category 15'!G:G,MATCH(C292&amp;E292&amp;D292,'Category 15'!B:B&amp;'Category 31'!C:C&amp;'Category 15'!A:A,0)))</f>
        <v>0</v>
      </c>
      <c r="L292">
        <f>K292/VLOOKUP($D292,CPI!$P$16:$R$22,3,FALSE)</f>
        <v>0</v>
      </c>
      <c r="M292" s="16" cm="1">
        <f t="array" ref="M292">IF(B292=0,INDEX('Category 31'!F:F,MATCH(C292&amp;E292&amp;D292,'Category 31'!B:B&amp;'Category 31'!C:C&amp;'Category 31'!A:A,0)),INDEX('Category 31'!G:G,MATCH(C292&amp;E292&amp;D292,'Category 31'!B:B&amp;'Category 31'!C:C&amp;'Category 31'!A:A,0)))</f>
        <v>35206</v>
      </c>
      <c r="N292" s="16">
        <f>M292/VLOOKUP($D292,CPI!$P$16:$R$22,3,FALSE)</f>
        <v>43480.095167448642</v>
      </c>
      <c r="O292">
        <v>0</v>
      </c>
    </row>
    <row r="293" spans="1:15" ht="16" thickBot="1" x14ac:dyDescent="0.25">
      <c r="A293" s="15">
        <v>2</v>
      </c>
      <c r="B293">
        <f t="shared" si="4"/>
        <v>0</v>
      </c>
      <c r="C293">
        <f>IF(ISBLANK(H293),"",VLOOKUP(H293,Code!B:C,2,FALSE))</f>
        <v>21</v>
      </c>
      <c r="D293">
        <v>2017</v>
      </c>
      <c r="E293">
        <v>126614</v>
      </c>
      <c r="F293" t="s">
        <v>75</v>
      </c>
      <c r="G293" t="s">
        <v>289</v>
      </c>
      <c r="H293" t="s">
        <v>36</v>
      </c>
      <c r="I293" cm="1">
        <f t="array" ref="I293">IF(B293=0,INDEX('Category 14'!F:F,MATCH(C293&amp;E293&amp;D293,'Category 14'!B:B&amp;'Category 14'!C:C&amp;'Category 14'!A:A,0)),INDEX('Category 14'!G:G,MATCH(C293&amp;E293&amp;D293,'Category 14'!B:B&amp;'Category 14'!C:C&amp;'Category 14'!A:A,0)))</f>
        <v>46</v>
      </c>
      <c r="J293">
        <f>I293/VLOOKUP($D293,CPI!$P$16:$R$22,3,FALSE)</f>
        <v>56.810895236682313</v>
      </c>
      <c r="K293" cm="1">
        <f t="array" ref="K293">IF(B293=0,INDEX('Category 15'!F:F,MATCH(C293&amp;E293&amp;D293,'Category 15'!B:B&amp;'Category 15'!C:C&amp;'Category 15'!A:A,0)),INDEX('Category 15'!G:G,MATCH(C293&amp;E293&amp;D293,'Category 15'!B:B&amp;'Category 31'!C:C&amp;'Category 15'!A:A,0)))</f>
        <v>0</v>
      </c>
      <c r="L293">
        <f>K293/VLOOKUP($D293,CPI!$P$16:$R$22,3,FALSE)</f>
        <v>0</v>
      </c>
      <c r="M293" s="16" cm="1">
        <f t="array" ref="M293">IF(B293=0,INDEX('Category 31'!F:F,MATCH(C293&amp;E293&amp;D293,'Category 31'!B:B&amp;'Category 31'!C:C&amp;'Category 31'!A:A,0)),INDEX('Category 31'!G:G,MATCH(C293&amp;E293&amp;D293,'Category 31'!B:B&amp;'Category 31'!C:C&amp;'Category 31'!A:A,0)))</f>
        <v>0</v>
      </c>
      <c r="N293" s="16">
        <f>M293/VLOOKUP($D293,CPI!$P$16:$R$22,3,FALSE)</f>
        <v>0</v>
      </c>
      <c r="O293">
        <v>0</v>
      </c>
    </row>
    <row r="294" spans="1:15" ht="16" thickBot="1" x14ac:dyDescent="0.25">
      <c r="A294" s="15">
        <v>2</v>
      </c>
      <c r="B294">
        <f t="shared" si="4"/>
        <v>1</v>
      </c>
      <c r="C294">
        <f>IF(ISBLANK(H294),"",VLOOKUP(H294,Code!B:C,2,FALSE))</f>
        <v>2</v>
      </c>
      <c r="D294">
        <v>2017</v>
      </c>
      <c r="E294">
        <v>126614</v>
      </c>
      <c r="F294" t="s">
        <v>75</v>
      </c>
      <c r="G294" t="s">
        <v>290</v>
      </c>
      <c r="H294" t="s">
        <v>1</v>
      </c>
      <c r="I294" cm="1">
        <f t="array" ref="I294">IF(B294=0,INDEX('Category 14'!F:F,MATCH(C294&amp;E294&amp;D294,'Category 14'!B:B&amp;'Category 14'!C:C&amp;'Category 14'!A:A,0)),INDEX('Category 14'!G:G,MATCH(C294&amp;E294&amp;D294,'Category 14'!B:B&amp;'Category 14'!C:C&amp;'Category 14'!A:A,0)))</f>
        <v>15337</v>
      </c>
      <c r="J294">
        <f>I294/VLOOKUP($D294,CPI!$P$16:$R$22,3,FALSE)</f>
        <v>18941.493483586884</v>
      </c>
      <c r="K294" cm="1">
        <f t="array" ref="K294">IF(B294=0,INDEX('Category 15'!F:F,MATCH(C294&amp;E294&amp;D294,'Category 15'!B:B&amp;'Category 15'!C:C&amp;'Category 15'!A:A,0)),INDEX('Category 15'!G:G,MATCH(C294&amp;E294&amp;D294,'Category 15'!B:B&amp;'Category 31'!C:C&amp;'Category 15'!A:A,0)))</f>
        <v>0</v>
      </c>
      <c r="L294">
        <f>K294/VLOOKUP($D294,CPI!$P$16:$R$22,3,FALSE)</f>
        <v>0</v>
      </c>
      <c r="M294" s="16" cm="1">
        <f t="array" ref="M294">IF(B294=0,INDEX('Category 31'!F:F,MATCH(C294&amp;E294&amp;D294,'Category 31'!B:B&amp;'Category 31'!C:C&amp;'Category 31'!A:A,0)),INDEX('Category 31'!G:G,MATCH(C294&amp;E294&amp;D294,'Category 31'!B:B&amp;'Category 31'!C:C&amp;'Category 31'!A:A,0)))</f>
        <v>0</v>
      </c>
      <c r="N294" s="16">
        <f>M294/VLOOKUP($D294,CPI!$P$16:$R$22,3,FALSE)</f>
        <v>0</v>
      </c>
      <c r="O294">
        <f>VLOOKUP(E294,WBasketball!C:S,6,FALSE)</f>
        <v>32285</v>
      </c>
    </row>
    <row r="295" spans="1:15" ht="16" thickBot="1" x14ac:dyDescent="0.25">
      <c r="A295" s="15">
        <v>2</v>
      </c>
      <c r="B295">
        <f t="shared" si="4"/>
        <v>1</v>
      </c>
      <c r="C295">
        <f>IF(ISBLANK(H295),"",VLOOKUP(H295,Code!B:C,2,FALSE))</f>
        <v>9</v>
      </c>
      <c r="D295">
        <v>2017</v>
      </c>
      <c r="E295">
        <v>126614</v>
      </c>
      <c r="F295" t="s">
        <v>75</v>
      </c>
      <c r="G295" t="s">
        <v>290</v>
      </c>
      <c r="H295" t="s">
        <v>3</v>
      </c>
      <c r="I295" cm="1">
        <f t="array" ref="I295">IF(B295=0,INDEX('Category 14'!F:F,MATCH(C295&amp;E295&amp;D295,'Category 14'!B:B&amp;'Category 14'!C:C&amp;'Category 14'!A:A,0)),INDEX('Category 14'!G:G,MATCH(C295&amp;E295&amp;D295,'Category 14'!B:B&amp;'Category 14'!C:C&amp;'Category 14'!A:A,0)))</f>
        <v>0</v>
      </c>
      <c r="J295">
        <f>I295/VLOOKUP($D295,CPI!$P$16:$R$22,3,FALSE)</f>
        <v>0</v>
      </c>
      <c r="K295" cm="1">
        <f t="array" ref="K295">IF(B295=0,INDEX('Category 15'!F:F,MATCH(C295&amp;E295&amp;D295,'Category 15'!B:B&amp;'Category 15'!C:C&amp;'Category 15'!A:A,0)),INDEX('Category 15'!G:G,MATCH(C295&amp;E295&amp;D295,'Category 15'!B:B&amp;'Category 31'!C:C&amp;'Category 15'!A:A,0)))</f>
        <v>10496</v>
      </c>
      <c r="L295">
        <f>K295/VLOOKUP($D295,CPI!$P$16:$R$22,3,FALSE)</f>
        <v>12962.764269656904</v>
      </c>
      <c r="M295" s="16" cm="1">
        <f t="array" ref="M295">IF(B295=0,INDEX('Category 31'!F:F,MATCH(C295&amp;E295&amp;D295,'Category 31'!B:B&amp;'Category 31'!C:C&amp;'Category 31'!A:A,0)),INDEX('Category 31'!G:G,MATCH(C295&amp;E295&amp;D295,'Category 31'!B:B&amp;'Category 31'!C:C&amp;'Category 31'!A:A,0)))</f>
        <v>5548</v>
      </c>
      <c r="N295" s="16">
        <f>M295/VLOOKUP($D295,CPI!$P$16:$R$22,3,FALSE)</f>
        <v>6851.8879733285539</v>
      </c>
      <c r="O295">
        <v>0</v>
      </c>
    </row>
    <row r="296" spans="1:15" ht="16" thickBot="1" x14ac:dyDescent="0.25">
      <c r="A296" s="15">
        <v>2</v>
      </c>
      <c r="B296">
        <f t="shared" si="4"/>
        <v>1</v>
      </c>
      <c r="C296">
        <f>IF(ISBLANK(H296),"",VLOOKUP(H296,Code!B:C,2,FALSE))</f>
        <v>12</v>
      </c>
      <c r="D296">
        <v>2017</v>
      </c>
      <c r="E296">
        <v>126614</v>
      </c>
      <c r="F296" t="s">
        <v>75</v>
      </c>
      <c r="G296" t="s">
        <v>290</v>
      </c>
      <c r="H296" t="s">
        <v>27</v>
      </c>
      <c r="I296" cm="1">
        <f t="array" ref="I296">IF(B296=0,INDEX('Category 14'!F:F,MATCH(C296&amp;E296&amp;D296,'Category 14'!B:B&amp;'Category 14'!C:C&amp;'Category 14'!A:A,0)),INDEX('Category 14'!G:G,MATCH(C296&amp;E296&amp;D296,'Category 14'!B:B&amp;'Category 14'!C:C&amp;'Category 14'!A:A,0)))</f>
        <v>339</v>
      </c>
      <c r="J296">
        <f>I296/VLOOKUP($D296,CPI!$P$16:$R$22,3,FALSE)</f>
        <v>418.6715975051153</v>
      </c>
      <c r="K296" cm="1">
        <f t="array" ref="K296">IF(B296=0,INDEX('Category 15'!F:F,MATCH(C296&amp;E296&amp;D296,'Category 15'!B:B&amp;'Category 15'!C:C&amp;'Category 15'!A:A,0)),INDEX('Category 15'!G:G,MATCH(C296&amp;E296&amp;D296,'Category 15'!B:B&amp;'Category 31'!C:C&amp;'Category 15'!A:A,0)))</f>
        <v>0</v>
      </c>
      <c r="L296">
        <f>K296/VLOOKUP($D296,CPI!$P$16:$R$22,3,FALSE)</f>
        <v>0</v>
      </c>
      <c r="M296" s="16" cm="1">
        <f t="array" ref="M296">IF(B296=0,INDEX('Category 31'!F:F,MATCH(C296&amp;E296&amp;D296,'Category 31'!B:B&amp;'Category 31'!C:C&amp;'Category 31'!A:A,0)),INDEX('Category 31'!G:G,MATCH(C296&amp;E296&amp;D296,'Category 31'!B:B&amp;'Category 31'!C:C&amp;'Category 31'!A:A,0)))</f>
        <v>0</v>
      </c>
      <c r="N296" s="16">
        <f>M296/VLOOKUP($D296,CPI!$P$16:$R$22,3,FALSE)</f>
        <v>0</v>
      </c>
      <c r="O296">
        <f>VLOOKUP(E296,WLacrosse!C:S,6,FALSE)</f>
        <v>3873</v>
      </c>
    </row>
    <row r="297" spans="1:15" ht="16" thickBot="1" x14ac:dyDescent="0.25">
      <c r="A297" s="15">
        <v>2</v>
      </c>
      <c r="B297">
        <f t="shared" si="4"/>
        <v>1</v>
      </c>
      <c r="C297">
        <f>IF(ISBLANK(H297),"",VLOOKUP(H297,Code!B:C,2,FALSE))</f>
        <v>16</v>
      </c>
      <c r="D297">
        <v>2017</v>
      </c>
      <c r="E297">
        <v>126614</v>
      </c>
      <c r="F297" t="s">
        <v>75</v>
      </c>
      <c r="G297" t="s">
        <v>290</v>
      </c>
      <c r="H297" t="s">
        <v>31</v>
      </c>
      <c r="I297" cm="1">
        <f t="array" ref="I297">IF(B297=0,INDEX('Category 14'!F:F,MATCH(C297&amp;E297&amp;D297,'Category 14'!B:B&amp;'Category 14'!C:C&amp;'Category 14'!A:A,0)),INDEX('Category 14'!G:G,MATCH(C297&amp;E297&amp;D297,'Category 14'!B:B&amp;'Category 14'!C:C&amp;'Category 14'!A:A,0)))</f>
        <v>0</v>
      </c>
      <c r="J297">
        <f>I297/VLOOKUP($D297,CPI!$P$16:$R$22,3,FALSE)</f>
        <v>0</v>
      </c>
      <c r="K297" cm="1">
        <f t="array" ref="K297">IF(B297=0,INDEX('Category 15'!F:F,MATCH(C297&amp;E297&amp;D297,'Category 15'!B:B&amp;'Category 15'!C:C&amp;'Category 15'!A:A,0)),INDEX('Category 15'!G:G,MATCH(C297&amp;E297&amp;D297,'Category 15'!B:B&amp;'Category 31'!C:C&amp;'Category 15'!A:A,0)))</f>
        <v>0</v>
      </c>
      <c r="L297">
        <f>K297/VLOOKUP($D297,CPI!$P$16:$R$22,3,FALSE)</f>
        <v>0</v>
      </c>
      <c r="M297" s="16" cm="1">
        <f t="array" ref="M297">IF(B297=0,INDEX('Category 31'!F:F,MATCH(C297&amp;E297&amp;D297,'Category 31'!B:B&amp;'Category 31'!C:C&amp;'Category 31'!A:A,0)),INDEX('Category 31'!G:G,MATCH(C297&amp;E297&amp;D297,'Category 31'!B:B&amp;'Category 31'!C:C&amp;'Category 31'!A:A,0)))</f>
        <v>35206</v>
      </c>
      <c r="N297" s="16">
        <f>M297/VLOOKUP($D297,CPI!$P$16:$R$22,3,FALSE)</f>
        <v>43480.095167448642</v>
      </c>
      <c r="O297">
        <v>0</v>
      </c>
    </row>
    <row r="298" spans="1:15" ht="16" thickBot="1" x14ac:dyDescent="0.25">
      <c r="A298" s="15">
        <v>2</v>
      </c>
      <c r="B298">
        <f t="shared" si="4"/>
        <v>1</v>
      </c>
      <c r="C298">
        <f>IF(ISBLANK(H298),"",VLOOKUP(H298,Code!B:C,2,FALSE))</f>
        <v>17</v>
      </c>
      <c r="D298">
        <v>2017</v>
      </c>
      <c r="E298">
        <v>126614</v>
      </c>
      <c r="F298" t="s">
        <v>75</v>
      </c>
      <c r="G298" t="s">
        <v>290</v>
      </c>
      <c r="H298" t="s">
        <v>5</v>
      </c>
      <c r="I298" cm="1">
        <f t="array" ref="I298">IF(B298=0,INDEX('Category 14'!F:F,MATCH(C298&amp;E298&amp;D298,'Category 14'!B:B&amp;'Category 14'!C:C&amp;'Category 14'!A:A,0)),INDEX('Category 14'!G:G,MATCH(C298&amp;E298&amp;D298,'Category 14'!B:B&amp;'Category 14'!C:C&amp;'Category 14'!A:A,0)))</f>
        <v>4679</v>
      </c>
      <c r="J298">
        <f>I298/VLOOKUP($D298,CPI!$P$16:$R$22,3,FALSE)</f>
        <v>5778.6560611399245</v>
      </c>
      <c r="K298" cm="1">
        <f t="array" ref="K298">IF(B298=0,INDEX('Category 15'!F:F,MATCH(C298&amp;E298&amp;D298,'Category 15'!B:B&amp;'Category 15'!C:C&amp;'Category 15'!A:A,0)),INDEX('Category 15'!G:G,MATCH(C298&amp;E298&amp;D298,'Category 15'!B:B&amp;'Category 31'!C:C&amp;'Category 15'!A:A,0)))</f>
        <v>0</v>
      </c>
      <c r="L298">
        <f>K298/VLOOKUP($D298,CPI!$P$16:$R$22,3,FALSE)</f>
        <v>0</v>
      </c>
      <c r="M298" s="16" cm="1">
        <f t="array" ref="M298">IF(B298=0,INDEX('Category 31'!F:F,MATCH(C298&amp;E298&amp;D298,'Category 31'!B:B&amp;'Category 31'!C:C&amp;'Category 31'!A:A,0)),INDEX('Category 31'!G:G,MATCH(C298&amp;E298&amp;D298,'Category 31'!B:B&amp;'Category 31'!C:C&amp;'Category 31'!A:A,0)))</f>
        <v>0</v>
      </c>
      <c r="N298" s="16">
        <f>M298/VLOOKUP($D298,CPI!$P$16:$R$22,3,FALSE)</f>
        <v>0</v>
      </c>
      <c r="O298">
        <f>VLOOKUP(E298,WSoccer!C:S,6,FALSE)</f>
        <v>11402</v>
      </c>
    </row>
    <row r="299" spans="1:15" ht="16" thickBot="1" x14ac:dyDescent="0.25">
      <c r="A299" s="15">
        <v>2</v>
      </c>
      <c r="B299">
        <f t="shared" si="4"/>
        <v>1</v>
      </c>
      <c r="C299">
        <f>IF(ISBLANK(H299),"",VLOOKUP(H299,Code!B:C,2,FALSE))</f>
        <v>20</v>
      </c>
      <c r="D299">
        <v>2017</v>
      </c>
      <c r="E299">
        <v>126614</v>
      </c>
      <c r="F299" t="s">
        <v>75</v>
      </c>
      <c r="G299" t="s">
        <v>290</v>
      </c>
      <c r="H299" t="s">
        <v>8</v>
      </c>
      <c r="I299" cm="1">
        <f t="array" ref="I299">IF(B299=0,INDEX('Category 14'!F:F,MATCH(C299&amp;E299&amp;D299,'Category 14'!B:B&amp;'Category 14'!C:C&amp;'Category 14'!A:A,0)),INDEX('Category 14'!G:G,MATCH(C299&amp;E299&amp;D299,'Category 14'!B:B&amp;'Category 14'!C:C&amp;'Category 14'!A:A,0)))</f>
        <v>0</v>
      </c>
      <c r="J299">
        <f>I299/VLOOKUP($D299,CPI!$P$16:$R$22,3,FALSE)</f>
        <v>0</v>
      </c>
      <c r="K299" cm="1">
        <f t="array" ref="K299">IF(B299=0,INDEX('Category 15'!F:F,MATCH(C299&amp;E299&amp;D299,'Category 15'!B:B&amp;'Category 15'!C:C&amp;'Category 15'!A:A,0)),INDEX('Category 15'!G:G,MATCH(C299&amp;E299&amp;D299,'Category 15'!B:B&amp;'Category 31'!C:C&amp;'Category 15'!A:A,0)))</f>
        <v>0</v>
      </c>
      <c r="L299">
        <f>K299/VLOOKUP($D299,CPI!$P$16:$R$22,3,FALSE)</f>
        <v>0</v>
      </c>
      <c r="M299" s="16" cm="1">
        <f t="array" ref="M299">IF(B299=0,INDEX('Category 31'!F:F,MATCH(C299&amp;E299&amp;D299,'Category 31'!B:B&amp;'Category 31'!C:C&amp;'Category 31'!A:A,0)),INDEX('Category 31'!G:G,MATCH(C299&amp;E299&amp;D299,'Category 31'!B:B&amp;'Category 31'!C:C&amp;'Category 31'!A:A,0)))</f>
        <v>0</v>
      </c>
      <c r="N299" s="16">
        <f>M299/VLOOKUP($D299,CPI!$P$16:$R$22,3,FALSE)</f>
        <v>0</v>
      </c>
      <c r="O299">
        <v>0</v>
      </c>
    </row>
    <row r="300" spans="1:15" ht="16" thickBot="1" x14ac:dyDescent="0.25">
      <c r="A300" s="15">
        <v>2</v>
      </c>
      <c r="B300">
        <f t="shared" si="4"/>
        <v>1</v>
      </c>
      <c r="C300">
        <f>IF(ISBLANK(H300),"",VLOOKUP(H300,Code!B:C,2,FALSE))</f>
        <v>21</v>
      </c>
      <c r="D300">
        <v>2017</v>
      </c>
      <c r="E300">
        <v>126614</v>
      </c>
      <c r="F300" t="s">
        <v>75</v>
      </c>
      <c r="G300" t="s">
        <v>290</v>
      </c>
      <c r="H300" t="s">
        <v>36</v>
      </c>
      <c r="I300" cm="1">
        <f t="array" ref="I300">IF(B300=0,INDEX('Category 14'!F:F,MATCH(C300&amp;E300&amp;D300,'Category 14'!B:B&amp;'Category 14'!C:C&amp;'Category 14'!A:A,0)),INDEX('Category 14'!G:G,MATCH(C300&amp;E300&amp;D300,'Category 14'!B:B&amp;'Category 14'!C:C&amp;'Category 14'!A:A,0)))</f>
        <v>46</v>
      </c>
      <c r="J300">
        <f>I300/VLOOKUP($D300,CPI!$P$16:$R$22,3,FALSE)</f>
        <v>56.810895236682313</v>
      </c>
      <c r="K300" cm="1">
        <f t="array" ref="K300">IF(B300=0,INDEX('Category 15'!F:F,MATCH(C300&amp;E300&amp;D300,'Category 15'!B:B&amp;'Category 15'!C:C&amp;'Category 15'!A:A,0)),INDEX('Category 15'!G:G,MATCH(C300&amp;E300&amp;D300,'Category 15'!B:B&amp;'Category 31'!C:C&amp;'Category 15'!A:A,0)))</f>
        <v>0</v>
      </c>
      <c r="L300">
        <f>K300/VLOOKUP($D300,CPI!$P$16:$R$22,3,FALSE)</f>
        <v>0</v>
      </c>
      <c r="M300" s="16" cm="1">
        <f t="array" ref="M300">IF(B300=0,INDEX('Category 31'!F:F,MATCH(C300&amp;E300&amp;D300,'Category 31'!B:B&amp;'Category 31'!C:C&amp;'Category 31'!A:A,0)),INDEX('Category 31'!G:G,MATCH(C300&amp;E300&amp;D300,'Category 31'!B:B&amp;'Category 31'!C:C&amp;'Category 31'!A:A,0)))</f>
        <v>0</v>
      </c>
      <c r="N300" s="16">
        <f>M300/VLOOKUP($D300,CPI!$P$16:$R$22,3,FALSE)</f>
        <v>0</v>
      </c>
      <c r="O300">
        <v>0</v>
      </c>
    </row>
    <row r="301" spans="1:15" ht="16" thickBot="1" x14ac:dyDescent="0.25">
      <c r="A301" s="15">
        <v>2</v>
      </c>
      <c r="B301">
        <f t="shared" si="4"/>
        <v>1</v>
      </c>
      <c r="C301">
        <f>IF(ISBLANK(H301),"",VLOOKUP(H301,Code!B:C,2,FALSE))</f>
        <v>23</v>
      </c>
      <c r="D301">
        <v>2017</v>
      </c>
      <c r="E301">
        <v>126614</v>
      </c>
      <c r="F301" t="s">
        <v>75</v>
      </c>
      <c r="G301" t="s">
        <v>290</v>
      </c>
      <c r="H301" t="s">
        <v>10</v>
      </c>
      <c r="I301" cm="1">
        <f t="array" ref="I301">IF(B301=0,INDEX('Category 14'!F:F,MATCH(C301&amp;E301&amp;D301,'Category 14'!B:B&amp;'Category 14'!C:C&amp;'Category 14'!A:A,0)),INDEX('Category 14'!G:G,MATCH(C301&amp;E301&amp;D301,'Category 14'!B:B&amp;'Category 14'!C:C&amp;'Category 14'!A:A,0)))</f>
        <v>9603</v>
      </c>
      <c r="J301">
        <f>I301/VLOOKUP($D301,CPI!$P$16:$R$22,3,FALSE)</f>
        <v>11859.891890388266</v>
      </c>
      <c r="K301" cm="1">
        <f t="array" ref="K301">IF(B301=0,INDEX('Category 15'!F:F,MATCH(C301&amp;E301&amp;D301,'Category 15'!B:B&amp;'Category 15'!C:C&amp;'Category 15'!A:A,0)),INDEX('Category 15'!G:G,MATCH(C301&amp;E301&amp;D301,'Category 15'!B:B&amp;'Category 31'!C:C&amp;'Category 15'!A:A,0)))</f>
        <v>0</v>
      </c>
      <c r="L301">
        <f>K301/VLOOKUP($D301,CPI!$P$16:$R$22,3,FALSE)</f>
        <v>0</v>
      </c>
      <c r="M301" s="16" cm="1">
        <f t="array" ref="M301">IF(B301=0,INDEX('Category 31'!F:F,MATCH(C301&amp;E301&amp;D301,'Category 31'!B:B&amp;'Category 31'!C:C&amp;'Category 31'!A:A,0)),INDEX('Category 31'!G:G,MATCH(C301&amp;E301&amp;D301,'Category 31'!B:B&amp;'Category 31'!C:C&amp;'Category 31'!A:A,0)))</f>
        <v>0</v>
      </c>
      <c r="N301" s="16">
        <f>M301/VLOOKUP($D301,CPI!$P$16:$R$22,3,FALSE)</f>
        <v>0</v>
      </c>
      <c r="O301">
        <f>VLOOKUP(E301,WVolleyball!C:S,6,FALSE)</f>
        <v>24014</v>
      </c>
    </row>
    <row r="302" spans="1:15" ht="16" thickBot="1" x14ac:dyDescent="0.25">
      <c r="A302" s="15">
        <v>2</v>
      </c>
      <c r="B302">
        <f t="shared" si="4"/>
        <v>0</v>
      </c>
      <c r="C302">
        <f>IF(ISBLANK(H302),"",VLOOKUP(H302,Code!B:C,2,FALSE))</f>
        <v>2</v>
      </c>
      <c r="D302">
        <v>2018</v>
      </c>
      <c r="E302">
        <v>126614</v>
      </c>
      <c r="F302" t="s">
        <v>75</v>
      </c>
      <c r="G302" t="s">
        <v>289</v>
      </c>
      <c r="H302" t="s">
        <v>1</v>
      </c>
      <c r="I302" cm="1">
        <f t="array" ref="I302">IF(B302=0,INDEX('Category 14'!F:F,MATCH(C302&amp;E302&amp;D302,'Category 14'!B:B&amp;'Category 14'!C:C&amp;'Category 14'!A:A,0)),INDEX('Category 14'!G:G,MATCH(C302&amp;E302&amp;D302,'Category 14'!B:B&amp;'Category 14'!C:C&amp;'Category 14'!A:A,0)))</f>
        <v>141277</v>
      </c>
      <c r="J302">
        <f>I302/VLOOKUP($D302,CPI!$P$16:$R$22,3,FALSE)</f>
        <v>170633.74407962087</v>
      </c>
      <c r="K302" cm="1">
        <f t="array" ref="K302">IF(B302=0,INDEX('Category 15'!F:F,MATCH(C302&amp;E302&amp;D302,'Category 15'!B:B&amp;'Category 15'!C:C&amp;'Category 15'!A:A,0)),INDEX('Category 15'!G:G,MATCH(C302&amp;E302&amp;D302,'Category 15'!B:B&amp;'Category 31'!C:C&amp;'Category 15'!A:A,0)))</f>
        <v>0</v>
      </c>
      <c r="L302">
        <f>K302/VLOOKUP($D302,CPI!$P$16:$R$22,3,FALSE)</f>
        <v>0</v>
      </c>
      <c r="M302" s="16" cm="1">
        <f t="array" ref="M302">IF(B302=0,INDEX('Category 31'!F:F,MATCH(C302&amp;E302&amp;D302,'Category 31'!B:B&amp;'Category 31'!C:C&amp;'Category 31'!A:A,0)),INDEX('Category 31'!G:G,MATCH(C302&amp;E302&amp;D302,'Category 31'!B:B&amp;'Category 31'!C:C&amp;'Category 31'!A:A,0)))</f>
        <v>0</v>
      </c>
      <c r="N302" s="16">
        <f>M302/VLOOKUP($D302,CPI!$P$16:$R$22,3,FALSE)</f>
        <v>0</v>
      </c>
      <c r="O302">
        <f>VLOOKUP(E289,MBasketball!C:S,7,FALSE)</f>
        <v>104088</v>
      </c>
    </row>
    <row r="303" spans="1:15" ht="16" thickBot="1" x14ac:dyDescent="0.25">
      <c r="A303" s="15">
        <v>2</v>
      </c>
      <c r="B303">
        <f t="shared" si="4"/>
        <v>0</v>
      </c>
      <c r="C303">
        <f>IF(ISBLANK(H303),"",VLOOKUP(H303,Code!B:C,2,FALSE))</f>
        <v>8</v>
      </c>
      <c r="D303">
        <v>2018</v>
      </c>
      <c r="E303">
        <v>126614</v>
      </c>
      <c r="F303" t="s">
        <v>75</v>
      </c>
      <c r="G303" t="s">
        <v>289</v>
      </c>
      <c r="H303" t="s">
        <v>2</v>
      </c>
      <c r="I303" cm="1">
        <f t="array" ref="I303">IF(B303=0,INDEX('Category 14'!F:F,MATCH(C303&amp;E303&amp;D303,'Category 14'!B:B&amp;'Category 14'!C:C&amp;'Category 14'!A:A,0)),INDEX('Category 14'!G:G,MATCH(C303&amp;E303&amp;D303,'Category 14'!B:B&amp;'Category 14'!C:C&amp;'Category 14'!A:A,0)))</f>
        <v>1011845</v>
      </c>
      <c r="J303">
        <f>I303/VLOOKUP($D303,CPI!$P$16:$R$22,3,FALSE)</f>
        <v>1222101.9753975805</v>
      </c>
      <c r="K303" cm="1">
        <f t="array" ref="K303">IF(B303=0,INDEX('Category 15'!F:F,MATCH(C303&amp;E303&amp;D303,'Category 15'!B:B&amp;'Category 15'!C:C&amp;'Category 15'!A:A,0)),INDEX('Category 15'!G:G,MATCH(C303&amp;E303&amp;D303,'Category 15'!B:B&amp;'Category 31'!C:C&amp;'Category 15'!A:A,0)))</f>
        <v>39776</v>
      </c>
      <c r="L303">
        <f>K303/VLOOKUP($D303,CPI!$P$16:$R$22,3,FALSE)</f>
        <v>48041.279221040932</v>
      </c>
      <c r="M303" s="16" cm="1">
        <f t="array" ref="M303">IF(B303=0,INDEX('Category 31'!F:F,MATCH(C303&amp;E303&amp;D303,'Category 31'!B:B&amp;'Category 31'!C:C&amp;'Category 31'!A:A,0)),INDEX('Category 31'!G:G,MATCH(C303&amp;E303&amp;D303,'Category 31'!B:B&amp;'Category 31'!C:C&amp;'Category 31'!A:A,0)))</f>
        <v>703</v>
      </c>
      <c r="N303" s="16">
        <f>M303/VLOOKUP($D303,CPI!$P$16:$R$22,3,FALSE)</f>
        <v>849.08033216994602</v>
      </c>
      <c r="O303">
        <f>VLOOKUP(E303,MFootball!C:S,7,FALSE)</f>
        <v>282335</v>
      </c>
    </row>
    <row r="304" spans="1:15" ht="16" thickBot="1" x14ac:dyDescent="0.25">
      <c r="A304" s="15">
        <v>2</v>
      </c>
      <c r="B304">
        <f t="shared" si="4"/>
        <v>0</v>
      </c>
      <c r="C304">
        <f>IF(ISBLANK(H304),"",VLOOKUP(H304,Code!B:C,2,FALSE))</f>
        <v>9</v>
      </c>
      <c r="D304">
        <v>2018</v>
      </c>
      <c r="E304">
        <v>126614</v>
      </c>
      <c r="F304" t="s">
        <v>75</v>
      </c>
      <c r="G304" t="s">
        <v>289</v>
      </c>
      <c r="H304" t="s">
        <v>3</v>
      </c>
      <c r="I304" cm="1">
        <f t="array" ref="I304">IF(B304=0,INDEX('Category 14'!F:F,MATCH(C304&amp;E304&amp;D304,'Category 14'!B:B&amp;'Category 14'!C:C&amp;'Category 14'!A:A,0)),INDEX('Category 14'!G:G,MATCH(C304&amp;E304&amp;D304,'Category 14'!B:B&amp;'Category 14'!C:C&amp;'Category 14'!A:A,0)))</f>
        <v>0</v>
      </c>
      <c r="J304">
        <f>I304/VLOOKUP($D304,CPI!$P$16:$R$22,3,FALSE)</f>
        <v>0</v>
      </c>
      <c r="K304" cm="1">
        <f t="array" ref="K304">IF(B304=0,INDEX('Category 15'!F:F,MATCH(C304&amp;E304&amp;D304,'Category 15'!B:B&amp;'Category 15'!C:C&amp;'Category 15'!A:A,0)),INDEX('Category 15'!G:G,MATCH(C304&amp;E304&amp;D304,'Category 15'!B:B&amp;'Category 31'!C:C&amp;'Category 15'!A:A,0)))</f>
        <v>0</v>
      </c>
      <c r="L304">
        <f>K304/VLOOKUP($D304,CPI!$P$16:$R$22,3,FALSE)</f>
        <v>0</v>
      </c>
      <c r="M304" s="16" cm="1">
        <f t="array" ref="M304">IF(B304=0,INDEX('Category 31'!F:F,MATCH(C304&amp;E304&amp;D304,'Category 31'!B:B&amp;'Category 31'!C:C&amp;'Category 31'!A:A,0)),INDEX('Category 31'!G:G,MATCH(C304&amp;E304&amp;D304,'Category 31'!B:B&amp;'Category 31'!C:C&amp;'Category 31'!A:A,0)))</f>
        <v>20269</v>
      </c>
      <c r="N304" s="16">
        <f>M304/VLOOKUP($D304,CPI!$P$16:$R$22,3,FALSE)</f>
        <v>24480.809747870037</v>
      </c>
      <c r="O304">
        <v>0</v>
      </c>
    </row>
    <row r="305" spans="1:15" ht="16" thickBot="1" x14ac:dyDescent="0.25">
      <c r="A305" s="15">
        <v>2</v>
      </c>
      <c r="B305">
        <f t="shared" si="4"/>
        <v>0</v>
      </c>
      <c r="C305">
        <f>IF(ISBLANK(H305),"",VLOOKUP(H305,Code!B:C,2,FALSE))</f>
        <v>16</v>
      </c>
      <c r="D305">
        <v>2018</v>
      </c>
      <c r="E305">
        <v>126614</v>
      </c>
      <c r="F305" t="s">
        <v>75</v>
      </c>
      <c r="G305" t="s">
        <v>289</v>
      </c>
      <c r="H305" t="s">
        <v>31</v>
      </c>
      <c r="I305" cm="1">
        <f t="array" ref="I305">IF(B305=0,INDEX('Category 14'!F:F,MATCH(C305&amp;E305&amp;D305,'Category 14'!B:B&amp;'Category 14'!C:C&amp;'Category 14'!A:A,0)),INDEX('Category 14'!G:G,MATCH(C305&amp;E305&amp;D305,'Category 14'!B:B&amp;'Category 14'!C:C&amp;'Category 14'!A:A,0)))</f>
        <v>0</v>
      </c>
      <c r="J305">
        <f>I305/VLOOKUP($D305,CPI!$P$16:$R$22,3,FALSE)</f>
        <v>0</v>
      </c>
      <c r="K305" cm="1">
        <f t="array" ref="K305">IF(B305=0,INDEX('Category 15'!F:F,MATCH(C305&amp;E305&amp;D305,'Category 15'!B:B&amp;'Category 15'!C:C&amp;'Category 15'!A:A,0)),INDEX('Category 15'!G:G,MATCH(C305&amp;E305&amp;D305,'Category 15'!B:B&amp;'Category 31'!C:C&amp;'Category 15'!A:A,0)))</f>
        <v>0</v>
      </c>
      <c r="L305">
        <f>K305/VLOOKUP($D305,CPI!$P$16:$R$22,3,FALSE)</f>
        <v>0</v>
      </c>
      <c r="M305" s="16" cm="1">
        <f t="array" ref="M305">IF(B305=0,INDEX('Category 31'!F:F,MATCH(C305&amp;E305&amp;D305,'Category 31'!B:B&amp;'Category 31'!C:C&amp;'Category 31'!A:A,0)),INDEX('Category 31'!G:G,MATCH(C305&amp;E305&amp;D305,'Category 31'!B:B&amp;'Category 31'!C:C&amp;'Category 31'!A:A,0)))</f>
        <v>37533</v>
      </c>
      <c r="N305" s="16">
        <f>M305/VLOOKUP($D305,CPI!$P$16:$R$22,3,FALSE)</f>
        <v>45332.193609295289</v>
      </c>
      <c r="O305">
        <v>0</v>
      </c>
    </row>
    <row r="306" spans="1:15" ht="16" thickBot="1" x14ac:dyDescent="0.25">
      <c r="A306" s="15">
        <v>2</v>
      </c>
      <c r="B306">
        <f t="shared" si="4"/>
        <v>0</v>
      </c>
      <c r="C306">
        <f>IF(ISBLANK(H306),"",VLOOKUP(H306,Code!B:C,2,FALSE))</f>
        <v>21</v>
      </c>
      <c r="D306">
        <v>2018</v>
      </c>
      <c r="E306">
        <v>126614</v>
      </c>
      <c r="F306" t="s">
        <v>75</v>
      </c>
      <c r="G306" t="s">
        <v>289</v>
      </c>
      <c r="H306" t="s">
        <v>36</v>
      </c>
      <c r="I306" cm="1">
        <f t="array" ref="I306">IF(B306=0,INDEX('Category 14'!F:F,MATCH(C306&amp;E306&amp;D306,'Category 14'!B:B&amp;'Category 14'!C:C&amp;'Category 14'!A:A,0)),INDEX('Category 14'!G:G,MATCH(C306&amp;E306&amp;D306,'Category 14'!B:B&amp;'Category 14'!C:C&amp;'Category 14'!A:A,0)))</f>
        <v>61</v>
      </c>
      <c r="J306">
        <f>I306/VLOOKUP($D306,CPI!$P$16:$R$22,3,FALSE)</f>
        <v>73.675533801375124</v>
      </c>
      <c r="K306" cm="1">
        <f t="array" ref="K306">IF(B306=0,INDEX('Category 15'!F:F,MATCH(C306&amp;E306&amp;D306,'Category 15'!B:B&amp;'Category 15'!C:C&amp;'Category 15'!A:A,0)),INDEX('Category 15'!G:G,MATCH(C306&amp;E306&amp;D306,'Category 15'!B:B&amp;'Category 31'!C:C&amp;'Category 15'!A:A,0)))</f>
        <v>0</v>
      </c>
      <c r="L306">
        <f>K306/VLOOKUP($D306,CPI!$P$16:$R$22,3,FALSE)</f>
        <v>0</v>
      </c>
      <c r="M306" s="16" cm="1">
        <f t="array" ref="M306">IF(B306=0,INDEX('Category 31'!F:F,MATCH(C306&amp;E306&amp;D306,'Category 31'!B:B&amp;'Category 31'!C:C&amp;'Category 31'!A:A,0)),INDEX('Category 31'!G:G,MATCH(C306&amp;E306&amp;D306,'Category 31'!B:B&amp;'Category 31'!C:C&amp;'Category 31'!A:A,0)))</f>
        <v>0</v>
      </c>
      <c r="N306" s="16">
        <f>M306/VLOOKUP($D306,CPI!$P$16:$R$22,3,FALSE)</f>
        <v>0</v>
      </c>
      <c r="O306">
        <v>0</v>
      </c>
    </row>
    <row r="307" spans="1:15" ht="16" thickBot="1" x14ac:dyDescent="0.25">
      <c r="A307" s="15">
        <v>2</v>
      </c>
      <c r="B307">
        <f t="shared" si="4"/>
        <v>1</v>
      </c>
      <c r="C307">
        <f>IF(ISBLANK(H307),"",VLOOKUP(H307,Code!B:C,2,FALSE))</f>
        <v>2</v>
      </c>
      <c r="D307">
        <v>2018</v>
      </c>
      <c r="E307">
        <v>126614</v>
      </c>
      <c r="F307" t="s">
        <v>75</v>
      </c>
      <c r="G307" t="s">
        <v>290</v>
      </c>
      <c r="H307" t="s">
        <v>1</v>
      </c>
      <c r="I307" cm="1">
        <f t="array" ref="I307">IF(B307=0,INDEX('Category 14'!F:F,MATCH(C307&amp;E307&amp;D307,'Category 14'!B:B&amp;'Category 14'!C:C&amp;'Category 14'!A:A,0)),INDEX('Category 14'!G:G,MATCH(C307&amp;E307&amp;D307,'Category 14'!B:B&amp;'Category 14'!C:C&amp;'Category 14'!A:A,0)))</f>
        <v>17470</v>
      </c>
      <c r="J307">
        <f>I307/VLOOKUP($D307,CPI!$P$16:$R$22,3,FALSE)</f>
        <v>21100.189762459398</v>
      </c>
      <c r="K307" cm="1">
        <f t="array" ref="K307">IF(B307=0,INDEX('Category 15'!F:F,MATCH(C307&amp;E307&amp;D307,'Category 15'!B:B&amp;'Category 15'!C:C&amp;'Category 15'!A:A,0)),INDEX('Category 15'!G:G,MATCH(C307&amp;E307&amp;D307,'Category 15'!B:B&amp;'Category 31'!C:C&amp;'Category 15'!A:A,0)))</f>
        <v>0</v>
      </c>
      <c r="L307">
        <f>K307/VLOOKUP($D307,CPI!$P$16:$R$22,3,FALSE)</f>
        <v>0</v>
      </c>
      <c r="M307" s="16" cm="1">
        <f t="array" ref="M307">IF(B307=0,INDEX('Category 31'!F:F,MATCH(C307&amp;E307&amp;D307,'Category 31'!B:B&amp;'Category 31'!C:C&amp;'Category 31'!A:A,0)),INDEX('Category 31'!G:G,MATCH(C307&amp;E307&amp;D307,'Category 31'!B:B&amp;'Category 31'!C:C&amp;'Category 31'!A:A,0)))</f>
        <v>0</v>
      </c>
      <c r="N307" s="16">
        <f>M307/VLOOKUP($D307,CPI!$P$16:$R$22,3,FALSE)</f>
        <v>0</v>
      </c>
      <c r="O307">
        <f>VLOOKUP(E307,WBasketball!C:S,7,FALSE)</f>
        <v>29134</v>
      </c>
    </row>
    <row r="308" spans="1:15" ht="16" thickBot="1" x14ac:dyDescent="0.25">
      <c r="A308" s="15">
        <v>2</v>
      </c>
      <c r="B308">
        <f t="shared" si="4"/>
        <v>1</v>
      </c>
      <c r="C308">
        <f>IF(ISBLANK(H308),"",VLOOKUP(H308,Code!B:C,2,FALSE))</f>
        <v>9</v>
      </c>
      <c r="D308">
        <v>2018</v>
      </c>
      <c r="E308">
        <v>126614</v>
      </c>
      <c r="F308" t="s">
        <v>75</v>
      </c>
      <c r="G308" t="s">
        <v>290</v>
      </c>
      <c r="H308" t="s">
        <v>3</v>
      </c>
      <c r="I308" cm="1">
        <f t="array" ref="I308">IF(B308=0,INDEX('Category 14'!F:F,MATCH(C308&amp;E308&amp;D308,'Category 14'!B:B&amp;'Category 14'!C:C&amp;'Category 14'!A:A,0)),INDEX('Category 14'!G:G,MATCH(C308&amp;E308&amp;D308,'Category 14'!B:B&amp;'Category 14'!C:C&amp;'Category 14'!A:A,0)))</f>
        <v>0</v>
      </c>
      <c r="J308">
        <f>I308/VLOOKUP($D308,CPI!$P$16:$R$22,3,FALSE)</f>
        <v>0</v>
      </c>
      <c r="K308" cm="1">
        <f t="array" ref="K308">IF(B308=0,INDEX('Category 15'!F:F,MATCH(C308&amp;E308&amp;D308,'Category 15'!B:B&amp;'Category 15'!C:C&amp;'Category 15'!A:A,0)),INDEX('Category 15'!G:G,MATCH(C308&amp;E308&amp;D308,'Category 15'!B:B&amp;'Category 31'!C:C&amp;'Category 15'!A:A,0)))</f>
        <v>0</v>
      </c>
      <c r="L308">
        <f>K308/VLOOKUP($D308,CPI!$P$16:$R$22,3,FALSE)</f>
        <v>0</v>
      </c>
      <c r="M308" s="16" cm="1">
        <f t="array" ref="M308">IF(B308=0,INDEX('Category 31'!F:F,MATCH(C308&amp;E308&amp;D308,'Category 31'!B:B&amp;'Category 31'!C:C&amp;'Category 31'!A:A,0)),INDEX('Category 31'!G:G,MATCH(C308&amp;E308&amp;D308,'Category 31'!B:B&amp;'Category 31'!C:C&amp;'Category 31'!A:A,0)))</f>
        <v>4040</v>
      </c>
      <c r="N308" s="16">
        <f>M308/VLOOKUP($D308,CPI!$P$16:$R$22,3,FALSE)</f>
        <v>4879.4943697959916</v>
      </c>
      <c r="O308">
        <v>0</v>
      </c>
    </row>
    <row r="309" spans="1:15" ht="16" thickBot="1" x14ac:dyDescent="0.25">
      <c r="A309" s="15">
        <v>2</v>
      </c>
      <c r="B309">
        <f t="shared" si="4"/>
        <v>1</v>
      </c>
      <c r="C309">
        <f>IF(ISBLANK(H309),"",VLOOKUP(H309,Code!B:C,2,FALSE))</f>
        <v>12</v>
      </c>
      <c r="D309">
        <v>2018</v>
      </c>
      <c r="E309">
        <v>126614</v>
      </c>
      <c r="F309" t="s">
        <v>75</v>
      </c>
      <c r="G309" t="s">
        <v>290</v>
      </c>
      <c r="H309" t="s">
        <v>27</v>
      </c>
      <c r="I309" cm="1">
        <f t="array" ref="I309">IF(B309=0,INDEX('Category 14'!F:F,MATCH(C309&amp;E309&amp;D309,'Category 14'!B:B&amp;'Category 14'!C:C&amp;'Category 14'!A:A,0)),INDEX('Category 14'!G:G,MATCH(C309&amp;E309&amp;D309,'Category 14'!B:B&amp;'Category 14'!C:C&amp;'Category 14'!A:A,0)))</f>
        <v>3377</v>
      </c>
      <c r="J309">
        <f>I309/VLOOKUP($D309,CPI!$P$16:$R$22,3,FALSE)</f>
        <v>4078.7258630695701</v>
      </c>
      <c r="K309" cm="1">
        <f t="array" ref="K309">IF(B309=0,INDEX('Category 15'!F:F,MATCH(C309&amp;E309&amp;D309,'Category 15'!B:B&amp;'Category 15'!C:C&amp;'Category 15'!A:A,0)),INDEX('Category 15'!G:G,MATCH(C309&amp;E309&amp;D309,'Category 15'!B:B&amp;'Category 31'!C:C&amp;'Category 15'!A:A,0)))</f>
        <v>0</v>
      </c>
      <c r="L309">
        <f>K309/VLOOKUP($D309,CPI!$P$16:$R$22,3,FALSE)</f>
        <v>0</v>
      </c>
      <c r="M309" s="16" cm="1">
        <f t="array" ref="M309">IF(B309=0,INDEX('Category 31'!F:F,MATCH(C309&amp;E309&amp;D309,'Category 31'!B:B&amp;'Category 31'!C:C&amp;'Category 31'!A:A,0)),INDEX('Category 31'!G:G,MATCH(C309&amp;E309&amp;D309,'Category 31'!B:B&amp;'Category 31'!C:C&amp;'Category 31'!A:A,0)))</f>
        <v>0</v>
      </c>
      <c r="N309" s="16">
        <f>M309/VLOOKUP($D309,CPI!$P$16:$R$22,3,FALSE)</f>
        <v>0</v>
      </c>
      <c r="O309">
        <f>VLOOKUP(E309,WLacrosse!C:S,7,FALSE)</f>
        <v>3763</v>
      </c>
    </row>
    <row r="310" spans="1:15" ht="16" thickBot="1" x14ac:dyDescent="0.25">
      <c r="A310" s="15">
        <v>2</v>
      </c>
      <c r="B310">
        <f t="shared" si="4"/>
        <v>1</v>
      </c>
      <c r="C310">
        <f>IF(ISBLANK(H310),"",VLOOKUP(H310,Code!B:C,2,FALSE))</f>
        <v>16</v>
      </c>
      <c r="D310">
        <v>2018</v>
      </c>
      <c r="E310">
        <v>126614</v>
      </c>
      <c r="F310" t="s">
        <v>75</v>
      </c>
      <c r="G310" t="s">
        <v>290</v>
      </c>
      <c r="H310" t="s">
        <v>31</v>
      </c>
      <c r="I310" cm="1">
        <f t="array" ref="I310">IF(B310=0,INDEX('Category 14'!F:F,MATCH(C310&amp;E310&amp;D310,'Category 14'!B:B&amp;'Category 14'!C:C&amp;'Category 14'!A:A,0)),INDEX('Category 14'!G:G,MATCH(C310&amp;E310&amp;D310,'Category 14'!B:B&amp;'Category 14'!C:C&amp;'Category 14'!A:A,0)))</f>
        <v>0</v>
      </c>
      <c r="J310">
        <f>I310/VLOOKUP($D310,CPI!$P$16:$R$22,3,FALSE)</f>
        <v>0</v>
      </c>
      <c r="K310" cm="1">
        <f t="array" ref="K310">IF(B310=0,INDEX('Category 15'!F:F,MATCH(C310&amp;E310&amp;D310,'Category 15'!B:B&amp;'Category 15'!C:C&amp;'Category 15'!A:A,0)),INDEX('Category 15'!G:G,MATCH(C310&amp;E310&amp;D310,'Category 15'!B:B&amp;'Category 31'!C:C&amp;'Category 15'!A:A,0)))</f>
        <v>0</v>
      </c>
      <c r="L310">
        <f>K310/VLOOKUP($D310,CPI!$P$16:$R$22,3,FALSE)</f>
        <v>0</v>
      </c>
      <c r="M310" s="16" cm="1">
        <f t="array" ref="M310">IF(B310=0,INDEX('Category 31'!F:F,MATCH(C310&amp;E310&amp;D310,'Category 31'!B:B&amp;'Category 31'!C:C&amp;'Category 31'!A:A,0)),INDEX('Category 31'!G:G,MATCH(C310&amp;E310&amp;D310,'Category 31'!B:B&amp;'Category 31'!C:C&amp;'Category 31'!A:A,0)))</f>
        <v>37533</v>
      </c>
      <c r="N310" s="16">
        <f>M310/VLOOKUP($D310,CPI!$P$16:$R$22,3,FALSE)</f>
        <v>45332.193609295289</v>
      </c>
      <c r="O310">
        <v>0</v>
      </c>
    </row>
    <row r="311" spans="1:15" ht="16" thickBot="1" x14ac:dyDescent="0.25">
      <c r="A311" s="15">
        <v>2</v>
      </c>
      <c r="B311">
        <f t="shared" si="4"/>
        <v>1</v>
      </c>
      <c r="C311">
        <f>IF(ISBLANK(H311),"",VLOOKUP(H311,Code!B:C,2,FALSE))</f>
        <v>17</v>
      </c>
      <c r="D311">
        <v>2018</v>
      </c>
      <c r="E311">
        <v>126614</v>
      </c>
      <c r="F311" t="s">
        <v>75</v>
      </c>
      <c r="G311" t="s">
        <v>290</v>
      </c>
      <c r="H311" t="s">
        <v>5</v>
      </c>
      <c r="I311" cm="1">
        <f t="array" ref="I311">IF(B311=0,INDEX('Category 14'!F:F,MATCH(C311&amp;E311&amp;D311,'Category 14'!B:B&amp;'Category 14'!C:C&amp;'Category 14'!A:A,0)),INDEX('Category 14'!G:G,MATCH(C311&amp;E311&amp;D311,'Category 14'!B:B&amp;'Category 14'!C:C&amp;'Category 14'!A:A,0)))</f>
        <v>5047</v>
      </c>
      <c r="J311">
        <f>I311/VLOOKUP($D311,CPI!$P$16:$R$22,3,FALSE)</f>
        <v>6095.7445753367256</v>
      </c>
      <c r="K311" cm="1">
        <f t="array" ref="K311">IF(B311=0,INDEX('Category 15'!F:F,MATCH(C311&amp;E311&amp;D311,'Category 15'!B:B&amp;'Category 15'!C:C&amp;'Category 15'!A:A,0)),INDEX('Category 15'!G:G,MATCH(C311&amp;E311&amp;D311,'Category 15'!B:B&amp;'Category 31'!C:C&amp;'Category 15'!A:A,0)))</f>
        <v>0</v>
      </c>
      <c r="L311">
        <f>K311/VLOOKUP($D311,CPI!$P$16:$R$22,3,FALSE)</f>
        <v>0</v>
      </c>
      <c r="M311" s="16" cm="1">
        <f t="array" ref="M311">IF(B311=0,INDEX('Category 31'!F:F,MATCH(C311&amp;E311&amp;D311,'Category 31'!B:B&amp;'Category 31'!C:C&amp;'Category 31'!A:A,0)),INDEX('Category 31'!G:G,MATCH(C311&amp;E311&amp;D311,'Category 31'!B:B&amp;'Category 31'!C:C&amp;'Category 31'!A:A,0)))</f>
        <v>0</v>
      </c>
      <c r="N311" s="16">
        <f>M311/VLOOKUP($D311,CPI!$P$16:$R$22,3,FALSE)</f>
        <v>0</v>
      </c>
      <c r="O311">
        <f>VLOOKUP(E311,WSoccer!C:S,7,FALSE)</f>
        <v>10497</v>
      </c>
    </row>
    <row r="312" spans="1:15" ht="16" thickBot="1" x14ac:dyDescent="0.25">
      <c r="A312" s="15">
        <v>2</v>
      </c>
      <c r="B312">
        <f t="shared" si="4"/>
        <v>1</v>
      </c>
      <c r="C312">
        <f>IF(ISBLANK(H312),"",VLOOKUP(H312,Code!B:C,2,FALSE))</f>
        <v>20</v>
      </c>
      <c r="D312">
        <v>2018</v>
      </c>
      <c r="E312">
        <v>126614</v>
      </c>
      <c r="F312" t="s">
        <v>75</v>
      </c>
      <c r="G312" t="s">
        <v>290</v>
      </c>
      <c r="H312" t="s">
        <v>8</v>
      </c>
      <c r="I312" cm="1">
        <f t="array" ref="I312">IF(B312=0,INDEX('Category 14'!F:F,MATCH(C312&amp;E312&amp;D312,'Category 14'!B:B&amp;'Category 14'!C:C&amp;'Category 14'!A:A,0)),INDEX('Category 14'!G:G,MATCH(C312&amp;E312&amp;D312,'Category 14'!B:B&amp;'Category 14'!C:C&amp;'Category 14'!A:A,0)))</f>
        <v>0</v>
      </c>
      <c r="J312">
        <f>I312/VLOOKUP($D312,CPI!$P$16:$R$22,3,FALSE)</f>
        <v>0</v>
      </c>
      <c r="K312" cm="1">
        <f t="array" ref="K312">IF(B312=0,INDEX('Category 15'!F:F,MATCH(C312&amp;E312&amp;D312,'Category 15'!B:B&amp;'Category 15'!C:C&amp;'Category 15'!A:A,0)),INDEX('Category 15'!G:G,MATCH(C312&amp;E312&amp;D312,'Category 15'!B:B&amp;'Category 31'!C:C&amp;'Category 15'!A:A,0)))</f>
        <v>0</v>
      </c>
      <c r="L312">
        <f>K312/VLOOKUP($D312,CPI!$P$16:$R$22,3,FALSE)</f>
        <v>0</v>
      </c>
      <c r="M312" s="16" cm="1">
        <f t="array" ref="M312">IF(B312=0,INDEX('Category 31'!F:F,MATCH(C312&amp;E312&amp;D312,'Category 31'!B:B&amp;'Category 31'!C:C&amp;'Category 31'!A:A,0)),INDEX('Category 31'!G:G,MATCH(C312&amp;E312&amp;D312,'Category 31'!B:B&amp;'Category 31'!C:C&amp;'Category 31'!A:A,0)))</f>
        <v>0</v>
      </c>
      <c r="N312" s="16">
        <f>M312/VLOOKUP($D312,CPI!$P$16:$R$22,3,FALSE)</f>
        <v>0</v>
      </c>
      <c r="O312">
        <v>0</v>
      </c>
    </row>
    <row r="313" spans="1:15" ht="16" thickBot="1" x14ac:dyDescent="0.25">
      <c r="A313" s="15">
        <v>2</v>
      </c>
      <c r="B313">
        <f t="shared" si="4"/>
        <v>1</v>
      </c>
      <c r="C313">
        <f>IF(ISBLANK(H313),"",VLOOKUP(H313,Code!B:C,2,FALSE))</f>
        <v>21</v>
      </c>
      <c r="D313">
        <v>2018</v>
      </c>
      <c r="E313">
        <v>126614</v>
      </c>
      <c r="F313" t="s">
        <v>75</v>
      </c>
      <c r="G313" t="s">
        <v>290</v>
      </c>
      <c r="H313" t="s">
        <v>36</v>
      </c>
      <c r="I313" cm="1">
        <f t="array" ref="I313">IF(B313=0,INDEX('Category 14'!F:F,MATCH(C313&amp;E313&amp;D313,'Category 14'!B:B&amp;'Category 14'!C:C&amp;'Category 14'!A:A,0)),INDEX('Category 14'!G:G,MATCH(C313&amp;E313&amp;D313,'Category 14'!B:B&amp;'Category 14'!C:C&amp;'Category 14'!A:A,0)))</f>
        <v>61</v>
      </c>
      <c r="J313">
        <f>I313/VLOOKUP($D313,CPI!$P$16:$R$22,3,FALSE)</f>
        <v>73.675533801375124</v>
      </c>
      <c r="K313" cm="1">
        <f t="array" ref="K313">IF(B313=0,INDEX('Category 15'!F:F,MATCH(C313&amp;E313&amp;D313,'Category 15'!B:B&amp;'Category 15'!C:C&amp;'Category 15'!A:A,0)),INDEX('Category 15'!G:G,MATCH(C313&amp;E313&amp;D313,'Category 15'!B:B&amp;'Category 31'!C:C&amp;'Category 15'!A:A,0)))</f>
        <v>0</v>
      </c>
      <c r="L313">
        <f>K313/VLOOKUP($D313,CPI!$P$16:$R$22,3,FALSE)</f>
        <v>0</v>
      </c>
      <c r="M313" s="16" cm="1">
        <f t="array" ref="M313">IF(B313=0,INDEX('Category 31'!F:F,MATCH(C313&amp;E313&amp;D313,'Category 31'!B:B&amp;'Category 31'!C:C&amp;'Category 31'!A:A,0)),INDEX('Category 31'!G:G,MATCH(C313&amp;E313&amp;D313,'Category 31'!B:B&amp;'Category 31'!C:C&amp;'Category 31'!A:A,0)))</f>
        <v>0</v>
      </c>
      <c r="N313" s="16">
        <f>M313/VLOOKUP($D313,CPI!$P$16:$R$22,3,FALSE)</f>
        <v>0</v>
      </c>
      <c r="O313">
        <v>0</v>
      </c>
    </row>
    <row r="314" spans="1:15" ht="16" thickBot="1" x14ac:dyDescent="0.25">
      <c r="A314" s="15">
        <v>2</v>
      </c>
      <c r="B314">
        <f t="shared" si="4"/>
        <v>1</v>
      </c>
      <c r="C314">
        <f>IF(ISBLANK(H314),"",VLOOKUP(H314,Code!B:C,2,FALSE))</f>
        <v>23</v>
      </c>
      <c r="D314">
        <v>2018</v>
      </c>
      <c r="E314">
        <v>126614</v>
      </c>
      <c r="F314" t="s">
        <v>75</v>
      </c>
      <c r="G314" t="s">
        <v>290</v>
      </c>
      <c r="H314" t="s">
        <v>10</v>
      </c>
      <c r="I314" cm="1">
        <f t="array" ref="I314">IF(B314=0,INDEX('Category 14'!F:F,MATCH(C314&amp;E314&amp;D314,'Category 14'!B:B&amp;'Category 14'!C:C&amp;'Category 14'!A:A,0)),INDEX('Category 14'!G:G,MATCH(C314&amp;E314&amp;D314,'Category 14'!B:B&amp;'Category 14'!C:C&amp;'Category 14'!A:A,0)))</f>
        <v>9021</v>
      </c>
      <c r="J314">
        <f>I314/VLOOKUP($D314,CPI!$P$16:$R$22,3,FALSE)</f>
        <v>10895.5244331509</v>
      </c>
      <c r="K314" cm="1">
        <f t="array" ref="K314">IF(B314=0,INDEX('Category 15'!F:F,MATCH(C314&amp;E314&amp;D314,'Category 15'!B:B&amp;'Category 15'!C:C&amp;'Category 15'!A:A,0)),INDEX('Category 15'!G:G,MATCH(C314&amp;E314&amp;D314,'Category 15'!B:B&amp;'Category 31'!C:C&amp;'Category 15'!A:A,0)))</f>
        <v>0</v>
      </c>
      <c r="L314">
        <f>K314/VLOOKUP($D314,CPI!$P$16:$R$22,3,FALSE)</f>
        <v>0</v>
      </c>
      <c r="M314" s="16" cm="1">
        <f t="array" ref="M314">IF(B314=0,INDEX('Category 31'!F:F,MATCH(C314&amp;E314&amp;D314,'Category 31'!B:B&amp;'Category 31'!C:C&amp;'Category 31'!A:A,0)),INDEX('Category 31'!G:G,MATCH(C314&amp;E314&amp;D314,'Category 31'!B:B&amp;'Category 31'!C:C&amp;'Category 31'!A:A,0)))</f>
        <v>0</v>
      </c>
      <c r="N314" s="16">
        <f>M314/VLOOKUP($D314,CPI!$P$16:$R$22,3,FALSE)</f>
        <v>0</v>
      </c>
      <c r="O314">
        <f>VLOOKUP(E314,WVolleyball!C:S,7,FALSE)</f>
        <v>18291</v>
      </c>
    </row>
    <row r="315" spans="1:15" ht="16" thickBot="1" x14ac:dyDescent="0.25">
      <c r="A315" s="15">
        <v>2</v>
      </c>
      <c r="B315">
        <f t="shared" si="4"/>
        <v>0</v>
      </c>
      <c r="C315">
        <f>IF(ISBLANK(H315),"",VLOOKUP(H315,Code!B:C,2,FALSE))</f>
        <v>2</v>
      </c>
      <c r="D315">
        <v>2019</v>
      </c>
      <c r="E315">
        <v>126614</v>
      </c>
      <c r="F315" t="s">
        <v>75</v>
      </c>
      <c r="G315" t="s">
        <v>289</v>
      </c>
      <c r="H315" t="s">
        <v>1</v>
      </c>
      <c r="I315" cm="1">
        <f t="array" ref="I315">IF(B315=0,INDEX('Category 14'!F:F,MATCH(C315&amp;E315&amp;D315,'Category 14'!B:B&amp;'Category 14'!C:C&amp;'Category 14'!A:A,0)),INDEX('Category 14'!G:G,MATCH(C315&amp;E315&amp;D315,'Category 14'!B:B&amp;'Category 14'!C:C&amp;'Category 14'!A:A,0)))</f>
        <v>194609</v>
      </c>
      <c r="J315">
        <f>I315/VLOOKUP($D315,CPI!$P$16:$R$22,3,FALSE)</f>
        <v>230275.36179785486</v>
      </c>
      <c r="K315" cm="1">
        <f t="array" ref="K315">IF(B315=0,INDEX('Category 15'!F:F,MATCH(C315&amp;E315&amp;D315,'Category 15'!B:B&amp;'Category 15'!C:C&amp;'Category 15'!A:A,0)),INDEX('Category 15'!G:G,MATCH(C315&amp;E315&amp;D315,'Category 15'!B:B&amp;'Category 31'!C:C&amp;'Category 15'!A:A,0)))</f>
        <v>0</v>
      </c>
      <c r="L315">
        <f>K315/VLOOKUP($D315,CPI!$P$16:$R$22,3,FALSE)</f>
        <v>0</v>
      </c>
      <c r="M315" s="16" cm="1">
        <f t="array" ref="M315">IF(B315=0,INDEX('Category 31'!F:F,MATCH(C315&amp;E315&amp;D315,'Category 31'!B:B&amp;'Category 31'!C:C&amp;'Category 31'!A:A,0)),INDEX('Category 31'!G:G,MATCH(C315&amp;E315&amp;D315,'Category 31'!B:B&amp;'Category 31'!C:C&amp;'Category 31'!A:A,0)))</f>
        <v>0</v>
      </c>
      <c r="N315" s="16">
        <f>M315/VLOOKUP($D315,CPI!$P$16:$R$22,3,FALSE)</f>
        <v>0</v>
      </c>
      <c r="O315">
        <f>VLOOKUP(E284,MBasketball!C:S,8,FALSE)</f>
        <v>90036</v>
      </c>
    </row>
    <row r="316" spans="1:15" ht="16" thickBot="1" x14ac:dyDescent="0.25">
      <c r="A316" s="15">
        <v>2</v>
      </c>
      <c r="B316">
        <f t="shared" si="4"/>
        <v>0</v>
      </c>
      <c r="C316">
        <f>IF(ISBLANK(H316),"",VLOOKUP(H316,Code!B:C,2,FALSE))</f>
        <v>8</v>
      </c>
      <c r="D316">
        <v>2019</v>
      </c>
      <c r="E316">
        <v>126614</v>
      </c>
      <c r="F316" t="s">
        <v>75</v>
      </c>
      <c r="G316" t="s">
        <v>289</v>
      </c>
      <c r="H316" t="s">
        <v>2</v>
      </c>
      <c r="I316" cm="1">
        <f t="array" ref="I316">IF(B316=0,INDEX('Category 14'!F:F,MATCH(C316&amp;E316&amp;D316,'Category 14'!B:B&amp;'Category 14'!C:C&amp;'Category 14'!A:A,0)),INDEX('Category 14'!G:G,MATCH(C316&amp;E316&amp;D316,'Category 14'!B:B&amp;'Category 14'!C:C&amp;'Category 14'!A:A,0)))</f>
        <v>1143245</v>
      </c>
      <c r="J316">
        <f>I316/VLOOKUP($D316,CPI!$P$16:$R$22,3,FALSE)</f>
        <v>1352769.6869034246</v>
      </c>
      <c r="K316" cm="1">
        <f t="array" ref="K316">IF(B316=0,INDEX('Category 15'!F:F,MATCH(C316&amp;E316&amp;D316,'Category 15'!B:B&amp;'Category 15'!C:C&amp;'Category 15'!A:A,0)),INDEX('Category 15'!G:G,MATCH(C316&amp;E316&amp;D316,'Category 15'!B:B&amp;'Category 31'!C:C&amp;'Category 15'!A:A,0)))</f>
        <v>30375</v>
      </c>
      <c r="L316">
        <f>K316/VLOOKUP($D316,CPI!$P$16:$R$22,3,FALSE)</f>
        <v>35941.884057827956</v>
      </c>
      <c r="M316" s="16" cm="1">
        <f t="array" ref="M316">IF(B316=0,INDEX('Category 31'!F:F,MATCH(C316&amp;E316&amp;D316,'Category 31'!B:B&amp;'Category 31'!C:C&amp;'Category 31'!A:A,0)),INDEX('Category 31'!G:G,MATCH(C316&amp;E316&amp;D316,'Category 31'!B:B&amp;'Category 31'!C:C&amp;'Category 31'!A:A,0)))</f>
        <v>279</v>
      </c>
      <c r="N316" s="16">
        <f>M316/VLOOKUP($D316,CPI!$P$16:$R$22,3,FALSE)</f>
        <v>330.13286097560496</v>
      </c>
      <c r="O316">
        <f>VLOOKUP(E316,MFootball!C:S,8,FALSE)</f>
        <v>274852</v>
      </c>
    </row>
    <row r="317" spans="1:15" ht="16" thickBot="1" x14ac:dyDescent="0.25">
      <c r="A317" s="15">
        <v>2</v>
      </c>
      <c r="B317">
        <f t="shared" si="4"/>
        <v>0</v>
      </c>
      <c r="C317">
        <f>IF(ISBLANK(H317),"",VLOOKUP(H317,Code!B:C,2,FALSE))</f>
        <v>9</v>
      </c>
      <c r="D317">
        <v>2019</v>
      </c>
      <c r="E317">
        <v>126614</v>
      </c>
      <c r="F317" t="s">
        <v>75</v>
      </c>
      <c r="G317" t="s">
        <v>289</v>
      </c>
      <c r="H317" t="s">
        <v>3</v>
      </c>
      <c r="I317" cm="1">
        <f t="array" ref="I317">IF(B317=0,INDEX('Category 14'!F:F,MATCH(C317&amp;E317&amp;D317,'Category 14'!B:B&amp;'Category 14'!C:C&amp;'Category 14'!A:A,0)),INDEX('Category 14'!G:G,MATCH(C317&amp;E317&amp;D317,'Category 14'!B:B&amp;'Category 14'!C:C&amp;'Category 14'!A:A,0)))</f>
        <v>0</v>
      </c>
      <c r="J317">
        <f>I317/VLOOKUP($D317,CPI!$P$16:$R$22,3,FALSE)</f>
        <v>0</v>
      </c>
      <c r="K317" cm="1">
        <f t="array" ref="K317">IF(B317=0,INDEX('Category 15'!F:F,MATCH(C317&amp;E317&amp;D317,'Category 15'!B:B&amp;'Category 15'!C:C&amp;'Category 15'!A:A,0)),INDEX('Category 15'!G:G,MATCH(C317&amp;E317&amp;D317,'Category 15'!B:B&amp;'Category 31'!C:C&amp;'Category 15'!A:A,0)))</f>
        <v>0</v>
      </c>
      <c r="L317">
        <f>K317/VLOOKUP($D317,CPI!$P$16:$R$22,3,FALSE)</f>
        <v>0</v>
      </c>
      <c r="M317" s="16" cm="1">
        <f t="array" ref="M317">IF(B317=0,INDEX('Category 31'!F:F,MATCH(C317&amp;E317&amp;D317,'Category 31'!B:B&amp;'Category 31'!C:C&amp;'Category 31'!A:A,0)),INDEX('Category 31'!G:G,MATCH(C317&amp;E317&amp;D317,'Category 31'!B:B&amp;'Category 31'!C:C&amp;'Category 31'!A:A,0)))</f>
        <v>16800</v>
      </c>
      <c r="N317" s="16">
        <f>M317/VLOOKUP($D317,CPI!$P$16:$R$22,3,FALSE)</f>
        <v>19878.9679727246</v>
      </c>
      <c r="O317">
        <v>0</v>
      </c>
    </row>
    <row r="318" spans="1:15" ht="16" thickBot="1" x14ac:dyDescent="0.25">
      <c r="A318" s="15">
        <v>2</v>
      </c>
      <c r="B318">
        <f t="shared" si="4"/>
        <v>0</v>
      </c>
      <c r="C318">
        <f>IF(ISBLANK(H318),"",VLOOKUP(H318,Code!B:C,2,FALSE))</f>
        <v>16</v>
      </c>
      <c r="D318">
        <v>2019</v>
      </c>
      <c r="E318">
        <v>126614</v>
      </c>
      <c r="F318" t="s">
        <v>75</v>
      </c>
      <c r="G318" t="s">
        <v>289</v>
      </c>
      <c r="H318" t="s">
        <v>31</v>
      </c>
      <c r="I318" cm="1">
        <f t="array" ref="I318">IF(B318=0,INDEX('Category 14'!F:F,MATCH(C318&amp;E318&amp;D318,'Category 14'!B:B&amp;'Category 14'!C:C&amp;'Category 14'!A:A,0)),INDEX('Category 14'!G:G,MATCH(C318&amp;E318&amp;D318,'Category 14'!B:B&amp;'Category 14'!C:C&amp;'Category 14'!A:A,0)))</f>
        <v>0</v>
      </c>
      <c r="J318">
        <f>I318/VLOOKUP($D318,CPI!$P$16:$R$22,3,FALSE)</f>
        <v>0</v>
      </c>
      <c r="K318" cm="1">
        <f t="array" ref="K318">IF(B318=0,INDEX('Category 15'!F:F,MATCH(C318&amp;E318&amp;D318,'Category 15'!B:B&amp;'Category 15'!C:C&amp;'Category 15'!A:A,0)),INDEX('Category 15'!G:G,MATCH(C318&amp;E318&amp;D318,'Category 15'!B:B&amp;'Category 31'!C:C&amp;'Category 15'!A:A,0)))</f>
        <v>0</v>
      </c>
      <c r="L318">
        <f>K318/VLOOKUP($D318,CPI!$P$16:$R$22,3,FALSE)</f>
        <v>0</v>
      </c>
      <c r="M318" s="16" cm="1">
        <f t="array" ref="M318">IF(B318=0,INDEX('Category 31'!F:F,MATCH(C318&amp;E318&amp;D318,'Category 31'!B:B&amp;'Category 31'!C:C&amp;'Category 31'!A:A,0)),INDEX('Category 31'!G:G,MATCH(C318&amp;E318&amp;D318,'Category 31'!B:B&amp;'Category 31'!C:C&amp;'Category 31'!A:A,0)))</f>
        <v>37956</v>
      </c>
      <c r="N318" s="16">
        <f>M318/VLOOKUP($D318,CPI!$P$16:$R$22,3,FALSE)</f>
        <v>44912.268355519933</v>
      </c>
      <c r="O318">
        <v>0</v>
      </c>
    </row>
    <row r="319" spans="1:15" ht="16" thickBot="1" x14ac:dyDescent="0.25">
      <c r="A319" s="15">
        <v>2</v>
      </c>
      <c r="B319">
        <f t="shared" si="4"/>
        <v>0</v>
      </c>
      <c r="C319">
        <f>IF(ISBLANK(H319),"",VLOOKUP(H319,Code!B:C,2,FALSE))</f>
        <v>21</v>
      </c>
      <c r="D319">
        <v>2019</v>
      </c>
      <c r="E319">
        <v>126614</v>
      </c>
      <c r="F319" t="s">
        <v>75</v>
      </c>
      <c r="G319" t="s">
        <v>289</v>
      </c>
      <c r="H319" t="s">
        <v>36</v>
      </c>
      <c r="I319" cm="1">
        <f t="array" ref="I319">IF(B319=0,INDEX('Category 14'!F:F,MATCH(C319&amp;E319&amp;D319,'Category 14'!B:B&amp;'Category 14'!C:C&amp;'Category 14'!A:A,0)),INDEX('Category 14'!G:G,MATCH(C319&amp;E319&amp;D319,'Category 14'!B:B&amp;'Category 14'!C:C&amp;'Category 14'!A:A,0)))</f>
        <v>0</v>
      </c>
      <c r="J319">
        <f>I319/VLOOKUP($D319,CPI!$P$16:$R$22,3,FALSE)</f>
        <v>0</v>
      </c>
      <c r="K319" cm="1">
        <f t="array" ref="K319">IF(B319=0,INDEX('Category 15'!F:F,MATCH(C319&amp;E319&amp;D319,'Category 15'!B:B&amp;'Category 15'!C:C&amp;'Category 15'!A:A,0)),INDEX('Category 15'!G:G,MATCH(C319&amp;E319&amp;D319,'Category 15'!B:B&amp;'Category 31'!C:C&amp;'Category 15'!A:A,0)))</f>
        <v>0</v>
      </c>
      <c r="L319">
        <f>K319/VLOOKUP($D319,CPI!$P$16:$R$22,3,FALSE)</f>
        <v>0</v>
      </c>
      <c r="M319" s="16" cm="1">
        <f t="array" ref="M319">IF(B319=0,INDEX('Category 31'!F:F,MATCH(C319&amp;E319&amp;D319,'Category 31'!B:B&amp;'Category 31'!C:C&amp;'Category 31'!A:A,0)),INDEX('Category 31'!G:G,MATCH(C319&amp;E319&amp;D319,'Category 31'!B:B&amp;'Category 31'!C:C&amp;'Category 31'!A:A,0)))</f>
        <v>0</v>
      </c>
      <c r="N319" s="16">
        <f>M319/VLOOKUP($D319,CPI!$P$16:$R$22,3,FALSE)</f>
        <v>0</v>
      </c>
      <c r="O319">
        <v>0</v>
      </c>
    </row>
    <row r="320" spans="1:15" ht="16" thickBot="1" x14ac:dyDescent="0.25">
      <c r="A320" s="15">
        <v>2</v>
      </c>
      <c r="B320">
        <f t="shared" si="4"/>
        <v>1</v>
      </c>
      <c r="C320">
        <f>IF(ISBLANK(H320),"",VLOOKUP(H320,Code!B:C,2,FALSE))</f>
        <v>2</v>
      </c>
      <c r="D320">
        <v>2019</v>
      </c>
      <c r="E320">
        <v>126614</v>
      </c>
      <c r="F320" t="s">
        <v>75</v>
      </c>
      <c r="G320" t="s">
        <v>290</v>
      </c>
      <c r="H320" t="s">
        <v>1</v>
      </c>
      <c r="I320" cm="1">
        <f t="array" ref="I320">IF(B320=0,INDEX('Category 14'!F:F,MATCH(C320&amp;E320&amp;D320,'Category 14'!B:B&amp;'Category 14'!C:C&amp;'Category 14'!A:A,0)),INDEX('Category 14'!G:G,MATCH(C320&amp;E320&amp;D320,'Category 14'!B:B&amp;'Category 14'!C:C&amp;'Category 14'!A:A,0)))</f>
        <v>22477</v>
      </c>
      <c r="J320">
        <f>I320/VLOOKUP($D320,CPI!$P$16:$R$22,3,FALSE)</f>
        <v>26596.40256684112</v>
      </c>
      <c r="K320" cm="1">
        <f t="array" ref="K320">IF(B320=0,INDEX('Category 15'!F:F,MATCH(C320&amp;E320&amp;D320,'Category 15'!B:B&amp;'Category 15'!C:C&amp;'Category 15'!A:A,0)),INDEX('Category 15'!G:G,MATCH(C320&amp;E320&amp;D320,'Category 15'!B:B&amp;'Category 31'!C:C&amp;'Category 15'!A:A,0)))</f>
        <v>0</v>
      </c>
      <c r="L320">
        <f>K320/VLOOKUP($D320,CPI!$P$16:$R$22,3,FALSE)</f>
        <v>0</v>
      </c>
      <c r="M320" s="16" cm="1">
        <f t="array" ref="M320">IF(B320=0,INDEX('Category 31'!F:F,MATCH(C320&amp;E320&amp;D320,'Category 31'!B:B&amp;'Category 31'!C:C&amp;'Category 31'!A:A,0)),INDEX('Category 31'!G:G,MATCH(C320&amp;E320&amp;D320,'Category 31'!B:B&amp;'Category 31'!C:C&amp;'Category 31'!A:A,0)))</f>
        <v>294</v>
      </c>
      <c r="N320" s="16">
        <f>M320/VLOOKUP($D320,CPI!$P$16:$R$22,3,FALSE)</f>
        <v>347.88193952268051</v>
      </c>
      <c r="O320">
        <f>VLOOKUP(E320,WBasketball!C:S,8,FALSE)</f>
        <v>32323</v>
      </c>
    </row>
    <row r="321" spans="1:15" ht="16" thickBot="1" x14ac:dyDescent="0.25">
      <c r="A321" s="15">
        <v>2</v>
      </c>
      <c r="B321">
        <f t="shared" si="4"/>
        <v>1</v>
      </c>
      <c r="C321">
        <f>IF(ISBLANK(H321),"",VLOOKUP(H321,Code!B:C,2,FALSE))</f>
        <v>9</v>
      </c>
      <c r="D321">
        <v>2019</v>
      </c>
      <c r="E321">
        <v>126614</v>
      </c>
      <c r="F321" t="s">
        <v>75</v>
      </c>
      <c r="G321" t="s">
        <v>290</v>
      </c>
      <c r="H321" t="s">
        <v>3</v>
      </c>
      <c r="I321" cm="1">
        <f t="array" ref="I321">IF(B321=0,INDEX('Category 14'!F:F,MATCH(C321&amp;E321&amp;D321,'Category 14'!B:B&amp;'Category 14'!C:C&amp;'Category 14'!A:A,0)),INDEX('Category 14'!G:G,MATCH(C321&amp;E321&amp;D321,'Category 14'!B:B&amp;'Category 14'!C:C&amp;'Category 14'!A:A,0)))</f>
        <v>0</v>
      </c>
      <c r="J321">
        <f>I321/VLOOKUP($D321,CPI!$P$16:$R$22,3,FALSE)</f>
        <v>0</v>
      </c>
      <c r="K321" cm="1">
        <f t="array" ref="K321">IF(B321=0,INDEX('Category 15'!F:F,MATCH(C321&amp;E321&amp;D321,'Category 15'!B:B&amp;'Category 15'!C:C&amp;'Category 15'!A:A,0)),INDEX('Category 15'!G:G,MATCH(C321&amp;E321&amp;D321,'Category 15'!B:B&amp;'Category 31'!C:C&amp;'Category 15'!A:A,0)))</f>
        <v>5000</v>
      </c>
      <c r="L321">
        <f>K321/VLOOKUP($D321,CPI!$P$16:$R$22,3,FALSE)</f>
        <v>5916.3595156918445</v>
      </c>
      <c r="M321" s="16" cm="1">
        <f t="array" ref="M321">IF(B321=0,INDEX('Category 31'!F:F,MATCH(C321&amp;E321&amp;D321,'Category 31'!B:B&amp;'Category 31'!C:C&amp;'Category 31'!A:A,0)),INDEX('Category 31'!G:G,MATCH(C321&amp;E321&amp;D321,'Category 31'!B:B&amp;'Category 31'!C:C&amp;'Category 31'!A:A,0)))</f>
        <v>5386</v>
      </c>
      <c r="N321" s="16">
        <f>M321/VLOOKUP($D321,CPI!$P$16:$R$22,3,FALSE)</f>
        <v>6373.1024703032554</v>
      </c>
      <c r="O321">
        <v>0</v>
      </c>
    </row>
    <row r="322" spans="1:15" ht="16" thickBot="1" x14ac:dyDescent="0.25">
      <c r="A322" s="15">
        <v>2</v>
      </c>
      <c r="B322">
        <f t="shared" si="4"/>
        <v>1</v>
      </c>
      <c r="C322">
        <f>IF(ISBLANK(H322),"",VLOOKUP(H322,Code!B:C,2,FALSE))</f>
        <v>12</v>
      </c>
      <c r="D322">
        <v>2019</v>
      </c>
      <c r="E322">
        <v>126614</v>
      </c>
      <c r="F322" t="s">
        <v>75</v>
      </c>
      <c r="G322" t="s">
        <v>290</v>
      </c>
      <c r="H322" t="s">
        <v>27</v>
      </c>
      <c r="I322" cm="1">
        <f t="array" ref="I322">IF(B322=0,INDEX('Category 14'!F:F,MATCH(C322&amp;E322&amp;D322,'Category 14'!B:B&amp;'Category 14'!C:C&amp;'Category 14'!A:A,0)),INDEX('Category 14'!G:G,MATCH(C322&amp;E322&amp;D322,'Category 14'!B:B&amp;'Category 14'!C:C&amp;'Category 14'!A:A,0)))</f>
        <v>246</v>
      </c>
      <c r="J322">
        <f>I322/VLOOKUP($D322,CPI!$P$16:$R$22,3,FALSE)</f>
        <v>291.08488817203875</v>
      </c>
      <c r="K322" cm="1">
        <f t="array" ref="K322">IF(B322=0,INDEX('Category 15'!F:F,MATCH(C322&amp;E322&amp;D322,'Category 15'!B:B&amp;'Category 15'!C:C&amp;'Category 15'!A:A,0)),INDEX('Category 15'!G:G,MATCH(C322&amp;E322&amp;D322,'Category 15'!B:B&amp;'Category 31'!C:C&amp;'Category 15'!A:A,0)))</f>
        <v>0</v>
      </c>
      <c r="L322">
        <f>K322/VLOOKUP($D322,CPI!$P$16:$R$22,3,FALSE)</f>
        <v>0</v>
      </c>
      <c r="M322" s="16" cm="1">
        <f t="array" ref="M322">IF(B322=0,INDEX('Category 31'!F:F,MATCH(C322&amp;E322&amp;D322,'Category 31'!B:B&amp;'Category 31'!C:C&amp;'Category 31'!A:A,0)),INDEX('Category 31'!G:G,MATCH(C322&amp;E322&amp;D322,'Category 31'!B:B&amp;'Category 31'!C:C&amp;'Category 31'!A:A,0)))</f>
        <v>0</v>
      </c>
      <c r="N322" s="16">
        <f>M322/VLOOKUP($D322,CPI!$P$16:$R$22,3,FALSE)</f>
        <v>0</v>
      </c>
      <c r="O322">
        <f>VLOOKUP(E322,WLacrosse!C:S,8,FALSE)</f>
        <v>2281</v>
      </c>
    </row>
    <row r="323" spans="1:15" ht="16" thickBot="1" x14ac:dyDescent="0.25">
      <c r="A323" s="15">
        <v>2</v>
      </c>
      <c r="B323">
        <f t="shared" ref="B323:B386" si="5">IF(ISBLANK(G323),"",IF(MID(G323,1,1)="M",0,1))</f>
        <v>1</v>
      </c>
      <c r="C323">
        <f>IF(ISBLANK(H323),"",VLOOKUP(H323,Code!B:C,2,FALSE))</f>
        <v>16</v>
      </c>
      <c r="D323">
        <v>2019</v>
      </c>
      <c r="E323">
        <v>126614</v>
      </c>
      <c r="F323" t="s">
        <v>75</v>
      </c>
      <c r="G323" t="s">
        <v>290</v>
      </c>
      <c r="H323" t="s">
        <v>31</v>
      </c>
      <c r="I323" cm="1">
        <f t="array" ref="I323">IF(B323=0,INDEX('Category 14'!F:F,MATCH(C323&amp;E323&amp;D323,'Category 14'!B:B&amp;'Category 14'!C:C&amp;'Category 14'!A:A,0)),INDEX('Category 14'!G:G,MATCH(C323&amp;E323&amp;D323,'Category 14'!B:B&amp;'Category 14'!C:C&amp;'Category 14'!A:A,0)))</f>
        <v>0</v>
      </c>
      <c r="J323">
        <f>I323/VLOOKUP($D323,CPI!$P$16:$R$22,3,FALSE)</f>
        <v>0</v>
      </c>
      <c r="K323" cm="1">
        <f t="array" ref="K323">IF(B323=0,INDEX('Category 15'!F:F,MATCH(C323&amp;E323&amp;D323,'Category 15'!B:B&amp;'Category 15'!C:C&amp;'Category 15'!A:A,0)),INDEX('Category 15'!G:G,MATCH(C323&amp;E323&amp;D323,'Category 15'!B:B&amp;'Category 31'!C:C&amp;'Category 15'!A:A,0)))</f>
        <v>0</v>
      </c>
      <c r="L323">
        <f>K323/VLOOKUP($D323,CPI!$P$16:$R$22,3,FALSE)</f>
        <v>0</v>
      </c>
      <c r="M323" s="16" cm="1">
        <f t="array" ref="M323">IF(B323=0,INDEX('Category 31'!F:F,MATCH(C323&amp;E323&amp;D323,'Category 31'!B:B&amp;'Category 31'!C:C&amp;'Category 31'!A:A,0)),INDEX('Category 31'!G:G,MATCH(C323&amp;E323&amp;D323,'Category 31'!B:B&amp;'Category 31'!C:C&amp;'Category 31'!A:A,0)))</f>
        <v>37956</v>
      </c>
      <c r="N323" s="16">
        <f>M323/VLOOKUP($D323,CPI!$P$16:$R$22,3,FALSE)</f>
        <v>44912.268355519933</v>
      </c>
      <c r="O323">
        <v>0</v>
      </c>
    </row>
    <row r="324" spans="1:15" ht="16" thickBot="1" x14ac:dyDescent="0.25">
      <c r="A324" s="15">
        <v>2</v>
      </c>
      <c r="B324">
        <f t="shared" si="5"/>
        <v>1</v>
      </c>
      <c r="C324">
        <f>IF(ISBLANK(H324),"",VLOOKUP(H324,Code!B:C,2,FALSE))</f>
        <v>17</v>
      </c>
      <c r="D324">
        <v>2019</v>
      </c>
      <c r="E324">
        <v>126614</v>
      </c>
      <c r="F324" t="s">
        <v>75</v>
      </c>
      <c r="G324" t="s">
        <v>290</v>
      </c>
      <c r="H324" t="s">
        <v>5</v>
      </c>
      <c r="I324" cm="1">
        <f t="array" ref="I324">IF(B324=0,INDEX('Category 14'!F:F,MATCH(C324&amp;E324&amp;D324,'Category 14'!B:B&amp;'Category 14'!C:C&amp;'Category 14'!A:A,0)),INDEX('Category 14'!G:G,MATCH(C324&amp;E324&amp;D324,'Category 14'!B:B&amp;'Category 14'!C:C&amp;'Category 14'!A:A,0)))</f>
        <v>6310</v>
      </c>
      <c r="J324">
        <f>I324/VLOOKUP($D324,CPI!$P$16:$R$22,3,FALSE)</f>
        <v>7466.4457088031086</v>
      </c>
      <c r="K324" cm="1">
        <f t="array" ref="K324">IF(B324=0,INDEX('Category 15'!F:F,MATCH(C324&amp;E324&amp;D324,'Category 15'!B:B&amp;'Category 15'!C:C&amp;'Category 15'!A:A,0)),INDEX('Category 15'!G:G,MATCH(C324&amp;E324&amp;D324,'Category 15'!B:B&amp;'Category 31'!C:C&amp;'Category 15'!A:A,0)))</f>
        <v>0</v>
      </c>
      <c r="L324">
        <f>K324/VLOOKUP($D324,CPI!$P$16:$R$22,3,FALSE)</f>
        <v>0</v>
      </c>
      <c r="M324" s="16" cm="1">
        <f t="array" ref="M324">IF(B324=0,INDEX('Category 31'!F:F,MATCH(C324&amp;E324&amp;D324,'Category 31'!B:B&amp;'Category 31'!C:C&amp;'Category 31'!A:A,0)),INDEX('Category 31'!G:G,MATCH(C324&amp;E324&amp;D324,'Category 31'!B:B&amp;'Category 31'!C:C&amp;'Category 31'!A:A,0)))</f>
        <v>0</v>
      </c>
      <c r="N324" s="16">
        <f>M324/VLOOKUP($D324,CPI!$P$16:$R$22,3,FALSE)</f>
        <v>0</v>
      </c>
      <c r="O324">
        <f>VLOOKUP(E324,WSoccer!C:S,8,FALSE)</f>
        <v>9805</v>
      </c>
    </row>
    <row r="325" spans="1:15" ht="16" thickBot="1" x14ac:dyDescent="0.25">
      <c r="A325" s="15">
        <v>2</v>
      </c>
      <c r="B325">
        <f t="shared" si="5"/>
        <v>1</v>
      </c>
      <c r="C325">
        <f>IF(ISBLANK(H325),"",VLOOKUP(H325,Code!B:C,2,FALSE))</f>
        <v>20</v>
      </c>
      <c r="D325">
        <v>2019</v>
      </c>
      <c r="E325">
        <v>126614</v>
      </c>
      <c r="F325" t="s">
        <v>75</v>
      </c>
      <c r="G325" t="s">
        <v>290</v>
      </c>
      <c r="H325" t="s">
        <v>8</v>
      </c>
      <c r="I325" cm="1">
        <f t="array" ref="I325">IF(B325=0,INDEX('Category 14'!F:F,MATCH(C325&amp;E325&amp;D325,'Category 14'!B:B&amp;'Category 14'!C:C&amp;'Category 14'!A:A,0)),INDEX('Category 14'!G:G,MATCH(C325&amp;E325&amp;D325,'Category 14'!B:B&amp;'Category 14'!C:C&amp;'Category 14'!A:A,0)))</f>
        <v>0</v>
      </c>
      <c r="J325">
        <f>I325/VLOOKUP($D325,CPI!$P$16:$R$22,3,FALSE)</f>
        <v>0</v>
      </c>
      <c r="K325" cm="1">
        <f t="array" ref="K325">IF(B325=0,INDEX('Category 15'!F:F,MATCH(C325&amp;E325&amp;D325,'Category 15'!B:B&amp;'Category 15'!C:C&amp;'Category 15'!A:A,0)),INDEX('Category 15'!G:G,MATCH(C325&amp;E325&amp;D325,'Category 15'!B:B&amp;'Category 31'!C:C&amp;'Category 15'!A:A,0)))</f>
        <v>0</v>
      </c>
      <c r="L325">
        <f>K325/VLOOKUP($D325,CPI!$P$16:$R$22,3,FALSE)</f>
        <v>0</v>
      </c>
      <c r="M325" s="16" cm="1">
        <f t="array" ref="M325">IF(B325=0,INDEX('Category 31'!F:F,MATCH(C325&amp;E325&amp;D325,'Category 31'!B:B&amp;'Category 31'!C:C&amp;'Category 31'!A:A,0)),INDEX('Category 31'!G:G,MATCH(C325&amp;E325&amp;D325,'Category 31'!B:B&amp;'Category 31'!C:C&amp;'Category 31'!A:A,0)))</f>
        <v>0</v>
      </c>
      <c r="N325" s="16">
        <f>M325/VLOOKUP($D325,CPI!$P$16:$R$22,3,FALSE)</f>
        <v>0</v>
      </c>
      <c r="O325">
        <v>0</v>
      </c>
    </row>
    <row r="326" spans="1:15" ht="16" thickBot="1" x14ac:dyDescent="0.25">
      <c r="A326" s="15">
        <v>2</v>
      </c>
      <c r="B326">
        <f t="shared" si="5"/>
        <v>1</v>
      </c>
      <c r="C326">
        <f>IF(ISBLANK(H326),"",VLOOKUP(H326,Code!B:C,2,FALSE))</f>
        <v>21</v>
      </c>
      <c r="D326">
        <v>2019</v>
      </c>
      <c r="E326">
        <v>126614</v>
      </c>
      <c r="F326" t="s">
        <v>75</v>
      </c>
      <c r="G326" t="s">
        <v>290</v>
      </c>
      <c r="H326" t="s">
        <v>36</v>
      </c>
      <c r="I326" cm="1">
        <f t="array" ref="I326">IF(B326=0,INDEX('Category 14'!F:F,MATCH(C326&amp;E326&amp;D326,'Category 14'!B:B&amp;'Category 14'!C:C&amp;'Category 14'!A:A,0)),INDEX('Category 14'!G:G,MATCH(C326&amp;E326&amp;D326,'Category 14'!B:B&amp;'Category 14'!C:C&amp;'Category 14'!A:A,0)))</f>
        <v>0</v>
      </c>
      <c r="J326">
        <f>I326/VLOOKUP($D326,CPI!$P$16:$R$22,3,FALSE)</f>
        <v>0</v>
      </c>
      <c r="K326" cm="1">
        <f t="array" ref="K326">IF(B326=0,INDEX('Category 15'!F:F,MATCH(C326&amp;E326&amp;D326,'Category 15'!B:B&amp;'Category 15'!C:C&amp;'Category 15'!A:A,0)),INDEX('Category 15'!G:G,MATCH(C326&amp;E326&amp;D326,'Category 15'!B:B&amp;'Category 31'!C:C&amp;'Category 15'!A:A,0)))</f>
        <v>0</v>
      </c>
      <c r="L326">
        <f>K326/VLOOKUP($D326,CPI!$P$16:$R$22,3,FALSE)</f>
        <v>0</v>
      </c>
      <c r="M326" s="16" cm="1">
        <f t="array" ref="M326">IF(B326=0,INDEX('Category 31'!F:F,MATCH(C326&amp;E326&amp;D326,'Category 31'!B:B&amp;'Category 31'!C:C&amp;'Category 31'!A:A,0)),INDEX('Category 31'!G:G,MATCH(C326&amp;E326&amp;D326,'Category 31'!B:B&amp;'Category 31'!C:C&amp;'Category 31'!A:A,0)))</f>
        <v>0</v>
      </c>
      <c r="N326" s="16">
        <f>M326/VLOOKUP($D326,CPI!$P$16:$R$22,3,FALSE)</f>
        <v>0</v>
      </c>
      <c r="O326">
        <v>0</v>
      </c>
    </row>
    <row r="327" spans="1:15" ht="16" thickBot="1" x14ac:dyDescent="0.25">
      <c r="A327" s="15">
        <v>2</v>
      </c>
      <c r="B327">
        <f t="shared" si="5"/>
        <v>1</v>
      </c>
      <c r="C327">
        <f>IF(ISBLANK(H327),"",VLOOKUP(H327,Code!B:C,2,FALSE))</f>
        <v>23</v>
      </c>
      <c r="D327">
        <v>2019</v>
      </c>
      <c r="E327">
        <v>126614</v>
      </c>
      <c r="F327" t="s">
        <v>75</v>
      </c>
      <c r="G327" t="s">
        <v>290</v>
      </c>
      <c r="H327" t="s">
        <v>10</v>
      </c>
      <c r="I327" cm="1">
        <f t="array" ref="I327">IF(B327=0,INDEX('Category 14'!F:F,MATCH(C327&amp;E327&amp;D327,'Category 14'!B:B&amp;'Category 14'!C:C&amp;'Category 14'!A:A,0)),INDEX('Category 14'!G:G,MATCH(C327&amp;E327&amp;D327,'Category 14'!B:B&amp;'Category 14'!C:C&amp;'Category 14'!A:A,0)))</f>
        <v>12994</v>
      </c>
      <c r="J327">
        <f>I327/VLOOKUP($D327,CPI!$P$16:$R$22,3,FALSE)</f>
        <v>15375.435109379967</v>
      </c>
      <c r="K327" cm="1">
        <f t="array" ref="K327">IF(B327=0,INDEX('Category 15'!F:F,MATCH(C327&amp;E327&amp;D327,'Category 15'!B:B&amp;'Category 15'!C:C&amp;'Category 15'!A:A,0)),INDEX('Category 15'!G:G,MATCH(C327&amp;E327&amp;D327,'Category 15'!B:B&amp;'Category 31'!C:C&amp;'Category 15'!A:A,0)))</f>
        <v>0</v>
      </c>
      <c r="L327">
        <f>K327/VLOOKUP($D327,CPI!$P$16:$R$22,3,FALSE)</f>
        <v>0</v>
      </c>
      <c r="M327" s="16" cm="1">
        <f t="array" ref="M327">IF(B327=0,INDEX('Category 31'!F:F,MATCH(C327&amp;E327&amp;D327,'Category 31'!B:B&amp;'Category 31'!C:C&amp;'Category 31'!A:A,0)),INDEX('Category 31'!G:G,MATCH(C327&amp;E327&amp;D327,'Category 31'!B:B&amp;'Category 31'!C:C&amp;'Category 31'!A:A,0)))</f>
        <v>0</v>
      </c>
      <c r="N327" s="16">
        <f>M327/VLOOKUP($D327,CPI!$P$16:$R$22,3,FALSE)</f>
        <v>0</v>
      </c>
      <c r="O327">
        <f>VLOOKUP(E327,WVolleyball!C:S,8,FALSE)</f>
        <v>20486</v>
      </c>
    </row>
    <row r="328" spans="1:15" ht="16" thickBot="1" x14ac:dyDescent="0.25">
      <c r="A328" s="15">
        <v>2</v>
      </c>
      <c r="B328">
        <f t="shared" si="5"/>
        <v>0</v>
      </c>
      <c r="C328">
        <f>IF(ISBLANK(H328),"",VLOOKUP(H328,Code!B:C,2,FALSE))</f>
        <v>2</v>
      </c>
      <c r="D328">
        <v>2020</v>
      </c>
      <c r="E328">
        <v>126614</v>
      </c>
      <c r="F328" t="s">
        <v>75</v>
      </c>
      <c r="G328" t="s">
        <v>289</v>
      </c>
      <c r="H328" t="s">
        <v>1</v>
      </c>
      <c r="I328" cm="1">
        <f t="array" ref="I328">IF(B328=0,INDEX('Category 14'!F:F,MATCH(C328&amp;E328&amp;D328,'Category 14'!B:B&amp;'Category 14'!C:C&amp;'Category 14'!A:A,0)),INDEX('Category 14'!G:G,MATCH(C328&amp;E328&amp;D328,'Category 14'!B:B&amp;'Category 14'!C:C&amp;'Category 14'!A:A,0)))</f>
        <v>213993</v>
      </c>
      <c r="J328">
        <f>I328/VLOOKUP($D328,CPI!$P$16:$R$22,3,FALSE)</f>
        <v>249312.28550907748</v>
      </c>
      <c r="K328" cm="1">
        <f t="array" ref="K328">IF(B328=0,INDEX('Category 15'!F:F,MATCH(C328&amp;E328&amp;D328,'Category 15'!B:B&amp;'Category 15'!C:C&amp;'Category 15'!A:A,0)),INDEX('Category 15'!G:G,MATCH(C328&amp;E328&amp;D328,'Category 15'!B:B&amp;'Category 31'!C:C&amp;'Category 15'!A:A,0)))</f>
        <v>0</v>
      </c>
      <c r="L328">
        <f>K328/VLOOKUP($D328,CPI!$P$16:$R$22,3,FALSE)</f>
        <v>0</v>
      </c>
      <c r="M328" s="16" cm="1">
        <f t="array" ref="M328">IF(B328=0,INDEX('Category 31'!F:F,MATCH(C328&amp;E328&amp;D328,'Category 31'!B:B&amp;'Category 31'!C:C&amp;'Category 31'!A:A,0)),INDEX('Category 31'!G:G,MATCH(C328&amp;E328&amp;D328,'Category 31'!B:B&amp;'Category 31'!C:C&amp;'Category 31'!A:A,0)))</f>
        <v>0</v>
      </c>
      <c r="N328" s="16">
        <f>M328/VLOOKUP($D328,CPI!$P$16:$R$22,3,FALSE)</f>
        <v>0</v>
      </c>
      <c r="O328">
        <f>VLOOKUP(E289,MBasketball!C:S,9,FALSE)</f>
        <v>127669</v>
      </c>
    </row>
    <row r="329" spans="1:15" ht="16" thickBot="1" x14ac:dyDescent="0.25">
      <c r="A329" s="15">
        <v>2</v>
      </c>
      <c r="B329">
        <f t="shared" si="5"/>
        <v>0</v>
      </c>
      <c r="C329">
        <f>IF(ISBLANK(H329),"",VLOOKUP(H329,Code!B:C,2,FALSE))</f>
        <v>8</v>
      </c>
      <c r="D329">
        <v>2020</v>
      </c>
      <c r="E329">
        <v>126614</v>
      </c>
      <c r="F329" t="s">
        <v>75</v>
      </c>
      <c r="G329" t="s">
        <v>289</v>
      </c>
      <c r="H329" t="s">
        <v>2</v>
      </c>
      <c r="I329" cm="1">
        <f t="array" ref="I329">IF(B329=0,INDEX('Category 14'!F:F,MATCH(C329&amp;E329&amp;D329,'Category 14'!B:B&amp;'Category 14'!C:C&amp;'Category 14'!A:A,0)),INDEX('Category 14'!G:G,MATCH(C329&amp;E329&amp;D329,'Category 14'!B:B&amp;'Category 14'!C:C&amp;'Category 14'!A:A,0)))</f>
        <v>1524050</v>
      </c>
      <c r="J329">
        <f>I329/VLOOKUP($D329,CPI!$P$16:$R$22,3,FALSE)</f>
        <v>1775592.6069082145</v>
      </c>
      <c r="K329" cm="1">
        <f t="array" ref="K329">IF(B329=0,INDEX('Category 15'!F:F,MATCH(C329&amp;E329&amp;D329,'Category 15'!B:B&amp;'Category 15'!C:C&amp;'Category 15'!A:A,0)),INDEX('Category 15'!G:G,MATCH(C329&amp;E329&amp;D329,'Category 15'!B:B&amp;'Category 31'!C:C&amp;'Category 15'!A:A,0)))</f>
        <v>7776</v>
      </c>
      <c r="L329">
        <f>K329/VLOOKUP($D329,CPI!$P$16:$R$22,3,FALSE)</f>
        <v>9059.4193834311718</v>
      </c>
      <c r="M329" s="16" cm="1">
        <f t="array" ref="M329">IF(B329=0,INDEX('Category 31'!F:F,MATCH(C329&amp;E329&amp;D329,'Category 31'!B:B&amp;'Category 31'!C:C&amp;'Category 31'!A:A,0)),INDEX('Category 31'!G:G,MATCH(C329&amp;E329&amp;D329,'Category 31'!B:B&amp;'Category 31'!C:C&amp;'Category 31'!A:A,0)))</f>
        <v>0</v>
      </c>
      <c r="N329" s="16">
        <f>M329/VLOOKUP($D329,CPI!$P$16:$R$22,3,FALSE)</f>
        <v>0</v>
      </c>
      <c r="O329">
        <f>VLOOKUP(E329,MFootball!C:S,9,FALSE)</f>
        <v>297435</v>
      </c>
    </row>
    <row r="330" spans="1:15" ht="16" thickBot="1" x14ac:dyDescent="0.25">
      <c r="A330" s="15">
        <v>2</v>
      </c>
      <c r="B330">
        <f t="shared" si="5"/>
        <v>0</v>
      </c>
      <c r="C330">
        <f>IF(ISBLANK(H330),"",VLOOKUP(H330,Code!B:C,2,FALSE))</f>
        <v>9</v>
      </c>
      <c r="D330">
        <v>2020</v>
      </c>
      <c r="E330">
        <v>126614</v>
      </c>
      <c r="F330" t="s">
        <v>75</v>
      </c>
      <c r="G330" t="s">
        <v>289</v>
      </c>
      <c r="H330" t="s">
        <v>3</v>
      </c>
      <c r="I330" cm="1">
        <f t="array" ref="I330">IF(B330=0,INDEX('Category 14'!F:F,MATCH(C330&amp;E330&amp;D330,'Category 14'!B:B&amp;'Category 14'!C:C&amp;'Category 14'!A:A,0)),INDEX('Category 14'!G:G,MATCH(C330&amp;E330&amp;D330,'Category 14'!B:B&amp;'Category 14'!C:C&amp;'Category 14'!A:A,0)))</f>
        <v>0</v>
      </c>
      <c r="J330">
        <f>I330/VLOOKUP($D330,CPI!$P$16:$R$22,3,FALSE)</f>
        <v>0</v>
      </c>
      <c r="K330" cm="1">
        <f t="array" ref="K330">IF(B330=0,INDEX('Category 15'!F:F,MATCH(C330&amp;E330&amp;D330,'Category 15'!B:B&amp;'Category 15'!C:C&amp;'Category 15'!A:A,0)),INDEX('Category 15'!G:G,MATCH(C330&amp;E330&amp;D330,'Category 15'!B:B&amp;'Category 31'!C:C&amp;'Category 15'!A:A,0)))</f>
        <v>0</v>
      </c>
      <c r="L330">
        <f>K330/VLOOKUP($D330,CPI!$P$16:$R$22,3,FALSE)</f>
        <v>0</v>
      </c>
      <c r="M330" s="16" cm="1">
        <f t="array" ref="M330">IF(B330=0,INDEX('Category 31'!F:F,MATCH(C330&amp;E330&amp;D330,'Category 31'!B:B&amp;'Category 31'!C:C&amp;'Category 31'!A:A,0)),INDEX('Category 31'!G:G,MATCH(C330&amp;E330&amp;D330,'Category 31'!B:B&amp;'Category 31'!C:C&amp;'Category 31'!A:A,0)))</f>
        <v>18576</v>
      </c>
      <c r="N330" s="16">
        <f>M330/VLOOKUP($D330,CPI!$P$16:$R$22,3,FALSE)</f>
        <v>21641.946304863352</v>
      </c>
      <c r="O330">
        <v>0</v>
      </c>
    </row>
    <row r="331" spans="1:15" ht="16" thickBot="1" x14ac:dyDescent="0.25">
      <c r="A331" s="15">
        <v>2</v>
      </c>
      <c r="B331">
        <f t="shared" si="5"/>
        <v>0</v>
      </c>
      <c r="C331">
        <f>IF(ISBLANK(H331),"",VLOOKUP(H331,Code!B:C,2,FALSE))</f>
        <v>16</v>
      </c>
      <c r="D331">
        <v>2020</v>
      </c>
      <c r="E331">
        <v>126614</v>
      </c>
      <c r="F331" t="s">
        <v>75</v>
      </c>
      <c r="G331" t="s">
        <v>289</v>
      </c>
      <c r="H331" t="s">
        <v>31</v>
      </c>
      <c r="I331" cm="1">
        <f t="array" ref="I331">IF(B331=0,INDEX('Category 14'!F:F,MATCH(C331&amp;E331&amp;D331,'Category 14'!B:B&amp;'Category 14'!C:C&amp;'Category 14'!A:A,0)),INDEX('Category 14'!G:G,MATCH(C331&amp;E331&amp;D331,'Category 14'!B:B&amp;'Category 14'!C:C&amp;'Category 14'!A:A,0)))</f>
        <v>0</v>
      </c>
      <c r="J331">
        <f>I331/VLOOKUP($D331,CPI!$P$16:$R$22,3,FALSE)</f>
        <v>0</v>
      </c>
      <c r="K331" cm="1">
        <f t="array" ref="K331">IF(B331=0,INDEX('Category 15'!F:F,MATCH(C331&amp;E331&amp;D331,'Category 15'!B:B&amp;'Category 15'!C:C&amp;'Category 15'!A:A,0)),INDEX('Category 15'!G:G,MATCH(C331&amp;E331&amp;D331,'Category 15'!B:B&amp;'Category 31'!C:C&amp;'Category 15'!A:A,0)))</f>
        <v>0</v>
      </c>
      <c r="L331">
        <f>K331/VLOOKUP($D331,CPI!$P$16:$R$22,3,FALSE)</f>
        <v>0</v>
      </c>
      <c r="M331" s="16" cm="1">
        <f t="array" ref="M331">IF(B331=0,INDEX('Category 31'!F:F,MATCH(C331&amp;E331&amp;D331,'Category 31'!B:B&amp;'Category 31'!C:C&amp;'Category 31'!A:A,0)),INDEX('Category 31'!G:G,MATCH(C331&amp;E331&amp;D331,'Category 31'!B:B&amp;'Category 31'!C:C&amp;'Category 31'!A:A,0)))</f>
        <v>38528</v>
      </c>
      <c r="N331" s="16">
        <f>M331/VLOOKUP($D331,CPI!$P$16:$R$22,3,FALSE)</f>
        <v>44886.999743420289</v>
      </c>
      <c r="O331">
        <v>0</v>
      </c>
    </row>
    <row r="332" spans="1:15" ht="16" thickBot="1" x14ac:dyDescent="0.25">
      <c r="A332" s="15">
        <v>2</v>
      </c>
      <c r="B332">
        <f t="shared" si="5"/>
        <v>0</v>
      </c>
      <c r="C332">
        <f>IF(ISBLANK(H332),"",VLOOKUP(H332,Code!B:C,2,FALSE))</f>
        <v>21</v>
      </c>
      <c r="D332">
        <v>2020</v>
      </c>
      <c r="E332">
        <v>126614</v>
      </c>
      <c r="F332" t="s">
        <v>75</v>
      </c>
      <c r="G332" t="s">
        <v>289</v>
      </c>
      <c r="H332" t="s">
        <v>36</v>
      </c>
      <c r="I332" cm="1">
        <f t="array" ref="I332">IF(B332=0,INDEX('Category 14'!F:F,MATCH(C332&amp;E332&amp;D332,'Category 14'!B:B&amp;'Category 14'!C:C&amp;'Category 14'!A:A,0)),INDEX('Category 14'!G:G,MATCH(C332&amp;E332&amp;D332,'Category 14'!B:B&amp;'Category 14'!C:C&amp;'Category 14'!A:A,0)))</f>
        <v>0</v>
      </c>
      <c r="J332">
        <f>I332/VLOOKUP($D332,CPI!$P$16:$R$22,3,FALSE)</f>
        <v>0</v>
      </c>
      <c r="K332" cm="1">
        <f t="array" ref="K332">IF(B332=0,INDEX('Category 15'!F:F,MATCH(C332&amp;E332&amp;D332,'Category 15'!B:B&amp;'Category 15'!C:C&amp;'Category 15'!A:A,0)),INDEX('Category 15'!G:G,MATCH(C332&amp;E332&amp;D332,'Category 15'!B:B&amp;'Category 31'!C:C&amp;'Category 15'!A:A,0)))</f>
        <v>0</v>
      </c>
      <c r="L332">
        <f>K332/VLOOKUP($D332,CPI!$P$16:$R$22,3,FALSE)</f>
        <v>0</v>
      </c>
      <c r="M332" s="16" cm="1">
        <f t="array" ref="M332">IF(B332=0,INDEX('Category 31'!F:F,MATCH(C332&amp;E332&amp;D332,'Category 31'!B:B&amp;'Category 31'!C:C&amp;'Category 31'!A:A,0)),INDEX('Category 31'!G:G,MATCH(C332&amp;E332&amp;D332,'Category 31'!B:B&amp;'Category 31'!C:C&amp;'Category 31'!A:A,0)))</f>
        <v>0</v>
      </c>
      <c r="N332" s="16">
        <f>M332/VLOOKUP($D332,CPI!$P$16:$R$22,3,FALSE)</f>
        <v>0</v>
      </c>
      <c r="O332">
        <v>0</v>
      </c>
    </row>
    <row r="333" spans="1:15" ht="16" thickBot="1" x14ac:dyDescent="0.25">
      <c r="A333" s="15">
        <v>2</v>
      </c>
      <c r="B333">
        <f t="shared" si="5"/>
        <v>1</v>
      </c>
      <c r="C333">
        <f>IF(ISBLANK(H333),"",VLOOKUP(H333,Code!B:C,2,FALSE))</f>
        <v>2</v>
      </c>
      <c r="D333">
        <v>2020</v>
      </c>
      <c r="E333">
        <v>126614</v>
      </c>
      <c r="F333" t="s">
        <v>75</v>
      </c>
      <c r="G333" t="s">
        <v>290</v>
      </c>
      <c r="H333" t="s">
        <v>1</v>
      </c>
      <c r="I333" cm="1">
        <f t="array" ref="I333">IF(B333=0,INDEX('Category 14'!F:F,MATCH(C333&amp;E333&amp;D333,'Category 14'!B:B&amp;'Category 14'!C:C&amp;'Category 14'!A:A,0)),INDEX('Category 14'!G:G,MATCH(C333&amp;E333&amp;D333,'Category 14'!B:B&amp;'Category 14'!C:C&amp;'Category 14'!A:A,0)))</f>
        <v>21652</v>
      </c>
      <c r="J333">
        <f>I333/VLOOKUP($D333,CPI!$P$16:$R$22,3,FALSE)</f>
        <v>25225.636379893484</v>
      </c>
      <c r="K333" cm="1">
        <f t="array" ref="K333">IF(B333=0,INDEX('Category 15'!F:F,MATCH(C333&amp;E333&amp;D333,'Category 15'!B:B&amp;'Category 15'!C:C&amp;'Category 15'!A:A,0)),INDEX('Category 15'!G:G,MATCH(C333&amp;E333&amp;D333,'Category 15'!B:B&amp;'Category 31'!C:C&amp;'Category 15'!A:A,0)))</f>
        <v>0</v>
      </c>
      <c r="L333">
        <f>K333/VLOOKUP($D333,CPI!$P$16:$R$22,3,FALSE)</f>
        <v>0</v>
      </c>
      <c r="M333" s="16" cm="1">
        <f t="array" ref="M333">IF(B333=0,INDEX('Category 31'!F:F,MATCH(C333&amp;E333&amp;D333,'Category 31'!B:B&amp;'Category 31'!C:C&amp;'Category 31'!A:A,0)),INDEX('Category 31'!G:G,MATCH(C333&amp;E333&amp;D333,'Category 31'!B:B&amp;'Category 31'!C:C&amp;'Category 31'!A:A,0)))</f>
        <v>0</v>
      </c>
      <c r="N333" s="16">
        <f>M333/VLOOKUP($D333,CPI!$P$16:$R$22,3,FALSE)</f>
        <v>0</v>
      </c>
      <c r="O333">
        <f>VLOOKUP(E333,WBasketball!C:S,9,FALSE)</f>
        <v>31015</v>
      </c>
    </row>
    <row r="334" spans="1:15" ht="16" thickBot="1" x14ac:dyDescent="0.25">
      <c r="A334" s="15">
        <v>2</v>
      </c>
      <c r="B334">
        <f t="shared" si="5"/>
        <v>1</v>
      </c>
      <c r="C334">
        <f>IF(ISBLANK(H334),"",VLOOKUP(H334,Code!B:C,2,FALSE))</f>
        <v>9</v>
      </c>
      <c r="D334">
        <v>2020</v>
      </c>
      <c r="E334">
        <v>126614</v>
      </c>
      <c r="F334" t="s">
        <v>75</v>
      </c>
      <c r="G334" t="s">
        <v>290</v>
      </c>
      <c r="H334" t="s">
        <v>3</v>
      </c>
      <c r="I334" cm="1">
        <f t="array" ref="I334">IF(B334=0,INDEX('Category 14'!F:F,MATCH(C334&amp;E334&amp;D334,'Category 14'!B:B&amp;'Category 14'!C:C&amp;'Category 14'!A:A,0)),INDEX('Category 14'!G:G,MATCH(C334&amp;E334&amp;D334,'Category 14'!B:B&amp;'Category 14'!C:C&amp;'Category 14'!A:A,0)))</f>
        <v>0</v>
      </c>
      <c r="J334">
        <f>I334/VLOOKUP($D334,CPI!$P$16:$R$22,3,FALSE)</f>
        <v>0</v>
      </c>
      <c r="K334" cm="1">
        <f t="array" ref="K334">IF(B334=0,INDEX('Category 15'!F:F,MATCH(C334&amp;E334&amp;D334,'Category 15'!B:B&amp;'Category 15'!C:C&amp;'Category 15'!A:A,0)),INDEX('Category 15'!G:G,MATCH(C334&amp;E334&amp;D334,'Category 15'!B:B&amp;'Category 31'!C:C&amp;'Category 15'!A:A,0)))</f>
        <v>0</v>
      </c>
      <c r="L334">
        <f>K334/VLOOKUP($D334,CPI!$P$16:$R$22,3,FALSE)</f>
        <v>0</v>
      </c>
      <c r="M334" s="16" cm="1">
        <f t="array" ref="M334">IF(B334=0,INDEX('Category 31'!F:F,MATCH(C334&amp;E334&amp;D334,'Category 31'!B:B&amp;'Category 31'!C:C&amp;'Category 31'!A:A,0)),INDEX('Category 31'!G:G,MATCH(C334&amp;E334&amp;D334,'Category 31'!B:B&amp;'Category 31'!C:C&amp;'Category 31'!A:A,0)))</f>
        <v>0</v>
      </c>
      <c r="N334" s="16">
        <f>M334/VLOOKUP($D334,CPI!$P$16:$R$22,3,FALSE)</f>
        <v>0</v>
      </c>
      <c r="O334">
        <v>0</v>
      </c>
    </row>
    <row r="335" spans="1:15" ht="16" thickBot="1" x14ac:dyDescent="0.25">
      <c r="A335" s="15">
        <v>2</v>
      </c>
      <c r="B335">
        <f t="shared" si="5"/>
        <v>1</v>
      </c>
      <c r="C335">
        <f>IF(ISBLANK(H335),"",VLOOKUP(H335,Code!B:C,2,FALSE))</f>
        <v>12</v>
      </c>
      <c r="D335">
        <v>2020</v>
      </c>
      <c r="E335">
        <v>126614</v>
      </c>
      <c r="F335" t="s">
        <v>75</v>
      </c>
      <c r="G335" t="s">
        <v>290</v>
      </c>
      <c r="H335" t="s">
        <v>27</v>
      </c>
      <c r="I335" cm="1">
        <f t="array" ref="I335">IF(B335=0,INDEX('Category 14'!F:F,MATCH(C335&amp;E335&amp;D335,'Category 14'!B:B&amp;'Category 14'!C:C&amp;'Category 14'!A:A,0)),INDEX('Category 14'!G:G,MATCH(C335&amp;E335&amp;D335,'Category 14'!B:B&amp;'Category 14'!C:C&amp;'Category 14'!A:A,0)))</f>
        <v>286</v>
      </c>
      <c r="J335">
        <f>I335/VLOOKUP($D335,CPI!$P$16:$R$22,3,FALSE)</f>
        <v>333.2039536601485</v>
      </c>
      <c r="K335" cm="1">
        <f t="array" ref="K335">IF(B335=0,INDEX('Category 15'!F:F,MATCH(C335&amp;E335&amp;D335,'Category 15'!B:B&amp;'Category 15'!C:C&amp;'Category 15'!A:A,0)),INDEX('Category 15'!G:G,MATCH(C335&amp;E335&amp;D335,'Category 15'!B:B&amp;'Category 31'!C:C&amp;'Category 15'!A:A,0)))</f>
        <v>0</v>
      </c>
      <c r="L335">
        <f>K335/VLOOKUP($D335,CPI!$P$16:$R$22,3,FALSE)</f>
        <v>0</v>
      </c>
      <c r="M335" s="16" cm="1">
        <f t="array" ref="M335">IF(B335=0,INDEX('Category 31'!F:F,MATCH(C335&amp;E335&amp;D335,'Category 31'!B:B&amp;'Category 31'!C:C&amp;'Category 31'!A:A,0)),INDEX('Category 31'!G:G,MATCH(C335&amp;E335&amp;D335,'Category 31'!B:B&amp;'Category 31'!C:C&amp;'Category 31'!A:A,0)))</f>
        <v>0</v>
      </c>
      <c r="N335" s="16">
        <f>M335/VLOOKUP($D335,CPI!$P$16:$R$22,3,FALSE)</f>
        <v>0</v>
      </c>
      <c r="O335">
        <f>VLOOKUP(E335,WLacrosse!C:S,9,FALSE)</f>
        <v>784</v>
      </c>
    </row>
    <row r="336" spans="1:15" ht="16" thickBot="1" x14ac:dyDescent="0.25">
      <c r="A336" s="15">
        <v>2</v>
      </c>
      <c r="B336">
        <f t="shared" si="5"/>
        <v>1</v>
      </c>
      <c r="C336">
        <f>IF(ISBLANK(H336),"",VLOOKUP(H336,Code!B:C,2,FALSE))</f>
        <v>16</v>
      </c>
      <c r="D336">
        <v>2020</v>
      </c>
      <c r="E336">
        <v>126614</v>
      </c>
      <c r="F336" t="s">
        <v>75</v>
      </c>
      <c r="G336" t="s">
        <v>290</v>
      </c>
      <c r="H336" t="s">
        <v>31</v>
      </c>
      <c r="I336" cm="1">
        <f t="array" ref="I336">IF(B336=0,INDEX('Category 14'!F:F,MATCH(C336&amp;E336&amp;D336,'Category 14'!B:B&amp;'Category 14'!C:C&amp;'Category 14'!A:A,0)),INDEX('Category 14'!G:G,MATCH(C336&amp;E336&amp;D336,'Category 14'!B:B&amp;'Category 14'!C:C&amp;'Category 14'!A:A,0)))</f>
        <v>0</v>
      </c>
      <c r="J336">
        <f>I336/VLOOKUP($D336,CPI!$P$16:$R$22,3,FALSE)</f>
        <v>0</v>
      </c>
      <c r="K336" cm="1">
        <f t="array" ref="K336">IF(B336=0,INDEX('Category 15'!F:F,MATCH(C336&amp;E336&amp;D336,'Category 15'!B:B&amp;'Category 15'!C:C&amp;'Category 15'!A:A,0)),INDEX('Category 15'!G:G,MATCH(C336&amp;E336&amp;D336,'Category 15'!B:B&amp;'Category 31'!C:C&amp;'Category 15'!A:A,0)))</f>
        <v>0</v>
      </c>
      <c r="L336">
        <f>K336/VLOOKUP($D336,CPI!$P$16:$R$22,3,FALSE)</f>
        <v>0</v>
      </c>
      <c r="M336" s="16" cm="1">
        <f t="array" ref="M336">IF(B336=0,INDEX('Category 31'!F:F,MATCH(C336&amp;E336&amp;D336,'Category 31'!B:B&amp;'Category 31'!C:C&amp;'Category 31'!A:A,0)),INDEX('Category 31'!G:G,MATCH(C336&amp;E336&amp;D336,'Category 31'!B:B&amp;'Category 31'!C:C&amp;'Category 31'!A:A,0)))</f>
        <v>38528</v>
      </c>
      <c r="N336" s="16">
        <f>M336/VLOOKUP($D336,CPI!$P$16:$R$22,3,FALSE)</f>
        <v>44886.999743420289</v>
      </c>
      <c r="O336">
        <v>0</v>
      </c>
    </row>
    <row r="337" spans="1:15" ht="16" thickBot="1" x14ac:dyDescent="0.25">
      <c r="A337" s="15">
        <v>2</v>
      </c>
      <c r="B337">
        <f t="shared" si="5"/>
        <v>1</v>
      </c>
      <c r="C337">
        <f>IF(ISBLANK(H337),"",VLOOKUP(H337,Code!B:C,2,FALSE))</f>
        <v>17</v>
      </c>
      <c r="D337">
        <v>2020</v>
      </c>
      <c r="E337">
        <v>126614</v>
      </c>
      <c r="F337" t="s">
        <v>75</v>
      </c>
      <c r="G337" t="s">
        <v>290</v>
      </c>
      <c r="H337" t="s">
        <v>5</v>
      </c>
      <c r="I337" cm="1">
        <f t="array" ref="I337">IF(B337=0,INDEX('Category 14'!F:F,MATCH(C337&amp;E337&amp;D337,'Category 14'!B:B&amp;'Category 14'!C:C&amp;'Category 14'!A:A,0)),INDEX('Category 14'!G:G,MATCH(C337&amp;E337&amp;D337,'Category 14'!B:B&amp;'Category 14'!C:C&amp;'Category 14'!A:A,0)))</f>
        <v>5531</v>
      </c>
      <c r="J337">
        <f>I337/VLOOKUP($D337,CPI!$P$16:$R$22,3,FALSE)</f>
        <v>6443.8848520779075</v>
      </c>
      <c r="K337" cm="1">
        <f t="array" ref="K337">IF(B337=0,INDEX('Category 15'!F:F,MATCH(C337&amp;E337&amp;D337,'Category 15'!B:B&amp;'Category 15'!C:C&amp;'Category 15'!A:A,0)),INDEX('Category 15'!G:G,MATCH(C337&amp;E337&amp;D337,'Category 15'!B:B&amp;'Category 31'!C:C&amp;'Category 15'!A:A,0)))</f>
        <v>0</v>
      </c>
      <c r="L337">
        <f>K337/VLOOKUP($D337,CPI!$P$16:$R$22,3,FALSE)</f>
        <v>0</v>
      </c>
      <c r="M337" s="16" cm="1">
        <f t="array" ref="M337">IF(B337=0,INDEX('Category 31'!F:F,MATCH(C337&amp;E337&amp;D337,'Category 31'!B:B&amp;'Category 31'!C:C&amp;'Category 31'!A:A,0)),INDEX('Category 31'!G:G,MATCH(C337&amp;E337&amp;D337,'Category 31'!B:B&amp;'Category 31'!C:C&amp;'Category 31'!A:A,0)))</f>
        <v>0</v>
      </c>
      <c r="N337" s="16">
        <f>M337/VLOOKUP($D337,CPI!$P$16:$R$22,3,FALSE)</f>
        <v>0</v>
      </c>
      <c r="O337">
        <f>VLOOKUP(E337,WSoccer!C:S,9,FALSE)</f>
        <v>11048</v>
      </c>
    </row>
    <row r="338" spans="1:15" ht="16" thickBot="1" x14ac:dyDescent="0.25">
      <c r="A338" s="15">
        <v>2</v>
      </c>
      <c r="B338">
        <f t="shared" si="5"/>
        <v>1</v>
      </c>
      <c r="C338">
        <f>IF(ISBLANK(H338),"",VLOOKUP(H338,Code!B:C,2,FALSE))</f>
        <v>20</v>
      </c>
      <c r="D338">
        <v>2020</v>
      </c>
      <c r="E338">
        <v>126614</v>
      </c>
      <c r="F338" t="s">
        <v>75</v>
      </c>
      <c r="G338" t="s">
        <v>290</v>
      </c>
      <c r="H338" t="s">
        <v>8</v>
      </c>
      <c r="I338" cm="1">
        <f t="array" ref="I338">IF(B338=0,INDEX('Category 14'!F:F,MATCH(C338&amp;E338&amp;D338,'Category 14'!B:B&amp;'Category 14'!C:C&amp;'Category 14'!A:A,0)),INDEX('Category 14'!G:G,MATCH(C338&amp;E338&amp;D338,'Category 14'!B:B&amp;'Category 14'!C:C&amp;'Category 14'!A:A,0)))</f>
        <v>0</v>
      </c>
      <c r="J338">
        <f>I338/VLOOKUP($D338,CPI!$P$16:$R$22,3,FALSE)</f>
        <v>0</v>
      </c>
      <c r="K338" cm="1">
        <f t="array" ref="K338">IF(B338=0,INDEX('Category 15'!F:F,MATCH(C338&amp;E338&amp;D338,'Category 15'!B:B&amp;'Category 15'!C:C&amp;'Category 15'!A:A,0)),INDEX('Category 15'!G:G,MATCH(C338&amp;E338&amp;D338,'Category 15'!B:B&amp;'Category 31'!C:C&amp;'Category 15'!A:A,0)))</f>
        <v>0</v>
      </c>
      <c r="L338">
        <f>K338/VLOOKUP($D338,CPI!$P$16:$R$22,3,FALSE)</f>
        <v>0</v>
      </c>
      <c r="M338" s="16" cm="1">
        <f t="array" ref="M338">IF(B338=0,INDEX('Category 31'!F:F,MATCH(C338&amp;E338&amp;D338,'Category 31'!B:B&amp;'Category 31'!C:C&amp;'Category 31'!A:A,0)),INDEX('Category 31'!G:G,MATCH(C338&amp;E338&amp;D338,'Category 31'!B:B&amp;'Category 31'!C:C&amp;'Category 31'!A:A,0)))</f>
        <v>0</v>
      </c>
      <c r="N338" s="16">
        <f>M338/VLOOKUP($D338,CPI!$P$16:$R$22,3,FALSE)</f>
        <v>0</v>
      </c>
      <c r="O338">
        <v>0</v>
      </c>
    </row>
    <row r="339" spans="1:15" ht="16" thickBot="1" x14ac:dyDescent="0.25">
      <c r="A339" s="15">
        <v>2</v>
      </c>
      <c r="B339">
        <f t="shared" si="5"/>
        <v>1</v>
      </c>
      <c r="C339">
        <f>IF(ISBLANK(H339),"",VLOOKUP(H339,Code!B:C,2,FALSE))</f>
        <v>21</v>
      </c>
      <c r="D339">
        <v>2020</v>
      </c>
      <c r="E339">
        <v>126614</v>
      </c>
      <c r="F339" t="s">
        <v>75</v>
      </c>
      <c r="G339" t="s">
        <v>290</v>
      </c>
      <c r="H339" t="s">
        <v>36</v>
      </c>
      <c r="I339" cm="1">
        <f t="array" ref="I339">IF(B339=0,INDEX('Category 14'!F:F,MATCH(C339&amp;E339&amp;D339,'Category 14'!B:B&amp;'Category 14'!C:C&amp;'Category 14'!A:A,0)),INDEX('Category 14'!G:G,MATCH(C339&amp;E339&amp;D339,'Category 14'!B:B&amp;'Category 14'!C:C&amp;'Category 14'!A:A,0)))</f>
        <v>0</v>
      </c>
      <c r="J339">
        <f>I339/VLOOKUP($D339,CPI!$P$16:$R$22,3,FALSE)</f>
        <v>0</v>
      </c>
      <c r="K339" cm="1">
        <f t="array" ref="K339">IF(B339=0,INDEX('Category 15'!F:F,MATCH(C339&amp;E339&amp;D339,'Category 15'!B:B&amp;'Category 15'!C:C&amp;'Category 15'!A:A,0)),INDEX('Category 15'!G:G,MATCH(C339&amp;E339&amp;D339,'Category 15'!B:B&amp;'Category 31'!C:C&amp;'Category 15'!A:A,0)))</f>
        <v>0</v>
      </c>
      <c r="L339">
        <f>K339/VLOOKUP($D339,CPI!$P$16:$R$22,3,FALSE)</f>
        <v>0</v>
      </c>
      <c r="M339" s="16" cm="1">
        <f t="array" ref="M339">IF(B339=0,INDEX('Category 31'!F:F,MATCH(C339&amp;E339&amp;D339,'Category 31'!B:B&amp;'Category 31'!C:C&amp;'Category 31'!A:A,0)),INDEX('Category 31'!G:G,MATCH(C339&amp;E339&amp;D339,'Category 31'!B:B&amp;'Category 31'!C:C&amp;'Category 31'!A:A,0)))</f>
        <v>0</v>
      </c>
      <c r="N339" s="16">
        <f>M339/VLOOKUP($D339,CPI!$P$16:$R$22,3,FALSE)</f>
        <v>0</v>
      </c>
      <c r="O339">
        <v>0</v>
      </c>
    </row>
    <row r="340" spans="1:15" ht="16" thickBot="1" x14ac:dyDescent="0.25">
      <c r="A340" s="15">
        <v>2</v>
      </c>
      <c r="B340">
        <f t="shared" si="5"/>
        <v>1</v>
      </c>
      <c r="C340">
        <f>IF(ISBLANK(H340),"",VLOOKUP(H340,Code!B:C,2,FALSE))</f>
        <v>23</v>
      </c>
      <c r="D340">
        <v>2020</v>
      </c>
      <c r="E340">
        <v>126614</v>
      </c>
      <c r="F340" t="s">
        <v>75</v>
      </c>
      <c r="G340" t="s">
        <v>290</v>
      </c>
      <c r="H340" t="s">
        <v>10</v>
      </c>
      <c r="I340" cm="1">
        <f t="array" ref="I340">IF(B340=0,INDEX('Category 14'!F:F,MATCH(C340&amp;E340&amp;D340,'Category 14'!B:B&amp;'Category 14'!C:C&amp;'Category 14'!A:A,0)),INDEX('Category 14'!G:G,MATCH(C340&amp;E340&amp;D340,'Category 14'!B:B&amp;'Category 14'!C:C&amp;'Category 14'!A:A,0)))</f>
        <v>9476</v>
      </c>
      <c r="J340">
        <f>I340/VLOOKUP($D340,CPI!$P$16:$R$22,3,FALSE)</f>
        <v>11040.002324767718</v>
      </c>
      <c r="K340" cm="1">
        <f t="array" ref="K340">IF(B340=0,INDEX('Category 15'!F:F,MATCH(C340&amp;E340&amp;D340,'Category 15'!B:B&amp;'Category 15'!C:C&amp;'Category 15'!A:A,0)),INDEX('Category 15'!G:G,MATCH(C340&amp;E340&amp;D340,'Category 15'!B:B&amp;'Category 31'!C:C&amp;'Category 15'!A:A,0)))</f>
        <v>0</v>
      </c>
      <c r="L340">
        <f>K340/VLOOKUP($D340,CPI!$P$16:$R$22,3,FALSE)</f>
        <v>0</v>
      </c>
      <c r="M340" s="16" cm="1">
        <f t="array" ref="M340">IF(B340=0,INDEX('Category 31'!F:F,MATCH(C340&amp;E340&amp;D340,'Category 31'!B:B&amp;'Category 31'!C:C&amp;'Category 31'!A:A,0)),INDEX('Category 31'!G:G,MATCH(C340&amp;E340&amp;D340,'Category 31'!B:B&amp;'Category 31'!C:C&amp;'Category 31'!A:A,0)))</f>
        <v>0</v>
      </c>
      <c r="N340" s="16">
        <f>M340/VLOOKUP($D340,CPI!$P$16:$R$22,3,FALSE)</f>
        <v>0</v>
      </c>
      <c r="O340">
        <f>VLOOKUP(E340,WVolleyball!C:S,9,FALSE)</f>
        <v>19672</v>
      </c>
    </row>
    <row r="341" spans="1:15" ht="16" thickBot="1" x14ac:dyDescent="0.25">
      <c r="A341" s="15">
        <v>2</v>
      </c>
      <c r="B341">
        <f t="shared" si="5"/>
        <v>0</v>
      </c>
      <c r="C341">
        <f>IF(ISBLANK(H341),"",VLOOKUP(H341,Code!B:C,2,FALSE))</f>
        <v>2</v>
      </c>
      <c r="D341">
        <v>2021</v>
      </c>
      <c r="E341">
        <v>126614</v>
      </c>
      <c r="F341" t="s">
        <v>75</v>
      </c>
      <c r="G341" t="s">
        <v>289</v>
      </c>
      <c r="H341" t="s">
        <v>1</v>
      </c>
      <c r="I341" cm="1">
        <f t="array" ref="I341">IF(B341=0,INDEX('Category 14'!F:F,MATCH(C341&amp;E341&amp;D341,'Category 14'!B:B&amp;'Category 14'!C:C&amp;'Category 14'!A:A,0)),INDEX('Category 14'!G:G,MATCH(C341&amp;E341&amp;D341,'Category 14'!B:B&amp;'Category 14'!C:C&amp;'Category 14'!A:A,0)))</f>
        <v>26369</v>
      </c>
      <c r="J341">
        <f>I341/VLOOKUP($D341,CPI!$P$16:$R$22,3,FALSE)</f>
        <v>30029.99025082606</v>
      </c>
      <c r="K341" cm="1">
        <f t="array" ref="K341">IF(B341=0,INDEX('Category 15'!F:F,MATCH(C341&amp;E341&amp;D341,'Category 15'!B:B&amp;'Category 15'!C:C&amp;'Category 15'!A:A,0)),INDEX('Category 15'!G:G,MATCH(C341&amp;E341&amp;D341,'Category 15'!B:B&amp;'Category 31'!C:C&amp;'Category 15'!A:A,0)))</f>
        <v>0</v>
      </c>
      <c r="L341">
        <f>K341/VLOOKUP($D341,CPI!$P$16:$R$22,3,FALSE)</f>
        <v>0</v>
      </c>
      <c r="M341" s="16" cm="1">
        <f t="array" ref="M341">IF(B341=0,INDEX('Category 31'!F:F,MATCH(C341&amp;E341&amp;D341,'Category 31'!B:B&amp;'Category 31'!C:C&amp;'Category 31'!A:A,0)),INDEX('Category 31'!G:G,MATCH(C341&amp;E341&amp;D341,'Category 31'!B:B&amp;'Category 31'!C:C&amp;'Category 31'!A:A,0)))</f>
        <v>4830</v>
      </c>
      <c r="N341" s="16">
        <f>M341/VLOOKUP($D341,CPI!$P$16:$R$22,3,FALSE)</f>
        <v>5500.5822333607593</v>
      </c>
      <c r="O341">
        <f>VLOOKUP(E289,MBasketball!C:S,10,FALSE)</f>
        <v>398</v>
      </c>
    </row>
    <row r="342" spans="1:15" ht="16" thickBot="1" x14ac:dyDescent="0.25">
      <c r="A342" s="15">
        <v>2</v>
      </c>
      <c r="B342">
        <f t="shared" si="5"/>
        <v>0</v>
      </c>
      <c r="C342">
        <f>IF(ISBLANK(H342),"",VLOOKUP(H342,Code!B:C,2,FALSE))</f>
        <v>8</v>
      </c>
      <c r="D342">
        <v>2021</v>
      </c>
      <c r="E342">
        <v>126614</v>
      </c>
      <c r="F342" t="s">
        <v>75</v>
      </c>
      <c r="G342" t="s">
        <v>289</v>
      </c>
      <c r="H342" t="s">
        <v>2</v>
      </c>
      <c r="I342" cm="1">
        <f t="array" ref="I342">IF(B342=0,INDEX('Category 14'!F:F,MATCH(C342&amp;E342&amp;D342,'Category 14'!B:B&amp;'Category 14'!C:C&amp;'Category 14'!A:A,0)),INDEX('Category 14'!G:G,MATCH(C342&amp;E342&amp;D342,'Category 14'!B:B&amp;'Category 14'!C:C&amp;'Category 14'!A:A,0)))</f>
        <v>24175</v>
      </c>
      <c r="J342">
        <f>I342/VLOOKUP($D342,CPI!$P$16:$R$22,3,FALSE)</f>
        <v>27531.382089336719</v>
      </c>
      <c r="K342" cm="1">
        <f t="array" ref="K342">IF(B342=0,INDEX('Category 15'!F:F,MATCH(C342&amp;E342&amp;D342,'Category 15'!B:B&amp;'Category 15'!C:C&amp;'Category 15'!A:A,0)),INDEX('Category 15'!G:G,MATCH(C342&amp;E342&amp;D342,'Category 15'!B:B&amp;'Category 31'!C:C&amp;'Category 15'!A:A,0)))</f>
        <v>10000</v>
      </c>
      <c r="L342">
        <f>K342/VLOOKUP($D342,CPI!$P$16:$R$22,3,FALSE)</f>
        <v>11388.369013169275</v>
      </c>
      <c r="M342" s="16" cm="1">
        <f t="array" ref="M342">IF(B342=0,INDEX('Category 31'!F:F,MATCH(C342&amp;E342&amp;D342,'Category 31'!B:B&amp;'Category 31'!C:C&amp;'Category 31'!A:A,0)),INDEX('Category 31'!G:G,MATCH(C342&amp;E342&amp;D342,'Category 31'!B:B&amp;'Category 31'!C:C&amp;'Category 31'!A:A,0)))</f>
        <v>4456</v>
      </c>
      <c r="N342" s="16">
        <f>M342/VLOOKUP($D342,CPI!$P$16:$R$22,3,FALSE)</f>
        <v>5074.6572322682287</v>
      </c>
      <c r="O342">
        <f>VLOOKUP(E342,MFootball!C:S,10,FALSE)</f>
        <v>554</v>
      </c>
    </row>
    <row r="343" spans="1:15" ht="16" thickBot="1" x14ac:dyDescent="0.25">
      <c r="A343" s="15">
        <v>2</v>
      </c>
      <c r="B343">
        <f t="shared" si="5"/>
        <v>0</v>
      </c>
      <c r="C343">
        <f>IF(ISBLANK(H343),"",VLOOKUP(H343,Code!B:C,2,FALSE))</f>
        <v>9</v>
      </c>
      <c r="D343">
        <v>2021</v>
      </c>
      <c r="E343">
        <v>126614</v>
      </c>
      <c r="F343" t="s">
        <v>75</v>
      </c>
      <c r="G343" t="s">
        <v>289</v>
      </c>
      <c r="H343" t="s">
        <v>3</v>
      </c>
      <c r="I343" cm="1">
        <f t="array" ref="I343">IF(B343=0,INDEX('Category 14'!F:F,MATCH(C343&amp;E343&amp;D343,'Category 14'!B:B&amp;'Category 14'!C:C&amp;'Category 14'!A:A,0)),INDEX('Category 14'!G:G,MATCH(C343&amp;E343&amp;D343,'Category 14'!B:B&amp;'Category 14'!C:C&amp;'Category 14'!A:A,0)))</f>
        <v>0</v>
      </c>
      <c r="J343">
        <f>I343/VLOOKUP($D343,CPI!$P$16:$R$22,3,FALSE)</f>
        <v>0</v>
      </c>
      <c r="K343" cm="1">
        <f t="array" ref="K343">IF(B343=0,INDEX('Category 15'!F:F,MATCH(C343&amp;E343&amp;D343,'Category 15'!B:B&amp;'Category 15'!C:C&amp;'Category 15'!A:A,0)),INDEX('Category 15'!G:G,MATCH(C343&amp;E343&amp;D343,'Category 15'!B:B&amp;'Category 31'!C:C&amp;'Category 15'!A:A,0)))</f>
        <v>0</v>
      </c>
      <c r="L343">
        <f>K343/VLOOKUP($D343,CPI!$P$16:$R$22,3,FALSE)</f>
        <v>0</v>
      </c>
      <c r="M343" s="16" cm="1">
        <f t="array" ref="M343">IF(B343=0,INDEX('Category 31'!F:F,MATCH(C343&amp;E343&amp;D343,'Category 31'!B:B&amp;'Category 31'!C:C&amp;'Category 31'!A:A,0)),INDEX('Category 31'!G:G,MATCH(C343&amp;E343&amp;D343,'Category 31'!B:B&amp;'Category 31'!C:C&amp;'Category 31'!A:A,0)))</f>
        <v>0</v>
      </c>
      <c r="N343" s="16">
        <f>M343/VLOOKUP($D343,CPI!$P$16:$R$22,3,FALSE)</f>
        <v>0</v>
      </c>
      <c r="O343">
        <v>0</v>
      </c>
    </row>
    <row r="344" spans="1:15" ht="16" thickBot="1" x14ac:dyDescent="0.25">
      <c r="A344" s="15">
        <v>2</v>
      </c>
      <c r="B344">
        <f t="shared" si="5"/>
        <v>0</v>
      </c>
      <c r="C344">
        <f>IF(ISBLANK(H344),"",VLOOKUP(H344,Code!B:C,2,FALSE))</f>
        <v>16</v>
      </c>
      <c r="D344">
        <v>2021</v>
      </c>
      <c r="E344">
        <v>126614</v>
      </c>
      <c r="F344" t="s">
        <v>75</v>
      </c>
      <c r="G344" t="s">
        <v>289</v>
      </c>
      <c r="H344" t="s">
        <v>31</v>
      </c>
      <c r="I344" cm="1">
        <f t="array" ref="I344">IF(B344=0,INDEX('Category 14'!F:F,MATCH(C344&amp;E344&amp;D344,'Category 14'!B:B&amp;'Category 14'!C:C&amp;'Category 14'!A:A,0)),INDEX('Category 14'!G:G,MATCH(C344&amp;E344&amp;D344,'Category 14'!B:B&amp;'Category 14'!C:C&amp;'Category 14'!A:A,0)))</f>
        <v>0</v>
      </c>
      <c r="J344">
        <f>I344/VLOOKUP($D344,CPI!$P$16:$R$22,3,FALSE)</f>
        <v>0</v>
      </c>
      <c r="K344" cm="1">
        <f t="array" ref="K344">IF(B344=0,INDEX('Category 15'!F:F,MATCH(C344&amp;E344&amp;D344,'Category 15'!B:B&amp;'Category 15'!C:C&amp;'Category 15'!A:A,0)),INDEX('Category 15'!G:G,MATCH(C344&amp;E344&amp;D344,'Category 15'!B:B&amp;'Category 31'!C:C&amp;'Category 15'!A:A,0)))</f>
        <v>0</v>
      </c>
      <c r="L344">
        <f>K344/VLOOKUP($D344,CPI!$P$16:$R$22,3,FALSE)</f>
        <v>0</v>
      </c>
      <c r="M344" s="16" cm="1">
        <f t="array" ref="M344">IF(B344=0,INDEX('Category 31'!F:F,MATCH(C344&amp;E344&amp;D344,'Category 31'!B:B&amp;'Category 31'!C:C&amp;'Category 31'!A:A,0)),INDEX('Category 31'!G:G,MATCH(C344&amp;E344&amp;D344,'Category 31'!B:B&amp;'Category 31'!C:C&amp;'Category 31'!A:A,0)))</f>
        <v>0</v>
      </c>
      <c r="N344" s="16">
        <f>M344/VLOOKUP($D344,CPI!$P$16:$R$22,3,FALSE)</f>
        <v>0</v>
      </c>
      <c r="O344">
        <v>0</v>
      </c>
    </row>
    <row r="345" spans="1:15" ht="16" thickBot="1" x14ac:dyDescent="0.25">
      <c r="A345" s="15">
        <v>2</v>
      </c>
      <c r="B345">
        <f t="shared" si="5"/>
        <v>0</v>
      </c>
      <c r="C345">
        <f>IF(ISBLANK(H345),"",VLOOKUP(H345,Code!B:C,2,FALSE))</f>
        <v>21</v>
      </c>
      <c r="D345">
        <v>2021</v>
      </c>
      <c r="E345">
        <v>126614</v>
      </c>
      <c r="F345" t="s">
        <v>75</v>
      </c>
      <c r="G345" t="s">
        <v>289</v>
      </c>
      <c r="H345" t="s">
        <v>36</v>
      </c>
      <c r="I345" cm="1">
        <f t="array" ref="I345">IF(B345=0,INDEX('Category 14'!F:F,MATCH(C345&amp;E345&amp;D345,'Category 14'!B:B&amp;'Category 14'!C:C&amp;'Category 14'!A:A,0)),INDEX('Category 14'!G:G,MATCH(C345&amp;E345&amp;D345,'Category 14'!B:B&amp;'Category 14'!C:C&amp;'Category 14'!A:A,0)))</f>
        <v>0</v>
      </c>
      <c r="J345">
        <f>I345/VLOOKUP($D345,CPI!$P$16:$R$22,3,FALSE)</f>
        <v>0</v>
      </c>
      <c r="K345" cm="1">
        <f t="array" ref="K345">IF(B345=0,INDEX('Category 15'!F:F,MATCH(C345&amp;E345&amp;D345,'Category 15'!B:B&amp;'Category 15'!C:C&amp;'Category 15'!A:A,0)),INDEX('Category 15'!G:G,MATCH(C345&amp;E345&amp;D345,'Category 15'!B:B&amp;'Category 31'!C:C&amp;'Category 15'!A:A,0)))</f>
        <v>0</v>
      </c>
      <c r="L345">
        <f>K345/VLOOKUP($D345,CPI!$P$16:$R$22,3,FALSE)</f>
        <v>0</v>
      </c>
      <c r="M345" s="16" cm="1">
        <f t="array" ref="M345">IF(B345=0,INDEX('Category 31'!F:F,MATCH(C345&amp;E345&amp;D345,'Category 31'!B:B&amp;'Category 31'!C:C&amp;'Category 31'!A:A,0)),INDEX('Category 31'!G:G,MATCH(C345&amp;E345&amp;D345,'Category 31'!B:B&amp;'Category 31'!C:C&amp;'Category 31'!A:A,0)))</f>
        <v>0</v>
      </c>
      <c r="N345" s="16">
        <f>M345/VLOOKUP($D345,CPI!$P$16:$R$22,3,FALSE)</f>
        <v>0</v>
      </c>
      <c r="O345">
        <v>0</v>
      </c>
    </row>
    <row r="346" spans="1:15" ht="16" thickBot="1" x14ac:dyDescent="0.25">
      <c r="A346" s="15">
        <v>2</v>
      </c>
      <c r="B346">
        <f t="shared" si="5"/>
        <v>1</v>
      </c>
      <c r="C346">
        <f>IF(ISBLANK(H346),"",VLOOKUP(H346,Code!B:C,2,FALSE))</f>
        <v>2</v>
      </c>
      <c r="D346">
        <v>2021</v>
      </c>
      <c r="E346">
        <v>126614</v>
      </c>
      <c r="F346" t="s">
        <v>75</v>
      </c>
      <c r="G346" t="s">
        <v>290</v>
      </c>
      <c r="H346" t="s">
        <v>1</v>
      </c>
      <c r="I346" cm="1">
        <f t="array" ref="I346">IF(B346=0,INDEX('Category 14'!F:F,MATCH(C346&amp;E346&amp;D346,'Category 14'!B:B&amp;'Category 14'!C:C&amp;'Category 14'!A:A,0)),INDEX('Category 14'!G:G,MATCH(C346&amp;E346&amp;D346,'Category 14'!B:B&amp;'Category 14'!C:C&amp;'Category 14'!A:A,0)))</f>
        <v>0</v>
      </c>
      <c r="J346">
        <f>I346/VLOOKUP($D346,CPI!$P$16:$R$22,3,FALSE)</f>
        <v>0</v>
      </c>
      <c r="K346" cm="1">
        <f t="array" ref="K346">IF(B346=0,INDEX('Category 15'!F:F,MATCH(C346&amp;E346&amp;D346,'Category 15'!B:B&amp;'Category 15'!C:C&amp;'Category 15'!A:A,0)),INDEX('Category 15'!G:G,MATCH(C346&amp;E346&amp;D346,'Category 15'!B:B&amp;'Category 31'!C:C&amp;'Category 15'!A:A,0)))</f>
        <v>0</v>
      </c>
      <c r="L346">
        <f>K346/VLOOKUP($D346,CPI!$P$16:$R$22,3,FALSE)</f>
        <v>0</v>
      </c>
      <c r="M346" s="16" cm="1">
        <f t="array" ref="M346">IF(B346=0,INDEX('Category 31'!F:F,MATCH(C346&amp;E346&amp;D346,'Category 31'!B:B&amp;'Category 31'!C:C&amp;'Category 31'!A:A,0)),INDEX('Category 31'!G:G,MATCH(C346&amp;E346&amp;D346,'Category 31'!B:B&amp;'Category 31'!C:C&amp;'Category 31'!A:A,0)))</f>
        <v>0</v>
      </c>
      <c r="N346" s="16">
        <f>M346/VLOOKUP($D346,CPI!$P$16:$R$22,3,FALSE)</f>
        <v>0</v>
      </c>
      <c r="O346">
        <f>VLOOKUP(E346,WBasketball!C:S,10,FALSE)</f>
        <v>51</v>
      </c>
    </row>
    <row r="347" spans="1:15" ht="16" thickBot="1" x14ac:dyDescent="0.25">
      <c r="A347" s="15">
        <v>2</v>
      </c>
      <c r="B347">
        <f t="shared" si="5"/>
        <v>1</v>
      </c>
      <c r="C347">
        <f>IF(ISBLANK(H347),"",VLOOKUP(H347,Code!B:C,2,FALSE))</f>
        <v>9</v>
      </c>
      <c r="D347">
        <v>2021</v>
      </c>
      <c r="E347">
        <v>126614</v>
      </c>
      <c r="F347" t="s">
        <v>75</v>
      </c>
      <c r="G347" t="s">
        <v>290</v>
      </c>
      <c r="H347" t="s">
        <v>3</v>
      </c>
      <c r="I347" cm="1">
        <f t="array" ref="I347">IF(B347=0,INDEX('Category 14'!F:F,MATCH(C347&amp;E347&amp;D347,'Category 14'!B:B&amp;'Category 14'!C:C&amp;'Category 14'!A:A,0)),INDEX('Category 14'!G:G,MATCH(C347&amp;E347&amp;D347,'Category 14'!B:B&amp;'Category 14'!C:C&amp;'Category 14'!A:A,0)))</f>
        <v>0</v>
      </c>
      <c r="J347">
        <f>I347/VLOOKUP($D347,CPI!$P$16:$R$22,3,FALSE)</f>
        <v>0</v>
      </c>
      <c r="K347" cm="1">
        <f t="array" ref="K347">IF(B347=0,INDEX('Category 15'!F:F,MATCH(C347&amp;E347&amp;D347,'Category 15'!B:B&amp;'Category 15'!C:C&amp;'Category 15'!A:A,0)),INDEX('Category 15'!G:G,MATCH(C347&amp;E347&amp;D347,'Category 15'!B:B&amp;'Category 31'!C:C&amp;'Category 15'!A:A,0)))</f>
        <v>0</v>
      </c>
      <c r="L347">
        <f>K347/VLOOKUP($D347,CPI!$P$16:$R$22,3,FALSE)</f>
        <v>0</v>
      </c>
      <c r="M347" s="16" cm="1">
        <f t="array" ref="M347">IF(B347=0,INDEX('Category 31'!F:F,MATCH(C347&amp;E347&amp;D347,'Category 31'!B:B&amp;'Category 31'!C:C&amp;'Category 31'!A:A,0)),INDEX('Category 31'!G:G,MATCH(C347&amp;E347&amp;D347,'Category 31'!B:B&amp;'Category 31'!C:C&amp;'Category 31'!A:A,0)))</f>
        <v>0</v>
      </c>
      <c r="N347" s="16">
        <f>M347/VLOOKUP($D347,CPI!$P$16:$R$22,3,FALSE)</f>
        <v>0</v>
      </c>
      <c r="O347">
        <v>0</v>
      </c>
    </row>
    <row r="348" spans="1:15" ht="16" thickBot="1" x14ac:dyDescent="0.25">
      <c r="A348" s="15">
        <v>2</v>
      </c>
      <c r="B348">
        <f t="shared" si="5"/>
        <v>1</v>
      </c>
      <c r="C348">
        <f>IF(ISBLANK(H348),"",VLOOKUP(H348,Code!B:C,2,FALSE))</f>
        <v>12</v>
      </c>
      <c r="D348">
        <v>2021</v>
      </c>
      <c r="E348">
        <v>126614</v>
      </c>
      <c r="F348" t="s">
        <v>75</v>
      </c>
      <c r="G348" t="s">
        <v>290</v>
      </c>
      <c r="H348" t="s">
        <v>27</v>
      </c>
      <c r="I348" cm="1">
        <f t="array" ref="I348">IF(B348=0,INDEX('Category 14'!F:F,MATCH(C348&amp;E348&amp;D348,'Category 14'!B:B&amp;'Category 14'!C:C&amp;'Category 14'!A:A,0)),INDEX('Category 14'!G:G,MATCH(C348&amp;E348&amp;D348,'Category 14'!B:B&amp;'Category 14'!C:C&amp;'Category 14'!A:A,0)))</f>
        <v>0</v>
      </c>
      <c r="J348">
        <f>I348/VLOOKUP($D348,CPI!$P$16:$R$22,3,FALSE)</f>
        <v>0</v>
      </c>
      <c r="K348" cm="1">
        <f t="array" ref="K348">IF(B348=0,INDEX('Category 15'!F:F,MATCH(C348&amp;E348&amp;D348,'Category 15'!B:B&amp;'Category 15'!C:C&amp;'Category 15'!A:A,0)),INDEX('Category 15'!G:G,MATCH(C348&amp;E348&amp;D348,'Category 15'!B:B&amp;'Category 31'!C:C&amp;'Category 15'!A:A,0)))</f>
        <v>0</v>
      </c>
      <c r="L348">
        <f>K348/VLOOKUP($D348,CPI!$P$16:$R$22,3,FALSE)</f>
        <v>0</v>
      </c>
      <c r="M348" s="16" cm="1">
        <f t="array" ref="M348">IF(B348=0,INDEX('Category 31'!F:F,MATCH(C348&amp;E348&amp;D348,'Category 31'!B:B&amp;'Category 31'!C:C&amp;'Category 31'!A:A,0)),INDEX('Category 31'!G:G,MATCH(C348&amp;E348&amp;D348,'Category 31'!B:B&amp;'Category 31'!C:C&amp;'Category 31'!A:A,0)))</f>
        <v>0</v>
      </c>
      <c r="N348" s="16">
        <f>M348/VLOOKUP($D348,CPI!$P$16:$R$22,3,FALSE)</f>
        <v>0</v>
      </c>
      <c r="O348">
        <f>VLOOKUP(E348,WLacrosse!C:S,10,FALSE)</f>
        <v>65</v>
      </c>
    </row>
    <row r="349" spans="1:15" ht="16" thickBot="1" x14ac:dyDescent="0.25">
      <c r="A349" s="15">
        <v>2</v>
      </c>
      <c r="B349">
        <f t="shared" si="5"/>
        <v>1</v>
      </c>
      <c r="C349">
        <f>IF(ISBLANK(H349),"",VLOOKUP(H349,Code!B:C,2,FALSE))</f>
        <v>16</v>
      </c>
      <c r="D349">
        <v>2021</v>
      </c>
      <c r="E349">
        <v>126614</v>
      </c>
      <c r="F349" t="s">
        <v>75</v>
      </c>
      <c r="G349" t="s">
        <v>290</v>
      </c>
      <c r="H349" t="s">
        <v>31</v>
      </c>
      <c r="I349" cm="1">
        <f t="array" ref="I349">IF(B349=0,INDEX('Category 14'!F:F,MATCH(C349&amp;E349&amp;D349,'Category 14'!B:B&amp;'Category 14'!C:C&amp;'Category 14'!A:A,0)),INDEX('Category 14'!G:G,MATCH(C349&amp;E349&amp;D349,'Category 14'!B:B&amp;'Category 14'!C:C&amp;'Category 14'!A:A,0)))</f>
        <v>0</v>
      </c>
      <c r="J349">
        <f>I349/VLOOKUP($D349,CPI!$P$16:$R$22,3,FALSE)</f>
        <v>0</v>
      </c>
      <c r="K349" cm="1">
        <f t="array" ref="K349">IF(B349=0,INDEX('Category 15'!F:F,MATCH(C349&amp;E349&amp;D349,'Category 15'!B:B&amp;'Category 15'!C:C&amp;'Category 15'!A:A,0)),INDEX('Category 15'!G:G,MATCH(C349&amp;E349&amp;D349,'Category 15'!B:B&amp;'Category 31'!C:C&amp;'Category 15'!A:A,0)))</f>
        <v>0</v>
      </c>
      <c r="L349">
        <f>K349/VLOOKUP($D349,CPI!$P$16:$R$22,3,FALSE)</f>
        <v>0</v>
      </c>
      <c r="M349" s="16" cm="1">
        <f t="array" ref="M349">IF(B349=0,INDEX('Category 31'!F:F,MATCH(C349&amp;E349&amp;D349,'Category 31'!B:B&amp;'Category 31'!C:C&amp;'Category 31'!A:A,0)),INDEX('Category 31'!G:G,MATCH(C349&amp;E349&amp;D349,'Category 31'!B:B&amp;'Category 31'!C:C&amp;'Category 31'!A:A,0)))</f>
        <v>0</v>
      </c>
      <c r="N349" s="16">
        <f>M349/VLOOKUP($D349,CPI!$P$16:$R$22,3,FALSE)</f>
        <v>0</v>
      </c>
      <c r="O349">
        <v>0</v>
      </c>
    </row>
    <row r="350" spans="1:15" ht="16" thickBot="1" x14ac:dyDescent="0.25">
      <c r="A350" s="15">
        <v>2</v>
      </c>
      <c r="B350">
        <f t="shared" si="5"/>
        <v>1</v>
      </c>
      <c r="C350">
        <f>IF(ISBLANK(H350),"",VLOOKUP(H350,Code!B:C,2,FALSE))</f>
        <v>17</v>
      </c>
      <c r="D350">
        <v>2021</v>
      </c>
      <c r="E350">
        <v>126614</v>
      </c>
      <c r="F350" t="s">
        <v>75</v>
      </c>
      <c r="G350" t="s">
        <v>290</v>
      </c>
      <c r="H350" t="s">
        <v>5</v>
      </c>
      <c r="I350" cm="1">
        <f t="array" ref="I350">IF(B350=0,INDEX('Category 14'!F:F,MATCH(C350&amp;E350&amp;D350,'Category 14'!B:B&amp;'Category 14'!C:C&amp;'Category 14'!A:A,0)),INDEX('Category 14'!G:G,MATCH(C350&amp;E350&amp;D350,'Category 14'!B:B&amp;'Category 14'!C:C&amp;'Category 14'!A:A,0)))</f>
        <v>0</v>
      </c>
      <c r="J350">
        <f>I350/VLOOKUP($D350,CPI!$P$16:$R$22,3,FALSE)</f>
        <v>0</v>
      </c>
      <c r="K350" cm="1">
        <f t="array" ref="K350">IF(B350=0,INDEX('Category 15'!F:F,MATCH(C350&amp;E350&amp;D350,'Category 15'!B:B&amp;'Category 15'!C:C&amp;'Category 15'!A:A,0)),INDEX('Category 15'!G:G,MATCH(C350&amp;E350&amp;D350,'Category 15'!B:B&amp;'Category 31'!C:C&amp;'Category 15'!A:A,0)))</f>
        <v>0</v>
      </c>
      <c r="L350">
        <f>K350/VLOOKUP($D350,CPI!$P$16:$R$22,3,FALSE)</f>
        <v>0</v>
      </c>
      <c r="M350" s="16" cm="1">
        <f t="array" ref="M350">IF(B350=0,INDEX('Category 31'!F:F,MATCH(C350&amp;E350&amp;D350,'Category 31'!B:B&amp;'Category 31'!C:C&amp;'Category 31'!A:A,0)),INDEX('Category 31'!G:G,MATCH(C350&amp;E350&amp;D350,'Category 31'!B:B&amp;'Category 31'!C:C&amp;'Category 31'!A:A,0)))</f>
        <v>0</v>
      </c>
      <c r="N350" s="16">
        <f>M350/VLOOKUP($D350,CPI!$P$16:$R$22,3,FALSE)</f>
        <v>0</v>
      </c>
      <c r="O350">
        <f>VLOOKUP(E350,WSoccer!C:S,10,FALSE)</f>
        <v>574</v>
      </c>
    </row>
    <row r="351" spans="1:15" ht="16" thickBot="1" x14ac:dyDescent="0.25">
      <c r="A351" s="15">
        <v>2</v>
      </c>
      <c r="B351">
        <f t="shared" si="5"/>
        <v>1</v>
      </c>
      <c r="C351">
        <f>IF(ISBLANK(H351),"",VLOOKUP(H351,Code!B:C,2,FALSE))</f>
        <v>20</v>
      </c>
      <c r="D351">
        <v>2021</v>
      </c>
      <c r="E351">
        <v>126614</v>
      </c>
      <c r="F351" t="s">
        <v>75</v>
      </c>
      <c r="G351" t="s">
        <v>290</v>
      </c>
      <c r="H351" t="s">
        <v>8</v>
      </c>
      <c r="I351" cm="1">
        <f t="array" ref="I351">IF(B351=0,INDEX('Category 14'!F:F,MATCH(C351&amp;E351&amp;D351,'Category 14'!B:B&amp;'Category 14'!C:C&amp;'Category 14'!A:A,0)),INDEX('Category 14'!G:G,MATCH(C351&amp;E351&amp;D351,'Category 14'!B:B&amp;'Category 14'!C:C&amp;'Category 14'!A:A,0)))</f>
        <v>0</v>
      </c>
      <c r="J351">
        <f>I351/VLOOKUP($D351,CPI!$P$16:$R$22,3,FALSE)</f>
        <v>0</v>
      </c>
      <c r="K351" cm="1">
        <f t="array" ref="K351">IF(B351=0,INDEX('Category 15'!F:F,MATCH(C351&amp;E351&amp;D351,'Category 15'!B:B&amp;'Category 15'!C:C&amp;'Category 15'!A:A,0)),INDEX('Category 15'!G:G,MATCH(C351&amp;E351&amp;D351,'Category 15'!B:B&amp;'Category 31'!C:C&amp;'Category 15'!A:A,0)))</f>
        <v>0</v>
      </c>
      <c r="L351">
        <f>K351/VLOOKUP($D351,CPI!$P$16:$R$22,3,FALSE)</f>
        <v>0</v>
      </c>
      <c r="M351" s="16" cm="1">
        <f t="array" ref="M351">IF(B351=0,INDEX('Category 31'!F:F,MATCH(C351&amp;E351&amp;D351,'Category 31'!B:B&amp;'Category 31'!C:C&amp;'Category 31'!A:A,0)),INDEX('Category 31'!G:G,MATCH(C351&amp;E351&amp;D351,'Category 31'!B:B&amp;'Category 31'!C:C&amp;'Category 31'!A:A,0)))</f>
        <v>0</v>
      </c>
      <c r="N351" s="16">
        <f>M351/VLOOKUP($D351,CPI!$P$16:$R$22,3,FALSE)</f>
        <v>0</v>
      </c>
      <c r="O351">
        <v>0</v>
      </c>
    </row>
    <row r="352" spans="1:15" ht="16" thickBot="1" x14ac:dyDescent="0.25">
      <c r="A352" s="15">
        <v>2</v>
      </c>
      <c r="B352">
        <f t="shared" si="5"/>
        <v>1</v>
      </c>
      <c r="C352">
        <f>IF(ISBLANK(H352),"",VLOOKUP(H352,Code!B:C,2,FALSE))</f>
        <v>21</v>
      </c>
      <c r="D352">
        <v>2021</v>
      </c>
      <c r="E352">
        <v>126614</v>
      </c>
      <c r="F352" t="s">
        <v>75</v>
      </c>
      <c r="G352" t="s">
        <v>290</v>
      </c>
      <c r="H352" t="s">
        <v>36</v>
      </c>
      <c r="I352" cm="1">
        <f t="array" ref="I352">IF(B352=0,INDEX('Category 14'!F:F,MATCH(C352&amp;E352&amp;D352,'Category 14'!B:B&amp;'Category 14'!C:C&amp;'Category 14'!A:A,0)),INDEX('Category 14'!G:G,MATCH(C352&amp;E352&amp;D352,'Category 14'!B:B&amp;'Category 14'!C:C&amp;'Category 14'!A:A,0)))</f>
        <v>0</v>
      </c>
      <c r="J352">
        <f>I352/VLOOKUP($D352,CPI!$P$16:$R$22,3,FALSE)</f>
        <v>0</v>
      </c>
      <c r="K352" cm="1">
        <f t="array" ref="K352">IF(B352=0,INDEX('Category 15'!F:F,MATCH(C352&amp;E352&amp;D352,'Category 15'!B:B&amp;'Category 15'!C:C&amp;'Category 15'!A:A,0)),INDEX('Category 15'!G:G,MATCH(C352&amp;E352&amp;D352,'Category 15'!B:B&amp;'Category 31'!C:C&amp;'Category 15'!A:A,0)))</f>
        <v>0</v>
      </c>
      <c r="L352">
        <f>K352/VLOOKUP($D352,CPI!$P$16:$R$22,3,FALSE)</f>
        <v>0</v>
      </c>
      <c r="M352" s="16" cm="1">
        <f t="array" ref="M352">IF(B352=0,INDEX('Category 31'!F:F,MATCH(C352&amp;E352&amp;D352,'Category 31'!B:B&amp;'Category 31'!C:C&amp;'Category 31'!A:A,0)),INDEX('Category 31'!G:G,MATCH(C352&amp;E352&amp;D352,'Category 31'!B:B&amp;'Category 31'!C:C&amp;'Category 31'!A:A,0)))</f>
        <v>0</v>
      </c>
      <c r="N352" s="16">
        <f>M352/VLOOKUP($D352,CPI!$P$16:$R$22,3,FALSE)</f>
        <v>0</v>
      </c>
      <c r="O352">
        <v>0</v>
      </c>
    </row>
    <row r="353" spans="1:15" ht="16" thickBot="1" x14ac:dyDescent="0.25">
      <c r="A353" s="15">
        <v>2</v>
      </c>
      <c r="B353">
        <f t="shared" si="5"/>
        <v>1</v>
      </c>
      <c r="C353">
        <f>IF(ISBLANK(H353),"",VLOOKUP(H353,Code!B:C,2,FALSE))</f>
        <v>23</v>
      </c>
      <c r="D353">
        <v>2021</v>
      </c>
      <c r="E353">
        <v>126614</v>
      </c>
      <c r="F353" t="s">
        <v>75</v>
      </c>
      <c r="G353" t="s">
        <v>290</v>
      </c>
      <c r="H353" t="s">
        <v>10</v>
      </c>
      <c r="I353" cm="1">
        <f t="array" ref="I353">IF(B353=0,INDEX('Category 14'!F:F,MATCH(C353&amp;E353&amp;D353,'Category 14'!B:B&amp;'Category 14'!C:C&amp;'Category 14'!A:A,0)),INDEX('Category 14'!G:G,MATCH(C353&amp;E353&amp;D353,'Category 14'!B:B&amp;'Category 14'!C:C&amp;'Category 14'!A:A,0)))</f>
        <v>0</v>
      </c>
      <c r="J353">
        <f>I353/VLOOKUP($D353,CPI!$P$16:$R$22,3,FALSE)</f>
        <v>0</v>
      </c>
      <c r="K353" cm="1">
        <f t="array" ref="K353">IF(B353=0,INDEX('Category 15'!F:F,MATCH(C353&amp;E353&amp;D353,'Category 15'!B:B&amp;'Category 15'!C:C&amp;'Category 15'!A:A,0)),INDEX('Category 15'!G:G,MATCH(C353&amp;E353&amp;D353,'Category 15'!B:B&amp;'Category 31'!C:C&amp;'Category 15'!A:A,0)))</f>
        <v>0</v>
      </c>
      <c r="L353">
        <f>K353/VLOOKUP($D353,CPI!$P$16:$R$22,3,FALSE)</f>
        <v>0</v>
      </c>
      <c r="M353" s="16" cm="1">
        <f t="array" ref="M353">IF(B353=0,INDEX('Category 31'!F:F,MATCH(C353&amp;E353&amp;D353,'Category 31'!B:B&amp;'Category 31'!C:C&amp;'Category 31'!A:A,0)),INDEX('Category 31'!G:G,MATCH(C353&amp;E353&amp;D353,'Category 31'!B:B&amp;'Category 31'!C:C&amp;'Category 31'!A:A,0)))</f>
        <v>0</v>
      </c>
      <c r="N353" s="16">
        <f>M353/VLOOKUP($D353,CPI!$P$16:$R$22,3,FALSE)</f>
        <v>0</v>
      </c>
      <c r="O353">
        <f>VLOOKUP(E353,WVolleyball!C:S,10,FALSE)</f>
        <v>344</v>
      </c>
    </row>
    <row r="354" spans="1:15" ht="16" thickBot="1" x14ac:dyDescent="0.25">
      <c r="A354" s="15">
        <v>2</v>
      </c>
      <c r="B354">
        <f t="shared" si="5"/>
        <v>0</v>
      </c>
      <c r="C354">
        <f>IF(ISBLANK(H354),"",VLOOKUP(H354,Code!B:C,2,FALSE))</f>
        <v>2</v>
      </c>
      <c r="D354">
        <v>2022</v>
      </c>
      <c r="E354">
        <v>126614</v>
      </c>
      <c r="F354" t="s">
        <v>75</v>
      </c>
      <c r="G354" t="s">
        <v>289</v>
      </c>
      <c r="H354" t="s">
        <v>1</v>
      </c>
      <c r="I354" cm="1">
        <f t="array" ref="I354">IF(B354=0,INDEX('Category 14'!F:F,MATCH(C354&amp;E354&amp;D354,'Category 14'!B:B&amp;'Category 14'!C:C&amp;'Category 14'!A:A,0)),INDEX('Category 14'!G:G,MATCH(C354&amp;E354&amp;D354,'Category 14'!B:B&amp;'Category 14'!C:C&amp;'Category 14'!A:A,0)))</f>
        <v>261032</v>
      </c>
      <c r="J354">
        <f>I354/VLOOKUP($D354,CPI!$P$16:$R$22,3,FALSE)</f>
        <v>277377.91130573535</v>
      </c>
      <c r="K354" cm="1">
        <f t="array" ref="K354">IF(B354=0,INDEX('Category 15'!F:F,MATCH(C354&amp;E354&amp;D354,'Category 15'!B:B&amp;'Category 15'!C:C&amp;'Category 15'!A:A,0)),INDEX('Category 15'!G:G,MATCH(C354&amp;E354&amp;D354,'Category 15'!B:B&amp;'Category 31'!C:C&amp;'Category 15'!A:A,0)))</f>
        <v>0</v>
      </c>
      <c r="L354">
        <f>K354/VLOOKUP($D354,CPI!$P$16:$R$22,3,FALSE)</f>
        <v>0</v>
      </c>
      <c r="M354" s="16" cm="1">
        <f t="array" ref="M354">IF(B354=0,INDEX('Category 31'!F:F,MATCH(C354&amp;E354&amp;D354,'Category 31'!B:B&amp;'Category 31'!C:C&amp;'Category 31'!A:A,0)),INDEX('Category 31'!G:G,MATCH(C354&amp;E354&amp;D354,'Category 31'!B:B&amp;'Category 31'!C:C&amp;'Category 31'!A:A,0)))</f>
        <v>6513</v>
      </c>
      <c r="N354" s="16">
        <f>M354/VLOOKUP($D354,CPI!$P$16:$R$22,3,FALSE)</f>
        <v>6920.8462423544024</v>
      </c>
      <c r="O354">
        <f>VLOOKUP(E302,MBasketball!C:S,11,FALSE)</f>
        <v>125181</v>
      </c>
    </row>
    <row r="355" spans="1:15" ht="16" thickBot="1" x14ac:dyDescent="0.25">
      <c r="A355" s="15">
        <v>2</v>
      </c>
      <c r="B355">
        <f t="shared" si="5"/>
        <v>0</v>
      </c>
      <c r="C355">
        <f>IF(ISBLANK(H355),"",VLOOKUP(H355,Code!B:C,2,FALSE))</f>
        <v>8</v>
      </c>
      <c r="D355">
        <v>2022</v>
      </c>
      <c r="E355">
        <v>126614</v>
      </c>
      <c r="F355" t="s">
        <v>75</v>
      </c>
      <c r="G355" t="s">
        <v>289</v>
      </c>
      <c r="H355" t="s">
        <v>2</v>
      </c>
      <c r="I355" cm="1">
        <f t="array" ref="I355">IF(B355=0,INDEX('Category 14'!F:F,MATCH(C355&amp;E355&amp;D355,'Category 14'!B:B&amp;'Category 14'!C:C&amp;'Category 14'!A:A,0)),INDEX('Category 14'!G:G,MATCH(C355&amp;E355&amp;D355,'Category 14'!B:B&amp;'Category 14'!C:C&amp;'Category 14'!A:A,0)))</f>
        <v>1454619</v>
      </c>
      <c r="J355">
        <f>I355/VLOOKUP($D355,CPI!$P$16:$R$22,3,FALSE)</f>
        <v>1545707.7291889021</v>
      </c>
      <c r="K355" cm="1">
        <f t="array" ref="K355">IF(B355=0,INDEX('Category 15'!F:F,MATCH(C355&amp;E355&amp;D355,'Category 15'!B:B&amp;'Category 15'!C:C&amp;'Category 15'!A:A,0)),INDEX('Category 15'!G:G,MATCH(C355&amp;E355&amp;D355,'Category 15'!B:B&amp;'Category 31'!C:C&amp;'Category 15'!A:A,0)))</f>
        <v>0</v>
      </c>
      <c r="L355">
        <f>K355/VLOOKUP($D355,CPI!$P$16:$R$22,3,FALSE)</f>
        <v>0</v>
      </c>
      <c r="M355" s="16" cm="1">
        <f t="array" ref="M355">IF(B355=0,INDEX('Category 31'!F:F,MATCH(C355&amp;E355&amp;D355,'Category 31'!B:B&amp;'Category 31'!C:C&amp;'Category 31'!A:A,0)),INDEX('Category 31'!G:G,MATCH(C355&amp;E355&amp;D355,'Category 31'!B:B&amp;'Category 31'!C:C&amp;'Category 31'!A:A,0)))</f>
        <v>2668</v>
      </c>
      <c r="N355" s="16">
        <f>M355/VLOOKUP($D355,CPI!$P$16:$R$22,3,FALSE)</f>
        <v>2835.0710539845763</v>
      </c>
      <c r="O355">
        <f>VLOOKUP(E355,MFootball!C:S,11,FALSE)</f>
        <v>278906</v>
      </c>
    </row>
    <row r="356" spans="1:15" ht="16" thickBot="1" x14ac:dyDescent="0.25">
      <c r="A356" s="15">
        <v>2</v>
      </c>
      <c r="B356">
        <f t="shared" si="5"/>
        <v>0</v>
      </c>
      <c r="C356">
        <f>IF(ISBLANK(H356),"",VLOOKUP(H356,Code!B:C,2,FALSE))</f>
        <v>9</v>
      </c>
      <c r="D356">
        <v>2022</v>
      </c>
      <c r="E356">
        <v>126614</v>
      </c>
      <c r="F356" t="s">
        <v>75</v>
      </c>
      <c r="G356" t="s">
        <v>289</v>
      </c>
      <c r="H356" t="s">
        <v>3</v>
      </c>
      <c r="I356" cm="1">
        <f t="array" ref="I356">IF(B356=0,INDEX('Category 14'!F:F,MATCH(C356&amp;E356&amp;D356,'Category 14'!B:B&amp;'Category 14'!C:C&amp;'Category 14'!A:A,0)),INDEX('Category 14'!G:G,MATCH(C356&amp;E356&amp;D356,'Category 14'!B:B&amp;'Category 14'!C:C&amp;'Category 14'!A:A,0)))</f>
        <v>0</v>
      </c>
      <c r="J356">
        <f>I356/VLOOKUP($D356,CPI!$P$16:$R$22,3,FALSE)</f>
        <v>0</v>
      </c>
      <c r="K356" cm="1">
        <f t="array" ref="K356">IF(B356=0,INDEX('Category 15'!F:F,MATCH(C356&amp;E356&amp;D356,'Category 15'!B:B&amp;'Category 15'!C:C&amp;'Category 15'!A:A,0)),INDEX('Category 15'!G:G,MATCH(C356&amp;E356&amp;D356,'Category 15'!B:B&amp;'Category 31'!C:C&amp;'Category 15'!A:A,0)))</f>
        <v>0</v>
      </c>
      <c r="L356">
        <f>K356/VLOOKUP($D356,CPI!$P$16:$R$22,3,FALSE)</f>
        <v>0</v>
      </c>
      <c r="M356" s="16" cm="1">
        <f t="array" ref="M356">IF(B356=0,INDEX('Category 31'!F:F,MATCH(C356&amp;E356&amp;D356,'Category 31'!B:B&amp;'Category 31'!C:C&amp;'Category 31'!A:A,0)),INDEX('Category 31'!G:G,MATCH(C356&amp;E356&amp;D356,'Category 31'!B:B&amp;'Category 31'!C:C&amp;'Category 31'!A:A,0)))</f>
        <v>0</v>
      </c>
      <c r="N356" s="16">
        <f>M356/VLOOKUP($D356,CPI!$P$16:$R$22,3,FALSE)</f>
        <v>0</v>
      </c>
      <c r="O356">
        <v>0</v>
      </c>
    </row>
    <row r="357" spans="1:15" ht="16" thickBot="1" x14ac:dyDescent="0.25">
      <c r="A357" s="15">
        <v>2</v>
      </c>
      <c r="B357">
        <f t="shared" si="5"/>
        <v>0</v>
      </c>
      <c r="C357">
        <f>IF(ISBLANK(H357),"",VLOOKUP(H357,Code!B:C,2,FALSE))</f>
        <v>16</v>
      </c>
      <c r="D357">
        <v>2022</v>
      </c>
      <c r="E357">
        <v>126614</v>
      </c>
      <c r="F357" t="s">
        <v>75</v>
      </c>
      <c r="G357" t="s">
        <v>289</v>
      </c>
      <c r="H357" t="s">
        <v>31</v>
      </c>
      <c r="I357" cm="1">
        <f t="array" ref="I357">IF(B357=0,INDEX('Category 14'!F:F,MATCH(C357&amp;E357&amp;D357,'Category 14'!B:B&amp;'Category 14'!C:C&amp;'Category 14'!A:A,0)),INDEX('Category 14'!G:G,MATCH(C357&amp;E357&amp;D357,'Category 14'!B:B&amp;'Category 14'!C:C&amp;'Category 14'!A:A,0)))</f>
        <v>0</v>
      </c>
      <c r="J357">
        <f>I357/VLOOKUP($D357,CPI!$P$16:$R$22,3,FALSE)</f>
        <v>0</v>
      </c>
      <c r="K357" cm="1">
        <f t="array" ref="K357">IF(B357=0,INDEX('Category 15'!F:F,MATCH(C357&amp;E357&amp;D357,'Category 15'!B:B&amp;'Category 15'!C:C&amp;'Category 15'!A:A,0)),INDEX('Category 15'!G:G,MATCH(C357&amp;E357&amp;D357,'Category 15'!B:B&amp;'Category 31'!C:C&amp;'Category 15'!A:A,0)))</f>
        <v>0</v>
      </c>
      <c r="L357">
        <f>K357/VLOOKUP($D357,CPI!$P$16:$R$22,3,FALSE)</f>
        <v>0</v>
      </c>
      <c r="M357" s="16" cm="1">
        <f t="array" ref="M357">IF(B357=0,INDEX('Category 31'!F:F,MATCH(C357&amp;E357&amp;D357,'Category 31'!B:B&amp;'Category 31'!C:C&amp;'Category 31'!A:A,0)),INDEX('Category 31'!G:G,MATCH(C357&amp;E357&amp;D357,'Category 31'!B:B&amp;'Category 31'!C:C&amp;'Category 31'!A:A,0)))</f>
        <v>0</v>
      </c>
      <c r="N357" s="16">
        <f>M357/VLOOKUP($D357,CPI!$P$16:$R$22,3,FALSE)</f>
        <v>0</v>
      </c>
      <c r="O357">
        <v>0</v>
      </c>
    </row>
    <row r="358" spans="1:15" ht="16" thickBot="1" x14ac:dyDescent="0.25">
      <c r="A358" s="15">
        <v>2</v>
      </c>
      <c r="B358">
        <f t="shared" si="5"/>
        <v>0</v>
      </c>
      <c r="C358">
        <f>IF(ISBLANK(H358),"",VLOOKUP(H358,Code!B:C,2,FALSE))</f>
        <v>21</v>
      </c>
      <c r="D358">
        <v>2022</v>
      </c>
      <c r="E358">
        <v>126614</v>
      </c>
      <c r="F358" t="s">
        <v>75</v>
      </c>
      <c r="G358" t="s">
        <v>289</v>
      </c>
      <c r="H358" t="s">
        <v>36</v>
      </c>
      <c r="I358" cm="1">
        <f t="array" ref="I358">IF(B358=0,INDEX('Category 14'!F:F,MATCH(C358&amp;E358&amp;D358,'Category 14'!B:B&amp;'Category 14'!C:C&amp;'Category 14'!A:A,0)),INDEX('Category 14'!G:G,MATCH(C358&amp;E358&amp;D358,'Category 14'!B:B&amp;'Category 14'!C:C&amp;'Category 14'!A:A,0)))</f>
        <v>0</v>
      </c>
      <c r="J358">
        <f>I358/VLOOKUP($D358,CPI!$P$16:$R$22,3,FALSE)</f>
        <v>0</v>
      </c>
      <c r="K358" cm="1">
        <f t="array" ref="K358">IF(B358=0,INDEX('Category 15'!F:F,MATCH(C358&amp;E358&amp;D358,'Category 15'!B:B&amp;'Category 15'!C:C&amp;'Category 15'!A:A,0)),INDEX('Category 15'!G:G,MATCH(C358&amp;E358&amp;D358,'Category 15'!B:B&amp;'Category 31'!C:C&amp;'Category 15'!A:A,0)))</f>
        <v>0</v>
      </c>
      <c r="L358">
        <f>K358/VLOOKUP($D358,CPI!$P$16:$R$22,3,FALSE)</f>
        <v>0</v>
      </c>
      <c r="M358" s="16" cm="1">
        <f t="array" ref="M358">IF(B358=0,INDEX('Category 31'!F:F,MATCH(C358&amp;E358&amp;D358,'Category 31'!B:B&amp;'Category 31'!C:C&amp;'Category 31'!A:A,0)),INDEX('Category 31'!G:G,MATCH(C358&amp;E358&amp;D358,'Category 31'!B:B&amp;'Category 31'!C:C&amp;'Category 31'!A:A,0)))</f>
        <v>0</v>
      </c>
      <c r="N358" s="16">
        <f>M358/VLOOKUP($D358,CPI!$P$16:$R$22,3,FALSE)</f>
        <v>0</v>
      </c>
      <c r="O358">
        <v>0</v>
      </c>
    </row>
    <row r="359" spans="1:15" ht="16" thickBot="1" x14ac:dyDescent="0.25">
      <c r="A359" s="15">
        <v>2</v>
      </c>
      <c r="B359">
        <f t="shared" si="5"/>
        <v>1</v>
      </c>
      <c r="C359">
        <f>IF(ISBLANK(H359),"",VLOOKUP(H359,Code!B:C,2,FALSE))</f>
        <v>2</v>
      </c>
      <c r="D359">
        <v>2022</v>
      </c>
      <c r="E359">
        <v>126614</v>
      </c>
      <c r="F359" t="s">
        <v>75</v>
      </c>
      <c r="G359" t="s">
        <v>290</v>
      </c>
      <c r="H359" t="s">
        <v>1</v>
      </c>
      <c r="I359" cm="1">
        <f t="array" ref="I359">IF(B359=0,INDEX('Category 14'!F:F,MATCH(C359&amp;E359&amp;D359,'Category 14'!B:B&amp;'Category 14'!C:C&amp;'Category 14'!A:A,0)),INDEX('Category 14'!G:G,MATCH(C359&amp;E359&amp;D359,'Category 14'!B:B&amp;'Category 14'!C:C&amp;'Category 14'!A:A,0)))</f>
        <v>21447</v>
      </c>
      <c r="J359">
        <f>I359/VLOOKUP($D359,CPI!$P$16:$R$22,3,FALSE)</f>
        <v>22790.018326389509</v>
      </c>
      <c r="K359" cm="1">
        <f t="array" ref="K359">IF(B359=0,INDEX('Category 15'!F:F,MATCH(C359&amp;E359&amp;D359,'Category 15'!B:B&amp;'Category 15'!C:C&amp;'Category 15'!A:A,0)),INDEX('Category 15'!G:G,MATCH(C359&amp;E359&amp;D359,'Category 15'!B:B&amp;'Category 31'!C:C&amp;'Category 15'!A:A,0)))</f>
        <v>0</v>
      </c>
      <c r="L359">
        <f>K359/VLOOKUP($D359,CPI!$P$16:$R$22,3,FALSE)</f>
        <v>0</v>
      </c>
      <c r="M359" s="16" cm="1">
        <f t="array" ref="M359">IF(B359=0,INDEX('Category 31'!F:F,MATCH(C359&amp;E359&amp;D359,'Category 31'!B:B&amp;'Category 31'!C:C&amp;'Category 31'!A:A,0)),INDEX('Category 31'!G:G,MATCH(C359&amp;E359&amp;D359,'Category 31'!B:B&amp;'Category 31'!C:C&amp;'Category 31'!A:A,0)))</f>
        <v>0</v>
      </c>
      <c r="N359" s="16">
        <f>M359/VLOOKUP($D359,CPI!$P$16:$R$22,3,FALSE)</f>
        <v>0</v>
      </c>
      <c r="O359">
        <f>VLOOKUP(E359,WBasketball!C:S,11,FALSE)</f>
        <v>24447</v>
      </c>
    </row>
    <row r="360" spans="1:15" ht="16" thickBot="1" x14ac:dyDescent="0.25">
      <c r="A360" s="15">
        <v>2</v>
      </c>
      <c r="B360">
        <f t="shared" si="5"/>
        <v>1</v>
      </c>
      <c r="C360">
        <f>IF(ISBLANK(H360),"",VLOOKUP(H360,Code!B:C,2,FALSE))</f>
        <v>9</v>
      </c>
      <c r="D360">
        <v>2022</v>
      </c>
      <c r="E360">
        <v>126614</v>
      </c>
      <c r="F360" t="s">
        <v>75</v>
      </c>
      <c r="G360" t="s">
        <v>290</v>
      </c>
      <c r="H360" t="s">
        <v>3</v>
      </c>
      <c r="I360" cm="1">
        <f t="array" ref="I360">IF(B360=0,INDEX('Category 14'!F:F,MATCH(C360&amp;E360&amp;D360,'Category 14'!B:B&amp;'Category 14'!C:C&amp;'Category 14'!A:A,0)),INDEX('Category 14'!G:G,MATCH(C360&amp;E360&amp;D360,'Category 14'!B:B&amp;'Category 14'!C:C&amp;'Category 14'!A:A,0)))</f>
        <v>0</v>
      </c>
      <c r="J360">
        <f>I360/VLOOKUP($D360,CPI!$P$16:$R$22,3,FALSE)</f>
        <v>0</v>
      </c>
      <c r="K360" cm="1">
        <f t="array" ref="K360">IF(B360=0,INDEX('Category 15'!F:F,MATCH(C360&amp;E360&amp;D360,'Category 15'!B:B&amp;'Category 15'!C:C&amp;'Category 15'!A:A,0)),INDEX('Category 15'!G:G,MATCH(C360&amp;E360&amp;D360,'Category 15'!B:B&amp;'Category 31'!C:C&amp;'Category 15'!A:A,0)))</f>
        <v>0</v>
      </c>
      <c r="L360">
        <f>K360/VLOOKUP($D360,CPI!$P$16:$R$22,3,FALSE)</f>
        <v>0</v>
      </c>
      <c r="M360" s="16" cm="1">
        <f t="array" ref="M360">IF(B360=0,INDEX('Category 31'!F:F,MATCH(C360&amp;E360&amp;D360,'Category 31'!B:B&amp;'Category 31'!C:C&amp;'Category 31'!A:A,0)),INDEX('Category 31'!G:G,MATCH(C360&amp;E360&amp;D360,'Category 31'!B:B&amp;'Category 31'!C:C&amp;'Category 31'!A:A,0)))</f>
        <v>0</v>
      </c>
      <c r="N360" s="16">
        <f>M360/VLOOKUP($D360,CPI!$P$16:$R$22,3,FALSE)</f>
        <v>0</v>
      </c>
      <c r="O360">
        <v>0</v>
      </c>
    </row>
    <row r="361" spans="1:15" ht="16" thickBot="1" x14ac:dyDescent="0.25">
      <c r="A361" s="15">
        <v>2</v>
      </c>
      <c r="B361">
        <f t="shared" si="5"/>
        <v>1</v>
      </c>
      <c r="C361">
        <f>IF(ISBLANK(H361),"",VLOOKUP(H361,Code!B:C,2,FALSE))</f>
        <v>12</v>
      </c>
      <c r="D361">
        <v>2022</v>
      </c>
      <c r="E361">
        <v>126614</v>
      </c>
      <c r="F361" t="s">
        <v>75</v>
      </c>
      <c r="G361" t="s">
        <v>290</v>
      </c>
      <c r="H361" t="s">
        <v>27</v>
      </c>
      <c r="I361" cm="1">
        <f t="array" ref="I361">IF(B361=0,INDEX('Category 14'!F:F,MATCH(C361&amp;E361&amp;D361,'Category 14'!B:B&amp;'Category 14'!C:C&amp;'Category 14'!A:A,0)),INDEX('Category 14'!G:G,MATCH(C361&amp;E361&amp;D361,'Category 14'!B:B&amp;'Category 14'!C:C&amp;'Category 14'!A:A,0)))</f>
        <v>352</v>
      </c>
      <c r="J361">
        <f>I361/VLOOKUP($D361,CPI!$P$16:$R$22,3,FALSE)</f>
        <v>374.04235794699059</v>
      </c>
      <c r="K361" cm="1">
        <f t="array" ref="K361">IF(B361=0,INDEX('Category 15'!F:F,MATCH(C361&amp;E361&amp;D361,'Category 15'!B:B&amp;'Category 15'!C:C&amp;'Category 15'!A:A,0)),INDEX('Category 15'!G:G,MATCH(C361&amp;E361&amp;D361,'Category 15'!B:B&amp;'Category 31'!C:C&amp;'Category 15'!A:A,0)))</f>
        <v>0</v>
      </c>
      <c r="L361">
        <f>K361/VLOOKUP($D361,CPI!$P$16:$R$22,3,FALSE)</f>
        <v>0</v>
      </c>
      <c r="M361" s="16" cm="1">
        <f t="array" ref="M361">IF(B361=0,INDEX('Category 31'!F:F,MATCH(C361&amp;E361&amp;D361,'Category 31'!B:B&amp;'Category 31'!C:C&amp;'Category 31'!A:A,0)),INDEX('Category 31'!G:G,MATCH(C361&amp;E361&amp;D361,'Category 31'!B:B&amp;'Category 31'!C:C&amp;'Category 31'!A:A,0)))</f>
        <v>0</v>
      </c>
      <c r="N361" s="16">
        <f>M361/VLOOKUP($D361,CPI!$P$16:$R$22,3,FALSE)</f>
        <v>0</v>
      </c>
      <c r="O361">
        <f>VLOOKUP(E361,WLacrosse!C:S,11,FALSE)</f>
        <v>2692</v>
      </c>
    </row>
    <row r="362" spans="1:15" ht="16" thickBot="1" x14ac:dyDescent="0.25">
      <c r="A362" s="15">
        <v>2</v>
      </c>
      <c r="B362">
        <f t="shared" si="5"/>
        <v>1</v>
      </c>
      <c r="C362">
        <f>IF(ISBLANK(H362),"",VLOOKUP(H362,Code!B:C,2,FALSE))</f>
        <v>16</v>
      </c>
      <c r="D362">
        <v>2022</v>
      </c>
      <c r="E362">
        <v>126614</v>
      </c>
      <c r="F362" t="s">
        <v>75</v>
      </c>
      <c r="G362" t="s">
        <v>290</v>
      </c>
      <c r="H362" t="s">
        <v>31</v>
      </c>
      <c r="I362" cm="1">
        <f t="array" ref="I362">IF(B362=0,INDEX('Category 14'!F:F,MATCH(C362&amp;E362&amp;D362,'Category 14'!B:B&amp;'Category 14'!C:C&amp;'Category 14'!A:A,0)),INDEX('Category 14'!G:G,MATCH(C362&amp;E362&amp;D362,'Category 14'!B:B&amp;'Category 14'!C:C&amp;'Category 14'!A:A,0)))</f>
        <v>0</v>
      </c>
      <c r="J362">
        <f>I362/VLOOKUP($D362,CPI!$P$16:$R$22,3,FALSE)</f>
        <v>0</v>
      </c>
      <c r="K362" cm="1">
        <f t="array" ref="K362">IF(B362=0,INDEX('Category 15'!F:F,MATCH(C362&amp;E362&amp;D362,'Category 15'!B:B&amp;'Category 15'!C:C&amp;'Category 15'!A:A,0)),INDEX('Category 15'!G:G,MATCH(C362&amp;E362&amp;D362,'Category 15'!B:B&amp;'Category 31'!C:C&amp;'Category 15'!A:A,0)))</f>
        <v>0</v>
      </c>
      <c r="L362">
        <f>K362/VLOOKUP($D362,CPI!$P$16:$R$22,3,FALSE)</f>
        <v>0</v>
      </c>
      <c r="M362" s="16" cm="1">
        <f t="array" ref="M362">IF(B362=0,INDEX('Category 31'!F:F,MATCH(C362&amp;E362&amp;D362,'Category 31'!B:B&amp;'Category 31'!C:C&amp;'Category 31'!A:A,0)),INDEX('Category 31'!G:G,MATCH(C362&amp;E362&amp;D362,'Category 31'!B:B&amp;'Category 31'!C:C&amp;'Category 31'!A:A,0)))</f>
        <v>0</v>
      </c>
      <c r="N362" s="16">
        <f>M362/VLOOKUP($D362,CPI!$P$16:$R$22,3,FALSE)</f>
        <v>0</v>
      </c>
      <c r="O362">
        <v>0</v>
      </c>
    </row>
    <row r="363" spans="1:15" ht="16" thickBot="1" x14ac:dyDescent="0.25">
      <c r="A363" s="15">
        <v>2</v>
      </c>
      <c r="B363">
        <f t="shared" si="5"/>
        <v>1</v>
      </c>
      <c r="C363">
        <f>IF(ISBLANK(H363),"",VLOOKUP(H363,Code!B:C,2,FALSE))</f>
        <v>17</v>
      </c>
      <c r="D363">
        <v>2022</v>
      </c>
      <c r="E363">
        <v>126614</v>
      </c>
      <c r="F363" t="s">
        <v>75</v>
      </c>
      <c r="G363" t="s">
        <v>290</v>
      </c>
      <c r="H363" t="s">
        <v>5</v>
      </c>
      <c r="I363" cm="1">
        <f t="array" ref="I363">IF(B363=0,INDEX('Category 14'!F:F,MATCH(C363&amp;E363&amp;D363,'Category 14'!B:B&amp;'Category 14'!C:C&amp;'Category 14'!A:A,0)),INDEX('Category 14'!G:G,MATCH(C363&amp;E363&amp;D363,'Category 14'!B:B&amp;'Category 14'!C:C&amp;'Category 14'!A:A,0)))</f>
        <v>5626</v>
      </c>
      <c r="J363">
        <f>I363/VLOOKUP($D363,CPI!$P$16:$R$22,3,FALSE)</f>
        <v>5978.3020051413896</v>
      </c>
      <c r="K363" cm="1">
        <f t="array" ref="K363">IF(B363=0,INDEX('Category 15'!F:F,MATCH(C363&amp;E363&amp;D363,'Category 15'!B:B&amp;'Category 15'!C:C&amp;'Category 15'!A:A,0)),INDEX('Category 15'!G:G,MATCH(C363&amp;E363&amp;D363,'Category 15'!B:B&amp;'Category 31'!C:C&amp;'Category 15'!A:A,0)))</f>
        <v>0</v>
      </c>
      <c r="L363">
        <f>K363/VLOOKUP($D363,CPI!$P$16:$R$22,3,FALSE)</f>
        <v>0</v>
      </c>
      <c r="M363" s="16" cm="1">
        <f t="array" ref="M363">IF(B363=0,INDEX('Category 31'!F:F,MATCH(C363&amp;E363&amp;D363,'Category 31'!B:B&amp;'Category 31'!C:C&amp;'Category 31'!A:A,0)),INDEX('Category 31'!G:G,MATCH(C363&amp;E363&amp;D363,'Category 31'!B:B&amp;'Category 31'!C:C&amp;'Category 31'!A:A,0)))</f>
        <v>0</v>
      </c>
      <c r="N363" s="16">
        <f>M363/VLOOKUP($D363,CPI!$P$16:$R$22,3,FALSE)</f>
        <v>0</v>
      </c>
      <c r="O363">
        <f>VLOOKUP(E363,WSoccer!C:S,11,FALSE)</f>
        <v>7501</v>
      </c>
    </row>
    <row r="364" spans="1:15" ht="16" thickBot="1" x14ac:dyDescent="0.25">
      <c r="A364" s="15">
        <v>2</v>
      </c>
      <c r="B364">
        <f t="shared" si="5"/>
        <v>1</v>
      </c>
      <c r="C364">
        <f>IF(ISBLANK(H364),"",VLOOKUP(H364,Code!B:C,2,FALSE))</f>
        <v>20</v>
      </c>
      <c r="D364">
        <v>2022</v>
      </c>
      <c r="E364">
        <v>126614</v>
      </c>
      <c r="F364" t="s">
        <v>75</v>
      </c>
      <c r="G364" t="s">
        <v>290</v>
      </c>
      <c r="H364" t="s">
        <v>8</v>
      </c>
      <c r="I364" cm="1">
        <f t="array" ref="I364">IF(B364=0,INDEX('Category 14'!F:F,MATCH(C364&amp;E364&amp;D364,'Category 14'!B:B&amp;'Category 14'!C:C&amp;'Category 14'!A:A,0)),INDEX('Category 14'!G:G,MATCH(C364&amp;E364&amp;D364,'Category 14'!B:B&amp;'Category 14'!C:C&amp;'Category 14'!A:A,0)))</f>
        <v>0</v>
      </c>
      <c r="J364">
        <f>I364/VLOOKUP($D364,CPI!$P$16:$R$22,3,FALSE)</f>
        <v>0</v>
      </c>
      <c r="K364" cm="1">
        <f t="array" ref="K364">IF(B364=0,INDEX('Category 15'!F:F,MATCH(C364&amp;E364&amp;D364,'Category 15'!B:B&amp;'Category 15'!C:C&amp;'Category 15'!A:A,0)),INDEX('Category 15'!G:G,MATCH(C364&amp;E364&amp;D364,'Category 15'!B:B&amp;'Category 31'!C:C&amp;'Category 15'!A:A,0)))</f>
        <v>0</v>
      </c>
      <c r="L364">
        <f>K364/VLOOKUP($D364,CPI!$P$16:$R$22,3,FALSE)</f>
        <v>0</v>
      </c>
      <c r="M364" s="16" cm="1">
        <f t="array" ref="M364">IF(B364=0,INDEX('Category 31'!F:F,MATCH(C364&amp;E364&amp;D364,'Category 31'!B:B&amp;'Category 31'!C:C&amp;'Category 31'!A:A,0)),INDEX('Category 31'!G:G,MATCH(C364&amp;E364&amp;D364,'Category 31'!B:B&amp;'Category 31'!C:C&amp;'Category 31'!A:A,0)))</f>
        <v>0</v>
      </c>
      <c r="N364" s="16">
        <f>M364/VLOOKUP($D364,CPI!$P$16:$R$22,3,FALSE)</f>
        <v>0</v>
      </c>
      <c r="O364">
        <v>0</v>
      </c>
    </row>
    <row r="365" spans="1:15" ht="16" thickBot="1" x14ac:dyDescent="0.25">
      <c r="A365" s="15">
        <v>2</v>
      </c>
      <c r="B365">
        <f t="shared" si="5"/>
        <v>1</v>
      </c>
      <c r="C365">
        <f>IF(ISBLANK(H365),"",VLOOKUP(H365,Code!B:C,2,FALSE))</f>
        <v>21</v>
      </c>
      <c r="D365">
        <v>2022</v>
      </c>
      <c r="E365">
        <v>126614</v>
      </c>
      <c r="F365" t="s">
        <v>75</v>
      </c>
      <c r="G365" t="s">
        <v>290</v>
      </c>
      <c r="H365" t="s">
        <v>36</v>
      </c>
      <c r="I365" cm="1">
        <f t="array" ref="I365">IF(B365=0,INDEX('Category 14'!F:F,MATCH(C365&amp;E365&amp;D365,'Category 14'!B:B&amp;'Category 14'!C:C&amp;'Category 14'!A:A,0)),INDEX('Category 14'!G:G,MATCH(C365&amp;E365&amp;D365,'Category 14'!B:B&amp;'Category 14'!C:C&amp;'Category 14'!A:A,0)))</f>
        <v>0</v>
      </c>
      <c r="J365">
        <f>I365/VLOOKUP($D365,CPI!$P$16:$R$22,3,FALSE)</f>
        <v>0</v>
      </c>
      <c r="K365" cm="1">
        <f t="array" ref="K365">IF(B365=0,INDEX('Category 15'!F:F,MATCH(C365&amp;E365&amp;D365,'Category 15'!B:B&amp;'Category 15'!C:C&amp;'Category 15'!A:A,0)),INDEX('Category 15'!G:G,MATCH(C365&amp;E365&amp;D365,'Category 15'!B:B&amp;'Category 31'!C:C&amp;'Category 15'!A:A,0)))</f>
        <v>0</v>
      </c>
      <c r="L365">
        <f>K365/VLOOKUP($D365,CPI!$P$16:$R$22,3,FALSE)</f>
        <v>0</v>
      </c>
      <c r="M365" s="16" cm="1">
        <f t="array" ref="M365">IF(B365=0,INDEX('Category 31'!F:F,MATCH(C365&amp;E365&amp;D365,'Category 31'!B:B&amp;'Category 31'!C:C&amp;'Category 31'!A:A,0)),INDEX('Category 31'!G:G,MATCH(C365&amp;E365&amp;D365,'Category 31'!B:B&amp;'Category 31'!C:C&amp;'Category 31'!A:A,0)))</f>
        <v>0</v>
      </c>
      <c r="N365" s="16">
        <f>M365/VLOOKUP($D365,CPI!$P$16:$R$22,3,FALSE)</f>
        <v>0</v>
      </c>
      <c r="O365">
        <v>0</v>
      </c>
    </row>
    <row r="366" spans="1:15" ht="16" thickBot="1" x14ac:dyDescent="0.25">
      <c r="A366" s="15">
        <v>2</v>
      </c>
      <c r="B366">
        <f t="shared" si="5"/>
        <v>1</v>
      </c>
      <c r="C366">
        <f>IF(ISBLANK(H366),"",VLOOKUP(H366,Code!B:C,2,FALSE))</f>
        <v>23</v>
      </c>
      <c r="D366">
        <v>2022</v>
      </c>
      <c r="E366">
        <v>126614</v>
      </c>
      <c r="F366" t="s">
        <v>75</v>
      </c>
      <c r="G366" t="s">
        <v>290</v>
      </c>
      <c r="H366" t="s">
        <v>10</v>
      </c>
      <c r="I366" cm="1">
        <f t="array" ref="I366">IF(B366=0,INDEX('Category 14'!F:F,MATCH(C366&amp;E366&amp;D366,'Category 14'!B:B&amp;'Category 14'!C:C&amp;'Category 14'!A:A,0)),INDEX('Category 14'!G:G,MATCH(C366&amp;E366&amp;D366,'Category 14'!B:B&amp;'Category 14'!C:C&amp;'Category 14'!A:A,0)))</f>
        <v>13427</v>
      </c>
      <c r="J366">
        <f>I366/VLOOKUP($D366,CPI!$P$16:$R$22,3,FALSE)</f>
        <v>14267.803239074554</v>
      </c>
      <c r="K366" cm="1">
        <f t="array" ref="K366">IF(B366=0,INDEX('Category 15'!F:F,MATCH(C366&amp;E366&amp;D366,'Category 15'!B:B&amp;'Category 15'!C:C&amp;'Category 15'!A:A,0)),INDEX('Category 15'!G:G,MATCH(C366&amp;E366&amp;D366,'Category 15'!B:B&amp;'Category 31'!C:C&amp;'Category 15'!A:A,0)))</f>
        <v>0</v>
      </c>
      <c r="L366">
        <f>K366/VLOOKUP($D366,CPI!$P$16:$R$22,3,FALSE)</f>
        <v>0</v>
      </c>
      <c r="M366" s="16" cm="1">
        <f t="array" ref="M366">IF(B366=0,INDEX('Category 31'!F:F,MATCH(C366&amp;E366&amp;D366,'Category 31'!B:B&amp;'Category 31'!C:C&amp;'Category 31'!A:A,0)),INDEX('Category 31'!G:G,MATCH(C366&amp;E366&amp;D366,'Category 31'!B:B&amp;'Category 31'!C:C&amp;'Category 31'!A:A,0)))</f>
        <v>0</v>
      </c>
      <c r="N366" s="16">
        <f>M366/VLOOKUP($D366,CPI!$P$16:$R$22,3,FALSE)</f>
        <v>0</v>
      </c>
      <c r="O366">
        <f>VLOOKUP(E366,WVolleyball!C:S,11,FALSE)</f>
        <v>15204</v>
      </c>
    </row>
    <row r="367" spans="1:15" ht="16" thickBot="1" x14ac:dyDescent="0.25">
      <c r="A367" s="15">
        <v>2</v>
      </c>
      <c r="B367">
        <f t="shared" si="5"/>
        <v>0</v>
      </c>
      <c r="C367">
        <f>IF(ISBLANK(H367),"",VLOOKUP(H367,Code!B:C,2,FALSE))</f>
        <v>2</v>
      </c>
      <c r="D367">
        <v>2023</v>
      </c>
      <c r="E367">
        <v>126614</v>
      </c>
      <c r="F367" t="s">
        <v>75</v>
      </c>
      <c r="G367" t="s">
        <v>289</v>
      </c>
      <c r="H367" t="s">
        <v>1</v>
      </c>
      <c r="I367" cm="1">
        <f t="array" ref="I367">IF(B367=0,INDEX('Category 14'!F:F,MATCH(C367&amp;E367&amp;D367,'Category 14'!B:B&amp;'Category 14'!C:C&amp;'Category 14'!A:A,0)),INDEX('Category 14'!G:G,MATCH(C367&amp;E367&amp;D367,'Category 14'!B:B&amp;'Category 14'!C:C&amp;'Category 14'!A:A,0)))</f>
        <v>254363</v>
      </c>
      <c r="J367">
        <f>I367/VLOOKUP($D367,CPI!$P$16:$R$22,3,FALSE)</f>
        <v>254363</v>
      </c>
      <c r="K367" cm="1">
        <f t="array" ref="K367">IF(B367=0,INDEX('Category 15'!F:F,MATCH(C367&amp;E367&amp;D367,'Category 15'!B:B&amp;'Category 15'!C:C&amp;'Category 15'!A:A,0)),INDEX('Category 15'!G:G,MATCH(C367&amp;E367&amp;D367,'Category 15'!B:B&amp;'Category 31'!C:C&amp;'Category 15'!A:A,0)))</f>
        <v>0</v>
      </c>
      <c r="L367">
        <f>K367/VLOOKUP($D367,CPI!$P$16:$R$22,3,FALSE)</f>
        <v>0</v>
      </c>
      <c r="M367" s="16" cm="1">
        <f t="array" ref="M367">IF(B367=0,INDEX('Category 31'!F:F,MATCH(C367&amp;E367&amp;D367,'Category 31'!B:B&amp;'Category 31'!C:C&amp;'Category 31'!A:A,0)),INDEX('Category 31'!G:G,MATCH(C367&amp;E367&amp;D367,'Category 31'!B:B&amp;'Category 31'!C:C&amp;'Category 31'!A:A,0)))</f>
        <v>6889</v>
      </c>
      <c r="N367" s="16">
        <f>M367/VLOOKUP($D367,CPI!$P$16:$R$22,3,FALSE)</f>
        <v>6889</v>
      </c>
      <c r="O367">
        <f>VLOOKUP(E315,MBasketball!C:S,12,FALSE)</f>
        <v>114362</v>
      </c>
    </row>
    <row r="368" spans="1:15" ht="16" thickBot="1" x14ac:dyDescent="0.25">
      <c r="A368" s="15">
        <v>2</v>
      </c>
      <c r="B368">
        <f t="shared" si="5"/>
        <v>0</v>
      </c>
      <c r="C368">
        <f>IF(ISBLANK(H368),"",VLOOKUP(H368,Code!B:C,2,FALSE))</f>
        <v>8</v>
      </c>
      <c r="D368">
        <v>2023</v>
      </c>
      <c r="E368">
        <v>126614</v>
      </c>
      <c r="F368" t="s">
        <v>75</v>
      </c>
      <c r="G368" t="s">
        <v>289</v>
      </c>
      <c r="H368" t="s">
        <v>2</v>
      </c>
      <c r="I368" cm="1">
        <f t="array" ref="I368">IF(B368=0,INDEX('Category 14'!F:F,MATCH(C368&amp;E368&amp;D368,'Category 14'!B:B&amp;'Category 14'!C:C&amp;'Category 14'!A:A,0)),INDEX('Category 14'!G:G,MATCH(C368&amp;E368&amp;D368,'Category 14'!B:B&amp;'Category 14'!C:C&amp;'Category 14'!A:A,0)))</f>
        <v>1506249</v>
      </c>
      <c r="J368">
        <f>I368/VLOOKUP($D368,CPI!$P$16:$R$22,3,FALSE)</f>
        <v>1506249</v>
      </c>
      <c r="K368" cm="1">
        <f t="array" ref="K368">IF(B368=0,INDEX('Category 15'!F:F,MATCH(C368&amp;E368&amp;D368,'Category 15'!B:B&amp;'Category 15'!C:C&amp;'Category 15'!A:A,0)),INDEX('Category 15'!G:G,MATCH(C368&amp;E368&amp;D368,'Category 15'!B:B&amp;'Category 31'!C:C&amp;'Category 15'!A:A,0)))</f>
        <v>0</v>
      </c>
      <c r="L368">
        <f>K368/VLOOKUP($D368,CPI!$P$16:$R$22,3,FALSE)</f>
        <v>0</v>
      </c>
      <c r="M368" s="16" cm="1">
        <f t="array" ref="M368">IF(B368=0,INDEX('Category 31'!F:F,MATCH(C368&amp;E368&amp;D368,'Category 31'!B:B&amp;'Category 31'!C:C&amp;'Category 31'!A:A,0)),INDEX('Category 31'!G:G,MATCH(C368&amp;E368&amp;D368,'Category 31'!B:B&amp;'Category 31'!C:C&amp;'Category 31'!A:A,0)))</f>
        <v>0</v>
      </c>
      <c r="N368" s="16">
        <f>M368/VLOOKUP($D368,CPI!$P$16:$R$22,3,FALSE)</f>
        <v>0</v>
      </c>
      <c r="O368">
        <f>VLOOKUP(E368,MFootball!C:S,11,FALSE)</f>
        <v>278906</v>
      </c>
    </row>
    <row r="369" spans="1:15" ht="16" thickBot="1" x14ac:dyDescent="0.25">
      <c r="A369" s="15">
        <v>2</v>
      </c>
      <c r="B369">
        <f t="shared" si="5"/>
        <v>0</v>
      </c>
      <c r="C369">
        <f>IF(ISBLANK(H369),"",VLOOKUP(H369,Code!B:C,2,FALSE))</f>
        <v>9</v>
      </c>
      <c r="D369">
        <v>2023</v>
      </c>
      <c r="E369">
        <v>126614</v>
      </c>
      <c r="F369" t="s">
        <v>75</v>
      </c>
      <c r="G369" t="s">
        <v>289</v>
      </c>
      <c r="H369" t="s">
        <v>3</v>
      </c>
      <c r="I369" cm="1">
        <f t="array" ref="I369">IF(B369=0,INDEX('Category 14'!F:F,MATCH(C369&amp;E369&amp;D369,'Category 14'!B:B&amp;'Category 14'!C:C&amp;'Category 14'!A:A,0)),INDEX('Category 14'!G:G,MATCH(C369&amp;E369&amp;D369,'Category 14'!B:B&amp;'Category 14'!C:C&amp;'Category 14'!A:A,0)))</f>
        <v>0</v>
      </c>
      <c r="J369">
        <f>I369/VLOOKUP($D369,CPI!$P$16:$R$22,3,FALSE)</f>
        <v>0</v>
      </c>
      <c r="K369" cm="1">
        <f t="array" ref="K369">IF(B369=0,INDEX('Category 15'!F:F,MATCH(C369&amp;E369&amp;D369,'Category 15'!B:B&amp;'Category 15'!C:C&amp;'Category 15'!A:A,0)),INDEX('Category 15'!G:G,MATCH(C369&amp;E369&amp;D369,'Category 15'!B:B&amp;'Category 31'!C:C&amp;'Category 15'!A:A,0)))</f>
        <v>0</v>
      </c>
      <c r="L369">
        <f>K369/VLOOKUP($D369,CPI!$P$16:$R$22,3,FALSE)</f>
        <v>0</v>
      </c>
      <c r="M369" s="16" cm="1">
        <f t="array" ref="M369">IF(B369=0,INDEX('Category 31'!F:F,MATCH(C369&amp;E369&amp;D369,'Category 31'!B:B&amp;'Category 31'!C:C&amp;'Category 31'!A:A,0)),INDEX('Category 31'!G:G,MATCH(C369&amp;E369&amp;D369,'Category 31'!B:B&amp;'Category 31'!C:C&amp;'Category 31'!A:A,0)))</f>
        <v>0</v>
      </c>
      <c r="N369" s="16">
        <f>M369/VLOOKUP($D369,CPI!$P$16:$R$22,3,FALSE)</f>
        <v>0</v>
      </c>
      <c r="O369">
        <v>0</v>
      </c>
    </row>
    <row r="370" spans="1:15" ht="16" thickBot="1" x14ac:dyDescent="0.25">
      <c r="A370" s="15">
        <v>2</v>
      </c>
      <c r="B370">
        <f t="shared" si="5"/>
        <v>0</v>
      </c>
      <c r="C370">
        <f>IF(ISBLANK(H370),"",VLOOKUP(H370,Code!B:C,2,FALSE))</f>
        <v>16</v>
      </c>
      <c r="D370">
        <v>2023</v>
      </c>
      <c r="E370">
        <v>126614</v>
      </c>
      <c r="F370" t="s">
        <v>75</v>
      </c>
      <c r="G370" t="s">
        <v>289</v>
      </c>
      <c r="H370" t="s">
        <v>31</v>
      </c>
      <c r="I370" cm="1">
        <f t="array" ref="I370">IF(B370=0,INDEX('Category 14'!F:F,MATCH(C370&amp;E370&amp;D370,'Category 14'!B:B&amp;'Category 14'!C:C&amp;'Category 14'!A:A,0)),INDEX('Category 14'!G:G,MATCH(C370&amp;E370&amp;D370,'Category 14'!B:B&amp;'Category 14'!C:C&amp;'Category 14'!A:A,0)))</f>
        <v>0</v>
      </c>
      <c r="J370">
        <f>I370/VLOOKUP($D370,CPI!$P$16:$R$22,3,FALSE)</f>
        <v>0</v>
      </c>
      <c r="K370" cm="1">
        <f t="array" ref="K370">IF(B370=0,INDEX('Category 15'!F:F,MATCH(C370&amp;E370&amp;D370,'Category 15'!B:B&amp;'Category 15'!C:C&amp;'Category 15'!A:A,0)),INDEX('Category 15'!G:G,MATCH(C370&amp;E370&amp;D370,'Category 15'!B:B&amp;'Category 31'!C:C&amp;'Category 15'!A:A,0)))</f>
        <v>0</v>
      </c>
      <c r="L370">
        <f>K370/VLOOKUP($D370,CPI!$P$16:$R$22,3,FALSE)</f>
        <v>0</v>
      </c>
      <c r="M370" s="16" cm="1">
        <f t="array" ref="M370">IF(B370=0,INDEX('Category 31'!F:F,MATCH(C370&amp;E370&amp;D370,'Category 31'!B:B&amp;'Category 31'!C:C&amp;'Category 31'!A:A,0)),INDEX('Category 31'!G:G,MATCH(C370&amp;E370&amp;D370,'Category 31'!B:B&amp;'Category 31'!C:C&amp;'Category 31'!A:A,0)))</f>
        <v>0</v>
      </c>
      <c r="N370" s="16">
        <f>M370/VLOOKUP($D370,CPI!$P$16:$R$22,3,FALSE)</f>
        <v>0</v>
      </c>
      <c r="O370">
        <v>0</v>
      </c>
    </row>
    <row r="371" spans="1:15" ht="16" thickBot="1" x14ac:dyDescent="0.25">
      <c r="A371" s="15">
        <v>2</v>
      </c>
      <c r="B371">
        <f t="shared" si="5"/>
        <v>0</v>
      </c>
      <c r="C371">
        <f>IF(ISBLANK(H371),"",VLOOKUP(H371,Code!B:C,2,FALSE))</f>
        <v>21</v>
      </c>
      <c r="D371">
        <v>2023</v>
      </c>
      <c r="E371">
        <v>126614</v>
      </c>
      <c r="F371" t="s">
        <v>75</v>
      </c>
      <c r="G371" t="s">
        <v>289</v>
      </c>
      <c r="H371" t="s">
        <v>9</v>
      </c>
      <c r="I371" cm="1">
        <f t="array" ref="I371">IF(B371=0,INDEX('Category 14'!F:F,MATCH(C371&amp;E371&amp;D371,'Category 14'!B:B&amp;'Category 14'!C:C&amp;'Category 14'!A:A,0)),INDEX('Category 14'!G:G,MATCH(C371&amp;E371&amp;D371,'Category 14'!B:B&amp;'Category 14'!C:C&amp;'Category 14'!A:A,0)))</f>
        <v>0</v>
      </c>
      <c r="J371">
        <f>I371/VLOOKUP($D371,CPI!$P$16:$R$22,3,FALSE)</f>
        <v>0</v>
      </c>
      <c r="K371" cm="1">
        <f t="array" ref="K371">IF(B371=0,INDEX('Category 15'!F:F,MATCH(C371&amp;E371&amp;D371,'Category 15'!B:B&amp;'Category 15'!C:C&amp;'Category 15'!A:A,0)),INDEX('Category 15'!G:G,MATCH(C371&amp;E371&amp;D371,'Category 15'!B:B&amp;'Category 31'!C:C&amp;'Category 15'!A:A,0)))</f>
        <v>0</v>
      </c>
      <c r="L371">
        <f>K371/VLOOKUP($D371,CPI!$P$16:$R$22,3,FALSE)</f>
        <v>0</v>
      </c>
      <c r="M371" s="16" cm="1">
        <f t="array" ref="M371">IF(B371=0,INDEX('Category 31'!F:F,MATCH(C371&amp;E371&amp;D371,'Category 31'!B:B&amp;'Category 31'!C:C&amp;'Category 31'!A:A,0)),INDEX('Category 31'!G:G,MATCH(C371&amp;E371&amp;D371,'Category 31'!B:B&amp;'Category 31'!C:C&amp;'Category 31'!A:A,0)))</f>
        <v>0</v>
      </c>
      <c r="N371" s="16">
        <f>M371/VLOOKUP($D371,CPI!$P$16:$R$22,3,FALSE)</f>
        <v>0</v>
      </c>
      <c r="O371">
        <v>0</v>
      </c>
    </row>
    <row r="372" spans="1:15" ht="16" thickBot="1" x14ac:dyDescent="0.25">
      <c r="A372" s="15">
        <v>2</v>
      </c>
      <c r="B372">
        <f t="shared" si="5"/>
        <v>1</v>
      </c>
      <c r="C372">
        <f>IF(ISBLANK(H372),"",VLOOKUP(H372,Code!B:C,2,FALSE))</f>
        <v>2</v>
      </c>
      <c r="D372">
        <v>2023</v>
      </c>
      <c r="E372">
        <v>126614</v>
      </c>
      <c r="F372" t="s">
        <v>75</v>
      </c>
      <c r="G372" t="s">
        <v>290</v>
      </c>
      <c r="H372" t="s">
        <v>1</v>
      </c>
      <c r="I372" cm="1">
        <f t="array" ref="I372">IF(B372=0,INDEX('Category 14'!F:F,MATCH(C372&amp;E372&amp;D372,'Category 14'!B:B&amp;'Category 14'!C:C&amp;'Category 14'!A:A,0)),INDEX('Category 14'!G:G,MATCH(C372&amp;E372&amp;D372,'Category 14'!B:B&amp;'Category 14'!C:C&amp;'Category 14'!A:A,0)))</f>
        <v>25705</v>
      </c>
      <c r="J372">
        <f>I372/VLOOKUP($D372,CPI!$P$16:$R$22,3,FALSE)</f>
        <v>25705</v>
      </c>
      <c r="K372" cm="1">
        <f t="array" ref="K372">IF(B372=0,INDEX('Category 15'!F:F,MATCH(C372&amp;E372&amp;D372,'Category 15'!B:B&amp;'Category 15'!C:C&amp;'Category 15'!A:A,0)),INDEX('Category 15'!G:G,MATCH(C372&amp;E372&amp;D372,'Category 15'!B:B&amp;'Category 31'!C:C&amp;'Category 15'!A:A,0)))</f>
        <v>0</v>
      </c>
      <c r="L372">
        <f>K372/VLOOKUP($D372,CPI!$P$16:$R$22,3,FALSE)</f>
        <v>0</v>
      </c>
      <c r="M372" s="16" cm="1">
        <f t="array" ref="M372">IF(B372=0,INDEX('Category 31'!F:F,MATCH(C372&amp;E372&amp;D372,'Category 31'!B:B&amp;'Category 31'!C:C&amp;'Category 31'!A:A,0)),INDEX('Category 31'!G:G,MATCH(C372&amp;E372&amp;D372,'Category 31'!B:B&amp;'Category 31'!C:C&amp;'Category 31'!A:A,0)))</f>
        <v>940</v>
      </c>
      <c r="N372" s="16">
        <f>M372/VLOOKUP($D372,CPI!$P$16:$R$22,3,FALSE)</f>
        <v>940</v>
      </c>
      <c r="O372">
        <f>VLOOKUP(E372,WBasketball!C:S,11,FALSE)</f>
        <v>24447</v>
      </c>
    </row>
    <row r="373" spans="1:15" ht="16" thickBot="1" x14ac:dyDescent="0.25">
      <c r="A373" s="15">
        <v>2</v>
      </c>
      <c r="B373">
        <f t="shared" si="5"/>
        <v>1</v>
      </c>
      <c r="C373">
        <f>IF(ISBLANK(H373),"",VLOOKUP(H373,Code!B:C,2,FALSE))</f>
        <v>9</v>
      </c>
      <c r="D373">
        <v>2023</v>
      </c>
      <c r="E373">
        <v>126614</v>
      </c>
      <c r="F373" t="s">
        <v>75</v>
      </c>
      <c r="G373" t="s">
        <v>290</v>
      </c>
      <c r="H373" t="s">
        <v>3</v>
      </c>
      <c r="I373" cm="1">
        <f t="array" ref="I373">IF(B373=0,INDEX('Category 14'!F:F,MATCH(C373&amp;E373&amp;D373,'Category 14'!B:B&amp;'Category 14'!C:C&amp;'Category 14'!A:A,0)),INDEX('Category 14'!G:G,MATCH(C373&amp;E373&amp;D373,'Category 14'!B:B&amp;'Category 14'!C:C&amp;'Category 14'!A:A,0)))</f>
        <v>0</v>
      </c>
      <c r="J373">
        <f>I373/VLOOKUP($D373,CPI!$P$16:$R$22,3,FALSE)</f>
        <v>0</v>
      </c>
      <c r="K373" cm="1">
        <f t="array" ref="K373">IF(B373=0,INDEX('Category 15'!F:F,MATCH(C373&amp;E373&amp;D373,'Category 15'!B:B&amp;'Category 15'!C:C&amp;'Category 15'!A:A,0)),INDEX('Category 15'!G:G,MATCH(C373&amp;E373&amp;D373,'Category 15'!B:B&amp;'Category 31'!C:C&amp;'Category 15'!A:A,0)))</f>
        <v>0</v>
      </c>
      <c r="L373">
        <f>K373/VLOOKUP($D373,CPI!$P$16:$R$22,3,FALSE)</f>
        <v>0</v>
      </c>
      <c r="M373" s="16" cm="1">
        <f t="array" ref="M373">IF(B373=0,INDEX('Category 31'!F:F,MATCH(C373&amp;E373&amp;D373,'Category 31'!B:B&amp;'Category 31'!C:C&amp;'Category 31'!A:A,0)),INDEX('Category 31'!G:G,MATCH(C373&amp;E373&amp;D373,'Category 31'!B:B&amp;'Category 31'!C:C&amp;'Category 31'!A:A,0)))</f>
        <v>0</v>
      </c>
      <c r="N373" s="16">
        <f>M373/VLOOKUP($D373,CPI!$P$16:$R$22,3,FALSE)</f>
        <v>0</v>
      </c>
      <c r="O373">
        <v>0</v>
      </c>
    </row>
    <row r="374" spans="1:15" ht="16" thickBot="1" x14ac:dyDescent="0.25">
      <c r="A374" s="15">
        <v>2</v>
      </c>
      <c r="B374">
        <f t="shared" si="5"/>
        <v>1</v>
      </c>
      <c r="C374">
        <f>IF(ISBLANK(H374),"",VLOOKUP(H374,Code!B:C,2,FALSE))</f>
        <v>12</v>
      </c>
      <c r="D374">
        <v>2023</v>
      </c>
      <c r="E374">
        <v>126614</v>
      </c>
      <c r="F374" t="s">
        <v>75</v>
      </c>
      <c r="G374" t="s">
        <v>290</v>
      </c>
      <c r="H374" t="s">
        <v>27</v>
      </c>
      <c r="I374" cm="1">
        <f t="array" ref="I374">IF(B374=0,INDEX('Category 14'!F:F,MATCH(C374&amp;E374&amp;D374,'Category 14'!B:B&amp;'Category 14'!C:C&amp;'Category 14'!A:A,0)),INDEX('Category 14'!G:G,MATCH(C374&amp;E374&amp;D374,'Category 14'!B:B&amp;'Category 14'!C:C&amp;'Category 14'!A:A,0)))</f>
        <v>270</v>
      </c>
      <c r="J374">
        <f>I374/VLOOKUP($D374,CPI!$P$16:$R$22,3,FALSE)</f>
        <v>270</v>
      </c>
      <c r="K374" cm="1">
        <f t="array" ref="K374">IF(B374=0,INDEX('Category 15'!F:F,MATCH(C374&amp;E374&amp;D374,'Category 15'!B:B&amp;'Category 15'!C:C&amp;'Category 15'!A:A,0)),INDEX('Category 15'!G:G,MATCH(C374&amp;E374&amp;D374,'Category 15'!B:B&amp;'Category 31'!C:C&amp;'Category 15'!A:A,0)))</f>
        <v>0</v>
      </c>
      <c r="L374">
        <f>K374/VLOOKUP($D374,CPI!$P$16:$R$22,3,FALSE)</f>
        <v>0</v>
      </c>
      <c r="M374" s="16" cm="1">
        <f t="array" ref="M374">IF(B374=0,INDEX('Category 31'!F:F,MATCH(C374&amp;E374&amp;D374,'Category 31'!B:B&amp;'Category 31'!C:C&amp;'Category 31'!A:A,0)),INDEX('Category 31'!G:G,MATCH(C374&amp;E374&amp;D374,'Category 31'!B:B&amp;'Category 31'!C:C&amp;'Category 31'!A:A,0)))</f>
        <v>0</v>
      </c>
      <c r="N374" s="16">
        <f>M374/VLOOKUP($D374,CPI!$P$16:$R$22,3,FALSE)</f>
        <v>0</v>
      </c>
      <c r="O374">
        <f>VLOOKUP(E374,WLacrosse!C:S,11,FALSE)</f>
        <v>2692</v>
      </c>
    </row>
    <row r="375" spans="1:15" ht="16" thickBot="1" x14ac:dyDescent="0.25">
      <c r="A375" s="15">
        <v>2</v>
      </c>
      <c r="B375">
        <f t="shared" si="5"/>
        <v>1</v>
      </c>
      <c r="C375">
        <f>IF(ISBLANK(H375),"",VLOOKUP(H375,Code!B:C,2,FALSE))</f>
        <v>16</v>
      </c>
      <c r="D375">
        <v>2023</v>
      </c>
      <c r="E375">
        <v>126614</v>
      </c>
      <c r="F375" t="s">
        <v>75</v>
      </c>
      <c r="G375" t="s">
        <v>290</v>
      </c>
      <c r="H375" t="s">
        <v>31</v>
      </c>
      <c r="I375" cm="1">
        <f t="array" ref="I375">IF(B375=0,INDEX('Category 14'!F:F,MATCH(C375&amp;E375&amp;D375,'Category 14'!B:B&amp;'Category 14'!C:C&amp;'Category 14'!A:A,0)),INDEX('Category 14'!G:G,MATCH(C375&amp;E375&amp;D375,'Category 14'!B:B&amp;'Category 14'!C:C&amp;'Category 14'!A:A,0)))</f>
        <v>0</v>
      </c>
      <c r="J375">
        <f>I375/VLOOKUP($D375,CPI!$P$16:$R$22,3,FALSE)</f>
        <v>0</v>
      </c>
      <c r="K375" cm="1">
        <f t="array" ref="K375">IF(B375=0,INDEX('Category 15'!F:F,MATCH(C375&amp;E375&amp;D375,'Category 15'!B:B&amp;'Category 15'!C:C&amp;'Category 15'!A:A,0)),INDEX('Category 15'!G:G,MATCH(C375&amp;E375&amp;D375,'Category 15'!B:B&amp;'Category 31'!C:C&amp;'Category 15'!A:A,0)))</f>
        <v>0</v>
      </c>
      <c r="L375">
        <f>K375/VLOOKUP($D375,CPI!$P$16:$R$22,3,FALSE)</f>
        <v>0</v>
      </c>
      <c r="M375" s="16" cm="1">
        <f t="array" ref="M375">IF(B375=0,INDEX('Category 31'!F:F,MATCH(C375&amp;E375&amp;D375,'Category 31'!B:B&amp;'Category 31'!C:C&amp;'Category 31'!A:A,0)),INDEX('Category 31'!G:G,MATCH(C375&amp;E375&amp;D375,'Category 31'!B:B&amp;'Category 31'!C:C&amp;'Category 31'!A:A,0)))</f>
        <v>0</v>
      </c>
      <c r="N375" s="16">
        <f>M375/VLOOKUP($D375,CPI!$P$16:$R$22,3,FALSE)</f>
        <v>0</v>
      </c>
      <c r="O375">
        <v>0</v>
      </c>
    </row>
    <row r="376" spans="1:15" ht="16" thickBot="1" x14ac:dyDescent="0.25">
      <c r="A376" s="15">
        <v>2</v>
      </c>
      <c r="B376">
        <f t="shared" si="5"/>
        <v>1</v>
      </c>
      <c r="C376">
        <f>IF(ISBLANK(H376),"",VLOOKUP(H376,Code!B:C,2,FALSE))</f>
        <v>17</v>
      </c>
      <c r="D376">
        <v>2023</v>
      </c>
      <c r="E376">
        <v>126614</v>
      </c>
      <c r="F376" t="s">
        <v>75</v>
      </c>
      <c r="G376" t="s">
        <v>290</v>
      </c>
      <c r="H376" t="s">
        <v>5</v>
      </c>
      <c r="I376" cm="1">
        <f t="array" ref="I376">IF(B376=0,INDEX('Category 14'!F:F,MATCH(C376&amp;E376&amp;D376,'Category 14'!B:B&amp;'Category 14'!C:C&amp;'Category 14'!A:A,0)),INDEX('Category 14'!G:G,MATCH(C376&amp;E376&amp;D376,'Category 14'!B:B&amp;'Category 14'!C:C&amp;'Category 14'!A:A,0)))</f>
        <v>9090</v>
      </c>
      <c r="J376">
        <f>I376/VLOOKUP($D376,CPI!$P$16:$R$22,3,FALSE)</f>
        <v>9090</v>
      </c>
      <c r="K376" cm="1">
        <f t="array" ref="K376">IF(B376=0,INDEX('Category 15'!F:F,MATCH(C376&amp;E376&amp;D376,'Category 15'!B:B&amp;'Category 15'!C:C&amp;'Category 15'!A:A,0)),INDEX('Category 15'!G:G,MATCH(C376&amp;E376&amp;D376,'Category 15'!B:B&amp;'Category 31'!C:C&amp;'Category 15'!A:A,0)))</f>
        <v>0</v>
      </c>
      <c r="L376">
        <f>K376/VLOOKUP($D376,CPI!$P$16:$R$22,3,FALSE)</f>
        <v>0</v>
      </c>
      <c r="M376" s="16" cm="1">
        <f t="array" ref="M376">IF(B376=0,INDEX('Category 31'!F:F,MATCH(C376&amp;E376&amp;D376,'Category 31'!B:B&amp;'Category 31'!C:C&amp;'Category 31'!A:A,0)),INDEX('Category 31'!G:G,MATCH(C376&amp;E376&amp;D376,'Category 31'!B:B&amp;'Category 31'!C:C&amp;'Category 31'!A:A,0)))</f>
        <v>0</v>
      </c>
      <c r="N376" s="16">
        <f>M376/VLOOKUP($D376,CPI!$P$16:$R$22,3,FALSE)</f>
        <v>0</v>
      </c>
      <c r="O376">
        <f>VLOOKUP(E376,WSoccer!C:S,11,FALSE)</f>
        <v>7501</v>
      </c>
    </row>
    <row r="377" spans="1:15" ht="16" thickBot="1" x14ac:dyDescent="0.25">
      <c r="A377" s="15">
        <v>2</v>
      </c>
      <c r="B377">
        <f t="shared" si="5"/>
        <v>1</v>
      </c>
      <c r="C377">
        <f>IF(ISBLANK(H377),"",VLOOKUP(H377,Code!B:C,2,FALSE))</f>
        <v>20</v>
      </c>
      <c r="D377">
        <v>2023</v>
      </c>
      <c r="E377">
        <v>126614</v>
      </c>
      <c r="F377" t="s">
        <v>75</v>
      </c>
      <c r="G377" t="s">
        <v>290</v>
      </c>
      <c r="H377" t="s">
        <v>8</v>
      </c>
      <c r="I377" cm="1">
        <f t="array" ref="I377">IF(B377=0,INDEX('Category 14'!F:F,MATCH(C377&amp;E377&amp;D377,'Category 14'!B:B&amp;'Category 14'!C:C&amp;'Category 14'!A:A,0)),INDEX('Category 14'!G:G,MATCH(C377&amp;E377&amp;D377,'Category 14'!B:B&amp;'Category 14'!C:C&amp;'Category 14'!A:A,0)))</f>
        <v>0</v>
      </c>
      <c r="J377">
        <f>I377/VLOOKUP($D377,CPI!$P$16:$R$22,3,FALSE)</f>
        <v>0</v>
      </c>
      <c r="K377" cm="1">
        <f t="array" ref="K377">IF(B377=0,INDEX('Category 15'!F:F,MATCH(C377&amp;E377&amp;D377,'Category 15'!B:B&amp;'Category 15'!C:C&amp;'Category 15'!A:A,0)),INDEX('Category 15'!G:G,MATCH(C377&amp;E377&amp;D377,'Category 15'!B:B&amp;'Category 31'!C:C&amp;'Category 15'!A:A,0)))</f>
        <v>0</v>
      </c>
      <c r="L377">
        <f>K377/VLOOKUP($D377,CPI!$P$16:$R$22,3,FALSE)</f>
        <v>0</v>
      </c>
      <c r="M377" s="16" cm="1">
        <f t="array" ref="M377">IF(B377=0,INDEX('Category 31'!F:F,MATCH(C377&amp;E377&amp;D377,'Category 31'!B:B&amp;'Category 31'!C:C&amp;'Category 31'!A:A,0)),INDEX('Category 31'!G:G,MATCH(C377&amp;E377&amp;D377,'Category 31'!B:B&amp;'Category 31'!C:C&amp;'Category 31'!A:A,0)))</f>
        <v>0</v>
      </c>
      <c r="N377" s="16">
        <f>M377/VLOOKUP($D377,CPI!$P$16:$R$22,3,FALSE)</f>
        <v>0</v>
      </c>
      <c r="O377">
        <v>0</v>
      </c>
    </row>
    <row r="378" spans="1:15" ht="16" thickBot="1" x14ac:dyDescent="0.25">
      <c r="A378" s="15">
        <v>2</v>
      </c>
      <c r="B378">
        <f t="shared" si="5"/>
        <v>1</v>
      </c>
      <c r="C378">
        <f>IF(ISBLANK(H378),"",VLOOKUP(H378,Code!B:C,2,FALSE))</f>
        <v>21</v>
      </c>
      <c r="D378">
        <v>2023</v>
      </c>
      <c r="E378">
        <v>126614</v>
      </c>
      <c r="F378" t="s">
        <v>75</v>
      </c>
      <c r="G378" t="s">
        <v>290</v>
      </c>
      <c r="H378" t="s">
        <v>9</v>
      </c>
      <c r="I378" cm="1">
        <f t="array" ref="I378">IF(B378=0,INDEX('Category 14'!F:F,MATCH(C378&amp;E378&amp;D378,'Category 14'!B:B&amp;'Category 14'!C:C&amp;'Category 14'!A:A,0)),INDEX('Category 14'!G:G,MATCH(C378&amp;E378&amp;D378,'Category 14'!B:B&amp;'Category 14'!C:C&amp;'Category 14'!A:A,0)))</f>
        <v>0</v>
      </c>
      <c r="J378">
        <f>I378/VLOOKUP($D378,CPI!$P$16:$R$22,3,FALSE)</f>
        <v>0</v>
      </c>
      <c r="K378" cm="1">
        <f t="array" ref="K378">IF(B378=0,INDEX('Category 15'!F:F,MATCH(C378&amp;E378&amp;D378,'Category 15'!B:B&amp;'Category 15'!C:C&amp;'Category 15'!A:A,0)),INDEX('Category 15'!G:G,MATCH(C378&amp;E378&amp;D378,'Category 15'!B:B&amp;'Category 31'!C:C&amp;'Category 15'!A:A,0)))</f>
        <v>0</v>
      </c>
      <c r="L378">
        <f>K378/VLOOKUP($D378,CPI!$P$16:$R$22,3,FALSE)</f>
        <v>0</v>
      </c>
      <c r="M378" s="16" cm="1">
        <f t="array" ref="M378">IF(B378=0,INDEX('Category 31'!F:F,MATCH(C378&amp;E378&amp;D378,'Category 31'!B:B&amp;'Category 31'!C:C&amp;'Category 31'!A:A,0)),INDEX('Category 31'!G:G,MATCH(C378&amp;E378&amp;D378,'Category 31'!B:B&amp;'Category 31'!C:C&amp;'Category 31'!A:A,0)))</f>
        <v>0</v>
      </c>
      <c r="N378" s="16">
        <f>M378/VLOOKUP($D378,CPI!$P$16:$R$22,3,FALSE)</f>
        <v>0</v>
      </c>
      <c r="O378">
        <v>0</v>
      </c>
    </row>
    <row r="379" spans="1:15" ht="16" thickBot="1" x14ac:dyDescent="0.25">
      <c r="A379" s="15">
        <v>2</v>
      </c>
      <c r="B379">
        <f t="shared" si="5"/>
        <v>1</v>
      </c>
      <c r="C379">
        <f>IF(ISBLANK(H379),"",VLOOKUP(H379,Code!B:C,2,FALSE))</f>
        <v>23</v>
      </c>
      <c r="D379">
        <v>2023</v>
      </c>
      <c r="E379">
        <v>126614</v>
      </c>
      <c r="F379" t="s">
        <v>75</v>
      </c>
      <c r="G379" t="s">
        <v>290</v>
      </c>
      <c r="H379" t="s">
        <v>10</v>
      </c>
      <c r="I379" cm="1">
        <f t="array" ref="I379">IF(B379=0,INDEX('Category 14'!F:F,MATCH(C379&amp;E379&amp;D379,'Category 14'!B:B&amp;'Category 14'!C:C&amp;'Category 14'!A:A,0)),INDEX('Category 14'!G:G,MATCH(C379&amp;E379&amp;D379,'Category 14'!B:B&amp;'Category 14'!C:C&amp;'Category 14'!A:A,0)))</f>
        <v>21278</v>
      </c>
      <c r="J379">
        <f>I379/VLOOKUP($D379,CPI!$P$16:$R$22,3,FALSE)</f>
        <v>21278</v>
      </c>
      <c r="K379">
        <v>0</v>
      </c>
      <c r="L379">
        <f>K379/VLOOKUP($D379,CPI!$P$16:$R$22,3,FALSE)</f>
        <v>0</v>
      </c>
      <c r="M379" s="16" cm="1">
        <f t="array" ref="M379">IF(B379=0,INDEX('Category 31'!F:F,MATCH(C379&amp;E379&amp;D379,'Category 31'!B:B&amp;'Category 31'!C:C&amp;'Category 31'!A:A,0)),INDEX('Category 31'!G:G,MATCH(C379&amp;E379&amp;D379,'Category 31'!B:B&amp;'Category 31'!C:C&amp;'Category 31'!A:A,0)))</f>
        <v>0</v>
      </c>
      <c r="N379" s="16">
        <f>M379/VLOOKUP($D379,CPI!$P$16:$R$22,3,FALSE)</f>
        <v>0</v>
      </c>
      <c r="O379">
        <f>VLOOKUP(E379,WVolleyball!C:S,11,FALSE)</f>
        <v>15204</v>
      </c>
    </row>
    <row r="380" spans="1:15" ht="16" thickBot="1" x14ac:dyDescent="0.25">
      <c r="A380" s="15">
        <v>2</v>
      </c>
      <c r="B380">
        <f t="shared" si="5"/>
        <v>0</v>
      </c>
      <c r="C380">
        <f>IF(ISBLANK(H380),"",VLOOKUP(H380,Code!B:C,2,FALSE))</f>
        <v>1</v>
      </c>
      <c r="D380">
        <v>2017</v>
      </c>
      <c r="E380">
        <v>163268</v>
      </c>
      <c r="F380" t="s">
        <v>127</v>
      </c>
      <c r="G380" t="s">
        <v>289</v>
      </c>
      <c r="H380" t="s">
        <v>0</v>
      </c>
      <c r="I380" cm="1">
        <f t="array" ref="I380">IF(B380=0,INDEX('Category 14'!F:F,MATCH(C380&amp;E380&amp;D380,'Category 14'!B:B&amp;'Category 14'!C:C&amp;'Category 14'!A:A,0)),INDEX('Category 14'!G:G,MATCH(C380&amp;E380&amp;D380,'Category 14'!B:B&amp;'Category 14'!C:C&amp;'Category 14'!A:A,0)))</f>
        <v>0</v>
      </c>
      <c r="J380">
        <f>I380/VLOOKUP($D380,CPI!$P$16:$R$22,3,FALSE)</f>
        <v>0</v>
      </c>
      <c r="K380" cm="1">
        <f t="array" ref="K380">IF(B380=0,INDEX('Category 15'!F:F,MATCH(C380&amp;E380&amp;D380,'Category 15'!B:B&amp;'Category 15'!C:C&amp;'Category 15'!A:A,0)),INDEX('Category 15'!G:G,MATCH(C380&amp;E380&amp;D380,'Category 15'!B:B&amp;'Category 31'!C:C&amp;'Category 15'!A:A,0)))</f>
        <v>0</v>
      </c>
      <c r="L380">
        <f>K380/VLOOKUP($D380,CPI!$P$16:$R$22,3,FALSE)</f>
        <v>0</v>
      </c>
      <c r="M380" s="16" cm="1">
        <f t="array" ref="M380">IF(B380=0,INDEX('Category 31'!F:F,MATCH(C380&amp;E380&amp;D380,'Category 31'!B:B&amp;'Category 31'!C:C&amp;'Category 31'!A:A,0)),INDEX('Category 31'!G:G,MATCH(C380&amp;E380&amp;D380,'Category 31'!B:B&amp;'Category 31'!C:C&amp;'Category 31'!A:A,0)))</f>
        <v>0</v>
      </c>
      <c r="N380" s="16">
        <f>M380/VLOOKUP($D380,CPI!$P$16:$R$22,3,FALSE)</f>
        <v>0</v>
      </c>
      <c r="O380">
        <f>VLOOKUP(E380,MBaseball!C:R,6,FALSE)</f>
        <v>2085</v>
      </c>
    </row>
    <row r="381" spans="1:15" ht="16" thickBot="1" x14ac:dyDescent="0.25">
      <c r="A381" s="15">
        <v>2</v>
      </c>
      <c r="B381">
        <f t="shared" si="5"/>
        <v>0</v>
      </c>
      <c r="C381">
        <f>IF(ISBLANK(H381),"",VLOOKUP(H381,Code!B:C,2,FALSE))</f>
        <v>2</v>
      </c>
      <c r="D381">
        <v>2017</v>
      </c>
      <c r="E381">
        <v>163268</v>
      </c>
      <c r="F381" t="s">
        <v>127</v>
      </c>
      <c r="G381" t="s">
        <v>289</v>
      </c>
      <c r="H381" t="s">
        <v>1</v>
      </c>
      <c r="I381" cm="1">
        <f t="array" ref="I381">IF(B381=0,INDEX('Category 14'!F:F,MATCH(C381&amp;E381&amp;D381,'Category 14'!B:B&amp;'Category 14'!C:C&amp;'Category 14'!A:A,0)),INDEX('Category 14'!G:G,MATCH(C381&amp;E381&amp;D381,'Category 14'!B:B&amp;'Category 14'!C:C&amp;'Category 14'!A:A,0)))</f>
        <v>0</v>
      </c>
      <c r="J381">
        <f>I381/VLOOKUP($D381,CPI!$P$16:$R$22,3,FALSE)</f>
        <v>0</v>
      </c>
      <c r="K381" cm="1">
        <f t="array" ref="K381">IF(B381=0,INDEX('Category 15'!F:F,MATCH(C381&amp;E381&amp;D381,'Category 15'!B:B&amp;'Category 15'!C:C&amp;'Category 15'!A:A,0)),INDEX('Category 15'!G:G,MATCH(C381&amp;E381&amp;D381,'Category 15'!B:B&amp;'Category 31'!C:C&amp;'Category 15'!A:A,0)))</f>
        <v>0</v>
      </c>
      <c r="L381">
        <f>K381/VLOOKUP($D381,CPI!$P$16:$R$22,3,FALSE)</f>
        <v>0</v>
      </c>
      <c r="M381" s="16" cm="1">
        <f t="array" ref="M381">IF(B381=0,INDEX('Category 31'!F:F,MATCH(C381&amp;E381&amp;D381,'Category 31'!B:B&amp;'Category 31'!C:C&amp;'Category 31'!A:A,0)),INDEX('Category 31'!G:G,MATCH(C381&amp;E381&amp;D381,'Category 31'!B:B&amp;'Category 31'!C:C&amp;'Category 31'!A:A,0)))</f>
        <v>0</v>
      </c>
      <c r="N381" s="16">
        <f>M381/VLOOKUP($D381,CPI!$P$16:$R$22,3,FALSE)</f>
        <v>0</v>
      </c>
      <c r="O381">
        <f>VLOOKUP(E381,MBasketball!C:S,6,FALSE)</f>
        <v>16194</v>
      </c>
    </row>
    <row r="382" spans="1:15" ht="16" thickBot="1" x14ac:dyDescent="0.25">
      <c r="A382" s="15">
        <v>2</v>
      </c>
      <c r="B382">
        <f t="shared" si="5"/>
        <v>0</v>
      </c>
      <c r="C382">
        <f>IF(ISBLANK(H382),"",VLOOKUP(H382,Code!B:C,2,FALSE))</f>
        <v>12</v>
      </c>
      <c r="D382">
        <v>2017</v>
      </c>
      <c r="E382">
        <v>163268</v>
      </c>
      <c r="F382" t="s">
        <v>127</v>
      </c>
      <c r="G382" t="s">
        <v>289</v>
      </c>
      <c r="H382" t="s">
        <v>27</v>
      </c>
      <c r="I382" cm="1">
        <f t="array" ref="I382">IF(B382=0,INDEX('Category 14'!F:F,MATCH(C382&amp;E382&amp;D382,'Category 14'!B:B&amp;'Category 14'!C:C&amp;'Category 14'!A:A,0)),INDEX('Category 14'!G:G,MATCH(C382&amp;E382&amp;D382,'Category 14'!B:B&amp;'Category 14'!C:C&amp;'Category 14'!A:A,0)))</f>
        <v>0</v>
      </c>
      <c r="J382">
        <f>I382/VLOOKUP($D382,CPI!$P$16:$R$22,3,FALSE)</f>
        <v>0</v>
      </c>
      <c r="K382" cm="1">
        <f t="array" ref="K382">IF(B382=0,INDEX('Category 15'!F:F,MATCH(C382&amp;E382&amp;D382,'Category 15'!B:B&amp;'Category 15'!C:C&amp;'Category 15'!A:A,0)),INDEX('Category 15'!G:G,MATCH(C382&amp;E382&amp;D382,'Category 15'!B:B&amp;'Category 31'!C:C&amp;'Category 15'!A:A,0)))</f>
        <v>0</v>
      </c>
      <c r="L382">
        <f>K382/VLOOKUP($D382,CPI!$P$16:$R$22,3,FALSE)</f>
        <v>0</v>
      </c>
      <c r="M382" s="16" cm="1">
        <f t="array" ref="M382">IF(B382=0,INDEX('Category 31'!F:F,MATCH(C382&amp;E382&amp;D382,'Category 31'!B:B&amp;'Category 31'!C:C&amp;'Category 31'!A:A,0)),INDEX('Category 31'!G:G,MATCH(C382&amp;E382&amp;D382,'Category 31'!B:B&amp;'Category 31'!C:C&amp;'Category 31'!A:A,0)))</f>
        <v>0</v>
      </c>
      <c r="N382" s="16">
        <f>M382/VLOOKUP($D382,CPI!$P$16:$R$22,3,FALSE)</f>
        <v>0</v>
      </c>
      <c r="O382">
        <f>VLOOKUP(E382,MLacrosse!C:S,6,FALSE)</f>
        <v>3400</v>
      </c>
    </row>
    <row r="383" spans="1:15" ht="16" thickBot="1" x14ac:dyDescent="0.25">
      <c r="A383" s="15">
        <v>2</v>
      </c>
      <c r="B383">
        <f t="shared" si="5"/>
        <v>0</v>
      </c>
      <c r="C383">
        <f>IF(ISBLANK(H383),"",VLOOKUP(H383,Code!B:C,2,FALSE))</f>
        <v>17</v>
      </c>
      <c r="D383">
        <v>2017</v>
      </c>
      <c r="E383">
        <v>163268</v>
      </c>
      <c r="F383" t="s">
        <v>127</v>
      </c>
      <c r="G383" t="s">
        <v>289</v>
      </c>
      <c r="H383" t="s">
        <v>5</v>
      </c>
      <c r="I383" cm="1">
        <f t="array" ref="I383">IF(B383=0,INDEX('Category 14'!F:F,MATCH(C383&amp;E383&amp;D383,'Category 14'!B:B&amp;'Category 14'!C:C&amp;'Category 14'!A:A,0)),INDEX('Category 14'!G:G,MATCH(C383&amp;E383&amp;D383,'Category 14'!B:B&amp;'Category 14'!C:C&amp;'Category 14'!A:A,0)))</f>
        <v>0</v>
      </c>
      <c r="J383">
        <f>I383/VLOOKUP($D383,CPI!$P$16:$R$22,3,FALSE)</f>
        <v>0</v>
      </c>
      <c r="K383" cm="1">
        <f t="array" ref="K383">IF(B383=0,INDEX('Category 15'!F:F,MATCH(C383&amp;E383&amp;D383,'Category 15'!B:B&amp;'Category 15'!C:C&amp;'Category 15'!A:A,0)),INDEX('Category 15'!G:G,MATCH(C383&amp;E383&amp;D383,'Category 15'!B:B&amp;'Category 31'!C:C&amp;'Category 15'!A:A,0)))</f>
        <v>3500</v>
      </c>
      <c r="L383">
        <f>K383/VLOOKUP($D383,CPI!$P$16:$R$22,3,FALSE)</f>
        <v>4322.5681158345242</v>
      </c>
      <c r="M383" s="16" cm="1">
        <f t="array" ref="M383">IF(B383=0,INDEX('Category 31'!F:F,MATCH(C383&amp;E383&amp;D383,'Category 31'!B:B&amp;'Category 31'!C:C&amp;'Category 31'!A:A,0)),INDEX('Category 31'!G:G,MATCH(C383&amp;E383&amp;D383,'Category 31'!B:B&amp;'Category 31'!C:C&amp;'Category 31'!A:A,0)))</f>
        <v>0</v>
      </c>
      <c r="N383" s="16">
        <f>M383/VLOOKUP($D383,CPI!$P$16:$R$22,3,FALSE)</f>
        <v>0</v>
      </c>
      <c r="O383">
        <f>VLOOKUP(E383,MSoccer!C:S,6,FALSE)</f>
        <v>10468</v>
      </c>
    </row>
    <row r="384" spans="1:15" ht="16" thickBot="1" x14ac:dyDescent="0.25">
      <c r="A384" s="15">
        <v>2</v>
      </c>
      <c r="B384">
        <f t="shared" si="5"/>
        <v>0</v>
      </c>
      <c r="C384">
        <f>IF(ISBLANK(H384),"",VLOOKUP(H384,Code!B:C,2,FALSE))</f>
        <v>19</v>
      </c>
      <c r="D384">
        <v>2017</v>
      </c>
      <c r="E384">
        <v>163268</v>
      </c>
      <c r="F384" t="s">
        <v>127</v>
      </c>
      <c r="G384" t="s">
        <v>289</v>
      </c>
      <c r="H384" t="s">
        <v>7</v>
      </c>
      <c r="I384" cm="1">
        <f t="array" ref="I384">IF(B384=0,INDEX('Category 14'!F:F,MATCH(C384&amp;E384&amp;D384,'Category 14'!B:B&amp;'Category 14'!C:C&amp;'Category 14'!A:A,0)),INDEX('Category 14'!G:G,MATCH(C384&amp;E384&amp;D384,'Category 14'!B:B&amp;'Category 14'!C:C&amp;'Category 14'!A:A,0)))</f>
        <v>0</v>
      </c>
      <c r="J384">
        <f>I384/VLOOKUP($D384,CPI!$P$16:$R$22,3,FALSE)</f>
        <v>0</v>
      </c>
      <c r="K384" cm="1">
        <f t="array" ref="K384">IF(B384=0,INDEX('Category 15'!F:F,MATCH(C384&amp;E384&amp;D384,'Category 15'!B:B&amp;'Category 15'!C:C&amp;'Category 15'!A:A,0)),INDEX('Category 15'!G:G,MATCH(C384&amp;E384&amp;D384,'Category 15'!B:B&amp;'Category 31'!C:C&amp;'Category 15'!A:A,0)))</f>
        <v>0</v>
      </c>
      <c r="L384">
        <f>K384/VLOOKUP($D384,CPI!$P$16:$R$22,3,FALSE)</f>
        <v>0</v>
      </c>
      <c r="M384" s="16" cm="1">
        <f t="array" ref="M384">IF(B384=0,INDEX('Category 31'!F:F,MATCH(C384&amp;E384&amp;D384,'Category 31'!B:B&amp;'Category 31'!C:C&amp;'Category 31'!A:A,0)),INDEX('Category 31'!G:G,MATCH(C384&amp;E384&amp;D384,'Category 31'!B:B&amp;'Category 31'!C:C&amp;'Category 31'!A:A,0)))</f>
        <v>0</v>
      </c>
      <c r="N384" s="16">
        <f>M384/VLOOKUP($D384,CPI!$P$16:$R$22,3,FALSE)</f>
        <v>0</v>
      </c>
      <c r="O384">
        <v>0</v>
      </c>
    </row>
    <row r="385" spans="1:15" ht="16" thickBot="1" x14ac:dyDescent="0.25">
      <c r="A385" s="15">
        <v>2</v>
      </c>
      <c r="B385">
        <f t="shared" si="5"/>
        <v>0</v>
      </c>
      <c r="C385">
        <f>IF(ISBLANK(H385),"",VLOOKUP(H385,Code!B:C,2,FALSE))</f>
        <v>21</v>
      </c>
      <c r="D385">
        <v>2017</v>
      </c>
      <c r="E385">
        <v>163268</v>
      </c>
      <c r="F385" t="s">
        <v>127</v>
      </c>
      <c r="G385" t="s">
        <v>289</v>
      </c>
      <c r="H385" t="s">
        <v>36</v>
      </c>
      <c r="I385">
        <v>0</v>
      </c>
      <c r="J385">
        <f>I385/VLOOKUP($D385,CPI!$P$16:$R$22,3,FALSE)</f>
        <v>0</v>
      </c>
      <c r="K385">
        <v>0</v>
      </c>
      <c r="L385">
        <f>K385/VLOOKUP($D385,CPI!$P$16:$R$22,3,FALSE)</f>
        <v>0</v>
      </c>
      <c r="M385" s="16">
        <v>0</v>
      </c>
      <c r="N385" s="16">
        <f>M385/VLOOKUP($D385,CPI!$P$16:$R$22,3,FALSE)</f>
        <v>0</v>
      </c>
      <c r="O385">
        <v>0</v>
      </c>
    </row>
    <row r="386" spans="1:15" ht="16" thickBot="1" x14ac:dyDescent="0.25">
      <c r="A386" s="15">
        <v>2</v>
      </c>
      <c r="B386">
        <f t="shared" si="5"/>
        <v>1</v>
      </c>
      <c r="C386">
        <f>IF(ISBLANK(H386),"",VLOOKUP(H386,Code!B:C,2,FALSE))</f>
        <v>2</v>
      </c>
      <c r="D386">
        <v>2017</v>
      </c>
      <c r="E386">
        <v>163268</v>
      </c>
      <c r="F386" t="s">
        <v>127</v>
      </c>
      <c r="G386" t="s">
        <v>290</v>
      </c>
      <c r="H386" t="s">
        <v>1</v>
      </c>
      <c r="I386" cm="1">
        <f t="array" ref="I386">IF(B386=0,INDEX('Category 14'!F:F,MATCH(C386&amp;E386&amp;D386,'Category 14'!B:B&amp;'Category 14'!C:C&amp;'Category 14'!A:A,0)),INDEX('Category 14'!G:G,MATCH(C386&amp;E386&amp;D386,'Category 14'!B:B&amp;'Category 14'!C:C&amp;'Category 14'!A:A,0)))</f>
        <v>0</v>
      </c>
      <c r="J386">
        <f>I386/VLOOKUP($D386,CPI!$P$16:$R$22,3,FALSE)</f>
        <v>0</v>
      </c>
      <c r="K386" cm="1">
        <f t="array" ref="K386">IF(B386=0,INDEX('Category 15'!F:F,MATCH(C386&amp;E386&amp;D386,'Category 15'!B:B&amp;'Category 15'!C:C&amp;'Category 15'!A:A,0)),INDEX('Category 15'!G:G,MATCH(C386&amp;E386&amp;D386,'Category 15'!B:B&amp;'Category 31'!C:C&amp;'Category 15'!A:A,0)))</f>
        <v>0</v>
      </c>
      <c r="L386">
        <f>K386/VLOOKUP($D386,CPI!$P$16:$R$22,3,FALSE)</f>
        <v>0</v>
      </c>
      <c r="M386" s="16" cm="1">
        <f t="array" ref="M386">IF(B386=0,INDEX('Category 31'!F:F,MATCH(C386&amp;E386&amp;D386,'Category 31'!B:B&amp;'Category 31'!C:C&amp;'Category 31'!A:A,0)),INDEX('Category 31'!G:G,MATCH(C386&amp;E386&amp;D386,'Category 31'!B:B&amp;'Category 31'!C:C&amp;'Category 31'!A:A,0)))</f>
        <v>0</v>
      </c>
      <c r="N386" s="16">
        <f>M386/VLOOKUP($D386,CPI!$P$16:$R$22,3,FALSE)</f>
        <v>0</v>
      </c>
      <c r="O386">
        <f>VLOOKUP(E386,WBasketball!C:S,6,FALSE)</f>
        <v>8557</v>
      </c>
    </row>
    <row r="387" spans="1:15" ht="16" thickBot="1" x14ac:dyDescent="0.25">
      <c r="A387" s="15">
        <v>2</v>
      </c>
      <c r="B387">
        <f t="shared" ref="B387:B450" si="6">IF(ISBLANK(G387),"",IF(MID(G387,1,1)="M",0,1))</f>
        <v>1</v>
      </c>
      <c r="C387">
        <f>IF(ISBLANK(H387),"",VLOOKUP(H387,Code!B:C,2,FALSE))</f>
        <v>12</v>
      </c>
      <c r="D387">
        <v>2017</v>
      </c>
      <c r="E387">
        <v>163268</v>
      </c>
      <c r="F387" t="s">
        <v>127</v>
      </c>
      <c r="G387" t="s">
        <v>290</v>
      </c>
      <c r="H387" t="s">
        <v>27</v>
      </c>
      <c r="I387" cm="1">
        <f t="array" ref="I387">IF(B387=0,INDEX('Category 14'!F:F,MATCH(C387&amp;E387&amp;D387,'Category 14'!B:B&amp;'Category 14'!C:C&amp;'Category 14'!A:A,0)),INDEX('Category 14'!G:G,MATCH(C387&amp;E387&amp;D387,'Category 14'!B:B&amp;'Category 14'!C:C&amp;'Category 14'!A:A,0)))</f>
        <v>0</v>
      </c>
      <c r="J387">
        <f>I387/VLOOKUP($D387,CPI!$P$16:$R$22,3,FALSE)</f>
        <v>0</v>
      </c>
      <c r="K387" cm="1">
        <f t="array" ref="K387">IF(B387=0,INDEX('Category 15'!F:F,MATCH(C387&amp;E387&amp;D387,'Category 15'!B:B&amp;'Category 15'!C:C&amp;'Category 15'!A:A,0)),INDEX('Category 15'!G:G,MATCH(C387&amp;E387&amp;D387,'Category 15'!B:B&amp;'Category 31'!C:C&amp;'Category 15'!A:A,0)))</f>
        <v>0</v>
      </c>
      <c r="L387">
        <f>K387/VLOOKUP($D387,CPI!$P$16:$R$22,3,FALSE)</f>
        <v>0</v>
      </c>
      <c r="M387" s="16" cm="1">
        <f t="array" ref="M387">IF(B387=0,INDEX('Category 31'!F:F,MATCH(C387&amp;E387&amp;D387,'Category 31'!B:B&amp;'Category 31'!C:C&amp;'Category 31'!A:A,0)),INDEX('Category 31'!G:G,MATCH(C387&amp;E387&amp;D387,'Category 31'!B:B&amp;'Category 31'!C:C&amp;'Category 31'!A:A,0)))</f>
        <v>0</v>
      </c>
      <c r="N387" s="16">
        <f>M387/VLOOKUP($D387,CPI!$P$16:$R$22,3,FALSE)</f>
        <v>0</v>
      </c>
      <c r="O387">
        <f>VLOOKUP(E387,WLacrosse!C:S,6,FALSE)</f>
        <v>1669</v>
      </c>
    </row>
    <row r="388" spans="1:15" ht="16" thickBot="1" x14ac:dyDescent="0.25">
      <c r="A388" s="15">
        <v>2</v>
      </c>
      <c r="B388">
        <f t="shared" si="6"/>
        <v>1</v>
      </c>
      <c r="C388">
        <f>IF(ISBLANK(H388),"",VLOOKUP(H388,Code!B:C,2,FALSE))</f>
        <v>17</v>
      </c>
      <c r="D388">
        <v>2017</v>
      </c>
      <c r="E388">
        <v>163268</v>
      </c>
      <c r="F388" t="s">
        <v>127</v>
      </c>
      <c r="G388" t="s">
        <v>290</v>
      </c>
      <c r="H388" t="s">
        <v>5</v>
      </c>
      <c r="I388" cm="1">
        <f t="array" ref="I388">IF(B388=0,INDEX('Category 14'!F:F,MATCH(C388&amp;E388&amp;D388,'Category 14'!B:B&amp;'Category 14'!C:C&amp;'Category 14'!A:A,0)),INDEX('Category 14'!G:G,MATCH(C388&amp;E388&amp;D388,'Category 14'!B:B&amp;'Category 14'!C:C&amp;'Category 14'!A:A,0)))</f>
        <v>0</v>
      </c>
      <c r="J388">
        <f>I388/VLOOKUP($D388,CPI!$P$16:$R$22,3,FALSE)</f>
        <v>0</v>
      </c>
      <c r="K388" cm="1">
        <f t="array" ref="K388">IF(B388=0,INDEX('Category 15'!F:F,MATCH(C388&amp;E388&amp;D388,'Category 15'!B:B&amp;'Category 15'!C:C&amp;'Category 15'!A:A,0)),INDEX('Category 15'!G:G,MATCH(C388&amp;E388&amp;D388,'Category 15'!B:B&amp;'Category 31'!C:C&amp;'Category 15'!A:A,0)))</f>
        <v>0</v>
      </c>
      <c r="L388">
        <f>K388/VLOOKUP($D388,CPI!$P$16:$R$22,3,FALSE)</f>
        <v>0</v>
      </c>
      <c r="M388" s="16" cm="1">
        <f t="array" ref="M388">IF(B388=0,INDEX('Category 31'!F:F,MATCH(C388&amp;E388&amp;D388,'Category 31'!B:B&amp;'Category 31'!C:C&amp;'Category 31'!A:A,0)),INDEX('Category 31'!G:G,MATCH(C388&amp;E388&amp;D388,'Category 31'!B:B&amp;'Category 31'!C:C&amp;'Category 31'!A:A,0)))</f>
        <v>0</v>
      </c>
      <c r="N388" s="16">
        <f>M388/VLOOKUP($D388,CPI!$P$16:$R$22,3,FALSE)</f>
        <v>0</v>
      </c>
      <c r="O388">
        <f>VLOOKUP(E388,WSoccer!C:S,6,FALSE)</f>
        <v>2606</v>
      </c>
    </row>
    <row r="389" spans="1:15" ht="16" thickBot="1" x14ac:dyDescent="0.25">
      <c r="A389" s="15">
        <v>2</v>
      </c>
      <c r="B389">
        <f t="shared" si="6"/>
        <v>1</v>
      </c>
      <c r="C389">
        <f>IF(ISBLANK(H389),"",VLOOKUP(H389,Code!B:C,2,FALSE))</f>
        <v>18</v>
      </c>
      <c r="D389">
        <v>2017</v>
      </c>
      <c r="E389">
        <v>163268</v>
      </c>
      <c r="F389" t="s">
        <v>127</v>
      </c>
      <c r="G389" t="s">
        <v>290</v>
      </c>
      <c r="H389" t="s">
        <v>6</v>
      </c>
      <c r="I389" cm="1">
        <f t="array" ref="I389">IF(B389=0,INDEX('Category 14'!F:F,MATCH(C389&amp;E389&amp;D389,'Category 14'!B:B&amp;'Category 14'!C:C&amp;'Category 14'!A:A,0)),INDEX('Category 14'!G:G,MATCH(C389&amp;E389&amp;D389,'Category 14'!B:B&amp;'Category 14'!C:C&amp;'Category 14'!A:A,0)))</f>
        <v>0</v>
      </c>
      <c r="J389">
        <f>I389/VLOOKUP($D389,CPI!$P$16:$R$22,3,FALSE)</f>
        <v>0</v>
      </c>
      <c r="K389" cm="1">
        <f t="array" ref="K389">IF(B389=0,INDEX('Category 15'!F:F,MATCH(C389&amp;E389&amp;D389,'Category 15'!B:B&amp;'Category 15'!C:C&amp;'Category 15'!A:A,0)),INDEX('Category 15'!G:G,MATCH(C389&amp;E389&amp;D389,'Category 15'!B:B&amp;'Category 31'!C:C&amp;'Category 15'!A:A,0)))</f>
        <v>0</v>
      </c>
      <c r="L389">
        <f>K389/VLOOKUP($D389,CPI!$P$16:$R$22,3,FALSE)</f>
        <v>0</v>
      </c>
      <c r="M389" s="16" cm="1">
        <f t="array" ref="M389">IF(B389=0,INDEX('Category 31'!F:F,MATCH(C389&amp;E389&amp;D389,'Category 31'!B:B&amp;'Category 31'!C:C&amp;'Category 31'!A:A,0)),INDEX('Category 31'!G:G,MATCH(C389&amp;E389&amp;D389,'Category 31'!B:B&amp;'Category 31'!C:C&amp;'Category 31'!A:A,0)))</f>
        <v>0</v>
      </c>
      <c r="N389" s="16">
        <f>M389/VLOOKUP($D389,CPI!$P$16:$R$22,3,FALSE)</f>
        <v>0</v>
      </c>
      <c r="O389">
        <f>VLOOKUP(E389,WSoftball!C:S,6,FALSE)</f>
        <v>2047</v>
      </c>
    </row>
    <row r="390" spans="1:15" ht="16" thickBot="1" x14ac:dyDescent="0.25">
      <c r="A390" s="15">
        <v>2</v>
      </c>
      <c r="B390">
        <f t="shared" si="6"/>
        <v>1</v>
      </c>
      <c r="C390">
        <f>IF(ISBLANK(H390),"",VLOOKUP(H390,Code!B:C,2,FALSE))</f>
        <v>19</v>
      </c>
      <c r="D390">
        <v>2017</v>
      </c>
      <c r="E390">
        <v>163268</v>
      </c>
      <c r="F390" t="s">
        <v>127</v>
      </c>
      <c r="G390" t="s">
        <v>290</v>
      </c>
      <c r="H390" t="s">
        <v>7</v>
      </c>
      <c r="I390" cm="1">
        <f t="array" ref="I390">IF(B390=0,INDEX('Category 14'!F:F,MATCH(C390&amp;E390&amp;D390,'Category 14'!B:B&amp;'Category 14'!C:C&amp;'Category 14'!A:A,0)),INDEX('Category 14'!G:G,MATCH(C390&amp;E390&amp;D390,'Category 14'!B:B&amp;'Category 14'!C:C&amp;'Category 14'!A:A,0)))</f>
        <v>0</v>
      </c>
      <c r="J390">
        <f>I390/VLOOKUP($D390,CPI!$P$16:$R$22,3,FALSE)</f>
        <v>0</v>
      </c>
      <c r="K390" cm="1">
        <f t="array" ref="K390">IF(B390=0,INDEX('Category 15'!F:F,MATCH(C390&amp;E390&amp;D390,'Category 15'!B:B&amp;'Category 15'!C:C&amp;'Category 15'!A:A,0)),INDEX('Category 15'!G:G,MATCH(C390&amp;E390&amp;D390,'Category 15'!B:B&amp;'Category 31'!C:C&amp;'Category 15'!A:A,0)))</f>
        <v>0</v>
      </c>
      <c r="L390">
        <f>K390/VLOOKUP($D390,CPI!$P$16:$R$22,3,FALSE)</f>
        <v>0</v>
      </c>
      <c r="M390" s="16" cm="1">
        <f t="array" ref="M390">IF(B390=0,INDEX('Category 31'!F:F,MATCH(C390&amp;E390&amp;D390,'Category 31'!B:B&amp;'Category 31'!C:C&amp;'Category 31'!A:A,0)),INDEX('Category 31'!G:G,MATCH(C390&amp;E390&amp;D390,'Category 31'!B:B&amp;'Category 31'!C:C&amp;'Category 31'!A:A,0)))</f>
        <v>0</v>
      </c>
      <c r="N390" s="16">
        <f>M390/VLOOKUP($D390,CPI!$P$16:$R$22,3,FALSE)</f>
        <v>0</v>
      </c>
      <c r="O390">
        <v>0</v>
      </c>
    </row>
    <row r="391" spans="1:15" ht="16" thickBot="1" x14ac:dyDescent="0.25">
      <c r="A391" s="15">
        <v>2</v>
      </c>
      <c r="B391">
        <f t="shared" si="6"/>
        <v>1</v>
      </c>
      <c r="C391">
        <f>IF(ISBLANK(H391),"",VLOOKUP(H391,Code!B:C,2,FALSE))</f>
        <v>21</v>
      </c>
      <c r="D391">
        <v>2017</v>
      </c>
      <c r="E391">
        <v>163268</v>
      </c>
      <c r="F391" t="s">
        <v>127</v>
      </c>
      <c r="G391" t="s">
        <v>290</v>
      </c>
      <c r="H391" t="s">
        <v>36</v>
      </c>
      <c r="I391">
        <v>0</v>
      </c>
      <c r="J391">
        <f>I391/VLOOKUP($D391,CPI!$P$16:$R$22,3,FALSE)</f>
        <v>0</v>
      </c>
      <c r="K391">
        <v>0</v>
      </c>
      <c r="L391">
        <f>K391/VLOOKUP($D391,CPI!$P$16:$R$22,3,FALSE)</f>
        <v>0</v>
      </c>
      <c r="M391" s="16">
        <v>0</v>
      </c>
      <c r="N391" s="16">
        <f>M391/VLOOKUP($D391,CPI!$P$16:$R$22,3,FALSE)</f>
        <v>0</v>
      </c>
      <c r="O391">
        <v>0</v>
      </c>
    </row>
    <row r="392" spans="1:15" ht="16" thickBot="1" x14ac:dyDescent="0.25">
      <c r="A392" s="15">
        <v>2</v>
      </c>
      <c r="B392">
        <f t="shared" si="6"/>
        <v>1</v>
      </c>
      <c r="C392">
        <f>IF(ISBLANK(H392),"",VLOOKUP(H392,Code!B:C,2,FALSE))</f>
        <v>23</v>
      </c>
      <c r="D392">
        <v>2017</v>
      </c>
      <c r="E392">
        <v>163268</v>
      </c>
      <c r="F392" t="s">
        <v>127</v>
      </c>
      <c r="G392" t="s">
        <v>290</v>
      </c>
      <c r="H392" t="s">
        <v>10</v>
      </c>
      <c r="I392" cm="1">
        <f t="array" ref="I392">IF(B392=0,INDEX('Category 14'!F:F,MATCH(C392&amp;E392&amp;D392,'Category 14'!B:B&amp;'Category 14'!C:C&amp;'Category 14'!A:A,0)),INDEX('Category 14'!G:G,MATCH(C392&amp;E392&amp;D392,'Category 14'!B:B&amp;'Category 14'!C:C&amp;'Category 14'!A:A,0)))</f>
        <v>0</v>
      </c>
      <c r="J392">
        <f>I392/VLOOKUP($D392,CPI!$P$16:$R$22,3,FALSE)</f>
        <v>0</v>
      </c>
      <c r="K392" cm="1">
        <f t="array" ref="K392">IF(B392=0,INDEX('Category 15'!F:F,MATCH(C392&amp;E392&amp;D392,'Category 15'!B:B&amp;'Category 15'!C:C&amp;'Category 15'!A:A,0)),INDEX('Category 15'!G:G,MATCH(C392&amp;E392&amp;D392,'Category 15'!B:B&amp;'Category 31'!C:C&amp;'Category 15'!A:A,0)))</f>
        <v>0</v>
      </c>
      <c r="L392">
        <f>K392/VLOOKUP($D392,CPI!$P$16:$R$22,3,FALSE)</f>
        <v>0</v>
      </c>
      <c r="M392" s="16" cm="1">
        <f t="array" ref="M392">IF(B392=0,INDEX('Category 31'!F:F,MATCH(C392&amp;E392&amp;D392,'Category 31'!B:B&amp;'Category 31'!C:C&amp;'Category 31'!A:A,0)),INDEX('Category 31'!G:G,MATCH(C392&amp;E392&amp;D392,'Category 31'!B:B&amp;'Category 31'!C:C&amp;'Category 31'!A:A,0)))</f>
        <v>0</v>
      </c>
      <c r="N392" s="16">
        <f>M392/VLOOKUP($D392,CPI!$P$16:$R$22,3,FALSE)</f>
        <v>0</v>
      </c>
      <c r="O392">
        <f>VLOOKUP(E392,WVolleyball!C:S,6,FALSE)</f>
        <v>2260</v>
      </c>
    </row>
    <row r="393" spans="1:15" ht="16" thickBot="1" x14ac:dyDescent="0.25">
      <c r="A393" s="15">
        <v>2</v>
      </c>
      <c r="B393">
        <f t="shared" si="6"/>
        <v>0</v>
      </c>
      <c r="C393">
        <f>IF(ISBLANK(H393),"",VLOOKUP(H393,Code!B:C,2,FALSE))</f>
        <v>1</v>
      </c>
      <c r="D393">
        <v>2018</v>
      </c>
      <c r="E393">
        <v>163268</v>
      </c>
      <c r="F393" t="s">
        <v>127</v>
      </c>
      <c r="G393" t="s">
        <v>289</v>
      </c>
      <c r="H393" t="s">
        <v>0</v>
      </c>
      <c r="I393" cm="1">
        <f t="array" ref="I393">IF(B393=0,INDEX('Category 14'!F:F,MATCH(C393&amp;E393&amp;D393,'Category 14'!B:B&amp;'Category 14'!C:C&amp;'Category 14'!A:A,0)),INDEX('Category 14'!G:G,MATCH(C393&amp;E393&amp;D393,'Category 14'!B:B&amp;'Category 14'!C:C&amp;'Category 14'!A:A,0)))</f>
        <v>0</v>
      </c>
      <c r="J393">
        <f>I393/VLOOKUP($D393,CPI!$P$16:$R$22,3,FALSE)</f>
        <v>0</v>
      </c>
      <c r="K393" cm="1">
        <f t="array" ref="K393">IF(B393=0,INDEX('Category 15'!F:F,MATCH(C393&amp;E393&amp;D393,'Category 15'!B:B&amp;'Category 15'!C:C&amp;'Category 15'!A:A,0)),INDEX('Category 15'!G:G,MATCH(C393&amp;E393&amp;D393,'Category 15'!B:B&amp;'Category 31'!C:C&amp;'Category 15'!A:A,0)))</f>
        <v>0</v>
      </c>
      <c r="L393">
        <f>K393/VLOOKUP($D393,CPI!$P$16:$R$22,3,FALSE)</f>
        <v>0</v>
      </c>
      <c r="M393" s="16" cm="1">
        <f t="array" ref="M393">IF(B393=0,INDEX('Category 31'!F:F,MATCH(C393&amp;E393&amp;D393,'Category 31'!B:B&amp;'Category 31'!C:C&amp;'Category 31'!A:A,0)),INDEX('Category 31'!G:G,MATCH(C393&amp;E393&amp;D393,'Category 31'!B:B&amp;'Category 31'!C:C&amp;'Category 31'!A:A,0)))</f>
        <v>0</v>
      </c>
      <c r="N393" s="16">
        <f>M393/VLOOKUP($D393,CPI!$P$16:$R$22,3,FALSE)</f>
        <v>0</v>
      </c>
      <c r="O393">
        <f>VLOOKUP(E380,MBaseball!C:R,7,FALSE)</f>
        <v>2562</v>
      </c>
    </row>
    <row r="394" spans="1:15" ht="16" thickBot="1" x14ac:dyDescent="0.25">
      <c r="A394" s="15">
        <v>2</v>
      </c>
      <c r="B394">
        <f t="shared" si="6"/>
        <v>0</v>
      </c>
      <c r="C394">
        <f>IF(ISBLANK(H394),"",VLOOKUP(H394,Code!B:C,2,FALSE))</f>
        <v>2</v>
      </c>
      <c r="D394">
        <v>2018</v>
      </c>
      <c r="E394">
        <v>163268</v>
      </c>
      <c r="F394" t="s">
        <v>127</v>
      </c>
      <c r="G394" t="s">
        <v>289</v>
      </c>
      <c r="H394" t="s">
        <v>1</v>
      </c>
      <c r="I394" cm="1">
        <f t="array" ref="I394">IF(B394=0,INDEX('Category 14'!F:F,MATCH(C394&amp;E394&amp;D394,'Category 14'!B:B&amp;'Category 14'!C:C&amp;'Category 14'!A:A,0)),INDEX('Category 14'!G:G,MATCH(C394&amp;E394&amp;D394,'Category 14'!B:B&amp;'Category 14'!C:C&amp;'Category 14'!A:A,0)))</f>
        <v>0</v>
      </c>
      <c r="J394">
        <f>I394/VLOOKUP($D394,CPI!$P$16:$R$22,3,FALSE)</f>
        <v>0</v>
      </c>
      <c r="K394" cm="1">
        <f t="array" ref="K394">IF(B394=0,INDEX('Category 15'!F:F,MATCH(C394&amp;E394&amp;D394,'Category 15'!B:B&amp;'Category 15'!C:C&amp;'Category 15'!A:A,0)),INDEX('Category 15'!G:G,MATCH(C394&amp;E394&amp;D394,'Category 15'!B:B&amp;'Category 31'!C:C&amp;'Category 15'!A:A,0)))</f>
        <v>0</v>
      </c>
      <c r="L394">
        <f>K394/VLOOKUP($D394,CPI!$P$16:$R$22,3,FALSE)</f>
        <v>0</v>
      </c>
      <c r="M394" s="16" cm="1">
        <f t="array" ref="M394">IF(B394=0,INDEX('Category 31'!F:F,MATCH(C394&amp;E394&amp;D394,'Category 31'!B:B&amp;'Category 31'!C:C&amp;'Category 31'!A:A,0)),INDEX('Category 31'!G:G,MATCH(C394&amp;E394&amp;D394,'Category 31'!B:B&amp;'Category 31'!C:C&amp;'Category 31'!A:A,0)))</f>
        <v>0</v>
      </c>
      <c r="N394" s="16">
        <f>M394/VLOOKUP($D394,CPI!$P$16:$R$22,3,FALSE)</f>
        <v>0</v>
      </c>
      <c r="O394">
        <f>VLOOKUP(E394,MBasketball!C:S,7,FALSE)</f>
        <v>19645</v>
      </c>
    </row>
    <row r="395" spans="1:15" ht="16" thickBot="1" x14ac:dyDescent="0.25">
      <c r="A395" s="15">
        <v>2</v>
      </c>
      <c r="B395">
        <f t="shared" si="6"/>
        <v>0</v>
      </c>
      <c r="C395">
        <f>IF(ISBLANK(H395),"",VLOOKUP(H395,Code!B:C,2,FALSE))</f>
        <v>12</v>
      </c>
      <c r="D395">
        <v>2018</v>
      </c>
      <c r="E395">
        <v>163268</v>
      </c>
      <c r="F395" t="s">
        <v>127</v>
      </c>
      <c r="G395" t="s">
        <v>289</v>
      </c>
      <c r="H395" t="s">
        <v>27</v>
      </c>
      <c r="I395" cm="1">
        <f t="array" ref="I395">IF(B395=0,INDEX('Category 14'!F:F,MATCH(C395&amp;E395&amp;D395,'Category 14'!B:B&amp;'Category 14'!C:C&amp;'Category 14'!A:A,0)),INDEX('Category 14'!G:G,MATCH(C395&amp;E395&amp;D395,'Category 14'!B:B&amp;'Category 14'!C:C&amp;'Category 14'!A:A,0)))</f>
        <v>0</v>
      </c>
      <c r="J395">
        <f>I395/VLOOKUP($D395,CPI!$P$16:$R$22,3,FALSE)</f>
        <v>0</v>
      </c>
      <c r="K395" cm="1">
        <f t="array" ref="K395">IF(B395=0,INDEX('Category 15'!F:F,MATCH(C395&amp;E395&amp;D395,'Category 15'!B:B&amp;'Category 15'!C:C&amp;'Category 15'!A:A,0)),INDEX('Category 15'!G:G,MATCH(C395&amp;E395&amp;D395,'Category 15'!B:B&amp;'Category 31'!C:C&amp;'Category 15'!A:A,0)))</f>
        <v>0</v>
      </c>
      <c r="L395">
        <f>K395/VLOOKUP($D395,CPI!$P$16:$R$22,3,FALSE)</f>
        <v>0</v>
      </c>
      <c r="M395" s="16" cm="1">
        <f t="array" ref="M395">IF(B395=0,INDEX('Category 31'!F:F,MATCH(C395&amp;E395&amp;D395,'Category 31'!B:B&amp;'Category 31'!C:C&amp;'Category 31'!A:A,0)),INDEX('Category 31'!G:G,MATCH(C395&amp;E395&amp;D395,'Category 31'!B:B&amp;'Category 31'!C:C&amp;'Category 31'!A:A,0)))</f>
        <v>0</v>
      </c>
      <c r="N395" s="16">
        <f>M395/VLOOKUP($D395,CPI!$P$16:$R$22,3,FALSE)</f>
        <v>0</v>
      </c>
      <c r="O395">
        <f>VLOOKUP(E395,MLacrosse!C:S,7,FALSE)</f>
        <v>4136</v>
      </c>
    </row>
    <row r="396" spans="1:15" ht="16" thickBot="1" x14ac:dyDescent="0.25">
      <c r="A396" s="15">
        <v>2</v>
      </c>
      <c r="B396">
        <f t="shared" si="6"/>
        <v>0</v>
      </c>
      <c r="C396">
        <f>IF(ISBLANK(H396),"",VLOOKUP(H396,Code!B:C,2,FALSE))</f>
        <v>17</v>
      </c>
      <c r="D396">
        <v>2018</v>
      </c>
      <c r="E396">
        <v>163268</v>
      </c>
      <c r="F396" t="s">
        <v>127</v>
      </c>
      <c r="G396" t="s">
        <v>289</v>
      </c>
      <c r="H396" t="s">
        <v>5</v>
      </c>
      <c r="I396" cm="1">
        <f t="array" ref="I396">IF(B396=0,INDEX('Category 14'!F:F,MATCH(C396&amp;E396&amp;D396,'Category 14'!B:B&amp;'Category 14'!C:C&amp;'Category 14'!A:A,0)),INDEX('Category 14'!G:G,MATCH(C396&amp;E396&amp;D396,'Category 14'!B:B&amp;'Category 14'!C:C&amp;'Category 14'!A:A,0)))</f>
        <v>0</v>
      </c>
      <c r="J396">
        <f>I396/VLOOKUP($D396,CPI!$P$16:$R$22,3,FALSE)</f>
        <v>0</v>
      </c>
      <c r="K396" cm="1">
        <f t="array" ref="K396">IF(B396=0,INDEX('Category 15'!F:F,MATCH(C396&amp;E396&amp;D396,'Category 15'!B:B&amp;'Category 15'!C:C&amp;'Category 15'!A:A,0)),INDEX('Category 15'!G:G,MATCH(C396&amp;E396&amp;D396,'Category 15'!B:B&amp;'Category 31'!C:C&amp;'Category 15'!A:A,0)))</f>
        <v>0</v>
      </c>
      <c r="L396">
        <f>K396/VLOOKUP($D396,CPI!$P$16:$R$22,3,FALSE)</f>
        <v>0</v>
      </c>
      <c r="M396" s="16" cm="1">
        <f t="array" ref="M396">IF(B396=0,INDEX('Category 31'!F:F,MATCH(C396&amp;E396&amp;D396,'Category 31'!B:B&amp;'Category 31'!C:C&amp;'Category 31'!A:A,0)),INDEX('Category 31'!G:G,MATCH(C396&amp;E396&amp;D396,'Category 31'!B:B&amp;'Category 31'!C:C&amp;'Category 31'!A:A,0)))</f>
        <v>0</v>
      </c>
      <c r="N396" s="16">
        <f>M396/VLOOKUP($D396,CPI!$P$16:$R$22,3,FALSE)</f>
        <v>0</v>
      </c>
      <c r="O396">
        <f>VLOOKUP(E396,MSoccer!C:S,7,FALSE)</f>
        <v>16155</v>
      </c>
    </row>
    <row r="397" spans="1:15" ht="16" thickBot="1" x14ac:dyDescent="0.25">
      <c r="A397" s="15">
        <v>2</v>
      </c>
      <c r="B397">
        <f t="shared" si="6"/>
        <v>0</v>
      </c>
      <c r="C397">
        <f>IF(ISBLANK(H397),"",VLOOKUP(H397,Code!B:C,2,FALSE))</f>
        <v>19</v>
      </c>
      <c r="D397">
        <v>2018</v>
      </c>
      <c r="E397">
        <v>163268</v>
      </c>
      <c r="F397" t="s">
        <v>127</v>
      </c>
      <c r="G397" t="s">
        <v>289</v>
      </c>
      <c r="H397" t="s">
        <v>7</v>
      </c>
      <c r="I397" cm="1">
        <f t="array" ref="I397">IF(B397=0,INDEX('Category 14'!F:F,MATCH(C397&amp;E397&amp;D397,'Category 14'!B:B&amp;'Category 14'!C:C&amp;'Category 14'!A:A,0)),INDEX('Category 14'!G:G,MATCH(C397&amp;E397&amp;D397,'Category 14'!B:B&amp;'Category 14'!C:C&amp;'Category 14'!A:A,0)))</f>
        <v>0</v>
      </c>
      <c r="J397">
        <f>I397/VLOOKUP($D397,CPI!$P$16:$R$22,3,FALSE)</f>
        <v>0</v>
      </c>
      <c r="K397" cm="1">
        <f t="array" ref="K397">IF(B397=0,INDEX('Category 15'!F:F,MATCH(C397&amp;E397&amp;D397,'Category 15'!B:B&amp;'Category 15'!C:C&amp;'Category 15'!A:A,0)),INDEX('Category 15'!G:G,MATCH(C397&amp;E397&amp;D397,'Category 15'!B:B&amp;'Category 31'!C:C&amp;'Category 15'!A:A,0)))</f>
        <v>0</v>
      </c>
      <c r="L397">
        <f>K397/VLOOKUP($D397,CPI!$P$16:$R$22,3,FALSE)</f>
        <v>0</v>
      </c>
      <c r="M397" s="16" cm="1">
        <f t="array" ref="M397">IF(B397=0,INDEX('Category 31'!F:F,MATCH(C397&amp;E397&amp;D397,'Category 31'!B:B&amp;'Category 31'!C:C&amp;'Category 31'!A:A,0)),INDEX('Category 31'!G:G,MATCH(C397&amp;E397&amp;D397,'Category 31'!B:B&amp;'Category 31'!C:C&amp;'Category 31'!A:A,0)))</f>
        <v>0</v>
      </c>
      <c r="N397" s="16">
        <f>M397/VLOOKUP($D397,CPI!$P$16:$R$22,3,FALSE)</f>
        <v>0</v>
      </c>
      <c r="O397">
        <v>0</v>
      </c>
    </row>
    <row r="398" spans="1:15" ht="16" thickBot="1" x14ac:dyDescent="0.25">
      <c r="A398" s="15">
        <v>2</v>
      </c>
      <c r="B398">
        <f t="shared" si="6"/>
        <v>0</v>
      </c>
      <c r="C398">
        <f>IF(ISBLANK(H398),"",VLOOKUP(H398,Code!B:C,2,FALSE))</f>
        <v>21</v>
      </c>
      <c r="D398">
        <v>2018</v>
      </c>
      <c r="E398">
        <v>163268</v>
      </c>
      <c r="F398" t="s">
        <v>127</v>
      </c>
      <c r="G398" t="s">
        <v>289</v>
      </c>
      <c r="H398" t="s">
        <v>36</v>
      </c>
      <c r="I398" cm="1">
        <f t="array" ref="I398">IF(B398=0,INDEX('Category 14'!F:F,MATCH(C398&amp;E398&amp;D398,'Category 14'!B:B&amp;'Category 14'!C:C&amp;'Category 14'!A:A,0)),INDEX('Category 14'!G:G,MATCH(C398&amp;E398&amp;D398,'Category 14'!B:B&amp;'Category 14'!C:C&amp;'Category 14'!A:A,0)))</f>
        <v>0</v>
      </c>
      <c r="J398">
        <f>I398/VLOOKUP($D398,CPI!$P$16:$R$22,3,FALSE)</f>
        <v>0</v>
      </c>
      <c r="K398" cm="1">
        <f t="array" ref="K398">IF(B398=0,INDEX('Category 15'!F:F,MATCH(C398&amp;E398&amp;D398,'Category 15'!B:B&amp;'Category 15'!C:C&amp;'Category 15'!A:A,0)),INDEX('Category 15'!G:G,MATCH(C398&amp;E398&amp;D398,'Category 15'!B:B&amp;'Category 31'!C:C&amp;'Category 15'!A:A,0)))</f>
        <v>0</v>
      </c>
      <c r="L398">
        <f>K398/VLOOKUP($D398,CPI!$P$16:$R$22,3,FALSE)</f>
        <v>0</v>
      </c>
      <c r="M398" s="16" cm="1">
        <f t="array" ref="M398">IF(B398=0,INDEX('Category 31'!F:F,MATCH(C398&amp;E398&amp;D398,'Category 31'!B:B&amp;'Category 31'!C:C&amp;'Category 31'!A:A,0)),INDEX('Category 31'!G:G,MATCH(C398&amp;E398&amp;D398,'Category 31'!B:B&amp;'Category 31'!C:C&amp;'Category 31'!A:A,0)))</f>
        <v>0</v>
      </c>
      <c r="N398" s="16">
        <f>M398/VLOOKUP($D398,CPI!$P$16:$R$22,3,FALSE)</f>
        <v>0</v>
      </c>
      <c r="O398">
        <v>0</v>
      </c>
    </row>
    <row r="399" spans="1:15" ht="16" thickBot="1" x14ac:dyDescent="0.25">
      <c r="A399" s="15">
        <v>2</v>
      </c>
      <c r="B399">
        <f t="shared" si="6"/>
        <v>1</v>
      </c>
      <c r="C399">
        <f>IF(ISBLANK(H399),"",VLOOKUP(H399,Code!B:C,2,FALSE))</f>
        <v>2</v>
      </c>
      <c r="D399">
        <v>2018</v>
      </c>
      <c r="E399">
        <v>163268</v>
      </c>
      <c r="F399" t="s">
        <v>127</v>
      </c>
      <c r="G399" t="s">
        <v>290</v>
      </c>
      <c r="H399" t="s">
        <v>1</v>
      </c>
      <c r="I399" cm="1">
        <f t="array" ref="I399">IF(B399=0,INDEX('Category 14'!F:F,MATCH(C399&amp;E399&amp;D399,'Category 14'!B:B&amp;'Category 14'!C:C&amp;'Category 14'!A:A,0)),INDEX('Category 14'!G:G,MATCH(C399&amp;E399&amp;D399,'Category 14'!B:B&amp;'Category 14'!C:C&amp;'Category 14'!A:A,0)))</f>
        <v>0</v>
      </c>
      <c r="J399">
        <f>I399/VLOOKUP($D399,CPI!$P$16:$R$22,3,FALSE)</f>
        <v>0</v>
      </c>
      <c r="K399" cm="1">
        <f t="array" ref="K399">IF(B399=0,INDEX('Category 15'!F:F,MATCH(C399&amp;E399&amp;D399,'Category 15'!B:B&amp;'Category 15'!C:C&amp;'Category 15'!A:A,0)),INDEX('Category 15'!G:G,MATCH(C399&amp;E399&amp;D399,'Category 15'!B:B&amp;'Category 31'!C:C&amp;'Category 15'!A:A,0)))</f>
        <v>0</v>
      </c>
      <c r="L399">
        <f>K399/VLOOKUP($D399,CPI!$P$16:$R$22,3,FALSE)</f>
        <v>0</v>
      </c>
      <c r="M399" s="16" cm="1">
        <f t="array" ref="M399">IF(B399=0,INDEX('Category 31'!F:F,MATCH(C399&amp;E399&amp;D399,'Category 31'!B:B&amp;'Category 31'!C:C&amp;'Category 31'!A:A,0)),INDEX('Category 31'!G:G,MATCH(C399&amp;E399&amp;D399,'Category 31'!B:B&amp;'Category 31'!C:C&amp;'Category 31'!A:A,0)))</f>
        <v>0</v>
      </c>
      <c r="N399" s="16">
        <f>M399/VLOOKUP($D399,CPI!$P$16:$R$22,3,FALSE)</f>
        <v>0</v>
      </c>
      <c r="O399">
        <f>VLOOKUP(E399,WBasketball!C:S,7,FALSE)</f>
        <v>6402</v>
      </c>
    </row>
    <row r="400" spans="1:15" ht="16" thickBot="1" x14ac:dyDescent="0.25">
      <c r="A400" s="15">
        <v>2</v>
      </c>
      <c r="B400">
        <f t="shared" si="6"/>
        <v>1</v>
      </c>
      <c r="C400">
        <f>IF(ISBLANK(H400),"",VLOOKUP(H400,Code!B:C,2,FALSE))</f>
        <v>12</v>
      </c>
      <c r="D400">
        <v>2018</v>
      </c>
      <c r="E400">
        <v>163268</v>
      </c>
      <c r="F400" t="s">
        <v>127</v>
      </c>
      <c r="G400" t="s">
        <v>290</v>
      </c>
      <c r="H400" t="s">
        <v>27</v>
      </c>
      <c r="I400" cm="1">
        <f t="array" ref="I400">IF(B400=0,INDEX('Category 14'!F:F,MATCH(C400&amp;E400&amp;D400,'Category 14'!B:B&amp;'Category 14'!C:C&amp;'Category 14'!A:A,0)),INDEX('Category 14'!G:G,MATCH(C400&amp;E400&amp;D400,'Category 14'!B:B&amp;'Category 14'!C:C&amp;'Category 14'!A:A,0)))</f>
        <v>0</v>
      </c>
      <c r="J400">
        <f>I400/VLOOKUP($D400,CPI!$P$16:$R$22,3,FALSE)</f>
        <v>0</v>
      </c>
      <c r="K400" cm="1">
        <f t="array" ref="K400">IF(B400=0,INDEX('Category 15'!F:F,MATCH(C400&amp;E400&amp;D400,'Category 15'!B:B&amp;'Category 15'!C:C&amp;'Category 15'!A:A,0)),INDEX('Category 15'!G:G,MATCH(C400&amp;E400&amp;D400,'Category 15'!B:B&amp;'Category 31'!C:C&amp;'Category 15'!A:A,0)))</f>
        <v>0</v>
      </c>
      <c r="L400">
        <f>K400/VLOOKUP($D400,CPI!$P$16:$R$22,3,FALSE)</f>
        <v>0</v>
      </c>
      <c r="M400" s="16" cm="1">
        <f t="array" ref="M400">IF(B400=0,INDEX('Category 31'!F:F,MATCH(C400&amp;E400&amp;D400,'Category 31'!B:B&amp;'Category 31'!C:C&amp;'Category 31'!A:A,0)),INDEX('Category 31'!G:G,MATCH(C400&amp;E400&amp;D400,'Category 31'!B:B&amp;'Category 31'!C:C&amp;'Category 31'!A:A,0)))</f>
        <v>0</v>
      </c>
      <c r="N400" s="16">
        <f>M400/VLOOKUP($D400,CPI!$P$16:$R$22,3,FALSE)</f>
        <v>0</v>
      </c>
      <c r="O400">
        <f>VLOOKUP(E400,WLacrosse!C:S,7,FALSE)</f>
        <v>2526</v>
      </c>
    </row>
    <row r="401" spans="1:15" ht="16" thickBot="1" x14ac:dyDescent="0.25">
      <c r="A401" s="15">
        <v>2</v>
      </c>
      <c r="B401">
        <f t="shared" si="6"/>
        <v>1</v>
      </c>
      <c r="C401">
        <f>IF(ISBLANK(H401),"",VLOOKUP(H401,Code!B:C,2,FALSE))</f>
        <v>17</v>
      </c>
      <c r="D401">
        <v>2018</v>
      </c>
      <c r="E401">
        <v>163268</v>
      </c>
      <c r="F401" t="s">
        <v>127</v>
      </c>
      <c r="G401" t="s">
        <v>290</v>
      </c>
      <c r="H401" t="s">
        <v>5</v>
      </c>
      <c r="I401" cm="1">
        <f t="array" ref="I401">IF(B401=0,INDEX('Category 14'!F:F,MATCH(C401&amp;E401&amp;D401,'Category 14'!B:B&amp;'Category 14'!C:C&amp;'Category 14'!A:A,0)),INDEX('Category 14'!G:G,MATCH(C401&amp;E401&amp;D401,'Category 14'!B:B&amp;'Category 14'!C:C&amp;'Category 14'!A:A,0)))</f>
        <v>0</v>
      </c>
      <c r="J401">
        <f>I401/VLOOKUP($D401,CPI!$P$16:$R$22,3,FALSE)</f>
        <v>0</v>
      </c>
      <c r="K401" cm="1">
        <f t="array" ref="K401">IF(B401=0,INDEX('Category 15'!F:F,MATCH(C401&amp;E401&amp;D401,'Category 15'!B:B&amp;'Category 15'!C:C&amp;'Category 15'!A:A,0)),INDEX('Category 15'!G:G,MATCH(C401&amp;E401&amp;D401,'Category 15'!B:B&amp;'Category 31'!C:C&amp;'Category 15'!A:A,0)))</f>
        <v>0</v>
      </c>
      <c r="L401">
        <f>K401/VLOOKUP($D401,CPI!$P$16:$R$22,3,FALSE)</f>
        <v>0</v>
      </c>
      <c r="M401" s="16" cm="1">
        <f t="array" ref="M401">IF(B401=0,INDEX('Category 31'!F:F,MATCH(C401&amp;E401&amp;D401,'Category 31'!B:B&amp;'Category 31'!C:C&amp;'Category 31'!A:A,0)),INDEX('Category 31'!G:G,MATCH(C401&amp;E401&amp;D401,'Category 31'!B:B&amp;'Category 31'!C:C&amp;'Category 31'!A:A,0)))</f>
        <v>0</v>
      </c>
      <c r="N401" s="16">
        <f>M401/VLOOKUP($D401,CPI!$P$16:$R$22,3,FALSE)</f>
        <v>0</v>
      </c>
      <c r="O401">
        <f>VLOOKUP(E401,WSoccer!C:S,7,FALSE)</f>
        <v>1919</v>
      </c>
    </row>
    <row r="402" spans="1:15" ht="16" thickBot="1" x14ac:dyDescent="0.25">
      <c r="A402" s="15">
        <v>2</v>
      </c>
      <c r="B402">
        <f t="shared" si="6"/>
        <v>1</v>
      </c>
      <c r="C402">
        <f>IF(ISBLANK(H402),"",VLOOKUP(H402,Code!B:C,2,FALSE))</f>
        <v>18</v>
      </c>
      <c r="D402">
        <v>2018</v>
      </c>
      <c r="E402">
        <v>163268</v>
      </c>
      <c r="F402" t="s">
        <v>127</v>
      </c>
      <c r="G402" t="s">
        <v>290</v>
      </c>
      <c r="H402" t="s">
        <v>6</v>
      </c>
      <c r="I402" cm="1">
        <f t="array" ref="I402">IF(B402=0,INDEX('Category 14'!F:F,MATCH(C402&amp;E402&amp;D402,'Category 14'!B:B&amp;'Category 14'!C:C&amp;'Category 14'!A:A,0)),INDEX('Category 14'!G:G,MATCH(C402&amp;E402&amp;D402,'Category 14'!B:B&amp;'Category 14'!C:C&amp;'Category 14'!A:A,0)))</f>
        <v>0</v>
      </c>
      <c r="J402">
        <f>I402/VLOOKUP($D402,CPI!$P$16:$R$22,3,FALSE)</f>
        <v>0</v>
      </c>
      <c r="K402" cm="1">
        <f t="array" ref="K402">IF(B402=0,INDEX('Category 15'!F:F,MATCH(C402&amp;E402&amp;D402,'Category 15'!B:B&amp;'Category 15'!C:C&amp;'Category 15'!A:A,0)),INDEX('Category 15'!G:G,MATCH(C402&amp;E402&amp;D402,'Category 15'!B:B&amp;'Category 31'!C:C&amp;'Category 15'!A:A,0)))</f>
        <v>0</v>
      </c>
      <c r="L402">
        <f>K402/VLOOKUP($D402,CPI!$P$16:$R$22,3,FALSE)</f>
        <v>0</v>
      </c>
      <c r="M402" s="16" cm="1">
        <f t="array" ref="M402">IF(B402=0,INDEX('Category 31'!F:F,MATCH(C402&amp;E402&amp;D402,'Category 31'!B:B&amp;'Category 31'!C:C&amp;'Category 31'!A:A,0)),INDEX('Category 31'!G:G,MATCH(C402&amp;E402&amp;D402,'Category 31'!B:B&amp;'Category 31'!C:C&amp;'Category 31'!A:A,0)))</f>
        <v>0</v>
      </c>
      <c r="N402" s="16">
        <f>M402/VLOOKUP($D402,CPI!$P$16:$R$22,3,FALSE)</f>
        <v>0</v>
      </c>
      <c r="O402">
        <f>VLOOKUP(E402,WSoftball!C:S,7,FALSE)</f>
        <v>1277</v>
      </c>
    </row>
    <row r="403" spans="1:15" ht="16" thickBot="1" x14ac:dyDescent="0.25">
      <c r="A403" s="15">
        <v>2</v>
      </c>
      <c r="B403">
        <f t="shared" si="6"/>
        <v>1</v>
      </c>
      <c r="C403">
        <f>IF(ISBLANK(H403),"",VLOOKUP(H403,Code!B:C,2,FALSE))</f>
        <v>19</v>
      </c>
      <c r="D403">
        <v>2018</v>
      </c>
      <c r="E403">
        <v>163268</v>
      </c>
      <c r="F403" t="s">
        <v>127</v>
      </c>
      <c r="G403" t="s">
        <v>290</v>
      </c>
      <c r="H403" t="s">
        <v>7</v>
      </c>
      <c r="I403" cm="1">
        <f t="array" ref="I403">IF(B403=0,INDEX('Category 14'!F:F,MATCH(C403&amp;E403&amp;D403,'Category 14'!B:B&amp;'Category 14'!C:C&amp;'Category 14'!A:A,0)),INDEX('Category 14'!G:G,MATCH(C403&amp;E403&amp;D403,'Category 14'!B:B&amp;'Category 14'!C:C&amp;'Category 14'!A:A,0)))</f>
        <v>0</v>
      </c>
      <c r="J403">
        <f>I403/VLOOKUP($D403,CPI!$P$16:$R$22,3,FALSE)</f>
        <v>0</v>
      </c>
      <c r="K403" cm="1">
        <f t="array" ref="K403">IF(B403=0,INDEX('Category 15'!F:F,MATCH(C403&amp;E403&amp;D403,'Category 15'!B:B&amp;'Category 15'!C:C&amp;'Category 15'!A:A,0)),INDEX('Category 15'!G:G,MATCH(C403&amp;E403&amp;D403,'Category 15'!B:B&amp;'Category 31'!C:C&amp;'Category 15'!A:A,0)))</f>
        <v>0</v>
      </c>
      <c r="L403">
        <f>K403/VLOOKUP($D403,CPI!$P$16:$R$22,3,FALSE)</f>
        <v>0</v>
      </c>
      <c r="M403" s="16" cm="1">
        <f t="array" ref="M403">IF(B403=0,INDEX('Category 31'!F:F,MATCH(C403&amp;E403&amp;D403,'Category 31'!B:B&amp;'Category 31'!C:C&amp;'Category 31'!A:A,0)),INDEX('Category 31'!G:G,MATCH(C403&amp;E403&amp;D403,'Category 31'!B:B&amp;'Category 31'!C:C&amp;'Category 31'!A:A,0)))</f>
        <v>0</v>
      </c>
      <c r="N403" s="16">
        <f>M403/VLOOKUP($D403,CPI!$P$16:$R$22,3,FALSE)</f>
        <v>0</v>
      </c>
      <c r="O403">
        <v>0</v>
      </c>
    </row>
    <row r="404" spans="1:15" ht="16" thickBot="1" x14ac:dyDescent="0.25">
      <c r="A404" s="15">
        <v>2</v>
      </c>
      <c r="B404">
        <f t="shared" si="6"/>
        <v>1</v>
      </c>
      <c r="C404">
        <f>IF(ISBLANK(H404),"",VLOOKUP(H404,Code!B:C,2,FALSE))</f>
        <v>21</v>
      </c>
      <c r="D404">
        <v>2018</v>
      </c>
      <c r="E404">
        <v>163268</v>
      </c>
      <c r="F404" t="s">
        <v>127</v>
      </c>
      <c r="G404" t="s">
        <v>290</v>
      </c>
      <c r="H404" t="s">
        <v>36</v>
      </c>
      <c r="I404" cm="1">
        <f t="array" ref="I404">IF(B404=0,INDEX('Category 14'!F:F,MATCH(C404&amp;E404&amp;D404,'Category 14'!B:B&amp;'Category 14'!C:C&amp;'Category 14'!A:A,0)),INDEX('Category 14'!G:G,MATCH(C404&amp;E404&amp;D404,'Category 14'!B:B&amp;'Category 14'!C:C&amp;'Category 14'!A:A,0)))</f>
        <v>0</v>
      </c>
      <c r="J404">
        <f>I404/VLOOKUP($D404,CPI!$P$16:$R$22,3,FALSE)</f>
        <v>0</v>
      </c>
      <c r="K404" cm="1">
        <f t="array" ref="K404">IF(B404=0,INDEX('Category 15'!F:F,MATCH(C404&amp;E404&amp;D404,'Category 15'!B:B&amp;'Category 15'!C:C&amp;'Category 15'!A:A,0)),INDEX('Category 15'!G:G,MATCH(C404&amp;E404&amp;D404,'Category 15'!B:B&amp;'Category 31'!C:C&amp;'Category 15'!A:A,0)))</f>
        <v>0</v>
      </c>
      <c r="L404">
        <f>K404/VLOOKUP($D404,CPI!$P$16:$R$22,3,FALSE)</f>
        <v>0</v>
      </c>
      <c r="M404" s="16" cm="1">
        <f t="array" ref="M404">IF(B404=0,INDEX('Category 31'!F:F,MATCH(C404&amp;E404&amp;D404,'Category 31'!B:B&amp;'Category 31'!C:C&amp;'Category 31'!A:A,0)),INDEX('Category 31'!G:G,MATCH(C404&amp;E404&amp;D404,'Category 31'!B:B&amp;'Category 31'!C:C&amp;'Category 31'!A:A,0)))</f>
        <v>0</v>
      </c>
      <c r="N404" s="16">
        <f>M404/VLOOKUP($D404,CPI!$P$16:$R$22,3,FALSE)</f>
        <v>0</v>
      </c>
      <c r="O404">
        <v>0</v>
      </c>
    </row>
    <row r="405" spans="1:15" ht="16" thickBot="1" x14ac:dyDescent="0.25">
      <c r="A405" s="15">
        <v>2</v>
      </c>
      <c r="B405">
        <f t="shared" si="6"/>
        <v>1</v>
      </c>
      <c r="C405">
        <f>IF(ISBLANK(H405),"",VLOOKUP(H405,Code!B:C,2,FALSE))</f>
        <v>23</v>
      </c>
      <c r="D405">
        <v>2018</v>
      </c>
      <c r="E405">
        <v>163268</v>
      </c>
      <c r="F405" t="s">
        <v>127</v>
      </c>
      <c r="G405" t="s">
        <v>290</v>
      </c>
      <c r="H405" t="s">
        <v>10</v>
      </c>
      <c r="I405" cm="1">
        <f t="array" ref="I405">IF(B405=0,INDEX('Category 14'!F:F,MATCH(C405&amp;E405&amp;D405,'Category 14'!B:B&amp;'Category 14'!C:C&amp;'Category 14'!A:A,0)),INDEX('Category 14'!G:G,MATCH(C405&amp;E405&amp;D405,'Category 14'!B:B&amp;'Category 14'!C:C&amp;'Category 14'!A:A,0)))</f>
        <v>0</v>
      </c>
      <c r="J405">
        <f>I405/VLOOKUP($D405,CPI!$P$16:$R$22,3,FALSE)</f>
        <v>0</v>
      </c>
      <c r="K405" cm="1">
        <f t="array" ref="K405">IF(B405=0,INDEX('Category 15'!F:F,MATCH(C405&amp;E405&amp;D405,'Category 15'!B:B&amp;'Category 15'!C:C&amp;'Category 15'!A:A,0)),INDEX('Category 15'!G:G,MATCH(C405&amp;E405&amp;D405,'Category 15'!B:B&amp;'Category 31'!C:C&amp;'Category 15'!A:A,0)))</f>
        <v>0</v>
      </c>
      <c r="L405">
        <f>K405/VLOOKUP($D405,CPI!$P$16:$R$22,3,FALSE)</f>
        <v>0</v>
      </c>
      <c r="M405" s="16" cm="1">
        <f t="array" ref="M405">IF(B405=0,INDEX('Category 31'!F:F,MATCH(C405&amp;E405&amp;D405,'Category 31'!B:B&amp;'Category 31'!C:C&amp;'Category 31'!A:A,0)),INDEX('Category 31'!G:G,MATCH(C405&amp;E405&amp;D405,'Category 31'!B:B&amp;'Category 31'!C:C&amp;'Category 31'!A:A,0)))</f>
        <v>0</v>
      </c>
      <c r="N405" s="16">
        <f>M405/VLOOKUP($D405,CPI!$P$16:$R$22,3,FALSE)</f>
        <v>0</v>
      </c>
      <c r="O405">
        <f>VLOOKUP(E405,WVolleyball!C:S,7,FALSE)</f>
        <v>1327</v>
      </c>
    </row>
    <row r="406" spans="1:15" ht="16" thickBot="1" x14ac:dyDescent="0.25">
      <c r="A406" s="15">
        <v>2</v>
      </c>
      <c r="B406">
        <f t="shared" si="6"/>
        <v>0</v>
      </c>
      <c r="C406">
        <f>IF(ISBLANK(H406),"",VLOOKUP(H406,Code!B:C,2,FALSE))</f>
        <v>1</v>
      </c>
      <c r="D406">
        <v>2019</v>
      </c>
      <c r="E406">
        <v>163268</v>
      </c>
      <c r="F406" t="s">
        <v>127</v>
      </c>
      <c r="G406" t="s">
        <v>289</v>
      </c>
      <c r="H406" t="s">
        <v>0</v>
      </c>
      <c r="I406" cm="1">
        <f t="array" ref="I406">IF(B406=0,INDEX('Category 14'!F:F,MATCH(C406&amp;E406&amp;D406,'Category 14'!B:B&amp;'Category 14'!C:C&amp;'Category 14'!A:A,0)),INDEX('Category 14'!G:G,MATCH(C406&amp;E406&amp;D406,'Category 14'!B:B&amp;'Category 14'!C:C&amp;'Category 14'!A:A,0)))</f>
        <v>0</v>
      </c>
      <c r="J406">
        <f>I406/VLOOKUP($D406,CPI!$P$16:$R$22,3,FALSE)</f>
        <v>0</v>
      </c>
      <c r="K406" cm="1">
        <f t="array" ref="K406">IF(B406=0,INDEX('Category 15'!F:F,MATCH(C406&amp;E406&amp;D406,'Category 15'!B:B&amp;'Category 15'!C:C&amp;'Category 15'!A:A,0)),INDEX('Category 15'!G:G,MATCH(C406&amp;E406&amp;D406,'Category 15'!B:B&amp;'Category 31'!C:C&amp;'Category 15'!A:A,0)))</f>
        <v>0</v>
      </c>
      <c r="L406">
        <f>K406/VLOOKUP($D406,CPI!$P$16:$R$22,3,FALSE)</f>
        <v>0</v>
      </c>
      <c r="M406" s="16" cm="1">
        <f t="array" ref="M406">IF(B406=0,INDEX('Category 31'!F:F,MATCH(C406&amp;E406&amp;D406,'Category 31'!B:B&amp;'Category 31'!C:C&amp;'Category 31'!A:A,0)),INDEX('Category 31'!G:G,MATCH(C406&amp;E406&amp;D406,'Category 31'!B:B&amp;'Category 31'!C:C&amp;'Category 31'!A:A,0)))</f>
        <v>0</v>
      </c>
      <c r="N406" s="16">
        <f>M406/VLOOKUP($D406,CPI!$P$16:$R$22,3,FALSE)</f>
        <v>0</v>
      </c>
      <c r="O406">
        <f>VLOOKUP(E380,MBaseball!C:R,8,FALSE)</f>
        <v>3714</v>
      </c>
    </row>
    <row r="407" spans="1:15" ht="16" thickBot="1" x14ac:dyDescent="0.25">
      <c r="A407" s="15">
        <v>2</v>
      </c>
      <c r="B407">
        <f t="shared" si="6"/>
        <v>0</v>
      </c>
      <c r="C407">
        <f>IF(ISBLANK(H407),"",VLOOKUP(H407,Code!B:C,2,FALSE))</f>
        <v>2</v>
      </c>
      <c r="D407">
        <v>2019</v>
      </c>
      <c r="E407">
        <v>163268</v>
      </c>
      <c r="F407" t="s">
        <v>127</v>
      </c>
      <c r="G407" t="s">
        <v>289</v>
      </c>
      <c r="H407" t="s">
        <v>1</v>
      </c>
      <c r="I407" cm="1">
        <f t="array" ref="I407">IF(B407=0,INDEX('Category 14'!F:F,MATCH(C407&amp;E407&amp;D407,'Category 14'!B:B&amp;'Category 14'!C:C&amp;'Category 14'!A:A,0)),INDEX('Category 14'!G:G,MATCH(C407&amp;E407&amp;D407,'Category 14'!B:B&amp;'Category 14'!C:C&amp;'Category 14'!A:A,0)))</f>
        <v>0</v>
      </c>
      <c r="J407">
        <f>I407/VLOOKUP($D407,CPI!$P$16:$R$22,3,FALSE)</f>
        <v>0</v>
      </c>
      <c r="K407" cm="1">
        <f t="array" ref="K407">IF(B407=0,INDEX('Category 15'!F:F,MATCH(C407&amp;E407&amp;D407,'Category 15'!B:B&amp;'Category 15'!C:C&amp;'Category 15'!A:A,0)),INDEX('Category 15'!G:G,MATCH(C407&amp;E407&amp;D407,'Category 15'!B:B&amp;'Category 31'!C:C&amp;'Category 15'!A:A,0)))</f>
        <v>0</v>
      </c>
      <c r="L407">
        <f>K407/VLOOKUP($D407,CPI!$P$16:$R$22,3,FALSE)</f>
        <v>0</v>
      </c>
      <c r="M407" s="16" cm="1">
        <f t="array" ref="M407">IF(B407=0,INDEX('Category 31'!F:F,MATCH(C407&amp;E407&amp;D407,'Category 31'!B:B&amp;'Category 31'!C:C&amp;'Category 31'!A:A,0)),INDEX('Category 31'!G:G,MATCH(C407&amp;E407&amp;D407,'Category 31'!B:B&amp;'Category 31'!C:C&amp;'Category 31'!A:A,0)))</f>
        <v>0</v>
      </c>
      <c r="N407" s="16">
        <f>M407/VLOOKUP($D407,CPI!$P$16:$R$22,3,FALSE)</f>
        <v>0</v>
      </c>
      <c r="O407">
        <f>VLOOKUP(E407,MBasketball!C:S,8,FALSE)</f>
        <v>29809</v>
      </c>
    </row>
    <row r="408" spans="1:15" ht="16" thickBot="1" x14ac:dyDescent="0.25">
      <c r="A408" s="15">
        <v>2</v>
      </c>
      <c r="B408">
        <f t="shared" si="6"/>
        <v>0</v>
      </c>
      <c r="C408">
        <f>IF(ISBLANK(H408),"",VLOOKUP(H408,Code!B:C,2,FALSE))</f>
        <v>12</v>
      </c>
      <c r="D408">
        <v>2019</v>
      </c>
      <c r="E408">
        <v>163268</v>
      </c>
      <c r="F408" t="s">
        <v>127</v>
      </c>
      <c r="G408" t="s">
        <v>289</v>
      </c>
      <c r="H408" t="s">
        <v>27</v>
      </c>
      <c r="I408" cm="1">
        <f t="array" ref="I408">IF(B408=0,INDEX('Category 14'!F:F,MATCH(C408&amp;E408&amp;D408,'Category 14'!B:B&amp;'Category 14'!C:C&amp;'Category 14'!A:A,0)),INDEX('Category 14'!G:G,MATCH(C408&amp;E408&amp;D408,'Category 14'!B:B&amp;'Category 14'!C:C&amp;'Category 14'!A:A,0)))</f>
        <v>0</v>
      </c>
      <c r="J408">
        <f>I408/VLOOKUP($D408,CPI!$P$16:$R$22,3,FALSE)</f>
        <v>0</v>
      </c>
      <c r="K408" cm="1">
        <f t="array" ref="K408">IF(B408=0,INDEX('Category 15'!F:F,MATCH(C408&amp;E408&amp;D408,'Category 15'!B:B&amp;'Category 15'!C:C&amp;'Category 15'!A:A,0)),INDEX('Category 15'!G:G,MATCH(C408&amp;E408&amp;D408,'Category 15'!B:B&amp;'Category 31'!C:C&amp;'Category 15'!A:A,0)))</f>
        <v>0</v>
      </c>
      <c r="L408">
        <f>K408/VLOOKUP($D408,CPI!$P$16:$R$22,3,FALSE)</f>
        <v>0</v>
      </c>
      <c r="M408" s="16" cm="1">
        <f t="array" ref="M408">IF(B408=0,INDEX('Category 31'!F:F,MATCH(C408&amp;E408&amp;D408,'Category 31'!B:B&amp;'Category 31'!C:C&amp;'Category 31'!A:A,0)),INDEX('Category 31'!G:G,MATCH(C408&amp;E408&amp;D408,'Category 31'!B:B&amp;'Category 31'!C:C&amp;'Category 31'!A:A,0)))</f>
        <v>0</v>
      </c>
      <c r="N408" s="16">
        <f>M408/VLOOKUP($D408,CPI!$P$16:$R$22,3,FALSE)</f>
        <v>0</v>
      </c>
      <c r="O408">
        <f>VLOOKUP(E408,MLacrosse!C:S,8,FALSE)</f>
        <v>4848</v>
      </c>
    </row>
    <row r="409" spans="1:15" ht="16" thickBot="1" x14ac:dyDescent="0.25">
      <c r="A409" s="15">
        <v>2</v>
      </c>
      <c r="B409">
        <f t="shared" si="6"/>
        <v>0</v>
      </c>
      <c r="C409">
        <f>IF(ISBLANK(H409),"",VLOOKUP(H409,Code!B:C,2,FALSE))</f>
        <v>17</v>
      </c>
      <c r="D409">
        <v>2019</v>
      </c>
      <c r="E409">
        <v>163268</v>
      </c>
      <c r="F409" t="s">
        <v>127</v>
      </c>
      <c r="G409" t="s">
        <v>289</v>
      </c>
      <c r="H409" t="s">
        <v>5</v>
      </c>
      <c r="I409" cm="1">
        <f t="array" ref="I409">IF(B409=0,INDEX('Category 14'!F:F,MATCH(C409&amp;E409&amp;D409,'Category 14'!B:B&amp;'Category 14'!C:C&amp;'Category 14'!A:A,0)),INDEX('Category 14'!G:G,MATCH(C409&amp;E409&amp;D409,'Category 14'!B:B&amp;'Category 14'!C:C&amp;'Category 14'!A:A,0)))</f>
        <v>0</v>
      </c>
      <c r="J409">
        <f>I409/VLOOKUP($D409,CPI!$P$16:$R$22,3,FALSE)</f>
        <v>0</v>
      </c>
      <c r="K409" cm="1">
        <f t="array" ref="K409">IF(B409=0,INDEX('Category 15'!F:F,MATCH(C409&amp;E409&amp;D409,'Category 15'!B:B&amp;'Category 15'!C:C&amp;'Category 15'!A:A,0)),INDEX('Category 15'!G:G,MATCH(C409&amp;E409&amp;D409,'Category 15'!B:B&amp;'Category 31'!C:C&amp;'Category 15'!A:A,0)))</f>
        <v>0</v>
      </c>
      <c r="L409">
        <f>K409/VLOOKUP($D409,CPI!$P$16:$R$22,3,FALSE)</f>
        <v>0</v>
      </c>
      <c r="M409" s="16" cm="1">
        <f t="array" ref="M409">IF(B409=0,INDEX('Category 31'!F:F,MATCH(C409&amp;E409&amp;D409,'Category 31'!B:B&amp;'Category 31'!C:C&amp;'Category 31'!A:A,0)),INDEX('Category 31'!G:G,MATCH(C409&amp;E409&amp;D409,'Category 31'!B:B&amp;'Category 31'!C:C&amp;'Category 31'!A:A,0)))</f>
        <v>0</v>
      </c>
      <c r="N409" s="16">
        <f>M409/VLOOKUP($D409,CPI!$P$16:$R$22,3,FALSE)</f>
        <v>0</v>
      </c>
      <c r="O409">
        <f>VLOOKUP(E409,MSoccer!C:S,8,FALSE)</f>
        <v>14806</v>
      </c>
    </row>
    <row r="410" spans="1:15" ht="16" thickBot="1" x14ac:dyDescent="0.25">
      <c r="A410" s="15">
        <v>2</v>
      </c>
      <c r="B410">
        <f t="shared" si="6"/>
        <v>0</v>
      </c>
      <c r="C410">
        <f>IF(ISBLANK(H410),"",VLOOKUP(H410,Code!B:C,2,FALSE))</f>
        <v>19</v>
      </c>
      <c r="D410">
        <v>2019</v>
      </c>
      <c r="E410">
        <v>163268</v>
      </c>
      <c r="F410" t="s">
        <v>127</v>
      </c>
      <c r="G410" t="s">
        <v>289</v>
      </c>
      <c r="H410" t="s">
        <v>7</v>
      </c>
      <c r="I410" cm="1">
        <f t="array" ref="I410">IF(B410=0,INDEX('Category 14'!F:F,MATCH(C410&amp;E410&amp;D410,'Category 14'!B:B&amp;'Category 14'!C:C&amp;'Category 14'!A:A,0)),INDEX('Category 14'!G:G,MATCH(C410&amp;E410&amp;D410,'Category 14'!B:B&amp;'Category 14'!C:C&amp;'Category 14'!A:A,0)))</f>
        <v>0</v>
      </c>
      <c r="J410">
        <f>I410/VLOOKUP($D410,CPI!$P$16:$R$22,3,FALSE)</f>
        <v>0</v>
      </c>
      <c r="K410" cm="1">
        <f t="array" ref="K410">IF(B410=0,INDEX('Category 15'!F:F,MATCH(C410&amp;E410&amp;D410,'Category 15'!B:B&amp;'Category 15'!C:C&amp;'Category 15'!A:A,0)),INDEX('Category 15'!G:G,MATCH(C410&amp;E410&amp;D410,'Category 15'!B:B&amp;'Category 31'!C:C&amp;'Category 15'!A:A,0)))</f>
        <v>0</v>
      </c>
      <c r="L410">
        <f>K410/VLOOKUP($D410,CPI!$P$16:$R$22,3,FALSE)</f>
        <v>0</v>
      </c>
      <c r="M410" s="16" cm="1">
        <f t="array" ref="M410">IF(B410=0,INDEX('Category 31'!F:F,MATCH(C410&amp;E410&amp;D410,'Category 31'!B:B&amp;'Category 31'!C:C&amp;'Category 31'!A:A,0)),INDEX('Category 31'!G:G,MATCH(C410&amp;E410&amp;D410,'Category 31'!B:B&amp;'Category 31'!C:C&amp;'Category 31'!A:A,0)))</f>
        <v>0</v>
      </c>
      <c r="N410" s="16">
        <f>M410/VLOOKUP($D410,CPI!$P$16:$R$22,3,FALSE)</f>
        <v>0</v>
      </c>
      <c r="O410">
        <v>0</v>
      </c>
    </row>
    <row r="411" spans="1:15" ht="16" thickBot="1" x14ac:dyDescent="0.25">
      <c r="A411" s="15">
        <v>2</v>
      </c>
      <c r="B411">
        <f t="shared" si="6"/>
        <v>0</v>
      </c>
      <c r="C411">
        <f>IF(ISBLANK(H411),"",VLOOKUP(H411,Code!B:C,2,FALSE))</f>
        <v>21</v>
      </c>
      <c r="D411">
        <v>2019</v>
      </c>
      <c r="E411">
        <v>163268</v>
      </c>
      <c r="F411" t="s">
        <v>127</v>
      </c>
      <c r="G411" t="s">
        <v>289</v>
      </c>
      <c r="H411" t="s">
        <v>36</v>
      </c>
      <c r="I411" cm="1">
        <f t="array" ref="I411">IF(B411=0,INDEX('Category 14'!F:F,MATCH(C411&amp;E411&amp;D411,'Category 14'!B:B&amp;'Category 14'!C:C&amp;'Category 14'!A:A,0)),INDEX('Category 14'!G:G,MATCH(C411&amp;E411&amp;D411,'Category 14'!B:B&amp;'Category 14'!C:C&amp;'Category 14'!A:A,0)))</f>
        <v>0</v>
      </c>
      <c r="J411">
        <f>I411/VLOOKUP($D411,CPI!$P$16:$R$22,3,FALSE)</f>
        <v>0</v>
      </c>
      <c r="K411" cm="1">
        <f t="array" ref="K411">IF(B411=0,INDEX('Category 15'!F:F,MATCH(C411&amp;E411&amp;D411,'Category 15'!B:B&amp;'Category 15'!C:C&amp;'Category 15'!A:A,0)),INDEX('Category 15'!G:G,MATCH(C411&amp;E411&amp;D411,'Category 15'!B:B&amp;'Category 31'!C:C&amp;'Category 15'!A:A,0)))</f>
        <v>0</v>
      </c>
      <c r="L411">
        <f>K411/VLOOKUP($D411,CPI!$P$16:$R$22,3,FALSE)</f>
        <v>0</v>
      </c>
      <c r="M411" s="16" cm="1">
        <f t="array" ref="M411">IF(B411=0,INDEX('Category 31'!F:F,MATCH(C411&amp;E411&amp;D411,'Category 31'!B:B&amp;'Category 31'!C:C&amp;'Category 31'!A:A,0)),INDEX('Category 31'!G:G,MATCH(C411&amp;E411&amp;D411,'Category 31'!B:B&amp;'Category 31'!C:C&amp;'Category 31'!A:A,0)))</f>
        <v>0</v>
      </c>
      <c r="N411" s="16">
        <f>M411/VLOOKUP($D411,CPI!$P$16:$R$22,3,FALSE)</f>
        <v>0</v>
      </c>
      <c r="O411">
        <v>0</v>
      </c>
    </row>
    <row r="412" spans="1:15" ht="16" thickBot="1" x14ac:dyDescent="0.25">
      <c r="A412" s="15">
        <v>2</v>
      </c>
      <c r="B412">
        <f t="shared" si="6"/>
        <v>1</v>
      </c>
      <c r="C412">
        <f>IF(ISBLANK(H412),"",VLOOKUP(H412,Code!B:C,2,FALSE))</f>
        <v>2</v>
      </c>
      <c r="D412">
        <v>2019</v>
      </c>
      <c r="E412">
        <v>163268</v>
      </c>
      <c r="F412" t="s">
        <v>127</v>
      </c>
      <c r="G412" t="s">
        <v>290</v>
      </c>
      <c r="H412" t="s">
        <v>1</v>
      </c>
      <c r="I412" cm="1">
        <f t="array" ref="I412">IF(B412=0,INDEX('Category 14'!F:F,MATCH(C412&amp;E412&amp;D412,'Category 14'!B:B&amp;'Category 14'!C:C&amp;'Category 14'!A:A,0)),INDEX('Category 14'!G:G,MATCH(C412&amp;E412&amp;D412,'Category 14'!B:B&amp;'Category 14'!C:C&amp;'Category 14'!A:A,0)))</f>
        <v>0</v>
      </c>
      <c r="J412">
        <f>I412/VLOOKUP($D412,CPI!$P$16:$R$22,3,FALSE)</f>
        <v>0</v>
      </c>
      <c r="K412" cm="1">
        <f t="array" ref="K412">IF(B412=0,INDEX('Category 15'!F:F,MATCH(C412&amp;E412&amp;D412,'Category 15'!B:B&amp;'Category 15'!C:C&amp;'Category 15'!A:A,0)),INDEX('Category 15'!G:G,MATCH(C412&amp;E412&amp;D412,'Category 15'!B:B&amp;'Category 31'!C:C&amp;'Category 15'!A:A,0)))</f>
        <v>0</v>
      </c>
      <c r="L412">
        <f>K412/VLOOKUP($D412,CPI!$P$16:$R$22,3,FALSE)</f>
        <v>0</v>
      </c>
      <c r="M412" s="16" cm="1">
        <f t="array" ref="M412">IF(B412=0,INDEX('Category 31'!F:F,MATCH(C412&amp;E412&amp;D412,'Category 31'!B:B&amp;'Category 31'!C:C&amp;'Category 31'!A:A,0)),INDEX('Category 31'!G:G,MATCH(C412&amp;E412&amp;D412,'Category 31'!B:B&amp;'Category 31'!C:C&amp;'Category 31'!A:A,0)))</f>
        <v>0</v>
      </c>
      <c r="N412" s="16">
        <f>M412/VLOOKUP($D412,CPI!$P$16:$R$22,3,FALSE)</f>
        <v>0</v>
      </c>
      <c r="O412">
        <f>VLOOKUP(E412,WBasketball!C:S,8,FALSE)</f>
        <v>8465</v>
      </c>
    </row>
    <row r="413" spans="1:15" ht="16" thickBot="1" x14ac:dyDescent="0.25">
      <c r="A413" s="15">
        <v>2</v>
      </c>
      <c r="B413">
        <f t="shared" si="6"/>
        <v>1</v>
      </c>
      <c r="C413">
        <f>IF(ISBLANK(H413),"",VLOOKUP(H413,Code!B:C,2,FALSE))</f>
        <v>12</v>
      </c>
      <c r="D413">
        <v>2019</v>
      </c>
      <c r="E413">
        <v>163268</v>
      </c>
      <c r="F413" t="s">
        <v>127</v>
      </c>
      <c r="G413" t="s">
        <v>290</v>
      </c>
      <c r="H413" t="s">
        <v>27</v>
      </c>
      <c r="I413" cm="1">
        <f t="array" ref="I413">IF(B413=0,INDEX('Category 14'!F:F,MATCH(C413&amp;E413&amp;D413,'Category 14'!B:B&amp;'Category 14'!C:C&amp;'Category 14'!A:A,0)),INDEX('Category 14'!G:G,MATCH(C413&amp;E413&amp;D413,'Category 14'!B:B&amp;'Category 14'!C:C&amp;'Category 14'!A:A,0)))</f>
        <v>0</v>
      </c>
      <c r="J413">
        <f>I413/VLOOKUP($D413,CPI!$P$16:$R$22,3,FALSE)</f>
        <v>0</v>
      </c>
      <c r="K413" cm="1">
        <f t="array" ref="K413">IF(B413=0,INDEX('Category 15'!F:F,MATCH(C413&amp;E413&amp;D413,'Category 15'!B:B&amp;'Category 15'!C:C&amp;'Category 15'!A:A,0)),INDEX('Category 15'!G:G,MATCH(C413&amp;E413&amp;D413,'Category 15'!B:B&amp;'Category 31'!C:C&amp;'Category 15'!A:A,0)))</f>
        <v>0</v>
      </c>
      <c r="L413">
        <f>K413/VLOOKUP($D413,CPI!$P$16:$R$22,3,FALSE)</f>
        <v>0</v>
      </c>
      <c r="M413" s="16" cm="1">
        <f t="array" ref="M413">IF(B413=0,INDEX('Category 31'!F:F,MATCH(C413&amp;E413&amp;D413,'Category 31'!B:B&amp;'Category 31'!C:C&amp;'Category 31'!A:A,0)),INDEX('Category 31'!G:G,MATCH(C413&amp;E413&amp;D413,'Category 31'!B:B&amp;'Category 31'!C:C&amp;'Category 31'!A:A,0)))</f>
        <v>0</v>
      </c>
      <c r="N413" s="16">
        <f>M413/VLOOKUP($D413,CPI!$P$16:$R$22,3,FALSE)</f>
        <v>0</v>
      </c>
      <c r="O413">
        <f>VLOOKUP(E413,WLacrosse!C:S,8,FALSE)</f>
        <v>4154</v>
      </c>
    </row>
    <row r="414" spans="1:15" ht="16" thickBot="1" x14ac:dyDescent="0.25">
      <c r="A414" s="15">
        <v>2</v>
      </c>
      <c r="B414">
        <f t="shared" si="6"/>
        <v>1</v>
      </c>
      <c r="C414">
        <f>IF(ISBLANK(H414),"",VLOOKUP(H414,Code!B:C,2,FALSE))</f>
        <v>17</v>
      </c>
      <c r="D414">
        <v>2019</v>
      </c>
      <c r="E414">
        <v>163268</v>
      </c>
      <c r="F414" t="s">
        <v>127</v>
      </c>
      <c r="G414" t="s">
        <v>290</v>
      </c>
      <c r="H414" t="s">
        <v>5</v>
      </c>
      <c r="I414" cm="1">
        <f t="array" ref="I414">IF(B414=0,INDEX('Category 14'!F:F,MATCH(C414&amp;E414&amp;D414,'Category 14'!B:B&amp;'Category 14'!C:C&amp;'Category 14'!A:A,0)),INDEX('Category 14'!G:G,MATCH(C414&amp;E414&amp;D414,'Category 14'!B:B&amp;'Category 14'!C:C&amp;'Category 14'!A:A,0)))</f>
        <v>0</v>
      </c>
      <c r="J414">
        <f>I414/VLOOKUP($D414,CPI!$P$16:$R$22,3,FALSE)</f>
        <v>0</v>
      </c>
      <c r="K414" cm="1">
        <f t="array" ref="K414">IF(B414=0,INDEX('Category 15'!F:F,MATCH(C414&amp;E414&amp;D414,'Category 15'!B:B&amp;'Category 15'!C:C&amp;'Category 15'!A:A,0)),INDEX('Category 15'!G:G,MATCH(C414&amp;E414&amp;D414,'Category 15'!B:B&amp;'Category 31'!C:C&amp;'Category 15'!A:A,0)))</f>
        <v>0</v>
      </c>
      <c r="L414">
        <f>K414/VLOOKUP($D414,CPI!$P$16:$R$22,3,FALSE)</f>
        <v>0</v>
      </c>
      <c r="M414" s="16" cm="1">
        <f t="array" ref="M414">IF(B414=0,INDEX('Category 31'!F:F,MATCH(C414&amp;E414&amp;D414,'Category 31'!B:B&amp;'Category 31'!C:C&amp;'Category 31'!A:A,0)),INDEX('Category 31'!G:G,MATCH(C414&amp;E414&amp;D414,'Category 31'!B:B&amp;'Category 31'!C:C&amp;'Category 31'!A:A,0)))</f>
        <v>0</v>
      </c>
      <c r="N414" s="16">
        <f>M414/VLOOKUP($D414,CPI!$P$16:$R$22,3,FALSE)</f>
        <v>0</v>
      </c>
      <c r="O414">
        <f>VLOOKUP(E414,WSoccer!C:S,8,FALSE)</f>
        <v>2623</v>
      </c>
    </row>
    <row r="415" spans="1:15" ht="16" thickBot="1" x14ac:dyDescent="0.25">
      <c r="A415" s="15">
        <v>2</v>
      </c>
      <c r="B415">
        <f t="shared" si="6"/>
        <v>1</v>
      </c>
      <c r="C415">
        <f>IF(ISBLANK(H415),"",VLOOKUP(H415,Code!B:C,2,FALSE))</f>
        <v>18</v>
      </c>
      <c r="D415">
        <v>2019</v>
      </c>
      <c r="E415">
        <v>163268</v>
      </c>
      <c r="F415" t="s">
        <v>127</v>
      </c>
      <c r="G415" t="s">
        <v>290</v>
      </c>
      <c r="H415" t="s">
        <v>6</v>
      </c>
      <c r="I415" cm="1">
        <f t="array" ref="I415">IF(B415=0,INDEX('Category 14'!F:F,MATCH(C415&amp;E415&amp;D415,'Category 14'!B:B&amp;'Category 14'!C:C&amp;'Category 14'!A:A,0)),INDEX('Category 14'!G:G,MATCH(C415&amp;E415&amp;D415,'Category 14'!B:B&amp;'Category 14'!C:C&amp;'Category 14'!A:A,0)))</f>
        <v>0</v>
      </c>
      <c r="J415">
        <f>I415/VLOOKUP($D415,CPI!$P$16:$R$22,3,FALSE)</f>
        <v>0</v>
      </c>
      <c r="K415" cm="1">
        <f t="array" ref="K415">IF(B415=0,INDEX('Category 15'!F:F,MATCH(C415&amp;E415&amp;D415,'Category 15'!B:B&amp;'Category 15'!C:C&amp;'Category 15'!A:A,0)),INDEX('Category 15'!G:G,MATCH(C415&amp;E415&amp;D415,'Category 15'!B:B&amp;'Category 31'!C:C&amp;'Category 15'!A:A,0)))</f>
        <v>0</v>
      </c>
      <c r="L415">
        <f>K415/VLOOKUP($D415,CPI!$P$16:$R$22,3,FALSE)</f>
        <v>0</v>
      </c>
      <c r="M415" s="16" cm="1">
        <f t="array" ref="M415">IF(B415=0,INDEX('Category 31'!F:F,MATCH(C415&amp;E415&amp;D415,'Category 31'!B:B&amp;'Category 31'!C:C&amp;'Category 31'!A:A,0)),INDEX('Category 31'!G:G,MATCH(C415&amp;E415&amp;D415,'Category 31'!B:B&amp;'Category 31'!C:C&amp;'Category 31'!A:A,0)))</f>
        <v>0</v>
      </c>
      <c r="N415" s="16">
        <f>M415/VLOOKUP($D415,CPI!$P$16:$R$22,3,FALSE)</f>
        <v>0</v>
      </c>
      <c r="O415">
        <f>VLOOKUP(E415,WSoftball!C:S,8,FALSE)</f>
        <v>2637</v>
      </c>
    </row>
    <row r="416" spans="1:15" ht="16" thickBot="1" x14ac:dyDescent="0.25">
      <c r="A416" s="15">
        <v>2</v>
      </c>
      <c r="B416">
        <f t="shared" si="6"/>
        <v>1</v>
      </c>
      <c r="C416">
        <f>IF(ISBLANK(H416),"",VLOOKUP(H416,Code!B:C,2,FALSE))</f>
        <v>19</v>
      </c>
      <c r="D416">
        <v>2019</v>
      </c>
      <c r="E416">
        <v>163268</v>
      </c>
      <c r="F416" t="s">
        <v>127</v>
      </c>
      <c r="G416" t="s">
        <v>290</v>
      </c>
      <c r="H416" t="s">
        <v>7</v>
      </c>
      <c r="I416" cm="1">
        <f t="array" ref="I416">IF(B416=0,INDEX('Category 14'!F:F,MATCH(C416&amp;E416&amp;D416,'Category 14'!B:B&amp;'Category 14'!C:C&amp;'Category 14'!A:A,0)),INDEX('Category 14'!G:G,MATCH(C416&amp;E416&amp;D416,'Category 14'!B:B&amp;'Category 14'!C:C&amp;'Category 14'!A:A,0)))</f>
        <v>0</v>
      </c>
      <c r="J416">
        <f>I416/VLOOKUP($D416,CPI!$P$16:$R$22,3,FALSE)</f>
        <v>0</v>
      </c>
      <c r="K416" cm="1">
        <f t="array" ref="K416">IF(B416=0,INDEX('Category 15'!F:F,MATCH(C416&amp;E416&amp;D416,'Category 15'!B:B&amp;'Category 15'!C:C&amp;'Category 15'!A:A,0)),INDEX('Category 15'!G:G,MATCH(C416&amp;E416&amp;D416,'Category 15'!B:B&amp;'Category 31'!C:C&amp;'Category 15'!A:A,0)))</f>
        <v>0</v>
      </c>
      <c r="L416">
        <f>K416/VLOOKUP($D416,CPI!$P$16:$R$22,3,FALSE)</f>
        <v>0</v>
      </c>
      <c r="M416" s="16" cm="1">
        <f t="array" ref="M416">IF(B416=0,INDEX('Category 31'!F:F,MATCH(C416&amp;E416&amp;D416,'Category 31'!B:B&amp;'Category 31'!C:C&amp;'Category 31'!A:A,0)),INDEX('Category 31'!G:G,MATCH(C416&amp;E416&amp;D416,'Category 31'!B:B&amp;'Category 31'!C:C&amp;'Category 31'!A:A,0)))</f>
        <v>0</v>
      </c>
      <c r="N416" s="16">
        <f>M416/VLOOKUP($D416,CPI!$P$16:$R$22,3,FALSE)</f>
        <v>0</v>
      </c>
      <c r="O416">
        <v>0</v>
      </c>
    </row>
    <row r="417" spans="1:15" ht="16" thickBot="1" x14ac:dyDescent="0.25">
      <c r="A417" s="15">
        <v>2</v>
      </c>
      <c r="B417">
        <f t="shared" si="6"/>
        <v>1</v>
      </c>
      <c r="C417">
        <f>IF(ISBLANK(H417),"",VLOOKUP(H417,Code!B:C,2,FALSE))</f>
        <v>21</v>
      </c>
      <c r="D417">
        <v>2019</v>
      </c>
      <c r="E417">
        <v>163268</v>
      </c>
      <c r="F417" t="s">
        <v>127</v>
      </c>
      <c r="G417" t="s">
        <v>290</v>
      </c>
      <c r="H417" t="s">
        <v>36</v>
      </c>
      <c r="I417" cm="1">
        <f t="array" ref="I417">IF(B417=0,INDEX('Category 14'!F:F,MATCH(C417&amp;E417&amp;D417,'Category 14'!B:B&amp;'Category 14'!C:C&amp;'Category 14'!A:A,0)),INDEX('Category 14'!G:G,MATCH(C417&amp;E417&amp;D417,'Category 14'!B:B&amp;'Category 14'!C:C&amp;'Category 14'!A:A,0)))</f>
        <v>0</v>
      </c>
      <c r="J417">
        <f>I417/VLOOKUP($D417,CPI!$P$16:$R$22,3,FALSE)</f>
        <v>0</v>
      </c>
      <c r="K417" cm="1">
        <f t="array" ref="K417">IF(B417=0,INDEX('Category 15'!F:F,MATCH(C417&amp;E417&amp;D417,'Category 15'!B:B&amp;'Category 15'!C:C&amp;'Category 15'!A:A,0)),INDEX('Category 15'!G:G,MATCH(C417&amp;E417&amp;D417,'Category 15'!B:B&amp;'Category 31'!C:C&amp;'Category 15'!A:A,0)))</f>
        <v>0</v>
      </c>
      <c r="L417">
        <f>K417/VLOOKUP($D417,CPI!$P$16:$R$22,3,FALSE)</f>
        <v>0</v>
      </c>
      <c r="M417" s="16" cm="1">
        <f t="array" ref="M417">IF(B417=0,INDEX('Category 31'!F:F,MATCH(C417&amp;E417&amp;D417,'Category 31'!B:B&amp;'Category 31'!C:C&amp;'Category 31'!A:A,0)),INDEX('Category 31'!G:G,MATCH(C417&amp;E417&amp;D417,'Category 31'!B:B&amp;'Category 31'!C:C&amp;'Category 31'!A:A,0)))</f>
        <v>0</v>
      </c>
      <c r="N417" s="16">
        <f>M417/VLOOKUP($D417,CPI!$P$16:$R$22,3,FALSE)</f>
        <v>0</v>
      </c>
      <c r="O417">
        <v>0</v>
      </c>
    </row>
    <row r="418" spans="1:15" ht="16" thickBot="1" x14ac:dyDescent="0.25">
      <c r="A418" s="15">
        <v>2</v>
      </c>
      <c r="B418">
        <f t="shared" si="6"/>
        <v>1</v>
      </c>
      <c r="C418">
        <f>IF(ISBLANK(H418),"",VLOOKUP(H418,Code!B:C,2,FALSE))</f>
        <v>23</v>
      </c>
      <c r="D418">
        <v>2019</v>
      </c>
      <c r="E418">
        <v>163268</v>
      </c>
      <c r="F418" t="s">
        <v>127</v>
      </c>
      <c r="G418" t="s">
        <v>290</v>
      </c>
      <c r="H418" t="s">
        <v>10</v>
      </c>
      <c r="I418" cm="1">
        <f t="array" ref="I418">IF(B418=0,INDEX('Category 14'!F:F,MATCH(C418&amp;E418&amp;D418,'Category 14'!B:B&amp;'Category 14'!C:C&amp;'Category 14'!A:A,0)),INDEX('Category 14'!G:G,MATCH(C418&amp;E418&amp;D418,'Category 14'!B:B&amp;'Category 14'!C:C&amp;'Category 14'!A:A,0)))</f>
        <v>0</v>
      </c>
      <c r="J418">
        <f>I418/VLOOKUP($D418,CPI!$P$16:$R$22,3,FALSE)</f>
        <v>0</v>
      </c>
      <c r="K418" cm="1">
        <f t="array" ref="K418">IF(B418=0,INDEX('Category 15'!F:F,MATCH(C418&amp;E418&amp;D418,'Category 15'!B:B&amp;'Category 15'!C:C&amp;'Category 15'!A:A,0)),INDEX('Category 15'!G:G,MATCH(C418&amp;E418&amp;D418,'Category 15'!B:B&amp;'Category 31'!C:C&amp;'Category 15'!A:A,0)))</f>
        <v>0</v>
      </c>
      <c r="L418">
        <f>K418/VLOOKUP($D418,CPI!$P$16:$R$22,3,FALSE)</f>
        <v>0</v>
      </c>
      <c r="M418" s="16" cm="1">
        <f t="array" ref="M418">IF(B418=0,INDEX('Category 31'!F:F,MATCH(C418&amp;E418&amp;D418,'Category 31'!B:B&amp;'Category 31'!C:C&amp;'Category 31'!A:A,0)),INDEX('Category 31'!G:G,MATCH(C418&amp;E418&amp;D418,'Category 31'!B:B&amp;'Category 31'!C:C&amp;'Category 31'!A:A,0)))</f>
        <v>0</v>
      </c>
      <c r="N418" s="16">
        <f>M418/VLOOKUP($D418,CPI!$P$16:$R$22,3,FALSE)</f>
        <v>0</v>
      </c>
      <c r="O418">
        <f>VLOOKUP(E418,WVolleyball!C:S,8,FALSE)</f>
        <v>2255</v>
      </c>
    </row>
    <row r="419" spans="1:15" ht="16" thickBot="1" x14ac:dyDescent="0.25">
      <c r="A419" s="15">
        <v>2</v>
      </c>
      <c r="B419">
        <f t="shared" si="6"/>
        <v>0</v>
      </c>
      <c r="C419">
        <f>IF(ISBLANK(H419),"",VLOOKUP(H419,Code!B:C,2,FALSE))</f>
        <v>1</v>
      </c>
      <c r="D419">
        <v>2020</v>
      </c>
      <c r="E419">
        <v>163268</v>
      </c>
      <c r="F419" t="s">
        <v>127</v>
      </c>
      <c r="G419" t="s">
        <v>289</v>
      </c>
      <c r="H419" t="s">
        <v>0</v>
      </c>
      <c r="I419" cm="1">
        <f t="array" ref="I419">IF(B419=0,INDEX('Category 14'!F:F,MATCH(C419&amp;E419&amp;D419,'Category 14'!B:B&amp;'Category 14'!C:C&amp;'Category 14'!A:A,0)),INDEX('Category 14'!G:G,MATCH(C419&amp;E419&amp;D419,'Category 14'!B:B&amp;'Category 14'!C:C&amp;'Category 14'!A:A,0)))</f>
        <v>0</v>
      </c>
      <c r="J419">
        <f>I419/VLOOKUP($D419,CPI!$P$16:$R$22,3,FALSE)</f>
        <v>0</v>
      </c>
      <c r="K419" cm="1">
        <f t="array" ref="K419">IF(B419=0,INDEX('Category 15'!F:F,MATCH(C419&amp;E419&amp;D419,'Category 15'!B:B&amp;'Category 15'!C:C&amp;'Category 15'!A:A,0)),INDEX('Category 15'!G:G,MATCH(C419&amp;E419&amp;D419,'Category 15'!B:B&amp;'Category 31'!C:C&amp;'Category 15'!A:A,0)))</f>
        <v>0</v>
      </c>
      <c r="L419">
        <f>K419/VLOOKUP($D419,CPI!$P$16:$R$22,3,FALSE)</f>
        <v>0</v>
      </c>
      <c r="M419" s="16" cm="1">
        <f t="array" ref="M419">IF(B419=0,INDEX('Category 31'!F:F,MATCH(C419&amp;E419&amp;D419,'Category 31'!B:B&amp;'Category 31'!C:C&amp;'Category 31'!A:A,0)),INDEX('Category 31'!G:G,MATCH(C419&amp;E419&amp;D419,'Category 31'!B:B&amp;'Category 31'!C:C&amp;'Category 31'!A:A,0)))</f>
        <v>0</v>
      </c>
      <c r="N419" s="16">
        <f>M419/VLOOKUP($D419,CPI!$P$16:$R$22,3,FALSE)</f>
        <v>0</v>
      </c>
      <c r="O419">
        <f>VLOOKUP(E380,MBaseball!C:R,9,FALSE)</f>
        <v>460</v>
      </c>
    </row>
    <row r="420" spans="1:15" ht="16" thickBot="1" x14ac:dyDescent="0.25">
      <c r="A420" s="15">
        <v>2</v>
      </c>
      <c r="B420">
        <f t="shared" si="6"/>
        <v>0</v>
      </c>
      <c r="C420">
        <f>IF(ISBLANK(H420),"",VLOOKUP(H420,Code!B:C,2,FALSE))</f>
        <v>2</v>
      </c>
      <c r="D420">
        <v>2020</v>
      </c>
      <c r="E420">
        <v>163268</v>
      </c>
      <c r="F420" t="s">
        <v>127</v>
      </c>
      <c r="G420" t="s">
        <v>289</v>
      </c>
      <c r="H420" t="s">
        <v>1</v>
      </c>
      <c r="I420" cm="1">
        <f t="array" ref="I420">IF(B420=0,INDEX('Category 14'!F:F,MATCH(C420&amp;E420&amp;D420,'Category 14'!B:B&amp;'Category 14'!C:C&amp;'Category 14'!A:A,0)),INDEX('Category 14'!G:G,MATCH(C420&amp;E420&amp;D420,'Category 14'!B:B&amp;'Category 14'!C:C&amp;'Category 14'!A:A,0)))</f>
        <v>0</v>
      </c>
      <c r="J420">
        <f>I420/VLOOKUP($D420,CPI!$P$16:$R$22,3,FALSE)</f>
        <v>0</v>
      </c>
      <c r="K420" cm="1">
        <f t="array" ref="K420">IF(B420=0,INDEX('Category 15'!F:F,MATCH(C420&amp;E420&amp;D420,'Category 15'!B:B&amp;'Category 15'!C:C&amp;'Category 15'!A:A,0)),INDEX('Category 15'!G:G,MATCH(C420&amp;E420&amp;D420,'Category 15'!B:B&amp;'Category 31'!C:C&amp;'Category 15'!A:A,0)))</f>
        <v>0</v>
      </c>
      <c r="L420">
        <f>K420/VLOOKUP($D420,CPI!$P$16:$R$22,3,FALSE)</f>
        <v>0</v>
      </c>
      <c r="M420" s="16" cm="1">
        <f t="array" ref="M420">IF(B420=0,INDEX('Category 31'!F:F,MATCH(C420&amp;E420&amp;D420,'Category 31'!B:B&amp;'Category 31'!C:C&amp;'Category 31'!A:A,0)),INDEX('Category 31'!G:G,MATCH(C420&amp;E420&amp;D420,'Category 31'!B:B&amp;'Category 31'!C:C&amp;'Category 31'!A:A,0)))</f>
        <v>0</v>
      </c>
      <c r="N420" s="16">
        <f>M420/VLOOKUP($D420,CPI!$P$16:$R$22,3,FALSE)</f>
        <v>0</v>
      </c>
      <c r="O420">
        <f>VLOOKUP(E420,MBasketball!C:S,9,FALSE)</f>
        <v>38243</v>
      </c>
    </row>
    <row r="421" spans="1:15" ht="16" thickBot="1" x14ac:dyDescent="0.25">
      <c r="A421" s="15">
        <v>2</v>
      </c>
      <c r="B421">
        <f t="shared" si="6"/>
        <v>0</v>
      </c>
      <c r="C421">
        <f>IF(ISBLANK(H421),"",VLOOKUP(H421,Code!B:C,2,FALSE))</f>
        <v>12</v>
      </c>
      <c r="D421">
        <v>2020</v>
      </c>
      <c r="E421">
        <v>163268</v>
      </c>
      <c r="F421" t="s">
        <v>127</v>
      </c>
      <c r="G421" t="s">
        <v>289</v>
      </c>
      <c r="H421" t="s">
        <v>27</v>
      </c>
      <c r="I421" cm="1">
        <f t="array" ref="I421">IF(B421=0,INDEX('Category 14'!F:F,MATCH(C421&amp;E421&amp;D421,'Category 14'!B:B&amp;'Category 14'!C:C&amp;'Category 14'!A:A,0)),INDEX('Category 14'!G:G,MATCH(C421&amp;E421&amp;D421,'Category 14'!B:B&amp;'Category 14'!C:C&amp;'Category 14'!A:A,0)))</f>
        <v>0</v>
      </c>
      <c r="J421">
        <f>I421/VLOOKUP($D421,CPI!$P$16:$R$22,3,FALSE)</f>
        <v>0</v>
      </c>
      <c r="K421" cm="1">
        <f t="array" ref="K421">IF(B421=0,INDEX('Category 15'!F:F,MATCH(C421&amp;E421&amp;D421,'Category 15'!B:B&amp;'Category 15'!C:C&amp;'Category 15'!A:A,0)),INDEX('Category 15'!G:G,MATCH(C421&amp;E421&amp;D421,'Category 15'!B:B&amp;'Category 31'!C:C&amp;'Category 15'!A:A,0)))</f>
        <v>0</v>
      </c>
      <c r="L421">
        <f>K421/VLOOKUP($D421,CPI!$P$16:$R$22,3,FALSE)</f>
        <v>0</v>
      </c>
      <c r="M421" s="16" cm="1">
        <f t="array" ref="M421">IF(B421=0,INDEX('Category 31'!F:F,MATCH(C421&amp;E421&amp;D421,'Category 31'!B:B&amp;'Category 31'!C:C&amp;'Category 31'!A:A,0)),INDEX('Category 31'!G:G,MATCH(C421&amp;E421&amp;D421,'Category 31'!B:B&amp;'Category 31'!C:C&amp;'Category 31'!A:A,0)))</f>
        <v>0</v>
      </c>
      <c r="N421" s="16">
        <f>M421/VLOOKUP($D421,CPI!$P$16:$R$22,3,FALSE)</f>
        <v>0</v>
      </c>
      <c r="O421">
        <f>VLOOKUP(E421,MLacrosse!C:S,9,FALSE)</f>
        <v>3428</v>
      </c>
    </row>
    <row r="422" spans="1:15" ht="16" thickBot="1" x14ac:dyDescent="0.25">
      <c r="A422" s="15">
        <v>2</v>
      </c>
      <c r="B422">
        <f t="shared" si="6"/>
        <v>0</v>
      </c>
      <c r="C422">
        <f>IF(ISBLANK(H422),"",VLOOKUP(H422,Code!B:C,2,FALSE))</f>
        <v>17</v>
      </c>
      <c r="D422">
        <v>2020</v>
      </c>
      <c r="E422">
        <v>163268</v>
      </c>
      <c r="F422" t="s">
        <v>127</v>
      </c>
      <c r="G422" t="s">
        <v>289</v>
      </c>
      <c r="H422" t="s">
        <v>5</v>
      </c>
      <c r="I422" cm="1">
        <f t="array" ref="I422">IF(B422=0,INDEX('Category 14'!F:F,MATCH(C422&amp;E422&amp;D422,'Category 14'!B:B&amp;'Category 14'!C:C&amp;'Category 14'!A:A,0)),INDEX('Category 14'!G:G,MATCH(C422&amp;E422&amp;D422,'Category 14'!B:B&amp;'Category 14'!C:C&amp;'Category 14'!A:A,0)))</f>
        <v>0</v>
      </c>
      <c r="J422">
        <f>I422/VLOOKUP($D422,CPI!$P$16:$R$22,3,FALSE)</f>
        <v>0</v>
      </c>
      <c r="K422" cm="1">
        <f t="array" ref="K422">IF(B422=0,INDEX('Category 15'!F:F,MATCH(C422&amp;E422&amp;D422,'Category 15'!B:B&amp;'Category 15'!C:C&amp;'Category 15'!A:A,0)),INDEX('Category 15'!G:G,MATCH(C422&amp;E422&amp;D422,'Category 15'!B:B&amp;'Category 31'!C:C&amp;'Category 15'!A:A,0)))</f>
        <v>0</v>
      </c>
      <c r="L422">
        <f>K422/VLOOKUP($D422,CPI!$P$16:$R$22,3,FALSE)</f>
        <v>0</v>
      </c>
      <c r="M422" s="16" cm="1">
        <f t="array" ref="M422">IF(B422=0,INDEX('Category 31'!F:F,MATCH(C422&amp;E422&amp;D422,'Category 31'!B:B&amp;'Category 31'!C:C&amp;'Category 31'!A:A,0)),INDEX('Category 31'!G:G,MATCH(C422&amp;E422&amp;D422,'Category 31'!B:B&amp;'Category 31'!C:C&amp;'Category 31'!A:A,0)))</f>
        <v>0</v>
      </c>
      <c r="N422" s="16">
        <f>M422/VLOOKUP($D422,CPI!$P$16:$R$22,3,FALSE)</f>
        <v>0</v>
      </c>
      <c r="O422">
        <f>VLOOKUP(E422,MSoccer!C:S,9,FALSE)</f>
        <v>0</v>
      </c>
    </row>
    <row r="423" spans="1:15" ht="16" thickBot="1" x14ac:dyDescent="0.25">
      <c r="A423" s="15">
        <v>2</v>
      </c>
      <c r="B423">
        <f t="shared" si="6"/>
        <v>0</v>
      </c>
      <c r="C423">
        <f>IF(ISBLANK(H423),"",VLOOKUP(H423,Code!B:C,2,FALSE))</f>
        <v>19</v>
      </c>
      <c r="D423">
        <v>2020</v>
      </c>
      <c r="E423">
        <v>163268</v>
      </c>
      <c r="F423" t="s">
        <v>127</v>
      </c>
      <c r="G423" t="s">
        <v>289</v>
      </c>
      <c r="H423" t="s">
        <v>7</v>
      </c>
      <c r="I423" cm="1">
        <f t="array" ref="I423">IF(B423=0,INDEX('Category 14'!F:F,MATCH(C423&amp;E423&amp;D423,'Category 14'!B:B&amp;'Category 14'!C:C&amp;'Category 14'!A:A,0)),INDEX('Category 14'!G:G,MATCH(C423&amp;E423&amp;D423,'Category 14'!B:B&amp;'Category 14'!C:C&amp;'Category 14'!A:A,0)))</f>
        <v>0</v>
      </c>
      <c r="J423">
        <f>I423/VLOOKUP($D423,CPI!$P$16:$R$22,3,FALSE)</f>
        <v>0</v>
      </c>
      <c r="K423" cm="1">
        <f t="array" ref="K423">IF(B423=0,INDEX('Category 15'!F:F,MATCH(C423&amp;E423&amp;D423,'Category 15'!B:B&amp;'Category 15'!C:C&amp;'Category 15'!A:A,0)),INDEX('Category 15'!G:G,MATCH(C423&amp;E423&amp;D423,'Category 15'!B:B&amp;'Category 31'!C:C&amp;'Category 15'!A:A,0)))</f>
        <v>0</v>
      </c>
      <c r="L423">
        <f>K423/VLOOKUP($D423,CPI!$P$16:$R$22,3,FALSE)</f>
        <v>0</v>
      </c>
      <c r="M423" s="16" cm="1">
        <f t="array" ref="M423">IF(B423=0,INDEX('Category 31'!F:F,MATCH(C423&amp;E423&amp;D423,'Category 31'!B:B&amp;'Category 31'!C:C&amp;'Category 31'!A:A,0)),INDEX('Category 31'!G:G,MATCH(C423&amp;E423&amp;D423,'Category 31'!B:B&amp;'Category 31'!C:C&amp;'Category 31'!A:A,0)))</f>
        <v>0</v>
      </c>
      <c r="N423" s="16">
        <f>M423/VLOOKUP($D423,CPI!$P$16:$R$22,3,FALSE)</f>
        <v>0</v>
      </c>
      <c r="O423">
        <v>0</v>
      </c>
    </row>
    <row r="424" spans="1:15" ht="16" thickBot="1" x14ac:dyDescent="0.25">
      <c r="A424" s="15">
        <v>2</v>
      </c>
      <c r="B424">
        <f t="shared" si="6"/>
        <v>0</v>
      </c>
      <c r="C424">
        <f>IF(ISBLANK(H424),"",VLOOKUP(H424,Code!B:C,2,FALSE))</f>
        <v>21</v>
      </c>
      <c r="D424">
        <v>2020</v>
      </c>
      <c r="E424">
        <v>163268</v>
      </c>
      <c r="F424" t="s">
        <v>127</v>
      </c>
      <c r="G424" t="s">
        <v>289</v>
      </c>
      <c r="H424" t="s">
        <v>36</v>
      </c>
      <c r="I424" cm="1">
        <f t="array" ref="I424">IF(B424=0,INDEX('Category 14'!F:F,MATCH(C424&amp;E424&amp;D424,'Category 14'!B:B&amp;'Category 14'!C:C&amp;'Category 14'!A:A,0)),INDEX('Category 14'!G:G,MATCH(C424&amp;E424&amp;D424,'Category 14'!B:B&amp;'Category 14'!C:C&amp;'Category 14'!A:A,0)))</f>
        <v>0</v>
      </c>
      <c r="J424">
        <f>I424/VLOOKUP($D424,CPI!$P$16:$R$22,3,FALSE)</f>
        <v>0</v>
      </c>
      <c r="K424" cm="1">
        <f t="array" ref="K424">IF(B424=0,INDEX('Category 15'!F:F,MATCH(C424&amp;E424&amp;D424,'Category 15'!B:B&amp;'Category 15'!C:C&amp;'Category 15'!A:A,0)),INDEX('Category 15'!G:G,MATCH(C424&amp;E424&amp;D424,'Category 15'!B:B&amp;'Category 31'!C:C&amp;'Category 15'!A:A,0)))</f>
        <v>0</v>
      </c>
      <c r="L424">
        <f>K424/VLOOKUP($D424,CPI!$P$16:$R$22,3,FALSE)</f>
        <v>0</v>
      </c>
      <c r="M424" s="16" cm="1">
        <f t="array" ref="M424">IF(B424=0,INDEX('Category 31'!F:F,MATCH(C424&amp;E424&amp;D424,'Category 31'!B:B&amp;'Category 31'!C:C&amp;'Category 31'!A:A,0)),INDEX('Category 31'!G:G,MATCH(C424&amp;E424&amp;D424,'Category 31'!B:B&amp;'Category 31'!C:C&amp;'Category 31'!A:A,0)))</f>
        <v>0</v>
      </c>
      <c r="N424" s="16">
        <f>M424/VLOOKUP($D424,CPI!$P$16:$R$22,3,FALSE)</f>
        <v>0</v>
      </c>
      <c r="O424">
        <v>0</v>
      </c>
    </row>
    <row r="425" spans="1:15" ht="16" thickBot="1" x14ac:dyDescent="0.25">
      <c r="A425" s="15">
        <v>2</v>
      </c>
      <c r="B425">
        <f t="shared" si="6"/>
        <v>1</v>
      </c>
      <c r="C425">
        <f>IF(ISBLANK(H425),"",VLOOKUP(H425,Code!B:C,2,FALSE))</f>
        <v>2</v>
      </c>
      <c r="D425">
        <v>2020</v>
      </c>
      <c r="E425">
        <v>163268</v>
      </c>
      <c r="F425" t="s">
        <v>127</v>
      </c>
      <c r="G425" t="s">
        <v>290</v>
      </c>
      <c r="H425" t="s">
        <v>1</v>
      </c>
      <c r="I425" cm="1">
        <f t="array" ref="I425">IF(B425=0,INDEX('Category 14'!F:F,MATCH(C425&amp;E425&amp;D425,'Category 14'!B:B&amp;'Category 14'!C:C&amp;'Category 14'!A:A,0)),INDEX('Category 14'!G:G,MATCH(C425&amp;E425&amp;D425,'Category 14'!B:B&amp;'Category 14'!C:C&amp;'Category 14'!A:A,0)))</f>
        <v>0</v>
      </c>
      <c r="J425">
        <f>I425/VLOOKUP($D425,CPI!$P$16:$R$22,3,FALSE)</f>
        <v>0</v>
      </c>
      <c r="K425" cm="1">
        <f t="array" ref="K425">IF(B425=0,INDEX('Category 15'!F:F,MATCH(C425&amp;E425&amp;D425,'Category 15'!B:B&amp;'Category 15'!C:C&amp;'Category 15'!A:A,0)),INDEX('Category 15'!G:G,MATCH(C425&amp;E425&amp;D425,'Category 15'!B:B&amp;'Category 31'!C:C&amp;'Category 15'!A:A,0)))</f>
        <v>0</v>
      </c>
      <c r="L425">
        <f>K425/VLOOKUP($D425,CPI!$P$16:$R$22,3,FALSE)</f>
        <v>0</v>
      </c>
      <c r="M425" s="16" cm="1">
        <f t="array" ref="M425">IF(B425=0,INDEX('Category 31'!F:F,MATCH(C425&amp;E425&amp;D425,'Category 31'!B:B&amp;'Category 31'!C:C&amp;'Category 31'!A:A,0)),INDEX('Category 31'!G:G,MATCH(C425&amp;E425&amp;D425,'Category 31'!B:B&amp;'Category 31'!C:C&amp;'Category 31'!A:A,0)))</f>
        <v>0</v>
      </c>
      <c r="N425" s="16">
        <f>M425/VLOOKUP($D425,CPI!$P$16:$R$22,3,FALSE)</f>
        <v>0</v>
      </c>
      <c r="O425">
        <f>VLOOKUP(E425,WBasketball!C:S,9,FALSE)</f>
        <v>5415</v>
      </c>
    </row>
    <row r="426" spans="1:15" ht="16" thickBot="1" x14ac:dyDescent="0.25">
      <c r="A426" s="15">
        <v>2</v>
      </c>
      <c r="B426">
        <f t="shared" si="6"/>
        <v>1</v>
      </c>
      <c r="C426">
        <f>IF(ISBLANK(H426),"",VLOOKUP(H426,Code!B:C,2,FALSE))</f>
        <v>12</v>
      </c>
      <c r="D426">
        <v>2020</v>
      </c>
      <c r="E426">
        <v>163268</v>
      </c>
      <c r="F426" t="s">
        <v>127</v>
      </c>
      <c r="G426" t="s">
        <v>290</v>
      </c>
      <c r="H426" t="s">
        <v>27</v>
      </c>
      <c r="I426" cm="1">
        <f t="array" ref="I426">IF(B426=0,INDEX('Category 14'!F:F,MATCH(C426&amp;E426&amp;D426,'Category 14'!B:B&amp;'Category 14'!C:C&amp;'Category 14'!A:A,0)),INDEX('Category 14'!G:G,MATCH(C426&amp;E426&amp;D426,'Category 14'!B:B&amp;'Category 14'!C:C&amp;'Category 14'!A:A,0)))</f>
        <v>0</v>
      </c>
      <c r="J426">
        <f>I426/VLOOKUP($D426,CPI!$P$16:$R$22,3,FALSE)</f>
        <v>0</v>
      </c>
      <c r="K426" cm="1">
        <f t="array" ref="K426">IF(B426=0,INDEX('Category 15'!F:F,MATCH(C426&amp;E426&amp;D426,'Category 15'!B:B&amp;'Category 15'!C:C&amp;'Category 15'!A:A,0)),INDEX('Category 15'!G:G,MATCH(C426&amp;E426&amp;D426,'Category 15'!B:B&amp;'Category 31'!C:C&amp;'Category 15'!A:A,0)))</f>
        <v>0</v>
      </c>
      <c r="L426">
        <f>K426/VLOOKUP($D426,CPI!$P$16:$R$22,3,FALSE)</f>
        <v>0</v>
      </c>
      <c r="M426" s="16" cm="1">
        <f t="array" ref="M426">IF(B426=0,INDEX('Category 31'!F:F,MATCH(C426&amp;E426&amp;D426,'Category 31'!B:B&amp;'Category 31'!C:C&amp;'Category 31'!A:A,0)),INDEX('Category 31'!G:G,MATCH(C426&amp;E426&amp;D426,'Category 31'!B:B&amp;'Category 31'!C:C&amp;'Category 31'!A:A,0)))</f>
        <v>0</v>
      </c>
      <c r="N426" s="16">
        <f>M426/VLOOKUP($D426,CPI!$P$16:$R$22,3,FALSE)</f>
        <v>0</v>
      </c>
      <c r="O426">
        <f>VLOOKUP(E426,WLacrosse!C:S,9,FALSE)</f>
        <v>1314</v>
      </c>
    </row>
    <row r="427" spans="1:15" ht="16" thickBot="1" x14ac:dyDescent="0.25">
      <c r="A427" s="15">
        <v>2</v>
      </c>
      <c r="B427">
        <f t="shared" si="6"/>
        <v>1</v>
      </c>
      <c r="C427">
        <f>IF(ISBLANK(H427),"",VLOOKUP(H427,Code!B:C,2,FALSE))</f>
        <v>17</v>
      </c>
      <c r="D427">
        <v>2020</v>
      </c>
      <c r="E427">
        <v>163268</v>
      </c>
      <c r="F427" t="s">
        <v>127</v>
      </c>
      <c r="G427" t="s">
        <v>290</v>
      </c>
      <c r="H427" t="s">
        <v>5</v>
      </c>
      <c r="I427" cm="1">
        <f t="array" ref="I427">IF(B427=0,INDEX('Category 14'!F:F,MATCH(C427&amp;E427&amp;D427,'Category 14'!B:B&amp;'Category 14'!C:C&amp;'Category 14'!A:A,0)),INDEX('Category 14'!G:G,MATCH(C427&amp;E427&amp;D427,'Category 14'!B:B&amp;'Category 14'!C:C&amp;'Category 14'!A:A,0)))</f>
        <v>0</v>
      </c>
      <c r="J427">
        <f>I427/VLOOKUP($D427,CPI!$P$16:$R$22,3,FALSE)</f>
        <v>0</v>
      </c>
      <c r="K427" cm="1">
        <f t="array" ref="K427">IF(B427=0,INDEX('Category 15'!F:F,MATCH(C427&amp;E427&amp;D427,'Category 15'!B:B&amp;'Category 15'!C:C&amp;'Category 15'!A:A,0)),INDEX('Category 15'!G:G,MATCH(C427&amp;E427&amp;D427,'Category 15'!B:B&amp;'Category 31'!C:C&amp;'Category 15'!A:A,0)))</f>
        <v>0</v>
      </c>
      <c r="L427">
        <f>K427/VLOOKUP($D427,CPI!$P$16:$R$22,3,FALSE)</f>
        <v>0</v>
      </c>
      <c r="M427" s="16" cm="1">
        <f t="array" ref="M427">IF(B427=0,INDEX('Category 31'!F:F,MATCH(C427&amp;E427&amp;D427,'Category 31'!B:B&amp;'Category 31'!C:C&amp;'Category 31'!A:A,0)),INDEX('Category 31'!G:G,MATCH(C427&amp;E427&amp;D427,'Category 31'!B:B&amp;'Category 31'!C:C&amp;'Category 31'!A:A,0)))</f>
        <v>0</v>
      </c>
      <c r="N427" s="16">
        <f>M427/VLOOKUP($D427,CPI!$P$16:$R$22,3,FALSE)</f>
        <v>0</v>
      </c>
      <c r="O427">
        <f>VLOOKUP(E427,WSoccer!C:S,9,FALSE)</f>
        <v>2867</v>
      </c>
    </row>
    <row r="428" spans="1:15" ht="16" thickBot="1" x14ac:dyDescent="0.25">
      <c r="A428" s="15">
        <v>2</v>
      </c>
      <c r="B428">
        <f t="shared" si="6"/>
        <v>1</v>
      </c>
      <c r="C428">
        <f>IF(ISBLANK(H428),"",VLOOKUP(H428,Code!B:C,2,FALSE))</f>
        <v>18</v>
      </c>
      <c r="D428">
        <v>2020</v>
      </c>
      <c r="E428">
        <v>163268</v>
      </c>
      <c r="F428" t="s">
        <v>127</v>
      </c>
      <c r="G428" t="s">
        <v>290</v>
      </c>
      <c r="H428" t="s">
        <v>6</v>
      </c>
      <c r="I428" cm="1">
        <f t="array" ref="I428">IF(B428=0,INDEX('Category 14'!F:F,MATCH(C428&amp;E428&amp;D428,'Category 14'!B:B&amp;'Category 14'!C:C&amp;'Category 14'!A:A,0)),INDEX('Category 14'!G:G,MATCH(C428&amp;E428&amp;D428,'Category 14'!B:B&amp;'Category 14'!C:C&amp;'Category 14'!A:A,0)))</f>
        <v>0</v>
      </c>
      <c r="J428">
        <f>I428/VLOOKUP($D428,CPI!$P$16:$R$22,3,FALSE)</f>
        <v>0</v>
      </c>
      <c r="K428" cm="1">
        <f t="array" ref="K428">IF(B428=0,INDEX('Category 15'!F:F,MATCH(C428&amp;E428&amp;D428,'Category 15'!B:B&amp;'Category 15'!C:C&amp;'Category 15'!A:A,0)),INDEX('Category 15'!G:G,MATCH(C428&amp;E428&amp;D428,'Category 15'!B:B&amp;'Category 31'!C:C&amp;'Category 15'!A:A,0)))</f>
        <v>0</v>
      </c>
      <c r="L428">
        <f>K428/VLOOKUP($D428,CPI!$P$16:$R$22,3,FALSE)</f>
        <v>0</v>
      </c>
      <c r="M428" s="16" cm="1">
        <f t="array" ref="M428">IF(B428=0,INDEX('Category 31'!F:F,MATCH(C428&amp;E428&amp;D428,'Category 31'!B:B&amp;'Category 31'!C:C&amp;'Category 31'!A:A,0)),INDEX('Category 31'!G:G,MATCH(C428&amp;E428&amp;D428,'Category 31'!B:B&amp;'Category 31'!C:C&amp;'Category 31'!A:A,0)))</f>
        <v>0</v>
      </c>
      <c r="N428" s="16">
        <f>M428/VLOOKUP($D428,CPI!$P$16:$R$22,3,FALSE)</f>
        <v>0</v>
      </c>
      <c r="O428">
        <f>VLOOKUP(E428,WSoftball!C:S,9,FALSE)</f>
        <v>358</v>
      </c>
    </row>
    <row r="429" spans="1:15" ht="16" thickBot="1" x14ac:dyDescent="0.25">
      <c r="A429" s="15">
        <v>2</v>
      </c>
      <c r="B429">
        <f t="shared" si="6"/>
        <v>1</v>
      </c>
      <c r="C429">
        <f>IF(ISBLANK(H429),"",VLOOKUP(H429,Code!B:C,2,FALSE))</f>
        <v>19</v>
      </c>
      <c r="D429">
        <v>2020</v>
      </c>
      <c r="E429">
        <v>163268</v>
      </c>
      <c r="F429" t="s">
        <v>127</v>
      </c>
      <c r="G429" t="s">
        <v>290</v>
      </c>
      <c r="H429" t="s">
        <v>7</v>
      </c>
      <c r="I429" cm="1">
        <f t="array" ref="I429">IF(B429=0,INDEX('Category 14'!F:F,MATCH(C429&amp;E429&amp;D429,'Category 14'!B:B&amp;'Category 14'!C:C&amp;'Category 14'!A:A,0)),INDEX('Category 14'!G:G,MATCH(C429&amp;E429&amp;D429,'Category 14'!B:B&amp;'Category 14'!C:C&amp;'Category 14'!A:A,0)))</f>
        <v>0</v>
      </c>
      <c r="J429">
        <f>I429/VLOOKUP($D429,CPI!$P$16:$R$22,3,FALSE)</f>
        <v>0</v>
      </c>
      <c r="K429" cm="1">
        <f t="array" ref="K429">IF(B429=0,INDEX('Category 15'!F:F,MATCH(C429&amp;E429&amp;D429,'Category 15'!B:B&amp;'Category 15'!C:C&amp;'Category 15'!A:A,0)),INDEX('Category 15'!G:G,MATCH(C429&amp;E429&amp;D429,'Category 15'!B:B&amp;'Category 31'!C:C&amp;'Category 15'!A:A,0)))</f>
        <v>0</v>
      </c>
      <c r="L429">
        <f>K429/VLOOKUP($D429,CPI!$P$16:$R$22,3,FALSE)</f>
        <v>0</v>
      </c>
      <c r="M429" s="16" cm="1">
        <f t="array" ref="M429">IF(B429=0,INDEX('Category 31'!F:F,MATCH(C429&amp;E429&amp;D429,'Category 31'!B:B&amp;'Category 31'!C:C&amp;'Category 31'!A:A,0)),INDEX('Category 31'!G:G,MATCH(C429&amp;E429&amp;D429,'Category 31'!B:B&amp;'Category 31'!C:C&amp;'Category 31'!A:A,0)))</f>
        <v>0</v>
      </c>
      <c r="N429" s="16">
        <f>M429/VLOOKUP($D429,CPI!$P$16:$R$22,3,FALSE)</f>
        <v>0</v>
      </c>
      <c r="O429">
        <v>0</v>
      </c>
    </row>
    <row r="430" spans="1:15" ht="16" thickBot="1" x14ac:dyDescent="0.25">
      <c r="A430" s="15">
        <v>2</v>
      </c>
      <c r="B430">
        <f t="shared" si="6"/>
        <v>1</v>
      </c>
      <c r="C430">
        <f>IF(ISBLANK(H430),"",VLOOKUP(H430,Code!B:C,2,FALSE))</f>
        <v>21</v>
      </c>
      <c r="D430">
        <v>2020</v>
      </c>
      <c r="E430">
        <v>163268</v>
      </c>
      <c r="F430" t="s">
        <v>127</v>
      </c>
      <c r="G430" t="s">
        <v>290</v>
      </c>
      <c r="H430" t="s">
        <v>36</v>
      </c>
      <c r="I430" cm="1">
        <f t="array" ref="I430">IF(B430=0,INDEX('Category 14'!F:F,MATCH(C430&amp;E430&amp;D430,'Category 14'!B:B&amp;'Category 14'!C:C&amp;'Category 14'!A:A,0)),INDEX('Category 14'!G:G,MATCH(C430&amp;E430&amp;D430,'Category 14'!B:B&amp;'Category 14'!C:C&amp;'Category 14'!A:A,0)))</f>
        <v>0</v>
      </c>
      <c r="J430">
        <f>I430/VLOOKUP($D430,CPI!$P$16:$R$22,3,FALSE)</f>
        <v>0</v>
      </c>
      <c r="K430" cm="1">
        <f t="array" ref="K430">IF(B430=0,INDEX('Category 15'!F:F,MATCH(C430&amp;E430&amp;D430,'Category 15'!B:B&amp;'Category 15'!C:C&amp;'Category 15'!A:A,0)),INDEX('Category 15'!G:G,MATCH(C430&amp;E430&amp;D430,'Category 15'!B:B&amp;'Category 31'!C:C&amp;'Category 15'!A:A,0)))</f>
        <v>0</v>
      </c>
      <c r="L430">
        <f>K430/VLOOKUP($D430,CPI!$P$16:$R$22,3,FALSE)</f>
        <v>0</v>
      </c>
      <c r="M430" s="16" cm="1">
        <f t="array" ref="M430">IF(B430=0,INDEX('Category 31'!F:F,MATCH(C430&amp;E430&amp;D430,'Category 31'!B:B&amp;'Category 31'!C:C&amp;'Category 31'!A:A,0)),INDEX('Category 31'!G:G,MATCH(C430&amp;E430&amp;D430,'Category 31'!B:B&amp;'Category 31'!C:C&amp;'Category 31'!A:A,0)))</f>
        <v>0</v>
      </c>
      <c r="N430" s="16">
        <f>M430/VLOOKUP($D430,CPI!$P$16:$R$22,3,FALSE)</f>
        <v>0</v>
      </c>
      <c r="O430">
        <v>0</v>
      </c>
    </row>
    <row r="431" spans="1:15" ht="16" thickBot="1" x14ac:dyDescent="0.25">
      <c r="A431" s="15">
        <v>2</v>
      </c>
      <c r="B431">
        <f t="shared" si="6"/>
        <v>1</v>
      </c>
      <c r="C431">
        <f>IF(ISBLANK(H431),"",VLOOKUP(H431,Code!B:C,2,FALSE))</f>
        <v>23</v>
      </c>
      <c r="D431">
        <v>2020</v>
      </c>
      <c r="E431">
        <v>163268</v>
      </c>
      <c r="F431" t="s">
        <v>127</v>
      </c>
      <c r="G431" t="s">
        <v>290</v>
      </c>
      <c r="H431" t="s">
        <v>10</v>
      </c>
      <c r="I431" cm="1">
        <f t="array" ref="I431">IF(B431=0,INDEX('Category 14'!F:F,MATCH(C431&amp;E431&amp;D431,'Category 14'!B:B&amp;'Category 14'!C:C&amp;'Category 14'!A:A,0)),INDEX('Category 14'!G:G,MATCH(C431&amp;E431&amp;D431,'Category 14'!B:B&amp;'Category 14'!C:C&amp;'Category 14'!A:A,0)))</f>
        <v>0</v>
      </c>
      <c r="J431">
        <f>I431/VLOOKUP($D431,CPI!$P$16:$R$22,3,FALSE)</f>
        <v>0</v>
      </c>
      <c r="K431" cm="1">
        <f t="array" ref="K431">IF(B431=0,INDEX('Category 15'!F:F,MATCH(C431&amp;E431&amp;D431,'Category 15'!B:B&amp;'Category 15'!C:C&amp;'Category 15'!A:A,0)),INDEX('Category 15'!G:G,MATCH(C431&amp;E431&amp;D431,'Category 15'!B:B&amp;'Category 31'!C:C&amp;'Category 15'!A:A,0)))</f>
        <v>0</v>
      </c>
      <c r="L431">
        <f>K431/VLOOKUP($D431,CPI!$P$16:$R$22,3,FALSE)</f>
        <v>0</v>
      </c>
      <c r="M431" s="16" cm="1">
        <f t="array" ref="M431">IF(B431=0,INDEX('Category 31'!F:F,MATCH(C431&amp;E431&amp;D431,'Category 31'!B:B&amp;'Category 31'!C:C&amp;'Category 31'!A:A,0)),INDEX('Category 31'!G:G,MATCH(C431&amp;E431&amp;D431,'Category 31'!B:B&amp;'Category 31'!C:C&amp;'Category 31'!A:A,0)))</f>
        <v>0</v>
      </c>
      <c r="N431" s="16">
        <f>M431/VLOOKUP($D431,CPI!$P$16:$R$22,3,FALSE)</f>
        <v>0</v>
      </c>
      <c r="O431">
        <f>VLOOKUP(E431,WVolleyball!C:S,9,FALSE)</f>
        <v>3549</v>
      </c>
    </row>
    <row r="432" spans="1:15" ht="16" thickBot="1" x14ac:dyDescent="0.25">
      <c r="A432" s="15">
        <v>2</v>
      </c>
      <c r="B432">
        <f t="shared" si="6"/>
        <v>0</v>
      </c>
      <c r="C432">
        <f>IF(ISBLANK(H432),"",VLOOKUP(H432,Code!B:C,2,FALSE))</f>
        <v>1</v>
      </c>
      <c r="D432">
        <v>2021</v>
      </c>
      <c r="E432">
        <v>163268</v>
      </c>
      <c r="F432" t="s">
        <v>127</v>
      </c>
      <c r="G432" t="s">
        <v>289</v>
      </c>
      <c r="H432" t="s">
        <v>0</v>
      </c>
      <c r="I432" cm="1">
        <f t="array" ref="I432">IF(B432=0,INDEX('Category 14'!F:F,MATCH(C432&amp;E432&amp;D432,'Category 14'!B:B&amp;'Category 14'!C:C&amp;'Category 14'!A:A,0)),INDEX('Category 14'!G:G,MATCH(C432&amp;E432&amp;D432,'Category 14'!B:B&amp;'Category 14'!C:C&amp;'Category 14'!A:A,0)))</f>
        <v>0</v>
      </c>
      <c r="J432">
        <f>I432/VLOOKUP($D432,CPI!$P$16:$R$22,3,FALSE)</f>
        <v>0</v>
      </c>
      <c r="K432" cm="1">
        <f t="array" ref="K432">IF(B432=0,INDEX('Category 15'!F:F,MATCH(C432&amp;E432&amp;D432,'Category 15'!B:B&amp;'Category 15'!C:C&amp;'Category 15'!A:A,0)),INDEX('Category 15'!G:G,MATCH(C432&amp;E432&amp;D432,'Category 15'!B:B&amp;'Category 31'!C:C&amp;'Category 15'!A:A,0)))</f>
        <v>0</v>
      </c>
      <c r="L432">
        <f>K432/VLOOKUP($D432,CPI!$P$16:$R$22,3,FALSE)</f>
        <v>0</v>
      </c>
      <c r="M432" s="16" cm="1">
        <f t="array" ref="M432">IF(B432=0,INDEX('Category 31'!F:F,MATCH(C432&amp;E432&amp;D432,'Category 31'!B:B&amp;'Category 31'!C:C&amp;'Category 31'!A:A,0)),INDEX('Category 31'!G:G,MATCH(C432&amp;E432&amp;D432,'Category 31'!B:B&amp;'Category 31'!C:C&amp;'Category 31'!A:A,0)))</f>
        <v>0</v>
      </c>
      <c r="N432" s="16">
        <f>M432/VLOOKUP($D432,CPI!$P$16:$R$22,3,FALSE)</f>
        <v>0</v>
      </c>
      <c r="O432">
        <f>VLOOKUP(E393,MBaseball!C:R,10,FALSE)</f>
        <v>2761</v>
      </c>
    </row>
    <row r="433" spans="1:15" ht="16" thickBot="1" x14ac:dyDescent="0.25">
      <c r="A433" s="15">
        <v>2</v>
      </c>
      <c r="B433">
        <f t="shared" si="6"/>
        <v>0</v>
      </c>
      <c r="C433">
        <f>IF(ISBLANK(H433),"",VLOOKUP(H433,Code!B:C,2,FALSE))</f>
        <v>2</v>
      </c>
      <c r="D433">
        <v>2021</v>
      </c>
      <c r="E433">
        <v>163268</v>
      </c>
      <c r="F433" t="s">
        <v>127</v>
      </c>
      <c r="G433" t="s">
        <v>289</v>
      </c>
      <c r="H433" t="s">
        <v>1</v>
      </c>
      <c r="I433" cm="1">
        <f t="array" ref="I433">IF(B433=0,INDEX('Category 14'!F:F,MATCH(C433&amp;E433&amp;D433,'Category 14'!B:B&amp;'Category 14'!C:C&amp;'Category 14'!A:A,0)),INDEX('Category 14'!G:G,MATCH(C433&amp;E433&amp;D433,'Category 14'!B:B&amp;'Category 14'!C:C&amp;'Category 14'!A:A,0)))</f>
        <v>0</v>
      </c>
      <c r="J433">
        <f>I433/VLOOKUP($D433,CPI!$P$16:$R$22,3,FALSE)</f>
        <v>0</v>
      </c>
      <c r="K433" cm="1">
        <f t="array" ref="K433">IF(B433=0,INDEX('Category 15'!F:F,MATCH(C433&amp;E433&amp;D433,'Category 15'!B:B&amp;'Category 15'!C:C&amp;'Category 15'!A:A,0)),INDEX('Category 15'!G:G,MATCH(C433&amp;E433&amp;D433,'Category 15'!B:B&amp;'Category 31'!C:C&amp;'Category 15'!A:A,0)))</f>
        <v>0</v>
      </c>
      <c r="L433">
        <f>K433/VLOOKUP($D433,CPI!$P$16:$R$22,3,FALSE)</f>
        <v>0</v>
      </c>
      <c r="M433" s="16" cm="1">
        <f t="array" ref="M433">IF(B433=0,INDEX('Category 31'!F:F,MATCH(C433&amp;E433&amp;D433,'Category 31'!B:B&amp;'Category 31'!C:C&amp;'Category 31'!A:A,0)),INDEX('Category 31'!G:G,MATCH(C433&amp;E433&amp;D433,'Category 31'!B:B&amp;'Category 31'!C:C&amp;'Category 31'!A:A,0)))</f>
        <v>0</v>
      </c>
      <c r="N433" s="16">
        <f>M433/VLOOKUP($D433,CPI!$P$16:$R$22,3,FALSE)</f>
        <v>0</v>
      </c>
      <c r="O433">
        <f>VLOOKUP(E433,MBasketball!C:S,10,FALSE)</f>
        <v>0</v>
      </c>
    </row>
    <row r="434" spans="1:15" ht="16" thickBot="1" x14ac:dyDescent="0.25">
      <c r="A434" s="15">
        <v>2</v>
      </c>
      <c r="B434">
        <f t="shared" si="6"/>
        <v>0</v>
      </c>
      <c r="C434">
        <f>IF(ISBLANK(H434),"",VLOOKUP(H434,Code!B:C,2,FALSE))</f>
        <v>12</v>
      </c>
      <c r="D434">
        <v>2021</v>
      </c>
      <c r="E434">
        <v>163268</v>
      </c>
      <c r="F434" t="s">
        <v>127</v>
      </c>
      <c r="G434" t="s">
        <v>289</v>
      </c>
      <c r="H434" t="s">
        <v>27</v>
      </c>
      <c r="I434" cm="1">
        <f t="array" ref="I434">IF(B434=0,INDEX('Category 14'!F:F,MATCH(C434&amp;E434&amp;D434,'Category 14'!B:B&amp;'Category 14'!C:C&amp;'Category 14'!A:A,0)),INDEX('Category 14'!G:G,MATCH(C434&amp;E434&amp;D434,'Category 14'!B:B&amp;'Category 14'!C:C&amp;'Category 14'!A:A,0)))</f>
        <v>0</v>
      </c>
      <c r="J434">
        <f>I434/VLOOKUP($D434,CPI!$P$16:$R$22,3,FALSE)</f>
        <v>0</v>
      </c>
      <c r="K434" cm="1">
        <f t="array" ref="K434">IF(B434=0,INDEX('Category 15'!F:F,MATCH(C434&amp;E434&amp;D434,'Category 15'!B:B&amp;'Category 15'!C:C&amp;'Category 15'!A:A,0)),INDEX('Category 15'!G:G,MATCH(C434&amp;E434&amp;D434,'Category 15'!B:B&amp;'Category 31'!C:C&amp;'Category 15'!A:A,0)))</f>
        <v>0</v>
      </c>
      <c r="L434">
        <f>K434/VLOOKUP($D434,CPI!$P$16:$R$22,3,FALSE)</f>
        <v>0</v>
      </c>
      <c r="M434" s="16" cm="1">
        <f t="array" ref="M434">IF(B434=0,INDEX('Category 31'!F:F,MATCH(C434&amp;E434&amp;D434,'Category 31'!B:B&amp;'Category 31'!C:C&amp;'Category 31'!A:A,0)),INDEX('Category 31'!G:G,MATCH(C434&amp;E434&amp;D434,'Category 31'!B:B&amp;'Category 31'!C:C&amp;'Category 31'!A:A,0)))</f>
        <v>0</v>
      </c>
      <c r="N434" s="16">
        <f>M434/VLOOKUP($D434,CPI!$P$16:$R$22,3,FALSE)</f>
        <v>0</v>
      </c>
      <c r="O434">
        <f>VLOOKUP(E434,MLacrosse!C:S,10,FALSE)</f>
        <v>451</v>
      </c>
    </row>
    <row r="435" spans="1:15" ht="16" thickBot="1" x14ac:dyDescent="0.25">
      <c r="A435" s="15">
        <v>2</v>
      </c>
      <c r="B435">
        <f t="shared" si="6"/>
        <v>0</v>
      </c>
      <c r="C435">
        <f>IF(ISBLANK(H435),"",VLOOKUP(H435,Code!B:C,2,FALSE))</f>
        <v>17</v>
      </c>
      <c r="D435">
        <v>2021</v>
      </c>
      <c r="E435">
        <v>163268</v>
      </c>
      <c r="F435" t="s">
        <v>127</v>
      </c>
      <c r="G435" t="s">
        <v>289</v>
      </c>
      <c r="H435" t="s">
        <v>5</v>
      </c>
      <c r="I435" cm="1">
        <f t="array" ref="I435">IF(B435=0,INDEX('Category 14'!F:F,MATCH(C435&amp;E435&amp;D435,'Category 14'!B:B&amp;'Category 14'!C:C&amp;'Category 14'!A:A,0)),INDEX('Category 14'!G:G,MATCH(C435&amp;E435&amp;D435,'Category 14'!B:B&amp;'Category 14'!C:C&amp;'Category 14'!A:A,0)))</f>
        <v>0</v>
      </c>
      <c r="J435">
        <f>I435/VLOOKUP($D435,CPI!$P$16:$R$22,3,FALSE)</f>
        <v>0</v>
      </c>
      <c r="K435" cm="1">
        <f t="array" ref="K435">IF(B435=0,INDEX('Category 15'!F:F,MATCH(C435&amp;E435&amp;D435,'Category 15'!B:B&amp;'Category 15'!C:C&amp;'Category 15'!A:A,0)),INDEX('Category 15'!G:G,MATCH(C435&amp;E435&amp;D435,'Category 15'!B:B&amp;'Category 31'!C:C&amp;'Category 15'!A:A,0)))</f>
        <v>0</v>
      </c>
      <c r="L435">
        <f>K435/VLOOKUP($D435,CPI!$P$16:$R$22,3,FALSE)</f>
        <v>0</v>
      </c>
      <c r="M435" s="16" cm="1">
        <f t="array" ref="M435">IF(B435=0,INDEX('Category 31'!F:F,MATCH(C435&amp;E435&amp;D435,'Category 31'!B:B&amp;'Category 31'!C:C&amp;'Category 31'!A:A,0)),INDEX('Category 31'!G:G,MATCH(C435&amp;E435&amp;D435,'Category 31'!B:B&amp;'Category 31'!C:C&amp;'Category 31'!A:A,0)))</f>
        <v>0</v>
      </c>
      <c r="N435" s="16">
        <f>M435/VLOOKUP($D435,CPI!$P$16:$R$22,3,FALSE)</f>
        <v>0</v>
      </c>
      <c r="O435">
        <f>VLOOKUP(E435,MSoccer!C:S,10,FALSE)</f>
        <v>157</v>
      </c>
    </row>
    <row r="436" spans="1:15" ht="16" thickBot="1" x14ac:dyDescent="0.25">
      <c r="A436" s="15">
        <v>2</v>
      </c>
      <c r="B436">
        <f t="shared" si="6"/>
        <v>0</v>
      </c>
      <c r="C436">
        <f>IF(ISBLANK(H436),"",VLOOKUP(H436,Code!B:C,2,FALSE))</f>
        <v>19</v>
      </c>
      <c r="D436">
        <v>2021</v>
      </c>
      <c r="E436">
        <v>163268</v>
      </c>
      <c r="F436" t="s">
        <v>127</v>
      </c>
      <c r="G436" t="s">
        <v>289</v>
      </c>
      <c r="H436" t="s">
        <v>7</v>
      </c>
      <c r="I436" cm="1">
        <f t="array" ref="I436">IF(B436=0,INDEX('Category 14'!F:F,MATCH(C436&amp;E436&amp;D436,'Category 14'!B:B&amp;'Category 14'!C:C&amp;'Category 14'!A:A,0)),INDEX('Category 14'!G:G,MATCH(C436&amp;E436&amp;D436,'Category 14'!B:B&amp;'Category 14'!C:C&amp;'Category 14'!A:A,0)))</f>
        <v>0</v>
      </c>
      <c r="J436">
        <f>I436/VLOOKUP($D436,CPI!$P$16:$R$22,3,FALSE)</f>
        <v>0</v>
      </c>
      <c r="K436" cm="1">
        <f t="array" ref="K436">IF(B436=0,INDEX('Category 15'!F:F,MATCH(C436&amp;E436&amp;D436,'Category 15'!B:B&amp;'Category 15'!C:C&amp;'Category 15'!A:A,0)),INDEX('Category 15'!G:G,MATCH(C436&amp;E436&amp;D436,'Category 15'!B:B&amp;'Category 31'!C:C&amp;'Category 15'!A:A,0)))</f>
        <v>0</v>
      </c>
      <c r="L436">
        <f>K436/VLOOKUP($D436,CPI!$P$16:$R$22,3,FALSE)</f>
        <v>0</v>
      </c>
      <c r="M436" s="16" cm="1">
        <f t="array" ref="M436">IF(B436=0,INDEX('Category 31'!F:F,MATCH(C436&amp;E436&amp;D436,'Category 31'!B:B&amp;'Category 31'!C:C&amp;'Category 31'!A:A,0)),INDEX('Category 31'!G:G,MATCH(C436&amp;E436&amp;D436,'Category 31'!B:B&amp;'Category 31'!C:C&amp;'Category 31'!A:A,0)))</f>
        <v>0</v>
      </c>
      <c r="N436" s="16">
        <f>M436/VLOOKUP($D436,CPI!$P$16:$R$22,3,FALSE)</f>
        <v>0</v>
      </c>
      <c r="O436">
        <v>0</v>
      </c>
    </row>
    <row r="437" spans="1:15" ht="16" thickBot="1" x14ac:dyDescent="0.25">
      <c r="A437" s="15">
        <v>2</v>
      </c>
      <c r="B437">
        <f t="shared" si="6"/>
        <v>0</v>
      </c>
      <c r="C437">
        <f>IF(ISBLANK(H437),"",VLOOKUP(H437,Code!B:C,2,FALSE))</f>
        <v>21</v>
      </c>
      <c r="D437">
        <v>2021</v>
      </c>
      <c r="E437">
        <v>163268</v>
      </c>
      <c r="F437" t="s">
        <v>127</v>
      </c>
      <c r="G437" t="s">
        <v>289</v>
      </c>
      <c r="H437" t="s">
        <v>36</v>
      </c>
      <c r="I437" cm="1">
        <f t="array" ref="I437">IF(B437=0,INDEX('Category 14'!F:F,MATCH(C437&amp;E437&amp;D437,'Category 14'!B:B&amp;'Category 14'!C:C&amp;'Category 14'!A:A,0)),INDEX('Category 14'!G:G,MATCH(C437&amp;E437&amp;D437,'Category 14'!B:B&amp;'Category 14'!C:C&amp;'Category 14'!A:A,0)))</f>
        <v>0</v>
      </c>
      <c r="J437">
        <f>I437/VLOOKUP($D437,CPI!$P$16:$R$22,3,FALSE)</f>
        <v>0</v>
      </c>
      <c r="K437" cm="1">
        <f t="array" ref="K437">IF(B437=0,INDEX('Category 15'!F:F,MATCH(C437&amp;E437&amp;D437,'Category 15'!B:B&amp;'Category 15'!C:C&amp;'Category 15'!A:A,0)),INDEX('Category 15'!G:G,MATCH(C437&amp;E437&amp;D437,'Category 15'!B:B&amp;'Category 31'!C:C&amp;'Category 15'!A:A,0)))</f>
        <v>0</v>
      </c>
      <c r="L437">
        <f>K437/VLOOKUP($D437,CPI!$P$16:$R$22,3,FALSE)</f>
        <v>0</v>
      </c>
      <c r="M437" s="16" cm="1">
        <f t="array" ref="M437">IF(B437=0,INDEX('Category 31'!F:F,MATCH(C437&amp;E437&amp;D437,'Category 31'!B:B&amp;'Category 31'!C:C&amp;'Category 31'!A:A,0)),INDEX('Category 31'!G:G,MATCH(C437&amp;E437&amp;D437,'Category 31'!B:B&amp;'Category 31'!C:C&amp;'Category 31'!A:A,0)))</f>
        <v>0</v>
      </c>
      <c r="N437" s="16">
        <f>M437/VLOOKUP($D437,CPI!$P$16:$R$22,3,FALSE)</f>
        <v>0</v>
      </c>
      <c r="O437">
        <v>0</v>
      </c>
    </row>
    <row r="438" spans="1:15" ht="16" thickBot="1" x14ac:dyDescent="0.25">
      <c r="A438" s="15">
        <v>2</v>
      </c>
      <c r="B438">
        <f t="shared" si="6"/>
        <v>1</v>
      </c>
      <c r="C438">
        <f>IF(ISBLANK(H438),"",VLOOKUP(H438,Code!B:C,2,FALSE))</f>
        <v>2</v>
      </c>
      <c r="D438">
        <v>2021</v>
      </c>
      <c r="E438">
        <v>163268</v>
      </c>
      <c r="F438" t="s">
        <v>127</v>
      </c>
      <c r="G438" t="s">
        <v>290</v>
      </c>
      <c r="H438" t="s">
        <v>1</v>
      </c>
      <c r="I438" cm="1">
        <f t="array" ref="I438">IF(B438=0,INDEX('Category 14'!F:F,MATCH(C438&amp;E438&amp;D438,'Category 14'!B:B&amp;'Category 14'!C:C&amp;'Category 14'!A:A,0)),INDEX('Category 14'!G:G,MATCH(C438&amp;E438&amp;D438,'Category 14'!B:B&amp;'Category 14'!C:C&amp;'Category 14'!A:A,0)))</f>
        <v>0</v>
      </c>
      <c r="J438">
        <f>I438/VLOOKUP($D438,CPI!$P$16:$R$22,3,FALSE)</f>
        <v>0</v>
      </c>
      <c r="K438" cm="1">
        <f t="array" ref="K438">IF(B438=0,INDEX('Category 15'!F:F,MATCH(C438&amp;E438&amp;D438,'Category 15'!B:B&amp;'Category 15'!C:C&amp;'Category 15'!A:A,0)),INDEX('Category 15'!G:G,MATCH(C438&amp;E438&amp;D438,'Category 15'!B:B&amp;'Category 31'!C:C&amp;'Category 15'!A:A,0)))</f>
        <v>0</v>
      </c>
      <c r="L438">
        <f>K438/VLOOKUP($D438,CPI!$P$16:$R$22,3,FALSE)</f>
        <v>0</v>
      </c>
      <c r="M438" s="16" cm="1">
        <f t="array" ref="M438">IF(B438=0,INDEX('Category 31'!F:F,MATCH(C438&amp;E438&amp;D438,'Category 31'!B:B&amp;'Category 31'!C:C&amp;'Category 31'!A:A,0)),INDEX('Category 31'!G:G,MATCH(C438&amp;E438&amp;D438,'Category 31'!B:B&amp;'Category 31'!C:C&amp;'Category 31'!A:A,0)))</f>
        <v>0</v>
      </c>
      <c r="N438" s="16">
        <f>M438/VLOOKUP($D438,CPI!$P$16:$R$22,3,FALSE)</f>
        <v>0</v>
      </c>
      <c r="O438">
        <f>VLOOKUP(E438,WBasketball!C:S,10,FALSE)</f>
        <v>0</v>
      </c>
    </row>
    <row r="439" spans="1:15" ht="16" thickBot="1" x14ac:dyDescent="0.25">
      <c r="A439" s="15">
        <v>2</v>
      </c>
      <c r="B439">
        <f t="shared" si="6"/>
        <v>1</v>
      </c>
      <c r="C439">
        <f>IF(ISBLANK(H439),"",VLOOKUP(H439,Code!B:C,2,FALSE))</f>
        <v>12</v>
      </c>
      <c r="D439">
        <v>2021</v>
      </c>
      <c r="E439">
        <v>163268</v>
      </c>
      <c r="F439" t="s">
        <v>127</v>
      </c>
      <c r="G439" t="s">
        <v>290</v>
      </c>
      <c r="H439" t="s">
        <v>27</v>
      </c>
      <c r="I439" cm="1">
        <f t="array" ref="I439">IF(B439=0,INDEX('Category 14'!F:F,MATCH(C439&amp;E439&amp;D439,'Category 14'!B:B&amp;'Category 14'!C:C&amp;'Category 14'!A:A,0)),INDEX('Category 14'!G:G,MATCH(C439&amp;E439&amp;D439,'Category 14'!B:B&amp;'Category 14'!C:C&amp;'Category 14'!A:A,0)))</f>
        <v>0</v>
      </c>
      <c r="J439">
        <f>I439/VLOOKUP($D439,CPI!$P$16:$R$22,3,FALSE)</f>
        <v>0</v>
      </c>
      <c r="K439" cm="1">
        <f t="array" ref="K439">IF(B439=0,INDEX('Category 15'!F:F,MATCH(C439&amp;E439&amp;D439,'Category 15'!B:B&amp;'Category 15'!C:C&amp;'Category 15'!A:A,0)),INDEX('Category 15'!G:G,MATCH(C439&amp;E439&amp;D439,'Category 15'!B:B&amp;'Category 31'!C:C&amp;'Category 15'!A:A,0)))</f>
        <v>0</v>
      </c>
      <c r="L439">
        <f>K439/VLOOKUP($D439,CPI!$P$16:$R$22,3,FALSE)</f>
        <v>0</v>
      </c>
      <c r="M439" s="16" cm="1">
        <f t="array" ref="M439">IF(B439=0,INDEX('Category 31'!F:F,MATCH(C439&amp;E439&amp;D439,'Category 31'!B:B&amp;'Category 31'!C:C&amp;'Category 31'!A:A,0)),INDEX('Category 31'!G:G,MATCH(C439&amp;E439&amp;D439,'Category 31'!B:B&amp;'Category 31'!C:C&amp;'Category 31'!A:A,0)))</f>
        <v>0</v>
      </c>
      <c r="N439" s="16">
        <f>M439/VLOOKUP($D439,CPI!$P$16:$R$22,3,FALSE)</f>
        <v>0</v>
      </c>
      <c r="O439">
        <f>VLOOKUP(E439,WLacrosse!C:S,10,FALSE)</f>
        <v>335</v>
      </c>
    </row>
    <row r="440" spans="1:15" ht="16" thickBot="1" x14ac:dyDescent="0.25">
      <c r="A440" s="15">
        <v>2</v>
      </c>
      <c r="B440">
        <f t="shared" si="6"/>
        <v>1</v>
      </c>
      <c r="C440">
        <f>IF(ISBLANK(H440),"",VLOOKUP(H440,Code!B:C,2,FALSE))</f>
        <v>17</v>
      </c>
      <c r="D440">
        <v>2021</v>
      </c>
      <c r="E440">
        <v>163268</v>
      </c>
      <c r="F440" t="s">
        <v>127</v>
      </c>
      <c r="G440" t="s">
        <v>290</v>
      </c>
      <c r="H440" t="s">
        <v>5</v>
      </c>
      <c r="I440" cm="1">
        <f t="array" ref="I440">IF(B440=0,INDEX('Category 14'!F:F,MATCH(C440&amp;E440&amp;D440,'Category 14'!B:B&amp;'Category 14'!C:C&amp;'Category 14'!A:A,0)),INDEX('Category 14'!G:G,MATCH(C440&amp;E440&amp;D440,'Category 14'!B:B&amp;'Category 14'!C:C&amp;'Category 14'!A:A,0)))</f>
        <v>0</v>
      </c>
      <c r="J440">
        <f>I440/VLOOKUP($D440,CPI!$P$16:$R$22,3,FALSE)</f>
        <v>0</v>
      </c>
      <c r="K440" cm="1">
        <f t="array" ref="K440">IF(B440=0,INDEX('Category 15'!F:F,MATCH(C440&amp;E440&amp;D440,'Category 15'!B:B&amp;'Category 15'!C:C&amp;'Category 15'!A:A,0)),INDEX('Category 15'!G:G,MATCH(C440&amp;E440&amp;D440,'Category 15'!B:B&amp;'Category 31'!C:C&amp;'Category 15'!A:A,0)))</f>
        <v>0</v>
      </c>
      <c r="L440">
        <f>K440/VLOOKUP($D440,CPI!$P$16:$R$22,3,FALSE)</f>
        <v>0</v>
      </c>
      <c r="M440" s="16" cm="1">
        <f t="array" ref="M440">IF(B440=0,INDEX('Category 31'!F:F,MATCH(C440&amp;E440&amp;D440,'Category 31'!B:B&amp;'Category 31'!C:C&amp;'Category 31'!A:A,0)),INDEX('Category 31'!G:G,MATCH(C440&amp;E440&amp;D440,'Category 31'!B:B&amp;'Category 31'!C:C&amp;'Category 31'!A:A,0)))</f>
        <v>0</v>
      </c>
      <c r="N440" s="16">
        <f>M440/VLOOKUP($D440,CPI!$P$16:$R$22,3,FALSE)</f>
        <v>0</v>
      </c>
      <c r="O440">
        <f>VLOOKUP(E440,WSoccer!C:S,10,FALSE)</f>
        <v>229</v>
      </c>
    </row>
    <row r="441" spans="1:15" ht="16" thickBot="1" x14ac:dyDescent="0.25">
      <c r="A441" s="15">
        <v>2</v>
      </c>
      <c r="B441">
        <f t="shared" si="6"/>
        <v>1</v>
      </c>
      <c r="C441">
        <f>IF(ISBLANK(H441),"",VLOOKUP(H441,Code!B:C,2,FALSE))</f>
        <v>18</v>
      </c>
      <c r="D441">
        <v>2021</v>
      </c>
      <c r="E441">
        <v>163268</v>
      </c>
      <c r="F441" t="s">
        <v>127</v>
      </c>
      <c r="G441" t="s">
        <v>290</v>
      </c>
      <c r="H441" t="s">
        <v>6</v>
      </c>
      <c r="I441" cm="1">
        <f t="array" ref="I441">IF(B441=0,INDEX('Category 14'!F:F,MATCH(C441&amp;E441&amp;D441,'Category 14'!B:B&amp;'Category 14'!C:C&amp;'Category 14'!A:A,0)),INDEX('Category 14'!G:G,MATCH(C441&amp;E441&amp;D441,'Category 14'!B:B&amp;'Category 14'!C:C&amp;'Category 14'!A:A,0)))</f>
        <v>0</v>
      </c>
      <c r="J441">
        <f>I441/VLOOKUP($D441,CPI!$P$16:$R$22,3,FALSE)</f>
        <v>0</v>
      </c>
      <c r="K441" cm="1">
        <f t="array" ref="K441">IF(B441=0,INDEX('Category 15'!F:F,MATCH(C441&amp;E441&amp;D441,'Category 15'!B:B&amp;'Category 15'!C:C&amp;'Category 15'!A:A,0)),INDEX('Category 15'!G:G,MATCH(C441&amp;E441&amp;D441,'Category 15'!B:B&amp;'Category 31'!C:C&amp;'Category 15'!A:A,0)))</f>
        <v>0</v>
      </c>
      <c r="L441">
        <f>K441/VLOOKUP($D441,CPI!$P$16:$R$22,3,FALSE)</f>
        <v>0</v>
      </c>
      <c r="M441" s="16" cm="1">
        <f t="array" ref="M441">IF(B441=0,INDEX('Category 31'!F:F,MATCH(C441&amp;E441&amp;D441,'Category 31'!B:B&amp;'Category 31'!C:C&amp;'Category 31'!A:A,0)),INDEX('Category 31'!G:G,MATCH(C441&amp;E441&amp;D441,'Category 31'!B:B&amp;'Category 31'!C:C&amp;'Category 31'!A:A,0)))</f>
        <v>0</v>
      </c>
      <c r="N441" s="16">
        <f>M441/VLOOKUP($D441,CPI!$P$16:$R$22,3,FALSE)</f>
        <v>0</v>
      </c>
      <c r="O441">
        <f>VLOOKUP(E441,WSoftball!C:S,10,FALSE)</f>
        <v>1777</v>
      </c>
    </row>
    <row r="442" spans="1:15" ht="16" thickBot="1" x14ac:dyDescent="0.25">
      <c r="A442" s="15">
        <v>2</v>
      </c>
      <c r="B442">
        <f t="shared" si="6"/>
        <v>1</v>
      </c>
      <c r="C442">
        <f>IF(ISBLANK(H442),"",VLOOKUP(H442,Code!B:C,2,FALSE))</f>
        <v>19</v>
      </c>
      <c r="D442">
        <v>2021</v>
      </c>
      <c r="E442">
        <v>163268</v>
      </c>
      <c r="F442" t="s">
        <v>127</v>
      </c>
      <c r="G442" t="s">
        <v>290</v>
      </c>
      <c r="H442" t="s">
        <v>7</v>
      </c>
      <c r="I442" cm="1">
        <f t="array" ref="I442">IF(B442=0,INDEX('Category 14'!F:F,MATCH(C442&amp;E442&amp;D442,'Category 14'!B:B&amp;'Category 14'!C:C&amp;'Category 14'!A:A,0)),INDEX('Category 14'!G:G,MATCH(C442&amp;E442&amp;D442,'Category 14'!B:B&amp;'Category 14'!C:C&amp;'Category 14'!A:A,0)))</f>
        <v>0</v>
      </c>
      <c r="J442">
        <f>I442/VLOOKUP($D442,CPI!$P$16:$R$22,3,FALSE)</f>
        <v>0</v>
      </c>
      <c r="K442" cm="1">
        <f t="array" ref="K442">IF(B442=0,INDEX('Category 15'!F:F,MATCH(C442&amp;E442&amp;D442,'Category 15'!B:B&amp;'Category 15'!C:C&amp;'Category 15'!A:A,0)),INDEX('Category 15'!G:G,MATCH(C442&amp;E442&amp;D442,'Category 15'!B:B&amp;'Category 31'!C:C&amp;'Category 15'!A:A,0)))</f>
        <v>0</v>
      </c>
      <c r="L442">
        <f>K442/VLOOKUP($D442,CPI!$P$16:$R$22,3,FALSE)</f>
        <v>0</v>
      </c>
      <c r="M442" s="16" cm="1">
        <f t="array" ref="M442">IF(B442=0,INDEX('Category 31'!F:F,MATCH(C442&amp;E442&amp;D442,'Category 31'!B:B&amp;'Category 31'!C:C&amp;'Category 31'!A:A,0)),INDEX('Category 31'!G:G,MATCH(C442&amp;E442&amp;D442,'Category 31'!B:B&amp;'Category 31'!C:C&amp;'Category 31'!A:A,0)))</f>
        <v>0</v>
      </c>
      <c r="N442" s="16">
        <f>M442/VLOOKUP($D442,CPI!$P$16:$R$22,3,FALSE)</f>
        <v>0</v>
      </c>
      <c r="O442">
        <v>0</v>
      </c>
    </row>
    <row r="443" spans="1:15" ht="16" thickBot="1" x14ac:dyDescent="0.25">
      <c r="A443" s="15">
        <v>2</v>
      </c>
      <c r="B443">
        <f t="shared" si="6"/>
        <v>1</v>
      </c>
      <c r="C443">
        <f>IF(ISBLANK(H443),"",VLOOKUP(H443,Code!B:C,2,FALSE))</f>
        <v>21</v>
      </c>
      <c r="D443">
        <v>2021</v>
      </c>
      <c r="E443">
        <v>163268</v>
      </c>
      <c r="F443" t="s">
        <v>127</v>
      </c>
      <c r="G443" t="s">
        <v>290</v>
      </c>
      <c r="H443" t="s">
        <v>36</v>
      </c>
      <c r="I443" cm="1">
        <f t="array" ref="I443">IF(B443=0,INDEX('Category 14'!F:F,MATCH(C443&amp;E443&amp;D443,'Category 14'!B:B&amp;'Category 14'!C:C&amp;'Category 14'!A:A,0)),INDEX('Category 14'!G:G,MATCH(C443&amp;E443&amp;D443,'Category 14'!B:B&amp;'Category 14'!C:C&amp;'Category 14'!A:A,0)))</f>
        <v>0</v>
      </c>
      <c r="J443">
        <f>I443/VLOOKUP($D443,CPI!$P$16:$R$22,3,FALSE)</f>
        <v>0</v>
      </c>
      <c r="K443" cm="1">
        <f t="array" ref="K443">IF(B443=0,INDEX('Category 15'!F:F,MATCH(C443&amp;E443&amp;D443,'Category 15'!B:B&amp;'Category 15'!C:C&amp;'Category 15'!A:A,0)),INDEX('Category 15'!G:G,MATCH(C443&amp;E443&amp;D443,'Category 15'!B:B&amp;'Category 31'!C:C&amp;'Category 15'!A:A,0)))</f>
        <v>0</v>
      </c>
      <c r="L443">
        <f>K443/VLOOKUP($D443,CPI!$P$16:$R$22,3,FALSE)</f>
        <v>0</v>
      </c>
      <c r="M443" s="16" cm="1">
        <f t="array" ref="M443">IF(B443=0,INDEX('Category 31'!F:F,MATCH(C443&amp;E443&amp;D443,'Category 31'!B:B&amp;'Category 31'!C:C&amp;'Category 31'!A:A,0)),INDEX('Category 31'!G:G,MATCH(C443&amp;E443&amp;D443,'Category 31'!B:B&amp;'Category 31'!C:C&amp;'Category 31'!A:A,0)))</f>
        <v>0</v>
      </c>
      <c r="N443" s="16">
        <f>M443/VLOOKUP($D443,CPI!$P$16:$R$22,3,FALSE)</f>
        <v>0</v>
      </c>
      <c r="O443">
        <v>0</v>
      </c>
    </row>
    <row r="444" spans="1:15" ht="16" thickBot="1" x14ac:dyDescent="0.25">
      <c r="A444" s="15">
        <v>2</v>
      </c>
      <c r="B444">
        <f t="shared" si="6"/>
        <v>1</v>
      </c>
      <c r="C444">
        <f>IF(ISBLANK(H444),"",VLOOKUP(H444,Code!B:C,2,FALSE))</f>
        <v>23</v>
      </c>
      <c r="D444">
        <v>2021</v>
      </c>
      <c r="E444">
        <v>163268</v>
      </c>
      <c r="F444" t="s">
        <v>127</v>
      </c>
      <c r="G444" t="s">
        <v>290</v>
      </c>
      <c r="H444" t="s">
        <v>10</v>
      </c>
      <c r="I444" cm="1">
        <f t="array" ref="I444">IF(B444=0,INDEX('Category 14'!F:F,MATCH(C444&amp;E444&amp;D444,'Category 14'!B:B&amp;'Category 14'!C:C&amp;'Category 14'!A:A,0)),INDEX('Category 14'!G:G,MATCH(C444&amp;E444&amp;D444,'Category 14'!B:B&amp;'Category 14'!C:C&amp;'Category 14'!A:A,0)))</f>
        <v>0</v>
      </c>
      <c r="J444">
        <f>I444/VLOOKUP($D444,CPI!$P$16:$R$22,3,FALSE)</f>
        <v>0</v>
      </c>
      <c r="K444" cm="1">
        <f t="array" ref="K444">IF(B444=0,INDEX('Category 15'!F:F,MATCH(C444&amp;E444&amp;D444,'Category 15'!B:B&amp;'Category 15'!C:C&amp;'Category 15'!A:A,0)),INDEX('Category 15'!G:G,MATCH(C444&amp;E444&amp;D444,'Category 15'!B:B&amp;'Category 31'!C:C&amp;'Category 15'!A:A,0)))</f>
        <v>0</v>
      </c>
      <c r="L444">
        <f>K444/VLOOKUP($D444,CPI!$P$16:$R$22,3,FALSE)</f>
        <v>0</v>
      </c>
      <c r="M444" s="16" cm="1">
        <f t="array" ref="M444">IF(B444=0,INDEX('Category 31'!F:F,MATCH(C444&amp;E444&amp;D444,'Category 31'!B:B&amp;'Category 31'!C:C&amp;'Category 31'!A:A,0)),INDEX('Category 31'!G:G,MATCH(C444&amp;E444&amp;D444,'Category 31'!B:B&amp;'Category 31'!C:C&amp;'Category 31'!A:A,0)))</f>
        <v>0</v>
      </c>
      <c r="N444" s="16">
        <f>M444/VLOOKUP($D444,CPI!$P$16:$R$22,3,FALSE)</f>
        <v>0</v>
      </c>
      <c r="O444">
        <f>VLOOKUP(E444,WVolleyball!C:S,10,FALSE)</f>
        <v>0</v>
      </c>
    </row>
    <row r="445" spans="1:15" ht="16" thickBot="1" x14ac:dyDescent="0.25">
      <c r="A445" s="15">
        <v>2</v>
      </c>
      <c r="B445">
        <f t="shared" si="6"/>
        <v>0</v>
      </c>
      <c r="C445">
        <f>IF(ISBLANK(H445),"",VLOOKUP(H445,Code!B:C,2,FALSE))</f>
        <v>1</v>
      </c>
      <c r="D445">
        <v>2022</v>
      </c>
      <c r="E445">
        <v>163268</v>
      </c>
      <c r="F445" t="s">
        <v>127</v>
      </c>
      <c r="G445" t="s">
        <v>289</v>
      </c>
      <c r="H445" t="s">
        <v>0</v>
      </c>
      <c r="I445" cm="1">
        <f t="array" ref="I445">IF(B445=0,INDEX('Category 14'!F:F,MATCH(C445&amp;E445&amp;D445,'Category 14'!B:B&amp;'Category 14'!C:C&amp;'Category 14'!A:A,0)),INDEX('Category 14'!G:G,MATCH(C445&amp;E445&amp;D445,'Category 14'!B:B&amp;'Category 14'!C:C&amp;'Category 14'!A:A,0)))</f>
        <v>0</v>
      </c>
      <c r="J445">
        <f>I445/VLOOKUP($D445,CPI!$P$16:$R$22,3,FALSE)</f>
        <v>0</v>
      </c>
      <c r="K445" cm="1">
        <f t="array" ref="K445">IF(B445=0,INDEX('Category 15'!F:F,MATCH(C445&amp;E445&amp;D445,'Category 15'!B:B&amp;'Category 15'!C:C&amp;'Category 15'!A:A,0)),INDEX('Category 15'!G:G,MATCH(C445&amp;E445&amp;D445,'Category 15'!B:B&amp;'Category 31'!C:C&amp;'Category 15'!A:A,0)))</f>
        <v>0</v>
      </c>
      <c r="L445">
        <f>K445/VLOOKUP($D445,CPI!$P$16:$R$22,3,FALSE)</f>
        <v>0</v>
      </c>
      <c r="M445" s="16" cm="1">
        <f t="array" ref="M445">IF(B445=0,INDEX('Category 31'!F:F,MATCH(C445&amp;E445&amp;D445,'Category 31'!B:B&amp;'Category 31'!C:C&amp;'Category 31'!A:A,0)),INDEX('Category 31'!G:G,MATCH(C445&amp;E445&amp;D445,'Category 31'!B:B&amp;'Category 31'!C:C&amp;'Category 31'!A:A,0)))</f>
        <v>0</v>
      </c>
      <c r="N445" s="16">
        <f>M445/VLOOKUP($D445,CPI!$P$16:$R$22,3,FALSE)</f>
        <v>0</v>
      </c>
      <c r="O445">
        <f>VLOOKUP(E406,MBaseball!C:R,11,FALSE)</f>
        <v>3195</v>
      </c>
    </row>
    <row r="446" spans="1:15" ht="16" thickBot="1" x14ac:dyDescent="0.25">
      <c r="A446" s="15">
        <v>2</v>
      </c>
      <c r="B446">
        <f t="shared" si="6"/>
        <v>0</v>
      </c>
      <c r="C446">
        <f>IF(ISBLANK(H446),"",VLOOKUP(H446,Code!B:C,2,FALSE))</f>
        <v>2</v>
      </c>
      <c r="D446">
        <v>2022</v>
      </c>
      <c r="E446">
        <v>163268</v>
      </c>
      <c r="F446" t="s">
        <v>127</v>
      </c>
      <c r="G446" t="s">
        <v>289</v>
      </c>
      <c r="H446" t="s">
        <v>1</v>
      </c>
      <c r="I446" cm="1">
        <f t="array" ref="I446">IF(B446=0,INDEX('Category 14'!F:F,MATCH(C446&amp;E446&amp;D446,'Category 14'!B:B&amp;'Category 14'!C:C&amp;'Category 14'!A:A,0)),INDEX('Category 14'!G:G,MATCH(C446&amp;E446&amp;D446,'Category 14'!B:B&amp;'Category 14'!C:C&amp;'Category 14'!A:A,0)))</f>
        <v>0</v>
      </c>
      <c r="J446">
        <f>I446/VLOOKUP($D446,CPI!$P$16:$R$22,3,FALSE)</f>
        <v>0</v>
      </c>
      <c r="K446" cm="1">
        <f t="array" ref="K446">IF(B446=0,INDEX('Category 15'!F:F,MATCH(C446&amp;E446&amp;D446,'Category 15'!B:B&amp;'Category 15'!C:C&amp;'Category 15'!A:A,0)),INDEX('Category 15'!G:G,MATCH(C446&amp;E446&amp;D446,'Category 15'!B:B&amp;'Category 31'!C:C&amp;'Category 15'!A:A,0)))</f>
        <v>0</v>
      </c>
      <c r="L446">
        <f>K446/VLOOKUP($D446,CPI!$P$16:$R$22,3,FALSE)</f>
        <v>0</v>
      </c>
      <c r="M446" s="16" cm="1">
        <f t="array" ref="M446">IF(B446=0,INDEX('Category 31'!F:F,MATCH(C446&amp;E446&amp;D446,'Category 31'!B:B&amp;'Category 31'!C:C&amp;'Category 31'!A:A,0)),INDEX('Category 31'!G:G,MATCH(C446&amp;E446&amp;D446,'Category 31'!B:B&amp;'Category 31'!C:C&amp;'Category 31'!A:A,0)))</f>
        <v>0</v>
      </c>
      <c r="N446" s="16">
        <f>M446/VLOOKUP($D446,CPI!$P$16:$R$22,3,FALSE)</f>
        <v>0</v>
      </c>
      <c r="O446">
        <f>VLOOKUP(E446,MBasketball!C:S,11,FALSE)</f>
        <v>25486</v>
      </c>
    </row>
    <row r="447" spans="1:15" ht="16" thickBot="1" x14ac:dyDescent="0.25">
      <c r="A447" s="15">
        <v>2</v>
      </c>
      <c r="B447">
        <f t="shared" si="6"/>
        <v>0</v>
      </c>
      <c r="C447">
        <f>IF(ISBLANK(H447),"",VLOOKUP(H447,Code!B:C,2,FALSE))</f>
        <v>12</v>
      </c>
      <c r="D447">
        <v>2022</v>
      </c>
      <c r="E447">
        <v>163268</v>
      </c>
      <c r="F447" t="s">
        <v>127</v>
      </c>
      <c r="G447" t="s">
        <v>289</v>
      </c>
      <c r="H447" t="s">
        <v>27</v>
      </c>
      <c r="I447" cm="1">
        <f t="array" ref="I447">IF(B447=0,INDEX('Category 14'!F:F,MATCH(C447&amp;E447&amp;D447,'Category 14'!B:B&amp;'Category 14'!C:C&amp;'Category 14'!A:A,0)),INDEX('Category 14'!G:G,MATCH(C447&amp;E447&amp;D447,'Category 14'!B:B&amp;'Category 14'!C:C&amp;'Category 14'!A:A,0)))</f>
        <v>0</v>
      </c>
      <c r="J447">
        <f>I447/VLOOKUP($D447,CPI!$P$16:$R$22,3,FALSE)</f>
        <v>0</v>
      </c>
      <c r="K447" cm="1">
        <f t="array" ref="K447">IF(B447=0,INDEX('Category 15'!F:F,MATCH(C447&amp;E447&amp;D447,'Category 15'!B:B&amp;'Category 15'!C:C&amp;'Category 15'!A:A,0)),INDEX('Category 15'!G:G,MATCH(C447&amp;E447&amp;D447,'Category 15'!B:B&amp;'Category 31'!C:C&amp;'Category 15'!A:A,0)))</f>
        <v>0</v>
      </c>
      <c r="L447">
        <f>K447/VLOOKUP($D447,CPI!$P$16:$R$22,3,FALSE)</f>
        <v>0</v>
      </c>
      <c r="M447" s="16" cm="1">
        <f t="array" ref="M447">IF(B447=0,INDEX('Category 31'!F:F,MATCH(C447&amp;E447&amp;D447,'Category 31'!B:B&amp;'Category 31'!C:C&amp;'Category 31'!A:A,0)),INDEX('Category 31'!G:G,MATCH(C447&amp;E447&amp;D447,'Category 31'!B:B&amp;'Category 31'!C:C&amp;'Category 31'!A:A,0)))</f>
        <v>0</v>
      </c>
      <c r="N447" s="16">
        <f>M447/VLOOKUP($D447,CPI!$P$16:$R$22,3,FALSE)</f>
        <v>0</v>
      </c>
      <c r="O447">
        <f>VLOOKUP(E447,MLacrosse!C:S,11,FALSE)</f>
        <v>4077</v>
      </c>
    </row>
    <row r="448" spans="1:15" ht="16" thickBot="1" x14ac:dyDescent="0.25">
      <c r="A448" s="15">
        <v>2</v>
      </c>
      <c r="B448">
        <f t="shared" si="6"/>
        <v>0</v>
      </c>
      <c r="C448">
        <f>IF(ISBLANK(H448),"",VLOOKUP(H448,Code!B:C,2,FALSE))</f>
        <v>17</v>
      </c>
      <c r="D448">
        <v>2022</v>
      </c>
      <c r="E448">
        <v>163268</v>
      </c>
      <c r="F448" t="s">
        <v>127</v>
      </c>
      <c r="G448" t="s">
        <v>289</v>
      </c>
      <c r="H448" t="s">
        <v>5</v>
      </c>
      <c r="I448" cm="1">
        <f t="array" ref="I448">IF(B448=0,INDEX('Category 14'!F:F,MATCH(C448&amp;E448&amp;D448,'Category 14'!B:B&amp;'Category 14'!C:C&amp;'Category 14'!A:A,0)),INDEX('Category 14'!G:G,MATCH(C448&amp;E448&amp;D448,'Category 14'!B:B&amp;'Category 14'!C:C&amp;'Category 14'!A:A,0)))</f>
        <v>0</v>
      </c>
      <c r="J448">
        <f>I448/VLOOKUP($D448,CPI!$P$16:$R$22,3,FALSE)</f>
        <v>0</v>
      </c>
      <c r="K448" cm="1">
        <f t="array" ref="K448">IF(B448=0,INDEX('Category 15'!F:F,MATCH(C448&amp;E448&amp;D448,'Category 15'!B:B&amp;'Category 15'!C:C&amp;'Category 15'!A:A,0)),INDEX('Category 15'!G:G,MATCH(C448&amp;E448&amp;D448,'Category 15'!B:B&amp;'Category 31'!C:C&amp;'Category 15'!A:A,0)))</f>
        <v>0</v>
      </c>
      <c r="L448">
        <f>K448/VLOOKUP($D448,CPI!$P$16:$R$22,3,FALSE)</f>
        <v>0</v>
      </c>
      <c r="M448" s="16" cm="1">
        <f t="array" ref="M448">IF(B448=0,INDEX('Category 31'!F:F,MATCH(C448&amp;E448&amp;D448,'Category 31'!B:B&amp;'Category 31'!C:C&amp;'Category 31'!A:A,0)),INDEX('Category 31'!G:G,MATCH(C448&amp;E448&amp;D448,'Category 31'!B:B&amp;'Category 31'!C:C&amp;'Category 31'!A:A,0)))</f>
        <v>0</v>
      </c>
      <c r="N448" s="16">
        <f>M448/VLOOKUP($D448,CPI!$P$16:$R$22,3,FALSE)</f>
        <v>0</v>
      </c>
      <c r="O448">
        <f>VLOOKUP(E448,MSoccer!C:S,11,FALSE)</f>
        <v>12559</v>
      </c>
    </row>
    <row r="449" spans="1:15" ht="16" thickBot="1" x14ac:dyDescent="0.25">
      <c r="A449" s="15">
        <v>2</v>
      </c>
      <c r="B449">
        <f t="shared" si="6"/>
        <v>0</v>
      </c>
      <c r="C449">
        <f>IF(ISBLANK(H449),"",VLOOKUP(H449,Code!B:C,2,FALSE))</f>
        <v>19</v>
      </c>
      <c r="D449">
        <v>2022</v>
      </c>
      <c r="E449">
        <v>163268</v>
      </c>
      <c r="F449" t="s">
        <v>127</v>
      </c>
      <c r="G449" t="s">
        <v>289</v>
      </c>
      <c r="H449" t="s">
        <v>7</v>
      </c>
      <c r="I449" cm="1">
        <f t="array" ref="I449">IF(B449=0,INDEX('Category 14'!F:F,MATCH(C449&amp;E449&amp;D449,'Category 14'!B:B&amp;'Category 14'!C:C&amp;'Category 14'!A:A,0)),INDEX('Category 14'!G:G,MATCH(C449&amp;E449&amp;D449,'Category 14'!B:B&amp;'Category 14'!C:C&amp;'Category 14'!A:A,0)))</f>
        <v>0</v>
      </c>
      <c r="J449">
        <f>I449/VLOOKUP($D449,CPI!$P$16:$R$22,3,FALSE)</f>
        <v>0</v>
      </c>
      <c r="K449" cm="1">
        <f t="array" ref="K449">IF(B449=0,INDEX('Category 15'!F:F,MATCH(C449&amp;E449&amp;D449,'Category 15'!B:B&amp;'Category 15'!C:C&amp;'Category 15'!A:A,0)),INDEX('Category 15'!G:G,MATCH(C449&amp;E449&amp;D449,'Category 15'!B:B&amp;'Category 31'!C:C&amp;'Category 15'!A:A,0)))</f>
        <v>0</v>
      </c>
      <c r="L449">
        <f>K449/VLOOKUP($D449,CPI!$P$16:$R$22,3,FALSE)</f>
        <v>0</v>
      </c>
      <c r="M449" s="16" cm="1">
        <f t="array" ref="M449">IF(B449=0,INDEX('Category 31'!F:F,MATCH(C449&amp;E449&amp;D449,'Category 31'!B:B&amp;'Category 31'!C:C&amp;'Category 31'!A:A,0)),INDEX('Category 31'!G:G,MATCH(C449&amp;E449&amp;D449,'Category 31'!B:B&amp;'Category 31'!C:C&amp;'Category 31'!A:A,0)))</f>
        <v>0</v>
      </c>
      <c r="N449" s="16">
        <f>M449/VLOOKUP($D449,CPI!$P$16:$R$22,3,FALSE)</f>
        <v>0</v>
      </c>
      <c r="O449">
        <v>0</v>
      </c>
    </row>
    <row r="450" spans="1:15" ht="16" thickBot="1" x14ac:dyDescent="0.25">
      <c r="A450" s="15">
        <v>2</v>
      </c>
      <c r="B450">
        <f t="shared" si="6"/>
        <v>0</v>
      </c>
      <c r="C450">
        <f>IF(ISBLANK(H450),"",VLOOKUP(H450,Code!B:C,2,FALSE))</f>
        <v>21</v>
      </c>
      <c r="D450">
        <v>2022</v>
      </c>
      <c r="E450">
        <v>163268</v>
      </c>
      <c r="F450" t="s">
        <v>127</v>
      </c>
      <c r="G450" t="s">
        <v>289</v>
      </c>
      <c r="H450" t="s">
        <v>36</v>
      </c>
      <c r="I450" cm="1">
        <f t="array" ref="I450">IF(B450=0,INDEX('Category 14'!F:F,MATCH(C450&amp;E450&amp;D450,'Category 14'!B:B&amp;'Category 14'!C:C&amp;'Category 14'!A:A,0)),INDEX('Category 14'!G:G,MATCH(C450&amp;E450&amp;D450,'Category 14'!B:B&amp;'Category 14'!C:C&amp;'Category 14'!A:A,0)))</f>
        <v>0</v>
      </c>
      <c r="J450">
        <f>I450/VLOOKUP($D450,CPI!$P$16:$R$22,3,FALSE)</f>
        <v>0</v>
      </c>
      <c r="K450" cm="1">
        <f t="array" ref="K450">IF(B450=0,INDEX('Category 15'!F:F,MATCH(C450&amp;E450&amp;D450,'Category 15'!B:B&amp;'Category 15'!C:C&amp;'Category 15'!A:A,0)),INDEX('Category 15'!G:G,MATCH(C450&amp;E450&amp;D450,'Category 15'!B:B&amp;'Category 31'!C:C&amp;'Category 15'!A:A,0)))</f>
        <v>0</v>
      </c>
      <c r="L450">
        <f>K450/VLOOKUP($D450,CPI!$P$16:$R$22,3,FALSE)</f>
        <v>0</v>
      </c>
      <c r="M450" s="16" cm="1">
        <f t="array" ref="M450">IF(B450=0,INDEX('Category 31'!F:F,MATCH(C450&amp;E450&amp;D450,'Category 31'!B:B&amp;'Category 31'!C:C&amp;'Category 31'!A:A,0)),INDEX('Category 31'!G:G,MATCH(C450&amp;E450&amp;D450,'Category 31'!B:B&amp;'Category 31'!C:C&amp;'Category 31'!A:A,0)))</f>
        <v>0</v>
      </c>
      <c r="N450" s="16">
        <f>M450/VLOOKUP($D450,CPI!$P$16:$R$22,3,FALSE)</f>
        <v>0</v>
      </c>
      <c r="O450">
        <v>0</v>
      </c>
    </row>
    <row r="451" spans="1:15" ht="16" thickBot="1" x14ac:dyDescent="0.25">
      <c r="A451" s="15">
        <v>2</v>
      </c>
      <c r="B451">
        <f t="shared" ref="B451:B514" si="7">IF(ISBLANK(G451),"",IF(MID(G451,1,1)="M",0,1))</f>
        <v>1</v>
      </c>
      <c r="C451">
        <f>IF(ISBLANK(H451),"",VLOOKUP(H451,Code!B:C,2,FALSE))</f>
        <v>2</v>
      </c>
      <c r="D451">
        <v>2022</v>
      </c>
      <c r="E451">
        <v>163268</v>
      </c>
      <c r="F451" t="s">
        <v>127</v>
      </c>
      <c r="G451" t="s">
        <v>290</v>
      </c>
      <c r="H451" t="s">
        <v>1</v>
      </c>
      <c r="I451" cm="1">
        <f t="array" ref="I451">IF(B451=0,INDEX('Category 14'!F:F,MATCH(C451&amp;E451&amp;D451,'Category 14'!B:B&amp;'Category 14'!C:C&amp;'Category 14'!A:A,0)),INDEX('Category 14'!G:G,MATCH(C451&amp;E451&amp;D451,'Category 14'!B:B&amp;'Category 14'!C:C&amp;'Category 14'!A:A,0)))</f>
        <v>0</v>
      </c>
      <c r="J451">
        <f>I451/VLOOKUP($D451,CPI!$P$16:$R$22,3,FALSE)</f>
        <v>0</v>
      </c>
      <c r="K451" cm="1">
        <f t="array" ref="K451">IF(B451=0,INDEX('Category 15'!F:F,MATCH(C451&amp;E451&amp;D451,'Category 15'!B:B&amp;'Category 15'!C:C&amp;'Category 15'!A:A,0)),INDEX('Category 15'!G:G,MATCH(C451&amp;E451&amp;D451,'Category 15'!B:B&amp;'Category 31'!C:C&amp;'Category 15'!A:A,0)))</f>
        <v>0</v>
      </c>
      <c r="L451">
        <f>K451/VLOOKUP($D451,CPI!$P$16:$R$22,3,FALSE)</f>
        <v>0</v>
      </c>
      <c r="M451" s="16" cm="1">
        <f t="array" ref="M451">IF(B451=0,INDEX('Category 31'!F:F,MATCH(C451&amp;E451&amp;D451,'Category 31'!B:B&amp;'Category 31'!C:C&amp;'Category 31'!A:A,0)),INDEX('Category 31'!G:G,MATCH(C451&amp;E451&amp;D451,'Category 31'!B:B&amp;'Category 31'!C:C&amp;'Category 31'!A:A,0)))</f>
        <v>0</v>
      </c>
      <c r="N451" s="16">
        <f>M451/VLOOKUP($D451,CPI!$P$16:$R$22,3,FALSE)</f>
        <v>0</v>
      </c>
      <c r="O451">
        <f>VLOOKUP(E451,WBasketball!C:S,11,FALSE)</f>
        <v>4495</v>
      </c>
    </row>
    <row r="452" spans="1:15" ht="16" thickBot="1" x14ac:dyDescent="0.25">
      <c r="A452" s="15">
        <v>2</v>
      </c>
      <c r="B452">
        <f t="shared" si="7"/>
        <v>1</v>
      </c>
      <c r="C452">
        <f>IF(ISBLANK(H452),"",VLOOKUP(H452,Code!B:C,2,FALSE))</f>
        <v>12</v>
      </c>
      <c r="D452">
        <v>2022</v>
      </c>
      <c r="E452">
        <v>163268</v>
      </c>
      <c r="F452" t="s">
        <v>127</v>
      </c>
      <c r="G452" t="s">
        <v>290</v>
      </c>
      <c r="H452" t="s">
        <v>27</v>
      </c>
      <c r="I452" cm="1">
        <f t="array" ref="I452">IF(B452=0,INDEX('Category 14'!F:F,MATCH(C452&amp;E452&amp;D452,'Category 14'!B:B&amp;'Category 14'!C:C&amp;'Category 14'!A:A,0)),INDEX('Category 14'!G:G,MATCH(C452&amp;E452&amp;D452,'Category 14'!B:B&amp;'Category 14'!C:C&amp;'Category 14'!A:A,0)))</f>
        <v>0</v>
      </c>
      <c r="J452">
        <f>I452/VLOOKUP($D452,CPI!$P$16:$R$22,3,FALSE)</f>
        <v>0</v>
      </c>
      <c r="K452" cm="1">
        <f t="array" ref="K452">IF(B452=0,INDEX('Category 15'!F:F,MATCH(C452&amp;E452&amp;D452,'Category 15'!B:B&amp;'Category 15'!C:C&amp;'Category 15'!A:A,0)),INDEX('Category 15'!G:G,MATCH(C452&amp;E452&amp;D452,'Category 15'!B:B&amp;'Category 31'!C:C&amp;'Category 15'!A:A,0)))</f>
        <v>0</v>
      </c>
      <c r="L452">
        <f>K452/VLOOKUP($D452,CPI!$P$16:$R$22,3,FALSE)</f>
        <v>0</v>
      </c>
      <c r="M452" s="16" cm="1">
        <f t="array" ref="M452">IF(B452=0,INDEX('Category 31'!F:F,MATCH(C452&amp;E452&amp;D452,'Category 31'!B:B&amp;'Category 31'!C:C&amp;'Category 31'!A:A,0)),INDEX('Category 31'!G:G,MATCH(C452&amp;E452&amp;D452,'Category 31'!B:B&amp;'Category 31'!C:C&amp;'Category 31'!A:A,0)))</f>
        <v>0</v>
      </c>
      <c r="N452" s="16">
        <f>M452/VLOOKUP($D452,CPI!$P$16:$R$22,3,FALSE)</f>
        <v>0</v>
      </c>
      <c r="O452">
        <f>VLOOKUP(E452,WLacrosse!C:S,11,FALSE)</f>
        <v>3644</v>
      </c>
    </row>
    <row r="453" spans="1:15" ht="16" thickBot="1" x14ac:dyDescent="0.25">
      <c r="A453" s="15">
        <v>2</v>
      </c>
      <c r="B453">
        <f t="shared" si="7"/>
        <v>1</v>
      </c>
      <c r="C453">
        <f>IF(ISBLANK(H453),"",VLOOKUP(H453,Code!B:C,2,FALSE))</f>
        <v>17</v>
      </c>
      <c r="D453">
        <v>2022</v>
      </c>
      <c r="E453">
        <v>163268</v>
      </c>
      <c r="F453" t="s">
        <v>127</v>
      </c>
      <c r="G453" t="s">
        <v>290</v>
      </c>
      <c r="H453" t="s">
        <v>5</v>
      </c>
      <c r="I453" cm="1">
        <f t="array" ref="I453">IF(B453=0,INDEX('Category 14'!F:F,MATCH(C453&amp;E453&amp;D453,'Category 14'!B:B&amp;'Category 14'!C:C&amp;'Category 14'!A:A,0)),INDEX('Category 14'!G:G,MATCH(C453&amp;E453&amp;D453,'Category 14'!B:B&amp;'Category 14'!C:C&amp;'Category 14'!A:A,0)))</f>
        <v>0</v>
      </c>
      <c r="J453">
        <f>I453/VLOOKUP($D453,CPI!$P$16:$R$22,3,FALSE)</f>
        <v>0</v>
      </c>
      <c r="K453" cm="1">
        <f t="array" ref="K453">IF(B453=0,INDEX('Category 15'!F:F,MATCH(C453&amp;E453&amp;D453,'Category 15'!B:B&amp;'Category 15'!C:C&amp;'Category 15'!A:A,0)),INDEX('Category 15'!G:G,MATCH(C453&amp;E453&amp;D453,'Category 15'!B:B&amp;'Category 31'!C:C&amp;'Category 15'!A:A,0)))</f>
        <v>0</v>
      </c>
      <c r="L453">
        <f>K453/VLOOKUP($D453,CPI!$P$16:$R$22,3,FALSE)</f>
        <v>0</v>
      </c>
      <c r="M453" s="16" cm="1">
        <f t="array" ref="M453">IF(B453=0,INDEX('Category 31'!F:F,MATCH(C453&amp;E453&amp;D453,'Category 31'!B:B&amp;'Category 31'!C:C&amp;'Category 31'!A:A,0)),INDEX('Category 31'!G:G,MATCH(C453&amp;E453&amp;D453,'Category 31'!B:B&amp;'Category 31'!C:C&amp;'Category 31'!A:A,0)))</f>
        <v>0</v>
      </c>
      <c r="N453" s="16">
        <f>M453/VLOOKUP($D453,CPI!$P$16:$R$22,3,FALSE)</f>
        <v>0</v>
      </c>
      <c r="O453">
        <f>VLOOKUP(E453,WSoccer!C:S,11,FALSE)</f>
        <v>4294</v>
      </c>
    </row>
    <row r="454" spans="1:15" ht="16" thickBot="1" x14ac:dyDescent="0.25">
      <c r="A454" s="15">
        <v>2</v>
      </c>
      <c r="B454">
        <f t="shared" si="7"/>
        <v>1</v>
      </c>
      <c r="C454">
        <f>IF(ISBLANK(H454),"",VLOOKUP(H454,Code!B:C,2,FALSE))</f>
        <v>18</v>
      </c>
      <c r="D454">
        <v>2022</v>
      </c>
      <c r="E454">
        <v>163268</v>
      </c>
      <c r="F454" t="s">
        <v>127</v>
      </c>
      <c r="G454" t="s">
        <v>290</v>
      </c>
      <c r="H454" t="s">
        <v>6</v>
      </c>
      <c r="I454" cm="1">
        <f t="array" ref="I454">IF(B454=0,INDEX('Category 14'!F:F,MATCH(C454&amp;E454&amp;D454,'Category 14'!B:B&amp;'Category 14'!C:C&amp;'Category 14'!A:A,0)),INDEX('Category 14'!G:G,MATCH(C454&amp;E454&amp;D454,'Category 14'!B:B&amp;'Category 14'!C:C&amp;'Category 14'!A:A,0)))</f>
        <v>0</v>
      </c>
      <c r="J454">
        <f>I454/VLOOKUP($D454,CPI!$P$16:$R$22,3,FALSE)</f>
        <v>0</v>
      </c>
      <c r="K454" cm="1">
        <f t="array" ref="K454">IF(B454=0,INDEX('Category 15'!F:F,MATCH(C454&amp;E454&amp;D454,'Category 15'!B:B&amp;'Category 15'!C:C&amp;'Category 15'!A:A,0)),INDEX('Category 15'!G:G,MATCH(C454&amp;E454&amp;D454,'Category 15'!B:B&amp;'Category 31'!C:C&amp;'Category 15'!A:A,0)))</f>
        <v>0</v>
      </c>
      <c r="L454">
        <f>K454/VLOOKUP($D454,CPI!$P$16:$R$22,3,FALSE)</f>
        <v>0</v>
      </c>
      <c r="M454" s="16" cm="1">
        <f t="array" ref="M454">IF(B454=0,INDEX('Category 31'!F:F,MATCH(C454&amp;E454&amp;D454,'Category 31'!B:B&amp;'Category 31'!C:C&amp;'Category 31'!A:A,0)),INDEX('Category 31'!G:G,MATCH(C454&amp;E454&amp;D454,'Category 31'!B:B&amp;'Category 31'!C:C&amp;'Category 31'!A:A,0)))</f>
        <v>0</v>
      </c>
      <c r="N454" s="16">
        <f>M454/VLOOKUP($D454,CPI!$P$16:$R$22,3,FALSE)</f>
        <v>0</v>
      </c>
      <c r="O454">
        <f>VLOOKUP(E454,WSoftball!C:S,11,FALSE)</f>
        <v>6573</v>
      </c>
    </row>
    <row r="455" spans="1:15" ht="16" thickBot="1" x14ac:dyDescent="0.25">
      <c r="A455" s="15">
        <v>2</v>
      </c>
      <c r="B455">
        <f t="shared" si="7"/>
        <v>1</v>
      </c>
      <c r="C455">
        <f>IF(ISBLANK(H455),"",VLOOKUP(H455,Code!B:C,2,FALSE))</f>
        <v>19</v>
      </c>
      <c r="D455">
        <v>2022</v>
      </c>
      <c r="E455">
        <v>163268</v>
      </c>
      <c r="F455" t="s">
        <v>127</v>
      </c>
      <c r="G455" t="s">
        <v>290</v>
      </c>
      <c r="H455" t="s">
        <v>7</v>
      </c>
      <c r="I455" cm="1">
        <f t="array" ref="I455">IF(B455=0,INDEX('Category 14'!F:F,MATCH(C455&amp;E455&amp;D455,'Category 14'!B:B&amp;'Category 14'!C:C&amp;'Category 14'!A:A,0)),INDEX('Category 14'!G:G,MATCH(C455&amp;E455&amp;D455,'Category 14'!B:B&amp;'Category 14'!C:C&amp;'Category 14'!A:A,0)))</f>
        <v>0</v>
      </c>
      <c r="J455">
        <f>I455/VLOOKUP($D455,CPI!$P$16:$R$22,3,FALSE)</f>
        <v>0</v>
      </c>
      <c r="K455" cm="1">
        <f t="array" ref="K455">IF(B455=0,INDEX('Category 15'!F:F,MATCH(C455&amp;E455&amp;D455,'Category 15'!B:B&amp;'Category 15'!C:C&amp;'Category 15'!A:A,0)),INDEX('Category 15'!G:G,MATCH(C455&amp;E455&amp;D455,'Category 15'!B:B&amp;'Category 31'!C:C&amp;'Category 15'!A:A,0)))</f>
        <v>0</v>
      </c>
      <c r="L455">
        <f>K455/VLOOKUP($D455,CPI!$P$16:$R$22,3,FALSE)</f>
        <v>0</v>
      </c>
      <c r="M455" s="16" cm="1">
        <f t="array" ref="M455">IF(B455=0,INDEX('Category 31'!F:F,MATCH(C455&amp;E455&amp;D455,'Category 31'!B:B&amp;'Category 31'!C:C&amp;'Category 31'!A:A,0)),INDEX('Category 31'!G:G,MATCH(C455&amp;E455&amp;D455,'Category 31'!B:B&amp;'Category 31'!C:C&amp;'Category 31'!A:A,0)))</f>
        <v>0</v>
      </c>
      <c r="N455" s="16">
        <f>M455/VLOOKUP($D455,CPI!$P$16:$R$22,3,FALSE)</f>
        <v>0</v>
      </c>
      <c r="O455">
        <v>0</v>
      </c>
    </row>
    <row r="456" spans="1:15" ht="16" thickBot="1" x14ac:dyDescent="0.25">
      <c r="A456" s="15">
        <v>2</v>
      </c>
      <c r="B456">
        <f t="shared" si="7"/>
        <v>1</v>
      </c>
      <c r="C456">
        <f>IF(ISBLANK(H456),"",VLOOKUP(H456,Code!B:C,2,FALSE))</f>
        <v>21</v>
      </c>
      <c r="D456">
        <v>2022</v>
      </c>
      <c r="E456">
        <v>163268</v>
      </c>
      <c r="F456" t="s">
        <v>127</v>
      </c>
      <c r="G456" t="s">
        <v>290</v>
      </c>
      <c r="H456" t="s">
        <v>36</v>
      </c>
      <c r="I456" cm="1">
        <f t="array" ref="I456">IF(B456=0,INDEX('Category 14'!F:F,MATCH(C456&amp;E456&amp;D456,'Category 14'!B:B&amp;'Category 14'!C:C&amp;'Category 14'!A:A,0)),INDEX('Category 14'!G:G,MATCH(C456&amp;E456&amp;D456,'Category 14'!B:B&amp;'Category 14'!C:C&amp;'Category 14'!A:A,0)))</f>
        <v>0</v>
      </c>
      <c r="J456">
        <f>I456/VLOOKUP($D456,CPI!$P$16:$R$22,3,FALSE)</f>
        <v>0</v>
      </c>
      <c r="K456" cm="1">
        <f t="array" ref="K456">IF(B456=0,INDEX('Category 15'!F:F,MATCH(C456&amp;E456&amp;D456,'Category 15'!B:B&amp;'Category 15'!C:C&amp;'Category 15'!A:A,0)),INDEX('Category 15'!G:G,MATCH(C456&amp;E456&amp;D456,'Category 15'!B:B&amp;'Category 31'!C:C&amp;'Category 15'!A:A,0)))</f>
        <v>0</v>
      </c>
      <c r="L456">
        <f>K456/VLOOKUP($D456,CPI!$P$16:$R$22,3,FALSE)</f>
        <v>0</v>
      </c>
      <c r="M456" s="16" cm="1">
        <f t="array" ref="M456">IF(B456=0,INDEX('Category 31'!F:F,MATCH(C456&amp;E456&amp;D456,'Category 31'!B:B&amp;'Category 31'!C:C&amp;'Category 31'!A:A,0)),INDEX('Category 31'!G:G,MATCH(C456&amp;E456&amp;D456,'Category 31'!B:B&amp;'Category 31'!C:C&amp;'Category 31'!A:A,0)))</f>
        <v>0</v>
      </c>
      <c r="N456" s="16">
        <f>M456/VLOOKUP($D456,CPI!$P$16:$R$22,3,FALSE)</f>
        <v>0</v>
      </c>
      <c r="O456">
        <v>0</v>
      </c>
    </row>
    <row r="457" spans="1:15" ht="16" thickBot="1" x14ac:dyDescent="0.25">
      <c r="A457" s="15">
        <v>2</v>
      </c>
      <c r="B457">
        <f t="shared" si="7"/>
        <v>1</v>
      </c>
      <c r="C457">
        <f>IF(ISBLANK(H457),"",VLOOKUP(H457,Code!B:C,2,FALSE))</f>
        <v>23</v>
      </c>
      <c r="D457">
        <v>2022</v>
      </c>
      <c r="E457">
        <v>163268</v>
      </c>
      <c r="F457" t="s">
        <v>127</v>
      </c>
      <c r="G457" t="s">
        <v>290</v>
      </c>
      <c r="H457" t="s">
        <v>10</v>
      </c>
      <c r="I457" cm="1">
        <f t="array" ref="I457">IF(B457=0,INDEX('Category 14'!F:F,MATCH(C457&amp;E457&amp;D457,'Category 14'!B:B&amp;'Category 14'!C:C&amp;'Category 14'!A:A,0)),INDEX('Category 14'!G:G,MATCH(C457&amp;E457&amp;D457,'Category 14'!B:B&amp;'Category 14'!C:C&amp;'Category 14'!A:A,0)))</f>
        <v>0</v>
      </c>
      <c r="J457">
        <f>I457/VLOOKUP($D457,CPI!$P$16:$R$22,3,FALSE)</f>
        <v>0</v>
      </c>
      <c r="K457" cm="1">
        <f t="array" ref="K457">IF(B457=0,INDEX('Category 15'!F:F,MATCH(C457&amp;E457&amp;D457,'Category 15'!B:B&amp;'Category 15'!C:C&amp;'Category 15'!A:A,0)),INDEX('Category 15'!G:G,MATCH(C457&amp;E457&amp;D457,'Category 15'!B:B&amp;'Category 31'!C:C&amp;'Category 15'!A:A,0)))</f>
        <v>0</v>
      </c>
      <c r="L457">
        <f>K457/VLOOKUP($D457,CPI!$P$16:$R$22,3,FALSE)</f>
        <v>0</v>
      </c>
      <c r="M457" s="16" cm="1">
        <f t="array" ref="M457">IF(B457=0,INDEX('Category 31'!F:F,MATCH(C457&amp;E457&amp;D457,'Category 31'!B:B&amp;'Category 31'!C:C&amp;'Category 31'!A:A,0)),INDEX('Category 31'!G:G,MATCH(C457&amp;E457&amp;D457,'Category 31'!B:B&amp;'Category 31'!C:C&amp;'Category 31'!A:A,0)))</f>
        <v>0</v>
      </c>
      <c r="N457" s="16">
        <f>M457/VLOOKUP($D457,CPI!$P$16:$R$22,3,FALSE)</f>
        <v>0</v>
      </c>
      <c r="O457">
        <f>VLOOKUP(E457,WVolleyball!C:S,11,FALSE)</f>
        <v>4101</v>
      </c>
    </row>
    <row r="458" spans="1:15" ht="16" thickBot="1" x14ac:dyDescent="0.25">
      <c r="A458" s="15">
        <v>2</v>
      </c>
      <c r="B458">
        <f t="shared" si="7"/>
        <v>0</v>
      </c>
      <c r="C458">
        <f>IF(ISBLANK(H458),"",VLOOKUP(H458,Code!B:C,2,FALSE))</f>
        <v>1</v>
      </c>
      <c r="D458">
        <v>2023</v>
      </c>
      <c r="E458">
        <v>163268</v>
      </c>
      <c r="F458" t="s">
        <v>127</v>
      </c>
      <c r="G458" t="s">
        <v>289</v>
      </c>
      <c r="H458" t="s">
        <v>0</v>
      </c>
      <c r="I458" cm="1">
        <f t="array" ref="I458">IF(B458=0,INDEX('Category 14'!F:F,MATCH(C458&amp;E458&amp;D458,'Category 14'!B:B&amp;'Category 14'!C:C&amp;'Category 14'!A:A,0)),INDEX('Category 14'!G:G,MATCH(C458&amp;E458&amp;D458,'Category 14'!B:B&amp;'Category 14'!C:C&amp;'Category 14'!A:A,0)))</f>
        <v>0</v>
      </c>
      <c r="J458">
        <f>I458/VLOOKUP($D458,CPI!$P$16:$R$22,3,FALSE)</f>
        <v>0</v>
      </c>
      <c r="K458" cm="1">
        <f t="array" ref="K458">IF(B458=0,INDEX('Category 15'!F:F,MATCH(C458&amp;E458&amp;D458,'Category 15'!B:B&amp;'Category 15'!C:C&amp;'Category 15'!A:A,0)),INDEX('Category 15'!G:G,MATCH(C458&amp;E458&amp;D458,'Category 15'!B:B&amp;'Category 31'!C:C&amp;'Category 15'!A:A,0)))</f>
        <v>0</v>
      </c>
      <c r="L458">
        <f>K458/VLOOKUP($D458,CPI!$P$16:$R$22,3,FALSE)</f>
        <v>0</v>
      </c>
      <c r="M458" s="16" cm="1">
        <f t="array" ref="M458">IF(B458=0,INDEX('Category 31'!F:F,MATCH(C458&amp;E458&amp;D458,'Category 31'!B:B&amp;'Category 31'!C:C&amp;'Category 31'!A:A,0)),INDEX('Category 31'!G:G,MATCH(C458&amp;E458&amp;D458,'Category 31'!B:B&amp;'Category 31'!C:C&amp;'Category 31'!A:A,0)))</f>
        <v>0</v>
      </c>
      <c r="N458" s="16">
        <f>M458/VLOOKUP($D458,CPI!$P$16:$R$22,3,FALSE)</f>
        <v>0</v>
      </c>
      <c r="O458">
        <f>VLOOKUP(E406,MBaseball!C:R,12,FALSE)</f>
        <v>4475</v>
      </c>
    </row>
    <row r="459" spans="1:15" ht="16" thickBot="1" x14ac:dyDescent="0.25">
      <c r="A459" s="15">
        <v>2</v>
      </c>
      <c r="B459">
        <f t="shared" si="7"/>
        <v>0</v>
      </c>
      <c r="C459">
        <f>IF(ISBLANK(H459),"",VLOOKUP(H459,Code!B:C,2,FALSE))</f>
        <v>2</v>
      </c>
      <c r="D459">
        <v>2023</v>
      </c>
      <c r="E459">
        <v>163268</v>
      </c>
      <c r="F459" t="s">
        <v>127</v>
      </c>
      <c r="G459" t="s">
        <v>289</v>
      </c>
      <c r="H459" t="s">
        <v>1</v>
      </c>
      <c r="I459" cm="1">
        <f t="array" ref="I459">IF(B459=0,INDEX('Category 14'!F:F,MATCH(C459&amp;E459&amp;D459,'Category 14'!B:B&amp;'Category 14'!C:C&amp;'Category 14'!A:A,0)),INDEX('Category 14'!G:G,MATCH(C459&amp;E459&amp;D459,'Category 14'!B:B&amp;'Category 14'!C:C&amp;'Category 14'!A:A,0)))</f>
        <v>0</v>
      </c>
      <c r="J459">
        <f>I459/VLOOKUP($D459,CPI!$P$16:$R$22,3,FALSE)</f>
        <v>0</v>
      </c>
      <c r="K459" cm="1">
        <f t="array" ref="K459">IF(B459=0,INDEX('Category 15'!F:F,MATCH(C459&amp;E459&amp;D459,'Category 15'!B:B&amp;'Category 15'!C:C&amp;'Category 15'!A:A,0)),INDEX('Category 15'!G:G,MATCH(C459&amp;E459&amp;D459,'Category 15'!B:B&amp;'Category 31'!C:C&amp;'Category 15'!A:A,0)))</f>
        <v>0</v>
      </c>
      <c r="L459">
        <f>K459/VLOOKUP($D459,CPI!$P$16:$R$22,3,FALSE)</f>
        <v>0</v>
      </c>
      <c r="M459" s="16" cm="1">
        <f t="array" ref="M459">IF(B459=0,INDEX('Category 31'!F:F,MATCH(C459&amp;E459&amp;D459,'Category 31'!B:B&amp;'Category 31'!C:C&amp;'Category 31'!A:A,0)),INDEX('Category 31'!G:G,MATCH(C459&amp;E459&amp;D459,'Category 31'!B:B&amp;'Category 31'!C:C&amp;'Category 31'!A:A,0)))</f>
        <v>0</v>
      </c>
      <c r="N459" s="16">
        <f>M459/VLOOKUP($D459,CPI!$P$16:$R$22,3,FALSE)</f>
        <v>0</v>
      </c>
      <c r="O459">
        <f>VLOOKUP(E459,MBasketball!C:S,12,FALSE)</f>
        <v>27283</v>
      </c>
    </row>
    <row r="460" spans="1:15" ht="16" thickBot="1" x14ac:dyDescent="0.25">
      <c r="A460" s="15">
        <v>2</v>
      </c>
      <c r="B460">
        <f t="shared" si="7"/>
        <v>0</v>
      </c>
      <c r="C460">
        <f>IF(ISBLANK(H460),"",VLOOKUP(H460,Code!B:C,2,FALSE))</f>
        <v>12</v>
      </c>
      <c r="D460">
        <v>2023</v>
      </c>
      <c r="E460">
        <v>163268</v>
      </c>
      <c r="F460" t="s">
        <v>127</v>
      </c>
      <c r="G460" t="s">
        <v>289</v>
      </c>
      <c r="H460" t="s">
        <v>27</v>
      </c>
      <c r="I460" cm="1">
        <f t="array" ref="I460">IF(B460=0,INDEX('Category 14'!F:F,MATCH(C460&amp;E460&amp;D460,'Category 14'!B:B&amp;'Category 14'!C:C&amp;'Category 14'!A:A,0)),INDEX('Category 14'!G:G,MATCH(C460&amp;E460&amp;D460,'Category 14'!B:B&amp;'Category 14'!C:C&amp;'Category 14'!A:A,0)))</f>
        <v>0</v>
      </c>
      <c r="J460">
        <f>I460/VLOOKUP($D460,CPI!$P$16:$R$22,3,FALSE)</f>
        <v>0</v>
      </c>
      <c r="K460" cm="1">
        <f t="array" ref="K460">IF(B460=0,INDEX('Category 15'!F:F,MATCH(C460&amp;E460&amp;D460,'Category 15'!B:B&amp;'Category 15'!C:C&amp;'Category 15'!A:A,0)),INDEX('Category 15'!G:G,MATCH(C460&amp;E460&amp;D460,'Category 15'!B:B&amp;'Category 31'!C:C&amp;'Category 15'!A:A,0)))</f>
        <v>0</v>
      </c>
      <c r="L460">
        <f>K460/VLOOKUP($D460,CPI!$P$16:$R$22,3,FALSE)</f>
        <v>0</v>
      </c>
      <c r="M460" s="16" cm="1">
        <f t="array" ref="M460">IF(B460=0,INDEX('Category 31'!F:F,MATCH(C460&amp;E460&amp;D460,'Category 31'!B:B&amp;'Category 31'!C:C&amp;'Category 31'!A:A,0)),INDEX('Category 31'!G:G,MATCH(C460&amp;E460&amp;D460,'Category 31'!B:B&amp;'Category 31'!C:C&amp;'Category 31'!A:A,0)))</f>
        <v>0</v>
      </c>
      <c r="N460" s="16">
        <f>M460/VLOOKUP($D460,CPI!$P$16:$R$22,3,FALSE)</f>
        <v>0</v>
      </c>
      <c r="O460">
        <f>VLOOKUP(E460,MLacrosse!C:S,12,FALSE)</f>
        <v>5782</v>
      </c>
    </row>
    <row r="461" spans="1:15" ht="16" thickBot="1" x14ac:dyDescent="0.25">
      <c r="A461" s="15">
        <v>2</v>
      </c>
      <c r="B461">
        <f t="shared" si="7"/>
        <v>0</v>
      </c>
      <c r="C461">
        <f>IF(ISBLANK(H461),"",VLOOKUP(H461,Code!B:C,2,FALSE))</f>
        <v>17</v>
      </c>
      <c r="D461">
        <v>2023</v>
      </c>
      <c r="E461">
        <v>163268</v>
      </c>
      <c r="F461" t="s">
        <v>127</v>
      </c>
      <c r="G461" t="s">
        <v>289</v>
      </c>
      <c r="H461" t="s">
        <v>5</v>
      </c>
      <c r="I461" cm="1">
        <f t="array" ref="I461">IF(B461=0,INDEX('Category 14'!F:F,MATCH(C461&amp;E461&amp;D461,'Category 14'!B:B&amp;'Category 14'!C:C&amp;'Category 14'!A:A,0)),INDEX('Category 14'!G:G,MATCH(C461&amp;E461&amp;D461,'Category 14'!B:B&amp;'Category 14'!C:C&amp;'Category 14'!A:A,0)))</f>
        <v>0</v>
      </c>
      <c r="J461">
        <f>I461/VLOOKUP($D461,CPI!$P$16:$R$22,3,FALSE)</f>
        <v>0</v>
      </c>
      <c r="K461" cm="1">
        <f t="array" ref="K461">IF(B461=0,INDEX('Category 15'!F:F,MATCH(C461&amp;E461&amp;D461,'Category 15'!B:B&amp;'Category 15'!C:C&amp;'Category 15'!A:A,0)),INDEX('Category 15'!G:G,MATCH(C461&amp;E461&amp;D461,'Category 15'!B:B&amp;'Category 31'!C:C&amp;'Category 15'!A:A,0)))</f>
        <v>0</v>
      </c>
      <c r="L461">
        <f>K461/VLOOKUP($D461,CPI!$P$16:$R$22,3,FALSE)</f>
        <v>0</v>
      </c>
      <c r="M461" s="16" cm="1">
        <f t="array" ref="M461">IF(B461=0,INDEX('Category 31'!F:F,MATCH(C461&amp;E461&amp;D461,'Category 31'!B:B&amp;'Category 31'!C:C&amp;'Category 31'!A:A,0)),INDEX('Category 31'!G:G,MATCH(C461&amp;E461&amp;D461,'Category 31'!B:B&amp;'Category 31'!C:C&amp;'Category 31'!A:A,0)))</f>
        <v>0</v>
      </c>
      <c r="N461" s="16">
        <f>M461/VLOOKUP($D461,CPI!$P$16:$R$22,3,FALSE)</f>
        <v>0</v>
      </c>
      <c r="O461">
        <f>VLOOKUP(E461,MSoccer!C:S,12,FALSE)</f>
        <v>12582</v>
      </c>
    </row>
    <row r="462" spans="1:15" ht="16" thickBot="1" x14ac:dyDescent="0.25">
      <c r="A462" s="15">
        <v>2</v>
      </c>
      <c r="B462">
        <f t="shared" si="7"/>
        <v>0</v>
      </c>
      <c r="C462">
        <f>IF(ISBLANK(H462),"",VLOOKUP(H462,Code!B:C,2,FALSE))</f>
        <v>19</v>
      </c>
      <c r="D462">
        <v>2023</v>
      </c>
      <c r="E462">
        <v>163268</v>
      </c>
      <c r="F462" t="s">
        <v>127</v>
      </c>
      <c r="G462" t="s">
        <v>289</v>
      </c>
      <c r="H462" t="s">
        <v>7</v>
      </c>
      <c r="I462" cm="1">
        <f t="array" ref="I462">IF(B462=0,INDEX('Category 14'!F:F,MATCH(C462&amp;E462&amp;D462,'Category 14'!B:B&amp;'Category 14'!C:C&amp;'Category 14'!A:A,0)),INDEX('Category 14'!G:G,MATCH(C462&amp;E462&amp;D462,'Category 14'!B:B&amp;'Category 14'!C:C&amp;'Category 14'!A:A,0)))</f>
        <v>0</v>
      </c>
      <c r="J462">
        <f>I462/VLOOKUP($D462,CPI!$P$16:$R$22,3,FALSE)</f>
        <v>0</v>
      </c>
      <c r="K462" cm="1">
        <f t="array" ref="K462">IF(B462=0,INDEX('Category 15'!F:F,MATCH(C462&amp;E462&amp;D462,'Category 15'!B:B&amp;'Category 15'!C:C&amp;'Category 15'!A:A,0)),INDEX('Category 15'!G:G,MATCH(C462&amp;E462&amp;D462,'Category 15'!B:B&amp;'Category 31'!C:C&amp;'Category 15'!A:A,0)))</f>
        <v>0</v>
      </c>
      <c r="L462">
        <f>K462/VLOOKUP($D462,CPI!$P$16:$R$22,3,FALSE)</f>
        <v>0</v>
      </c>
      <c r="M462" s="16" cm="1">
        <f t="array" ref="M462">IF(B462=0,INDEX('Category 31'!F:F,MATCH(C462&amp;E462&amp;D462,'Category 31'!B:B&amp;'Category 31'!C:C&amp;'Category 31'!A:A,0)),INDEX('Category 31'!G:G,MATCH(C462&amp;E462&amp;D462,'Category 31'!B:B&amp;'Category 31'!C:C&amp;'Category 31'!A:A,0)))</f>
        <v>0</v>
      </c>
      <c r="N462" s="16">
        <f>M462/VLOOKUP($D462,CPI!$P$16:$R$22,3,FALSE)</f>
        <v>0</v>
      </c>
      <c r="O462">
        <v>0</v>
      </c>
    </row>
    <row r="463" spans="1:15" ht="16" thickBot="1" x14ac:dyDescent="0.25">
      <c r="A463" s="15">
        <v>2</v>
      </c>
      <c r="B463">
        <f t="shared" si="7"/>
        <v>0</v>
      </c>
      <c r="C463">
        <f>IF(ISBLANK(H463),"",VLOOKUP(H463,Code!B:C,2,FALSE))</f>
        <v>21</v>
      </c>
      <c r="D463">
        <v>2023</v>
      </c>
      <c r="E463">
        <v>163268</v>
      </c>
      <c r="F463" t="s">
        <v>127</v>
      </c>
      <c r="G463" t="s">
        <v>289</v>
      </c>
      <c r="H463" t="s">
        <v>9</v>
      </c>
      <c r="I463" cm="1">
        <f t="array" ref="I463">IF(B463=0,INDEX('Category 14'!F:F,MATCH(C463&amp;E463&amp;D463,'Category 14'!B:B&amp;'Category 14'!C:C&amp;'Category 14'!A:A,0)),INDEX('Category 14'!G:G,MATCH(C463&amp;E463&amp;D463,'Category 14'!B:B&amp;'Category 14'!C:C&amp;'Category 14'!A:A,0)))</f>
        <v>0</v>
      </c>
      <c r="J463">
        <f>I463/VLOOKUP($D463,CPI!$P$16:$R$22,3,FALSE)</f>
        <v>0</v>
      </c>
      <c r="K463" cm="1">
        <f t="array" ref="K463">IF(B463=0,INDEX('Category 15'!F:F,MATCH(C463&amp;E463&amp;D463,'Category 15'!B:B&amp;'Category 15'!C:C&amp;'Category 15'!A:A,0)),INDEX('Category 15'!G:G,MATCH(C463&amp;E463&amp;D463,'Category 15'!B:B&amp;'Category 31'!C:C&amp;'Category 15'!A:A,0)))</f>
        <v>0</v>
      </c>
      <c r="L463">
        <f>K463/VLOOKUP($D463,CPI!$P$16:$R$22,3,FALSE)</f>
        <v>0</v>
      </c>
      <c r="M463" s="16" cm="1">
        <f t="array" ref="M463">IF(B463=0,INDEX('Category 31'!F:F,MATCH(C463&amp;E463&amp;D463,'Category 31'!B:B&amp;'Category 31'!C:C&amp;'Category 31'!A:A,0)),INDEX('Category 31'!G:G,MATCH(C463&amp;E463&amp;D463,'Category 31'!B:B&amp;'Category 31'!C:C&amp;'Category 31'!A:A,0)))</f>
        <v>0</v>
      </c>
      <c r="N463" s="16">
        <f>M463/VLOOKUP($D463,CPI!$P$16:$R$22,3,FALSE)</f>
        <v>0</v>
      </c>
      <c r="O463">
        <v>0</v>
      </c>
    </row>
    <row r="464" spans="1:15" ht="16" thickBot="1" x14ac:dyDescent="0.25">
      <c r="A464" s="15">
        <v>2</v>
      </c>
      <c r="B464">
        <f t="shared" si="7"/>
        <v>1</v>
      </c>
      <c r="C464">
        <f>IF(ISBLANK(H464),"",VLOOKUP(H464,Code!B:C,2,FALSE))</f>
        <v>2</v>
      </c>
      <c r="D464">
        <v>2023</v>
      </c>
      <c r="E464">
        <v>163268</v>
      </c>
      <c r="F464" t="s">
        <v>127</v>
      </c>
      <c r="G464" t="s">
        <v>290</v>
      </c>
      <c r="H464" t="s">
        <v>1</v>
      </c>
      <c r="I464" cm="1">
        <f t="array" ref="I464">IF(B464=0,INDEX('Category 14'!F:F,MATCH(C464&amp;E464&amp;D464,'Category 14'!B:B&amp;'Category 14'!C:C&amp;'Category 14'!A:A,0)),INDEX('Category 14'!G:G,MATCH(C464&amp;E464&amp;D464,'Category 14'!B:B&amp;'Category 14'!C:C&amp;'Category 14'!A:A,0)))</f>
        <v>0</v>
      </c>
      <c r="J464">
        <f>I464/VLOOKUP($D464,CPI!$P$16:$R$22,3,FALSE)</f>
        <v>0</v>
      </c>
      <c r="K464" cm="1">
        <f t="array" ref="K464">IF(B464=0,INDEX('Category 15'!F:F,MATCH(C464&amp;E464&amp;D464,'Category 15'!B:B&amp;'Category 15'!C:C&amp;'Category 15'!A:A,0)),INDEX('Category 15'!G:G,MATCH(C464&amp;E464&amp;D464,'Category 15'!B:B&amp;'Category 31'!C:C&amp;'Category 15'!A:A,0)))</f>
        <v>0</v>
      </c>
      <c r="L464">
        <f>K464/VLOOKUP($D464,CPI!$P$16:$R$22,3,FALSE)</f>
        <v>0</v>
      </c>
      <c r="M464" s="16" cm="1">
        <f t="array" ref="M464">IF(B464=0,INDEX('Category 31'!F:F,MATCH(C464&amp;E464&amp;D464,'Category 31'!B:B&amp;'Category 31'!C:C&amp;'Category 31'!A:A,0)),INDEX('Category 31'!G:G,MATCH(C464&amp;E464&amp;D464,'Category 31'!B:B&amp;'Category 31'!C:C&amp;'Category 31'!A:A,0)))</f>
        <v>0</v>
      </c>
      <c r="N464" s="16">
        <f>M464/VLOOKUP($D464,CPI!$P$16:$R$22,3,FALSE)</f>
        <v>0</v>
      </c>
      <c r="O464">
        <f>VLOOKUP(E464,WBasketball!C:S,12,FALSE)</f>
        <v>8625</v>
      </c>
    </row>
    <row r="465" spans="1:15" ht="16" thickBot="1" x14ac:dyDescent="0.25">
      <c r="A465" s="15">
        <v>2</v>
      </c>
      <c r="B465">
        <f t="shared" si="7"/>
        <v>1</v>
      </c>
      <c r="C465">
        <f>IF(ISBLANK(H465),"",VLOOKUP(H465,Code!B:C,2,FALSE))</f>
        <v>12</v>
      </c>
      <c r="D465">
        <v>2023</v>
      </c>
      <c r="E465">
        <v>163268</v>
      </c>
      <c r="F465" t="s">
        <v>127</v>
      </c>
      <c r="G465" t="s">
        <v>290</v>
      </c>
      <c r="H465" t="s">
        <v>27</v>
      </c>
      <c r="I465" cm="1">
        <f t="array" ref="I465">IF(B465=0,INDEX('Category 14'!F:F,MATCH(C465&amp;E465&amp;D465,'Category 14'!B:B&amp;'Category 14'!C:C&amp;'Category 14'!A:A,0)),INDEX('Category 14'!G:G,MATCH(C465&amp;E465&amp;D465,'Category 14'!B:B&amp;'Category 14'!C:C&amp;'Category 14'!A:A,0)))</f>
        <v>0</v>
      </c>
      <c r="J465">
        <f>I465/VLOOKUP($D465,CPI!$P$16:$R$22,3,FALSE)</f>
        <v>0</v>
      </c>
      <c r="K465" cm="1">
        <f t="array" ref="K465">IF(B465=0,INDEX('Category 15'!F:F,MATCH(C465&amp;E465&amp;D465,'Category 15'!B:B&amp;'Category 15'!C:C&amp;'Category 15'!A:A,0)),INDEX('Category 15'!G:G,MATCH(C465&amp;E465&amp;D465,'Category 15'!B:B&amp;'Category 31'!C:C&amp;'Category 15'!A:A,0)))</f>
        <v>0</v>
      </c>
      <c r="L465">
        <f>K465/VLOOKUP($D465,CPI!$P$16:$R$22,3,FALSE)</f>
        <v>0</v>
      </c>
      <c r="M465" s="16" cm="1">
        <f t="array" ref="M465">IF(B465=0,INDEX('Category 31'!F:F,MATCH(C465&amp;E465&amp;D465,'Category 31'!B:B&amp;'Category 31'!C:C&amp;'Category 31'!A:A,0)),INDEX('Category 31'!G:G,MATCH(C465&amp;E465&amp;D465,'Category 31'!B:B&amp;'Category 31'!C:C&amp;'Category 31'!A:A,0)))</f>
        <v>0</v>
      </c>
      <c r="N465" s="16">
        <f>M465/VLOOKUP($D465,CPI!$P$16:$R$22,3,FALSE)</f>
        <v>0</v>
      </c>
      <c r="O465">
        <f>VLOOKUP(E465,WLacrosse!C:S,12,FALSE)</f>
        <v>2757</v>
      </c>
    </row>
    <row r="466" spans="1:15" ht="16" thickBot="1" x14ac:dyDescent="0.25">
      <c r="A466" s="15">
        <v>2</v>
      </c>
      <c r="B466">
        <f t="shared" si="7"/>
        <v>1</v>
      </c>
      <c r="C466">
        <f>IF(ISBLANK(H466),"",VLOOKUP(H466,Code!B:C,2,FALSE))</f>
        <v>17</v>
      </c>
      <c r="D466">
        <v>2023</v>
      </c>
      <c r="E466">
        <v>163268</v>
      </c>
      <c r="F466" t="s">
        <v>127</v>
      </c>
      <c r="G466" t="s">
        <v>290</v>
      </c>
      <c r="H466" t="s">
        <v>5</v>
      </c>
      <c r="I466" cm="1">
        <f t="array" ref="I466">IF(B466=0,INDEX('Category 14'!F:F,MATCH(C466&amp;E466&amp;D466,'Category 14'!B:B&amp;'Category 14'!C:C&amp;'Category 14'!A:A,0)),INDEX('Category 14'!G:G,MATCH(C466&amp;E466&amp;D466,'Category 14'!B:B&amp;'Category 14'!C:C&amp;'Category 14'!A:A,0)))</f>
        <v>0</v>
      </c>
      <c r="J466">
        <f>I466/VLOOKUP($D466,CPI!$P$16:$R$22,3,FALSE)</f>
        <v>0</v>
      </c>
      <c r="K466" cm="1">
        <f t="array" ref="K466">IF(B466=0,INDEX('Category 15'!F:F,MATCH(C466&amp;E466&amp;D466,'Category 15'!B:B&amp;'Category 15'!C:C&amp;'Category 15'!A:A,0)),INDEX('Category 15'!G:G,MATCH(C466&amp;E466&amp;D466,'Category 15'!B:B&amp;'Category 31'!C:C&amp;'Category 15'!A:A,0)))</f>
        <v>0</v>
      </c>
      <c r="L466">
        <f>K466/VLOOKUP($D466,CPI!$P$16:$R$22,3,FALSE)</f>
        <v>0</v>
      </c>
      <c r="M466" s="16" cm="1">
        <f t="array" ref="M466">IF(B466=0,INDEX('Category 31'!F:F,MATCH(C466&amp;E466&amp;D466,'Category 31'!B:B&amp;'Category 31'!C:C&amp;'Category 31'!A:A,0)),INDEX('Category 31'!G:G,MATCH(C466&amp;E466&amp;D466,'Category 31'!B:B&amp;'Category 31'!C:C&amp;'Category 31'!A:A,0)))</f>
        <v>0</v>
      </c>
      <c r="N466" s="16">
        <f>M466/VLOOKUP($D466,CPI!$P$16:$R$22,3,FALSE)</f>
        <v>0</v>
      </c>
      <c r="O466">
        <f>VLOOKUP(E466,WSoccer!C:S,12,FALSE)</f>
        <v>3291</v>
      </c>
    </row>
    <row r="467" spans="1:15" ht="16" thickBot="1" x14ac:dyDescent="0.25">
      <c r="A467" s="15">
        <v>2</v>
      </c>
      <c r="B467">
        <f t="shared" si="7"/>
        <v>1</v>
      </c>
      <c r="C467">
        <f>IF(ISBLANK(H467),"",VLOOKUP(H467,Code!B:C,2,FALSE))</f>
        <v>18</v>
      </c>
      <c r="D467">
        <v>2023</v>
      </c>
      <c r="E467">
        <v>163268</v>
      </c>
      <c r="F467" t="s">
        <v>127</v>
      </c>
      <c r="G467" t="s">
        <v>290</v>
      </c>
      <c r="H467" t="s">
        <v>6</v>
      </c>
      <c r="I467" cm="1">
        <f t="array" ref="I467">IF(B467=0,INDEX('Category 14'!F:F,MATCH(C467&amp;E467&amp;D467,'Category 14'!B:B&amp;'Category 14'!C:C&amp;'Category 14'!A:A,0)),INDEX('Category 14'!G:G,MATCH(C467&amp;E467&amp;D467,'Category 14'!B:B&amp;'Category 14'!C:C&amp;'Category 14'!A:A,0)))</f>
        <v>0</v>
      </c>
      <c r="J467">
        <f>I467/VLOOKUP($D467,CPI!$P$16:$R$22,3,FALSE)</f>
        <v>0</v>
      </c>
      <c r="K467" cm="1">
        <f t="array" ref="K467">IF(B467=0,INDEX('Category 15'!F:F,MATCH(C467&amp;E467&amp;D467,'Category 15'!B:B&amp;'Category 15'!C:C&amp;'Category 15'!A:A,0)),INDEX('Category 15'!G:G,MATCH(C467&amp;E467&amp;D467,'Category 15'!B:B&amp;'Category 31'!C:C&amp;'Category 15'!A:A,0)))</f>
        <v>0</v>
      </c>
      <c r="L467">
        <f>K467/VLOOKUP($D467,CPI!$P$16:$R$22,3,FALSE)</f>
        <v>0</v>
      </c>
      <c r="M467" s="16" cm="1">
        <f t="array" ref="M467">IF(B467=0,INDEX('Category 31'!F:F,MATCH(C467&amp;E467&amp;D467,'Category 31'!B:B&amp;'Category 31'!C:C&amp;'Category 31'!A:A,0)),INDEX('Category 31'!G:G,MATCH(C467&amp;E467&amp;D467,'Category 31'!B:B&amp;'Category 31'!C:C&amp;'Category 31'!A:A,0)))</f>
        <v>0</v>
      </c>
      <c r="N467" s="16">
        <f>M467/VLOOKUP($D467,CPI!$P$16:$R$22,3,FALSE)</f>
        <v>0</v>
      </c>
      <c r="O467">
        <f>VLOOKUP(E467,WSoftball!C:S,12,FALSE)</f>
        <v>9457</v>
      </c>
    </row>
    <row r="468" spans="1:15" ht="16" thickBot="1" x14ac:dyDescent="0.25">
      <c r="A468" s="15">
        <v>2</v>
      </c>
      <c r="B468">
        <f t="shared" si="7"/>
        <v>1</v>
      </c>
      <c r="C468">
        <f>IF(ISBLANK(H468),"",VLOOKUP(H468,Code!B:C,2,FALSE))</f>
        <v>19</v>
      </c>
      <c r="D468">
        <v>2023</v>
      </c>
      <c r="E468">
        <v>163268</v>
      </c>
      <c r="F468" t="s">
        <v>127</v>
      </c>
      <c r="G468" t="s">
        <v>290</v>
      </c>
      <c r="H468" t="s">
        <v>7</v>
      </c>
      <c r="I468" cm="1">
        <f t="array" ref="I468">IF(B468=0,INDEX('Category 14'!F:F,MATCH(C468&amp;E468&amp;D468,'Category 14'!B:B&amp;'Category 14'!C:C&amp;'Category 14'!A:A,0)),INDEX('Category 14'!G:G,MATCH(C468&amp;E468&amp;D468,'Category 14'!B:B&amp;'Category 14'!C:C&amp;'Category 14'!A:A,0)))</f>
        <v>0</v>
      </c>
      <c r="J468">
        <f>I468/VLOOKUP($D468,CPI!$P$16:$R$22,3,FALSE)</f>
        <v>0</v>
      </c>
      <c r="K468" cm="1">
        <f t="array" ref="K468">IF(B468=0,INDEX('Category 15'!F:F,MATCH(C468&amp;E468&amp;D468,'Category 15'!B:B&amp;'Category 15'!C:C&amp;'Category 15'!A:A,0)),INDEX('Category 15'!G:G,MATCH(C468&amp;E468&amp;D468,'Category 15'!B:B&amp;'Category 31'!C:C&amp;'Category 15'!A:A,0)))</f>
        <v>0</v>
      </c>
      <c r="L468">
        <f>K468/VLOOKUP($D468,CPI!$P$16:$R$22,3,FALSE)</f>
        <v>0</v>
      </c>
      <c r="M468" s="16" cm="1">
        <f t="array" ref="M468">IF(B468=0,INDEX('Category 31'!F:F,MATCH(C468&amp;E468&amp;D468,'Category 31'!B:B&amp;'Category 31'!C:C&amp;'Category 31'!A:A,0)),INDEX('Category 31'!G:G,MATCH(C468&amp;E468&amp;D468,'Category 31'!B:B&amp;'Category 31'!C:C&amp;'Category 31'!A:A,0)))</f>
        <v>0</v>
      </c>
      <c r="N468" s="16">
        <f>M468/VLOOKUP($D468,CPI!$P$16:$R$22,3,FALSE)</f>
        <v>0</v>
      </c>
      <c r="O468">
        <v>0</v>
      </c>
    </row>
    <row r="469" spans="1:15" ht="16" thickBot="1" x14ac:dyDescent="0.25">
      <c r="A469" s="15">
        <v>2</v>
      </c>
      <c r="B469">
        <f t="shared" si="7"/>
        <v>1</v>
      </c>
      <c r="C469">
        <f>IF(ISBLANK(H469),"",VLOOKUP(H469,Code!B:C,2,FALSE))</f>
        <v>21</v>
      </c>
      <c r="D469">
        <v>2023</v>
      </c>
      <c r="E469">
        <v>163268</v>
      </c>
      <c r="F469" t="s">
        <v>127</v>
      </c>
      <c r="G469" t="s">
        <v>290</v>
      </c>
      <c r="H469" t="s">
        <v>9</v>
      </c>
      <c r="I469" cm="1">
        <f t="array" ref="I469">IF(B469=0,INDEX('Category 14'!F:F,MATCH(C469&amp;E469&amp;D469,'Category 14'!B:B&amp;'Category 14'!C:C&amp;'Category 14'!A:A,0)),INDEX('Category 14'!G:G,MATCH(C469&amp;E469&amp;D469,'Category 14'!B:B&amp;'Category 14'!C:C&amp;'Category 14'!A:A,0)))</f>
        <v>0</v>
      </c>
      <c r="J469">
        <f>I469/VLOOKUP($D469,CPI!$P$16:$R$22,3,FALSE)</f>
        <v>0</v>
      </c>
      <c r="K469" cm="1">
        <f t="array" ref="K469">IF(B469=0,INDEX('Category 15'!F:F,MATCH(C469&amp;E469&amp;D469,'Category 15'!B:B&amp;'Category 15'!C:C&amp;'Category 15'!A:A,0)),INDEX('Category 15'!G:G,MATCH(C469&amp;E469&amp;D469,'Category 15'!B:B&amp;'Category 31'!C:C&amp;'Category 15'!A:A,0)))</f>
        <v>0</v>
      </c>
      <c r="L469">
        <f>K469/VLOOKUP($D469,CPI!$P$16:$R$22,3,FALSE)</f>
        <v>0</v>
      </c>
      <c r="M469" s="16" cm="1">
        <f t="array" ref="M469">IF(B469=0,INDEX('Category 31'!F:F,MATCH(C469&amp;E469&amp;D469,'Category 31'!B:B&amp;'Category 31'!C:C&amp;'Category 31'!A:A,0)),INDEX('Category 31'!G:G,MATCH(C469&amp;E469&amp;D469,'Category 31'!B:B&amp;'Category 31'!C:C&amp;'Category 31'!A:A,0)))</f>
        <v>0</v>
      </c>
      <c r="N469" s="16">
        <f>M469/VLOOKUP($D469,CPI!$P$16:$R$22,3,FALSE)</f>
        <v>0</v>
      </c>
      <c r="O469">
        <v>0</v>
      </c>
    </row>
    <row r="470" spans="1:15" ht="16" thickBot="1" x14ac:dyDescent="0.25">
      <c r="A470" s="15">
        <v>2</v>
      </c>
      <c r="B470">
        <f t="shared" si="7"/>
        <v>1</v>
      </c>
      <c r="C470">
        <f>IF(ISBLANK(H470),"",VLOOKUP(H470,Code!B:C,2,FALSE))</f>
        <v>23</v>
      </c>
      <c r="D470">
        <v>2023</v>
      </c>
      <c r="E470">
        <v>163268</v>
      </c>
      <c r="F470" t="s">
        <v>127</v>
      </c>
      <c r="G470" t="s">
        <v>290</v>
      </c>
      <c r="H470" t="s">
        <v>10</v>
      </c>
      <c r="I470" cm="1">
        <f t="array" ref="I470">IF(B470=0,INDEX('Category 14'!F:F,MATCH(C470&amp;E470&amp;D470,'Category 14'!B:B&amp;'Category 14'!C:C&amp;'Category 14'!A:A,0)),INDEX('Category 14'!G:G,MATCH(C470&amp;E470&amp;D470,'Category 14'!B:B&amp;'Category 14'!C:C&amp;'Category 14'!A:A,0)))</f>
        <v>0</v>
      </c>
      <c r="J470">
        <f>I470/VLOOKUP($D470,CPI!$P$16:$R$22,3,FALSE)</f>
        <v>0</v>
      </c>
      <c r="K470" cm="1">
        <f t="array" ref="K470">IF(B470=0,INDEX('Category 15'!F:F,MATCH(C470&amp;E470&amp;D470,'Category 15'!B:B&amp;'Category 15'!C:C&amp;'Category 15'!A:A,0)),INDEX('Category 15'!G:G,MATCH(C470&amp;E470&amp;D470,'Category 15'!B:B&amp;'Category 31'!C:C&amp;'Category 15'!A:A,0)))</f>
        <v>0</v>
      </c>
      <c r="L470">
        <f>K470/VLOOKUP($D470,CPI!$P$16:$R$22,3,FALSE)</f>
        <v>0</v>
      </c>
      <c r="M470" s="16" cm="1">
        <f t="array" ref="M470">IF(B470=0,INDEX('Category 31'!F:F,MATCH(C470&amp;E470&amp;D470,'Category 31'!B:B&amp;'Category 31'!C:C&amp;'Category 31'!A:A,0)),INDEX('Category 31'!G:G,MATCH(C470&amp;E470&amp;D470,'Category 31'!B:B&amp;'Category 31'!C:C&amp;'Category 31'!A:A,0)))</f>
        <v>0</v>
      </c>
      <c r="N470" s="16">
        <f>M470/VLOOKUP($D470,CPI!$P$16:$R$22,3,FALSE)</f>
        <v>0</v>
      </c>
      <c r="O470">
        <f>VLOOKUP(E470,WVolleyball!C:S,12,FALSE)</f>
        <v>4247</v>
      </c>
    </row>
    <row r="471" spans="1:15" ht="16" thickBot="1" x14ac:dyDescent="0.25">
      <c r="A471" s="15">
        <v>2</v>
      </c>
      <c r="B471">
        <f t="shared" si="7"/>
        <v>0</v>
      </c>
      <c r="C471">
        <f>IF(ISBLANK(H471),"",VLOOKUP(H471,Code!B:C,2,FALSE))</f>
        <v>1</v>
      </c>
      <c r="D471">
        <v>2017</v>
      </c>
      <c r="E471">
        <v>199218</v>
      </c>
      <c r="F471" t="s">
        <v>166</v>
      </c>
      <c r="G471" t="s">
        <v>289</v>
      </c>
      <c r="H471" t="s">
        <v>0</v>
      </c>
      <c r="I471" cm="1">
        <f t="array" ref="I471">IF(B471=0,INDEX('Category 14'!F:F,MATCH(C471&amp;E471&amp;D471,'Category 14'!B:B&amp;'Category 14'!C:C&amp;'Category 14'!A:A,0)),INDEX('Category 14'!G:G,MATCH(C471&amp;E471&amp;D471,'Category 14'!B:B&amp;'Category 14'!C:C&amp;'Category 14'!A:A,0)))</f>
        <v>0</v>
      </c>
      <c r="J471">
        <f>I471/VLOOKUP($D471,CPI!$P$16:$R$22,3,FALSE)</f>
        <v>0</v>
      </c>
      <c r="K471" cm="1">
        <f t="array" ref="K471">IF(B471=0,INDEX('Category 15'!F:F,MATCH(C471&amp;E471&amp;D471,'Category 15'!B:B&amp;'Category 15'!C:C&amp;'Category 15'!A:A,0)),INDEX('Category 15'!G:G,MATCH(C471&amp;E471&amp;D471,'Category 15'!B:B&amp;'Category 31'!C:C&amp;'Category 15'!A:A,0)))</f>
        <v>12000</v>
      </c>
      <c r="L471">
        <f>K471/VLOOKUP($D471,CPI!$P$16:$R$22,3,FALSE)</f>
        <v>14820.233540004081</v>
      </c>
      <c r="M471" s="16" cm="1">
        <f t="array" ref="M471">IF(B471=0,INDEX('Category 31'!F:F,MATCH(C471&amp;E471&amp;D471,'Category 31'!B:B&amp;'Category 31'!C:C&amp;'Category 31'!A:A,0)),INDEX('Category 31'!G:G,MATCH(C471&amp;E471&amp;D471,'Category 31'!B:B&amp;'Category 31'!C:C&amp;'Category 31'!A:A,0)))</f>
        <v>1491</v>
      </c>
      <c r="N471" s="16">
        <f>M471/VLOOKUP($D471,CPI!$P$16:$R$22,3,FALSE)</f>
        <v>1841.4140173455071</v>
      </c>
      <c r="O471">
        <f>VLOOKUP(E471,MBaseball!C:R,6,FALSE)</f>
        <v>32669</v>
      </c>
    </row>
    <row r="472" spans="1:15" ht="16" thickBot="1" x14ac:dyDescent="0.25">
      <c r="A472" s="15">
        <v>2</v>
      </c>
      <c r="B472">
        <f t="shared" si="7"/>
        <v>0</v>
      </c>
      <c r="C472">
        <f>IF(ISBLANK(H472),"",VLOOKUP(H472,Code!B:C,2,FALSE))</f>
        <v>2</v>
      </c>
      <c r="D472">
        <v>2017</v>
      </c>
      <c r="E472">
        <v>199218</v>
      </c>
      <c r="F472" t="s">
        <v>166</v>
      </c>
      <c r="G472" t="s">
        <v>289</v>
      </c>
      <c r="H472" t="s">
        <v>1</v>
      </c>
      <c r="I472" cm="1">
        <f t="array" ref="I472">IF(B472=0,INDEX('Category 14'!F:F,MATCH(C472&amp;E472&amp;D472,'Category 14'!B:B&amp;'Category 14'!C:C&amp;'Category 14'!A:A,0)),INDEX('Category 14'!G:G,MATCH(C472&amp;E472&amp;D472,'Category 14'!B:B&amp;'Category 14'!C:C&amp;'Category 14'!A:A,0)))</f>
        <v>0</v>
      </c>
      <c r="J472">
        <f>I472/VLOOKUP($D472,CPI!$P$16:$R$22,3,FALSE)</f>
        <v>0</v>
      </c>
      <c r="K472" cm="1">
        <f t="array" ref="K472">IF(B472=0,INDEX('Category 15'!F:F,MATCH(C472&amp;E472&amp;D472,'Category 15'!B:B&amp;'Category 15'!C:C&amp;'Category 15'!A:A,0)),INDEX('Category 15'!G:G,MATCH(C472&amp;E472&amp;D472,'Category 15'!B:B&amp;'Category 31'!C:C&amp;'Category 15'!A:A,0)))</f>
        <v>0</v>
      </c>
      <c r="L472">
        <f>K472/VLOOKUP($D472,CPI!$P$16:$R$22,3,FALSE)</f>
        <v>0</v>
      </c>
      <c r="M472" s="16" cm="1">
        <f t="array" ref="M472">IF(B472=0,INDEX('Category 31'!F:F,MATCH(C472&amp;E472&amp;D472,'Category 31'!B:B&amp;'Category 31'!C:C&amp;'Category 31'!A:A,0)),INDEX('Category 31'!G:G,MATCH(C472&amp;E472&amp;D472,'Category 31'!B:B&amp;'Category 31'!C:C&amp;'Category 31'!A:A,0)))</f>
        <v>0</v>
      </c>
      <c r="N472" s="16">
        <f>M472/VLOOKUP($D472,CPI!$P$16:$R$22,3,FALSE)</f>
        <v>0</v>
      </c>
      <c r="O472">
        <f>VLOOKUP(E472,MBasketball!C:S,6,FALSE)</f>
        <v>65788</v>
      </c>
    </row>
    <row r="473" spans="1:15" ht="16" thickBot="1" x14ac:dyDescent="0.25">
      <c r="A473" s="15">
        <v>2</v>
      </c>
      <c r="B473">
        <f t="shared" si="7"/>
        <v>0</v>
      </c>
      <c r="C473">
        <f>IF(ISBLANK(H473),"",VLOOKUP(H473,Code!B:C,2,FALSE))</f>
        <v>9</v>
      </c>
      <c r="D473">
        <v>2017</v>
      </c>
      <c r="E473">
        <v>199218</v>
      </c>
      <c r="F473" t="s">
        <v>166</v>
      </c>
      <c r="G473" t="s">
        <v>289</v>
      </c>
      <c r="H473" t="s">
        <v>3</v>
      </c>
      <c r="I473" cm="1">
        <f t="array" ref="I473">IF(B473=0,INDEX('Category 14'!F:F,MATCH(C473&amp;E473&amp;D473,'Category 14'!B:B&amp;'Category 14'!C:C&amp;'Category 14'!A:A,0)),INDEX('Category 14'!G:G,MATCH(C473&amp;E473&amp;D473,'Category 14'!B:B&amp;'Category 14'!C:C&amp;'Category 14'!A:A,0)))</f>
        <v>0</v>
      </c>
      <c r="J473">
        <f>I473/VLOOKUP($D473,CPI!$P$16:$R$22,3,FALSE)</f>
        <v>0</v>
      </c>
      <c r="K473" cm="1">
        <f t="array" ref="K473">IF(B473=0,INDEX('Category 15'!F:F,MATCH(C473&amp;E473&amp;D473,'Category 15'!B:B&amp;'Category 15'!C:C&amp;'Category 15'!A:A,0)),INDEX('Category 15'!G:G,MATCH(C473&amp;E473&amp;D473,'Category 15'!B:B&amp;'Category 31'!C:C&amp;'Category 15'!A:A,0)))</f>
        <v>0</v>
      </c>
      <c r="L473">
        <f>K473/VLOOKUP($D473,CPI!$P$16:$R$22,3,FALSE)</f>
        <v>0</v>
      </c>
      <c r="M473" s="16" cm="1">
        <f t="array" ref="M473">IF(B473=0,INDEX('Category 31'!F:F,MATCH(C473&amp;E473&amp;D473,'Category 31'!B:B&amp;'Category 31'!C:C&amp;'Category 31'!A:A,0)),INDEX('Category 31'!G:G,MATCH(C473&amp;E473&amp;D473,'Category 31'!B:B&amp;'Category 31'!C:C&amp;'Category 31'!A:A,0)))</f>
        <v>0</v>
      </c>
      <c r="N473" s="16">
        <f>M473/VLOOKUP($D473,CPI!$P$16:$R$22,3,FALSE)</f>
        <v>0</v>
      </c>
      <c r="O473">
        <v>0</v>
      </c>
    </row>
    <row r="474" spans="1:15" ht="16" thickBot="1" x14ac:dyDescent="0.25">
      <c r="A474" s="15">
        <v>2</v>
      </c>
      <c r="B474">
        <f t="shared" si="7"/>
        <v>0</v>
      </c>
      <c r="C474">
        <f>IF(ISBLANK(H474),"",VLOOKUP(H474,Code!B:C,2,FALSE))</f>
        <v>17</v>
      </c>
      <c r="D474">
        <v>2017</v>
      </c>
      <c r="E474">
        <v>199218</v>
      </c>
      <c r="F474" t="s">
        <v>166</v>
      </c>
      <c r="G474" t="s">
        <v>289</v>
      </c>
      <c r="H474" t="s">
        <v>5</v>
      </c>
      <c r="I474" cm="1">
        <f t="array" ref="I474">IF(B474=0,INDEX('Category 14'!F:F,MATCH(C474&amp;E474&amp;D474,'Category 14'!B:B&amp;'Category 14'!C:C&amp;'Category 14'!A:A,0)),INDEX('Category 14'!G:G,MATCH(C474&amp;E474&amp;D474,'Category 14'!B:B&amp;'Category 14'!C:C&amp;'Category 14'!A:A,0)))</f>
        <v>0</v>
      </c>
      <c r="J474">
        <f>I474/VLOOKUP($D474,CPI!$P$16:$R$22,3,FALSE)</f>
        <v>0</v>
      </c>
      <c r="K474" cm="1">
        <f t="array" ref="K474">IF(B474=0,INDEX('Category 15'!F:F,MATCH(C474&amp;E474&amp;D474,'Category 15'!B:B&amp;'Category 15'!C:C&amp;'Category 15'!A:A,0)),INDEX('Category 15'!G:G,MATCH(C474&amp;E474&amp;D474,'Category 15'!B:B&amp;'Category 31'!C:C&amp;'Category 15'!A:A,0)))</f>
        <v>0</v>
      </c>
      <c r="L474">
        <f>K474/VLOOKUP($D474,CPI!$P$16:$R$22,3,FALSE)</f>
        <v>0</v>
      </c>
      <c r="M474" s="16" cm="1">
        <f t="array" ref="M474">IF(B474=0,INDEX('Category 31'!F:F,MATCH(C474&amp;E474&amp;D474,'Category 31'!B:B&amp;'Category 31'!C:C&amp;'Category 31'!A:A,0)),INDEX('Category 31'!G:G,MATCH(C474&amp;E474&amp;D474,'Category 31'!B:B&amp;'Category 31'!C:C&amp;'Category 31'!A:A,0)))</f>
        <v>0</v>
      </c>
      <c r="N474" s="16">
        <f>M474/VLOOKUP($D474,CPI!$P$16:$R$22,3,FALSE)</f>
        <v>0</v>
      </c>
      <c r="O474">
        <f>VLOOKUP(E474,MSoccer!C:S,6,FALSE)</f>
        <v>5411</v>
      </c>
    </row>
    <row r="475" spans="1:15" ht="16" thickBot="1" x14ac:dyDescent="0.25">
      <c r="A475" s="15">
        <v>2</v>
      </c>
      <c r="B475">
        <f t="shared" si="7"/>
        <v>0</v>
      </c>
      <c r="C475">
        <f>IF(ISBLANK(H475),"",VLOOKUP(H475,Code!B:C,2,FALSE))</f>
        <v>19</v>
      </c>
      <c r="D475">
        <v>2017</v>
      </c>
      <c r="E475">
        <v>199218</v>
      </c>
      <c r="F475" t="s">
        <v>166</v>
      </c>
      <c r="G475" t="s">
        <v>289</v>
      </c>
      <c r="H475" t="s">
        <v>7</v>
      </c>
      <c r="I475" cm="1">
        <f t="array" ref="I475">IF(B475=0,INDEX('Category 14'!F:F,MATCH(C475&amp;E475&amp;D475,'Category 14'!B:B&amp;'Category 14'!C:C&amp;'Category 14'!A:A,0)),INDEX('Category 14'!G:G,MATCH(C475&amp;E475&amp;D475,'Category 14'!B:B&amp;'Category 14'!C:C&amp;'Category 14'!A:A,0)))</f>
        <v>0</v>
      </c>
      <c r="J475">
        <f>I475/VLOOKUP($D475,CPI!$P$16:$R$22,3,FALSE)</f>
        <v>0</v>
      </c>
      <c r="K475" cm="1">
        <f t="array" ref="K475">IF(B475=0,INDEX('Category 15'!F:F,MATCH(C475&amp;E475&amp;D475,'Category 15'!B:B&amp;'Category 15'!C:C&amp;'Category 15'!A:A,0)),INDEX('Category 15'!G:G,MATCH(C475&amp;E475&amp;D475,'Category 15'!B:B&amp;'Category 31'!C:C&amp;'Category 15'!A:A,0)))</f>
        <v>0</v>
      </c>
      <c r="L475">
        <f>K475/VLOOKUP($D475,CPI!$P$16:$R$22,3,FALSE)</f>
        <v>0</v>
      </c>
      <c r="M475" s="16" cm="1">
        <f t="array" ref="M475">IF(B475=0,INDEX('Category 31'!F:F,MATCH(C475&amp;E475&amp;D475,'Category 31'!B:B&amp;'Category 31'!C:C&amp;'Category 31'!A:A,0)),INDEX('Category 31'!G:G,MATCH(C475&amp;E475&amp;D475,'Category 31'!B:B&amp;'Category 31'!C:C&amp;'Category 31'!A:A,0)))</f>
        <v>0</v>
      </c>
      <c r="N475" s="16">
        <f>M475/VLOOKUP($D475,CPI!$P$16:$R$22,3,FALSE)</f>
        <v>0</v>
      </c>
      <c r="O475">
        <v>0</v>
      </c>
    </row>
    <row r="476" spans="1:15" ht="16" thickBot="1" x14ac:dyDescent="0.25">
      <c r="A476" s="15">
        <v>2</v>
      </c>
      <c r="B476">
        <f t="shared" si="7"/>
        <v>0</v>
      </c>
      <c r="C476">
        <f>IF(ISBLANK(H476),"",VLOOKUP(H476,Code!B:C,2,FALSE))</f>
        <v>20</v>
      </c>
      <c r="D476">
        <v>2017</v>
      </c>
      <c r="E476">
        <v>199218</v>
      </c>
      <c r="F476" t="s">
        <v>166</v>
      </c>
      <c r="G476" t="s">
        <v>289</v>
      </c>
      <c r="H476" t="s">
        <v>8</v>
      </c>
      <c r="I476" cm="1">
        <f t="array" ref="I476">IF(B476=0,INDEX('Category 14'!F:F,MATCH(C476&amp;E476&amp;D476,'Category 14'!B:B&amp;'Category 14'!C:C&amp;'Category 14'!A:A,0)),INDEX('Category 14'!G:G,MATCH(C476&amp;E476&amp;D476,'Category 14'!B:B&amp;'Category 14'!C:C&amp;'Category 14'!A:A,0)))</f>
        <v>0</v>
      </c>
      <c r="J476">
        <f>I476/VLOOKUP($D476,CPI!$P$16:$R$22,3,FALSE)</f>
        <v>0</v>
      </c>
      <c r="K476" cm="1">
        <f t="array" ref="K476">IF(B476=0,INDEX('Category 15'!F:F,MATCH(C476&amp;E476&amp;D476,'Category 15'!B:B&amp;'Category 15'!C:C&amp;'Category 15'!A:A,0)),INDEX('Category 15'!G:G,MATCH(C476&amp;E476&amp;D476,'Category 15'!B:B&amp;'Category 31'!C:C&amp;'Category 15'!A:A,0)))</f>
        <v>0</v>
      </c>
      <c r="L476">
        <f>K476/VLOOKUP($D476,CPI!$P$16:$R$22,3,FALSE)</f>
        <v>0</v>
      </c>
      <c r="M476" s="16" cm="1">
        <f t="array" ref="M476">IF(B476=0,INDEX('Category 31'!F:F,MATCH(C476&amp;E476&amp;D476,'Category 31'!B:B&amp;'Category 31'!C:C&amp;'Category 31'!A:A,0)),INDEX('Category 31'!G:G,MATCH(C476&amp;E476&amp;D476,'Category 31'!B:B&amp;'Category 31'!C:C&amp;'Category 31'!A:A,0)))</f>
        <v>0</v>
      </c>
      <c r="N476" s="16">
        <f>M476/VLOOKUP($D476,CPI!$P$16:$R$22,3,FALSE)</f>
        <v>0</v>
      </c>
      <c r="O476">
        <v>0</v>
      </c>
    </row>
    <row r="477" spans="1:15" ht="16" thickBot="1" x14ac:dyDescent="0.25">
      <c r="A477" s="15">
        <v>2</v>
      </c>
      <c r="B477">
        <f t="shared" si="7"/>
        <v>0</v>
      </c>
      <c r="C477">
        <f>IF(ISBLANK(H477),"",VLOOKUP(H477,Code!B:C,2,FALSE))</f>
        <v>21</v>
      </c>
      <c r="D477">
        <v>2017</v>
      </c>
      <c r="E477">
        <v>199218</v>
      </c>
      <c r="F477" t="s">
        <v>166</v>
      </c>
      <c r="G477" t="s">
        <v>289</v>
      </c>
      <c r="H477" t="s">
        <v>36</v>
      </c>
      <c r="I477" cm="1">
        <f t="array" ref="I477">IF(B477=0,INDEX('Category 14'!F:F,MATCH(C477&amp;E477&amp;D477,'Category 14'!B:B&amp;'Category 14'!C:C&amp;'Category 14'!A:A,0)),INDEX('Category 14'!G:G,MATCH(C477&amp;E477&amp;D477,'Category 14'!B:B&amp;'Category 14'!C:C&amp;'Category 14'!A:A,0)))</f>
        <v>0</v>
      </c>
      <c r="J477">
        <f>I477/VLOOKUP($D477,CPI!$P$16:$R$22,3,FALSE)</f>
        <v>0</v>
      </c>
      <c r="K477" cm="1">
        <f t="array" ref="K477">IF(B477=0,INDEX('Category 15'!F:F,MATCH(C477&amp;E477&amp;D477,'Category 15'!B:B&amp;'Category 15'!C:C&amp;'Category 15'!A:A,0)),INDEX('Category 15'!G:G,MATCH(C477&amp;E477&amp;D477,'Category 15'!B:B&amp;'Category 31'!C:C&amp;'Category 15'!A:A,0)))</f>
        <v>0</v>
      </c>
      <c r="L477">
        <f>K477/VLOOKUP($D477,CPI!$P$16:$R$22,3,FALSE)</f>
        <v>0</v>
      </c>
      <c r="M477" s="16" cm="1">
        <f t="array" ref="M477">IF(B477=0,INDEX('Category 31'!F:F,MATCH(C477&amp;E477&amp;D477,'Category 31'!B:B&amp;'Category 31'!C:C&amp;'Category 31'!A:A,0)),INDEX('Category 31'!G:G,MATCH(C477&amp;E477&amp;D477,'Category 31'!B:B&amp;'Category 31'!C:C&amp;'Category 31'!A:A,0)))</f>
        <v>82</v>
      </c>
      <c r="N477" s="16">
        <f>M477/VLOOKUP($D477,CPI!$P$16:$R$22,3,FALSE)</f>
        <v>101.27159585669456</v>
      </c>
      <c r="O477">
        <v>0</v>
      </c>
    </row>
    <row r="478" spans="1:15" ht="16" thickBot="1" x14ac:dyDescent="0.25">
      <c r="A478" s="15">
        <v>2</v>
      </c>
      <c r="B478">
        <f t="shared" si="7"/>
        <v>1</v>
      </c>
      <c r="C478">
        <f>IF(ISBLANK(H478),"",VLOOKUP(H478,Code!B:C,2,FALSE))</f>
        <v>2</v>
      </c>
      <c r="D478">
        <v>2017</v>
      </c>
      <c r="E478">
        <v>199218</v>
      </c>
      <c r="F478" t="s">
        <v>166</v>
      </c>
      <c r="G478" t="s">
        <v>290</v>
      </c>
      <c r="H478" t="s">
        <v>1</v>
      </c>
      <c r="I478" cm="1">
        <f t="array" ref="I478">IF(B478=0,INDEX('Category 14'!F:F,MATCH(C478&amp;E478&amp;D478,'Category 14'!B:B&amp;'Category 14'!C:C&amp;'Category 14'!A:A,0)),INDEX('Category 14'!G:G,MATCH(C478&amp;E478&amp;D478,'Category 14'!B:B&amp;'Category 14'!C:C&amp;'Category 14'!A:A,0)))</f>
        <v>0</v>
      </c>
      <c r="J478">
        <f>I478/VLOOKUP($D478,CPI!$P$16:$R$22,3,FALSE)</f>
        <v>0</v>
      </c>
      <c r="K478" cm="1">
        <f t="array" ref="K478">IF(B478=0,INDEX('Category 15'!F:F,MATCH(C478&amp;E478&amp;D478,'Category 15'!B:B&amp;'Category 15'!C:C&amp;'Category 15'!A:A,0)),INDEX('Category 15'!G:G,MATCH(C478&amp;E478&amp;D478,'Category 15'!B:B&amp;'Category 31'!C:C&amp;'Category 15'!A:A,0)))</f>
        <v>0</v>
      </c>
      <c r="L478">
        <f>K478/VLOOKUP($D478,CPI!$P$16:$R$22,3,FALSE)</f>
        <v>0</v>
      </c>
      <c r="M478" s="16" cm="1">
        <f t="array" ref="M478">IF(B478=0,INDEX('Category 31'!F:F,MATCH(C478&amp;E478&amp;D478,'Category 31'!B:B&amp;'Category 31'!C:C&amp;'Category 31'!A:A,0)),INDEX('Category 31'!G:G,MATCH(C478&amp;E478&amp;D478,'Category 31'!B:B&amp;'Category 31'!C:C&amp;'Category 31'!A:A,0)))</f>
        <v>0</v>
      </c>
      <c r="N478" s="16">
        <f>M478/VLOOKUP($D478,CPI!$P$16:$R$22,3,FALSE)</f>
        <v>0</v>
      </c>
      <c r="O478">
        <f>VLOOKUP(E478,WBasketball!C:S,6,FALSE)</f>
        <v>14354</v>
      </c>
    </row>
    <row r="479" spans="1:15" ht="16" thickBot="1" x14ac:dyDescent="0.25">
      <c r="A479" s="15">
        <v>2</v>
      </c>
      <c r="B479">
        <f t="shared" si="7"/>
        <v>1</v>
      </c>
      <c r="C479">
        <f>IF(ISBLANK(H479),"",VLOOKUP(H479,Code!B:C,2,FALSE))</f>
        <v>3</v>
      </c>
      <c r="D479">
        <v>2017</v>
      </c>
      <c r="E479">
        <v>199218</v>
      </c>
      <c r="F479" t="s">
        <v>166</v>
      </c>
      <c r="G479" t="s">
        <v>290</v>
      </c>
      <c r="H479" t="s">
        <v>21</v>
      </c>
      <c r="I479" cm="1">
        <f t="array" ref="I479">IF(B479=0,INDEX('Category 14'!F:F,MATCH(C479&amp;E479&amp;D479,'Category 14'!B:B&amp;'Category 14'!C:C&amp;'Category 14'!A:A,0)),INDEX('Category 14'!G:G,MATCH(C479&amp;E479&amp;D479,'Category 14'!B:B&amp;'Category 14'!C:C&amp;'Category 14'!A:A,0)))</f>
        <v>0</v>
      </c>
      <c r="J479">
        <f>I479/VLOOKUP($D479,CPI!$P$16:$R$22,3,FALSE)</f>
        <v>0</v>
      </c>
      <c r="K479" cm="1">
        <f t="array" ref="K479">IF(B479=0,INDEX('Category 15'!F:F,MATCH(C479&amp;E479&amp;D479,'Category 15'!B:B&amp;'Category 15'!C:C&amp;'Category 15'!A:A,0)),INDEX('Category 15'!G:G,MATCH(C479&amp;E479&amp;D479,'Category 15'!B:B&amp;'Category 31'!C:C&amp;'Category 15'!A:A,0)))</f>
        <v>0</v>
      </c>
      <c r="L479">
        <f>K479/VLOOKUP($D479,CPI!$P$16:$R$22,3,FALSE)</f>
        <v>0</v>
      </c>
      <c r="M479" s="16" cm="1">
        <f t="array" ref="M479">IF(B479=0,INDEX('Category 31'!F:F,MATCH(C479&amp;E479&amp;D479,'Category 31'!B:B&amp;'Category 31'!C:C&amp;'Category 31'!A:A,0)),INDEX('Category 31'!G:G,MATCH(C479&amp;E479&amp;D479,'Category 31'!B:B&amp;'Category 31'!C:C&amp;'Category 31'!A:A,0)))</f>
        <v>0</v>
      </c>
      <c r="N479" s="16">
        <f>M479/VLOOKUP($D479,CPI!$P$16:$R$22,3,FALSE)</f>
        <v>0</v>
      </c>
      <c r="O479">
        <v>0</v>
      </c>
    </row>
    <row r="480" spans="1:15" ht="16" thickBot="1" x14ac:dyDescent="0.25">
      <c r="A480" s="15">
        <v>2</v>
      </c>
      <c r="B480">
        <f t="shared" si="7"/>
        <v>1</v>
      </c>
      <c r="C480">
        <f>IF(ISBLANK(H480),"",VLOOKUP(H480,Code!B:C,2,FALSE))</f>
        <v>9</v>
      </c>
      <c r="D480">
        <v>2017</v>
      </c>
      <c r="E480">
        <v>199218</v>
      </c>
      <c r="F480" t="s">
        <v>166</v>
      </c>
      <c r="G480" t="s">
        <v>290</v>
      </c>
      <c r="H480" t="s">
        <v>3</v>
      </c>
      <c r="I480" cm="1">
        <f t="array" ref="I480">IF(B480=0,INDEX('Category 14'!F:F,MATCH(C480&amp;E480&amp;D480,'Category 14'!B:B&amp;'Category 14'!C:C&amp;'Category 14'!A:A,0)),INDEX('Category 14'!G:G,MATCH(C480&amp;E480&amp;D480,'Category 14'!B:B&amp;'Category 14'!C:C&amp;'Category 14'!A:A,0)))</f>
        <v>0</v>
      </c>
      <c r="J480">
        <f>I480/VLOOKUP($D480,CPI!$P$16:$R$22,3,FALSE)</f>
        <v>0</v>
      </c>
      <c r="K480" cm="1">
        <f t="array" ref="K480">IF(B480=0,INDEX('Category 15'!F:F,MATCH(C480&amp;E480&amp;D480,'Category 15'!B:B&amp;'Category 15'!C:C&amp;'Category 15'!A:A,0)),INDEX('Category 15'!G:G,MATCH(C480&amp;E480&amp;D480,'Category 15'!B:B&amp;'Category 31'!C:C&amp;'Category 15'!A:A,0)))</f>
        <v>0</v>
      </c>
      <c r="L480">
        <f>K480/VLOOKUP($D480,CPI!$P$16:$R$22,3,FALSE)</f>
        <v>0</v>
      </c>
      <c r="M480" s="16" cm="1">
        <f t="array" ref="M480">IF(B480=0,INDEX('Category 31'!F:F,MATCH(C480&amp;E480&amp;D480,'Category 31'!B:B&amp;'Category 31'!C:C&amp;'Category 31'!A:A,0)),INDEX('Category 31'!G:G,MATCH(C480&amp;E480&amp;D480,'Category 31'!B:B&amp;'Category 31'!C:C&amp;'Category 31'!A:A,0)))</f>
        <v>0</v>
      </c>
      <c r="N480" s="16">
        <f>M480/VLOOKUP($D480,CPI!$P$16:$R$22,3,FALSE)</f>
        <v>0</v>
      </c>
      <c r="O480">
        <v>0</v>
      </c>
    </row>
    <row r="481" spans="1:15" ht="16" thickBot="1" x14ac:dyDescent="0.25">
      <c r="A481" s="15">
        <v>2</v>
      </c>
      <c r="B481">
        <f t="shared" si="7"/>
        <v>1</v>
      </c>
      <c r="C481">
        <f>IF(ISBLANK(H481),"",VLOOKUP(H481,Code!B:C,2,FALSE))</f>
        <v>17</v>
      </c>
      <c r="D481">
        <v>2017</v>
      </c>
      <c r="E481">
        <v>199218</v>
      </c>
      <c r="F481" t="s">
        <v>166</v>
      </c>
      <c r="G481" t="s">
        <v>290</v>
      </c>
      <c r="H481" t="s">
        <v>5</v>
      </c>
      <c r="I481" cm="1">
        <f t="array" ref="I481">IF(B481=0,INDEX('Category 14'!F:F,MATCH(C481&amp;E481&amp;D481,'Category 14'!B:B&amp;'Category 14'!C:C&amp;'Category 14'!A:A,0)),INDEX('Category 14'!G:G,MATCH(C481&amp;E481&amp;D481,'Category 14'!B:B&amp;'Category 14'!C:C&amp;'Category 14'!A:A,0)))</f>
        <v>0</v>
      </c>
      <c r="J481">
        <f>I481/VLOOKUP($D481,CPI!$P$16:$R$22,3,FALSE)</f>
        <v>0</v>
      </c>
      <c r="K481" cm="1">
        <f t="array" ref="K481">IF(B481=0,INDEX('Category 15'!F:F,MATCH(C481&amp;E481&amp;D481,'Category 15'!B:B&amp;'Category 15'!C:C&amp;'Category 15'!A:A,0)),INDEX('Category 15'!G:G,MATCH(C481&amp;E481&amp;D481,'Category 15'!B:B&amp;'Category 31'!C:C&amp;'Category 15'!A:A,0)))</f>
        <v>0</v>
      </c>
      <c r="L481">
        <f>K481/VLOOKUP($D481,CPI!$P$16:$R$22,3,FALSE)</f>
        <v>0</v>
      </c>
      <c r="M481" s="16" cm="1">
        <f t="array" ref="M481">IF(B481=0,INDEX('Category 31'!F:F,MATCH(C481&amp;E481&amp;D481,'Category 31'!B:B&amp;'Category 31'!C:C&amp;'Category 31'!A:A,0)),INDEX('Category 31'!G:G,MATCH(C481&amp;E481&amp;D481,'Category 31'!B:B&amp;'Category 31'!C:C&amp;'Category 31'!A:A,0)))</f>
        <v>0</v>
      </c>
      <c r="N481" s="16">
        <f>M481/VLOOKUP($D481,CPI!$P$16:$R$22,3,FALSE)</f>
        <v>0</v>
      </c>
      <c r="O481">
        <f>VLOOKUP(E481,WSoccer!C:S,6,FALSE)</f>
        <v>4927</v>
      </c>
    </row>
    <row r="482" spans="1:15" ht="16" thickBot="1" x14ac:dyDescent="0.25">
      <c r="A482" s="15">
        <v>2</v>
      </c>
      <c r="B482">
        <f t="shared" si="7"/>
        <v>1</v>
      </c>
      <c r="C482">
        <f>IF(ISBLANK(H482),"",VLOOKUP(H482,Code!B:C,2,FALSE))</f>
        <v>18</v>
      </c>
      <c r="D482">
        <v>2017</v>
      </c>
      <c r="E482">
        <v>199218</v>
      </c>
      <c r="F482" t="s">
        <v>166</v>
      </c>
      <c r="G482" t="s">
        <v>290</v>
      </c>
      <c r="H482" t="s">
        <v>6</v>
      </c>
      <c r="I482" cm="1">
        <f t="array" ref="I482">IF(B482=0,INDEX('Category 14'!F:F,MATCH(C482&amp;E482&amp;D482,'Category 14'!B:B&amp;'Category 14'!C:C&amp;'Category 14'!A:A,0)),INDEX('Category 14'!G:G,MATCH(C482&amp;E482&amp;D482,'Category 14'!B:B&amp;'Category 14'!C:C&amp;'Category 14'!A:A,0)))</f>
        <v>0</v>
      </c>
      <c r="J482">
        <f>I482/VLOOKUP($D482,CPI!$P$16:$R$22,3,FALSE)</f>
        <v>0</v>
      </c>
      <c r="K482" cm="1">
        <f t="array" ref="K482">IF(B482=0,INDEX('Category 15'!F:F,MATCH(C482&amp;E482&amp;D482,'Category 15'!B:B&amp;'Category 15'!C:C&amp;'Category 15'!A:A,0)),INDEX('Category 15'!G:G,MATCH(C482&amp;E482&amp;D482,'Category 15'!B:B&amp;'Category 31'!C:C&amp;'Category 15'!A:A,0)))</f>
        <v>0</v>
      </c>
      <c r="L482">
        <f>K482/VLOOKUP($D482,CPI!$P$16:$R$22,3,FALSE)</f>
        <v>0</v>
      </c>
      <c r="M482" s="16" cm="1">
        <f t="array" ref="M482">IF(B482=0,INDEX('Category 31'!F:F,MATCH(C482&amp;E482&amp;D482,'Category 31'!B:B&amp;'Category 31'!C:C&amp;'Category 31'!A:A,0)),INDEX('Category 31'!G:G,MATCH(C482&amp;E482&amp;D482,'Category 31'!B:B&amp;'Category 31'!C:C&amp;'Category 31'!A:A,0)))</f>
        <v>0</v>
      </c>
      <c r="N482" s="16">
        <f>M482/VLOOKUP($D482,CPI!$P$16:$R$22,3,FALSE)</f>
        <v>0</v>
      </c>
      <c r="O482">
        <f>VLOOKUP(E482,WSoftball!C:S,6,FALSE)</f>
        <v>8932</v>
      </c>
    </row>
    <row r="483" spans="1:15" ht="16" thickBot="1" x14ac:dyDescent="0.25">
      <c r="A483" s="15">
        <v>2</v>
      </c>
      <c r="B483">
        <f t="shared" si="7"/>
        <v>1</v>
      </c>
      <c r="C483">
        <f>IF(ISBLANK(H483),"",VLOOKUP(H483,Code!B:C,2,FALSE))</f>
        <v>19</v>
      </c>
      <c r="D483">
        <v>2017</v>
      </c>
      <c r="E483">
        <v>199218</v>
      </c>
      <c r="F483" t="s">
        <v>166</v>
      </c>
      <c r="G483" t="s">
        <v>290</v>
      </c>
      <c r="H483" t="s">
        <v>7</v>
      </c>
      <c r="I483" cm="1">
        <f t="array" ref="I483">IF(B483=0,INDEX('Category 14'!F:F,MATCH(C483&amp;E483&amp;D483,'Category 14'!B:B&amp;'Category 14'!C:C&amp;'Category 14'!A:A,0)),INDEX('Category 14'!G:G,MATCH(C483&amp;E483&amp;D483,'Category 14'!B:B&amp;'Category 14'!C:C&amp;'Category 14'!A:A,0)))</f>
        <v>0</v>
      </c>
      <c r="J483">
        <f>I483/VLOOKUP($D483,CPI!$P$16:$R$22,3,FALSE)</f>
        <v>0</v>
      </c>
      <c r="K483" cm="1">
        <f t="array" ref="K483">IF(B483=0,INDEX('Category 15'!F:F,MATCH(C483&amp;E483&amp;D483,'Category 15'!B:B&amp;'Category 15'!C:C&amp;'Category 15'!A:A,0)),INDEX('Category 15'!G:G,MATCH(C483&amp;E483&amp;D483,'Category 15'!B:B&amp;'Category 31'!C:C&amp;'Category 15'!A:A,0)))</f>
        <v>0</v>
      </c>
      <c r="L483">
        <f>K483/VLOOKUP($D483,CPI!$P$16:$R$22,3,FALSE)</f>
        <v>0</v>
      </c>
      <c r="M483" s="16" cm="1">
        <f t="array" ref="M483">IF(B483=0,INDEX('Category 31'!F:F,MATCH(C483&amp;E483&amp;D483,'Category 31'!B:B&amp;'Category 31'!C:C&amp;'Category 31'!A:A,0)),INDEX('Category 31'!G:G,MATCH(C483&amp;E483&amp;D483,'Category 31'!B:B&amp;'Category 31'!C:C&amp;'Category 31'!A:A,0)))</f>
        <v>0</v>
      </c>
      <c r="N483" s="16">
        <f>M483/VLOOKUP($D483,CPI!$P$16:$R$22,3,FALSE)</f>
        <v>0</v>
      </c>
      <c r="O483">
        <v>0</v>
      </c>
    </row>
    <row r="484" spans="1:15" ht="16" thickBot="1" x14ac:dyDescent="0.25">
      <c r="A484" s="15">
        <v>2</v>
      </c>
      <c r="B484">
        <f t="shared" si="7"/>
        <v>1</v>
      </c>
      <c r="C484">
        <f>IF(ISBLANK(H484),"",VLOOKUP(H484,Code!B:C,2,FALSE))</f>
        <v>20</v>
      </c>
      <c r="D484">
        <v>2017</v>
      </c>
      <c r="E484">
        <v>199218</v>
      </c>
      <c r="F484" t="s">
        <v>166</v>
      </c>
      <c r="G484" t="s">
        <v>290</v>
      </c>
      <c r="H484" t="s">
        <v>8</v>
      </c>
      <c r="I484" cm="1">
        <f t="array" ref="I484">IF(B484=0,INDEX('Category 14'!F:F,MATCH(C484&amp;E484&amp;D484,'Category 14'!B:B&amp;'Category 14'!C:C&amp;'Category 14'!A:A,0)),INDEX('Category 14'!G:G,MATCH(C484&amp;E484&amp;D484,'Category 14'!B:B&amp;'Category 14'!C:C&amp;'Category 14'!A:A,0)))</f>
        <v>0</v>
      </c>
      <c r="J484">
        <f>I484/VLOOKUP($D484,CPI!$P$16:$R$22,3,FALSE)</f>
        <v>0</v>
      </c>
      <c r="K484" cm="1">
        <f t="array" ref="K484">IF(B484=0,INDEX('Category 15'!F:F,MATCH(C484&amp;E484&amp;D484,'Category 15'!B:B&amp;'Category 15'!C:C&amp;'Category 15'!A:A,0)),INDEX('Category 15'!G:G,MATCH(C484&amp;E484&amp;D484,'Category 15'!B:B&amp;'Category 31'!C:C&amp;'Category 15'!A:A,0)))</f>
        <v>0</v>
      </c>
      <c r="L484">
        <f>K484/VLOOKUP($D484,CPI!$P$16:$R$22,3,FALSE)</f>
        <v>0</v>
      </c>
      <c r="M484" s="16" cm="1">
        <f t="array" ref="M484">IF(B484=0,INDEX('Category 31'!F:F,MATCH(C484&amp;E484&amp;D484,'Category 31'!B:B&amp;'Category 31'!C:C&amp;'Category 31'!A:A,0)),INDEX('Category 31'!G:G,MATCH(C484&amp;E484&amp;D484,'Category 31'!B:B&amp;'Category 31'!C:C&amp;'Category 31'!A:A,0)))</f>
        <v>0</v>
      </c>
      <c r="N484" s="16">
        <f>M484/VLOOKUP($D484,CPI!$P$16:$R$22,3,FALSE)</f>
        <v>0</v>
      </c>
      <c r="O484">
        <v>0</v>
      </c>
    </row>
    <row r="485" spans="1:15" ht="16" thickBot="1" x14ac:dyDescent="0.25">
      <c r="A485" s="15">
        <v>2</v>
      </c>
      <c r="B485">
        <f t="shared" si="7"/>
        <v>1</v>
      </c>
      <c r="C485">
        <f>IF(ISBLANK(H485),"",VLOOKUP(H485,Code!B:C,2,FALSE))</f>
        <v>21</v>
      </c>
      <c r="D485">
        <v>2017</v>
      </c>
      <c r="E485">
        <v>199218</v>
      </c>
      <c r="F485" t="s">
        <v>166</v>
      </c>
      <c r="G485" t="s">
        <v>290</v>
      </c>
      <c r="H485" t="s">
        <v>36</v>
      </c>
      <c r="I485" cm="1">
        <f t="array" ref="I485">IF(B485=0,INDEX('Category 14'!F:F,MATCH(C485&amp;E485&amp;D485,'Category 14'!B:B&amp;'Category 14'!C:C&amp;'Category 14'!A:A,0)),INDEX('Category 14'!G:G,MATCH(C485&amp;E485&amp;D485,'Category 14'!B:B&amp;'Category 14'!C:C&amp;'Category 14'!A:A,0)))</f>
        <v>0</v>
      </c>
      <c r="J485">
        <f>I485/VLOOKUP($D485,CPI!$P$16:$R$22,3,FALSE)</f>
        <v>0</v>
      </c>
      <c r="K485" cm="1">
        <f t="array" ref="K485">IF(B485=0,INDEX('Category 15'!F:F,MATCH(C485&amp;E485&amp;D485,'Category 15'!B:B&amp;'Category 15'!C:C&amp;'Category 15'!A:A,0)),INDEX('Category 15'!G:G,MATCH(C485&amp;E485&amp;D485,'Category 15'!B:B&amp;'Category 31'!C:C&amp;'Category 15'!A:A,0)))</f>
        <v>0</v>
      </c>
      <c r="L485">
        <f>K485/VLOOKUP($D485,CPI!$P$16:$R$22,3,FALSE)</f>
        <v>0</v>
      </c>
      <c r="M485" s="16" cm="1">
        <f t="array" ref="M485">IF(B485=0,INDEX('Category 31'!F:F,MATCH(C485&amp;E485&amp;D485,'Category 31'!B:B&amp;'Category 31'!C:C&amp;'Category 31'!A:A,0)),INDEX('Category 31'!G:G,MATCH(C485&amp;E485&amp;D485,'Category 31'!B:B&amp;'Category 31'!C:C&amp;'Category 31'!A:A,0)))</f>
        <v>82</v>
      </c>
      <c r="N485" s="16">
        <f>M485/VLOOKUP($D485,CPI!$P$16:$R$22,3,FALSE)</f>
        <v>101.27159585669456</v>
      </c>
      <c r="O485">
        <v>0</v>
      </c>
    </row>
    <row r="486" spans="1:15" ht="16" thickBot="1" x14ac:dyDescent="0.25">
      <c r="A486" s="15">
        <v>2</v>
      </c>
      <c r="B486">
        <f t="shared" si="7"/>
        <v>1</v>
      </c>
      <c r="C486">
        <f>IF(ISBLANK(H486),"",VLOOKUP(H486,Code!B:C,2,FALSE))</f>
        <v>23</v>
      </c>
      <c r="D486">
        <v>2017</v>
      </c>
      <c r="E486">
        <v>199218</v>
      </c>
      <c r="F486" t="s">
        <v>166</v>
      </c>
      <c r="G486" t="s">
        <v>290</v>
      </c>
      <c r="H486" t="s">
        <v>10</v>
      </c>
      <c r="I486" cm="1">
        <f t="array" ref="I486">IF(B486=0,INDEX('Category 14'!F:F,MATCH(C486&amp;E486&amp;D486,'Category 14'!B:B&amp;'Category 14'!C:C&amp;'Category 14'!A:A,0)),INDEX('Category 14'!G:G,MATCH(C486&amp;E486&amp;D486,'Category 14'!B:B&amp;'Category 14'!C:C&amp;'Category 14'!A:A,0)))</f>
        <v>0</v>
      </c>
      <c r="J486">
        <f>I486/VLOOKUP($D486,CPI!$P$16:$R$22,3,FALSE)</f>
        <v>0</v>
      </c>
      <c r="K486" cm="1">
        <f t="array" ref="K486">IF(B486=0,INDEX('Category 15'!F:F,MATCH(C486&amp;E486&amp;D486,'Category 15'!B:B&amp;'Category 15'!C:C&amp;'Category 15'!A:A,0)),INDEX('Category 15'!G:G,MATCH(C486&amp;E486&amp;D486,'Category 15'!B:B&amp;'Category 31'!C:C&amp;'Category 15'!A:A,0)))</f>
        <v>0</v>
      </c>
      <c r="L486">
        <f>K486/VLOOKUP($D486,CPI!$P$16:$R$22,3,FALSE)</f>
        <v>0</v>
      </c>
      <c r="M486" s="16" cm="1">
        <f t="array" ref="M486">IF(B486=0,INDEX('Category 31'!F:F,MATCH(C486&amp;E486&amp;D486,'Category 31'!B:B&amp;'Category 31'!C:C&amp;'Category 31'!A:A,0)),INDEX('Category 31'!G:G,MATCH(C486&amp;E486&amp;D486,'Category 31'!B:B&amp;'Category 31'!C:C&amp;'Category 31'!A:A,0)))</f>
        <v>0</v>
      </c>
      <c r="N486" s="16">
        <f>M486/VLOOKUP($D486,CPI!$P$16:$R$22,3,FALSE)</f>
        <v>0</v>
      </c>
      <c r="O486">
        <f>VLOOKUP(E486,WVolleyball!C:S,6,FALSE)</f>
        <v>7233</v>
      </c>
    </row>
    <row r="487" spans="1:15" ht="16" thickBot="1" x14ac:dyDescent="0.25">
      <c r="A487" s="15">
        <v>2</v>
      </c>
      <c r="B487">
        <f t="shared" si="7"/>
        <v>0</v>
      </c>
      <c r="C487">
        <f>IF(ISBLANK(H487),"",VLOOKUP(H487,Code!B:C,2,FALSE))</f>
        <v>1</v>
      </c>
      <c r="D487">
        <v>2018</v>
      </c>
      <c r="E487">
        <v>199218</v>
      </c>
      <c r="F487" t="s">
        <v>166</v>
      </c>
      <c r="G487" t="s">
        <v>289</v>
      </c>
      <c r="H487" t="s">
        <v>0</v>
      </c>
      <c r="I487" cm="1">
        <f t="array" ref="I487">IF(B487=0,INDEX('Category 14'!F:F,MATCH(C487&amp;E487&amp;D487,'Category 14'!B:B&amp;'Category 14'!C:C&amp;'Category 14'!A:A,0)),INDEX('Category 14'!G:G,MATCH(C487&amp;E487&amp;D487,'Category 14'!B:B&amp;'Category 14'!C:C&amp;'Category 14'!A:A,0)))</f>
        <v>0</v>
      </c>
      <c r="J487">
        <f>I487/VLOOKUP($D487,CPI!$P$16:$R$22,3,FALSE)</f>
        <v>0</v>
      </c>
      <c r="K487" cm="1">
        <f t="array" ref="K487">IF(B487=0,INDEX('Category 15'!F:F,MATCH(C487&amp;E487&amp;D487,'Category 15'!B:B&amp;'Category 15'!C:C&amp;'Category 15'!A:A,0)),INDEX('Category 15'!G:G,MATCH(C487&amp;E487&amp;D487,'Category 15'!B:B&amp;'Category 31'!C:C&amp;'Category 15'!A:A,0)))</f>
        <v>0</v>
      </c>
      <c r="L487">
        <f>K487/VLOOKUP($D487,CPI!$P$16:$R$22,3,FALSE)</f>
        <v>0</v>
      </c>
      <c r="M487" s="16" cm="1">
        <f t="array" ref="M487">IF(B487=0,INDEX('Category 31'!F:F,MATCH(C487&amp;E487&amp;D487,'Category 31'!B:B&amp;'Category 31'!C:C&amp;'Category 31'!A:A,0)),INDEX('Category 31'!G:G,MATCH(C487&amp;E487&amp;D487,'Category 31'!B:B&amp;'Category 31'!C:C&amp;'Category 31'!A:A,0)))</f>
        <v>0</v>
      </c>
      <c r="N487" s="16">
        <f>M487/VLOOKUP($D487,CPI!$P$16:$R$22,3,FALSE)</f>
        <v>0</v>
      </c>
      <c r="O487">
        <f>VLOOKUP(E471,MBaseball!C:R,7,FALSE)</f>
        <v>36368</v>
      </c>
    </row>
    <row r="488" spans="1:15" ht="16" thickBot="1" x14ac:dyDescent="0.25">
      <c r="A488" s="15">
        <v>2</v>
      </c>
      <c r="B488">
        <f t="shared" si="7"/>
        <v>0</v>
      </c>
      <c r="C488">
        <f>IF(ISBLANK(H488),"",VLOOKUP(H488,Code!B:C,2,FALSE))</f>
        <v>2</v>
      </c>
      <c r="D488">
        <v>2018</v>
      </c>
      <c r="E488">
        <v>199218</v>
      </c>
      <c r="F488" t="s">
        <v>166</v>
      </c>
      <c r="G488" t="s">
        <v>289</v>
      </c>
      <c r="H488" t="s">
        <v>1</v>
      </c>
      <c r="I488" cm="1">
        <f t="array" ref="I488">IF(B488=0,INDEX('Category 14'!F:F,MATCH(C488&amp;E488&amp;D488,'Category 14'!B:B&amp;'Category 14'!C:C&amp;'Category 14'!A:A,0)),INDEX('Category 14'!G:G,MATCH(C488&amp;E488&amp;D488,'Category 14'!B:B&amp;'Category 14'!C:C&amp;'Category 14'!A:A,0)))</f>
        <v>0</v>
      </c>
      <c r="J488">
        <f>I488/VLOOKUP($D488,CPI!$P$16:$R$22,3,FALSE)</f>
        <v>0</v>
      </c>
      <c r="K488" cm="1">
        <f t="array" ref="K488">IF(B488=0,INDEX('Category 15'!F:F,MATCH(C488&amp;E488&amp;D488,'Category 15'!B:B&amp;'Category 15'!C:C&amp;'Category 15'!A:A,0)),INDEX('Category 15'!G:G,MATCH(C488&amp;E488&amp;D488,'Category 15'!B:B&amp;'Category 31'!C:C&amp;'Category 15'!A:A,0)))</f>
        <v>0</v>
      </c>
      <c r="L488">
        <f>K488/VLOOKUP($D488,CPI!$P$16:$R$22,3,FALSE)</f>
        <v>0</v>
      </c>
      <c r="M488" s="16" cm="1">
        <f t="array" ref="M488">IF(B488=0,INDEX('Category 31'!F:F,MATCH(C488&amp;E488&amp;D488,'Category 31'!B:B&amp;'Category 31'!C:C&amp;'Category 31'!A:A,0)),INDEX('Category 31'!G:G,MATCH(C488&amp;E488&amp;D488,'Category 31'!B:B&amp;'Category 31'!C:C&amp;'Category 31'!A:A,0)))</f>
        <v>0</v>
      </c>
      <c r="N488" s="16">
        <f>M488/VLOOKUP($D488,CPI!$P$16:$R$22,3,FALSE)</f>
        <v>0</v>
      </c>
      <c r="O488">
        <f>VLOOKUP(E488,MBasketball!C:S,7,FALSE)</f>
        <v>55442</v>
      </c>
    </row>
    <row r="489" spans="1:15" ht="16" thickBot="1" x14ac:dyDescent="0.25">
      <c r="A489" s="15">
        <v>2</v>
      </c>
      <c r="B489">
        <f t="shared" si="7"/>
        <v>0</v>
      </c>
      <c r="C489">
        <f>IF(ISBLANK(H489),"",VLOOKUP(H489,Code!B:C,2,FALSE))</f>
        <v>9</v>
      </c>
      <c r="D489">
        <v>2018</v>
      </c>
      <c r="E489">
        <v>199218</v>
      </c>
      <c r="F489" t="s">
        <v>166</v>
      </c>
      <c r="G489" t="s">
        <v>289</v>
      </c>
      <c r="H489" t="s">
        <v>3</v>
      </c>
      <c r="I489" cm="1">
        <f t="array" ref="I489">IF(B489=0,INDEX('Category 14'!F:F,MATCH(C489&amp;E489&amp;D489,'Category 14'!B:B&amp;'Category 14'!C:C&amp;'Category 14'!A:A,0)),INDEX('Category 14'!G:G,MATCH(C489&amp;E489&amp;D489,'Category 14'!B:B&amp;'Category 14'!C:C&amp;'Category 14'!A:A,0)))</f>
        <v>0</v>
      </c>
      <c r="J489">
        <f>I489/VLOOKUP($D489,CPI!$P$16:$R$22,3,FALSE)</f>
        <v>0</v>
      </c>
      <c r="K489" cm="1">
        <f t="array" ref="K489">IF(B489=0,INDEX('Category 15'!F:F,MATCH(C489&amp;E489&amp;D489,'Category 15'!B:B&amp;'Category 15'!C:C&amp;'Category 15'!A:A,0)),INDEX('Category 15'!G:G,MATCH(C489&amp;E489&amp;D489,'Category 15'!B:B&amp;'Category 31'!C:C&amp;'Category 15'!A:A,0)))</f>
        <v>0</v>
      </c>
      <c r="L489">
        <f>K489/VLOOKUP($D489,CPI!$P$16:$R$22,3,FALSE)</f>
        <v>0</v>
      </c>
      <c r="M489" s="16" cm="1">
        <f t="array" ref="M489">IF(B489=0,INDEX('Category 31'!F:F,MATCH(C489&amp;E489&amp;D489,'Category 31'!B:B&amp;'Category 31'!C:C&amp;'Category 31'!A:A,0)),INDEX('Category 31'!G:G,MATCH(C489&amp;E489&amp;D489,'Category 31'!B:B&amp;'Category 31'!C:C&amp;'Category 31'!A:A,0)))</f>
        <v>0</v>
      </c>
      <c r="N489" s="16">
        <f>M489/VLOOKUP($D489,CPI!$P$16:$R$22,3,FALSE)</f>
        <v>0</v>
      </c>
      <c r="O489">
        <v>0</v>
      </c>
    </row>
    <row r="490" spans="1:15" ht="16" thickBot="1" x14ac:dyDescent="0.25">
      <c r="A490" s="15">
        <v>2</v>
      </c>
      <c r="B490">
        <f t="shared" si="7"/>
        <v>0</v>
      </c>
      <c r="C490">
        <f>IF(ISBLANK(H490),"",VLOOKUP(H490,Code!B:C,2,FALSE))</f>
        <v>17</v>
      </c>
      <c r="D490">
        <v>2018</v>
      </c>
      <c r="E490">
        <v>199218</v>
      </c>
      <c r="F490" t="s">
        <v>166</v>
      </c>
      <c r="G490" t="s">
        <v>289</v>
      </c>
      <c r="H490" t="s">
        <v>5</v>
      </c>
      <c r="I490" cm="1">
        <f t="array" ref="I490">IF(B490=0,INDEX('Category 14'!F:F,MATCH(C490&amp;E490&amp;D490,'Category 14'!B:B&amp;'Category 14'!C:C&amp;'Category 14'!A:A,0)),INDEX('Category 14'!G:G,MATCH(C490&amp;E490&amp;D490,'Category 14'!B:B&amp;'Category 14'!C:C&amp;'Category 14'!A:A,0)))</f>
        <v>0</v>
      </c>
      <c r="J490">
        <f>I490/VLOOKUP($D490,CPI!$P$16:$R$22,3,FALSE)</f>
        <v>0</v>
      </c>
      <c r="K490" cm="1">
        <f t="array" ref="K490">IF(B490=0,INDEX('Category 15'!F:F,MATCH(C490&amp;E490&amp;D490,'Category 15'!B:B&amp;'Category 15'!C:C&amp;'Category 15'!A:A,0)),INDEX('Category 15'!G:G,MATCH(C490&amp;E490&amp;D490,'Category 15'!B:B&amp;'Category 31'!C:C&amp;'Category 15'!A:A,0)))</f>
        <v>0</v>
      </c>
      <c r="L490">
        <f>K490/VLOOKUP($D490,CPI!$P$16:$R$22,3,FALSE)</f>
        <v>0</v>
      </c>
      <c r="M490" s="16" cm="1">
        <f t="array" ref="M490">IF(B490=0,INDEX('Category 31'!F:F,MATCH(C490&amp;E490&amp;D490,'Category 31'!B:B&amp;'Category 31'!C:C&amp;'Category 31'!A:A,0)),INDEX('Category 31'!G:G,MATCH(C490&amp;E490&amp;D490,'Category 31'!B:B&amp;'Category 31'!C:C&amp;'Category 31'!A:A,0)))</f>
        <v>0</v>
      </c>
      <c r="N490" s="16">
        <f>M490/VLOOKUP($D490,CPI!$P$16:$R$22,3,FALSE)</f>
        <v>0</v>
      </c>
      <c r="O490">
        <f>VLOOKUP(E490,MSoccer!C:S,7,FALSE)</f>
        <v>7948</v>
      </c>
    </row>
    <row r="491" spans="1:15" ht="16" thickBot="1" x14ac:dyDescent="0.25">
      <c r="A491" s="15">
        <v>2</v>
      </c>
      <c r="B491">
        <f t="shared" si="7"/>
        <v>0</v>
      </c>
      <c r="C491">
        <f>IF(ISBLANK(H491),"",VLOOKUP(H491,Code!B:C,2,FALSE))</f>
        <v>19</v>
      </c>
      <c r="D491">
        <v>2018</v>
      </c>
      <c r="E491">
        <v>199218</v>
      </c>
      <c r="F491" t="s">
        <v>166</v>
      </c>
      <c r="G491" t="s">
        <v>289</v>
      </c>
      <c r="H491" t="s">
        <v>7</v>
      </c>
      <c r="I491" cm="1">
        <f t="array" ref="I491">IF(B491=0,INDEX('Category 14'!F:F,MATCH(C491&amp;E491&amp;D491,'Category 14'!B:B&amp;'Category 14'!C:C&amp;'Category 14'!A:A,0)),INDEX('Category 14'!G:G,MATCH(C491&amp;E491&amp;D491,'Category 14'!B:B&amp;'Category 14'!C:C&amp;'Category 14'!A:A,0)))</f>
        <v>0</v>
      </c>
      <c r="J491">
        <f>I491/VLOOKUP($D491,CPI!$P$16:$R$22,3,FALSE)</f>
        <v>0</v>
      </c>
      <c r="K491" cm="1">
        <f t="array" ref="K491">IF(B491=0,INDEX('Category 15'!F:F,MATCH(C491&amp;E491&amp;D491,'Category 15'!B:B&amp;'Category 15'!C:C&amp;'Category 15'!A:A,0)),INDEX('Category 15'!G:G,MATCH(C491&amp;E491&amp;D491,'Category 15'!B:B&amp;'Category 31'!C:C&amp;'Category 15'!A:A,0)))</f>
        <v>0</v>
      </c>
      <c r="L491">
        <f>K491/VLOOKUP($D491,CPI!$P$16:$R$22,3,FALSE)</f>
        <v>0</v>
      </c>
      <c r="M491" s="16" cm="1">
        <f t="array" ref="M491">IF(B491=0,INDEX('Category 31'!F:F,MATCH(C491&amp;E491&amp;D491,'Category 31'!B:B&amp;'Category 31'!C:C&amp;'Category 31'!A:A,0)),INDEX('Category 31'!G:G,MATCH(C491&amp;E491&amp;D491,'Category 31'!B:B&amp;'Category 31'!C:C&amp;'Category 31'!A:A,0)))</f>
        <v>0</v>
      </c>
      <c r="N491" s="16">
        <f>M491/VLOOKUP($D491,CPI!$P$16:$R$22,3,FALSE)</f>
        <v>0</v>
      </c>
      <c r="O491">
        <v>0</v>
      </c>
    </row>
    <row r="492" spans="1:15" ht="16" thickBot="1" x14ac:dyDescent="0.25">
      <c r="A492" s="15">
        <v>2</v>
      </c>
      <c r="B492">
        <f t="shared" si="7"/>
        <v>0</v>
      </c>
      <c r="C492">
        <f>IF(ISBLANK(H492),"",VLOOKUP(H492,Code!B:C,2,FALSE))</f>
        <v>20</v>
      </c>
      <c r="D492">
        <v>2018</v>
      </c>
      <c r="E492">
        <v>199218</v>
      </c>
      <c r="F492" t="s">
        <v>166</v>
      </c>
      <c r="G492" t="s">
        <v>289</v>
      </c>
      <c r="H492" t="s">
        <v>8</v>
      </c>
      <c r="I492" cm="1">
        <f t="array" ref="I492">IF(B492=0,INDEX('Category 14'!F:F,MATCH(C492&amp;E492&amp;D492,'Category 14'!B:B&amp;'Category 14'!C:C&amp;'Category 14'!A:A,0)),INDEX('Category 14'!G:G,MATCH(C492&amp;E492&amp;D492,'Category 14'!B:B&amp;'Category 14'!C:C&amp;'Category 14'!A:A,0)))</f>
        <v>0</v>
      </c>
      <c r="J492">
        <f>I492/VLOOKUP($D492,CPI!$P$16:$R$22,3,FALSE)</f>
        <v>0</v>
      </c>
      <c r="K492" cm="1">
        <f t="array" ref="K492">IF(B492=0,INDEX('Category 15'!F:F,MATCH(C492&amp;E492&amp;D492,'Category 15'!B:B&amp;'Category 15'!C:C&amp;'Category 15'!A:A,0)),INDEX('Category 15'!G:G,MATCH(C492&amp;E492&amp;D492,'Category 15'!B:B&amp;'Category 31'!C:C&amp;'Category 15'!A:A,0)))</f>
        <v>0</v>
      </c>
      <c r="L492">
        <f>K492/VLOOKUP($D492,CPI!$P$16:$R$22,3,FALSE)</f>
        <v>0</v>
      </c>
      <c r="M492" s="16" cm="1">
        <f t="array" ref="M492">IF(B492=0,INDEX('Category 31'!F:F,MATCH(C492&amp;E492&amp;D492,'Category 31'!B:B&amp;'Category 31'!C:C&amp;'Category 31'!A:A,0)),INDEX('Category 31'!G:G,MATCH(C492&amp;E492&amp;D492,'Category 31'!B:B&amp;'Category 31'!C:C&amp;'Category 31'!A:A,0)))</f>
        <v>0</v>
      </c>
      <c r="N492" s="16">
        <f>M492/VLOOKUP($D492,CPI!$P$16:$R$22,3,FALSE)</f>
        <v>0</v>
      </c>
      <c r="O492">
        <v>0</v>
      </c>
    </row>
    <row r="493" spans="1:15" ht="16" thickBot="1" x14ac:dyDescent="0.25">
      <c r="A493" s="15">
        <v>2</v>
      </c>
      <c r="B493">
        <f t="shared" si="7"/>
        <v>0</v>
      </c>
      <c r="C493">
        <f>IF(ISBLANK(H493),"",VLOOKUP(H493,Code!B:C,2,FALSE))</f>
        <v>21</v>
      </c>
      <c r="D493">
        <v>2018</v>
      </c>
      <c r="E493">
        <v>199218</v>
      </c>
      <c r="F493" t="s">
        <v>166</v>
      </c>
      <c r="G493" t="s">
        <v>289</v>
      </c>
      <c r="H493" t="s">
        <v>36</v>
      </c>
      <c r="I493" cm="1">
        <f t="array" ref="I493">IF(B493=0,INDEX('Category 14'!F:F,MATCH(C493&amp;E493&amp;D493,'Category 14'!B:B&amp;'Category 14'!C:C&amp;'Category 14'!A:A,0)),INDEX('Category 14'!G:G,MATCH(C493&amp;E493&amp;D493,'Category 14'!B:B&amp;'Category 14'!C:C&amp;'Category 14'!A:A,0)))</f>
        <v>0</v>
      </c>
      <c r="J493">
        <f>I493/VLOOKUP($D493,CPI!$P$16:$R$22,3,FALSE)</f>
        <v>0</v>
      </c>
      <c r="K493" cm="1">
        <f t="array" ref="K493">IF(B493=0,INDEX('Category 15'!F:F,MATCH(C493&amp;E493&amp;D493,'Category 15'!B:B&amp;'Category 15'!C:C&amp;'Category 15'!A:A,0)),INDEX('Category 15'!G:G,MATCH(C493&amp;E493&amp;D493,'Category 15'!B:B&amp;'Category 31'!C:C&amp;'Category 15'!A:A,0)))</f>
        <v>12000</v>
      </c>
      <c r="L493">
        <f>K493/VLOOKUP($D493,CPI!$P$16:$R$22,3,FALSE)</f>
        <v>14493.5476330574</v>
      </c>
      <c r="M493" s="16" cm="1">
        <f t="array" ref="M493">IF(B493=0,INDEX('Category 31'!F:F,MATCH(C493&amp;E493&amp;D493,'Category 31'!B:B&amp;'Category 31'!C:C&amp;'Category 31'!A:A,0)),INDEX('Category 31'!G:G,MATCH(C493&amp;E493&amp;D493,'Category 31'!B:B&amp;'Category 31'!C:C&amp;'Category 31'!A:A,0)))</f>
        <v>79</v>
      </c>
      <c r="N493" s="16">
        <f>M493/VLOOKUP($D493,CPI!$P$16:$R$22,3,FALSE)</f>
        <v>95.415855250961229</v>
      </c>
      <c r="O493">
        <v>0</v>
      </c>
    </row>
    <row r="494" spans="1:15" ht="16" thickBot="1" x14ac:dyDescent="0.25">
      <c r="A494" s="15">
        <v>2</v>
      </c>
      <c r="B494">
        <f t="shared" si="7"/>
        <v>1</v>
      </c>
      <c r="C494">
        <f>IF(ISBLANK(H494),"",VLOOKUP(H494,Code!B:C,2,FALSE))</f>
        <v>2</v>
      </c>
      <c r="D494">
        <v>2018</v>
      </c>
      <c r="E494">
        <v>199218</v>
      </c>
      <c r="F494" t="s">
        <v>166</v>
      </c>
      <c r="G494" t="s">
        <v>290</v>
      </c>
      <c r="H494" t="s">
        <v>1</v>
      </c>
      <c r="I494" cm="1">
        <f t="array" ref="I494">IF(B494=0,INDEX('Category 14'!F:F,MATCH(C494&amp;E494&amp;D494,'Category 14'!B:B&amp;'Category 14'!C:C&amp;'Category 14'!A:A,0)),INDEX('Category 14'!G:G,MATCH(C494&amp;E494&amp;D494,'Category 14'!B:B&amp;'Category 14'!C:C&amp;'Category 14'!A:A,0)))</f>
        <v>0</v>
      </c>
      <c r="J494">
        <f>I494/VLOOKUP($D494,CPI!$P$16:$R$22,3,FALSE)</f>
        <v>0</v>
      </c>
      <c r="K494" cm="1">
        <f t="array" ref="K494">IF(B494=0,INDEX('Category 15'!F:F,MATCH(C494&amp;E494&amp;D494,'Category 15'!B:B&amp;'Category 15'!C:C&amp;'Category 15'!A:A,0)),INDEX('Category 15'!G:G,MATCH(C494&amp;E494&amp;D494,'Category 15'!B:B&amp;'Category 31'!C:C&amp;'Category 15'!A:A,0)))</f>
        <v>0</v>
      </c>
      <c r="L494">
        <f>K494/VLOOKUP($D494,CPI!$P$16:$R$22,3,FALSE)</f>
        <v>0</v>
      </c>
      <c r="M494" s="16" cm="1">
        <f t="array" ref="M494">IF(B494=0,INDEX('Category 31'!F:F,MATCH(C494&amp;E494&amp;D494,'Category 31'!B:B&amp;'Category 31'!C:C&amp;'Category 31'!A:A,0)),INDEX('Category 31'!G:G,MATCH(C494&amp;E494&amp;D494,'Category 31'!B:B&amp;'Category 31'!C:C&amp;'Category 31'!A:A,0)))</f>
        <v>0</v>
      </c>
      <c r="N494" s="16">
        <f>M494/VLOOKUP($D494,CPI!$P$16:$R$22,3,FALSE)</f>
        <v>0</v>
      </c>
      <c r="O494">
        <f>VLOOKUP(E494,WBasketball!C:S,7,FALSE)</f>
        <v>11304</v>
      </c>
    </row>
    <row r="495" spans="1:15" ht="16" thickBot="1" x14ac:dyDescent="0.25">
      <c r="A495" s="15">
        <v>2</v>
      </c>
      <c r="B495">
        <f t="shared" si="7"/>
        <v>1</v>
      </c>
      <c r="C495">
        <f>IF(ISBLANK(H495),"",VLOOKUP(H495,Code!B:C,2,FALSE))</f>
        <v>3</v>
      </c>
      <c r="D495">
        <v>2018</v>
      </c>
      <c r="E495">
        <v>199218</v>
      </c>
      <c r="F495" t="s">
        <v>166</v>
      </c>
      <c r="G495" t="s">
        <v>290</v>
      </c>
      <c r="H495" t="s">
        <v>21</v>
      </c>
      <c r="I495" cm="1">
        <f t="array" ref="I495">IF(B495=0,INDEX('Category 14'!F:F,MATCH(C495&amp;E495&amp;D495,'Category 14'!B:B&amp;'Category 14'!C:C&amp;'Category 14'!A:A,0)),INDEX('Category 14'!G:G,MATCH(C495&amp;E495&amp;D495,'Category 14'!B:B&amp;'Category 14'!C:C&amp;'Category 14'!A:A,0)))</f>
        <v>0</v>
      </c>
      <c r="J495">
        <f>I495/VLOOKUP($D495,CPI!$P$16:$R$22,3,FALSE)</f>
        <v>0</v>
      </c>
      <c r="K495" cm="1">
        <f t="array" ref="K495">IF(B495=0,INDEX('Category 15'!F:F,MATCH(C495&amp;E495&amp;D495,'Category 15'!B:B&amp;'Category 15'!C:C&amp;'Category 15'!A:A,0)),INDEX('Category 15'!G:G,MATCH(C495&amp;E495&amp;D495,'Category 15'!B:B&amp;'Category 31'!C:C&amp;'Category 15'!A:A,0)))</f>
        <v>0</v>
      </c>
      <c r="L495">
        <f>K495/VLOOKUP($D495,CPI!$P$16:$R$22,3,FALSE)</f>
        <v>0</v>
      </c>
      <c r="M495" s="16" cm="1">
        <f t="array" ref="M495">IF(B495=0,INDEX('Category 31'!F:F,MATCH(C495&amp;E495&amp;D495,'Category 31'!B:B&amp;'Category 31'!C:C&amp;'Category 31'!A:A,0)),INDEX('Category 31'!G:G,MATCH(C495&amp;E495&amp;D495,'Category 31'!B:B&amp;'Category 31'!C:C&amp;'Category 31'!A:A,0)))</f>
        <v>0</v>
      </c>
      <c r="N495" s="16">
        <f>M495/VLOOKUP($D495,CPI!$P$16:$R$22,3,FALSE)</f>
        <v>0</v>
      </c>
      <c r="O495">
        <v>0</v>
      </c>
    </row>
    <row r="496" spans="1:15" ht="16" thickBot="1" x14ac:dyDescent="0.25">
      <c r="A496" s="15">
        <v>2</v>
      </c>
      <c r="B496">
        <f t="shared" si="7"/>
        <v>1</v>
      </c>
      <c r="C496">
        <f>IF(ISBLANK(H496),"",VLOOKUP(H496,Code!B:C,2,FALSE))</f>
        <v>9</v>
      </c>
      <c r="D496">
        <v>2018</v>
      </c>
      <c r="E496">
        <v>199218</v>
      </c>
      <c r="F496" t="s">
        <v>166</v>
      </c>
      <c r="G496" t="s">
        <v>290</v>
      </c>
      <c r="H496" t="s">
        <v>3</v>
      </c>
      <c r="I496" cm="1">
        <f t="array" ref="I496">IF(B496=0,INDEX('Category 14'!F:F,MATCH(C496&amp;E496&amp;D496,'Category 14'!B:B&amp;'Category 14'!C:C&amp;'Category 14'!A:A,0)),INDEX('Category 14'!G:G,MATCH(C496&amp;E496&amp;D496,'Category 14'!B:B&amp;'Category 14'!C:C&amp;'Category 14'!A:A,0)))</f>
        <v>0</v>
      </c>
      <c r="J496">
        <f>I496/VLOOKUP($D496,CPI!$P$16:$R$22,3,FALSE)</f>
        <v>0</v>
      </c>
      <c r="K496" cm="1">
        <f t="array" ref="K496">IF(B496=0,INDEX('Category 15'!F:F,MATCH(C496&amp;E496&amp;D496,'Category 15'!B:B&amp;'Category 15'!C:C&amp;'Category 15'!A:A,0)),INDEX('Category 15'!G:G,MATCH(C496&amp;E496&amp;D496,'Category 15'!B:B&amp;'Category 31'!C:C&amp;'Category 15'!A:A,0)))</f>
        <v>0</v>
      </c>
      <c r="L496">
        <f>K496/VLOOKUP($D496,CPI!$P$16:$R$22,3,FALSE)</f>
        <v>0</v>
      </c>
      <c r="M496" s="16" cm="1">
        <f t="array" ref="M496">IF(B496=0,INDEX('Category 31'!F:F,MATCH(C496&amp;E496&amp;D496,'Category 31'!B:B&amp;'Category 31'!C:C&amp;'Category 31'!A:A,0)),INDEX('Category 31'!G:G,MATCH(C496&amp;E496&amp;D496,'Category 31'!B:B&amp;'Category 31'!C:C&amp;'Category 31'!A:A,0)))</f>
        <v>0</v>
      </c>
      <c r="N496" s="16">
        <f>M496/VLOOKUP($D496,CPI!$P$16:$R$22,3,FALSE)</f>
        <v>0</v>
      </c>
      <c r="O496">
        <v>0</v>
      </c>
    </row>
    <row r="497" spans="1:15" ht="16" thickBot="1" x14ac:dyDescent="0.25">
      <c r="A497" s="15">
        <v>2</v>
      </c>
      <c r="B497">
        <f t="shared" si="7"/>
        <v>1</v>
      </c>
      <c r="C497">
        <f>IF(ISBLANK(H497),"",VLOOKUP(H497,Code!B:C,2,FALSE))</f>
        <v>17</v>
      </c>
      <c r="D497">
        <v>2018</v>
      </c>
      <c r="E497">
        <v>199218</v>
      </c>
      <c r="F497" t="s">
        <v>166</v>
      </c>
      <c r="G497" t="s">
        <v>290</v>
      </c>
      <c r="H497" t="s">
        <v>5</v>
      </c>
      <c r="I497" cm="1">
        <f t="array" ref="I497">IF(B497=0,INDEX('Category 14'!F:F,MATCH(C497&amp;E497&amp;D497,'Category 14'!B:B&amp;'Category 14'!C:C&amp;'Category 14'!A:A,0)),INDEX('Category 14'!G:G,MATCH(C497&amp;E497&amp;D497,'Category 14'!B:B&amp;'Category 14'!C:C&amp;'Category 14'!A:A,0)))</f>
        <v>0</v>
      </c>
      <c r="J497">
        <f>I497/VLOOKUP($D497,CPI!$P$16:$R$22,3,FALSE)</f>
        <v>0</v>
      </c>
      <c r="K497" cm="1">
        <f t="array" ref="K497">IF(B497=0,INDEX('Category 15'!F:F,MATCH(C497&amp;E497&amp;D497,'Category 15'!B:B&amp;'Category 15'!C:C&amp;'Category 15'!A:A,0)),INDEX('Category 15'!G:G,MATCH(C497&amp;E497&amp;D497,'Category 15'!B:B&amp;'Category 31'!C:C&amp;'Category 15'!A:A,0)))</f>
        <v>0</v>
      </c>
      <c r="L497">
        <f>K497/VLOOKUP($D497,CPI!$P$16:$R$22,3,FALSE)</f>
        <v>0</v>
      </c>
      <c r="M497" s="16" cm="1">
        <f t="array" ref="M497">IF(B497=0,INDEX('Category 31'!F:F,MATCH(C497&amp;E497&amp;D497,'Category 31'!B:B&amp;'Category 31'!C:C&amp;'Category 31'!A:A,0)),INDEX('Category 31'!G:G,MATCH(C497&amp;E497&amp;D497,'Category 31'!B:B&amp;'Category 31'!C:C&amp;'Category 31'!A:A,0)))</f>
        <v>0</v>
      </c>
      <c r="N497" s="16">
        <f>M497/VLOOKUP($D497,CPI!$P$16:$R$22,3,FALSE)</f>
        <v>0</v>
      </c>
      <c r="O497">
        <f>VLOOKUP(E497,WSoccer!C:S,7,FALSE)</f>
        <v>5379</v>
      </c>
    </row>
    <row r="498" spans="1:15" ht="16" thickBot="1" x14ac:dyDescent="0.25">
      <c r="A498" s="15">
        <v>2</v>
      </c>
      <c r="B498">
        <f t="shared" si="7"/>
        <v>1</v>
      </c>
      <c r="C498">
        <f>IF(ISBLANK(H498),"",VLOOKUP(H498,Code!B:C,2,FALSE))</f>
        <v>18</v>
      </c>
      <c r="D498">
        <v>2018</v>
      </c>
      <c r="E498">
        <v>199218</v>
      </c>
      <c r="F498" t="s">
        <v>166</v>
      </c>
      <c r="G498" t="s">
        <v>290</v>
      </c>
      <c r="H498" t="s">
        <v>6</v>
      </c>
      <c r="I498" cm="1">
        <f t="array" ref="I498">IF(B498=0,INDEX('Category 14'!F:F,MATCH(C498&amp;E498&amp;D498,'Category 14'!B:B&amp;'Category 14'!C:C&amp;'Category 14'!A:A,0)),INDEX('Category 14'!G:G,MATCH(C498&amp;E498&amp;D498,'Category 14'!B:B&amp;'Category 14'!C:C&amp;'Category 14'!A:A,0)))</f>
        <v>0</v>
      </c>
      <c r="J498">
        <f>I498/VLOOKUP($D498,CPI!$P$16:$R$22,3,FALSE)</f>
        <v>0</v>
      </c>
      <c r="K498" cm="1">
        <f t="array" ref="K498">IF(B498=0,INDEX('Category 15'!F:F,MATCH(C498&amp;E498&amp;D498,'Category 15'!B:B&amp;'Category 15'!C:C&amp;'Category 15'!A:A,0)),INDEX('Category 15'!G:G,MATCH(C498&amp;E498&amp;D498,'Category 15'!B:B&amp;'Category 31'!C:C&amp;'Category 15'!A:A,0)))</f>
        <v>0</v>
      </c>
      <c r="L498">
        <f>K498/VLOOKUP($D498,CPI!$P$16:$R$22,3,FALSE)</f>
        <v>0</v>
      </c>
      <c r="M498" s="16" cm="1">
        <f t="array" ref="M498">IF(B498=0,INDEX('Category 31'!F:F,MATCH(C498&amp;E498&amp;D498,'Category 31'!B:B&amp;'Category 31'!C:C&amp;'Category 31'!A:A,0)),INDEX('Category 31'!G:G,MATCH(C498&amp;E498&amp;D498,'Category 31'!B:B&amp;'Category 31'!C:C&amp;'Category 31'!A:A,0)))</f>
        <v>0</v>
      </c>
      <c r="N498" s="16">
        <f>M498/VLOOKUP($D498,CPI!$P$16:$R$22,3,FALSE)</f>
        <v>0</v>
      </c>
      <c r="O498">
        <f>VLOOKUP(E498,WSoftball!C:S,7,FALSE)</f>
        <v>8328</v>
      </c>
    </row>
    <row r="499" spans="1:15" ht="16" thickBot="1" x14ac:dyDescent="0.25">
      <c r="A499" s="15">
        <v>2</v>
      </c>
      <c r="B499">
        <f t="shared" si="7"/>
        <v>1</v>
      </c>
      <c r="C499">
        <f>IF(ISBLANK(H499),"",VLOOKUP(H499,Code!B:C,2,FALSE))</f>
        <v>19</v>
      </c>
      <c r="D499">
        <v>2018</v>
      </c>
      <c r="E499">
        <v>199218</v>
      </c>
      <c r="F499" t="s">
        <v>166</v>
      </c>
      <c r="G499" t="s">
        <v>290</v>
      </c>
      <c r="H499" t="s">
        <v>7</v>
      </c>
      <c r="I499" cm="1">
        <f t="array" ref="I499">IF(B499=0,INDEX('Category 14'!F:F,MATCH(C499&amp;E499&amp;D499,'Category 14'!B:B&amp;'Category 14'!C:C&amp;'Category 14'!A:A,0)),INDEX('Category 14'!G:G,MATCH(C499&amp;E499&amp;D499,'Category 14'!B:B&amp;'Category 14'!C:C&amp;'Category 14'!A:A,0)))</f>
        <v>0</v>
      </c>
      <c r="J499">
        <f>I499/VLOOKUP($D499,CPI!$P$16:$R$22,3,FALSE)</f>
        <v>0</v>
      </c>
      <c r="K499" cm="1">
        <f t="array" ref="K499">IF(B499=0,INDEX('Category 15'!F:F,MATCH(C499&amp;E499&amp;D499,'Category 15'!B:B&amp;'Category 15'!C:C&amp;'Category 15'!A:A,0)),INDEX('Category 15'!G:G,MATCH(C499&amp;E499&amp;D499,'Category 15'!B:B&amp;'Category 31'!C:C&amp;'Category 15'!A:A,0)))</f>
        <v>0</v>
      </c>
      <c r="L499">
        <f>K499/VLOOKUP($D499,CPI!$P$16:$R$22,3,FALSE)</f>
        <v>0</v>
      </c>
      <c r="M499" s="16" cm="1">
        <f t="array" ref="M499">IF(B499=0,INDEX('Category 31'!F:F,MATCH(C499&amp;E499&amp;D499,'Category 31'!B:B&amp;'Category 31'!C:C&amp;'Category 31'!A:A,0)),INDEX('Category 31'!G:G,MATCH(C499&amp;E499&amp;D499,'Category 31'!B:B&amp;'Category 31'!C:C&amp;'Category 31'!A:A,0)))</f>
        <v>0</v>
      </c>
      <c r="N499" s="16">
        <f>M499/VLOOKUP($D499,CPI!$P$16:$R$22,3,FALSE)</f>
        <v>0</v>
      </c>
      <c r="O499">
        <v>0</v>
      </c>
    </row>
    <row r="500" spans="1:15" ht="16" thickBot="1" x14ac:dyDescent="0.25">
      <c r="A500" s="15">
        <v>2</v>
      </c>
      <c r="B500">
        <f t="shared" si="7"/>
        <v>1</v>
      </c>
      <c r="C500">
        <f>IF(ISBLANK(H500),"",VLOOKUP(H500,Code!B:C,2,FALSE))</f>
        <v>20</v>
      </c>
      <c r="D500">
        <v>2018</v>
      </c>
      <c r="E500">
        <v>199218</v>
      </c>
      <c r="F500" t="s">
        <v>166</v>
      </c>
      <c r="G500" t="s">
        <v>290</v>
      </c>
      <c r="H500" t="s">
        <v>8</v>
      </c>
      <c r="I500" cm="1">
        <f t="array" ref="I500">IF(B500=0,INDEX('Category 14'!F:F,MATCH(C500&amp;E500&amp;D500,'Category 14'!B:B&amp;'Category 14'!C:C&amp;'Category 14'!A:A,0)),INDEX('Category 14'!G:G,MATCH(C500&amp;E500&amp;D500,'Category 14'!B:B&amp;'Category 14'!C:C&amp;'Category 14'!A:A,0)))</f>
        <v>0</v>
      </c>
      <c r="J500">
        <f>I500/VLOOKUP($D500,CPI!$P$16:$R$22,3,FALSE)</f>
        <v>0</v>
      </c>
      <c r="K500" cm="1">
        <f t="array" ref="K500">IF(B500=0,INDEX('Category 15'!F:F,MATCH(C500&amp;E500&amp;D500,'Category 15'!B:B&amp;'Category 15'!C:C&amp;'Category 15'!A:A,0)),INDEX('Category 15'!G:G,MATCH(C500&amp;E500&amp;D500,'Category 15'!B:B&amp;'Category 31'!C:C&amp;'Category 15'!A:A,0)))</f>
        <v>0</v>
      </c>
      <c r="L500">
        <f>K500/VLOOKUP($D500,CPI!$P$16:$R$22,3,FALSE)</f>
        <v>0</v>
      </c>
      <c r="M500" s="16" cm="1">
        <f t="array" ref="M500">IF(B500=0,INDEX('Category 31'!F:F,MATCH(C500&amp;E500&amp;D500,'Category 31'!B:B&amp;'Category 31'!C:C&amp;'Category 31'!A:A,0)),INDEX('Category 31'!G:G,MATCH(C500&amp;E500&amp;D500,'Category 31'!B:B&amp;'Category 31'!C:C&amp;'Category 31'!A:A,0)))</f>
        <v>0</v>
      </c>
      <c r="N500" s="16">
        <f>M500/VLOOKUP($D500,CPI!$P$16:$R$22,3,FALSE)</f>
        <v>0</v>
      </c>
      <c r="O500">
        <v>0</v>
      </c>
    </row>
    <row r="501" spans="1:15" ht="16" thickBot="1" x14ac:dyDescent="0.25">
      <c r="A501" s="15">
        <v>2</v>
      </c>
      <c r="B501">
        <f t="shared" si="7"/>
        <v>1</v>
      </c>
      <c r="C501">
        <f>IF(ISBLANK(H501),"",VLOOKUP(H501,Code!B:C,2,FALSE))</f>
        <v>21</v>
      </c>
      <c r="D501">
        <v>2018</v>
      </c>
      <c r="E501">
        <v>199218</v>
      </c>
      <c r="F501" t="s">
        <v>166</v>
      </c>
      <c r="G501" t="s">
        <v>290</v>
      </c>
      <c r="H501" t="s">
        <v>36</v>
      </c>
      <c r="I501" cm="1">
        <f t="array" ref="I501">IF(B501=0,INDEX('Category 14'!F:F,MATCH(C501&amp;E501&amp;D501,'Category 14'!B:B&amp;'Category 14'!C:C&amp;'Category 14'!A:A,0)),INDEX('Category 14'!G:G,MATCH(C501&amp;E501&amp;D501,'Category 14'!B:B&amp;'Category 14'!C:C&amp;'Category 14'!A:A,0)))</f>
        <v>0</v>
      </c>
      <c r="J501">
        <f>I501/VLOOKUP($D501,CPI!$P$16:$R$22,3,FALSE)</f>
        <v>0</v>
      </c>
      <c r="K501" cm="1">
        <f t="array" ref="K501">IF(B501=0,INDEX('Category 15'!F:F,MATCH(C501&amp;E501&amp;D501,'Category 15'!B:B&amp;'Category 15'!C:C&amp;'Category 15'!A:A,0)),INDEX('Category 15'!G:G,MATCH(C501&amp;E501&amp;D501,'Category 15'!B:B&amp;'Category 31'!C:C&amp;'Category 15'!A:A,0)))</f>
        <v>0</v>
      </c>
      <c r="L501">
        <f>K501/VLOOKUP($D501,CPI!$P$16:$R$22,3,FALSE)</f>
        <v>0</v>
      </c>
      <c r="M501" s="16" cm="1">
        <f t="array" ref="M501">IF(B501=0,INDEX('Category 31'!F:F,MATCH(C501&amp;E501&amp;D501,'Category 31'!B:B&amp;'Category 31'!C:C&amp;'Category 31'!A:A,0)),INDEX('Category 31'!G:G,MATCH(C501&amp;E501&amp;D501,'Category 31'!B:B&amp;'Category 31'!C:C&amp;'Category 31'!A:A,0)))</f>
        <v>0</v>
      </c>
      <c r="N501" s="16">
        <f>M501/VLOOKUP($D501,CPI!$P$16:$R$22,3,FALSE)</f>
        <v>0</v>
      </c>
      <c r="O501">
        <v>0</v>
      </c>
    </row>
    <row r="502" spans="1:15" ht="16" thickBot="1" x14ac:dyDescent="0.25">
      <c r="A502" s="15">
        <v>2</v>
      </c>
      <c r="B502">
        <f t="shared" si="7"/>
        <v>1</v>
      </c>
      <c r="C502">
        <f>IF(ISBLANK(H502),"",VLOOKUP(H502,Code!B:C,2,FALSE))</f>
        <v>23</v>
      </c>
      <c r="D502">
        <v>2018</v>
      </c>
      <c r="E502">
        <v>199218</v>
      </c>
      <c r="F502" t="s">
        <v>166</v>
      </c>
      <c r="G502" t="s">
        <v>290</v>
      </c>
      <c r="H502" t="s">
        <v>10</v>
      </c>
      <c r="I502" cm="1">
        <f t="array" ref="I502">IF(B502=0,INDEX('Category 14'!F:F,MATCH(C502&amp;E502&amp;D502,'Category 14'!B:B&amp;'Category 14'!C:C&amp;'Category 14'!A:A,0)),INDEX('Category 14'!G:G,MATCH(C502&amp;E502&amp;D502,'Category 14'!B:B&amp;'Category 14'!C:C&amp;'Category 14'!A:A,0)))</f>
        <v>0</v>
      </c>
      <c r="J502">
        <f>I502/VLOOKUP($D502,CPI!$P$16:$R$22,3,FALSE)</f>
        <v>0</v>
      </c>
      <c r="K502" cm="1">
        <f t="array" ref="K502">IF(B502=0,INDEX('Category 15'!F:F,MATCH(C502&amp;E502&amp;D502,'Category 15'!B:B&amp;'Category 15'!C:C&amp;'Category 15'!A:A,0)),INDEX('Category 15'!G:G,MATCH(C502&amp;E502&amp;D502,'Category 15'!B:B&amp;'Category 31'!C:C&amp;'Category 15'!A:A,0)))</f>
        <v>0</v>
      </c>
      <c r="L502">
        <f>K502/VLOOKUP($D502,CPI!$P$16:$R$22,3,FALSE)</f>
        <v>0</v>
      </c>
      <c r="M502" s="16" cm="1">
        <f t="array" ref="M502">IF(B502=0,INDEX('Category 31'!F:F,MATCH(C502&amp;E502&amp;D502,'Category 31'!B:B&amp;'Category 31'!C:C&amp;'Category 31'!A:A,0)),INDEX('Category 31'!G:G,MATCH(C502&amp;E502&amp;D502,'Category 31'!B:B&amp;'Category 31'!C:C&amp;'Category 31'!A:A,0)))</f>
        <v>0</v>
      </c>
      <c r="N502" s="16">
        <f>M502/VLOOKUP($D502,CPI!$P$16:$R$22,3,FALSE)</f>
        <v>0</v>
      </c>
      <c r="O502">
        <f>VLOOKUP(E502,WVolleyball!C:S,7,FALSE)</f>
        <v>8338</v>
      </c>
    </row>
    <row r="503" spans="1:15" ht="16" thickBot="1" x14ac:dyDescent="0.25">
      <c r="A503" s="15">
        <v>2</v>
      </c>
      <c r="B503">
        <f t="shared" si="7"/>
        <v>0</v>
      </c>
      <c r="C503">
        <f>IF(ISBLANK(H503),"",VLOOKUP(H503,Code!B:C,2,FALSE))</f>
        <v>1</v>
      </c>
      <c r="D503">
        <v>2019</v>
      </c>
      <c r="E503">
        <v>199218</v>
      </c>
      <c r="F503" t="s">
        <v>166</v>
      </c>
      <c r="G503" t="s">
        <v>289</v>
      </c>
      <c r="H503" t="s">
        <v>0</v>
      </c>
      <c r="I503" cm="1">
        <f t="array" ref="I503">IF(B503=0,INDEX('Category 14'!F:F,MATCH(C503&amp;E503&amp;D503,'Category 14'!B:B&amp;'Category 14'!C:C&amp;'Category 14'!A:A,0)),INDEX('Category 14'!G:G,MATCH(C503&amp;E503&amp;D503,'Category 14'!B:B&amp;'Category 14'!C:C&amp;'Category 14'!A:A,0)))</f>
        <v>0</v>
      </c>
      <c r="J503">
        <f>I503/VLOOKUP($D503,CPI!$P$16:$R$22,3,FALSE)</f>
        <v>0</v>
      </c>
      <c r="K503" cm="1">
        <f t="array" ref="K503">IF(B503=0,INDEX('Category 15'!F:F,MATCH(C503&amp;E503&amp;D503,'Category 15'!B:B&amp;'Category 15'!C:C&amp;'Category 15'!A:A,0)),INDEX('Category 15'!G:G,MATCH(C503&amp;E503&amp;D503,'Category 15'!B:B&amp;'Category 31'!C:C&amp;'Category 15'!A:A,0)))</f>
        <v>0</v>
      </c>
      <c r="L503">
        <f>K503/VLOOKUP($D503,CPI!$P$16:$R$22,3,FALSE)</f>
        <v>0</v>
      </c>
      <c r="M503" s="16" cm="1">
        <f t="array" ref="M503">IF(B503=0,INDEX('Category 31'!F:F,MATCH(C503&amp;E503&amp;D503,'Category 31'!B:B&amp;'Category 31'!C:C&amp;'Category 31'!A:A,0)),INDEX('Category 31'!G:G,MATCH(C503&amp;E503&amp;D503,'Category 31'!B:B&amp;'Category 31'!C:C&amp;'Category 31'!A:A,0)))</f>
        <v>0</v>
      </c>
      <c r="N503" s="16">
        <f>M503/VLOOKUP($D503,CPI!$P$16:$R$22,3,FALSE)</f>
        <v>0</v>
      </c>
      <c r="O503">
        <f>VLOOKUP(E471,MBaseball!C:R,8,FALSE)</f>
        <v>25645</v>
      </c>
    </row>
    <row r="504" spans="1:15" ht="16" thickBot="1" x14ac:dyDescent="0.25">
      <c r="A504" s="15">
        <v>2</v>
      </c>
      <c r="B504">
        <f t="shared" si="7"/>
        <v>0</v>
      </c>
      <c r="C504">
        <f>IF(ISBLANK(H504),"",VLOOKUP(H504,Code!B:C,2,FALSE))</f>
        <v>2</v>
      </c>
      <c r="D504">
        <v>2019</v>
      </c>
      <c r="E504">
        <v>199218</v>
      </c>
      <c r="F504" t="s">
        <v>166</v>
      </c>
      <c r="G504" t="s">
        <v>289</v>
      </c>
      <c r="H504" t="s">
        <v>1</v>
      </c>
      <c r="I504" cm="1">
        <f t="array" ref="I504">IF(B504=0,INDEX('Category 14'!F:F,MATCH(C504&amp;E504&amp;D504,'Category 14'!B:B&amp;'Category 14'!C:C&amp;'Category 14'!A:A,0)),INDEX('Category 14'!G:G,MATCH(C504&amp;E504&amp;D504,'Category 14'!B:B&amp;'Category 14'!C:C&amp;'Category 14'!A:A,0)))</f>
        <v>0</v>
      </c>
      <c r="J504">
        <f>I504/VLOOKUP($D504,CPI!$P$16:$R$22,3,FALSE)</f>
        <v>0</v>
      </c>
      <c r="K504" cm="1">
        <f t="array" ref="K504">IF(B504=0,INDEX('Category 15'!F:F,MATCH(C504&amp;E504&amp;D504,'Category 15'!B:B&amp;'Category 15'!C:C&amp;'Category 15'!A:A,0)),INDEX('Category 15'!G:G,MATCH(C504&amp;E504&amp;D504,'Category 15'!B:B&amp;'Category 31'!C:C&amp;'Category 15'!A:A,0)))</f>
        <v>0</v>
      </c>
      <c r="L504">
        <f>K504/VLOOKUP($D504,CPI!$P$16:$R$22,3,FALSE)</f>
        <v>0</v>
      </c>
      <c r="M504" s="16" cm="1">
        <f t="array" ref="M504">IF(B504=0,INDEX('Category 31'!F:F,MATCH(C504&amp;E504&amp;D504,'Category 31'!B:B&amp;'Category 31'!C:C&amp;'Category 31'!A:A,0)),INDEX('Category 31'!G:G,MATCH(C504&amp;E504&amp;D504,'Category 31'!B:B&amp;'Category 31'!C:C&amp;'Category 31'!A:A,0)))</f>
        <v>0</v>
      </c>
      <c r="N504" s="16">
        <f>M504/VLOOKUP($D504,CPI!$P$16:$R$22,3,FALSE)</f>
        <v>0</v>
      </c>
      <c r="O504">
        <f>VLOOKUP(E504,MBasketball!C:S,8,FALSE)</f>
        <v>55474</v>
      </c>
    </row>
    <row r="505" spans="1:15" ht="16" thickBot="1" x14ac:dyDescent="0.25">
      <c r="A505" s="15">
        <v>2</v>
      </c>
      <c r="B505">
        <f t="shared" si="7"/>
        <v>0</v>
      </c>
      <c r="C505">
        <f>IF(ISBLANK(H505),"",VLOOKUP(H505,Code!B:C,2,FALSE))</f>
        <v>9</v>
      </c>
      <c r="D505">
        <v>2019</v>
      </c>
      <c r="E505">
        <v>199218</v>
      </c>
      <c r="F505" t="s">
        <v>166</v>
      </c>
      <c r="G505" t="s">
        <v>289</v>
      </c>
      <c r="H505" t="s">
        <v>3</v>
      </c>
      <c r="I505" cm="1">
        <f t="array" ref="I505">IF(B505=0,INDEX('Category 14'!F:F,MATCH(C505&amp;E505&amp;D505,'Category 14'!B:B&amp;'Category 14'!C:C&amp;'Category 14'!A:A,0)),INDEX('Category 14'!G:G,MATCH(C505&amp;E505&amp;D505,'Category 14'!B:B&amp;'Category 14'!C:C&amp;'Category 14'!A:A,0)))</f>
        <v>0</v>
      </c>
      <c r="J505">
        <f>I505/VLOOKUP($D505,CPI!$P$16:$R$22,3,FALSE)</f>
        <v>0</v>
      </c>
      <c r="K505" cm="1">
        <f t="array" ref="K505">IF(B505=0,INDEX('Category 15'!F:F,MATCH(C505&amp;E505&amp;D505,'Category 15'!B:B&amp;'Category 15'!C:C&amp;'Category 15'!A:A,0)),INDEX('Category 15'!G:G,MATCH(C505&amp;E505&amp;D505,'Category 15'!B:B&amp;'Category 31'!C:C&amp;'Category 15'!A:A,0)))</f>
        <v>0</v>
      </c>
      <c r="L505">
        <f>K505/VLOOKUP($D505,CPI!$P$16:$R$22,3,FALSE)</f>
        <v>0</v>
      </c>
      <c r="M505" s="16" cm="1">
        <f t="array" ref="M505">IF(B505=0,INDEX('Category 31'!F:F,MATCH(C505&amp;E505&amp;D505,'Category 31'!B:B&amp;'Category 31'!C:C&amp;'Category 31'!A:A,0)),INDEX('Category 31'!G:G,MATCH(C505&amp;E505&amp;D505,'Category 31'!B:B&amp;'Category 31'!C:C&amp;'Category 31'!A:A,0)))</f>
        <v>0</v>
      </c>
      <c r="N505" s="16">
        <f>M505/VLOOKUP($D505,CPI!$P$16:$R$22,3,FALSE)</f>
        <v>0</v>
      </c>
      <c r="O505">
        <v>0</v>
      </c>
    </row>
    <row r="506" spans="1:15" ht="16" thickBot="1" x14ac:dyDescent="0.25">
      <c r="A506" s="15">
        <v>2</v>
      </c>
      <c r="B506">
        <f t="shared" si="7"/>
        <v>0</v>
      </c>
      <c r="C506">
        <f>IF(ISBLANK(H506),"",VLOOKUP(H506,Code!B:C,2,FALSE))</f>
        <v>17</v>
      </c>
      <c r="D506">
        <v>2019</v>
      </c>
      <c r="E506">
        <v>199218</v>
      </c>
      <c r="F506" t="s">
        <v>166</v>
      </c>
      <c r="G506" t="s">
        <v>289</v>
      </c>
      <c r="H506" t="s">
        <v>5</v>
      </c>
      <c r="I506" cm="1">
        <f t="array" ref="I506">IF(B506=0,INDEX('Category 14'!F:F,MATCH(C506&amp;E506&amp;D506,'Category 14'!B:B&amp;'Category 14'!C:C&amp;'Category 14'!A:A,0)),INDEX('Category 14'!G:G,MATCH(C506&amp;E506&amp;D506,'Category 14'!B:B&amp;'Category 14'!C:C&amp;'Category 14'!A:A,0)))</f>
        <v>0</v>
      </c>
      <c r="J506">
        <f>I506/VLOOKUP($D506,CPI!$P$16:$R$22,3,FALSE)</f>
        <v>0</v>
      </c>
      <c r="K506" cm="1">
        <f t="array" ref="K506">IF(B506=0,INDEX('Category 15'!F:F,MATCH(C506&amp;E506&amp;D506,'Category 15'!B:B&amp;'Category 15'!C:C&amp;'Category 15'!A:A,0)),INDEX('Category 15'!G:G,MATCH(C506&amp;E506&amp;D506,'Category 15'!B:B&amp;'Category 31'!C:C&amp;'Category 15'!A:A,0)))</f>
        <v>0</v>
      </c>
      <c r="L506">
        <f>K506/VLOOKUP($D506,CPI!$P$16:$R$22,3,FALSE)</f>
        <v>0</v>
      </c>
      <c r="M506" s="16" cm="1">
        <f t="array" ref="M506">IF(B506=0,INDEX('Category 31'!F:F,MATCH(C506&amp;E506&amp;D506,'Category 31'!B:B&amp;'Category 31'!C:C&amp;'Category 31'!A:A,0)),INDEX('Category 31'!G:G,MATCH(C506&amp;E506&amp;D506,'Category 31'!B:B&amp;'Category 31'!C:C&amp;'Category 31'!A:A,0)))</f>
        <v>0</v>
      </c>
      <c r="N506" s="16">
        <f>M506/VLOOKUP($D506,CPI!$P$16:$R$22,3,FALSE)</f>
        <v>0</v>
      </c>
      <c r="O506">
        <f>VLOOKUP(E506,MSoccer!C:S,8,FALSE)</f>
        <v>7775</v>
      </c>
    </row>
    <row r="507" spans="1:15" ht="16" thickBot="1" x14ac:dyDescent="0.25">
      <c r="A507" s="15">
        <v>2</v>
      </c>
      <c r="B507">
        <f t="shared" si="7"/>
        <v>0</v>
      </c>
      <c r="C507">
        <f>IF(ISBLANK(H507),"",VLOOKUP(H507,Code!B:C,2,FALSE))</f>
        <v>19</v>
      </c>
      <c r="D507">
        <v>2019</v>
      </c>
      <c r="E507">
        <v>199218</v>
      </c>
      <c r="F507" t="s">
        <v>166</v>
      </c>
      <c r="G507" t="s">
        <v>289</v>
      </c>
      <c r="H507" t="s">
        <v>7</v>
      </c>
      <c r="I507" cm="1">
        <f t="array" ref="I507">IF(B507=0,INDEX('Category 14'!F:F,MATCH(C507&amp;E507&amp;D507,'Category 14'!B:B&amp;'Category 14'!C:C&amp;'Category 14'!A:A,0)),INDEX('Category 14'!G:G,MATCH(C507&amp;E507&amp;D507,'Category 14'!B:B&amp;'Category 14'!C:C&amp;'Category 14'!A:A,0)))</f>
        <v>0</v>
      </c>
      <c r="J507">
        <f>I507/VLOOKUP($D507,CPI!$P$16:$R$22,3,FALSE)</f>
        <v>0</v>
      </c>
      <c r="K507" cm="1">
        <f t="array" ref="K507">IF(B507=0,INDEX('Category 15'!F:F,MATCH(C507&amp;E507&amp;D507,'Category 15'!B:B&amp;'Category 15'!C:C&amp;'Category 15'!A:A,0)),INDEX('Category 15'!G:G,MATCH(C507&amp;E507&amp;D507,'Category 15'!B:B&amp;'Category 31'!C:C&amp;'Category 15'!A:A,0)))</f>
        <v>0</v>
      </c>
      <c r="L507">
        <f>K507/VLOOKUP($D507,CPI!$P$16:$R$22,3,FALSE)</f>
        <v>0</v>
      </c>
      <c r="M507" s="16" cm="1">
        <f t="array" ref="M507">IF(B507=0,INDEX('Category 31'!F:F,MATCH(C507&amp;E507&amp;D507,'Category 31'!B:B&amp;'Category 31'!C:C&amp;'Category 31'!A:A,0)),INDEX('Category 31'!G:G,MATCH(C507&amp;E507&amp;D507,'Category 31'!B:B&amp;'Category 31'!C:C&amp;'Category 31'!A:A,0)))</f>
        <v>0</v>
      </c>
      <c r="N507" s="16">
        <f>M507/VLOOKUP($D507,CPI!$P$16:$R$22,3,FALSE)</f>
        <v>0</v>
      </c>
      <c r="O507">
        <v>0</v>
      </c>
    </row>
    <row r="508" spans="1:15" ht="16" thickBot="1" x14ac:dyDescent="0.25">
      <c r="A508" s="15">
        <v>2</v>
      </c>
      <c r="B508">
        <f t="shared" si="7"/>
        <v>0</v>
      </c>
      <c r="C508">
        <f>IF(ISBLANK(H508),"",VLOOKUP(H508,Code!B:C,2,FALSE))</f>
        <v>20</v>
      </c>
      <c r="D508">
        <v>2019</v>
      </c>
      <c r="E508">
        <v>199218</v>
      </c>
      <c r="F508" t="s">
        <v>166</v>
      </c>
      <c r="G508" t="s">
        <v>289</v>
      </c>
      <c r="H508" t="s">
        <v>8</v>
      </c>
      <c r="I508" cm="1">
        <f t="array" ref="I508">IF(B508=0,INDEX('Category 14'!F:F,MATCH(C508&amp;E508&amp;D508,'Category 14'!B:B&amp;'Category 14'!C:C&amp;'Category 14'!A:A,0)),INDEX('Category 14'!G:G,MATCH(C508&amp;E508&amp;D508,'Category 14'!B:B&amp;'Category 14'!C:C&amp;'Category 14'!A:A,0)))</f>
        <v>0</v>
      </c>
      <c r="J508">
        <f>I508/VLOOKUP($D508,CPI!$P$16:$R$22,3,FALSE)</f>
        <v>0</v>
      </c>
      <c r="K508" cm="1">
        <f t="array" ref="K508">IF(B508=0,INDEX('Category 15'!F:F,MATCH(C508&amp;E508&amp;D508,'Category 15'!B:B&amp;'Category 15'!C:C&amp;'Category 15'!A:A,0)),INDEX('Category 15'!G:G,MATCH(C508&amp;E508&amp;D508,'Category 15'!B:B&amp;'Category 31'!C:C&amp;'Category 15'!A:A,0)))</f>
        <v>0</v>
      </c>
      <c r="L508">
        <f>K508/VLOOKUP($D508,CPI!$P$16:$R$22,3,FALSE)</f>
        <v>0</v>
      </c>
      <c r="M508" s="16" cm="1">
        <f t="array" ref="M508">IF(B508=0,INDEX('Category 31'!F:F,MATCH(C508&amp;E508&amp;D508,'Category 31'!B:B&amp;'Category 31'!C:C&amp;'Category 31'!A:A,0)),INDEX('Category 31'!G:G,MATCH(C508&amp;E508&amp;D508,'Category 31'!B:B&amp;'Category 31'!C:C&amp;'Category 31'!A:A,0)))</f>
        <v>0</v>
      </c>
      <c r="N508" s="16">
        <f>M508/VLOOKUP($D508,CPI!$P$16:$R$22,3,FALSE)</f>
        <v>0</v>
      </c>
      <c r="O508">
        <v>0</v>
      </c>
    </row>
    <row r="509" spans="1:15" ht="16" thickBot="1" x14ac:dyDescent="0.25">
      <c r="A509" s="15">
        <v>2</v>
      </c>
      <c r="B509">
        <f t="shared" si="7"/>
        <v>0</v>
      </c>
      <c r="C509">
        <f>IF(ISBLANK(H509),"",VLOOKUP(H509,Code!B:C,2,FALSE))</f>
        <v>21</v>
      </c>
      <c r="D509">
        <v>2019</v>
      </c>
      <c r="E509">
        <v>199218</v>
      </c>
      <c r="F509" t="s">
        <v>166</v>
      </c>
      <c r="G509" t="s">
        <v>289</v>
      </c>
      <c r="H509" t="s">
        <v>36</v>
      </c>
      <c r="I509" cm="1">
        <f t="array" ref="I509">IF(B509=0,INDEX('Category 14'!F:F,MATCH(C509&amp;E509&amp;D509,'Category 14'!B:B&amp;'Category 14'!C:C&amp;'Category 14'!A:A,0)),INDEX('Category 14'!G:G,MATCH(C509&amp;E509&amp;D509,'Category 14'!B:B&amp;'Category 14'!C:C&amp;'Category 14'!A:A,0)))</f>
        <v>0</v>
      </c>
      <c r="J509">
        <f>I509/VLOOKUP($D509,CPI!$P$16:$R$22,3,FALSE)</f>
        <v>0</v>
      </c>
      <c r="K509" cm="1">
        <f t="array" ref="K509">IF(B509=0,INDEX('Category 15'!F:F,MATCH(C509&amp;E509&amp;D509,'Category 15'!B:B&amp;'Category 15'!C:C&amp;'Category 15'!A:A,0)),INDEX('Category 15'!G:G,MATCH(C509&amp;E509&amp;D509,'Category 15'!B:B&amp;'Category 31'!C:C&amp;'Category 15'!A:A,0)))</f>
        <v>6000</v>
      </c>
      <c r="L509">
        <f>K509/VLOOKUP($D509,CPI!$P$16:$R$22,3,FALSE)</f>
        <v>7099.631418830214</v>
      </c>
      <c r="M509" s="16" cm="1">
        <f t="array" ref="M509">IF(B509=0,INDEX('Category 31'!F:F,MATCH(C509&amp;E509&amp;D509,'Category 31'!B:B&amp;'Category 31'!C:C&amp;'Category 31'!A:A,0)),INDEX('Category 31'!G:G,MATCH(C509&amp;E509&amp;D509,'Category 31'!B:B&amp;'Category 31'!C:C&amp;'Category 31'!A:A,0)))</f>
        <v>0</v>
      </c>
      <c r="N509" s="16">
        <f>M509/VLOOKUP($D509,CPI!$P$16:$R$22,3,FALSE)</f>
        <v>0</v>
      </c>
      <c r="O509">
        <v>0</v>
      </c>
    </row>
    <row r="510" spans="1:15" ht="16" thickBot="1" x14ac:dyDescent="0.25">
      <c r="A510" s="15">
        <v>2</v>
      </c>
      <c r="B510">
        <f t="shared" si="7"/>
        <v>1</v>
      </c>
      <c r="C510">
        <f>IF(ISBLANK(H510),"",VLOOKUP(H510,Code!B:C,2,FALSE))</f>
        <v>2</v>
      </c>
      <c r="D510">
        <v>2019</v>
      </c>
      <c r="E510">
        <v>199218</v>
      </c>
      <c r="F510" t="s">
        <v>166</v>
      </c>
      <c r="G510" t="s">
        <v>290</v>
      </c>
      <c r="H510" t="s">
        <v>1</v>
      </c>
      <c r="I510" cm="1">
        <f t="array" ref="I510">IF(B510=0,INDEX('Category 14'!F:F,MATCH(C510&amp;E510&amp;D510,'Category 14'!B:B&amp;'Category 14'!C:C&amp;'Category 14'!A:A,0)),INDEX('Category 14'!G:G,MATCH(C510&amp;E510&amp;D510,'Category 14'!B:B&amp;'Category 14'!C:C&amp;'Category 14'!A:A,0)))</f>
        <v>0</v>
      </c>
      <c r="J510">
        <f>I510/VLOOKUP($D510,CPI!$P$16:$R$22,3,FALSE)</f>
        <v>0</v>
      </c>
      <c r="K510" cm="1">
        <f t="array" ref="K510">IF(B510=0,INDEX('Category 15'!F:F,MATCH(C510&amp;E510&amp;D510,'Category 15'!B:B&amp;'Category 15'!C:C&amp;'Category 15'!A:A,0)),INDEX('Category 15'!G:G,MATCH(C510&amp;E510&amp;D510,'Category 15'!B:B&amp;'Category 31'!C:C&amp;'Category 15'!A:A,0)))</f>
        <v>0</v>
      </c>
      <c r="L510">
        <f>K510/VLOOKUP($D510,CPI!$P$16:$R$22,3,FALSE)</f>
        <v>0</v>
      </c>
      <c r="M510" s="16" cm="1">
        <f t="array" ref="M510">IF(B510=0,INDEX('Category 31'!F:F,MATCH(C510&amp;E510&amp;D510,'Category 31'!B:B&amp;'Category 31'!C:C&amp;'Category 31'!A:A,0)),INDEX('Category 31'!G:G,MATCH(C510&amp;E510&amp;D510,'Category 31'!B:B&amp;'Category 31'!C:C&amp;'Category 31'!A:A,0)))</f>
        <v>0</v>
      </c>
      <c r="N510" s="16">
        <f>M510/VLOOKUP($D510,CPI!$P$16:$R$22,3,FALSE)</f>
        <v>0</v>
      </c>
      <c r="O510">
        <f>VLOOKUP(E510,WBasketball!C:S,8,FALSE)</f>
        <v>14801</v>
      </c>
    </row>
    <row r="511" spans="1:15" ht="16" thickBot="1" x14ac:dyDescent="0.25">
      <c r="A511" s="15">
        <v>2</v>
      </c>
      <c r="B511">
        <f t="shared" si="7"/>
        <v>1</v>
      </c>
      <c r="C511">
        <f>IF(ISBLANK(H511),"",VLOOKUP(H511,Code!B:C,2,FALSE))</f>
        <v>3</v>
      </c>
      <c r="D511">
        <v>2019</v>
      </c>
      <c r="E511">
        <v>199218</v>
      </c>
      <c r="F511" t="s">
        <v>166</v>
      </c>
      <c r="G511" t="s">
        <v>290</v>
      </c>
      <c r="H511" t="s">
        <v>21</v>
      </c>
      <c r="I511" cm="1">
        <f t="array" ref="I511">IF(B511=0,INDEX('Category 14'!F:F,MATCH(C511&amp;E511&amp;D511,'Category 14'!B:B&amp;'Category 14'!C:C&amp;'Category 14'!A:A,0)),INDEX('Category 14'!G:G,MATCH(C511&amp;E511&amp;D511,'Category 14'!B:B&amp;'Category 14'!C:C&amp;'Category 14'!A:A,0)))</f>
        <v>0</v>
      </c>
      <c r="J511">
        <f>I511/VLOOKUP($D511,CPI!$P$16:$R$22,3,FALSE)</f>
        <v>0</v>
      </c>
      <c r="K511" cm="1">
        <f t="array" ref="K511">IF(B511=0,INDEX('Category 15'!F:F,MATCH(C511&amp;E511&amp;D511,'Category 15'!B:B&amp;'Category 15'!C:C&amp;'Category 15'!A:A,0)),INDEX('Category 15'!G:G,MATCH(C511&amp;E511&amp;D511,'Category 15'!B:B&amp;'Category 31'!C:C&amp;'Category 15'!A:A,0)))</f>
        <v>0</v>
      </c>
      <c r="L511">
        <f>K511/VLOOKUP($D511,CPI!$P$16:$R$22,3,FALSE)</f>
        <v>0</v>
      </c>
      <c r="M511" s="16" cm="1">
        <f t="array" ref="M511">IF(B511=0,INDEX('Category 31'!F:F,MATCH(C511&amp;E511&amp;D511,'Category 31'!B:B&amp;'Category 31'!C:C&amp;'Category 31'!A:A,0)),INDEX('Category 31'!G:G,MATCH(C511&amp;E511&amp;D511,'Category 31'!B:B&amp;'Category 31'!C:C&amp;'Category 31'!A:A,0)))</f>
        <v>0</v>
      </c>
      <c r="N511" s="16">
        <f>M511/VLOOKUP($D511,CPI!$P$16:$R$22,3,FALSE)</f>
        <v>0</v>
      </c>
      <c r="O511">
        <v>0</v>
      </c>
    </row>
    <row r="512" spans="1:15" ht="16" thickBot="1" x14ac:dyDescent="0.25">
      <c r="A512" s="15">
        <v>2</v>
      </c>
      <c r="B512">
        <f t="shared" si="7"/>
        <v>1</v>
      </c>
      <c r="C512">
        <f>IF(ISBLANK(H512),"",VLOOKUP(H512,Code!B:C,2,FALSE))</f>
        <v>9</v>
      </c>
      <c r="D512">
        <v>2019</v>
      </c>
      <c r="E512">
        <v>199218</v>
      </c>
      <c r="F512" t="s">
        <v>166</v>
      </c>
      <c r="G512" t="s">
        <v>290</v>
      </c>
      <c r="H512" t="s">
        <v>3</v>
      </c>
      <c r="I512" cm="1">
        <f t="array" ref="I512">IF(B512=0,INDEX('Category 14'!F:F,MATCH(C512&amp;E512&amp;D512,'Category 14'!B:B&amp;'Category 14'!C:C&amp;'Category 14'!A:A,0)),INDEX('Category 14'!G:G,MATCH(C512&amp;E512&amp;D512,'Category 14'!B:B&amp;'Category 14'!C:C&amp;'Category 14'!A:A,0)))</f>
        <v>0</v>
      </c>
      <c r="J512">
        <f>I512/VLOOKUP($D512,CPI!$P$16:$R$22,3,FALSE)</f>
        <v>0</v>
      </c>
      <c r="K512" cm="1">
        <f t="array" ref="K512">IF(B512=0,INDEX('Category 15'!F:F,MATCH(C512&amp;E512&amp;D512,'Category 15'!B:B&amp;'Category 15'!C:C&amp;'Category 15'!A:A,0)),INDEX('Category 15'!G:G,MATCH(C512&amp;E512&amp;D512,'Category 15'!B:B&amp;'Category 31'!C:C&amp;'Category 15'!A:A,0)))</f>
        <v>0</v>
      </c>
      <c r="L512">
        <f>K512/VLOOKUP($D512,CPI!$P$16:$R$22,3,FALSE)</f>
        <v>0</v>
      </c>
      <c r="M512" s="16" cm="1">
        <f t="array" ref="M512">IF(B512=0,INDEX('Category 31'!F:F,MATCH(C512&amp;E512&amp;D512,'Category 31'!B:B&amp;'Category 31'!C:C&amp;'Category 31'!A:A,0)),INDEX('Category 31'!G:G,MATCH(C512&amp;E512&amp;D512,'Category 31'!B:B&amp;'Category 31'!C:C&amp;'Category 31'!A:A,0)))</f>
        <v>0</v>
      </c>
      <c r="N512" s="16">
        <f>M512/VLOOKUP($D512,CPI!$P$16:$R$22,3,FALSE)</f>
        <v>0</v>
      </c>
      <c r="O512">
        <v>0</v>
      </c>
    </row>
    <row r="513" spans="1:15" ht="16" thickBot="1" x14ac:dyDescent="0.25">
      <c r="A513" s="15">
        <v>2</v>
      </c>
      <c r="B513">
        <f t="shared" si="7"/>
        <v>1</v>
      </c>
      <c r="C513">
        <f>IF(ISBLANK(H513),"",VLOOKUP(H513,Code!B:C,2,FALSE))</f>
        <v>17</v>
      </c>
      <c r="D513">
        <v>2019</v>
      </c>
      <c r="E513">
        <v>199218</v>
      </c>
      <c r="F513" t="s">
        <v>166</v>
      </c>
      <c r="G513" t="s">
        <v>290</v>
      </c>
      <c r="H513" t="s">
        <v>5</v>
      </c>
      <c r="I513" cm="1">
        <f t="array" ref="I513">IF(B513=0,INDEX('Category 14'!F:F,MATCH(C513&amp;E513&amp;D513,'Category 14'!B:B&amp;'Category 14'!C:C&amp;'Category 14'!A:A,0)),INDEX('Category 14'!G:G,MATCH(C513&amp;E513&amp;D513,'Category 14'!B:B&amp;'Category 14'!C:C&amp;'Category 14'!A:A,0)))</f>
        <v>0</v>
      </c>
      <c r="J513">
        <f>I513/VLOOKUP($D513,CPI!$P$16:$R$22,3,FALSE)</f>
        <v>0</v>
      </c>
      <c r="K513" cm="1">
        <f t="array" ref="K513">IF(B513=0,INDEX('Category 15'!F:F,MATCH(C513&amp;E513&amp;D513,'Category 15'!B:B&amp;'Category 15'!C:C&amp;'Category 15'!A:A,0)),INDEX('Category 15'!G:G,MATCH(C513&amp;E513&amp;D513,'Category 15'!B:B&amp;'Category 31'!C:C&amp;'Category 15'!A:A,0)))</f>
        <v>0</v>
      </c>
      <c r="L513">
        <f>K513/VLOOKUP($D513,CPI!$P$16:$R$22,3,FALSE)</f>
        <v>0</v>
      </c>
      <c r="M513" s="16" cm="1">
        <f t="array" ref="M513">IF(B513=0,INDEX('Category 31'!F:F,MATCH(C513&amp;E513&amp;D513,'Category 31'!B:B&amp;'Category 31'!C:C&amp;'Category 31'!A:A,0)),INDEX('Category 31'!G:G,MATCH(C513&amp;E513&amp;D513,'Category 31'!B:B&amp;'Category 31'!C:C&amp;'Category 31'!A:A,0)))</f>
        <v>0</v>
      </c>
      <c r="N513" s="16">
        <f>M513/VLOOKUP($D513,CPI!$P$16:$R$22,3,FALSE)</f>
        <v>0</v>
      </c>
      <c r="O513">
        <f>VLOOKUP(E513,WSoccer!C:S,8,FALSE)</f>
        <v>3107</v>
      </c>
    </row>
    <row r="514" spans="1:15" ht="16" thickBot="1" x14ac:dyDescent="0.25">
      <c r="A514" s="15">
        <v>2</v>
      </c>
      <c r="B514">
        <f t="shared" si="7"/>
        <v>1</v>
      </c>
      <c r="C514">
        <f>IF(ISBLANK(H514),"",VLOOKUP(H514,Code!B:C,2,FALSE))</f>
        <v>18</v>
      </c>
      <c r="D514">
        <v>2019</v>
      </c>
      <c r="E514">
        <v>199218</v>
      </c>
      <c r="F514" t="s">
        <v>166</v>
      </c>
      <c r="G514" t="s">
        <v>290</v>
      </c>
      <c r="H514" t="s">
        <v>6</v>
      </c>
      <c r="I514" cm="1">
        <f t="array" ref="I514">IF(B514=0,INDEX('Category 14'!F:F,MATCH(C514&amp;E514&amp;D514,'Category 14'!B:B&amp;'Category 14'!C:C&amp;'Category 14'!A:A,0)),INDEX('Category 14'!G:G,MATCH(C514&amp;E514&amp;D514,'Category 14'!B:B&amp;'Category 14'!C:C&amp;'Category 14'!A:A,0)))</f>
        <v>0</v>
      </c>
      <c r="J514">
        <f>I514/VLOOKUP($D514,CPI!$P$16:$R$22,3,FALSE)</f>
        <v>0</v>
      </c>
      <c r="K514" cm="1">
        <f t="array" ref="K514">IF(B514=0,INDEX('Category 15'!F:F,MATCH(C514&amp;E514&amp;D514,'Category 15'!B:B&amp;'Category 15'!C:C&amp;'Category 15'!A:A,0)),INDEX('Category 15'!G:G,MATCH(C514&amp;E514&amp;D514,'Category 15'!B:B&amp;'Category 31'!C:C&amp;'Category 15'!A:A,0)))</f>
        <v>0</v>
      </c>
      <c r="L514">
        <f>K514/VLOOKUP($D514,CPI!$P$16:$R$22,3,FALSE)</f>
        <v>0</v>
      </c>
      <c r="M514" s="16" cm="1">
        <f t="array" ref="M514">IF(B514=0,INDEX('Category 31'!F:F,MATCH(C514&amp;E514&amp;D514,'Category 31'!B:B&amp;'Category 31'!C:C&amp;'Category 31'!A:A,0)),INDEX('Category 31'!G:G,MATCH(C514&amp;E514&amp;D514,'Category 31'!B:B&amp;'Category 31'!C:C&amp;'Category 31'!A:A,0)))</f>
        <v>0</v>
      </c>
      <c r="N514" s="16">
        <f>M514/VLOOKUP($D514,CPI!$P$16:$R$22,3,FALSE)</f>
        <v>0</v>
      </c>
      <c r="O514">
        <f>VLOOKUP(E514,WSoftball!C:S,8,FALSE)</f>
        <v>9811</v>
      </c>
    </row>
    <row r="515" spans="1:15" ht="16" thickBot="1" x14ac:dyDescent="0.25">
      <c r="A515" s="15">
        <v>2</v>
      </c>
      <c r="B515">
        <f t="shared" ref="B515:B578" si="8">IF(ISBLANK(G515),"",IF(MID(G515,1,1)="M",0,1))</f>
        <v>1</v>
      </c>
      <c r="C515">
        <f>IF(ISBLANK(H515),"",VLOOKUP(H515,Code!B:C,2,FALSE))</f>
        <v>19</v>
      </c>
      <c r="D515">
        <v>2019</v>
      </c>
      <c r="E515">
        <v>199218</v>
      </c>
      <c r="F515" t="s">
        <v>166</v>
      </c>
      <c r="G515" t="s">
        <v>290</v>
      </c>
      <c r="H515" t="s">
        <v>7</v>
      </c>
      <c r="I515" cm="1">
        <f t="array" ref="I515">IF(B515=0,INDEX('Category 14'!F:F,MATCH(C515&amp;E515&amp;D515,'Category 14'!B:B&amp;'Category 14'!C:C&amp;'Category 14'!A:A,0)),INDEX('Category 14'!G:G,MATCH(C515&amp;E515&amp;D515,'Category 14'!B:B&amp;'Category 14'!C:C&amp;'Category 14'!A:A,0)))</f>
        <v>0</v>
      </c>
      <c r="J515">
        <f>I515/VLOOKUP($D515,CPI!$P$16:$R$22,3,FALSE)</f>
        <v>0</v>
      </c>
      <c r="K515" cm="1">
        <f t="array" ref="K515">IF(B515=0,INDEX('Category 15'!F:F,MATCH(C515&amp;E515&amp;D515,'Category 15'!B:B&amp;'Category 15'!C:C&amp;'Category 15'!A:A,0)),INDEX('Category 15'!G:G,MATCH(C515&amp;E515&amp;D515,'Category 15'!B:B&amp;'Category 31'!C:C&amp;'Category 15'!A:A,0)))</f>
        <v>0</v>
      </c>
      <c r="L515">
        <f>K515/VLOOKUP($D515,CPI!$P$16:$R$22,3,FALSE)</f>
        <v>0</v>
      </c>
      <c r="M515" s="16" cm="1">
        <f t="array" ref="M515">IF(B515=0,INDEX('Category 31'!F:F,MATCH(C515&amp;E515&amp;D515,'Category 31'!B:B&amp;'Category 31'!C:C&amp;'Category 31'!A:A,0)),INDEX('Category 31'!G:G,MATCH(C515&amp;E515&amp;D515,'Category 31'!B:B&amp;'Category 31'!C:C&amp;'Category 31'!A:A,0)))</f>
        <v>0</v>
      </c>
      <c r="N515" s="16">
        <f>M515/VLOOKUP($D515,CPI!$P$16:$R$22,3,FALSE)</f>
        <v>0</v>
      </c>
      <c r="O515">
        <v>0</v>
      </c>
    </row>
    <row r="516" spans="1:15" ht="16" thickBot="1" x14ac:dyDescent="0.25">
      <c r="A516" s="15">
        <v>2</v>
      </c>
      <c r="B516">
        <f t="shared" si="8"/>
        <v>1</v>
      </c>
      <c r="C516">
        <f>IF(ISBLANK(H516),"",VLOOKUP(H516,Code!B:C,2,FALSE))</f>
        <v>20</v>
      </c>
      <c r="D516">
        <v>2019</v>
      </c>
      <c r="E516">
        <v>199218</v>
      </c>
      <c r="F516" t="s">
        <v>166</v>
      </c>
      <c r="G516" t="s">
        <v>290</v>
      </c>
      <c r="H516" t="s">
        <v>8</v>
      </c>
      <c r="I516" cm="1">
        <f t="array" ref="I516">IF(B516=0,INDEX('Category 14'!F:F,MATCH(C516&amp;E516&amp;D516,'Category 14'!B:B&amp;'Category 14'!C:C&amp;'Category 14'!A:A,0)),INDEX('Category 14'!G:G,MATCH(C516&amp;E516&amp;D516,'Category 14'!B:B&amp;'Category 14'!C:C&amp;'Category 14'!A:A,0)))</f>
        <v>0</v>
      </c>
      <c r="J516">
        <f>I516/VLOOKUP($D516,CPI!$P$16:$R$22,3,FALSE)</f>
        <v>0</v>
      </c>
      <c r="K516" cm="1">
        <f t="array" ref="K516">IF(B516=0,INDEX('Category 15'!F:F,MATCH(C516&amp;E516&amp;D516,'Category 15'!B:B&amp;'Category 15'!C:C&amp;'Category 15'!A:A,0)),INDEX('Category 15'!G:G,MATCH(C516&amp;E516&amp;D516,'Category 15'!B:B&amp;'Category 31'!C:C&amp;'Category 15'!A:A,0)))</f>
        <v>0</v>
      </c>
      <c r="L516">
        <f>K516/VLOOKUP($D516,CPI!$P$16:$R$22,3,FALSE)</f>
        <v>0</v>
      </c>
      <c r="M516" s="16" cm="1">
        <f t="array" ref="M516">IF(B516=0,INDEX('Category 31'!F:F,MATCH(C516&amp;E516&amp;D516,'Category 31'!B:B&amp;'Category 31'!C:C&amp;'Category 31'!A:A,0)),INDEX('Category 31'!G:G,MATCH(C516&amp;E516&amp;D516,'Category 31'!B:B&amp;'Category 31'!C:C&amp;'Category 31'!A:A,0)))</f>
        <v>0</v>
      </c>
      <c r="N516" s="16">
        <f>M516/VLOOKUP($D516,CPI!$P$16:$R$22,3,FALSE)</f>
        <v>0</v>
      </c>
      <c r="O516">
        <v>0</v>
      </c>
    </row>
    <row r="517" spans="1:15" ht="16" thickBot="1" x14ac:dyDescent="0.25">
      <c r="A517" s="15">
        <v>2</v>
      </c>
      <c r="B517">
        <f t="shared" si="8"/>
        <v>1</v>
      </c>
      <c r="C517">
        <f>IF(ISBLANK(H517),"",VLOOKUP(H517,Code!B:C,2,FALSE))</f>
        <v>21</v>
      </c>
      <c r="D517">
        <v>2019</v>
      </c>
      <c r="E517">
        <v>199218</v>
      </c>
      <c r="F517" t="s">
        <v>166</v>
      </c>
      <c r="G517" t="s">
        <v>290</v>
      </c>
      <c r="H517" t="s">
        <v>36</v>
      </c>
      <c r="I517" cm="1">
        <f t="array" ref="I517">IF(B517=0,INDEX('Category 14'!F:F,MATCH(C517&amp;E517&amp;D517,'Category 14'!B:B&amp;'Category 14'!C:C&amp;'Category 14'!A:A,0)),INDEX('Category 14'!G:G,MATCH(C517&amp;E517&amp;D517,'Category 14'!B:B&amp;'Category 14'!C:C&amp;'Category 14'!A:A,0)))</f>
        <v>0</v>
      </c>
      <c r="J517">
        <f>I517/VLOOKUP($D517,CPI!$P$16:$R$22,3,FALSE)</f>
        <v>0</v>
      </c>
      <c r="K517" cm="1">
        <f t="array" ref="K517">IF(B517=0,INDEX('Category 15'!F:F,MATCH(C517&amp;E517&amp;D517,'Category 15'!B:B&amp;'Category 15'!C:C&amp;'Category 15'!A:A,0)),INDEX('Category 15'!G:G,MATCH(C517&amp;E517&amp;D517,'Category 15'!B:B&amp;'Category 31'!C:C&amp;'Category 15'!A:A,0)))</f>
        <v>6000</v>
      </c>
      <c r="L517">
        <f>K517/VLOOKUP($D517,CPI!$P$16:$R$22,3,FALSE)</f>
        <v>7099.631418830214</v>
      </c>
      <c r="M517" s="16" cm="1">
        <f t="array" ref="M517">IF(B517=0,INDEX('Category 31'!F:F,MATCH(C517&amp;E517&amp;D517,'Category 31'!B:B&amp;'Category 31'!C:C&amp;'Category 31'!A:A,0)),INDEX('Category 31'!G:G,MATCH(C517&amp;E517&amp;D517,'Category 31'!B:B&amp;'Category 31'!C:C&amp;'Category 31'!A:A,0)))</f>
        <v>0</v>
      </c>
      <c r="N517" s="16">
        <f>M517/VLOOKUP($D517,CPI!$P$16:$R$22,3,FALSE)</f>
        <v>0</v>
      </c>
      <c r="O517">
        <v>0</v>
      </c>
    </row>
    <row r="518" spans="1:15" ht="16" thickBot="1" x14ac:dyDescent="0.25">
      <c r="A518" s="15">
        <v>2</v>
      </c>
      <c r="B518">
        <f t="shared" si="8"/>
        <v>1</v>
      </c>
      <c r="C518">
        <f>IF(ISBLANK(H518),"",VLOOKUP(H518,Code!B:C,2,FALSE))</f>
        <v>23</v>
      </c>
      <c r="D518">
        <v>2019</v>
      </c>
      <c r="E518">
        <v>199218</v>
      </c>
      <c r="F518" t="s">
        <v>166</v>
      </c>
      <c r="G518" t="s">
        <v>290</v>
      </c>
      <c r="H518" t="s">
        <v>10</v>
      </c>
      <c r="I518" cm="1">
        <f t="array" ref="I518">IF(B518=0,INDEX('Category 14'!F:F,MATCH(C518&amp;E518&amp;D518,'Category 14'!B:B&amp;'Category 14'!C:C&amp;'Category 14'!A:A,0)),INDEX('Category 14'!G:G,MATCH(C518&amp;E518&amp;D518,'Category 14'!B:B&amp;'Category 14'!C:C&amp;'Category 14'!A:A,0)))</f>
        <v>0</v>
      </c>
      <c r="J518">
        <f>I518/VLOOKUP($D518,CPI!$P$16:$R$22,3,FALSE)</f>
        <v>0</v>
      </c>
      <c r="K518" cm="1">
        <f t="array" ref="K518">IF(B518=0,INDEX('Category 15'!F:F,MATCH(C518&amp;E518&amp;D518,'Category 15'!B:B&amp;'Category 15'!C:C&amp;'Category 15'!A:A,0)),INDEX('Category 15'!G:G,MATCH(C518&amp;E518&amp;D518,'Category 15'!B:B&amp;'Category 31'!C:C&amp;'Category 15'!A:A,0)))</f>
        <v>0</v>
      </c>
      <c r="L518">
        <f>K518/VLOOKUP($D518,CPI!$P$16:$R$22,3,FALSE)</f>
        <v>0</v>
      </c>
      <c r="M518" s="16" cm="1">
        <f t="array" ref="M518">IF(B518=0,INDEX('Category 31'!F:F,MATCH(C518&amp;E518&amp;D518,'Category 31'!B:B&amp;'Category 31'!C:C&amp;'Category 31'!A:A,0)),INDEX('Category 31'!G:G,MATCH(C518&amp;E518&amp;D518,'Category 31'!B:B&amp;'Category 31'!C:C&amp;'Category 31'!A:A,0)))</f>
        <v>0</v>
      </c>
      <c r="N518" s="16">
        <f>M518/VLOOKUP($D518,CPI!$P$16:$R$22,3,FALSE)</f>
        <v>0</v>
      </c>
      <c r="O518">
        <f>VLOOKUP(E518,WVolleyball!C:S,8,FALSE)</f>
        <v>1430</v>
      </c>
    </row>
    <row r="519" spans="1:15" ht="16" thickBot="1" x14ac:dyDescent="0.25">
      <c r="A519" s="15">
        <v>2</v>
      </c>
      <c r="B519">
        <f t="shared" si="8"/>
        <v>0</v>
      </c>
      <c r="C519">
        <f>IF(ISBLANK(H519),"",VLOOKUP(H519,Code!B:C,2,FALSE))</f>
        <v>1</v>
      </c>
      <c r="D519">
        <v>2020</v>
      </c>
      <c r="E519">
        <v>199218</v>
      </c>
      <c r="F519" t="s">
        <v>166</v>
      </c>
      <c r="G519" t="s">
        <v>289</v>
      </c>
      <c r="H519" t="s">
        <v>0</v>
      </c>
      <c r="I519" cm="1">
        <f t="array" ref="I519">IF(B519=0,INDEX('Category 14'!F:F,MATCH(C519&amp;E519&amp;D519,'Category 14'!B:B&amp;'Category 14'!C:C&amp;'Category 14'!A:A,0)),INDEX('Category 14'!G:G,MATCH(C519&amp;E519&amp;D519,'Category 14'!B:B&amp;'Category 14'!C:C&amp;'Category 14'!A:A,0)))</f>
        <v>0</v>
      </c>
      <c r="J519">
        <f>I519/VLOOKUP($D519,CPI!$P$16:$R$22,3,FALSE)</f>
        <v>0</v>
      </c>
      <c r="K519" cm="1">
        <f t="array" ref="K519">IF(B519=0,INDEX('Category 15'!F:F,MATCH(C519&amp;E519&amp;D519,'Category 15'!B:B&amp;'Category 15'!C:C&amp;'Category 15'!A:A,0)),INDEX('Category 15'!G:G,MATCH(C519&amp;E519&amp;D519,'Category 15'!B:B&amp;'Category 31'!C:C&amp;'Category 15'!A:A,0)))</f>
        <v>0</v>
      </c>
      <c r="L519">
        <f>K519/VLOOKUP($D519,CPI!$P$16:$R$22,3,FALSE)</f>
        <v>0</v>
      </c>
      <c r="M519" s="16" cm="1">
        <f t="array" ref="M519">IF(B519=0,INDEX('Category 31'!F:F,MATCH(C519&amp;E519&amp;D519,'Category 31'!B:B&amp;'Category 31'!C:C&amp;'Category 31'!A:A,0)),INDEX('Category 31'!G:G,MATCH(C519&amp;E519&amp;D519,'Category 31'!B:B&amp;'Category 31'!C:C&amp;'Category 31'!A:A,0)))</f>
        <v>0</v>
      </c>
      <c r="N519" s="16">
        <f>M519/VLOOKUP($D519,CPI!$P$16:$R$22,3,FALSE)</f>
        <v>0</v>
      </c>
      <c r="O519">
        <f>VLOOKUP(E471,MBaseball!C:R,9,FALSE)</f>
        <v>8158</v>
      </c>
    </row>
    <row r="520" spans="1:15" ht="16" thickBot="1" x14ac:dyDescent="0.25">
      <c r="A520" s="15">
        <v>2</v>
      </c>
      <c r="B520">
        <f t="shared" si="8"/>
        <v>0</v>
      </c>
      <c r="C520">
        <f>IF(ISBLANK(H520),"",VLOOKUP(H520,Code!B:C,2,FALSE))</f>
        <v>2</v>
      </c>
      <c r="D520">
        <v>2020</v>
      </c>
      <c r="E520">
        <v>199218</v>
      </c>
      <c r="F520" t="s">
        <v>166</v>
      </c>
      <c r="G520" t="s">
        <v>289</v>
      </c>
      <c r="H520" t="s">
        <v>1</v>
      </c>
      <c r="I520" cm="1">
        <f t="array" ref="I520">IF(B520=0,INDEX('Category 14'!F:F,MATCH(C520&amp;E520&amp;D520,'Category 14'!B:B&amp;'Category 14'!C:C&amp;'Category 14'!A:A,0)),INDEX('Category 14'!G:G,MATCH(C520&amp;E520&amp;D520,'Category 14'!B:B&amp;'Category 14'!C:C&amp;'Category 14'!A:A,0)))</f>
        <v>0</v>
      </c>
      <c r="J520">
        <f>I520/VLOOKUP($D520,CPI!$P$16:$R$22,3,FALSE)</f>
        <v>0</v>
      </c>
      <c r="K520" cm="1">
        <f t="array" ref="K520">IF(B520=0,INDEX('Category 15'!F:F,MATCH(C520&amp;E520&amp;D520,'Category 15'!B:B&amp;'Category 15'!C:C&amp;'Category 15'!A:A,0)),INDEX('Category 15'!G:G,MATCH(C520&amp;E520&amp;D520,'Category 15'!B:B&amp;'Category 31'!C:C&amp;'Category 15'!A:A,0)))</f>
        <v>0</v>
      </c>
      <c r="L520">
        <f>K520/VLOOKUP($D520,CPI!$P$16:$R$22,3,FALSE)</f>
        <v>0</v>
      </c>
      <c r="M520" s="16" cm="1">
        <f t="array" ref="M520">IF(B520=0,INDEX('Category 31'!F:F,MATCH(C520&amp;E520&amp;D520,'Category 31'!B:B&amp;'Category 31'!C:C&amp;'Category 31'!A:A,0)),INDEX('Category 31'!G:G,MATCH(C520&amp;E520&amp;D520,'Category 31'!B:B&amp;'Category 31'!C:C&amp;'Category 31'!A:A,0)))</f>
        <v>0</v>
      </c>
      <c r="N520" s="16">
        <f>M520/VLOOKUP($D520,CPI!$P$16:$R$22,3,FALSE)</f>
        <v>0</v>
      </c>
      <c r="O520">
        <f>VLOOKUP(E520,MBasketball!C:S,9,FALSE)</f>
        <v>50167</v>
      </c>
    </row>
    <row r="521" spans="1:15" ht="16" thickBot="1" x14ac:dyDescent="0.25">
      <c r="A521" s="15">
        <v>2</v>
      </c>
      <c r="B521">
        <f t="shared" si="8"/>
        <v>0</v>
      </c>
      <c r="C521">
        <f>IF(ISBLANK(H521),"",VLOOKUP(H521,Code!B:C,2,FALSE))</f>
        <v>9</v>
      </c>
      <c r="D521">
        <v>2020</v>
      </c>
      <c r="E521">
        <v>199218</v>
      </c>
      <c r="F521" t="s">
        <v>166</v>
      </c>
      <c r="G521" t="s">
        <v>289</v>
      </c>
      <c r="H521" t="s">
        <v>3</v>
      </c>
      <c r="I521" cm="1">
        <f t="array" ref="I521">IF(B521=0,INDEX('Category 14'!F:F,MATCH(C521&amp;E521&amp;D521,'Category 14'!B:B&amp;'Category 14'!C:C&amp;'Category 14'!A:A,0)),INDEX('Category 14'!G:G,MATCH(C521&amp;E521&amp;D521,'Category 14'!B:B&amp;'Category 14'!C:C&amp;'Category 14'!A:A,0)))</f>
        <v>0</v>
      </c>
      <c r="J521">
        <f>I521/VLOOKUP($D521,CPI!$P$16:$R$22,3,FALSE)</f>
        <v>0</v>
      </c>
      <c r="K521" cm="1">
        <f t="array" ref="K521">IF(B521=0,INDEX('Category 15'!F:F,MATCH(C521&amp;E521&amp;D521,'Category 15'!B:B&amp;'Category 15'!C:C&amp;'Category 15'!A:A,0)),INDEX('Category 15'!G:G,MATCH(C521&amp;E521&amp;D521,'Category 15'!B:B&amp;'Category 31'!C:C&amp;'Category 15'!A:A,0)))</f>
        <v>0</v>
      </c>
      <c r="L521">
        <f>K521/VLOOKUP($D521,CPI!$P$16:$R$22,3,FALSE)</f>
        <v>0</v>
      </c>
      <c r="M521" s="16" cm="1">
        <f t="array" ref="M521">IF(B521=0,INDEX('Category 31'!F:F,MATCH(C521&amp;E521&amp;D521,'Category 31'!B:B&amp;'Category 31'!C:C&amp;'Category 31'!A:A,0)),INDEX('Category 31'!G:G,MATCH(C521&amp;E521&amp;D521,'Category 31'!B:B&amp;'Category 31'!C:C&amp;'Category 31'!A:A,0)))</f>
        <v>0</v>
      </c>
      <c r="N521" s="16">
        <f>M521/VLOOKUP($D521,CPI!$P$16:$R$22,3,FALSE)</f>
        <v>0</v>
      </c>
      <c r="O521">
        <v>0</v>
      </c>
    </row>
    <row r="522" spans="1:15" ht="16" thickBot="1" x14ac:dyDescent="0.25">
      <c r="A522" s="15">
        <v>2</v>
      </c>
      <c r="B522">
        <f t="shared" si="8"/>
        <v>0</v>
      </c>
      <c r="C522">
        <f>IF(ISBLANK(H522),"",VLOOKUP(H522,Code!B:C,2,FALSE))</f>
        <v>17</v>
      </c>
      <c r="D522">
        <v>2020</v>
      </c>
      <c r="E522">
        <v>199218</v>
      </c>
      <c r="F522" t="s">
        <v>166</v>
      </c>
      <c r="G522" t="s">
        <v>289</v>
      </c>
      <c r="H522" t="s">
        <v>5</v>
      </c>
      <c r="I522" cm="1">
        <f t="array" ref="I522">IF(B522=0,INDEX('Category 14'!F:F,MATCH(C522&amp;E522&amp;D522,'Category 14'!B:B&amp;'Category 14'!C:C&amp;'Category 14'!A:A,0)),INDEX('Category 14'!G:G,MATCH(C522&amp;E522&amp;D522,'Category 14'!B:B&amp;'Category 14'!C:C&amp;'Category 14'!A:A,0)))</f>
        <v>0</v>
      </c>
      <c r="J522">
        <f>I522/VLOOKUP($D522,CPI!$P$16:$R$22,3,FALSE)</f>
        <v>0</v>
      </c>
      <c r="K522" cm="1">
        <f t="array" ref="K522">IF(B522=0,INDEX('Category 15'!F:F,MATCH(C522&amp;E522&amp;D522,'Category 15'!B:B&amp;'Category 15'!C:C&amp;'Category 15'!A:A,0)),INDEX('Category 15'!G:G,MATCH(C522&amp;E522&amp;D522,'Category 15'!B:B&amp;'Category 31'!C:C&amp;'Category 15'!A:A,0)))</f>
        <v>0</v>
      </c>
      <c r="L522">
        <f>K522/VLOOKUP($D522,CPI!$P$16:$R$22,3,FALSE)</f>
        <v>0</v>
      </c>
      <c r="M522" s="16" cm="1">
        <f t="array" ref="M522">IF(B522=0,INDEX('Category 31'!F:F,MATCH(C522&amp;E522&amp;D522,'Category 31'!B:B&amp;'Category 31'!C:C&amp;'Category 31'!A:A,0)),INDEX('Category 31'!G:G,MATCH(C522&amp;E522&amp;D522,'Category 31'!B:B&amp;'Category 31'!C:C&amp;'Category 31'!A:A,0)))</f>
        <v>0</v>
      </c>
      <c r="N522" s="16">
        <f>M522/VLOOKUP($D522,CPI!$P$16:$R$22,3,FALSE)</f>
        <v>0</v>
      </c>
      <c r="O522">
        <f>VLOOKUP(E522,MSoccer!C:S,9,FALSE)</f>
        <v>0</v>
      </c>
    </row>
    <row r="523" spans="1:15" ht="16" thickBot="1" x14ac:dyDescent="0.25">
      <c r="A523" s="15">
        <v>2</v>
      </c>
      <c r="B523">
        <f t="shared" si="8"/>
        <v>0</v>
      </c>
      <c r="C523">
        <f>IF(ISBLANK(H523),"",VLOOKUP(H523,Code!B:C,2,FALSE))</f>
        <v>19</v>
      </c>
      <c r="D523">
        <v>2020</v>
      </c>
      <c r="E523">
        <v>199218</v>
      </c>
      <c r="F523" t="s">
        <v>166</v>
      </c>
      <c r="G523" t="s">
        <v>289</v>
      </c>
      <c r="H523" t="s">
        <v>7</v>
      </c>
      <c r="I523" cm="1">
        <f t="array" ref="I523">IF(B523=0,INDEX('Category 14'!F:F,MATCH(C523&amp;E523&amp;D523,'Category 14'!B:B&amp;'Category 14'!C:C&amp;'Category 14'!A:A,0)),INDEX('Category 14'!G:G,MATCH(C523&amp;E523&amp;D523,'Category 14'!B:B&amp;'Category 14'!C:C&amp;'Category 14'!A:A,0)))</f>
        <v>0</v>
      </c>
      <c r="J523">
        <f>I523/VLOOKUP($D523,CPI!$P$16:$R$22,3,FALSE)</f>
        <v>0</v>
      </c>
      <c r="K523" cm="1">
        <f t="array" ref="K523">IF(B523=0,INDEX('Category 15'!F:F,MATCH(C523&amp;E523&amp;D523,'Category 15'!B:B&amp;'Category 15'!C:C&amp;'Category 15'!A:A,0)),INDEX('Category 15'!G:G,MATCH(C523&amp;E523&amp;D523,'Category 15'!B:B&amp;'Category 31'!C:C&amp;'Category 15'!A:A,0)))</f>
        <v>0</v>
      </c>
      <c r="L523">
        <f>K523/VLOOKUP($D523,CPI!$P$16:$R$22,3,FALSE)</f>
        <v>0</v>
      </c>
      <c r="M523" s="16" cm="1">
        <f t="array" ref="M523">IF(B523=0,INDEX('Category 31'!F:F,MATCH(C523&amp;E523&amp;D523,'Category 31'!B:B&amp;'Category 31'!C:C&amp;'Category 31'!A:A,0)),INDEX('Category 31'!G:G,MATCH(C523&amp;E523&amp;D523,'Category 31'!B:B&amp;'Category 31'!C:C&amp;'Category 31'!A:A,0)))</f>
        <v>0</v>
      </c>
      <c r="N523" s="16">
        <f>M523/VLOOKUP($D523,CPI!$P$16:$R$22,3,FALSE)</f>
        <v>0</v>
      </c>
      <c r="O523">
        <v>0</v>
      </c>
    </row>
    <row r="524" spans="1:15" ht="16" thickBot="1" x14ac:dyDescent="0.25">
      <c r="A524" s="15">
        <v>2</v>
      </c>
      <c r="B524">
        <f t="shared" si="8"/>
        <v>0</v>
      </c>
      <c r="C524">
        <f>IF(ISBLANK(H524),"",VLOOKUP(H524,Code!B:C,2,FALSE))</f>
        <v>20</v>
      </c>
      <c r="D524">
        <v>2020</v>
      </c>
      <c r="E524">
        <v>199218</v>
      </c>
      <c r="F524" t="s">
        <v>166</v>
      </c>
      <c r="G524" t="s">
        <v>289</v>
      </c>
      <c r="H524" t="s">
        <v>8</v>
      </c>
      <c r="I524" cm="1">
        <f t="array" ref="I524">IF(B524=0,INDEX('Category 14'!F:F,MATCH(C524&amp;E524&amp;D524,'Category 14'!B:B&amp;'Category 14'!C:C&amp;'Category 14'!A:A,0)),INDEX('Category 14'!G:G,MATCH(C524&amp;E524&amp;D524,'Category 14'!B:B&amp;'Category 14'!C:C&amp;'Category 14'!A:A,0)))</f>
        <v>0</v>
      </c>
      <c r="J524">
        <f>I524/VLOOKUP($D524,CPI!$P$16:$R$22,3,FALSE)</f>
        <v>0</v>
      </c>
      <c r="K524" cm="1">
        <f t="array" ref="K524">IF(B524=0,INDEX('Category 15'!F:F,MATCH(C524&amp;E524&amp;D524,'Category 15'!B:B&amp;'Category 15'!C:C&amp;'Category 15'!A:A,0)),INDEX('Category 15'!G:G,MATCH(C524&amp;E524&amp;D524,'Category 15'!B:B&amp;'Category 31'!C:C&amp;'Category 15'!A:A,0)))</f>
        <v>0</v>
      </c>
      <c r="L524">
        <f>K524/VLOOKUP($D524,CPI!$P$16:$R$22,3,FALSE)</f>
        <v>0</v>
      </c>
      <c r="M524" s="16" cm="1">
        <f t="array" ref="M524">IF(B524=0,INDEX('Category 31'!F:F,MATCH(C524&amp;E524&amp;D524,'Category 31'!B:B&amp;'Category 31'!C:C&amp;'Category 31'!A:A,0)),INDEX('Category 31'!G:G,MATCH(C524&amp;E524&amp;D524,'Category 31'!B:B&amp;'Category 31'!C:C&amp;'Category 31'!A:A,0)))</f>
        <v>0</v>
      </c>
      <c r="N524" s="16">
        <f>M524/VLOOKUP($D524,CPI!$P$16:$R$22,3,FALSE)</f>
        <v>0</v>
      </c>
      <c r="O524">
        <v>0</v>
      </c>
    </row>
    <row r="525" spans="1:15" ht="16" thickBot="1" x14ac:dyDescent="0.25">
      <c r="A525" s="15">
        <v>2</v>
      </c>
      <c r="B525">
        <f t="shared" si="8"/>
        <v>0</v>
      </c>
      <c r="C525">
        <f>IF(ISBLANK(H525),"",VLOOKUP(H525,Code!B:C,2,FALSE))</f>
        <v>21</v>
      </c>
      <c r="D525">
        <v>2020</v>
      </c>
      <c r="E525">
        <v>199218</v>
      </c>
      <c r="F525" t="s">
        <v>166</v>
      </c>
      <c r="G525" t="s">
        <v>289</v>
      </c>
      <c r="H525" t="s">
        <v>36</v>
      </c>
      <c r="I525" cm="1">
        <f t="array" ref="I525">IF(B525=0,INDEX('Category 14'!F:F,MATCH(C525&amp;E525&amp;D525,'Category 14'!B:B&amp;'Category 14'!C:C&amp;'Category 14'!A:A,0)),INDEX('Category 14'!G:G,MATCH(C525&amp;E525&amp;D525,'Category 14'!B:B&amp;'Category 14'!C:C&amp;'Category 14'!A:A,0)))</f>
        <v>0</v>
      </c>
      <c r="J525">
        <f>I525/VLOOKUP($D525,CPI!$P$16:$R$22,3,FALSE)</f>
        <v>0</v>
      </c>
      <c r="K525" cm="1">
        <f t="array" ref="K525">IF(B525=0,INDEX('Category 15'!F:F,MATCH(C525&amp;E525&amp;D525,'Category 15'!B:B&amp;'Category 15'!C:C&amp;'Category 15'!A:A,0)),INDEX('Category 15'!G:G,MATCH(C525&amp;E525&amp;D525,'Category 15'!B:B&amp;'Category 31'!C:C&amp;'Category 15'!A:A,0)))</f>
        <v>0</v>
      </c>
      <c r="L525">
        <f>K525/VLOOKUP($D525,CPI!$P$16:$R$22,3,FALSE)</f>
        <v>0</v>
      </c>
      <c r="M525" s="16" cm="1">
        <f t="array" ref="M525">IF(B525=0,INDEX('Category 31'!F:F,MATCH(C525&amp;E525&amp;D525,'Category 31'!B:B&amp;'Category 31'!C:C&amp;'Category 31'!A:A,0)),INDEX('Category 31'!G:G,MATCH(C525&amp;E525&amp;D525,'Category 31'!B:B&amp;'Category 31'!C:C&amp;'Category 31'!A:A,0)))</f>
        <v>0</v>
      </c>
      <c r="N525" s="16">
        <f>M525/VLOOKUP($D525,CPI!$P$16:$R$22,3,FALSE)</f>
        <v>0</v>
      </c>
      <c r="O525">
        <v>0</v>
      </c>
    </row>
    <row r="526" spans="1:15" ht="16" thickBot="1" x14ac:dyDescent="0.25">
      <c r="A526" s="15">
        <v>2</v>
      </c>
      <c r="B526">
        <f t="shared" si="8"/>
        <v>1</v>
      </c>
      <c r="C526">
        <f>IF(ISBLANK(H526),"",VLOOKUP(H526,Code!B:C,2,FALSE))</f>
        <v>2</v>
      </c>
      <c r="D526">
        <v>2020</v>
      </c>
      <c r="E526">
        <v>199218</v>
      </c>
      <c r="F526" t="s">
        <v>166</v>
      </c>
      <c r="G526" t="s">
        <v>290</v>
      </c>
      <c r="H526" t="s">
        <v>1</v>
      </c>
      <c r="I526" cm="1">
        <f t="array" ref="I526">IF(B526=0,INDEX('Category 14'!F:F,MATCH(C526&amp;E526&amp;D526,'Category 14'!B:B&amp;'Category 14'!C:C&amp;'Category 14'!A:A,0)),INDEX('Category 14'!G:G,MATCH(C526&amp;E526&amp;D526,'Category 14'!B:B&amp;'Category 14'!C:C&amp;'Category 14'!A:A,0)))</f>
        <v>0</v>
      </c>
      <c r="J526">
        <f>I526/VLOOKUP($D526,CPI!$P$16:$R$22,3,FALSE)</f>
        <v>0</v>
      </c>
      <c r="K526" cm="1">
        <f t="array" ref="K526">IF(B526=0,INDEX('Category 15'!F:F,MATCH(C526&amp;E526&amp;D526,'Category 15'!B:B&amp;'Category 15'!C:C&amp;'Category 15'!A:A,0)),INDEX('Category 15'!G:G,MATCH(C526&amp;E526&amp;D526,'Category 15'!B:B&amp;'Category 31'!C:C&amp;'Category 15'!A:A,0)))</f>
        <v>0</v>
      </c>
      <c r="L526">
        <f>K526/VLOOKUP($D526,CPI!$P$16:$R$22,3,FALSE)</f>
        <v>0</v>
      </c>
      <c r="M526" s="16" cm="1">
        <f t="array" ref="M526">IF(B526=0,INDEX('Category 31'!F:F,MATCH(C526&amp;E526&amp;D526,'Category 31'!B:B&amp;'Category 31'!C:C&amp;'Category 31'!A:A,0)),INDEX('Category 31'!G:G,MATCH(C526&amp;E526&amp;D526,'Category 31'!B:B&amp;'Category 31'!C:C&amp;'Category 31'!A:A,0)))</f>
        <v>0</v>
      </c>
      <c r="N526" s="16">
        <f>M526/VLOOKUP($D526,CPI!$P$16:$R$22,3,FALSE)</f>
        <v>0</v>
      </c>
      <c r="O526">
        <f>VLOOKUP(E526,WBasketball!C:S,9,FALSE)</f>
        <v>13794</v>
      </c>
    </row>
    <row r="527" spans="1:15" ht="16" thickBot="1" x14ac:dyDescent="0.25">
      <c r="A527" s="15">
        <v>2</v>
      </c>
      <c r="B527">
        <f t="shared" si="8"/>
        <v>1</v>
      </c>
      <c r="C527">
        <f>IF(ISBLANK(H527),"",VLOOKUP(H527,Code!B:C,2,FALSE))</f>
        <v>3</v>
      </c>
      <c r="D527">
        <v>2020</v>
      </c>
      <c r="E527">
        <v>199218</v>
      </c>
      <c r="F527" t="s">
        <v>166</v>
      </c>
      <c r="G527" t="s">
        <v>290</v>
      </c>
      <c r="H527" t="s">
        <v>21</v>
      </c>
      <c r="I527" cm="1">
        <f t="array" ref="I527">IF(B527=0,INDEX('Category 14'!F:F,MATCH(C527&amp;E527&amp;D527,'Category 14'!B:B&amp;'Category 14'!C:C&amp;'Category 14'!A:A,0)),INDEX('Category 14'!G:G,MATCH(C527&amp;E527&amp;D527,'Category 14'!B:B&amp;'Category 14'!C:C&amp;'Category 14'!A:A,0)))</f>
        <v>0</v>
      </c>
      <c r="J527">
        <f>I527/VLOOKUP($D527,CPI!$P$16:$R$22,3,FALSE)</f>
        <v>0</v>
      </c>
      <c r="K527" cm="1">
        <f t="array" ref="K527">IF(B527=0,INDEX('Category 15'!F:F,MATCH(C527&amp;E527&amp;D527,'Category 15'!B:B&amp;'Category 15'!C:C&amp;'Category 15'!A:A,0)),INDEX('Category 15'!G:G,MATCH(C527&amp;E527&amp;D527,'Category 15'!B:B&amp;'Category 31'!C:C&amp;'Category 15'!A:A,0)))</f>
        <v>0</v>
      </c>
      <c r="L527">
        <f>K527/VLOOKUP($D527,CPI!$P$16:$R$22,3,FALSE)</f>
        <v>0</v>
      </c>
      <c r="M527" s="16" cm="1">
        <f t="array" ref="M527">IF(B527=0,INDEX('Category 31'!F:F,MATCH(C527&amp;E527&amp;D527,'Category 31'!B:B&amp;'Category 31'!C:C&amp;'Category 31'!A:A,0)),INDEX('Category 31'!G:G,MATCH(C527&amp;E527&amp;D527,'Category 31'!B:B&amp;'Category 31'!C:C&amp;'Category 31'!A:A,0)))</f>
        <v>0</v>
      </c>
      <c r="N527" s="16">
        <f>M527/VLOOKUP($D527,CPI!$P$16:$R$22,3,FALSE)</f>
        <v>0</v>
      </c>
      <c r="O527">
        <v>0</v>
      </c>
    </row>
    <row r="528" spans="1:15" ht="16" thickBot="1" x14ac:dyDescent="0.25">
      <c r="A528" s="15">
        <v>2</v>
      </c>
      <c r="B528">
        <f t="shared" si="8"/>
        <v>1</v>
      </c>
      <c r="C528">
        <f>IF(ISBLANK(H528),"",VLOOKUP(H528,Code!B:C,2,FALSE))</f>
        <v>9</v>
      </c>
      <c r="D528">
        <v>2020</v>
      </c>
      <c r="E528">
        <v>199218</v>
      </c>
      <c r="F528" t="s">
        <v>166</v>
      </c>
      <c r="G528" t="s">
        <v>290</v>
      </c>
      <c r="H528" t="s">
        <v>3</v>
      </c>
      <c r="I528" cm="1">
        <f t="array" ref="I528">IF(B528=0,INDEX('Category 14'!F:F,MATCH(C528&amp;E528&amp;D528,'Category 14'!B:B&amp;'Category 14'!C:C&amp;'Category 14'!A:A,0)),INDEX('Category 14'!G:G,MATCH(C528&amp;E528&amp;D528,'Category 14'!B:B&amp;'Category 14'!C:C&amp;'Category 14'!A:A,0)))</f>
        <v>0</v>
      </c>
      <c r="J528">
        <f>I528/VLOOKUP($D528,CPI!$P$16:$R$22,3,FALSE)</f>
        <v>0</v>
      </c>
      <c r="K528" cm="1">
        <f t="array" ref="K528">IF(B528=0,INDEX('Category 15'!F:F,MATCH(C528&amp;E528&amp;D528,'Category 15'!B:B&amp;'Category 15'!C:C&amp;'Category 15'!A:A,0)),INDEX('Category 15'!G:G,MATCH(C528&amp;E528&amp;D528,'Category 15'!B:B&amp;'Category 31'!C:C&amp;'Category 15'!A:A,0)))</f>
        <v>0</v>
      </c>
      <c r="L528">
        <f>K528/VLOOKUP($D528,CPI!$P$16:$R$22,3,FALSE)</f>
        <v>0</v>
      </c>
      <c r="M528" s="16" cm="1">
        <f t="array" ref="M528">IF(B528=0,INDEX('Category 31'!F:F,MATCH(C528&amp;E528&amp;D528,'Category 31'!B:B&amp;'Category 31'!C:C&amp;'Category 31'!A:A,0)),INDEX('Category 31'!G:G,MATCH(C528&amp;E528&amp;D528,'Category 31'!B:B&amp;'Category 31'!C:C&amp;'Category 31'!A:A,0)))</f>
        <v>0</v>
      </c>
      <c r="N528" s="16">
        <f>M528/VLOOKUP($D528,CPI!$P$16:$R$22,3,FALSE)</f>
        <v>0</v>
      </c>
      <c r="O528">
        <v>0</v>
      </c>
    </row>
    <row r="529" spans="1:15" ht="16" thickBot="1" x14ac:dyDescent="0.25">
      <c r="A529" s="15">
        <v>2</v>
      </c>
      <c r="B529">
        <f t="shared" si="8"/>
        <v>1</v>
      </c>
      <c r="C529">
        <f>IF(ISBLANK(H529),"",VLOOKUP(H529,Code!B:C,2,FALSE))</f>
        <v>17</v>
      </c>
      <c r="D529">
        <v>2020</v>
      </c>
      <c r="E529">
        <v>199218</v>
      </c>
      <c r="F529" t="s">
        <v>166</v>
      </c>
      <c r="G529" t="s">
        <v>290</v>
      </c>
      <c r="H529" t="s">
        <v>5</v>
      </c>
      <c r="I529" cm="1">
        <f t="array" ref="I529">IF(B529=0,INDEX('Category 14'!F:F,MATCH(C529&amp;E529&amp;D529,'Category 14'!B:B&amp;'Category 14'!C:C&amp;'Category 14'!A:A,0)),INDEX('Category 14'!G:G,MATCH(C529&amp;E529&amp;D529,'Category 14'!B:B&amp;'Category 14'!C:C&amp;'Category 14'!A:A,0)))</f>
        <v>0</v>
      </c>
      <c r="J529">
        <f>I529/VLOOKUP($D529,CPI!$P$16:$R$22,3,FALSE)</f>
        <v>0</v>
      </c>
      <c r="K529" cm="1">
        <f t="array" ref="K529">IF(B529=0,INDEX('Category 15'!F:F,MATCH(C529&amp;E529&amp;D529,'Category 15'!B:B&amp;'Category 15'!C:C&amp;'Category 15'!A:A,0)),INDEX('Category 15'!G:G,MATCH(C529&amp;E529&amp;D529,'Category 15'!B:B&amp;'Category 31'!C:C&amp;'Category 15'!A:A,0)))</f>
        <v>0</v>
      </c>
      <c r="L529">
        <f>K529/VLOOKUP($D529,CPI!$P$16:$R$22,3,FALSE)</f>
        <v>0</v>
      </c>
      <c r="M529" s="16" cm="1">
        <f t="array" ref="M529">IF(B529=0,INDEX('Category 31'!F:F,MATCH(C529&amp;E529&amp;D529,'Category 31'!B:B&amp;'Category 31'!C:C&amp;'Category 31'!A:A,0)),INDEX('Category 31'!G:G,MATCH(C529&amp;E529&amp;D529,'Category 31'!B:B&amp;'Category 31'!C:C&amp;'Category 31'!A:A,0)))</f>
        <v>0</v>
      </c>
      <c r="N529" s="16">
        <f>M529/VLOOKUP($D529,CPI!$P$16:$R$22,3,FALSE)</f>
        <v>0</v>
      </c>
      <c r="O529">
        <f>VLOOKUP(E529,WSoccer!C:S,9,FALSE)</f>
        <v>4895</v>
      </c>
    </row>
    <row r="530" spans="1:15" ht="16" thickBot="1" x14ac:dyDescent="0.25">
      <c r="A530" s="15">
        <v>2</v>
      </c>
      <c r="B530">
        <f t="shared" si="8"/>
        <v>1</v>
      </c>
      <c r="C530">
        <f>IF(ISBLANK(H530),"",VLOOKUP(H530,Code!B:C,2,FALSE))</f>
        <v>18</v>
      </c>
      <c r="D530">
        <v>2020</v>
      </c>
      <c r="E530">
        <v>199218</v>
      </c>
      <c r="F530" t="s">
        <v>166</v>
      </c>
      <c r="G530" t="s">
        <v>290</v>
      </c>
      <c r="H530" t="s">
        <v>6</v>
      </c>
      <c r="I530" cm="1">
        <f t="array" ref="I530">IF(B530=0,INDEX('Category 14'!F:F,MATCH(C530&amp;E530&amp;D530,'Category 14'!B:B&amp;'Category 14'!C:C&amp;'Category 14'!A:A,0)),INDEX('Category 14'!G:G,MATCH(C530&amp;E530&amp;D530,'Category 14'!B:B&amp;'Category 14'!C:C&amp;'Category 14'!A:A,0)))</f>
        <v>0</v>
      </c>
      <c r="J530">
        <f>I530/VLOOKUP($D530,CPI!$P$16:$R$22,3,FALSE)</f>
        <v>0</v>
      </c>
      <c r="K530" cm="1">
        <f t="array" ref="K530">IF(B530=0,INDEX('Category 15'!F:F,MATCH(C530&amp;E530&amp;D530,'Category 15'!B:B&amp;'Category 15'!C:C&amp;'Category 15'!A:A,0)),INDEX('Category 15'!G:G,MATCH(C530&amp;E530&amp;D530,'Category 15'!B:B&amp;'Category 31'!C:C&amp;'Category 15'!A:A,0)))</f>
        <v>0</v>
      </c>
      <c r="L530">
        <f>K530/VLOOKUP($D530,CPI!$P$16:$R$22,3,FALSE)</f>
        <v>0</v>
      </c>
      <c r="M530" s="16" cm="1">
        <f t="array" ref="M530">IF(B530=0,INDEX('Category 31'!F:F,MATCH(C530&amp;E530&amp;D530,'Category 31'!B:B&amp;'Category 31'!C:C&amp;'Category 31'!A:A,0)),INDEX('Category 31'!G:G,MATCH(C530&amp;E530&amp;D530,'Category 31'!B:B&amp;'Category 31'!C:C&amp;'Category 31'!A:A,0)))</f>
        <v>0</v>
      </c>
      <c r="N530" s="16">
        <f>M530/VLOOKUP($D530,CPI!$P$16:$R$22,3,FALSE)</f>
        <v>0</v>
      </c>
      <c r="O530">
        <f>VLOOKUP(E530,WSoftball!C:S,9,FALSE)</f>
        <v>1073</v>
      </c>
    </row>
    <row r="531" spans="1:15" ht="16" thickBot="1" x14ac:dyDescent="0.25">
      <c r="A531" s="15">
        <v>2</v>
      </c>
      <c r="B531">
        <f t="shared" si="8"/>
        <v>1</v>
      </c>
      <c r="C531">
        <f>IF(ISBLANK(H531),"",VLOOKUP(H531,Code!B:C,2,FALSE))</f>
        <v>19</v>
      </c>
      <c r="D531">
        <v>2020</v>
      </c>
      <c r="E531">
        <v>199218</v>
      </c>
      <c r="F531" t="s">
        <v>166</v>
      </c>
      <c r="G531" t="s">
        <v>290</v>
      </c>
      <c r="H531" t="s">
        <v>7</v>
      </c>
      <c r="I531" cm="1">
        <f t="array" ref="I531">IF(B531=0,INDEX('Category 14'!F:F,MATCH(C531&amp;E531&amp;D531,'Category 14'!B:B&amp;'Category 14'!C:C&amp;'Category 14'!A:A,0)),INDEX('Category 14'!G:G,MATCH(C531&amp;E531&amp;D531,'Category 14'!B:B&amp;'Category 14'!C:C&amp;'Category 14'!A:A,0)))</f>
        <v>0</v>
      </c>
      <c r="J531">
        <f>I531/VLOOKUP($D531,CPI!$P$16:$R$22,3,FALSE)</f>
        <v>0</v>
      </c>
      <c r="K531" cm="1">
        <f t="array" ref="K531">IF(B531=0,INDEX('Category 15'!F:F,MATCH(C531&amp;E531&amp;D531,'Category 15'!B:B&amp;'Category 15'!C:C&amp;'Category 15'!A:A,0)),INDEX('Category 15'!G:G,MATCH(C531&amp;E531&amp;D531,'Category 15'!B:B&amp;'Category 31'!C:C&amp;'Category 15'!A:A,0)))</f>
        <v>0</v>
      </c>
      <c r="L531">
        <f>K531/VLOOKUP($D531,CPI!$P$16:$R$22,3,FALSE)</f>
        <v>0</v>
      </c>
      <c r="M531" s="16" cm="1">
        <f t="array" ref="M531">IF(B531=0,INDEX('Category 31'!F:F,MATCH(C531&amp;E531&amp;D531,'Category 31'!B:B&amp;'Category 31'!C:C&amp;'Category 31'!A:A,0)),INDEX('Category 31'!G:G,MATCH(C531&amp;E531&amp;D531,'Category 31'!B:B&amp;'Category 31'!C:C&amp;'Category 31'!A:A,0)))</f>
        <v>0</v>
      </c>
      <c r="N531" s="16">
        <f>M531/VLOOKUP($D531,CPI!$P$16:$R$22,3,FALSE)</f>
        <v>0</v>
      </c>
      <c r="O531">
        <v>0</v>
      </c>
    </row>
    <row r="532" spans="1:15" ht="16" thickBot="1" x14ac:dyDescent="0.25">
      <c r="A532" s="15">
        <v>2</v>
      </c>
      <c r="B532">
        <f t="shared" si="8"/>
        <v>1</v>
      </c>
      <c r="C532">
        <f>IF(ISBLANK(H532),"",VLOOKUP(H532,Code!B:C,2,FALSE))</f>
        <v>20</v>
      </c>
      <c r="D532">
        <v>2020</v>
      </c>
      <c r="E532">
        <v>199218</v>
      </c>
      <c r="F532" t="s">
        <v>166</v>
      </c>
      <c r="G532" t="s">
        <v>290</v>
      </c>
      <c r="H532" t="s">
        <v>8</v>
      </c>
      <c r="I532" cm="1">
        <f t="array" ref="I532">IF(B532=0,INDEX('Category 14'!F:F,MATCH(C532&amp;E532&amp;D532,'Category 14'!B:B&amp;'Category 14'!C:C&amp;'Category 14'!A:A,0)),INDEX('Category 14'!G:G,MATCH(C532&amp;E532&amp;D532,'Category 14'!B:B&amp;'Category 14'!C:C&amp;'Category 14'!A:A,0)))</f>
        <v>0</v>
      </c>
      <c r="J532">
        <f>I532/VLOOKUP($D532,CPI!$P$16:$R$22,3,FALSE)</f>
        <v>0</v>
      </c>
      <c r="K532" cm="1">
        <f t="array" ref="K532">IF(B532=0,INDEX('Category 15'!F:F,MATCH(C532&amp;E532&amp;D532,'Category 15'!B:B&amp;'Category 15'!C:C&amp;'Category 15'!A:A,0)),INDEX('Category 15'!G:G,MATCH(C532&amp;E532&amp;D532,'Category 15'!B:B&amp;'Category 31'!C:C&amp;'Category 15'!A:A,0)))</f>
        <v>0</v>
      </c>
      <c r="L532">
        <f>K532/VLOOKUP($D532,CPI!$P$16:$R$22,3,FALSE)</f>
        <v>0</v>
      </c>
      <c r="M532" s="16" cm="1">
        <f t="array" ref="M532">IF(B532=0,INDEX('Category 31'!F:F,MATCH(C532&amp;E532&amp;D532,'Category 31'!B:B&amp;'Category 31'!C:C&amp;'Category 31'!A:A,0)),INDEX('Category 31'!G:G,MATCH(C532&amp;E532&amp;D532,'Category 31'!B:B&amp;'Category 31'!C:C&amp;'Category 31'!A:A,0)))</f>
        <v>0</v>
      </c>
      <c r="N532" s="16">
        <f>M532/VLOOKUP($D532,CPI!$P$16:$R$22,3,FALSE)</f>
        <v>0</v>
      </c>
      <c r="O532">
        <v>0</v>
      </c>
    </row>
    <row r="533" spans="1:15" ht="16" thickBot="1" x14ac:dyDescent="0.25">
      <c r="A533" s="15">
        <v>2</v>
      </c>
      <c r="B533">
        <f t="shared" si="8"/>
        <v>1</v>
      </c>
      <c r="C533">
        <f>IF(ISBLANK(H533),"",VLOOKUP(H533,Code!B:C,2,FALSE))</f>
        <v>21</v>
      </c>
      <c r="D533">
        <v>2020</v>
      </c>
      <c r="E533">
        <v>199218</v>
      </c>
      <c r="F533" t="s">
        <v>166</v>
      </c>
      <c r="G533" t="s">
        <v>290</v>
      </c>
      <c r="H533" t="s">
        <v>36</v>
      </c>
      <c r="I533" cm="1">
        <f t="array" ref="I533">IF(B533=0,INDEX('Category 14'!F:F,MATCH(C533&amp;E533&amp;D533,'Category 14'!B:B&amp;'Category 14'!C:C&amp;'Category 14'!A:A,0)),INDEX('Category 14'!G:G,MATCH(C533&amp;E533&amp;D533,'Category 14'!B:B&amp;'Category 14'!C:C&amp;'Category 14'!A:A,0)))</f>
        <v>0</v>
      </c>
      <c r="J533">
        <f>I533/VLOOKUP($D533,CPI!$P$16:$R$22,3,FALSE)</f>
        <v>0</v>
      </c>
      <c r="K533" cm="1">
        <f t="array" ref="K533">IF(B533=0,INDEX('Category 15'!F:F,MATCH(C533&amp;E533&amp;D533,'Category 15'!B:B&amp;'Category 15'!C:C&amp;'Category 15'!A:A,0)),INDEX('Category 15'!G:G,MATCH(C533&amp;E533&amp;D533,'Category 15'!B:B&amp;'Category 31'!C:C&amp;'Category 15'!A:A,0)))</f>
        <v>0</v>
      </c>
      <c r="L533">
        <f>K533/VLOOKUP($D533,CPI!$P$16:$R$22,3,FALSE)</f>
        <v>0</v>
      </c>
      <c r="M533" s="16" cm="1">
        <f t="array" ref="M533">IF(B533=0,INDEX('Category 31'!F:F,MATCH(C533&amp;E533&amp;D533,'Category 31'!B:B&amp;'Category 31'!C:C&amp;'Category 31'!A:A,0)),INDEX('Category 31'!G:G,MATCH(C533&amp;E533&amp;D533,'Category 31'!B:B&amp;'Category 31'!C:C&amp;'Category 31'!A:A,0)))</f>
        <v>0</v>
      </c>
      <c r="N533" s="16">
        <f>M533/VLOOKUP($D533,CPI!$P$16:$R$22,3,FALSE)</f>
        <v>0</v>
      </c>
      <c r="O533">
        <v>0</v>
      </c>
    </row>
    <row r="534" spans="1:15" ht="16" thickBot="1" x14ac:dyDescent="0.25">
      <c r="A534" s="15">
        <v>2</v>
      </c>
      <c r="B534">
        <f t="shared" si="8"/>
        <v>1</v>
      </c>
      <c r="C534">
        <f>IF(ISBLANK(H534),"",VLOOKUP(H534,Code!B:C,2,FALSE))</f>
        <v>23</v>
      </c>
      <c r="D534">
        <v>2020</v>
      </c>
      <c r="E534">
        <v>199218</v>
      </c>
      <c r="F534" t="s">
        <v>166</v>
      </c>
      <c r="G534" t="s">
        <v>290</v>
      </c>
      <c r="H534" t="s">
        <v>10</v>
      </c>
      <c r="I534" cm="1">
        <f t="array" ref="I534">IF(B534=0,INDEX('Category 14'!F:F,MATCH(C534&amp;E534&amp;D534,'Category 14'!B:B&amp;'Category 14'!C:C&amp;'Category 14'!A:A,0)),INDEX('Category 14'!G:G,MATCH(C534&amp;E534&amp;D534,'Category 14'!B:B&amp;'Category 14'!C:C&amp;'Category 14'!A:A,0)))</f>
        <v>0</v>
      </c>
      <c r="J534">
        <f>I534/VLOOKUP($D534,CPI!$P$16:$R$22,3,FALSE)</f>
        <v>0</v>
      </c>
      <c r="K534" cm="1">
        <f t="array" ref="K534">IF(B534=0,INDEX('Category 15'!F:F,MATCH(C534&amp;E534&amp;D534,'Category 15'!B:B&amp;'Category 15'!C:C&amp;'Category 15'!A:A,0)),INDEX('Category 15'!G:G,MATCH(C534&amp;E534&amp;D534,'Category 15'!B:B&amp;'Category 31'!C:C&amp;'Category 15'!A:A,0)))</f>
        <v>0</v>
      </c>
      <c r="L534">
        <f>K534/VLOOKUP($D534,CPI!$P$16:$R$22,3,FALSE)</f>
        <v>0</v>
      </c>
      <c r="M534" s="16" cm="1">
        <f t="array" ref="M534">IF(B534=0,INDEX('Category 31'!F:F,MATCH(C534&amp;E534&amp;D534,'Category 31'!B:B&amp;'Category 31'!C:C&amp;'Category 31'!A:A,0)),INDEX('Category 31'!G:G,MATCH(C534&amp;E534&amp;D534,'Category 31'!B:B&amp;'Category 31'!C:C&amp;'Category 31'!A:A,0)))</f>
        <v>0</v>
      </c>
      <c r="N534" s="16">
        <f>M534/VLOOKUP($D534,CPI!$P$16:$R$22,3,FALSE)</f>
        <v>0</v>
      </c>
      <c r="O534">
        <f>VLOOKUP(E534,WVolleyball!C:S,9,FALSE)</f>
        <v>3683</v>
      </c>
    </row>
    <row r="535" spans="1:15" ht="16" thickBot="1" x14ac:dyDescent="0.25">
      <c r="A535" s="15">
        <v>2</v>
      </c>
      <c r="B535">
        <f t="shared" si="8"/>
        <v>0</v>
      </c>
      <c r="C535">
        <f>IF(ISBLANK(H535),"",VLOOKUP(H535,Code!B:C,2,FALSE))</f>
        <v>1</v>
      </c>
      <c r="D535">
        <v>2021</v>
      </c>
      <c r="E535">
        <v>199218</v>
      </c>
      <c r="F535" t="s">
        <v>166</v>
      </c>
      <c r="G535" t="s">
        <v>289</v>
      </c>
      <c r="H535" t="s">
        <v>0</v>
      </c>
      <c r="I535" cm="1">
        <f t="array" ref="I535">IF(B535=0,INDEX('Category 14'!F:F,MATCH(C535&amp;E535&amp;D535,'Category 14'!B:B&amp;'Category 14'!C:C&amp;'Category 14'!A:A,0)),INDEX('Category 14'!G:G,MATCH(C535&amp;E535&amp;D535,'Category 14'!B:B&amp;'Category 14'!C:C&amp;'Category 14'!A:A,0)))</f>
        <v>0</v>
      </c>
      <c r="J535">
        <f>I535/VLOOKUP($D535,CPI!$P$16:$R$22,3,FALSE)</f>
        <v>0</v>
      </c>
      <c r="K535" cm="1">
        <f t="array" ref="K535">IF(B535=0,INDEX('Category 15'!F:F,MATCH(C535&amp;E535&amp;D535,'Category 15'!B:B&amp;'Category 15'!C:C&amp;'Category 15'!A:A,0)),INDEX('Category 15'!G:G,MATCH(C535&amp;E535&amp;D535,'Category 15'!B:B&amp;'Category 31'!C:C&amp;'Category 15'!A:A,0)))</f>
        <v>0</v>
      </c>
      <c r="L535">
        <f>K535/VLOOKUP($D535,CPI!$P$16:$R$22,3,FALSE)</f>
        <v>0</v>
      </c>
      <c r="M535" s="16" cm="1">
        <f t="array" ref="M535">IF(B535=0,INDEX('Category 31'!F:F,MATCH(C535&amp;E535&amp;D535,'Category 31'!B:B&amp;'Category 31'!C:C&amp;'Category 31'!A:A,0)),INDEX('Category 31'!G:G,MATCH(C535&amp;E535&amp;D535,'Category 31'!B:B&amp;'Category 31'!C:C&amp;'Category 31'!A:A,0)))</f>
        <v>0</v>
      </c>
      <c r="N535" s="16">
        <f>M535/VLOOKUP($D535,CPI!$P$16:$R$22,3,FALSE)</f>
        <v>0</v>
      </c>
      <c r="O535">
        <f>VLOOKUP(E471,MBaseball!C:R,10,FALSE)</f>
        <v>20760</v>
      </c>
    </row>
    <row r="536" spans="1:15" ht="16" thickBot="1" x14ac:dyDescent="0.25">
      <c r="A536" s="15">
        <v>2</v>
      </c>
      <c r="B536">
        <f t="shared" si="8"/>
        <v>0</v>
      </c>
      <c r="C536">
        <f>IF(ISBLANK(H536),"",VLOOKUP(H536,Code!B:C,2,FALSE))</f>
        <v>2</v>
      </c>
      <c r="D536">
        <v>2021</v>
      </c>
      <c r="E536">
        <v>199218</v>
      </c>
      <c r="F536" t="s">
        <v>166</v>
      </c>
      <c r="G536" t="s">
        <v>289</v>
      </c>
      <c r="H536" t="s">
        <v>1</v>
      </c>
      <c r="I536" cm="1">
        <f t="array" ref="I536">IF(B536=0,INDEX('Category 14'!F:F,MATCH(C536&amp;E536&amp;D536,'Category 14'!B:B&amp;'Category 14'!C:C&amp;'Category 14'!A:A,0)),INDEX('Category 14'!G:G,MATCH(C536&amp;E536&amp;D536,'Category 14'!B:B&amp;'Category 14'!C:C&amp;'Category 14'!A:A,0)))</f>
        <v>0</v>
      </c>
      <c r="J536">
        <f>I536/VLOOKUP($D536,CPI!$P$16:$R$22,3,FALSE)</f>
        <v>0</v>
      </c>
      <c r="K536" cm="1">
        <f t="array" ref="K536">IF(B536=0,INDEX('Category 15'!F:F,MATCH(C536&amp;E536&amp;D536,'Category 15'!B:B&amp;'Category 15'!C:C&amp;'Category 15'!A:A,0)),INDEX('Category 15'!G:G,MATCH(C536&amp;E536&amp;D536,'Category 15'!B:B&amp;'Category 31'!C:C&amp;'Category 15'!A:A,0)))</f>
        <v>0</v>
      </c>
      <c r="L536">
        <f>K536/VLOOKUP($D536,CPI!$P$16:$R$22,3,FALSE)</f>
        <v>0</v>
      </c>
      <c r="M536" s="16" cm="1">
        <f t="array" ref="M536">IF(B536=0,INDEX('Category 31'!F:F,MATCH(C536&amp;E536&amp;D536,'Category 31'!B:B&amp;'Category 31'!C:C&amp;'Category 31'!A:A,0)),INDEX('Category 31'!G:G,MATCH(C536&amp;E536&amp;D536,'Category 31'!B:B&amp;'Category 31'!C:C&amp;'Category 31'!A:A,0)))</f>
        <v>0</v>
      </c>
      <c r="N536" s="16">
        <f>M536/VLOOKUP($D536,CPI!$P$16:$R$22,3,FALSE)</f>
        <v>0</v>
      </c>
      <c r="O536">
        <f>VLOOKUP(E536,MBasketball!C:S,10,FALSE)</f>
        <v>925</v>
      </c>
    </row>
    <row r="537" spans="1:15" ht="16" thickBot="1" x14ac:dyDescent="0.25">
      <c r="A537" s="15">
        <v>2</v>
      </c>
      <c r="B537">
        <f t="shared" si="8"/>
        <v>0</v>
      </c>
      <c r="C537">
        <f>IF(ISBLANK(H537),"",VLOOKUP(H537,Code!B:C,2,FALSE))</f>
        <v>9</v>
      </c>
      <c r="D537">
        <v>2021</v>
      </c>
      <c r="E537">
        <v>199218</v>
      </c>
      <c r="F537" t="s">
        <v>166</v>
      </c>
      <c r="G537" t="s">
        <v>289</v>
      </c>
      <c r="H537" t="s">
        <v>3</v>
      </c>
      <c r="I537" cm="1">
        <f t="array" ref="I537">IF(B537=0,INDEX('Category 14'!F:F,MATCH(C537&amp;E537&amp;D537,'Category 14'!B:B&amp;'Category 14'!C:C&amp;'Category 14'!A:A,0)),INDEX('Category 14'!G:G,MATCH(C537&amp;E537&amp;D537,'Category 14'!B:B&amp;'Category 14'!C:C&amp;'Category 14'!A:A,0)))</f>
        <v>0</v>
      </c>
      <c r="J537">
        <f>I537/VLOOKUP($D537,CPI!$P$16:$R$22,3,FALSE)</f>
        <v>0</v>
      </c>
      <c r="K537" cm="1">
        <f t="array" ref="K537">IF(B537=0,INDEX('Category 15'!F:F,MATCH(C537&amp;E537&amp;D537,'Category 15'!B:B&amp;'Category 15'!C:C&amp;'Category 15'!A:A,0)),INDEX('Category 15'!G:G,MATCH(C537&amp;E537&amp;D537,'Category 15'!B:B&amp;'Category 31'!C:C&amp;'Category 15'!A:A,0)))</f>
        <v>0</v>
      </c>
      <c r="L537">
        <f>K537/VLOOKUP($D537,CPI!$P$16:$R$22,3,FALSE)</f>
        <v>0</v>
      </c>
      <c r="M537" s="16" cm="1">
        <f t="array" ref="M537">IF(B537=0,INDEX('Category 31'!F:F,MATCH(C537&amp;E537&amp;D537,'Category 31'!B:B&amp;'Category 31'!C:C&amp;'Category 31'!A:A,0)),INDEX('Category 31'!G:G,MATCH(C537&amp;E537&amp;D537,'Category 31'!B:B&amp;'Category 31'!C:C&amp;'Category 31'!A:A,0)))</f>
        <v>0</v>
      </c>
      <c r="N537" s="16">
        <f>M537/VLOOKUP($D537,CPI!$P$16:$R$22,3,FALSE)</f>
        <v>0</v>
      </c>
      <c r="O537">
        <v>0</v>
      </c>
    </row>
    <row r="538" spans="1:15" ht="16" thickBot="1" x14ac:dyDescent="0.25">
      <c r="A538" s="15">
        <v>2</v>
      </c>
      <c r="B538">
        <f t="shared" si="8"/>
        <v>0</v>
      </c>
      <c r="C538">
        <f>IF(ISBLANK(H538),"",VLOOKUP(H538,Code!B:C,2,FALSE))</f>
        <v>17</v>
      </c>
      <c r="D538">
        <v>2021</v>
      </c>
      <c r="E538">
        <v>199218</v>
      </c>
      <c r="F538" t="s">
        <v>166</v>
      </c>
      <c r="G538" t="s">
        <v>289</v>
      </c>
      <c r="H538" t="s">
        <v>5</v>
      </c>
      <c r="I538" cm="1">
        <f t="array" ref="I538">IF(B538=0,INDEX('Category 14'!F:F,MATCH(C538&amp;E538&amp;D538,'Category 14'!B:B&amp;'Category 14'!C:C&amp;'Category 14'!A:A,0)),INDEX('Category 14'!G:G,MATCH(C538&amp;E538&amp;D538,'Category 14'!B:B&amp;'Category 14'!C:C&amp;'Category 14'!A:A,0)))</f>
        <v>0</v>
      </c>
      <c r="J538">
        <f>I538/VLOOKUP($D538,CPI!$P$16:$R$22,3,FALSE)</f>
        <v>0</v>
      </c>
      <c r="K538" cm="1">
        <f t="array" ref="K538">IF(B538=0,INDEX('Category 15'!F:F,MATCH(C538&amp;E538&amp;D538,'Category 15'!B:B&amp;'Category 15'!C:C&amp;'Category 15'!A:A,0)),INDEX('Category 15'!G:G,MATCH(C538&amp;E538&amp;D538,'Category 15'!B:B&amp;'Category 31'!C:C&amp;'Category 15'!A:A,0)))</f>
        <v>0</v>
      </c>
      <c r="L538">
        <f>K538/VLOOKUP($D538,CPI!$P$16:$R$22,3,FALSE)</f>
        <v>0</v>
      </c>
      <c r="M538" s="16" cm="1">
        <f t="array" ref="M538">IF(B538=0,INDEX('Category 31'!F:F,MATCH(C538&amp;E538&amp;D538,'Category 31'!B:B&amp;'Category 31'!C:C&amp;'Category 31'!A:A,0)),INDEX('Category 31'!G:G,MATCH(C538&amp;E538&amp;D538,'Category 31'!B:B&amp;'Category 31'!C:C&amp;'Category 31'!A:A,0)))</f>
        <v>0</v>
      </c>
      <c r="N538" s="16">
        <f>M538/VLOOKUP($D538,CPI!$P$16:$R$22,3,FALSE)</f>
        <v>0</v>
      </c>
      <c r="O538">
        <f>VLOOKUP(E538,MSoccer!C:S,10,FALSE)</f>
        <v>450</v>
      </c>
    </row>
    <row r="539" spans="1:15" ht="16" thickBot="1" x14ac:dyDescent="0.25">
      <c r="A539" s="15">
        <v>2</v>
      </c>
      <c r="B539">
        <f t="shared" si="8"/>
        <v>0</v>
      </c>
      <c r="C539">
        <f>IF(ISBLANK(H539),"",VLOOKUP(H539,Code!B:C,2,FALSE))</f>
        <v>19</v>
      </c>
      <c r="D539">
        <v>2021</v>
      </c>
      <c r="E539">
        <v>199218</v>
      </c>
      <c r="F539" t="s">
        <v>166</v>
      </c>
      <c r="G539" t="s">
        <v>289</v>
      </c>
      <c r="H539" t="s">
        <v>7</v>
      </c>
      <c r="I539" cm="1">
        <f t="array" ref="I539">IF(B539=0,INDEX('Category 14'!F:F,MATCH(C539&amp;E539&amp;D539,'Category 14'!B:B&amp;'Category 14'!C:C&amp;'Category 14'!A:A,0)),INDEX('Category 14'!G:G,MATCH(C539&amp;E539&amp;D539,'Category 14'!B:B&amp;'Category 14'!C:C&amp;'Category 14'!A:A,0)))</f>
        <v>0</v>
      </c>
      <c r="J539">
        <f>I539/VLOOKUP($D539,CPI!$P$16:$R$22,3,FALSE)</f>
        <v>0</v>
      </c>
      <c r="K539" cm="1">
        <f t="array" ref="K539">IF(B539=0,INDEX('Category 15'!F:F,MATCH(C539&amp;E539&amp;D539,'Category 15'!B:B&amp;'Category 15'!C:C&amp;'Category 15'!A:A,0)),INDEX('Category 15'!G:G,MATCH(C539&amp;E539&amp;D539,'Category 15'!B:B&amp;'Category 31'!C:C&amp;'Category 15'!A:A,0)))</f>
        <v>0</v>
      </c>
      <c r="L539">
        <f>K539/VLOOKUP($D539,CPI!$P$16:$R$22,3,FALSE)</f>
        <v>0</v>
      </c>
      <c r="M539" s="16" cm="1">
        <f t="array" ref="M539">IF(B539=0,INDEX('Category 31'!F:F,MATCH(C539&amp;E539&amp;D539,'Category 31'!B:B&amp;'Category 31'!C:C&amp;'Category 31'!A:A,0)),INDEX('Category 31'!G:G,MATCH(C539&amp;E539&amp;D539,'Category 31'!B:B&amp;'Category 31'!C:C&amp;'Category 31'!A:A,0)))</f>
        <v>0</v>
      </c>
      <c r="N539" s="16">
        <f>M539/VLOOKUP($D539,CPI!$P$16:$R$22,3,FALSE)</f>
        <v>0</v>
      </c>
      <c r="O539">
        <v>0</v>
      </c>
    </row>
    <row r="540" spans="1:15" ht="16" thickBot="1" x14ac:dyDescent="0.25">
      <c r="A540" s="15">
        <v>2</v>
      </c>
      <c r="B540">
        <f t="shared" si="8"/>
        <v>0</v>
      </c>
      <c r="C540">
        <f>IF(ISBLANK(H540),"",VLOOKUP(H540,Code!B:C,2,FALSE))</f>
        <v>20</v>
      </c>
      <c r="D540">
        <v>2021</v>
      </c>
      <c r="E540">
        <v>199218</v>
      </c>
      <c r="F540" t="s">
        <v>166</v>
      </c>
      <c r="G540" t="s">
        <v>289</v>
      </c>
      <c r="H540" t="s">
        <v>8</v>
      </c>
      <c r="I540" cm="1">
        <f t="array" ref="I540">IF(B540=0,INDEX('Category 14'!F:F,MATCH(C540&amp;E540&amp;D540,'Category 14'!B:B&amp;'Category 14'!C:C&amp;'Category 14'!A:A,0)),INDEX('Category 14'!G:G,MATCH(C540&amp;E540&amp;D540,'Category 14'!B:B&amp;'Category 14'!C:C&amp;'Category 14'!A:A,0)))</f>
        <v>0</v>
      </c>
      <c r="J540">
        <f>I540/VLOOKUP($D540,CPI!$P$16:$R$22,3,FALSE)</f>
        <v>0</v>
      </c>
      <c r="K540" cm="1">
        <f t="array" ref="K540">IF(B540=0,INDEX('Category 15'!F:F,MATCH(C540&amp;E540&amp;D540,'Category 15'!B:B&amp;'Category 15'!C:C&amp;'Category 15'!A:A,0)),INDEX('Category 15'!G:G,MATCH(C540&amp;E540&amp;D540,'Category 15'!B:B&amp;'Category 31'!C:C&amp;'Category 15'!A:A,0)))</f>
        <v>0</v>
      </c>
      <c r="L540">
        <f>K540/VLOOKUP($D540,CPI!$P$16:$R$22,3,FALSE)</f>
        <v>0</v>
      </c>
      <c r="M540" s="16" cm="1">
        <f t="array" ref="M540">IF(B540=0,INDEX('Category 31'!F:F,MATCH(C540&amp;E540&amp;D540,'Category 31'!B:B&amp;'Category 31'!C:C&amp;'Category 31'!A:A,0)),INDEX('Category 31'!G:G,MATCH(C540&amp;E540&amp;D540,'Category 31'!B:B&amp;'Category 31'!C:C&amp;'Category 31'!A:A,0)))</f>
        <v>0</v>
      </c>
      <c r="N540" s="16">
        <f>M540/VLOOKUP($D540,CPI!$P$16:$R$22,3,FALSE)</f>
        <v>0</v>
      </c>
      <c r="O540">
        <v>0</v>
      </c>
    </row>
    <row r="541" spans="1:15" ht="16" thickBot="1" x14ac:dyDescent="0.25">
      <c r="A541" s="15">
        <v>2</v>
      </c>
      <c r="B541">
        <f t="shared" si="8"/>
        <v>0</v>
      </c>
      <c r="C541">
        <f>IF(ISBLANK(H541),"",VLOOKUP(H541,Code!B:C,2,FALSE))</f>
        <v>21</v>
      </c>
      <c r="D541">
        <v>2021</v>
      </c>
      <c r="E541">
        <v>199218</v>
      </c>
      <c r="F541" t="s">
        <v>166</v>
      </c>
      <c r="G541" t="s">
        <v>289</v>
      </c>
      <c r="H541" t="s">
        <v>36</v>
      </c>
      <c r="I541" cm="1">
        <f t="array" ref="I541">IF(B541=0,INDEX('Category 14'!F:F,MATCH(C541&amp;E541&amp;D541,'Category 14'!B:B&amp;'Category 14'!C:C&amp;'Category 14'!A:A,0)),INDEX('Category 14'!G:G,MATCH(C541&amp;E541&amp;D541,'Category 14'!B:B&amp;'Category 14'!C:C&amp;'Category 14'!A:A,0)))</f>
        <v>0</v>
      </c>
      <c r="J541">
        <f>I541/VLOOKUP($D541,CPI!$P$16:$R$22,3,FALSE)</f>
        <v>0</v>
      </c>
      <c r="K541" cm="1">
        <f t="array" ref="K541">IF(B541=0,INDEX('Category 15'!F:F,MATCH(C541&amp;E541&amp;D541,'Category 15'!B:B&amp;'Category 15'!C:C&amp;'Category 15'!A:A,0)),INDEX('Category 15'!G:G,MATCH(C541&amp;E541&amp;D541,'Category 15'!B:B&amp;'Category 31'!C:C&amp;'Category 15'!A:A,0)))</f>
        <v>0</v>
      </c>
      <c r="L541">
        <f>K541/VLOOKUP($D541,CPI!$P$16:$R$22,3,FALSE)</f>
        <v>0</v>
      </c>
      <c r="M541" s="16" cm="1">
        <f t="array" ref="M541">IF(B541=0,INDEX('Category 31'!F:F,MATCH(C541&amp;E541&amp;D541,'Category 31'!B:B&amp;'Category 31'!C:C&amp;'Category 31'!A:A,0)),INDEX('Category 31'!G:G,MATCH(C541&amp;E541&amp;D541,'Category 31'!B:B&amp;'Category 31'!C:C&amp;'Category 31'!A:A,0)))</f>
        <v>0</v>
      </c>
      <c r="N541" s="16">
        <f>M541/VLOOKUP($D541,CPI!$P$16:$R$22,3,FALSE)</f>
        <v>0</v>
      </c>
      <c r="O541">
        <v>0</v>
      </c>
    </row>
    <row r="542" spans="1:15" ht="16" thickBot="1" x14ac:dyDescent="0.25">
      <c r="A542" s="15">
        <v>2</v>
      </c>
      <c r="B542">
        <f t="shared" si="8"/>
        <v>1</v>
      </c>
      <c r="C542">
        <f>IF(ISBLANK(H542),"",VLOOKUP(H542,Code!B:C,2,FALSE))</f>
        <v>2</v>
      </c>
      <c r="D542">
        <v>2021</v>
      </c>
      <c r="E542">
        <v>199218</v>
      </c>
      <c r="F542" t="s">
        <v>166</v>
      </c>
      <c r="G542" t="s">
        <v>290</v>
      </c>
      <c r="H542" t="s">
        <v>1</v>
      </c>
      <c r="I542" cm="1">
        <f t="array" ref="I542">IF(B542=0,INDEX('Category 14'!F:F,MATCH(C542&amp;E542&amp;D542,'Category 14'!B:B&amp;'Category 14'!C:C&amp;'Category 14'!A:A,0)),INDEX('Category 14'!G:G,MATCH(C542&amp;E542&amp;D542,'Category 14'!B:B&amp;'Category 14'!C:C&amp;'Category 14'!A:A,0)))</f>
        <v>0</v>
      </c>
      <c r="J542">
        <f>I542/VLOOKUP($D542,CPI!$P$16:$R$22,3,FALSE)</f>
        <v>0</v>
      </c>
      <c r="K542" cm="1">
        <f t="array" ref="K542">IF(B542=0,INDEX('Category 15'!F:F,MATCH(C542&amp;E542&amp;D542,'Category 15'!B:B&amp;'Category 15'!C:C&amp;'Category 15'!A:A,0)),INDEX('Category 15'!G:G,MATCH(C542&amp;E542&amp;D542,'Category 15'!B:B&amp;'Category 31'!C:C&amp;'Category 15'!A:A,0)))</f>
        <v>0</v>
      </c>
      <c r="L542">
        <f>K542/VLOOKUP($D542,CPI!$P$16:$R$22,3,FALSE)</f>
        <v>0</v>
      </c>
      <c r="M542" s="16" cm="1">
        <f t="array" ref="M542">IF(B542=0,INDEX('Category 31'!F:F,MATCH(C542&amp;E542&amp;D542,'Category 31'!B:B&amp;'Category 31'!C:C&amp;'Category 31'!A:A,0)),INDEX('Category 31'!G:G,MATCH(C542&amp;E542&amp;D542,'Category 31'!B:B&amp;'Category 31'!C:C&amp;'Category 31'!A:A,0)))</f>
        <v>0</v>
      </c>
      <c r="N542" s="16">
        <f>M542/VLOOKUP($D542,CPI!$P$16:$R$22,3,FALSE)</f>
        <v>0</v>
      </c>
      <c r="O542">
        <f>VLOOKUP(E542,WBasketball!C:S,10,FALSE)</f>
        <v>425</v>
      </c>
    </row>
    <row r="543" spans="1:15" ht="16" thickBot="1" x14ac:dyDescent="0.25">
      <c r="A543" s="15">
        <v>2</v>
      </c>
      <c r="B543">
        <f t="shared" si="8"/>
        <v>1</v>
      </c>
      <c r="C543">
        <f>IF(ISBLANK(H543),"",VLOOKUP(H543,Code!B:C,2,FALSE))</f>
        <v>3</v>
      </c>
      <c r="D543">
        <v>2021</v>
      </c>
      <c r="E543">
        <v>199218</v>
      </c>
      <c r="F543" t="s">
        <v>166</v>
      </c>
      <c r="G543" t="s">
        <v>290</v>
      </c>
      <c r="H543" t="s">
        <v>21</v>
      </c>
      <c r="I543" cm="1">
        <f t="array" ref="I543">IF(B543=0,INDEX('Category 14'!F:F,MATCH(C543&amp;E543&amp;D543,'Category 14'!B:B&amp;'Category 14'!C:C&amp;'Category 14'!A:A,0)),INDEX('Category 14'!G:G,MATCH(C543&amp;E543&amp;D543,'Category 14'!B:B&amp;'Category 14'!C:C&amp;'Category 14'!A:A,0)))</f>
        <v>0</v>
      </c>
      <c r="J543">
        <f>I543/VLOOKUP($D543,CPI!$P$16:$R$22,3,FALSE)</f>
        <v>0</v>
      </c>
      <c r="K543" cm="1">
        <f t="array" ref="K543">IF(B543=0,INDEX('Category 15'!F:F,MATCH(C543&amp;E543&amp;D543,'Category 15'!B:B&amp;'Category 15'!C:C&amp;'Category 15'!A:A,0)),INDEX('Category 15'!G:G,MATCH(C543&amp;E543&amp;D543,'Category 15'!B:B&amp;'Category 31'!C:C&amp;'Category 15'!A:A,0)))</f>
        <v>0</v>
      </c>
      <c r="L543">
        <f>K543/VLOOKUP($D543,CPI!$P$16:$R$22,3,FALSE)</f>
        <v>0</v>
      </c>
      <c r="M543" s="16" cm="1">
        <f t="array" ref="M543">IF(B543=0,INDEX('Category 31'!F:F,MATCH(C543&amp;E543&amp;D543,'Category 31'!B:B&amp;'Category 31'!C:C&amp;'Category 31'!A:A,0)),INDEX('Category 31'!G:G,MATCH(C543&amp;E543&amp;D543,'Category 31'!B:B&amp;'Category 31'!C:C&amp;'Category 31'!A:A,0)))</f>
        <v>0</v>
      </c>
      <c r="N543" s="16">
        <f>M543/VLOOKUP($D543,CPI!$P$16:$R$22,3,FALSE)</f>
        <v>0</v>
      </c>
      <c r="O543">
        <v>0</v>
      </c>
    </row>
    <row r="544" spans="1:15" ht="16" thickBot="1" x14ac:dyDescent="0.25">
      <c r="A544" s="15">
        <v>2</v>
      </c>
      <c r="B544">
        <f t="shared" si="8"/>
        <v>1</v>
      </c>
      <c r="C544">
        <f>IF(ISBLANK(H544),"",VLOOKUP(H544,Code!B:C,2,FALSE))</f>
        <v>9</v>
      </c>
      <c r="D544">
        <v>2021</v>
      </c>
      <c r="E544">
        <v>199218</v>
      </c>
      <c r="F544" t="s">
        <v>166</v>
      </c>
      <c r="G544" t="s">
        <v>290</v>
      </c>
      <c r="H544" t="s">
        <v>3</v>
      </c>
      <c r="I544" cm="1">
        <f t="array" ref="I544">IF(B544=0,INDEX('Category 14'!F:F,MATCH(C544&amp;E544&amp;D544,'Category 14'!B:B&amp;'Category 14'!C:C&amp;'Category 14'!A:A,0)),INDEX('Category 14'!G:G,MATCH(C544&amp;E544&amp;D544,'Category 14'!B:B&amp;'Category 14'!C:C&amp;'Category 14'!A:A,0)))</f>
        <v>0</v>
      </c>
      <c r="J544">
        <f>I544/VLOOKUP($D544,CPI!$P$16:$R$22,3,FALSE)</f>
        <v>0</v>
      </c>
      <c r="K544" cm="1">
        <f t="array" ref="K544">IF(B544=0,INDEX('Category 15'!F:F,MATCH(C544&amp;E544&amp;D544,'Category 15'!B:B&amp;'Category 15'!C:C&amp;'Category 15'!A:A,0)),INDEX('Category 15'!G:G,MATCH(C544&amp;E544&amp;D544,'Category 15'!B:B&amp;'Category 31'!C:C&amp;'Category 15'!A:A,0)))</f>
        <v>0</v>
      </c>
      <c r="L544">
        <f>K544/VLOOKUP($D544,CPI!$P$16:$R$22,3,FALSE)</f>
        <v>0</v>
      </c>
      <c r="M544" s="16" cm="1">
        <f t="array" ref="M544">IF(B544=0,INDEX('Category 31'!F:F,MATCH(C544&amp;E544&amp;D544,'Category 31'!B:B&amp;'Category 31'!C:C&amp;'Category 31'!A:A,0)),INDEX('Category 31'!G:G,MATCH(C544&amp;E544&amp;D544,'Category 31'!B:B&amp;'Category 31'!C:C&amp;'Category 31'!A:A,0)))</f>
        <v>0</v>
      </c>
      <c r="N544" s="16">
        <f>M544/VLOOKUP($D544,CPI!$P$16:$R$22,3,FALSE)</f>
        <v>0</v>
      </c>
      <c r="O544">
        <v>0</v>
      </c>
    </row>
    <row r="545" spans="1:15" ht="16" thickBot="1" x14ac:dyDescent="0.25">
      <c r="A545" s="15">
        <v>2</v>
      </c>
      <c r="B545">
        <f t="shared" si="8"/>
        <v>1</v>
      </c>
      <c r="C545">
        <f>IF(ISBLANK(H545),"",VLOOKUP(H545,Code!B:C,2,FALSE))</f>
        <v>17</v>
      </c>
      <c r="D545">
        <v>2021</v>
      </c>
      <c r="E545">
        <v>199218</v>
      </c>
      <c r="F545" t="s">
        <v>166</v>
      </c>
      <c r="G545" t="s">
        <v>290</v>
      </c>
      <c r="H545" t="s">
        <v>5</v>
      </c>
      <c r="I545" cm="1">
        <f t="array" ref="I545">IF(B545=0,INDEX('Category 14'!F:F,MATCH(C545&amp;E545&amp;D545,'Category 14'!B:B&amp;'Category 14'!C:C&amp;'Category 14'!A:A,0)),INDEX('Category 14'!G:G,MATCH(C545&amp;E545&amp;D545,'Category 14'!B:B&amp;'Category 14'!C:C&amp;'Category 14'!A:A,0)))</f>
        <v>0</v>
      </c>
      <c r="J545">
        <f>I545/VLOOKUP($D545,CPI!$P$16:$R$22,3,FALSE)</f>
        <v>0</v>
      </c>
      <c r="K545" cm="1">
        <f t="array" ref="K545">IF(B545=0,INDEX('Category 15'!F:F,MATCH(C545&amp;E545&amp;D545,'Category 15'!B:B&amp;'Category 15'!C:C&amp;'Category 15'!A:A,0)),INDEX('Category 15'!G:G,MATCH(C545&amp;E545&amp;D545,'Category 15'!B:B&amp;'Category 31'!C:C&amp;'Category 15'!A:A,0)))</f>
        <v>0</v>
      </c>
      <c r="L545">
        <f>K545/VLOOKUP($D545,CPI!$P$16:$R$22,3,FALSE)</f>
        <v>0</v>
      </c>
      <c r="M545" s="16" cm="1">
        <f t="array" ref="M545">IF(B545=0,INDEX('Category 31'!F:F,MATCH(C545&amp;E545&amp;D545,'Category 31'!B:B&amp;'Category 31'!C:C&amp;'Category 31'!A:A,0)),INDEX('Category 31'!G:G,MATCH(C545&amp;E545&amp;D545,'Category 31'!B:B&amp;'Category 31'!C:C&amp;'Category 31'!A:A,0)))</f>
        <v>0</v>
      </c>
      <c r="N545" s="16">
        <f>M545/VLOOKUP($D545,CPI!$P$16:$R$22,3,FALSE)</f>
        <v>0</v>
      </c>
      <c r="O545">
        <f>VLOOKUP(E545,WSoccer!C:S,10,FALSE)</f>
        <v>606</v>
      </c>
    </row>
    <row r="546" spans="1:15" ht="16" thickBot="1" x14ac:dyDescent="0.25">
      <c r="A546" s="15">
        <v>2</v>
      </c>
      <c r="B546">
        <f t="shared" si="8"/>
        <v>1</v>
      </c>
      <c r="C546">
        <f>IF(ISBLANK(H546),"",VLOOKUP(H546,Code!B:C,2,FALSE))</f>
        <v>18</v>
      </c>
      <c r="D546">
        <v>2021</v>
      </c>
      <c r="E546">
        <v>199218</v>
      </c>
      <c r="F546" t="s">
        <v>166</v>
      </c>
      <c r="G546" t="s">
        <v>290</v>
      </c>
      <c r="H546" t="s">
        <v>6</v>
      </c>
      <c r="I546" cm="1">
        <f t="array" ref="I546">IF(B546=0,INDEX('Category 14'!F:F,MATCH(C546&amp;E546&amp;D546,'Category 14'!B:B&amp;'Category 14'!C:C&amp;'Category 14'!A:A,0)),INDEX('Category 14'!G:G,MATCH(C546&amp;E546&amp;D546,'Category 14'!B:B&amp;'Category 14'!C:C&amp;'Category 14'!A:A,0)))</f>
        <v>0</v>
      </c>
      <c r="J546">
        <f>I546/VLOOKUP($D546,CPI!$P$16:$R$22,3,FALSE)</f>
        <v>0</v>
      </c>
      <c r="K546" cm="1">
        <f t="array" ref="K546">IF(B546=0,INDEX('Category 15'!F:F,MATCH(C546&amp;E546&amp;D546,'Category 15'!B:B&amp;'Category 15'!C:C&amp;'Category 15'!A:A,0)),INDEX('Category 15'!G:G,MATCH(C546&amp;E546&amp;D546,'Category 15'!B:B&amp;'Category 31'!C:C&amp;'Category 15'!A:A,0)))</f>
        <v>0</v>
      </c>
      <c r="L546">
        <f>K546/VLOOKUP($D546,CPI!$P$16:$R$22,3,FALSE)</f>
        <v>0</v>
      </c>
      <c r="M546" s="16" cm="1">
        <f t="array" ref="M546">IF(B546=0,INDEX('Category 31'!F:F,MATCH(C546&amp;E546&amp;D546,'Category 31'!B:B&amp;'Category 31'!C:C&amp;'Category 31'!A:A,0)),INDEX('Category 31'!G:G,MATCH(C546&amp;E546&amp;D546,'Category 31'!B:B&amp;'Category 31'!C:C&amp;'Category 31'!A:A,0)))</f>
        <v>0</v>
      </c>
      <c r="N546" s="16">
        <f>M546/VLOOKUP($D546,CPI!$P$16:$R$22,3,FALSE)</f>
        <v>0</v>
      </c>
      <c r="O546">
        <f>VLOOKUP(E546,WSoftball!C:S,10,FALSE)</f>
        <v>1615</v>
      </c>
    </row>
    <row r="547" spans="1:15" ht="16" thickBot="1" x14ac:dyDescent="0.25">
      <c r="A547" s="15">
        <v>2</v>
      </c>
      <c r="B547">
        <f t="shared" si="8"/>
        <v>1</v>
      </c>
      <c r="C547">
        <f>IF(ISBLANK(H547),"",VLOOKUP(H547,Code!B:C,2,FALSE))</f>
        <v>19</v>
      </c>
      <c r="D547">
        <v>2021</v>
      </c>
      <c r="E547">
        <v>199218</v>
      </c>
      <c r="F547" t="s">
        <v>166</v>
      </c>
      <c r="G547" t="s">
        <v>290</v>
      </c>
      <c r="H547" t="s">
        <v>7</v>
      </c>
      <c r="I547" cm="1">
        <f t="array" ref="I547">IF(B547=0,INDEX('Category 14'!F:F,MATCH(C547&amp;E547&amp;D547,'Category 14'!B:B&amp;'Category 14'!C:C&amp;'Category 14'!A:A,0)),INDEX('Category 14'!G:G,MATCH(C547&amp;E547&amp;D547,'Category 14'!B:B&amp;'Category 14'!C:C&amp;'Category 14'!A:A,0)))</f>
        <v>0</v>
      </c>
      <c r="J547">
        <f>I547/VLOOKUP($D547,CPI!$P$16:$R$22,3,FALSE)</f>
        <v>0</v>
      </c>
      <c r="K547" cm="1">
        <f t="array" ref="K547">IF(B547=0,INDEX('Category 15'!F:F,MATCH(C547&amp;E547&amp;D547,'Category 15'!B:B&amp;'Category 15'!C:C&amp;'Category 15'!A:A,0)),INDEX('Category 15'!G:G,MATCH(C547&amp;E547&amp;D547,'Category 15'!B:B&amp;'Category 31'!C:C&amp;'Category 15'!A:A,0)))</f>
        <v>0</v>
      </c>
      <c r="L547">
        <f>K547/VLOOKUP($D547,CPI!$P$16:$R$22,3,FALSE)</f>
        <v>0</v>
      </c>
      <c r="M547" s="16" cm="1">
        <f t="array" ref="M547">IF(B547=0,INDEX('Category 31'!F:F,MATCH(C547&amp;E547&amp;D547,'Category 31'!B:B&amp;'Category 31'!C:C&amp;'Category 31'!A:A,0)),INDEX('Category 31'!G:G,MATCH(C547&amp;E547&amp;D547,'Category 31'!B:B&amp;'Category 31'!C:C&amp;'Category 31'!A:A,0)))</f>
        <v>0</v>
      </c>
      <c r="N547" s="16">
        <f>M547/VLOOKUP($D547,CPI!$P$16:$R$22,3,FALSE)</f>
        <v>0</v>
      </c>
      <c r="O547">
        <v>0</v>
      </c>
    </row>
    <row r="548" spans="1:15" ht="16" thickBot="1" x14ac:dyDescent="0.25">
      <c r="A548" s="15">
        <v>2</v>
      </c>
      <c r="B548">
        <f t="shared" si="8"/>
        <v>1</v>
      </c>
      <c r="C548">
        <f>IF(ISBLANK(H548),"",VLOOKUP(H548,Code!B:C,2,FALSE))</f>
        <v>20</v>
      </c>
      <c r="D548">
        <v>2021</v>
      </c>
      <c r="E548">
        <v>199218</v>
      </c>
      <c r="F548" t="s">
        <v>166</v>
      </c>
      <c r="G548" t="s">
        <v>290</v>
      </c>
      <c r="H548" t="s">
        <v>8</v>
      </c>
      <c r="I548" cm="1">
        <f t="array" ref="I548">IF(B548=0,INDEX('Category 14'!F:F,MATCH(C548&amp;E548&amp;D548,'Category 14'!B:B&amp;'Category 14'!C:C&amp;'Category 14'!A:A,0)),INDEX('Category 14'!G:G,MATCH(C548&amp;E548&amp;D548,'Category 14'!B:B&amp;'Category 14'!C:C&amp;'Category 14'!A:A,0)))</f>
        <v>0</v>
      </c>
      <c r="J548">
        <f>I548/VLOOKUP($D548,CPI!$P$16:$R$22,3,FALSE)</f>
        <v>0</v>
      </c>
      <c r="K548" cm="1">
        <f t="array" ref="K548">IF(B548=0,INDEX('Category 15'!F:F,MATCH(C548&amp;E548&amp;D548,'Category 15'!B:B&amp;'Category 15'!C:C&amp;'Category 15'!A:A,0)),INDEX('Category 15'!G:G,MATCH(C548&amp;E548&amp;D548,'Category 15'!B:B&amp;'Category 31'!C:C&amp;'Category 15'!A:A,0)))</f>
        <v>0</v>
      </c>
      <c r="L548">
        <f>K548/VLOOKUP($D548,CPI!$P$16:$R$22,3,FALSE)</f>
        <v>0</v>
      </c>
      <c r="M548" s="16" cm="1">
        <f t="array" ref="M548">IF(B548=0,INDEX('Category 31'!F:F,MATCH(C548&amp;E548&amp;D548,'Category 31'!B:B&amp;'Category 31'!C:C&amp;'Category 31'!A:A,0)),INDEX('Category 31'!G:G,MATCH(C548&amp;E548&amp;D548,'Category 31'!B:B&amp;'Category 31'!C:C&amp;'Category 31'!A:A,0)))</f>
        <v>0</v>
      </c>
      <c r="N548" s="16">
        <f>M548/VLOOKUP($D548,CPI!$P$16:$R$22,3,FALSE)</f>
        <v>0</v>
      </c>
      <c r="O548">
        <v>0</v>
      </c>
    </row>
    <row r="549" spans="1:15" ht="16" thickBot="1" x14ac:dyDescent="0.25">
      <c r="A549" s="15">
        <v>2</v>
      </c>
      <c r="B549">
        <f t="shared" si="8"/>
        <v>1</v>
      </c>
      <c r="C549">
        <f>IF(ISBLANK(H549),"",VLOOKUP(H549,Code!B:C,2,FALSE))</f>
        <v>21</v>
      </c>
      <c r="D549">
        <v>2021</v>
      </c>
      <c r="E549">
        <v>199218</v>
      </c>
      <c r="F549" t="s">
        <v>166</v>
      </c>
      <c r="G549" t="s">
        <v>290</v>
      </c>
      <c r="H549" t="s">
        <v>36</v>
      </c>
      <c r="I549" cm="1">
        <f t="array" ref="I549">IF(B549=0,INDEX('Category 14'!F:F,MATCH(C549&amp;E549&amp;D549,'Category 14'!B:B&amp;'Category 14'!C:C&amp;'Category 14'!A:A,0)),INDEX('Category 14'!G:G,MATCH(C549&amp;E549&amp;D549,'Category 14'!B:B&amp;'Category 14'!C:C&amp;'Category 14'!A:A,0)))</f>
        <v>0</v>
      </c>
      <c r="J549">
        <f>I549/VLOOKUP($D549,CPI!$P$16:$R$22,3,FALSE)</f>
        <v>0</v>
      </c>
      <c r="K549" cm="1">
        <f t="array" ref="K549">IF(B549=0,INDEX('Category 15'!F:F,MATCH(C549&amp;E549&amp;D549,'Category 15'!B:B&amp;'Category 15'!C:C&amp;'Category 15'!A:A,0)),INDEX('Category 15'!G:G,MATCH(C549&amp;E549&amp;D549,'Category 15'!B:B&amp;'Category 31'!C:C&amp;'Category 15'!A:A,0)))</f>
        <v>0</v>
      </c>
      <c r="L549">
        <f>K549/VLOOKUP($D549,CPI!$P$16:$R$22,3,FALSE)</f>
        <v>0</v>
      </c>
      <c r="M549" s="16" cm="1">
        <f t="array" ref="M549">IF(B549=0,INDEX('Category 31'!F:F,MATCH(C549&amp;E549&amp;D549,'Category 31'!B:B&amp;'Category 31'!C:C&amp;'Category 31'!A:A,0)),INDEX('Category 31'!G:G,MATCH(C549&amp;E549&amp;D549,'Category 31'!B:B&amp;'Category 31'!C:C&amp;'Category 31'!A:A,0)))</f>
        <v>0</v>
      </c>
      <c r="N549" s="16">
        <f>M549/VLOOKUP($D549,CPI!$P$16:$R$22,3,FALSE)</f>
        <v>0</v>
      </c>
      <c r="O549">
        <v>0</v>
      </c>
    </row>
    <row r="550" spans="1:15" ht="16" thickBot="1" x14ac:dyDescent="0.25">
      <c r="A550" s="15">
        <v>2</v>
      </c>
      <c r="B550">
        <f t="shared" si="8"/>
        <v>1</v>
      </c>
      <c r="C550">
        <f>IF(ISBLANK(H550),"",VLOOKUP(H550,Code!B:C,2,FALSE))</f>
        <v>23</v>
      </c>
      <c r="D550">
        <v>2021</v>
      </c>
      <c r="E550">
        <v>199218</v>
      </c>
      <c r="F550" t="s">
        <v>166</v>
      </c>
      <c r="G550" t="s">
        <v>290</v>
      </c>
      <c r="H550" t="s">
        <v>10</v>
      </c>
      <c r="I550" cm="1">
        <f t="array" ref="I550">IF(B550=0,INDEX('Category 14'!F:F,MATCH(C550&amp;E550&amp;D550,'Category 14'!B:B&amp;'Category 14'!C:C&amp;'Category 14'!A:A,0)),INDEX('Category 14'!G:G,MATCH(C550&amp;E550&amp;D550,'Category 14'!B:B&amp;'Category 14'!C:C&amp;'Category 14'!A:A,0)))</f>
        <v>0</v>
      </c>
      <c r="J550">
        <f>I550/VLOOKUP($D550,CPI!$P$16:$R$22,3,FALSE)</f>
        <v>0</v>
      </c>
      <c r="K550" cm="1">
        <f t="array" ref="K550">IF(B550=0,INDEX('Category 15'!F:F,MATCH(C550&amp;E550&amp;D550,'Category 15'!B:B&amp;'Category 15'!C:C&amp;'Category 15'!A:A,0)),INDEX('Category 15'!G:G,MATCH(C550&amp;E550&amp;D550,'Category 15'!B:B&amp;'Category 31'!C:C&amp;'Category 15'!A:A,0)))</f>
        <v>0</v>
      </c>
      <c r="L550">
        <f>K550/VLOOKUP($D550,CPI!$P$16:$R$22,3,FALSE)</f>
        <v>0</v>
      </c>
      <c r="M550" s="16" cm="1">
        <f t="array" ref="M550">IF(B550=0,INDEX('Category 31'!F:F,MATCH(C550&amp;E550&amp;D550,'Category 31'!B:B&amp;'Category 31'!C:C&amp;'Category 31'!A:A,0)),INDEX('Category 31'!G:G,MATCH(C550&amp;E550&amp;D550,'Category 31'!B:B&amp;'Category 31'!C:C&amp;'Category 31'!A:A,0)))</f>
        <v>0</v>
      </c>
      <c r="N550" s="16">
        <f>M550/VLOOKUP($D550,CPI!$P$16:$R$22,3,FALSE)</f>
        <v>0</v>
      </c>
      <c r="O550">
        <f>VLOOKUP(E550,WVolleyball!C:S,10,FALSE)</f>
        <v>188</v>
      </c>
    </row>
    <row r="551" spans="1:15" ht="16" thickBot="1" x14ac:dyDescent="0.25">
      <c r="A551" s="15">
        <v>2</v>
      </c>
      <c r="B551">
        <f t="shared" si="8"/>
        <v>0</v>
      </c>
      <c r="C551">
        <f>IF(ISBLANK(H551),"",VLOOKUP(H551,Code!B:C,2,FALSE))</f>
        <v>1</v>
      </c>
      <c r="D551">
        <v>2022</v>
      </c>
      <c r="E551">
        <v>199218</v>
      </c>
      <c r="F551" t="s">
        <v>166</v>
      </c>
      <c r="G551" t="s">
        <v>289</v>
      </c>
      <c r="H551" t="s">
        <v>0</v>
      </c>
      <c r="I551" cm="1">
        <f t="array" ref="I551">IF(B551=0,INDEX('Category 14'!F:F,MATCH(C551&amp;E551&amp;D551,'Category 14'!B:B&amp;'Category 14'!C:C&amp;'Category 14'!A:A,0)),INDEX('Category 14'!G:G,MATCH(C551&amp;E551&amp;D551,'Category 14'!B:B&amp;'Category 14'!C:C&amp;'Category 14'!A:A,0)))</f>
        <v>0</v>
      </c>
      <c r="J551">
        <f>I551/VLOOKUP($D551,CPI!$P$16:$R$22,3,FALSE)</f>
        <v>0</v>
      </c>
      <c r="K551" cm="1">
        <f t="array" ref="K551">IF(B551=0,INDEX('Category 15'!F:F,MATCH(C551&amp;E551&amp;D551,'Category 15'!B:B&amp;'Category 15'!C:C&amp;'Category 15'!A:A,0)),INDEX('Category 15'!G:G,MATCH(C551&amp;E551&amp;D551,'Category 15'!B:B&amp;'Category 31'!C:C&amp;'Category 15'!A:A,0)))</f>
        <v>0</v>
      </c>
      <c r="L551">
        <f>K551/VLOOKUP($D551,CPI!$P$16:$R$22,3,FALSE)</f>
        <v>0</v>
      </c>
      <c r="M551" s="16" cm="1">
        <f t="array" ref="M551">IF(B551=0,INDEX('Category 31'!F:F,MATCH(C551&amp;E551&amp;D551,'Category 31'!B:B&amp;'Category 31'!C:C&amp;'Category 31'!A:A,0)),INDEX('Category 31'!G:G,MATCH(C551&amp;E551&amp;D551,'Category 31'!B:B&amp;'Category 31'!C:C&amp;'Category 31'!A:A,0)))</f>
        <v>2080</v>
      </c>
      <c r="N551" s="16">
        <f>M551/VLOOKUP($D551,CPI!$P$16:$R$22,3,FALSE)</f>
        <v>2210.2502969594898</v>
      </c>
      <c r="O551">
        <f>VLOOKUP(E471,MBaseball!C:R,11,FALSE)</f>
        <v>33427</v>
      </c>
    </row>
    <row r="552" spans="1:15" ht="16" thickBot="1" x14ac:dyDescent="0.25">
      <c r="A552" s="15">
        <v>2</v>
      </c>
      <c r="B552">
        <f t="shared" si="8"/>
        <v>0</v>
      </c>
      <c r="C552">
        <f>IF(ISBLANK(H552),"",VLOOKUP(H552,Code!B:C,2,FALSE))</f>
        <v>2</v>
      </c>
      <c r="D552">
        <v>2022</v>
      </c>
      <c r="E552">
        <v>199218</v>
      </c>
      <c r="F552" t="s">
        <v>166</v>
      </c>
      <c r="G552" t="s">
        <v>289</v>
      </c>
      <c r="H552" t="s">
        <v>1</v>
      </c>
      <c r="I552" cm="1">
        <f t="array" ref="I552">IF(B552=0,INDEX('Category 14'!F:F,MATCH(C552&amp;E552&amp;D552,'Category 14'!B:B&amp;'Category 14'!C:C&amp;'Category 14'!A:A,0)),INDEX('Category 14'!G:G,MATCH(C552&amp;E552&amp;D552,'Category 14'!B:B&amp;'Category 14'!C:C&amp;'Category 14'!A:A,0)))</f>
        <v>0</v>
      </c>
      <c r="J552">
        <f>I552/VLOOKUP($D552,CPI!$P$16:$R$22,3,FALSE)</f>
        <v>0</v>
      </c>
      <c r="K552" cm="1">
        <f t="array" ref="K552">IF(B552=0,INDEX('Category 15'!F:F,MATCH(C552&amp;E552&amp;D552,'Category 15'!B:B&amp;'Category 15'!C:C&amp;'Category 15'!A:A,0)),INDEX('Category 15'!G:G,MATCH(C552&amp;E552&amp;D552,'Category 15'!B:B&amp;'Category 31'!C:C&amp;'Category 15'!A:A,0)))</f>
        <v>0</v>
      </c>
      <c r="L552">
        <f>K552/VLOOKUP($D552,CPI!$P$16:$R$22,3,FALSE)</f>
        <v>0</v>
      </c>
      <c r="M552" s="16" cm="1">
        <f t="array" ref="M552">IF(B552=0,INDEX('Category 31'!F:F,MATCH(C552&amp;E552&amp;D552,'Category 31'!B:B&amp;'Category 31'!C:C&amp;'Category 31'!A:A,0)),INDEX('Category 31'!G:G,MATCH(C552&amp;E552&amp;D552,'Category 31'!B:B&amp;'Category 31'!C:C&amp;'Category 31'!A:A,0)))</f>
        <v>1285</v>
      </c>
      <c r="N552" s="16">
        <f>M552/VLOOKUP($D552,CPI!$P$16:$R$22,3,FALSE)</f>
        <v>1365.467130573531</v>
      </c>
      <c r="O552">
        <f>VLOOKUP(E552,MBasketball!C:S,11,FALSE)</f>
        <v>51094</v>
      </c>
    </row>
    <row r="553" spans="1:15" ht="16" thickBot="1" x14ac:dyDescent="0.25">
      <c r="A553" s="15">
        <v>2</v>
      </c>
      <c r="B553">
        <f t="shared" si="8"/>
        <v>0</v>
      </c>
      <c r="C553">
        <f>IF(ISBLANK(H553),"",VLOOKUP(H553,Code!B:C,2,FALSE))</f>
        <v>9</v>
      </c>
      <c r="D553">
        <v>2022</v>
      </c>
      <c r="E553">
        <v>199218</v>
      </c>
      <c r="F553" t="s">
        <v>166</v>
      </c>
      <c r="G553" t="s">
        <v>289</v>
      </c>
      <c r="H553" t="s">
        <v>3</v>
      </c>
      <c r="I553" cm="1">
        <f t="array" ref="I553">IF(B553=0,INDEX('Category 14'!F:F,MATCH(C553&amp;E553&amp;D553,'Category 14'!B:B&amp;'Category 14'!C:C&amp;'Category 14'!A:A,0)),INDEX('Category 14'!G:G,MATCH(C553&amp;E553&amp;D553,'Category 14'!B:B&amp;'Category 14'!C:C&amp;'Category 14'!A:A,0)))</f>
        <v>0</v>
      </c>
      <c r="J553">
        <f>I553/VLOOKUP($D553,CPI!$P$16:$R$22,3,FALSE)</f>
        <v>0</v>
      </c>
      <c r="K553" cm="1">
        <f t="array" ref="K553">IF(B553=0,INDEX('Category 15'!F:F,MATCH(C553&amp;E553&amp;D553,'Category 15'!B:B&amp;'Category 15'!C:C&amp;'Category 15'!A:A,0)),INDEX('Category 15'!G:G,MATCH(C553&amp;E553&amp;D553,'Category 15'!B:B&amp;'Category 31'!C:C&amp;'Category 15'!A:A,0)))</f>
        <v>0</v>
      </c>
      <c r="L553">
        <f>K553/VLOOKUP($D553,CPI!$P$16:$R$22,3,FALSE)</f>
        <v>0</v>
      </c>
      <c r="M553" s="16" cm="1">
        <f t="array" ref="M553">IF(B553=0,INDEX('Category 31'!F:F,MATCH(C553&amp;E553&amp;D553,'Category 31'!B:B&amp;'Category 31'!C:C&amp;'Category 31'!A:A,0)),INDEX('Category 31'!G:G,MATCH(C553&amp;E553&amp;D553,'Category 31'!B:B&amp;'Category 31'!C:C&amp;'Category 31'!A:A,0)))</f>
        <v>4587</v>
      </c>
      <c r="N553" s="16">
        <f>M553/VLOOKUP($D553,CPI!$P$16:$R$22,3,FALSE)</f>
        <v>4874.2394769967214</v>
      </c>
      <c r="O553">
        <v>0</v>
      </c>
    </row>
    <row r="554" spans="1:15" ht="16" thickBot="1" x14ac:dyDescent="0.25">
      <c r="A554" s="15">
        <v>2</v>
      </c>
      <c r="B554">
        <f t="shared" si="8"/>
        <v>0</v>
      </c>
      <c r="C554">
        <f>IF(ISBLANK(H554),"",VLOOKUP(H554,Code!B:C,2,FALSE))</f>
        <v>17</v>
      </c>
      <c r="D554">
        <v>2022</v>
      </c>
      <c r="E554">
        <v>199218</v>
      </c>
      <c r="F554" t="s">
        <v>166</v>
      </c>
      <c r="G554" t="s">
        <v>289</v>
      </c>
      <c r="H554" t="s">
        <v>5</v>
      </c>
      <c r="I554" cm="1">
        <f t="array" ref="I554">IF(B554=0,INDEX('Category 14'!F:F,MATCH(C554&amp;E554&amp;D554,'Category 14'!B:B&amp;'Category 14'!C:C&amp;'Category 14'!A:A,0)),INDEX('Category 14'!G:G,MATCH(C554&amp;E554&amp;D554,'Category 14'!B:B&amp;'Category 14'!C:C&amp;'Category 14'!A:A,0)))</f>
        <v>0</v>
      </c>
      <c r="J554">
        <f>I554/VLOOKUP($D554,CPI!$P$16:$R$22,3,FALSE)</f>
        <v>0</v>
      </c>
      <c r="K554" cm="1">
        <f t="array" ref="K554">IF(B554=0,INDEX('Category 15'!F:F,MATCH(C554&amp;E554&amp;D554,'Category 15'!B:B&amp;'Category 15'!C:C&amp;'Category 15'!A:A,0)),INDEX('Category 15'!G:G,MATCH(C554&amp;E554&amp;D554,'Category 15'!B:B&amp;'Category 31'!C:C&amp;'Category 15'!A:A,0)))</f>
        <v>0</v>
      </c>
      <c r="L554">
        <f>K554/VLOOKUP($D554,CPI!$P$16:$R$22,3,FALSE)</f>
        <v>0</v>
      </c>
      <c r="M554" s="16" cm="1">
        <f t="array" ref="M554">IF(B554=0,INDEX('Category 31'!F:F,MATCH(C554&amp;E554&amp;D554,'Category 31'!B:B&amp;'Category 31'!C:C&amp;'Category 31'!A:A,0)),INDEX('Category 31'!G:G,MATCH(C554&amp;E554&amp;D554,'Category 31'!B:B&amp;'Category 31'!C:C&amp;'Category 31'!A:A,0)))</f>
        <v>0</v>
      </c>
      <c r="N554" s="16">
        <f>M554/VLOOKUP($D554,CPI!$P$16:$R$22,3,FALSE)</f>
        <v>0</v>
      </c>
      <c r="O554">
        <f>VLOOKUP(E554,MSoccer!C:S,11,FALSE)</f>
        <v>5798</v>
      </c>
    </row>
    <row r="555" spans="1:15" ht="16" thickBot="1" x14ac:dyDescent="0.25">
      <c r="A555" s="15">
        <v>2</v>
      </c>
      <c r="B555">
        <f t="shared" si="8"/>
        <v>0</v>
      </c>
      <c r="C555">
        <f>IF(ISBLANK(H555),"",VLOOKUP(H555,Code!B:C,2,FALSE))</f>
        <v>19</v>
      </c>
      <c r="D555">
        <v>2022</v>
      </c>
      <c r="E555">
        <v>199218</v>
      </c>
      <c r="F555" t="s">
        <v>166</v>
      </c>
      <c r="G555" t="s">
        <v>289</v>
      </c>
      <c r="H555" t="s">
        <v>7</v>
      </c>
      <c r="I555" cm="1">
        <f t="array" ref="I555">IF(B555=0,INDEX('Category 14'!F:F,MATCH(C555&amp;E555&amp;D555,'Category 14'!B:B&amp;'Category 14'!C:C&amp;'Category 14'!A:A,0)),INDEX('Category 14'!G:G,MATCH(C555&amp;E555&amp;D555,'Category 14'!B:B&amp;'Category 14'!C:C&amp;'Category 14'!A:A,0)))</f>
        <v>0</v>
      </c>
      <c r="J555">
        <f>I555/VLOOKUP($D555,CPI!$P$16:$R$22,3,FALSE)</f>
        <v>0</v>
      </c>
      <c r="K555" cm="1">
        <f t="array" ref="K555">IF(B555=0,INDEX('Category 15'!F:F,MATCH(C555&amp;E555&amp;D555,'Category 15'!B:B&amp;'Category 15'!C:C&amp;'Category 15'!A:A,0)),INDEX('Category 15'!G:G,MATCH(C555&amp;E555&amp;D555,'Category 15'!B:B&amp;'Category 31'!C:C&amp;'Category 15'!A:A,0)))</f>
        <v>0</v>
      </c>
      <c r="L555">
        <f>K555/VLOOKUP($D555,CPI!$P$16:$R$22,3,FALSE)</f>
        <v>0</v>
      </c>
      <c r="M555" s="16" cm="1">
        <f t="array" ref="M555">IF(B555=0,INDEX('Category 31'!F:F,MATCH(C555&amp;E555&amp;D555,'Category 31'!B:B&amp;'Category 31'!C:C&amp;'Category 31'!A:A,0)),INDEX('Category 31'!G:G,MATCH(C555&amp;E555&amp;D555,'Category 31'!B:B&amp;'Category 31'!C:C&amp;'Category 31'!A:A,0)))</f>
        <v>0</v>
      </c>
      <c r="N555" s="16">
        <f>M555/VLOOKUP($D555,CPI!$P$16:$R$22,3,FALSE)</f>
        <v>0</v>
      </c>
      <c r="O555">
        <v>0</v>
      </c>
    </row>
    <row r="556" spans="1:15" ht="16" thickBot="1" x14ac:dyDescent="0.25">
      <c r="A556" s="15">
        <v>2</v>
      </c>
      <c r="B556">
        <f t="shared" si="8"/>
        <v>0</v>
      </c>
      <c r="C556">
        <f>IF(ISBLANK(H556),"",VLOOKUP(H556,Code!B:C,2,FALSE))</f>
        <v>20</v>
      </c>
      <c r="D556">
        <v>2022</v>
      </c>
      <c r="E556">
        <v>199218</v>
      </c>
      <c r="F556" t="s">
        <v>166</v>
      </c>
      <c r="G556" t="s">
        <v>289</v>
      </c>
      <c r="H556" t="s">
        <v>8</v>
      </c>
      <c r="I556" cm="1">
        <f t="array" ref="I556">IF(B556=0,INDEX('Category 14'!F:F,MATCH(C556&amp;E556&amp;D556,'Category 14'!B:B&amp;'Category 14'!C:C&amp;'Category 14'!A:A,0)),INDEX('Category 14'!G:G,MATCH(C556&amp;E556&amp;D556,'Category 14'!B:B&amp;'Category 14'!C:C&amp;'Category 14'!A:A,0)))</f>
        <v>0</v>
      </c>
      <c r="J556">
        <f>I556/VLOOKUP($D556,CPI!$P$16:$R$22,3,FALSE)</f>
        <v>0</v>
      </c>
      <c r="K556" cm="1">
        <f t="array" ref="K556">IF(B556=0,INDEX('Category 15'!F:F,MATCH(C556&amp;E556&amp;D556,'Category 15'!B:B&amp;'Category 15'!C:C&amp;'Category 15'!A:A,0)),INDEX('Category 15'!G:G,MATCH(C556&amp;E556&amp;D556,'Category 15'!B:B&amp;'Category 31'!C:C&amp;'Category 15'!A:A,0)))</f>
        <v>0</v>
      </c>
      <c r="L556">
        <f>K556/VLOOKUP($D556,CPI!$P$16:$R$22,3,FALSE)</f>
        <v>0</v>
      </c>
      <c r="M556" s="16" cm="1">
        <f t="array" ref="M556">IF(B556=0,INDEX('Category 31'!F:F,MATCH(C556&amp;E556&amp;D556,'Category 31'!B:B&amp;'Category 31'!C:C&amp;'Category 31'!A:A,0)),INDEX('Category 31'!G:G,MATCH(C556&amp;E556&amp;D556,'Category 31'!B:B&amp;'Category 31'!C:C&amp;'Category 31'!A:A,0)))</f>
        <v>63</v>
      </c>
      <c r="N556" s="16">
        <f>M556/VLOOKUP($D556,CPI!$P$16:$R$22,3,FALSE)</f>
        <v>66.94508110983071</v>
      </c>
      <c r="O556">
        <v>0</v>
      </c>
    </row>
    <row r="557" spans="1:15" ht="16" thickBot="1" x14ac:dyDescent="0.25">
      <c r="A557" s="15">
        <v>2</v>
      </c>
      <c r="B557">
        <f t="shared" si="8"/>
        <v>0</v>
      </c>
      <c r="C557">
        <f>IF(ISBLANK(H557),"",VLOOKUP(H557,Code!B:C,2,FALSE))</f>
        <v>21</v>
      </c>
      <c r="D557">
        <v>2022</v>
      </c>
      <c r="E557">
        <v>199218</v>
      </c>
      <c r="F557" t="s">
        <v>166</v>
      </c>
      <c r="G557" t="s">
        <v>289</v>
      </c>
      <c r="H557" t="s">
        <v>36</v>
      </c>
      <c r="I557" cm="1">
        <f t="array" ref="I557">IF(B557=0,INDEX('Category 14'!F:F,MATCH(C557&amp;E557&amp;D557,'Category 14'!B:B&amp;'Category 14'!C:C&amp;'Category 14'!A:A,0)),INDEX('Category 14'!G:G,MATCH(C557&amp;E557&amp;D557,'Category 14'!B:B&amp;'Category 14'!C:C&amp;'Category 14'!A:A,0)))</f>
        <v>0</v>
      </c>
      <c r="J557">
        <f>I557/VLOOKUP($D557,CPI!$P$16:$R$22,3,FALSE)</f>
        <v>0</v>
      </c>
      <c r="K557" cm="1">
        <f t="array" ref="K557">IF(B557=0,INDEX('Category 15'!F:F,MATCH(C557&amp;E557&amp;D557,'Category 15'!B:B&amp;'Category 15'!C:C&amp;'Category 15'!A:A,0)),INDEX('Category 15'!G:G,MATCH(C557&amp;E557&amp;D557,'Category 15'!B:B&amp;'Category 31'!C:C&amp;'Category 15'!A:A,0)))</f>
        <v>0</v>
      </c>
      <c r="L557">
        <f>K557/VLOOKUP($D557,CPI!$P$16:$R$22,3,FALSE)</f>
        <v>0</v>
      </c>
      <c r="M557" s="16" cm="1">
        <f t="array" ref="M557">IF(B557=0,INDEX('Category 31'!F:F,MATCH(C557&amp;E557&amp;D557,'Category 31'!B:B&amp;'Category 31'!C:C&amp;'Category 31'!A:A,0)),INDEX('Category 31'!G:G,MATCH(C557&amp;E557&amp;D557,'Category 31'!B:B&amp;'Category 31'!C:C&amp;'Category 31'!A:A,0)))</f>
        <v>0</v>
      </c>
      <c r="N557" s="16">
        <f>M557/VLOOKUP($D557,CPI!$P$16:$R$22,3,FALSE)</f>
        <v>0</v>
      </c>
      <c r="O557">
        <v>0</v>
      </c>
    </row>
    <row r="558" spans="1:15" ht="16" thickBot="1" x14ac:dyDescent="0.25">
      <c r="A558" s="15">
        <v>2</v>
      </c>
      <c r="B558">
        <f t="shared" si="8"/>
        <v>1</v>
      </c>
      <c r="C558">
        <f>IF(ISBLANK(H558),"",VLOOKUP(H558,Code!B:C,2,FALSE))</f>
        <v>2</v>
      </c>
      <c r="D558">
        <v>2022</v>
      </c>
      <c r="E558">
        <v>199218</v>
      </c>
      <c r="F558" t="s">
        <v>166</v>
      </c>
      <c r="G558" t="s">
        <v>290</v>
      </c>
      <c r="H558" t="s">
        <v>1</v>
      </c>
      <c r="I558" cm="1">
        <f t="array" ref="I558">IF(B558=0,INDEX('Category 14'!F:F,MATCH(C558&amp;E558&amp;D558,'Category 14'!B:B&amp;'Category 14'!C:C&amp;'Category 14'!A:A,0)),INDEX('Category 14'!G:G,MATCH(C558&amp;E558&amp;D558,'Category 14'!B:B&amp;'Category 14'!C:C&amp;'Category 14'!A:A,0)))</f>
        <v>0</v>
      </c>
      <c r="J558">
        <f>I558/VLOOKUP($D558,CPI!$P$16:$R$22,3,FALSE)</f>
        <v>0</v>
      </c>
      <c r="K558" cm="1">
        <f t="array" ref="K558">IF(B558=0,INDEX('Category 15'!F:F,MATCH(C558&amp;E558&amp;D558,'Category 15'!B:B&amp;'Category 15'!C:C&amp;'Category 15'!A:A,0)),INDEX('Category 15'!G:G,MATCH(C558&amp;E558&amp;D558,'Category 15'!B:B&amp;'Category 31'!C:C&amp;'Category 15'!A:A,0)))</f>
        <v>0</v>
      </c>
      <c r="L558">
        <f>K558/VLOOKUP($D558,CPI!$P$16:$R$22,3,FALSE)</f>
        <v>0</v>
      </c>
      <c r="M558" s="16" cm="1">
        <f t="array" ref="M558">IF(B558=0,INDEX('Category 31'!F:F,MATCH(C558&amp;E558&amp;D558,'Category 31'!B:B&amp;'Category 31'!C:C&amp;'Category 31'!A:A,0)),INDEX('Category 31'!G:G,MATCH(C558&amp;E558&amp;D558,'Category 31'!B:B&amp;'Category 31'!C:C&amp;'Category 31'!A:A,0)))</f>
        <v>0</v>
      </c>
      <c r="N558" s="16">
        <f>M558/VLOOKUP($D558,CPI!$P$16:$R$22,3,FALSE)</f>
        <v>0</v>
      </c>
      <c r="O558">
        <f>VLOOKUP(E558,WBasketball!C:S,11,FALSE)</f>
        <v>6098</v>
      </c>
    </row>
    <row r="559" spans="1:15" ht="16" thickBot="1" x14ac:dyDescent="0.25">
      <c r="A559" s="15">
        <v>2</v>
      </c>
      <c r="B559">
        <f t="shared" si="8"/>
        <v>1</v>
      </c>
      <c r="C559">
        <f>IF(ISBLANK(H559),"",VLOOKUP(H559,Code!B:C,2,FALSE))</f>
        <v>3</v>
      </c>
      <c r="D559">
        <v>2022</v>
      </c>
      <c r="E559">
        <v>199218</v>
      </c>
      <c r="F559" t="s">
        <v>166</v>
      </c>
      <c r="G559" t="s">
        <v>290</v>
      </c>
      <c r="H559" t="s">
        <v>21</v>
      </c>
      <c r="I559" cm="1">
        <f t="array" ref="I559">IF(B559=0,INDEX('Category 14'!F:F,MATCH(C559&amp;E559&amp;D559,'Category 14'!B:B&amp;'Category 14'!C:C&amp;'Category 14'!A:A,0)),INDEX('Category 14'!G:G,MATCH(C559&amp;E559&amp;D559,'Category 14'!B:B&amp;'Category 14'!C:C&amp;'Category 14'!A:A,0)))</f>
        <v>0</v>
      </c>
      <c r="J559">
        <f>I559/VLOOKUP($D559,CPI!$P$16:$R$22,3,FALSE)</f>
        <v>0</v>
      </c>
      <c r="K559" cm="1">
        <f t="array" ref="K559">IF(B559=0,INDEX('Category 15'!F:F,MATCH(C559&amp;E559&amp;D559,'Category 15'!B:B&amp;'Category 15'!C:C&amp;'Category 15'!A:A,0)),INDEX('Category 15'!G:G,MATCH(C559&amp;E559&amp;D559,'Category 15'!B:B&amp;'Category 31'!C:C&amp;'Category 15'!A:A,0)))</f>
        <v>0</v>
      </c>
      <c r="L559">
        <f>K559/VLOOKUP($D559,CPI!$P$16:$R$22,3,FALSE)</f>
        <v>0</v>
      </c>
      <c r="M559" s="16" cm="1">
        <f t="array" ref="M559">IF(B559=0,INDEX('Category 31'!F:F,MATCH(C559&amp;E559&amp;D559,'Category 31'!B:B&amp;'Category 31'!C:C&amp;'Category 31'!A:A,0)),INDEX('Category 31'!G:G,MATCH(C559&amp;E559&amp;D559,'Category 31'!B:B&amp;'Category 31'!C:C&amp;'Category 31'!A:A,0)))</f>
        <v>0</v>
      </c>
      <c r="N559" s="16">
        <f>M559/VLOOKUP($D559,CPI!$P$16:$R$22,3,FALSE)</f>
        <v>0</v>
      </c>
      <c r="O559">
        <v>0</v>
      </c>
    </row>
    <row r="560" spans="1:15" ht="16" thickBot="1" x14ac:dyDescent="0.25">
      <c r="A560" s="15">
        <v>2</v>
      </c>
      <c r="B560">
        <f t="shared" si="8"/>
        <v>1</v>
      </c>
      <c r="C560">
        <f>IF(ISBLANK(H560),"",VLOOKUP(H560,Code!B:C,2,FALSE))</f>
        <v>9</v>
      </c>
      <c r="D560">
        <v>2022</v>
      </c>
      <c r="E560">
        <v>199218</v>
      </c>
      <c r="F560" t="s">
        <v>166</v>
      </c>
      <c r="G560" t="s">
        <v>290</v>
      </c>
      <c r="H560" t="s">
        <v>3</v>
      </c>
      <c r="I560" cm="1">
        <f t="array" ref="I560">IF(B560=0,INDEX('Category 14'!F:F,MATCH(C560&amp;E560&amp;D560,'Category 14'!B:B&amp;'Category 14'!C:C&amp;'Category 14'!A:A,0)),INDEX('Category 14'!G:G,MATCH(C560&amp;E560&amp;D560,'Category 14'!B:B&amp;'Category 14'!C:C&amp;'Category 14'!A:A,0)))</f>
        <v>0</v>
      </c>
      <c r="J560">
        <f>I560/VLOOKUP($D560,CPI!$P$16:$R$22,3,FALSE)</f>
        <v>0</v>
      </c>
      <c r="K560" cm="1">
        <f t="array" ref="K560">IF(B560=0,INDEX('Category 15'!F:F,MATCH(C560&amp;E560&amp;D560,'Category 15'!B:B&amp;'Category 15'!C:C&amp;'Category 15'!A:A,0)),INDEX('Category 15'!G:G,MATCH(C560&amp;E560&amp;D560,'Category 15'!B:B&amp;'Category 31'!C:C&amp;'Category 15'!A:A,0)))</f>
        <v>0</v>
      </c>
      <c r="L560">
        <f>K560/VLOOKUP($D560,CPI!$P$16:$R$22,3,FALSE)</f>
        <v>0</v>
      </c>
      <c r="M560" s="16" cm="1">
        <f t="array" ref="M560">IF(B560=0,INDEX('Category 31'!F:F,MATCH(C560&amp;E560&amp;D560,'Category 31'!B:B&amp;'Category 31'!C:C&amp;'Category 31'!A:A,0)),INDEX('Category 31'!G:G,MATCH(C560&amp;E560&amp;D560,'Category 31'!B:B&amp;'Category 31'!C:C&amp;'Category 31'!A:A,0)))</f>
        <v>114</v>
      </c>
      <c r="N560" s="16">
        <f>M560/VLOOKUP($D560,CPI!$P$16:$R$22,3,FALSE)</f>
        <v>121.13871819874127</v>
      </c>
      <c r="O560">
        <v>0</v>
      </c>
    </row>
    <row r="561" spans="1:15" ht="16" thickBot="1" x14ac:dyDescent="0.25">
      <c r="A561" s="15">
        <v>2</v>
      </c>
      <c r="B561">
        <f t="shared" si="8"/>
        <v>1</v>
      </c>
      <c r="C561">
        <f>IF(ISBLANK(H561),"",VLOOKUP(H561,Code!B:C,2,FALSE))</f>
        <v>17</v>
      </c>
      <c r="D561">
        <v>2022</v>
      </c>
      <c r="E561">
        <v>199218</v>
      </c>
      <c r="F561" t="s">
        <v>166</v>
      </c>
      <c r="G561" t="s">
        <v>290</v>
      </c>
      <c r="H561" t="s">
        <v>5</v>
      </c>
      <c r="I561" cm="1">
        <f t="array" ref="I561">IF(B561=0,INDEX('Category 14'!F:F,MATCH(C561&amp;E561&amp;D561,'Category 14'!B:B&amp;'Category 14'!C:C&amp;'Category 14'!A:A,0)),INDEX('Category 14'!G:G,MATCH(C561&amp;E561&amp;D561,'Category 14'!B:B&amp;'Category 14'!C:C&amp;'Category 14'!A:A,0)))</f>
        <v>0</v>
      </c>
      <c r="J561">
        <f>I561/VLOOKUP($D561,CPI!$P$16:$R$22,3,FALSE)</f>
        <v>0</v>
      </c>
      <c r="K561" cm="1">
        <f t="array" ref="K561">IF(B561=0,INDEX('Category 15'!F:F,MATCH(C561&amp;E561&amp;D561,'Category 15'!B:B&amp;'Category 15'!C:C&amp;'Category 15'!A:A,0)),INDEX('Category 15'!G:G,MATCH(C561&amp;E561&amp;D561,'Category 15'!B:B&amp;'Category 31'!C:C&amp;'Category 15'!A:A,0)))</f>
        <v>0</v>
      </c>
      <c r="L561">
        <f>K561/VLOOKUP($D561,CPI!$P$16:$R$22,3,FALSE)</f>
        <v>0</v>
      </c>
      <c r="M561" s="16" cm="1">
        <f t="array" ref="M561">IF(B561=0,INDEX('Category 31'!F:F,MATCH(C561&amp;E561&amp;D561,'Category 31'!B:B&amp;'Category 31'!C:C&amp;'Category 31'!A:A,0)),INDEX('Category 31'!G:G,MATCH(C561&amp;E561&amp;D561,'Category 31'!B:B&amp;'Category 31'!C:C&amp;'Category 31'!A:A,0)))</f>
        <v>0</v>
      </c>
      <c r="N561" s="16">
        <f>M561/VLOOKUP($D561,CPI!$P$16:$R$22,3,FALSE)</f>
        <v>0</v>
      </c>
      <c r="O561">
        <f>VLOOKUP(E561,WSoccer!C:S,11,FALSE)</f>
        <v>3344</v>
      </c>
    </row>
    <row r="562" spans="1:15" ht="16" thickBot="1" x14ac:dyDescent="0.25">
      <c r="A562" s="15">
        <v>2</v>
      </c>
      <c r="B562">
        <f t="shared" si="8"/>
        <v>1</v>
      </c>
      <c r="C562">
        <f>IF(ISBLANK(H562),"",VLOOKUP(H562,Code!B:C,2,FALSE))</f>
        <v>18</v>
      </c>
      <c r="D562">
        <v>2022</v>
      </c>
      <c r="E562">
        <v>199218</v>
      </c>
      <c r="F562" t="s">
        <v>166</v>
      </c>
      <c r="G562" t="s">
        <v>290</v>
      </c>
      <c r="H562" t="s">
        <v>6</v>
      </c>
      <c r="I562" cm="1">
        <f t="array" ref="I562">IF(B562=0,INDEX('Category 14'!F:F,MATCH(C562&amp;E562&amp;D562,'Category 14'!B:B&amp;'Category 14'!C:C&amp;'Category 14'!A:A,0)),INDEX('Category 14'!G:G,MATCH(C562&amp;E562&amp;D562,'Category 14'!B:B&amp;'Category 14'!C:C&amp;'Category 14'!A:A,0)))</f>
        <v>0</v>
      </c>
      <c r="J562">
        <f>I562/VLOOKUP($D562,CPI!$P$16:$R$22,3,FALSE)</f>
        <v>0</v>
      </c>
      <c r="K562" cm="1">
        <f t="array" ref="K562">IF(B562=0,INDEX('Category 15'!F:F,MATCH(C562&amp;E562&amp;D562,'Category 15'!B:B&amp;'Category 15'!C:C&amp;'Category 15'!A:A,0)),INDEX('Category 15'!G:G,MATCH(C562&amp;E562&amp;D562,'Category 15'!B:B&amp;'Category 31'!C:C&amp;'Category 15'!A:A,0)))</f>
        <v>0</v>
      </c>
      <c r="L562">
        <f>K562/VLOOKUP($D562,CPI!$P$16:$R$22,3,FALSE)</f>
        <v>0</v>
      </c>
      <c r="M562" s="16" cm="1">
        <f t="array" ref="M562">IF(B562=0,INDEX('Category 31'!F:F,MATCH(C562&amp;E562&amp;D562,'Category 31'!B:B&amp;'Category 31'!C:C&amp;'Category 31'!A:A,0)),INDEX('Category 31'!G:G,MATCH(C562&amp;E562&amp;D562,'Category 31'!B:B&amp;'Category 31'!C:C&amp;'Category 31'!A:A,0)))</f>
        <v>0</v>
      </c>
      <c r="N562" s="16">
        <f>M562/VLOOKUP($D562,CPI!$P$16:$R$22,3,FALSE)</f>
        <v>0</v>
      </c>
      <c r="O562">
        <f>VLOOKUP(E562,WSoftball!C:S,11,FALSE)</f>
        <v>4679</v>
      </c>
    </row>
    <row r="563" spans="1:15" ht="16" thickBot="1" x14ac:dyDescent="0.25">
      <c r="A563" s="15">
        <v>2</v>
      </c>
      <c r="B563">
        <f t="shared" si="8"/>
        <v>1</v>
      </c>
      <c r="C563">
        <f>IF(ISBLANK(H563),"",VLOOKUP(H563,Code!B:C,2,FALSE))</f>
        <v>19</v>
      </c>
      <c r="D563">
        <v>2022</v>
      </c>
      <c r="E563">
        <v>199218</v>
      </c>
      <c r="F563" t="s">
        <v>166</v>
      </c>
      <c r="G563" t="s">
        <v>290</v>
      </c>
      <c r="H563" t="s">
        <v>7</v>
      </c>
      <c r="I563" cm="1">
        <f t="array" ref="I563">IF(B563=0,INDEX('Category 14'!F:F,MATCH(C563&amp;E563&amp;D563,'Category 14'!B:B&amp;'Category 14'!C:C&amp;'Category 14'!A:A,0)),INDEX('Category 14'!G:G,MATCH(C563&amp;E563&amp;D563,'Category 14'!B:B&amp;'Category 14'!C:C&amp;'Category 14'!A:A,0)))</f>
        <v>0</v>
      </c>
      <c r="J563">
        <f>I563/VLOOKUP($D563,CPI!$P$16:$R$22,3,FALSE)</f>
        <v>0</v>
      </c>
      <c r="K563" cm="1">
        <f t="array" ref="K563">IF(B563=0,INDEX('Category 15'!F:F,MATCH(C563&amp;E563&amp;D563,'Category 15'!B:B&amp;'Category 15'!C:C&amp;'Category 15'!A:A,0)),INDEX('Category 15'!G:G,MATCH(C563&amp;E563&amp;D563,'Category 15'!B:B&amp;'Category 31'!C:C&amp;'Category 15'!A:A,0)))</f>
        <v>0</v>
      </c>
      <c r="L563">
        <f>K563/VLOOKUP($D563,CPI!$P$16:$R$22,3,FALSE)</f>
        <v>0</v>
      </c>
      <c r="M563" s="16" cm="1">
        <f t="array" ref="M563">IF(B563=0,INDEX('Category 31'!F:F,MATCH(C563&amp;E563&amp;D563,'Category 31'!B:B&amp;'Category 31'!C:C&amp;'Category 31'!A:A,0)),INDEX('Category 31'!G:G,MATCH(C563&amp;E563&amp;D563,'Category 31'!B:B&amp;'Category 31'!C:C&amp;'Category 31'!A:A,0)))</f>
        <v>0</v>
      </c>
      <c r="N563" s="16">
        <f>M563/VLOOKUP($D563,CPI!$P$16:$R$22,3,FALSE)</f>
        <v>0</v>
      </c>
      <c r="O563">
        <v>0</v>
      </c>
    </row>
    <row r="564" spans="1:15" ht="16" thickBot="1" x14ac:dyDescent="0.25">
      <c r="A564" s="15">
        <v>2</v>
      </c>
      <c r="B564">
        <f t="shared" si="8"/>
        <v>1</v>
      </c>
      <c r="C564">
        <f>IF(ISBLANK(H564),"",VLOOKUP(H564,Code!B:C,2,FALSE))</f>
        <v>20</v>
      </c>
      <c r="D564">
        <v>2022</v>
      </c>
      <c r="E564">
        <v>199218</v>
      </c>
      <c r="F564" t="s">
        <v>166</v>
      </c>
      <c r="G564" t="s">
        <v>290</v>
      </c>
      <c r="H564" t="s">
        <v>8</v>
      </c>
      <c r="I564" cm="1">
        <f t="array" ref="I564">IF(B564=0,INDEX('Category 14'!F:F,MATCH(C564&amp;E564&amp;D564,'Category 14'!B:B&amp;'Category 14'!C:C&amp;'Category 14'!A:A,0)),INDEX('Category 14'!G:G,MATCH(C564&amp;E564&amp;D564,'Category 14'!B:B&amp;'Category 14'!C:C&amp;'Category 14'!A:A,0)))</f>
        <v>0</v>
      </c>
      <c r="J564">
        <f>I564/VLOOKUP($D564,CPI!$P$16:$R$22,3,FALSE)</f>
        <v>0</v>
      </c>
      <c r="K564" cm="1">
        <f t="array" ref="K564">IF(B564=0,INDEX('Category 15'!F:F,MATCH(C564&amp;E564&amp;D564,'Category 15'!B:B&amp;'Category 15'!C:C&amp;'Category 15'!A:A,0)),INDEX('Category 15'!G:G,MATCH(C564&amp;E564&amp;D564,'Category 15'!B:B&amp;'Category 31'!C:C&amp;'Category 15'!A:A,0)))</f>
        <v>0</v>
      </c>
      <c r="L564">
        <f>K564/VLOOKUP($D564,CPI!$P$16:$R$22,3,FALSE)</f>
        <v>0</v>
      </c>
      <c r="M564" s="16" cm="1">
        <f t="array" ref="M564">IF(B564=0,INDEX('Category 31'!F:F,MATCH(C564&amp;E564&amp;D564,'Category 31'!B:B&amp;'Category 31'!C:C&amp;'Category 31'!A:A,0)),INDEX('Category 31'!G:G,MATCH(C564&amp;E564&amp;D564,'Category 31'!B:B&amp;'Category 31'!C:C&amp;'Category 31'!A:A,0)))</f>
        <v>233</v>
      </c>
      <c r="N564" s="16">
        <f>M564/VLOOKUP($D564,CPI!$P$16:$R$22,3,FALSE)</f>
        <v>247.59053807286594</v>
      </c>
      <c r="O564">
        <v>0</v>
      </c>
    </row>
    <row r="565" spans="1:15" ht="16" thickBot="1" x14ac:dyDescent="0.25">
      <c r="A565" s="15">
        <v>2</v>
      </c>
      <c r="B565">
        <f t="shared" si="8"/>
        <v>1</v>
      </c>
      <c r="C565">
        <f>IF(ISBLANK(H565),"",VLOOKUP(H565,Code!B:C,2,FALSE))</f>
        <v>21</v>
      </c>
      <c r="D565">
        <v>2022</v>
      </c>
      <c r="E565">
        <v>199218</v>
      </c>
      <c r="F565" t="s">
        <v>166</v>
      </c>
      <c r="G565" t="s">
        <v>290</v>
      </c>
      <c r="H565" t="s">
        <v>36</v>
      </c>
      <c r="I565" cm="1">
        <f t="array" ref="I565">IF(B565=0,INDEX('Category 14'!F:F,MATCH(C565&amp;E565&amp;D565,'Category 14'!B:B&amp;'Category 14'!C:C&amp;'Category 14'!A:A,0)),INDEX('Category 14'!G:G,MATCH(C565&amp;E565&amp;D565,'Category 14'!B:B&amp;'Category 14'!C:C&amp;'Category 14'!A:A,0)))</f>
        <v>0</v>
      </c>
      <c r="J565">
        <f>I565/VLOOKUP($D565,CPI!$P$16:$R$22,3,FALSE)</f>
        <v>0</v>
      </c>
      <c r="K565" cm="1">
        <f t="array" ref="K565">IF(B565=0,INDEX('Category 15'!F:F,MATCH(C565&amp;E565&amp;D565,'Category 15'!B:B&amp;'Category 15'!C:C&amp;'Category 15'!A:A,0)),INDEX('Category 15'!G:G,MATCH(C565&amp;E565&amp;D565,'Category 15'!B:B&amp;'Category 31'!C:C&amp;'Category 15'!A:A,0)))</f>
        <v>0</v>
      </c>
      <c r="L565">
        <f>K565/VLOOKUP($D565,CPI!$P$16:$R$22,3,FALSE)</f>
        <v>0</v>
      </c>
      <c r="M565" s="16" cm="1">
        <f t="array" ref="M565">IF(B565=0,INDEX('Category 31'!F:F,MATCH(C565&amp;E565&amp;D565,'Category 31'!B:B&amp;'Category 31'!C:C&amp;'Category 31'!A:A,0)),INDEX('Category 31'!G:G,MATCH(C565&amp;E565&amp;D565,'Category 31'!B:B&amp;'Category 31'!C:C&amp;'Category 31'!A:A,0)))</f>
        <v>0</v>
      </c>
      <c r="N565" s="16">
        <f>M565/VLOOKUP($D565,CPI!$P$16:$R$22,3,FALSE)</f>
        <v>0</v>
      </c>
      <c r="O565">
        <v>0</v>
      </c>
    </row>
    <row r="566" spans="1:15" ht="16" thickBot="1" x14ac:dyDescent="0.25">
      <c r="A566" s="15">
        <v>2</v>
      </c>
      <c r="B566">
        <f t="shared" si="8"/>
        <v>1</v>
      </c>
      <c r="C566">
        <f>IF(ISBLANK(H566),"",VLOOKUP(H566,Code!B:C,2,FALSE))</f>
        <v>23</v>
      </c>
      <c r="D566">
        <v>2022</v>
      </c>
      <c r="E566">
        <v>199218</v>
      </c>
      <c r="F566" t="s">
        <v>166</v>
      </c>
      <c r="G566" t="s">
        <v>290</v>
      </c>
      <c r="H566" t="s">
        <v>10</v>
      </c>
      <c r="I566" cm="1">
        <f t="array" ref="I566">IF(B566=0,INDEX('Category 14'!F:F,MATCH(C566&amp;E566&amp;D566,'Category 14'!B:B&amp;'Category 14'!C:C&amp;'Category 14'!A:A,0)),INDEX('Category 14'!G:G,MATCH(C566&amp;E566&amp;D566,'Category 14'!B:B&amp;'Category 14'!C:C&amp;'Category 14'!A:A,0)))</f>
        <v>0</v>
      </c>
      <c r="J566">
        <f>I566/VLOOKUP($D566,CPI!$P$16:$R$22,3,FALSE)</f>
        <v>0</v>
      </c>
      <c r="K566" cm="1">
        <f t="array" ref="K566">IF(B566=0,INDEX('Category 15'!F:F,MATCH(C566&amp;E566&amp;D566,'Category 15'!B:B&amp;'Category 15'!C:C&amp;'Category 15'!A:A,0)),INDEX('Category 15'!G:G,MATCH(C566&amp;E566&amp;D566,'Category 15'!B:B&amp;'Category 31'!C:C&amp;'Category 15'!A:A,0)))</f>
        <v>0</v>
      </c>
      <c r="L566">
        <f>K566/VLOOKUP($D566,CPI!$P$16:$R$22,3,FALSE)</f>
        <v>0</v>
      </c>
      <c r="M566" s="16" cm="1">
        <f t="array" ref="M566">IF(B566=0,INDEX('Category 31'!F:F,MATCH(C566&amp;E566&amp;D566,'Category 31'!B:B&amp;'Category 31'!C:C&amp;'Category 31'!A:A,0)),INDEX('Category 31'!G:G,MATCH(C566&amp;E566&amp;D566,'Category 31'!B:B&amp;'Category 31'!C:C&amp;'Category 31'!A:A,0)))</f>
        <v>1541</v>
      </c>
      <c r="N566" s="16">
        <f>M566/VLOOKUP($D566,CPI!$P$16:$R$22,3,FALSE)</f>
        <v>1637.4979363531606</v>
      </c>
      <c r="O566">
        <f>VLOOKUP(E566,WVolleyball!C:S,11,FALSE)</f>
        <v>1707</v>
      </c>
    </row>
    <row r="567" spans="1:15" ht="16" thickBot="1" x14ac:dyDescent="0.25">
      <c r="A567" s="15">
        <v>2</v>
      </c>
      <c r="B567">
        <f t="shared" si="8"/>
        <v>0</v>
      </c>
      <c r="C567">
        <f>IF(ISBLANK(H567),"",VLOOKUP(H567,Code!B:C,2,FALSE))</f>
        <v>1</v>
      </c>
      <c r="D567">
        <v>2023</v>
      </c>
      <c r="E567">
        <v>199218</v>
      </c>
      <c r="F567" t="s">
        <v>166</v>
      </c>
      <c r="G567" t="s">
        <v>289</v>
      </c>
      <c r="H567" t="s">
        <v>0</v>
      </c>
      <c r="I567" cm="1">
        <f t="array" ref="I567">IF(B567=0,INDEX('Category 14'!F:F,MATCH(C567&amp;E567&amp;D567,'Category 14'!B:B&amp;'Category 14'!C:C&amp;'Category 14'!A:A,0)),INDEX('Category 14'!G:G,MATCH(C567&amp;E567&amp;D567,'Category 14'!B:B&amp;'Category 14'!C:C&amp;'Category 14'!A:A,0)))</f>
        <v>0</v>
      </c>
      <c r="J567">
        <f>I567/VLOOKUP($D567,CPI!$P$16:$R$22,3,FALSE)</f>
        <v>0</v>
      </c>
      <c r="K567" cm="1">
        <f t="array" ref="K567">IF(B567=0,INDEX('Category 15'!F:F,MATCH(C567&amp;E567&amp;D567,'Category 15'!B:B&amp;'Category 15'!C:C&amp;'Category 15'!A:A,0)),INDEX('Category 15'!G:G,MATCH(C567&amp;E567&amp;D567,'Category 15'!B:B&amp;'Category 31'!C:C&amp;'Category 15'!A:A,0)))</f>
        <v>0</v>
      </c>
      <c r="L567">
        <f>K567/VLOOKUP($D567,CPI!$P$16:$R$22,3,FALSE)</f>
        <v>0</v>
      </c>
      <c r="M567" s="16" cm="1">
        <f t="array" ref="M567">IF(B567=0,INDEX('Category 31'!F:F,MATCH(C567&amp;E567&amp;D567,'Category 31'!B:B&amp;'Category 31'!C:C&amp;'Category 31'!A:A,0)),INDEX('Category 31'!G:G,MATCH(C567&amp;E567&amp;D567,'Category 31'!B:B&amp;'Category 31'!C:C&amp;'Category 31'!A:A,0)))</f>
        <v>0</v>
      </c>
      <c r="N567" s="16">
        <f>M567/VLOOKUP($D567,CPI!$P$16:$R$22,3,FALSE)</f>
        <v>0</v>
      </c>
      <c r="O567">
        <f>VLOOKUP(E471,MBaseball!C:R,12,FALSE)</f>
        <v>35614</v>
      </c>
    </row>
    <row r="568" spans="1:15" ht="16" thickBot="1" x14ac:dyDescent="0.25">
      <c r="A568" s="15">
        <v>2</v>
      </c>
      <c r="B568">
        <f t="shared" si="8"/>
        <v>0</v>
      </c>
      <c r="C568">
        <f>IF(ISBLANK(H568),"",VLOOKUP(H568,Code!B:C,2,FALSE))</f>
        <v>2</v>
      </c>
      <c r="D568">
        <v>2023</v>
      </c>
      <c r="E568">
        <v>199218</v>
      </c>
      <c r="F568" t="s">
        <v>166</v>
      </c>
      <c r="G568" t="s">
        <v>289</v>
      </c>
      <c r="H568" t="s">
        <v>1</v>
      </c>
      <c r="I568" cm="1">
        <f t="array" ref="I568">IF(B568=0,INDEX('Category 14'!F:F,MATCH(C568&amp;E568&amp;D568,'Category 14'!B:B&amp;'Category 14'!C:C&amp;'Category 14'!A:A,0)),INDEX('Category 14'!G:G,MATCH(C568&amp;E568&amp;D568,'Category 14'!B:B&amp;'Category 14'!C:C&amp;'Category 14'!A:A,0)))</f>
        <v>0</v>
      </c>
      <c r="J568">
        <f>I568/VLOOKUP($D568,CPI!$P$16:$R$22,3,FALSE)</f>
        <v>0</v>
      </c>
      <c r="K568" cm="1">
        <f t="array" ref="K568">IF(B568=0,INDEX('Category 15'!F:F,MATCH(C568&amp;E568&amp;D568,'Category 15'!B:B&amp;'Category 15'!C:C&amp;'Category 15'!A:A,0)),INDEX('Category 15'!G:G,MATCH(C568&amp;E568&amp;D568,'Category 15'!B:B&amp;'Category 31'!C:C&amp;'Category 15'!A:A,0)))</f>
        <v>0</v>
      </c>
      <c r="L568">
        <f>K568/VLOOKUP($D568,CPI!$P$16:$R$22,3,FALSE)</f>
        <v>0</v>
      </c>
      <c r="M568" s="16" cm="1">
        <f t="array" ref="M568">IF(B568=0,INDEX('Category 31'!F:F,MATCH(C568&amp;E568&amp;D568,'Category 31'!B:B&amp;'Category 31'!C:C&amp;'Category 31'!A:A,0)),INDEX('Category 31'!G:G,MATCH(C568&amp;E568&amp;D568,'Category 31'!B:B&amp;'Category 31'!C:C&amp;'Category 31'!A:A,0)))</f>
        <v>1727</v>
      </c>
      <c r="N568" s="16">
        <f>M568/VLOOKUP($D568,CPI!$P$16:$R$22,3,FALSE)</f>
        <v>1727</v>
      </c>
      <c r="O568">
        <f>VLOOKUP(E568,MBasketball!C:S,12,FALSE)</f>
        <v>56671</v>
      </c>
    </row>
    <row r="569" spans="1:15" ht="16" thickBot="1" x14ac:dyDescent="0.25">
      <c r="A569" s="15">
        <v>2</v>
      </c>
      <c r="B569">
        <f t="shared" si="8"/>
        <v>0</v>
      </c>
      <c r="C569">
        <f>IF(ISBLANK(H569),"",VLOOKUP(H569,Code!B:C,2,FALSE))</f>
        <v>9</v>
      </c>
      <c r="D569">
        <v>2023</v>
      </c>
      <c r="E569">
        <v>199218</v>
      </c>
      <c r="F569" t="s">
        <v>166</v>
      </c>
      <c r="G569" t="s">
        <v>289</v>
      </c>
      <c r="H569" t="s">
        <v>3</v>
      </c>
      <c r="I569" cm="1">
        <f t="array" ref="I569">IF(B569=0,INDEX('Category 14'!F:F,MATCH(C569&amp;E569&amp;D569,'Category 14'!B:B&amp;'Category 14'!C:C&amp;'Category 14'!A:A,0)),INDEX('Category 14'!G:G,MATCH(C569&amp;E569&amp;D569,'Category 14'!B:B&amp;'Category 14'!C:C&amp;'Category 14'!A:A,0)))</f>
        <v>0</v>
      </c>
      <c r="J569">
        <f>I569/VLOOKUP($D569,CPI!$P$16:$R$22,3,FALSE)</f>
        <v>0</v>
      </c>
      <c r="K569" cm="1">
        <f t="array" ref="K569">IF(B569=0,INDEX('Category 15'!F:F,MATCH(C569&amp;E569&amp;D569,'Category 15'!B:B&amp;'Category 15'!C:C&amp;'Category 15'!A:A,0)),INDEX('Category 15'!G:G,MATCH(C569&amp;E569&amp;D569,'Category 15'!B:B&amp;'Category 31'!C:C&amp;'Category 15'!A:A,0)))</f>
        <v>0</v>
      </c>
      <c r="L569">
        <f>K569/VLOOKUP($D569,CPI!$P$16:$R$22,3,FALSE)</f>
        <v>0</v>
      </c>
      <c r="M569" s="16" cm="1">
        <f t="array" ref="M569">IF(B569=0,INDEX('Category 31'!F:F,MATCH(C569&amp;E569&amp;D569,'Category 31'!B:B&amp;'Category 31'!C:C&amp;'Category 31'!A:A,0)),INDEX('Category 31'!G:G,MATCH(C569&amp;E569&amp;D569,'Category 31'!B:B&amp;'Category 31'!C:C&amp;'Category 31'!A:A,0)))</f>
        <v>0</v>
      </c>
      <c r="N569" s="16">
        <f>M569/VLOOKUP($D569,CPI!$P$16:$R$22,3,FALSE)</f>
        <v>0</v>
      </c>
      <c r="O569">
        <v>0</v>
      </c>
    </row>
    <row r="570" spans="1:15" ht="16" thickBot="1" x14ac:dyDescent="0.25">
      <c r="A570" s="15">
        <v>2</v>
      </c>
      <c r="B570">
        <f t="shared" si="8"/>
        <v>0</v>
      </c>
      <c r="C570">
        <f>IF(ISBLANK(H570),"",VLOOKUP(H570,Code!B:C,2,FALSE))</f>
        <v>17</v>
      </c>
      <c r="D570">
        <v>2023</v>
      </c>
      <c r="E570">
        <v>199218</v>
      </c>
      <c r="F570" t="s">
        <v>166</v>
      </c>
      <c r="G570" t="s">
        <v>289</v>
      </c>
      <c r="H570" t="s">
        <v>5</v>
      </c>
      <c r="I570" cm="1">
        <f t="array" ref="I570">IF(B570=0,INDEX('Category 14'!F:F,MATCH(C570&amp;E570&amp;D570,'Category 14'!B:B&amp;'Category 14'!C:C&amp;'Category 14'!A:A,0)),INDEX('Category 14'!G:G,MATCH(C570&amp;E570&amp;D570,'Category 14'!B:B&amp;'Category 14'!C:C&amp;'Category 14'!A:A,0)))</f>
        <v>0</v>
      </c>
      <c r="J570">
        <f>I570/VLOOKUP($D570,CPI!$P$16:$R$22,3,FALSE)</f>
        <v>0</v>
      </c>
      <c r="K570" cm="1">
        <f t="array" ref="K570">IF(B570=0,INDEX('Category 15'!F:F,MATCH(C570&amp;E570&amp;D570,'Category 15'!B:B&amp;'Category 15'!C:C&amp;'Category 15'!A:A,0)),INDEX('Category 15'!G:G,MATCH(C570&amp;E570&amp;D570,'Category 15'!B:B&amp;'Category 31'!C:C&amp;'Category 15'!A:A,0)))</f>
        <v>0</v>
      </c>
      <c r="L570">
        <f>K570/VLOOKUP($D570,CPI!$P$16:$R$22,3,FALSE)</f>
        <v>0</v>
      </c>
      <c r="M570" s="16" cm="1">
        <f t="array" ref="M570">IF(B570=0,INDEX('Category 31'!F:F,MATCH(C570&amp;E570&amp;D570,'Category 31'!B:B&amp;'Category 31'!C:C&amp;'Category 31'!A:A,0)),INDEX('Category 31'!G:G,MATCH(C570&amp;E570&amp;D570,'Category 31'!B:B&amp;'Category 31'!C:C&amp;'Category 31'!A:A,0)))</f>
        <v>0</v>
      </c>
      <c r="N570" s="16">
        <f>M570/VLOOKUP($D570,CPI!$P$16:$R$22,3,FALSE)</f>
        <v>0</v>
      </c>
      <c r="O570">
        <f>VLOOKUP(E570,MSoccer!C:S,12,FALSE)</f>
        <v>7067</v>
      </c>
    </row>
    <row r="571" spans="1:15" ht="16" thickBot="1" x14ac:dyDescent="0.25">
      <c r="A571" s="15">
        <v>2</v>
      </c>
      <c r="B571">
        <f t="shared" si="8"/>
        <v>0</v>
      </c>
      <c r="C571">
        <f>IF(ISBLANK(H571),"",VLOOKUP(H571,Code!B:C,2,FALSE))</f>
        <v>19</v>
      </c>
      <c r="D571">
        <v>2023</v>
      </c>
      <c r="E571">
        <v>199218</v>
      </c>
      <c r="F571" t="s">
        <v>166</v>
      </c>
      <c r="G571" t="s">
        <v>289</v>
      </c>
      <c r="H571" t="s">
        <v>7</v>
      </c>
      <c r="I571" cm="1">
        <f t="array" ref="I571">IF(B571=0,INDEX('Category 14'!F:F,MATCH(C571&amp;E571&amp;D571,'Category 14'!B:B&amp;'Category 14'!C:C&amp;'Category 14'!A:A,0)),INDEX('Category 14'!G:G,MATCH(C571&amp;E571&amp;D571,'Category 14'!B:B&amp;'Category 14'!C:C&amp;'Category 14'!A:A,0)))</f>
        <v>0</v>
      </c>
      <c r="J571">
        <f>I571/VLOOKUP($D571,CPI!$P$16:$R$22,3,FALSE)</f>
        <v>0</v>
      </c>
      <c r="K571" cm="1">
        <f t="array" ref="K571">IF(B571=0,INDEX('Category 15'!F:F,MATCH(C571&amp;E571&amp;D571,'Category 15'!B:B&amp;'Category 15'!C:C&amp;'Category 15'!A:A,0)),INDEX('Category 15'!G:G,MATCH(C571&amp;E571&amp;D571,'Category 15'!B:B&amp;'Category 31'!C:C&amp;'Category 15'!A:A,0)))</f>
        <v>0</v>
      </c>
      <c r="L571">
        <f>K571/VLOOKUP($D571,CPI!$P$16:$R$22,3,FALSE)</f>
        <v>0</v>
      </c>
      <c r="M571" s="16" cm="1">
        <f t="array" ref="M571">IF(B571=0,INDEX('Category 31'!F:F,MATCH(C571&amp;E571&amp;D571,'Category 31'!B:B&amp;'Category 31'!C:C&amp;'Category 31'!A:A,0)),INDEX('Category 31'!G:G,MATCH(C571&amp;E571&amp;D571,'Category 31'!B:B&amp;'Category 31'!C:C&amp;'Category 31'!A:A,0)))</f>
        <v>0</v>
      </c>
      <c r="N571" s="16">
        <f>M571/VLOOKUP($D571,CPI!$P$16:$R$22,3,FALSE)</f>
        <v>0</v>
      </c>
      <c r="O571">
        <v>0</v>
      </c>
    </row>
    <row r="572" spans="1:15" ht="16" thickBot="1" x14ac:dyDescent="0.25">
      <c r="A572" s="15">
        <v>2</v>
      </c>
      <c r="B572">
        <f t="shared" si="8"/>
        <v>0</v>
      </c>
      <c r="C572">
        <f>IF(ISBLANK(H572),"",VLOOKUP(H572,Code!B:C,2,FALSE))</f>
        <v>20</v>
      </c>
      <c r="D572">
        <v>2023</v>
      </c>
      <c r="E572">
        <v>199218</v>
      </c>
      <c r="F572" t="s">
        <v>166</v>
      </c>
      <c r="G572" t="s">
        <v>289</v>
      </c>
      <c r="H572" t="s">
        <v>8</v>
      </c>
      <c r="I572" cm="1">
        <f t="array" ref="I572">IF(B572=0,INDEX('Category 14'!F:F,MATCH(C572&amp;E572&amp;D572,'Category 14'!B:B&amp;'Category 14'!C:C&amp;'Category 14'!A:A,0)),INDEX('Category 14'!G:G,MATCH(C572&amp;E572&amp;D572,'Category 14'!B:B&amp;'Category 14'!C:C&amp;'Category 14'!A:A,0)))</f>
        <v>0</v>
      </c>
      <c r="J572">
        <f>I572/VLOOKUP($D572,CPI!$P$16:$R$22,3,FALSE)</f>
        <v>0</v>
      </c>
      <c r="K572" cm="1">
        <f t="array" ref="K572">IF(B572=0,INDEX('Category 15'!F:F,MATCH(C572&amp;E572&amp;D572,'Category 15'!B:B&amp;'Category 15'!C:C&amp;'Category 15'!A:A,0)),INDEX('Category 15'!G:G,MATCH(C572&amp;E572&amp;D572,'Category 15'!B:B&amp;'Category 31'!C:C&amp;'Category 15'!A:A,0)))</f>
        <v>0</v>
      </c>
      <c r="L572">
        <f>K572/VLOOKUP($D572,CPI!$P$16:$R$22,3,FALSE)</f>
        <v>0</v>
      </c>
      <c r="M572" s="16" cm="1">
        <f t="array" ref="M572">IF(B572=0,INDEX('Category 31'!F:F,MATCH(C572&amp;E572&amp;D572,'Category 31'!B:B&amp;'Category 31'!C:C&amp;'Category 31'!A:A,0)),INDEX('Category 31'!G:G,MATCH(C572&amp;E572&amp;D572,'Category 31'!B:B&amp;'Category 31'!C:C&amp;'Category 31'!A:A,0)))</f>
        <v>0</v>
      </c>
      <c r="N572" s="16">
        <f>M572/VLOOKUP($D572,CPI!$P$16:$R$22,3,FALSE)</f>
        <v>0</v>
      </c>
      <c r="O572">
        <v>0</v>
      </c>
    </row>
    <row r="573" spans="1:15" ht="16" thickBot="1" x14ac:dyDescent="0.25">
      <c r="A573" s="15">
        <v>2</v>
      </c>
      <c r="B573">
        <f t="shared" si="8"/>
        <v>0</v>
      </c>
      <c r="C573">
        <f>IF(ISBLANK(H573),"",VLOOKUP(H573,Code!B:C,2,FALSE))</f>
        <v>21</v>
      </c>
      <c r="D573">
        <v>2023</v>
      </c>
      <c r="E573">
        <v>199218</v>
      </c>
      <c r="F573" t="s">
        <v>166</v>
      </c>
      <c r="G573" t="s">
        <v>289</v>
      </c>
      <c r="H573" t="s">
        <v>9</v>
      </c>
      <c r="I573" cm="1">
        <f t="array" ref="I573">IF(B573=0,INDEX('Category 14'!F:F,MATCH(C573&amp;E573&amp;D573,'Category 14'!B:B&amp;'Category 14'!C:C&amp;'Category 14'!A:A,0)),INDEX('Category 14'!G:G,MATCH(C573&amp;E573&amp;D573,'Category 14'!B:B&amp;'Category 14'!C:C&amp;'Category 14'!A:A,0)))</f>
        <v>0</v>
      </c>
      <c r="J573">
        <f>I573/VLOOKUP($D573,CPI!$P$16:$R$22,3,FALSE)</f>
        <v>0</v>
      </c>
      <c r="K573" cm="1">
        <f t="array" ref="K573">IF(B573=0,INDEX('Category 15'!F:F,MATCH(C573&amp;E573&amp;D573,'Category 15'!B:B&amp;'Category 15'!C:C&amp;'Category 15'!A:A,0)),INDEX('Category 15'!G:G,MATCH(C573&amp;E573&amp;D573,'Category 15'!B:B&amp;'Category 31'!C:C&amp;'Category 15'!A:A,0)))</f>
        <v>2850</v>
      </c>
      <c r="L573">
        <f>K573/VLOOKUP($D573,CPI!$P$16:$R$22,3,FALSE)</f>
        <v>2850</v>
      </c>
      <c r="M573" s="16" cm="1">
        <f t="array" ref="M573">IF(B573=0,INDEX('Category 31'!F:F,MATCH(C573&amp;E573&amp;D573,'Category 31'!B:B&amp;'Category 31'!C:C&amp;'Category 31'!A:A,0)),INDEX('Category 31'!G:G,MATCH(C573&amp;E573&amp;D573,'Category 31'!B:B&amp;'Category 31'!C:C&amp;'Category 31'!A:A,0)))</f>
        <v>0</v>
      </c>
      <c r="N573" s="16">
        <f>M573/VLOOKUP($D573,CPI!$P$16:$R$22,3,FALSE)</f>
        <v>0</v>
      </c>
      <c r="O573">
        <v>0</v>
      </c>
    </row>
    <row r="574" spans="1:15" ht="16" thickBot="1" x14ac:dyDescent="0.25">
      <c r="A574" s="15">
        <v>2</v>
      </c>
      <c r="B574">
        <f t="shared" si="8"/>
        <v>1</v>
      </c>
      <c r="C574">
        <f>IF(ISBLANK(H574),"",VLOOKUP(H574,Code!B:C,2,FALSE))</f>
        <v>2</v>
      </c>
      <c r="D574">
        <v>2023</v>
      </c>
      <c r="E574">
        <v>199218</v>
      </c>
      <c r="F574" t="s">
        <v>166</v>
      </c>
      <c r="G574" t="s">
        <v>290</v>
      </c>
      <c r="H574" t="s">
        <v>1</v>
      </c>
      <c r="I574" cm="1">
        <f t="array" ref="I574">IF(B574=0,INDEX('Category 14'!F:F,MATCH(C574&amp;E574&amp;D574,'Category 14'!B:B&amp;'Category 14'!C:C&amp;'Category 14'!A:A,0)),INDEX('Category 14'!G:G,MATCH(C574&amp;E574&amp;D574,'Category 14'!B:B&amp;'Category 14'!C:C&amp;'Category 14'!A:A,0)))</f>
        <v>0</v>
      </c>
      <c r="J574">
        <f>I574/VLOOKUP($D574,CPI!$P$16:$R$22,3,FALSE)</f>
        <v>0</v>
      </c>
      <c r="K574" cm="1">
        <f t="array" ref="K574">IF(B574=0,INDEX('Category 15'!F:F,MATCH(C574&amp;E574&amp;D574,'Category 15'!B:B&amp;'Category 15'!C:C&amp;'Category 15'!A:A,0)),INDEX('Category 15'!G:G,MATCH(C574&amp;E574&amp;D574,'Category 15'!B:B&amp;'Category 31'!C:C&amp;'Category 15'!A:A,0)))</f>
        <v>0</v>
      </c>
      <c r="L574">
        <f>K574/VLOOKUP($D574,CPI!$P$16:$R$22,3,FALSE)</f>
        <v>0</v>
      </c>
      <c r="M574" s="16" cm="1">
        <f t="array" ref="M574">IF(B574=0,INDEX('Category 31'!F:F,MATCH(C574&amp;E574&amp;D574,'Category 31'!B:B&amp;'Category 31'!C:C&amp;'Category 31'!A:A,0)),INDEX('Category 31'!G:G,MATCH(C574&amp;E574&amp;D574,'Category 31'!B:B&amp;'Category 31'!C:C&amp;'Category 31'!A:A,0)))</f>
        <v>0</v>
      </c>
      <c r="N574" s="16">
        <f>M574/VLOOKUP($D574,CPI!$P$16:$R$22,3,FALSE)</f>
        <v>0</v>
      </c>
      <c r="O574">
        <f>VLOOKUP(E574,WBasketball!C:S,12,FALSE)</f>
        <v>11032</v>
      </c>
    </row>
    <row r="575" spans="1:15" ht="16" thickBot="1" x14ac:dyDescent="0.25">
      <c r="A575" s="15">
        <v>2</v>
      </c>
      <c r="B575">
        <f t="shared" si="8"/>
        <v>1</v>
      </c>
      <c r="C575">
        <f>IF(ISBLANK(H575),"",VLOOKUP(H575,Code!B:C,2,FALSE))</f>
        <v>3</v>
      </c>
      <c r="D575">
        <v>2023</v>
      </c>
      <c r="E575">
        <v>199218</v>
      </c>
      <c r="F575" t="s">
        <v>166</v>
      </c>
      <c r="G575" t="s">
        <v>290</v>
      </c>
      <c r="H575" t="s">
        <v>21</v>
      </c>
      <c r="I575" cm="1">
        <f t="array" ref="I575">IF(B575=0,INDEX('Category 14'!F:F,MATCH(C575&amp;E575&amp;D575,'Category 14'!B:B&amp;'Category 14'!C:C&amp;'Category 14'!A:A,0)),INDEX('Category 14'!G:G,MATCH(C575&amp;E575&amp;D575,'Category 14'!B:B&amp;'Category 14'!C:C&amp;'Category 14'!A:A,0)))</f>
        <v>0</v>
      </c>
      <c r="J575">
        <f>I575/VLOOKUP($D575,CPI!$P$16:$R$22,3,FALSE)</f>
        <v>0</v>
      </c>
      <c r="K575" cm="1">
        <f t="array" ref="K575">IF(B575=0,INDEX('Category 15'!F:F,MATCH(C575&amp;E575&amp;D575,'Category 15'!B:B&amp;'Category 15'!C:C&amp;'Category 15'!A:A,0)),INDEX('Category 15'!G:G,MATCH(C575&amp;E575&amp;D575,'Category 15'!B:B&amp;'Category 31'!C:C&amp;'Category 15'!A:A,0)))</f>
        <v>0</v>
      </c>
      <c r="L575">
        <f>K575/VLOOKUP($D575,CPI!$P$16:$R$22,3,FALSE)</f>
        <v>0</v>
      </c>
      <c r="M575" s="16" cm="1">
        <f t="array" ref="M575">IF(B575=0,INDEX('Category 31'!F:F,MATCH(C575&amp;E575&amp;D575,'Category 31'!B:B&amp;'Category 31'!C:C&amp;'Category 31'!A:A,0)),INDEX('Category 31'!G:G,MATCH(C575&amp;E575&amp;D575,'Category 31'!B:B&amp;'Category 31'!C:C&amp;'Category 31'!A:A,0)))</f>
        <v>0</v>
      </c>
      <c r="N575" s="16">
        <f>M575/VLOOKUP($D575,CPI!$P$16:$R$22,3,FALSE)</f>
        <v>0</v>
      </c>
      <c r="O575">
        <v>0</v>
      </c>
    </row>
    <row r="576" spans="1:15" ht="16" thickBot="1" x14ac:dyDescent="0.25">
      <c r="A576" s="15">
        <v>2</v>
      </c>
      <c r="B576">
        <f t="shared" si="8"/>
        <v>1</v>
      </c>
      <c r="C576">
        <f>IF(ISBLANK(H576),"",VLOOKUP(H576,Code!B:C,2,FALSE))</f>
        <v>9</v>
      </c>
      <c r="D576">
        <v>2023</v>
      </c>
      <c r="E576">
        <v>199218</v>
      </c>
      <c r="F576" t="s">
        <v>166</v>
      </c>
      <c r="G576" t="s">
        <v>290</v>
      </c>
      <c r="H576" t="s">
        <v>3</v>
      </c>
      <c r="I576" cm="1">
        <f t="array" ref="I576">IF(B576=0,INDEX('Category 14'!F:F,MATCH(C576&amp;E576&amp;D576,'Category 14'!B:B&amp;'Category 14'!C:C&amp;'Category 14'!A:A,0)),INDEX('Category 14'!G:G,MATCH(C576&amp;E576&amp;D576,'Category 14'!B:B&amp;'Category 14'!C:C&amp;'Category 14'!A:A,0)))</f>
        <v>0</v>
      </c>
      <c r="J576">
        <f>I576/VLOOKUP($D576,CPI!$P$16:$R$22,3,FALSE)</f>
        <v>0</v>
      </c>
      <c r="K576" cm="1">
        <f t="array" ref="K576">IF(B576=0,INDEX('Category 15'!F:F,MATCH(C576&amp;E576&amp;D576,'Category 15'!B:B&amp;'Category 15'!C:C&amp;'Category 15'!A:A,0)),INDEX('Category 15'!G:G,MATCH(C576&amp;E576&amp;D576,'Category 15'!B:B&amp;'Category 31'!C:C&amp;'Category 15'!A:A,0)))</f>
        <v>0</v>
      </c>
      <c r="L576">
        <f>K576/VLOOKUP($D576,CPI!$P$16:$R$22,3,FALSE)</f>
        <v>0</v>
      </c>
      <c r="M576" s="16" cm="1">
        <f t="array" ref="M576">IF(B576=0,INDEX('Category 31'!F:F,MATCH(C576&amp;E576&amp;D576,'Category 31'!B:B&amp;'Category 31'!C:C&amp;'Category 31'!A:A,0)),INDEX('Category 31'!G:G,MATCH(C576&amp;E576&amp;D576,'Category 31'!B:B&amp;'Category 31'!C:C&amp;'Category 31'!A:A,0)))</f>
        <v>573</v>
      </c>
      <c r="N576" s="16">
        <f>M576/VLOOKUP($D576,CPI!$P$16:$R$22,3,FALSE)</f>
        <v>573</v>
      </c>
      <c r="O576">
        <v>0</v>
      </c>
    </row>
    <row r="577" spans="1:15" ht="16" thickBot="1" x14ac:dyDescent="0.25">
      <c r="A577" s="15">
        <v>2</v>
      </c>
      <c r="B577">
        <f t="shared" si="8"/>
        <v>1</v>
      </c>
      <c r="C577">
        <f>IF(ISBLANK(H577),"",VLOOKUP(H577,Code!B:C,2,FALSE))</f>
        <v>17</v>
      </c>
      <c r="D577">
        <v>2023</v>
      </c>
      <c r="E577">
        <v>199218</v>
      </c>
      <c r="F577" t="s">
        <v>166</v>
      </c>
      <c r="G577" t="s">
        <v>290</v>
      </c>
      <c r="H577" t="s">
        <v>5</v>
      </c>
      <c r="I577" cm="1">
        <f t="array" ref="I577">IF(B577=0,INDEX('Category 14'!F:F,MATCH(C577&amp;E577&amp;D577,'Category 14'!B:B&amp;'Category 14'!C:C&amp;'Category 14'!A:A,0)),INDEX('Category 14'!G:G,MATCH(C577&amp;E577&amp;D577,'Category 14'!B:B&amp;'Category 14'!C:C&amp;'Category 14'!A:A,0)))</f>
        <v>0</v>
      </c>
      <c r="J577">
        <f>I577/VLOOKUP($D577,CPI!$P$16:$R$22,3,FALSE)</f>
        <v>0</v>
      </c>
      <c r="K577" cm="1">
        <f t="array" ref="K577">IF(B577=0,INDEX('Category 15'!F:F,MATCH(C577&amp;E577&amp;D577,'Category 15'!B:B&amp;'Category 15'!C:C&amp;'Category 15'!A:A,0)),INDEX('Category 15'!G:G,MATCH(C577&amp;E577&amp;D577,'Category 15'!B:B&amp;'Category 31'!C:C&amp;'Category 15'!A:A,0)))</f>
        <v>0</v>
      </c>
      <c r="L577">
        <f>K577/VLOOKUP($D577,CPI!$P$16:$R$22,3,FALSE)</f>
        <v>0</v>
      </c>
      <c r="M577" s="16" cm="1">
        <f t="array" ref="M577">IF(B577=0,INDEX('Category 31'!F:F,MATCH(C577&amp;E577&amp;D577,'Category 31'!B:B&amp;'Category 31'!C:C&amp;'Category 31'!A:A,0)),INDEX('Category 31'!G:G,MATCH(C577&amp;E577&amp;D577,'Category 31'!B:B&amp;'Category 31'!C:C&amp;'Category 31'!A:A,0)))</f>
        <v>0</v>
      </c>
      <c r="N577" s="16">
        <f>M577/VLOOKUP($D577,CPI!$P$16:$R$22,3,FALSE)</f>
        <v>0</v>
      </c>
      <c r="O577">
        <f>VLOOKUP(E577,WSoccer!C:S,12,FALSE)</f>
        <v>4221</v>
      </c>
    </row>
    <row r="578" spans="1:15" ht="16" thickBot="1" x14ac:dyDescent="0.25">
      <c r="A578" s="15">
        <v>2</v>
      </c>
      <c r="B578">
        <f t="shared" si="8"/>
        <v>1</v>
      </c>
      <c r="C578">
        <f>IF(ISBLANK(H578),"",VLOOKUP(H578,Code!B:C,2,FALSE))</f>
        <v>18</v>
      </c>
      <c r="D578">
        <v>2023</v>
      </c>
      <c r="E578">
        <v>199218</v>
      </c>
      <c r="F578" t="s">
        <v>166</v>
      </c>
      <c r="G578" t="s">
        <v>290</v>
      </c>
      <c r="H578" t="s">
        <v>6</v>
      </c>
      <c r="I578" cm="1">
        <f t="array" ref="I578">IF(B578=0,INDEX('Category 14'!F:F,MATCH(C578&amp;E578&amp;D578,'Category 14'!B:B&amp;'Category 14'!C:C&amp;'Category 14'!A:A,0)),INDEX('Category 14'!G:G,MATCH(C578&amp;E578&amp;D578,'Category 14'!B:B&amp;'Category 14'!C:C&amp;'Category 14'!A:A,0)))</f>
        <v>0</v>
      </c>
      <c r="J578">
        <f>I578/VLOOKUP($D578,CPI!$P$16:$R$22,3,FALSE)</f>
        <v>0</v>
      </c>
      <c r="K578" cm="1">
        <f t="array" ref="K578">IF(B578=0,INDEX('Category 15'!F:F,MATCH(C578&amp;E578&amp;D578,'Category 15'!B:B&amp;'Category 15'!C:C&amp;'Category 15'!A:A,0)),INDEX('Category 15'!G:G,MATCH(C578&amp;E578&amp;D578,'Category 15'!B:B&amp;'Category 31'!C:C&amp;'Category 15'!A:A,0)))</f>
        <v>0</v>
      </c>
      <c r="L578">
        <f>K578/VLOOKUP($D578,CPI!$P$16:$R$22,3,FALSE)</f>
        <v>0</v>
      </c>
      <c r="M578" s="16" cm="1">
        <f t="array" ref="M578">IF(B578=0,INDEX('Category 31'!F:F,MATCH(C578&amp;E578&amp;D578,'Category 31'!B:B&amp;'Category 31'!C:C&amp;'Category 31'!A:A,0)),INDEX('Category 31'!G:G,MATCH(C578&amp;E578&amp;D578,'Category 31'!B:B&amp;'Category 31'!C:C&amp;'Category 31'!A:A,0)))</f>
        <v>0</v>
      </c>
      <c r="N578" s="16">
        <f>M578/VLOOKUP($D578,CPI!$P$16:$R$22,3,FALSE)</f>
        <v>0</v>
      </c>
      <c r="O578">
        <f>VLOOKUP(E578,WSoftball!C:S,12,FALSE)</f>
        <v>4889</v>
      </c>
    </row>
    <row r="579" spans="1:15" ht="16" thickBot="1" x14ac:dyDescent="0.25">
      <c r="A579" s="15">
        <v>2</v>
      </c>
      <c r="B579">
        <f t="shared" ref="B579:B642" si="9">IF(ISBLANK(G579),"",IF(MID(G579,1,1)="M",0,1))</f>
        <v>1</v>
      </c>
      <c r="C579">
        <f>IF(ISBLANK(H579),"",VLOOKUP(H579,Code!B:C,2,FALSE))</f>
        <v>19</v>
      </c>
      <c r="D579">
        <v>2023</v>
      </c>
      <c r="E579">
        <v>199218</v>
      </c>
      <c r="F579" t="s">
        <v>166</v>
      </c>
      <c r="G579" t="s">
        <v>290</v>
      </c>
      <c r="H579" t="s">
        <v>7</v>
      </c>
      <c r="I579" cm="1">
        <f t="array" ref="I579">IF(B579=0,INDEX('Category 14'!F:F,MATCH(C579&amp;E579&amp;D579,'Category 14'!B:B&amp;'Category 14'!C:C&amp;'Category 14'!A:A,0)),INDEX('Category 14'!G:G,MATCH(C579&amp;E579&amp;D579,'Category 14'!B:B&amp;'Category 14'!C:C&amp;'Category 14'!A:A,0)))</f>
        <v>0</v>
      </c>
      <c r="J579">
        <f>I579/VLOOKUP($D579,CPI!$P$16:$R$22,3,FALSE)</f>
        <v>0</v>
      </c>
      <c r="K579" cm="1">
        <f t="array" ref="K579">IF(B579=0,INDEX('Category 15'!F:F,MATCH(C579&amp;E579&amp;D579,'Category 15'!B:B&amp;'Category 15'!C:C&amp;'Category 15'!A:A,0)),INDEX('Category 15'!G:G,MATCH(C579&amp;E579&amp;D579,'Category 15'!B:B&amp;'Category 31'!C:C&amp;'Category 15'!A:A,0)))</f>
        <v>0</v>
      </c>
      <c r="L579">
        <f>K579/VLOOKUP($D579,CPI!$P$16:$R$22,3,FALSE)</f>
        <v>0</v>
      </c>
      <c r="M579" s="16" cm="1">
        <f t="array" ref="M579">IF(B579=0,INDEX('Category 31'!F:F,MATCH(C579&amp;E579&amp;D579,'Category 31'!B:B&amp;'Category 31'!C:C&amp;'Category 31'!A:A,0)),INDEX('Category 31'!G:G,MATCH(C579&amp;E579&amp;D579,'Category 31'!B:B&amp;'Category 31'!C:C&amp;'Category 31'!A:A,0)))</f>
        <v>0</v>
      </c>
      <c r="N579" s="16">
        <f>M579/VLOOKUP($D579,CPI!$P$16:$R$22,3,FALSE)</f>
        <v>0</v>
      </c>
      <c r="O579">
        <v>0</v>
      </c>
    </row>
    <row r="580" spans="1:15" ht="16" thickBot="1" x14ac:dyDescent="0.25">
      <c r="A580" s="15">
        <v>2</v>
      </c>
      <c r="B580">
        <f t="shared" si="9"/>
        <v>1</v>
      </c>
      <c r="C580">
        <f>IF(ISBLANK(H580),"",VLOOKUP(H580,Code!B:C,2,FALSE))</f>
        <v>20</v>
      </c>
      <c r="D580">
        <v>2023</v>
      </c>
      <c r="E580">
        <v>199218</v>
      </c>
      <c r="F580" t="s">
        <v>166</v>
      </c>
      <c r="G580" t="s">
        <v>290</v>
      </c>
      <c r="H580" t="s">
        <v>8</v>
      </c>
      <c r="I580" cm="1">
        <f t="array" ref="I580">IF(B580=0,INDEX('Category 14'!F:F,MATCH(C580&amp;E580&amp;D580,'Category 14'!B:B&amp;'Category 14'!C:C&amp;'Category 14'!A:A,0)),INDEX('Category 14'!G:G,MATCH(C580&amp;E580&amp;D580,'Category 14'!B:B&amp;'Category 14'!C:C&amp;'Category 14'!A:A,0)))</f>
        <v>0</v>
      </c>
      <c r="J580">
        <f>I580/VLOOKUP($D580,CPI!$P$16:$R$22,3,FALSE)</f>
        <v>0</v>
      </c>
      <c r="K580" cm="1">
        <f t="array" ref="K580">IF(B580=0,INDEX('Category 15'!F:F,MATCH(C580&amp;E580&amp;D580,'Category 15'!B:B&amp;'Category 15'!C:C&amp;'Category 15'!A:A,0)),INDEX('Category 15'!G:G,MATCH(C580&amp;E580&amp;D580,'Category 15'!B:B&amp;'Category 31'!C:C&amp;'Category 15'!A:A,0)))</f>
        <v>0</v>
      </c>
      <c r="L580">
        <f>K580/VLOOKUP($D580,CPI!$P$16:$R$22,3,FALSE)</f>
        <v>0</v>
      </c>
      <c r="M580" s="16" cm="1">
        <f t="array" ref="M580">IF(B580=0,INDEX('Category 31'!F:F,MATCH(C580&amp;E580&amp;D580,'Category 31'!B:B&amp;'Category 31'!C:C&amp;'Category 31'!A:A,0)),INDEX('Category 31'!G:G,MATCH(C580&amp;E580&amp;D580,'Category 31'!B:B&amp;'Category 31'!C:C&amp;'Category 31'!A:A,0)))</f>
        <v>0</v>
      </c>
      <c r="N580" s="16">
        <f>M580/VLOOKUP($D580,CPI!$P$16:$R$22,3,FALSE)</f>
        <v>0</v>
      </c>
      <c r="O580">
        <v>0</v>
      </c>
    </row>
    <row r="581" spans="1:15" ht="16" thickBot="1" x14ac:dyDescent="0.25">
      <c r="A581" s="15">
        <v>2</v>
      </c>
      <c r="B581">
        <f t="shared" si="9"/>
        <v>1</v>
      </c>
      <c r="C581">
        <f>IF(ISBLANK(H581),"",VLOOKUP(H581,Code!B:C,2,FALSE))</f>
        <v>21</v>
      </c>
      <c r="D581">
        <v>2023</v>
      </c>
      <c r="E581">
        <v>199218</v>
      </c>
      <c r="F581" t="s">
        <v>166</v>
      </c>
      <c r="G581" t="s">
        <v>290</v>
      </c>
      <c r="H581" t="s">
        <v>9</v>
      </c>
      <c r="I581" cm="1">
        <f t="array" ref="I581">IF(B581=0,INDEX('Category 14'!F:F,MATCH(C581&amp;E581&amp;D581,'Category 14'!B:B&amp;'Category 14'!C:C&amp;'Category 14'!A:A,0)),INDEX('Category 14'!G:G,MATCH(C581&amp;E581&amp;D581,'Category 14'!B:B&amp;'Category 14'!C:C&amp;'Category 14'!A:A,0)))</f>
        <v>0</v>
      </c>
      <c r="J581">
        <f>I581/VLOOKUP($D581,CPI!$P$16:$R$22,3,FALSE)</f>
        <v>0</v>
      </c>
      <c r="K581" cm="1">
        <f t="array" ref="K581">IF(B581=0,INDEX('Category 15'!F:F,MATCH(C581&amp;E581&amp;D581,'Category 15'!B:B&amp;'Category 15'!C:C&amp;'Category 15'!A:A,0)),INDEX('Category 15'!G:G,MATCH(C581&amp;E581&amp;D581,'Category 15'!B:B&amp;'Category 31'!C:C&amp;'Category 15'!A:A,0)))</f>
        <v>0</v>
      </c>
      <c r="L581">
        <f>K581/VLOOKUP($D581,CPI!$P$16:$R$22,3,FALSE)</f>
        <v>0</v>
      </c>
      <c r="M581" s="16" cm="1">
        <f t="array" ref="M581">IF(B581=0,INDEX('Category 31'!F:F,MATCH(C581&amp;E581&amp;D581,'Category 31'!B:B&amp;'Category 31'!C:C&amp;'Category 31'!A:A,0)),INDEX('Category 31'!G:G,MATCH(C581&amp;E581&amp;D581,'Category 31'!B:B&amp;'Category 31'!C:C&amp;'Category 31'!A:A,0)))</f>
        <v>260</v>
      </c>
      <c r="N581" s="16">
        <f>M581/VLOOKUP($D581,CPI!$P$16:$R$22,3,FALSE)</f>
        <v>260</v>
      </c>
      <c r="O581">
        <v>0</v>
      </c>
    </row>
    <row r="582" spans="1:15" ht="16" thickBot="1" x14ac:dyDescent="0.25">
      <c r="A582" s="15">
        <v>2</v>
      </c>
      <c r="B582">
        <f t="shared" si="9"/>
        <v>1</v>
      </c>
      <c r="C582">
        <f>IF(ISBLANK(H582),"",VLOOKUP(H582,Code!B:C,2,FALSE))</f>
        <v>23</v>
      </c>
      <c r="D582">
        <v>2023</v>
      </c>
      <c r="E582">
        <v>199218</v>
      </c>
      <c r="F582" t="s">
        <v>166</v>
      </c>
      <c r="G582" t="s">
        <v>290</v>
      </c>
      <c r="H582" t="s">
        <v>10</v>
      </c>
      <c r="I582" cm="1">
        <f t="array" ref="I582">IF(B582=0,INDEX('Category 14'!F:F,MATCH(C582&amp;E582&amp;D582,'Category 14'!B:B&amp;'Category 14'!C:C&amp;'Category 14'!A:A,0)),INDEX('Category 14'!G:G,MATCH(C582&amp;E582&amp;D582,'Category 14'!B:B&amp;'Category 14'!C:C&amp;'Category 14'!A:A,0)))</f>
        <v>0</v>
      </c>
      <c r="J582">
        <f>I582/VLOOKUP($D582,CPI!$P$16:$R$22,3,FALSE)</f>
        <v>0</v>
      </c>
      <c r="K582" cm="1">
        <f t="array" ref="K582">IF(B582=0,INDEX('Category 15'!F:F,MATCH(C582&amp;E582&amp;D582,'Category 15'!B:B&amp;'Category 15'!C:C&amp;'Category 15'!A:A,0)),INDEX('Category 15'!G:G,MATCH(C582&amp;E582&amp;D582,'Category 15'!B:B&amp;'Category 31'!C:C&amp;'Category 15'!A:A,0)))</f>
        <v>0</v>
      </c>
      <c r="L582">
        <f>K582/VLOOKUP($D582,CPI!$P$16:$R$22,3,FALSE)</f>
        <v>0</v>
      </c>
      <c r="M582" s="16" cm="1">
        <f t="array" ref="M582">IF(B582=0,INDEX('Category 31'!F:F,MATCH(C582&amp;E582&amp;D582,'Category 31'!B:B&amp;'Category 31'!C:C&amp;'Category 31'!A:A,0)),INDEX('Category 31'!G:G,MATCH(C582&amp;E582&amp;D582,'Category 31'!B:B&amp;'Category 31'!C:C&amp;'Category 31'!A:A,0)))</f>
        <v>198</v>
      </c>
      <c r="N582" s="16">
        <f>M582/VLOOKUP($D582,CPI!$P$16:$R$22,3,FALSE)</f>
        <v>198</v>
      </c>
      <c r="O582">
        <f>VLOOKUP(E582,WVolleyball!C:S,12,FALSE)</f>
        <v>2439</v>
      </c>
    </row>
    <row r="583" spans="1:15" ht="16" thickBot="1" x14ac:dyDescent="0.25">
      <c r="A583" s="15">
        <v>2</v>
      </c>
      <c r="B583">
        <f t="shared" si="9"/>
        <v>0</v>
      </c>
      <c r="C583">
        <f>IF(ISBLANK(H583),"",VLOOKUP(H583,Code!B:C,2,FALSE))</f>
        <v>1</v>
      </c>
      <c r="D583">
        <v>2017</v>
      </c>
      <c r="E583">
        <v>209542</v>
      </c>
      <c r="F583" t="s">
        <v>183</v>
      </c>
      <c r="G583" t="s">
        <v>289</v>
      </c>
      <c r="H583" t="s">
        <v>0</v>
      </c>
      <c r="I583" cm="1">
        <f t="array" ref="I583">IF(B583=0,INDEX('Category 14'!F:F,MATCH(C583&amp;E583&amp;D583,'Category 14'!B:B&amp;'Category 14'!C:C&amp;'Category 14'!A:A,0)),INDEX('Category 14'!G:G,MATCH(C583&amp;E583&amp;D583,'Category 14'!B:B&amp;'Category 14'!C:C&amp;'Category 14'!A:A,0)))</f>
        <v>8930</v>
      </c>
      <c r="J583">
        <f>I583/VLOOKUP($D583,CPI!$P$16:$R$22,3,FALSE)</f>
        <v>11028.723792686371</v>
      </c>
      <c r="K583" cm="1">
        <f t="array" ref="K583">IF(B583=0,INDEX('Category 15'!F:F,MATCH(C583&amp;E583&amp;D583,'Category 15'!B:B&amp;'Category 15'!C:C&amp;'Category 15'!A:A,0)),INDEX('Category 15'!G:G,MATCH(C583&amp;E583&amp;D583,'Category 15'!B:B&amp;'Category 31'!C:C&amp;'Category 15'!A:A,0)))</f>
        <v>0</v>
      </c>
      <c r="L583">
        <f>K583/VLOOKUP($D583,CPI!$P$16:$R$22,3,FALSE)</f>
        <v>0</v>
      </c>
      <c r="M583" s="16" cm="1">
        <f t="array" ref="M583">IF(B583=0,INDEX('Category 31'!F:F,MATCH(C583&amp;E583&amp;D583,'Category 31'!B:B&amp;'Category 31'!C:C&amp;'Category 31'!A:A,0)),INDEX('Category 31'!G:G,MATCH(C583&amp;E583&amp;D583,'Category 31'!B:B&amp;'Category 31'!C:C&amp;'Category 31'!A:A,0)))</f>
        <v>9579</v>
      </c>
      <c r="N583" s="16">
        <f>M583/VLOOKUP($D583,CPI!$P$16:$R$22,3,FALSE)</f>
        <v>11830.251423308258</v>
      </c>
      <c r="O583">
        <f>VLOOKUP(E583,MBaseball!C:R,6,FALSE)</f>
        <v>101090</v>
      </c>
    </row>
    <row r="584" spans="1:15" ht="16" thickBot="1" x14ac:dyDescent="0.25">
      <c r="A584" s="15">
        <v>2</v>
      </c>
      <c r="B584">
        <f t="shared" si="9"/>
        <v>0</v>
      </c>
      <c r="C584">
        <f>IF(ISBLANK(H584),"",VLOOKUP(H584,Code!B:C,2,FALSE))</f>
        <v>2</v>
      </c>
      <c r="D584">
        <v>2017</v>
      </c>
      <c r="E584">
        <v>209542</v>
      </c>
      <c r="F584" t="s">
        <v>183</v>
      </c>
      <c r="G584" t="s">
        <v>289</v>
      </c>
      <c r="H584" t="s">
        <v>1</v>
      </c>
      <c r="I584" cm="1">
        <f t="array" ref="I584">IF(B584=0,INDEX('Category 14'!F:F,MATCH(C584&amp;E584&amp;D584,'Category 14'!B:B&amp;'Category 14'!C:C&amp;'Category 14'!A:A,0)),INDEX('Category 14'!G:G,MATCH(C584&amp;E584&amp;D584,'Category 14'!B:B&amp;'Category 14'!C:C&amp;'Category 14'!A:A,0)))</f>
        <v>0</v>
      </c>
      <c r="J584">
        <f>I584/VLOOKUP($D584,CPI!$P$16:$R$22,3,FALSE)</f>
        <v>0</v>
      </c>
      <c r="K584" cm="1">
        <f t="array" ref="K584">IF(B584=0,INDEX('Category 15'!F:F,MATCH(C584&amp;E584&amp;D584,'Category 15'!B:B&amp;'Category 15'!C:C&amp;'Category 15'!A:A,0)),INDEX('Category 15'!G:G,MATCH(C584&amp;E584&amp;D584,'Category 15'!B:B&amp;'Category 31'!C:C&amp;'Category 15'!A:A,0)))</f>
        <v>0</v>
      </c>
      <c r="L584">
        <f>K584/VLOOKUP($D584,CPI!$P$16:$R$22,3,FALSE)</f>
        <v>0</v>
      </c>
      <c r="M584" s="16" cm="1">
        <f t="array" ref="M584">IF(B584=0,INDEX('Category 31'!F:F,MATCH(C584&amp;E584&amp;D584,'Category 31'!B:B&amp;'Category 31'!C:C&amp;'Category 31'!A:A,0)),INDEX('Category 31'!G:G,MATCH(C584&amp;E584&amp;D584,'Category 31'!B:B&amp;'Category 31'!C:C&amp;'Category 31'!A:A,0)))</f>
        <v>13834</v>
      </c>
      <c r="N584" s="16">
        <f>M584/VLOOKUP($D584,CPI!$P$16:$R$22,3,FALSE)</f>
        <v>17085.259232701374</v>
      </c>
      <c r="O584">
        <f>VLOOKUP(E584,MBasketball!C:S,6,FALSE)</f>
        <v>84887</v>
      </c>
    </row>
    <row r="585" spans="1:15" ht="16" thickBot="1" x14ac:dyDescent="0.25">
      <c r="A585" s="15">
        <v>2</v>
      </c>
      <c r="B585">
        <f t="shared" si="9"/>
        <v>0</v>
      </c>
      <c r="C585">
        <f>IF(ISBLANK(H585),"",VLOOKUP(H585,Code!B:C,2,FALSE))</f>
        <v>8</v>
      </c>
      <c r="D585">
        <v>2017</v>
      </c>
      <c r="E585">
        <v>209542</v>
      </c>
      <c r="F585" t="s">
        <v>183</v>
      </c>
      <c r="G585" t="s">
        <v>289</v>
      </c>
      <c r="H585" t="s">
        <v>2</v>
      </c>
      <c r="I585" cm="1">
        <f t="array" ref="I585">IF(B585=0,INDEX('Category 14'!F:F,MATCH(C585&amp;E585&amp;D585,'Category 14'!B:B&amp;'Category 14'!C:C&amp;'Category 14'!A:A,0)),INDEX('Category 14'!G:G,MATCH(C585&amp;E585&amp;D585,'Category 14'!B:B&amp;'Category 14'!C:C&amp;'Category 14'!A:A,0)))</f>
        <v>0</v>
      </c>
      <c r="J585">
        <f>I585/VLOOKUP($D585,CPI!$P$16:$R$22,3,FALSE)</f>
        <v>0</v>
      </c>
      <c r="K585" cm="1">
        <f t="array" ref="K585">IF(B585=0,INDEX('Category 15'!F:F,MATCH(C585&amp;E585&amp;D585,'Category 15'!B:B&amp;'Category 15'!C:C&amp;'Category 15'!A:A,0)),INDEX('Category 15'!G:G,MATCH(C585&amp;E585&amp;D585,'Category 15'!B:B&amp;'Category 31'!C:C&amp;'Category 15'!A:A,0)))</f>
        <v>0</v>
      </c>
      <c r="L585">
        <f>K585/VLOOKUP($D585,CPI!$P$16:$R$22,3,FALSE)</f>
        <v>0</v>
      </c>
      <c r="M585" s="16" cm="1">
        <f t="array" ref="M585">IF(B585=0,INDEX('Category 31'!F:F,MATCH(C585&amp;E585&amp;D585,'Category 31'!B:B&amp;'Category 31'!C:C&amp;'Category 31'!A:A,0)),INDEX('Category 31'!G:G,MATCH(C585&amp;E585&amp;D585,'Category 31'!B:B&amp;'Category 31'!C:C&amp;'Category 31'!A:A,0)))</f>
        <v>71323</v>
      </c>
      <c r="N585" s="16">
        <f>M585/VLOOKUP($D585,CPI!$P$16:$R$22,3,FALSE)</f>
        <v>88085.293064475933</v>
      </c>
      <c r="O585">
        <f>VLOOKUP(E585,MFootball!C:S,6,FALSE)</f>
        <v>263357</v>
      </c>
    </row>
    <row r="586" spans="1:15" ht="16" thickBot="1" x14ac:dyDescent="0.25">
      <c r="A586" s="15">
        <v>2</v>
      </c>
      <c r="B586">
        <f t="shared" si="9"/>
        <v>0</v>
      </c>
      <c r="C586">
        <f>IF(ISBLANK(H586),"",VLOOKUP(H586,Code!B:C,2,FALSE))</f>
        <v>9</v>
      </c>
      <c r="D586">
        <v>2017</v>
      </c>
      <c r="E586">
        <v>209542</v>
      </c>
      <c r="F586" t="s">
        <v>183</v>
      </c>
      <c r="G586" t="s">
        <v>289</v>
      </c>
      <c r="H586" t="s">
        <v>3</v>
      </c>
      <c r="I586" cm="1">
        <f t="array" ref="I586">IF(B586=0,INDEX('Category 14'!F:F,MATCH(C586&amp;E586&amp;D586,'Category 14'!B:B&amp;'Category 14'!C:C&amp;'Category 14'!A:A,0)),INDEX('Category 14'!G:G,MATCH(C586&amp;E586&amp;D586,'Category 14'!B:B&amp;'Category 14'!C:C&amp;'Category 14'!A:A,0)))</f>
        <v>0</v>
      </c>
      <c r="J586">
        <f>I586/VLOOKUP($D586,CPI!$P$16:$R$22,3,FALSE)</f>
        <v>0</v>
      </c>
      <c r="K586" cm="1">
        <f t="array" ref="K586">IF(B586=0,INDEX('Category 15'!F:F,MATCH(C586&amp;E586&amp;D586,'Category 15'!B:B&amp;'Category 15'!C:C&amp;'Category 15'!A:A,0)),INDEX('Category 15'!G:G,MATCH(C586&amp;E586&amp;D586,'Category 15'!B:B&amp;'Category 31'!C:C&amp;'Category 15'!A:A,0)))</f>
        <v>0</v>
      </c>
      <c r="L586">
        <f>K586/VLOOKUP($D586,CPI!$P$16:$R$22,3,FALSE)</f>
        <v>0</v>
      </c>
      <c r="M586" s="16" cm="1">
        <f t="array" ref="M586">IF(B586=0,INDEX('Category 31'!F:F,MATCH(C586&amp;E586&amp;D586,'Category 31'!B:B&amp;'Category 31'!C:C&amp;'Category 31'!A:A,0)),INDEX('Category 31'!G:G,MATCH(C586&amp;E586&amp;D586,'Category 31'!B:B&amp;'Category 31'!C:C&amp;'Category 31'!A:A,0)))</f>
        <v>3013</v>
      </c>
      <c r="N586" s="16">
        <f>M586/VLOOKUP($D586,CPI!$P$16:$R$22,3,FALSE)</f>
        <v>3721.1136380026915</v>
      </c>
      <c r="O586">
        <v>0</v>
      </c>
    </row>
    <row r="587" spans="1:15" ht="16" thickBot="1" x14ac:dyDescent="0.25">
      <c r="A587" s="15">
        <v>2</v>
      </c>
      <c r="B587">
        <f t="shared" si="9"/>
        <v>0</v>
      </c>
      <c r="C587">
        <f>IF(ISBLANK(H587),"",VLOOKUP(H587,Code!B:C,2,FALSE))</f>
        <v>17</v>
      </c>
      <c r="D587">
        <v>2017</v>
      </c>
      <c r="E587">
        <v>209542</v>
      </c>
      <c r="F587" t="s">
        <v>183</v>
      </c>
      <c r="G587" t="s">
        <v>289</v>
      </c>
      <c r="H587" t="s">
        <v>5</v>
      </c>
      <c r="I587" cm="1">
        <f t="array" ref="I587">IF(B587=0,INDEX('Category 14'!F:F,MATCH(C587&amp;E587&amp;D587,'Category 14'!B:B&amp;'Category 14'!C:C&amp;'Category 14'!A:A,0)),INDEX('Category 14'!G:G,MATCH(C587&amp;E587&amp;D587,'Category 14'!B:B&amp;'Category 14'!C:C&amp;'Category 14'!A:A,0)))</f>
        <v>0</v>
      </c>
      <c r="J587">
        <f>I587/VLOOKUP($D587,CPI!$P$16:$R$22,3,FALSE)</f>
        <v>0</v>
      </c>
      <c r="K587" cm="1">
        <f t="array" ref="K587">IF(B587=0,INDEX('Category 15'!F:F,MATCH(C587&amp;E587&amp;D587,'Category 15'!B:B&amp;'Category 15'!C:C&amp;'Category 15'!A:A,0)),INDEX('Category 15'!G:G,MATCH(C587&amp;E587&amp;D587,'Category 15'!B:B&amp;'Category 31'!C:C&amp;'Category 15'!A:A,0)))</f>
        <v>0</v>
      </c>
      <c r="L587">
        <f>K587/VLOOKUP($D587,CPI!$P$16:$R$22,3,FALSE)</f>
        <v>0</v>
      </c>
      <c r="M587" s="16" cm="1">
        <f t="array" ref="M587">IF(B587=0,INDEX('Category 31'!F:F,MATCH(C587&amp;E587&amp;D587,'Category 31'!B:B&amp;'Category 31'!C:C&amp;'Category 31'!A:A,0)),INDEX('Category 31'!G:G,MATCH(C587&amp;E587&amp;D587,'Category 31'!B:B&amp;'Category 31'!C:C&amp;'Category 31'!A:A,0)))</f>
        <v>296</v>
      </c>
      <c r="N587" s="16">
        <f>M587/VLOOKUP($D587,CPI!$P$16:$R$22,3,FALSE)</f>
        <v>365.56576065343404</v>
      </c>
      <c r="O587">
        <f>VLOOKUP(E587,MSoccer!C:S,6,FALSE)</f>
        <v>4284</v>
      </c>
    </row>
    <row r="588" spans="1:15" ht="16" thickBot="1" x14ac:dyDescent="0.25">
      <c r="A588" s="15">
        <v>2</v>
      </c>
      <c r="B588">
        <f t="shared" si="9"/>
        <v>0</v>
      </c>
      <c r="C588">
        <f>IF(ISBLANK(H588),"",VLOOKUP(H588,Code!B:C,2,FALSE))</f>
        <v>25</v>
      </c>
      <c r="D588">
        <v>2017</v>
      </c>
      <c r="E588">
        <v>209542</v>
      </c>
      <c r="F588" t="s">
        <v>183</v>
      </c>
      <c r="G588" t="s">
        <v>289</v>
      </c>
      <c r="H588" t="s">
        <v>35</v>
      </c>
      <c r="I588" cm="1">
        <f t="array" ref="I588">IF(B588=0,INDEX('Category 14'!F:F,MATCH(C588&amp;E588&amp;D588,'Category 14'!B:B&amp;'Category 14'!C:C&amp;'Category 14'!A:A,0)),INDEX('Category 14'!G:G,MATCH(C588&amp;E588&amp;D588,'Category 14'!B:B&amp;'Category 14'!C:C&amp;'Category 14'!A:A,0)))</f>
        <v>0</v>
      </c>
      <c r="J588">
        <f>I588/VLOOKUP($D588,CPI!$P$16:$R$22,3,FALSE)</f>
        <v>0</v>
      </c>
      <c r="K588" cm="1">
        <f t="array" ref="K588">IF(B588=0,INDEX('Category 15'!F:F,MATCH(C588&amp;E588&amp;D588,'Category 15'!B:B&amp;'Category 15'!C:C&amp;'Category 15'!A:A,0)),INDEX('Category 15'!G:G,MATCH(C588&amp;E588&amp;D588,'Category 15'!B:B&amp;'Category 31'!C:C&amp;'Category 15'!A:A,0)))</f>
        <v>0</v>
      </c>
      <c r="L588">
        <f>K588/VLOOKUP($D588,CPI!$P$16:$R$22,3,FALSE)</f>
        <v>0</v>
      </c>
      <c r="M588" s="16" cm="1">
        <f t="array" ref="M588">IF(B588=0,INDEX('Category 31'!F:F,MATCH(C588&amp;E588&amp;D588,'Category 31'!B:B&amp;'Category 31'!C:C&amp;'Category 31'!A:A,0)),INDEX('Category 31'!G:G,MATCH(C588&amp;E588&amp;D588,'Category 31'!B:B&amp;'Category 31'!C:C&amp;'Category 31'!A:A,0)))</f>
        <v>0</v>
      </c>
      <c r="N588" s="16">
        <f>M588/VLOOKUP($D588,CPI!$P$16:$R$22,3,FALSE)</f>
        <v>0</v>
      </c>
      <c r="O588">
        <v>0</v>
      </c>
    </row>
    <row r="589" spans="1:15" ht="16" thickBot="1" x14ac:dyDescent="0.25">
      <c r="A589" s="15">
        <v>2</v>
      </c>
      <c r="B589">
        <f t="shared" si="9"/>
        <v>1</v>
      </c>
      <c r="C589">
        <f>IF(ISBLANK(H589),"",VLOOKUP(H589,Code!B:C,2,FALSE))</f>
        <v>2</v>
      </c>
      <c r="D589">
        <v>2017</v>
      </c>
      <c r="E589">
        <v>209542</v>
      </c>
      <c r="F589" t="s">
        <v>183</v>
      </c>
      <c r="G589" t="s">
        <v>290</v>
      </c>
      <c r="H589" t="s">
        <v>1</v>
      </c>
      <c r="I589" cm="1">
        <f t="array" ref="I589">IF(B589=0,INDEX('Category 14'!F:F,MATCH(C589&amp;E589&amp;D589,'Category 14'!B:B&amp;'Category 14'!C:C&amp;'Category 14'!A:A,0)),INDEX('Category 14'!G:G,MATCH(C589&amp;E589&amp;D589,'Category 14'!B:B&amp;'Category 14'!C:C&amp;'Category 14'!A:A,0)))</f>
        <v>1791</v>
      </c>
      <c r="J589">
        <f>I589/VLOOKUP($D589,CPI!$P$16:$R$22,3,FALSE)</f>
        <v>2211.9198558456092</v>
      </c>
      <c r="K589" cm="1">
        <f t="array" ref="K589">IF(B589=0,INDEX('Category 15'!F:F,MATCH(C589&amp;E589&amp;D589,'Category 15'!B:B&amp;'Category 15'!C:C&amp;'Category 15'!A:A,0)),INDEX('Category 15'!G:G,MATCH(C589&amp;E589&amp;D589,'Category 15'!B:B&amp;'Category 31'!C:C&amp;'Category 15'!A:A,0)))</f>
        <v>0</v>
      </c>
      <c r="L589">
        <f>K589/VLOOKUP($D589,CPI!$P$16:$R$22,3,FALSE)</f>
        <v>0</v>
      </c>
      <c r="M589" s="16" cm="1">
        <f t="array" ref="M589">IF(B589=0,INDEX('Category 31'!F:F,MATCH(C589&amp;E589&amp;D589,'Category 31'!B:B&amp;'Category 31'!C:C&amp;'Category 31'!A:A,0)),INDEX('Category 31'!G:G,MATCH(C589&amp;E589&amp;D589,'Category 31'!B:B&amp;'Category 31'!C:C&amp;'Category 31'!A:A,0)))</f>
        <v>17085</v>
      </c>
      <c r="N589" s="16">
        <f>M589/VLOOKUP($D589,CPI!$P$16:$R$22,3,FALSE)</f>
        <v>21100.30750258081</v>
      </c>
      <c r="O589">
        <f>VLOOKUP(E589,WBasketball!C:S,6,FALSE)</f>
        <v>78357</v>
      </c>
    </row>
    <row r="590" spans="1:15" ht="16" thickBot="1" x14ac:dyDescent="0.25">
      <c r="A590" s="15">
        <v>2</v>
      </c>
      <c r="B590">
        <f t="shared" si="9"/>
        <v>1</v>
      </c>
      <c r="C590">
        <f>IF(ISBLANK(H590),"",VLOOKUP(H590,Code!B:C,2,FALSE))</f>
        <v>9</v>
      </c>
      <c r="D590">
        <v>2017</v>
      </c>
      <c r="E590">
        <v>209542</v>
      </c>
      <c r="F590" t="s">
        <v>183</v>
      </c>
      <c r="G590" t="s">
        <v>290</v>
      </c>
      <c r="H590" t="s">
        <v>3</v>
      </c>
      <c r="I590" cm="1">
        <f t="array" ref="I590">IF(B590=0,INDEX('Category 14'!F:F,MATCH(C590&amp;E590&amp;D590,'Category 14'!B:B&amp;'Category 14'!C:C&amp;'Category 14'!A:A,0)),INDEX('Category 14'!G:G,MATCH(C590&amp;E590&amp;D590,'Category 14'!B:B&amp;'Category 14'!C:C&amp;'Category 14'!A:A,0)))</f>
        <v>0</v>
      </c>
      <c r="J590">
        <f>I590/VLOOKUP($D590,CPI!$P$16:$R$22,3,FALSE)</f>
        <v>0</v>
      </c>
      <c r="K590" cm="1">
        <f t="array" ref="K590">IF(B590=0,INDEX('Category 15'!F:F,MATCH(C590&amp;E590&amp;D590,'Category 15'!B:B&amp;'Category 15'!C:C&amp;'Category 15'!A:A,0)),INDEX('Category 15'!G:G,MATCH(C590&amp;E590&amp;D590,'Category 15'!B:B&amp;'Category 31'!C:C&amp;'Category 15'!A:A,0)))</f>
        <v>0</v>
      </c>
      <c r="L590">
        <f>K590/VLOOKUP($D590,CPI!$P$16:$R$22,3,FALSE)</f>
        <v>0</v>
      </c>
      <c r="M590" s="16" cm="1">
        <f t="array" ref="M590">IF(B590=0,INDEX('Category 31'!F:F,MATCH(C590&amp;E590&amp;D590,'Category 31'!B:B&amp;'Category 31'!C:C&amp;'Category 31'!A:A,0)),INDEX('Category 31'!G:G,MATCH(C590&amp;E590&amp;D590,'Category 31'!B:B&amp;'Category 31'!C:C&amp;'Category 31'!A:A,0)))</f>
        <v>1468</v>
      </c>
      <c r="N590" s="16">
        <f>M590/VLOOKUP($D590,CPI!$P$16:$R$22,3,FALSE)</f>
        <v>1813.0085697271659</v>
      </c>
      <c r="O590">
        <v>0</v>
      </c>
    </row>
    <row r="591" spans="1:15" ht="16" thickBot="1" x14ac:dyDescent="0.25">
      <c r="A591" s="15">
        <v>2</v>
      </c>
      <c r="B591">
        <f t="shared" si="9"/>
        <v>1</v>
      </c>
      <c r="C591">
        <f>IF(ISBLANK(H591),"",VLOOKUP(H591,Code!B:C,2,FALSE))</f>
        <v>10</v>
      </c>
      <c r="D591">
        <v>2017</v>
      </c>
      <c r="E591">
        <v>209542</v>
      </c>
      <c r="F591" t="s">
        <v>183</v>
      </c>
      <c r="G591" t="s">
        <v>290</v>
      </c>
      <c r="H591" t="s">
        <v>4</v>
      </c>
      <c r="I591" cm="1">
        <f t="array" ref="I591">IF(B591=0,INDEX('Category 14'!F:F,MATCH(C591&amp;E591&amp;D591,'Category 14'!B:B&amp;'Category 14'!C:C&amp;'Category 14'!A:A,0)),INDEX('Category 14'!G:G,MATCH(C591&amp;E591&amp;D591,'Category 14'!B:B&amp;'Category 14'!C:C&amp;'Category 14'!A:A,0)))</f>
        <v>0</v>
      </c>
      <c r="J591">
        <f>I591/VLOOKUP($D591,CPI!$P$16:$R$22,3,FALSE)</f>
        <v>0</v>
      </c>
      <c r="K591" cm="1">
        <f t="array" ref="K591">IF(B591=0,INDEX('Category 15'!F:F,MATCH(C591&amp;E591&amp;D591,'Category 15'!B:B&amp;'Category 15'!C:C&amp;'Category 15'!A:A,0)),INDEX('Category 15'!G:G,MATCH(C591&amp;E591&amp;D591,'Category 15'!B:B&amp;'Category 31'!C:C&amp;'Category 15'!A:A,0)))</f>
        <v>0</v>
      </c>
      <c r="L591">
        <f>K591/VLOOKUP($D591,CPI!$P$16:$R$22,3,FALSE)</f>
        <v>0</v>
      </c>
      <c r="M591" s="16" cm="1">
        <f t="array" ref="M591">IF(B591=0,INDEX('Category 31'!F:F,MATCH(C591&amp;E591&amp;D591,'Category 31'!B:B&amp;'Category 31'!C:C&amp;'Category 31'!A:A,0)),INDEX('Category 31'!G:G,MATCH(C591&amp;E591&amp;D591,'Category 31'!B:B&amp;'Category 31'!C:C&amp;'Category 31'!A:A,0)))</f>
        <v>1698</v>
      </c>
      <c r="N591" s="16">
        <f>M591/VLOOKUP($D591,CPI!$P$16:$R$22,3,FALSE)</f>
        <v>2097.0630459105773</v>
      </c>
      <c r="O591">
        <v>0</v>
      </c>
    </row>
    <row r="592" spans="1:15" ht="16" thickBot="1" x14ac:dyDescent="0.25">
      <c r="A592" s="15">
        <v>2</v>
      </c>
      <c r="B592">
        <f t="shared" si="9"/>
        <v>1</v>
      </c>
      <c r="C592">
        <f>IF(ISBLANK(H592),"",VLOOKUP(H592,Code!B:C,2,FALSE))</f>
        <v>14</v>
      </c>
      <c r="D592">
        <v>2017</v>
      </c>
      <c r="E592">
        <v>209542</v>
      </c>
      <c r="F592" t="s">
        <v>183</v>
      </c>
      <c r="G592" t="s">
        <v>290</v>
      </c>
      <c r="H592" t="s">
        <v>29</v>
      </c>
      <c r="I592" cm="1">
        <f t="array" ref="I592">IF(B592=0,INDEX('Category 14'!F:F,MATCH(C592&amp;E592&amp;D592,'Category 14'!B:B&amp;'Category 14'!C:C&amp;'Category 14'!A:A,0)),INDEX('Category 14'!G:G,MATCH(C592&amp;E592&amp;D592,'Category 14'!B:B&amp;'Category 14'!C:C&amp;'Category 14'!A:A,0)))</f>
        <v>0</v>
      </c>
      <c r="J592">
        <f>I592/VLOOKUP($D592,CPI!$P$16:$R$22,3,FALSE)</f>
        <v>0</v>
      </c>
      <c r="K592" cm="1">
        <f t="array" ref="K592">IF(B592=0,INDEX('Category 15'!F:F,MATCH(C592&amp;E592&amp;D592,'Category 15'!B:B&amp;'Category 15'!C:C&amp;'Category 15'!A:A,0)),INDEX('Category 15'!G:G,MATCH(C592&amp;E592&amp;D592,'Category 15'!B:B&amp;'Category 31'!C:C&amp;'Category 15'!A:A,0)))</f>
        <v>0</v>
      </c>
      <c r="L592">
        <f>K592/VLOOKUP($D592,CPI!$P$16:$R$22,3,FALSE)</f>
        <v>0</v>
      </c>
      <c r="M592" s="16" cm="1">
        <f t="array" ref="M592">IF(B592=0,INDEX('Category 31'!F:F,MATCH(C592&amp;E592&amp;D592,'Category 31'!B:B&amp;'Category 31'!C:C&amp;'Category 31'!A:A,0)),INDEX('Category 31'!G:G,MATCH(C592&amp;E592&amp;D592,'Category 31'!B:B&amp;'Category 31'!C:C&amp;'Category 31'!A:A,0)))</f>
        <v>4145</v>
      </c>
      <c r="N592" s="16">
        <f>M592/VLOOKUP($D592,CPI!$P$16:$R$22,3,FALSE)</f>
        <v>5119.1556686097429</v>
      </c>
      <c r="O592">
        <v>0</v>
      </c>
    </row>
    <row r="593" spans="1:15" ht="16" thickBot="1" x14ac:dyDescent="0.25">
      <c r="A593" s="15">
        <v>2</v>
      </c>
      <c r="B593">
        <f t="shared" si="9"/>
        <v>1</v>
      </c>
      <c r="C593">
        <f>IF(ISBLANK(H593),"",VLOOKUP(H593,Code!B:C,2,FALSE))</f>
        <v>17</v>
      </c>
      <c r="D593">
        <v>2017</v>
      </c>
      <c r="E593">
        <v>209542</v>
      </c>
      <c r="F593" t="s">
        <v>183</v>
      </c>
      <c r="G593" t="s">
        <v>290</v>
      </c>
      <c r="H593" t="s">
        <v>5</v>
      </c>
      <c r="I593" cm="1">
        <f t="array" ref="I593">IF(B593=0,INDEX('Category 14'!F:F,MATCH(C593&amp;E593&amp;D593,'Category 14'!B:B&amp;'Category 14'!C:C&amp;'Category 14'!A:A,0)),INDEX('Category 14'!G:G,MATCH(C593&amp;E593&amp;D593,'Category 14'!B:B&amp;'Category 14'!C:C&amp;'Category 14'!A:A,0)))</f>
        <v>0</v>
      </c>
      <c r="J593">
        <f>I593/VLOOKUP($D593,CPI!$P$16:$R$22,3,FALSE)</f>
        <v>0</v>
      </c>
      <c r="K593" cm="1">
        <f t="array" ref="K593">IF(B593=0,INDEX('Category 15'!F:F,MATCH(C593&amp;E593&amp;D593,'Category 15'!B:B&amp;'Category 15'!C:C&amp;'Category 15'!A:A,0)),INDEX('Category 15'!G:G,MATCH(C593&amp;E593&amp;D593,'Category 15'!B:B&amp;'Category 31'!C:C&amp;'Category 15'!A:A,0)))</f>
        <v>0</v>
      </c>
      <c r="L593">
        <f>K593/VLOOKUP($D593,CPI!$P$16:$R$22,3,FALSE)</f>
        <v>0</v>
      </c>
      <c r="M593" s="16" cm="1">
        <f t="array" ref="M593">IF(B593=0,INDEX('Category 31'!F:F,MATCH(C593&amp;E593&amp;D593,'Category 31'!B:B&amp;'Category 31'!C:C&amp;'Category 31'!A:A,0)),INDEX('Category 31'!G:G,MATCH(C593&amp;E593&amp;D593,'Category 31'!B:B&amp;'Category 31'!C:C&amp;'Category 31'!A:A,0)))</f>
        <v>5844</v>
      </c>
      <c r="N593" s="16">
        <f>M593/VLOOKUP($D593,CPI!$P$16:$R$22,3,FALSE)</f>
        <v>7217.4537339819881</v>
      </c>
      <c r="O593">
        <f>VLOOKUP(E593,WSoccer!C:S,6,FALSE)</f>
        <v>4840</v>
      </c>
    </row>
    <row r="594" spans="1:15" ht="16" thickBot="1" x14ac:dyDescent="0.25">
      <c r="A594" s="15">
        <v>2</v>
      </c>
      <c r="B594">
        <f t="shared" si="9"/>
        <v>1</v>
      </c>
      <c r="C594">
        <f>IF(ISBLANK(H594),"",VLOOKUP(H594,Code!B:C,2,FALSE))</f>
        <v>18</v>
      </c>
      <c r="D594">
        <v>2017</v>
      </c>
      <c r="E594">
        <v>209542</v>
      </c>
      <c r="F594" t="s">
        <v>183</v>
      </c>
      <c r="G594" t="s">
        <v>290</v>
      </c>
      <c r="H594" t="s">
        <v>6</v>
      </c>
      <c r="I594" cm="1">
        <f t="array" ref="I594">IF(B594=0,INDEX('Category 14'!F:F,MATCH(C594&amp;E594&amp;D594,'Category 14'!B:B&amp;'Category 14'!C:C&amp;'Category 14'!A:A,0)),INDEX('Category 14'!G:G,MATCH(C594&amp;E594&amp;D594,'Category 14'!B:B&amp;'Category 14'!C:C&amp;'Category 14'!A:A,0)))</f>
        <v>0</v>
      </c>
      <c r="J594">
        <f>I594/VLOOKUP($D594,CPI!$P$16:$R$22,3,FALSE)</f>
        <v>0</v>
      </c>
      <c r="K594" cm="1">
        <f t="array" ref="K594">IF(B594=0,INDEX('Category 15'!F:F,MATCH(C594&amp;E594&amp;D594,'Category 15'!B:B&amp;'Category 15'!C:C&amp;'Category 15'!A:A,0)),INDEX('Category 15'!G:G,MATCH(C594&amp;E594&amp;D594,'Category 15'!B:B&amp;'Category 31'!C:C&amp;'Category 15'!A:A,0)))</f>
        <v>0</v>
      </c>
      <c r="L594">
        <f>K594/VLOOKUP($D594,CPI!$P$16:$R$22,3,FALSE)</f>
        <v>0</v>
      </c>
      <c r="M594" s="16" cm="1">
        <f t="array" ref="M594">IF(B594=0,INDEX('Category 31'!F:F,MATCH(C594&amp;E594&amp;D594,'Category 31'!B:B&amp;'Category 31'!C:C&amp;'Category 31'!A:A,0)),INDEX('Category 31'!G:G,MATCH(C594&amp;E594&amp;D594,'Category 31'!B:B&amp;'Category 31'!C:C&amp;'Category 31'!A:A,0)))</f>
        <v>1076</v>
      </c>
      <c r="N594" s="16">
        <f>M594/VLOOKUP($D594,CPI!$P$16:$R$22,3,FALSE)</f>
        <v>1328.8809407536994</v>
      </c>
      <c r="O594">
        <f>VLOOKUP(E594,WSoftball!C:S,6,FALSE)</f>
        <v>5525</v>
      </c>
    </row>
    <row r="595" spans="1:15" ht="16" thickBot="1" x14ac:dyDescent="0.25">
      <c r="A595" s="15">
        <v>2</v>
      </c>
      <c r="B595">
        <f t="shared" si="9"/>
        <v>1</v>
      </c>
      <c r="C595">
        <f>IF(ISBLANK(H595),"",VLOOKUP(H595,Code!B:C,2,FALSE))</f>
        <v>19</v>
      </c>
      <c r="D595">
        <v>2017</v>
      </c>
      <c r="E595">
        <v>209542</v>
      </c>
      <c r="F595" t="s">
        <v>183</v>
      </c>
      <c r="G595" t="s">
        <v>290</v>
      </c>
      <c r="H595" t="s">
        <v>7</v>
      </c>
      <c r="I595" cm="1">
        <f t="array" ref="I595">IF(B595=0,INDEX('Category 14'!F:F,MATCH(C595&amp;E595&amp;D595,'Category 14'!B:B&amp;'Category 14'!C:C&amp;'Category 14'!A:A,0)),INDEX('Category 14'!G:G,MATCH(C595&amp;E595&amp;D595,'Category 14'!B:B&amp;'Category 14'!C:C&amp;'Category 14'!A:A,0)))</f>
        <v>0</v>
      </c>
      <c r="J595">
        <f>I595/VLOOKUP($D595,CPI!$P$16:$R$22,3,FALSE)</f>
        <v>0</v>
      </c>
      <c r="K595" cm="1">
        <f t="array" ref="K595">IF(B595=0,INDEX('Category 15'!F:F,MATCH(C595&amp;E595&amp;D595,'Category 15'!B:B&amp;'Category 15'!C:C&amp;'Category 15'!A:A,0)),INDEX('Category 15'!G:G,MATCH(C595&amp;E595&amp;D595,'Category 15'!B:B&amp;'Category 31'!C:C&amp;'Category 15'!A:A,0)))</f>
        <v>0</v>
      </c>
      <c r="L595">
        <f>K595/VLOOKUP($D595,CPI!$P$16:$R$22,3,FALSE)</f>
        <v>0</v>
      </c>
      <c r="M595" s="16" cm="1">
        <f t="array" ref="M595">IF(B595=0,INDEX('Category 31'!F:F,MATCH(C595&amp;E595&amp;D595,'Category 31'!B:B&amp;'Category 31'!C:C&amp;'Category 31'!A:A,0)),INDEX('Category 31'!G:G,MATCH(C595&amp;E595&amp;D595,'Category 31'!B:B&amp;'Category 31'!C:C&amp;'Category 31'!A:A,0)))</f>
        <v>1976</v>
      </c>
      <c r="N595" s="16">
        <f>M595/VLOOKUP($D595,CPI!$P$16:$R$22,3,FALSE)</f>
        <v>2440.3984562540054</v>
      </c>
      <c r="O595">
        <v>0</v>
      </c>
    </row>
    <row r="596" spans="1:15" ht="16" thickBot="1" x14ac:dyDescent="0.25">
      <c r="A596" s="15">
        <v>2</v>
      </c>
      <c r="B596">
        <f t="shared" si="9"/>
        <v>1</v>
      </c>
      <c r="C596">
        <f>IF(ISBLANK(H596),"",VLOOKUP(H596,Code!B:C,2,FALSE))</f>
        <v>21</v>
      </c>
      <c r="D596">
        <v>2017</v>
      </c>
      <c r="E596">
        <v>209542</v>
      </c>
      <c r="F596" t="s">
        <v>183</v>
      </c>
      <c r="G596" t="s">
        <v>290</v>
      </c>
      <c r="H596" t="s">
        <v>36</v>
      </c>
      <c r="I596" cm="1">
        <f t="array" ref="I596">IF(B596=0,INDEX('Category 14'!F:F,MATCH(C596&amp;E596&amp;D596,'Category 14'!B:B&amp;'Category 14'!C:C&amp;'Category 14'!A:A,0)),INDEX('Category 14'!G:G,MATCH(C596&amp;E596&amp;D596,'Category 14'!B:B&amp;'Category 14'!C:C&amp;'Category 14'!A:A,0)))</f>
        <v>430</v>
      </c>
      <c r="J596">
        <f>I596/VLOOKUP($D596,CPI!$P$16:$R$22,3,FALSE)</f>
        <v>531.05836851681295</v>
      </c>
      <c r="K596" cm="1">
        <f t="array" ref="K596">IF(B596=0,INDEX('Category 15'!F:F,MATCH(C596&amp;E596&amp;D596,'Category 15'!B:B&amp;'Category 15'!C:C&amp;'Category 15'!A:A,0)),INDEX('Category 15'!G:G,MATCH(C596&amp;E596&amp;D596,'Category 15'!B:B&amp;'Category 31'!C:C&amp;'Category 15'!A:A,0)))</f>
        <v>0</v>
      </c>
      <c r="L596">
        <f>K596/VLOOKUP($D596,CPI!$P$16:$R$22,3,FALSE)</f>
        <v>0</v>
      </c>
      <c r="M596" s="16" cm="1">
        <f t="array" ref="M596">IF(B596=0,INDEX('Category 31'!F:F,MATCH(C596&amp;E596&amp;D596,'Category 31'!B:B&amp;'Category 31'!C:C&amp;'Category 31'!A:A,0)),INDEX('Category 31'!G:G,MATCH(C596&amp;E596&amp;D596,'Category 31'!B:B&amp;'Category 31'!C:C&amp;'Category 31'!A:A,0)))</f>
        <v>470</v>
      </c>
      <c r="N596" s="16">
        <f>M596/VLOOKUP($D596,CPI!$P$16:$R$22,3,FALSE)</f>
        <v>580.45914698349316</v>
      </c>
      <c r="O596">
        <v>0</v>
      </c>
    </row>
    <row r="597" spans="1:15" ht="16" thickBot="1" x14ac:dyDescent="0.25">
      <c r="A597" s="15">
        <v>2</v>
      </c>
      <c r="B597">
        <f t="shared" si="9"/>
        <v>1</v>
      </c>
      <c r="C597">
        <f>IF(ISBLANK(H597),"",VLOOKUP(H597,Code!B:C,2,FALSE))</f>
        <v>23</v>
      </c>
      <c r="D597">
        <v>2017</v>
      </c>
      <c r="E597">
        <v>209542</v>
      </c>
      <c r="F597" t="s">
        <v>183</v>
      </c>
      <c r="G597" t="s">
        <v>290</v>
      </c>
      <c r="H597" t="s">
        <v>10</v>
      </c>
      <c r="I597" cm="1">
        <f t="array" ref="I597">IF(B597=0,INDEX('Category 14'!F:F,MATCH(C597&amp;E597&amp;D597,'Category 14'!B:B&amp;'Category 14'!C:C&amp;'Category 14'!A:A,0)),INDEX('Category 14'!G:G,MATCH(C597&amp;E597&amp;D597,'Category 14'!B:B&amp;'Category 14'!C:C&amp;'Category 14'!A:A,0)))</f>
        <v>0</v>
      </c>
      <c r="J597">
        <f>I597/VLOOKUP($D597,CPI!$P$16:$R$22,3,FALSE)</f>
        <v>0</v>
      </c>
      <c r="K597" cm="1">
        <f t="array" ref="K597">IF(B597=0,INDEX('Category 15'!F:F,MATCH(C597&amp;E597&amp;D597,'Category 15'!B:B&amp;'Category 15'!C:C&amp;'Category 15'!A:A,0)),INDEX('Category 15'!G:G,MATCH(C597&amp;E597&amp;D597,'Category 15'!B:B&amp;'Category 31'!C:C&amp;'Category 15'!A:A,0)))</f>
        <v>0</v>
      </c>
      <c r="L597">
        <f>K597/VLOOKUP($D597,CPI!$P$16:$R$22,3,FALSE)</f>
        <v>0</v>
      </c>
      <c r="M597" s="16" cm="1">
        <f t="array" ref="M597">IF(B597=0,INDEX('Category 31'!F:F,MATCH(C597&amp;E597&amp;D597,'Category 31'!B:B&amp;'Category 31'!C:C&amp;'Category 31'!A:A,0)),INDEX('Category 31'!G:G,MATCH(C597&amp;E597&amp;D597,'Category 31'!B:B&amp;'Category 31'!C:C&amp;'Category 31'!A:A,0)))</f>
        <v>5134</v>
      </c>
      <c r="N597" s="16">
        <f>M597/VLOOKUP($D597,CPI!$P$16:$R$22,3,FALSE)</f>
        <v>6340.5899161984125</v>
      </c>
      <c r="O597">
        <f>VLOOKUP(E597,WVolleyball!C:S,6,FALSE)</f>
        <v>12342</v>
      </c>
    </row>
    <row r="598" spans="1:15" ht="16" thickBot="1" x14ac:dyDescent="0.25">
      <c r="A598" s="15">
        <v>2</v>
      </c>
      <c r="B598">
        <f t="shared" si="9"/>
        <v>0</v>
      </c>
      <c r="C598">
        <f>IF(ISBLANK(H598),"",VLOOKUP(H598,Code!B:C,2,FALSE))</f>
        <v>1</v>
      </c>
      <c r="D598">
        <v>2018</v>
      </c>
      <c r="E598">
        <v>209542</v>
      </c>
      <c r="F598" t="s">
        <v>183</v>
      </c>
      <c r="G598" t="s">
        <v>289</v>
      </c>
      <c r="H598" t="s">
        <v>0</v>
      </c>
      <c r="I598" cm="1">
        <f t="array" ref="I598">IF(B598=0,INDEX('Category 14'!F:F,MATCH(C598&amp;E598&amp;D598,'Category 14'!B:B&amp;'Category 14'!C:C&amp;'Category 14'!A:A,0)),INDEX('Category 14'!G:G,MATCH(C598&amp;E598&amp;D598,'Category 14'!B:B&amp;'Category 14'!C:C&amp;'Category 14'!A:A,0)))</f>
        <v>25499</v>
      </c>
      <c r="J598">
        <f>I598/VLOOKUP($D598,CPI!$P$16:$R$22,3,FALSE)</f>
        <v>30797.580924610887</v>
      </c>
      <c r="K598" cm="1">
        <f t="array" ref="K598">IF(B598=0,INDEX('Category 15'!F:F,MATCH(C598&amp;E598&amp;D598,'Category 15'!B:B&amp;'Category 15'!C:C&amp;'Category 15'!A:A,0)),INDEX('Category 15'!G:G,MATCH(C598&amp;E598&amp;D598,'Category 15'!B:B&amp;'Category 31'!C:C&amp;'Category 15'!A:A,0)))</f>
        <v>0</v>
      </c>
      <c r="L598">
        <f>K598/VLOOKUP($D598,CPI!$P$16:$R$22,3,FALSE)</f>
        <v>0</v>
      </c>
      <c r="M598" s="16" cm="1">
        <f t="array" ref="M598">IF(B598=0,INDEX('Category 31'!F:F,MATCH(C598&amp;E598&amp;D598,'Category 31'!B:B&amp;'Category 31'!C:C&amp;'Category 31'!A:A,0)),INDEX('Category 31'!G:G,MATCH(C598&amp;E598&amp;D598,'Category 31'!B:B&amp;'Category 31'!C:C&amp;'Category 31'!A:A,0)))</f>
        <v>29999</v>
      </c>
      <c r="N598" s="16">
        <f>M598/VLOOKUP($D598,CPI!$P$16:$R$22,3,FALSE)</f>
        <v>36232.661287007417</v>
      </c>
      <c r="O598">
        <f>VLOOKUP(E598,MBaseball!C:R,7,FALSE)</f>
        <v>111427</v>
      </c>
    </row>
    <row r="599" spans="1:15" ht="16" thickBot="1" x14ac:dyDescent="0.25">
      <c r="A599" s="15">
        <v>2</v>
      </c>
      <c r="B599">
        <f t="shared" si="9"/>
        <v>0</v>
      </c>
      <c r="C599">
        <f>IF(ISBLANK(H599),"",VLOOKUP(H599,Code!B:C,2,FALSE))</f>
        <v>2</v>
      </c>
      <c r="D599">
        <v>2018</v>
      </c>
      <c r="E599">
        <v>209542</v>
      </c>
      <c r="F599" t="s">
        <v>183</v>
      </c>
      <c r="G599" t="s">
        <v>289</v>
      </c>
      <c r="H599" t="s">
        <v>1</v>
      </c>
      <c r="I599" cm="1">
        <f t="array" ref="I599">IF(B599=0,INDEX('Category 14'!F:F,MATCH(C599&amp;E599&amp;D599,'Category 14'!B:B&amp;'Category 14'!C:C&amp;'Category 14'!A:A,0)),INDEX('Category 14'!G:G,MATCH(C599&amp;E599&amp;D599,'Category 14'!B:B&amp;'Category 14'!C:C&amp;'Category 14'!A:A,0)))</f>
        <v>0</v>
      </c>
      <c r="J599">
        <f>I599/VLOOKUP($D599,CPI!$P$16:$R$22,3,FALSE)</f>
        <v>0</v>
      </c>
      <c r="K599" cm="1">
        <f t="array" ref="K599">IF(B599=0,INDEX('Category 15'!F:F,MATCH(C599&amp;E599&amp;D599,'Category 15'!B:B&amp;'Category 15'!C:C&amp;'Category 15'!A:A,0)),INDEX('Category 15'!G:G,MATCH(C599&amp;E599&amp;D599,'Category 15'!B:B&amp;'Category 31'!C:C&amp;'Category 15'!A:A,0)))</f>
        <v>0</v>
      </c>
      <c r="L599">
        <f>K599/VLOOKUP($D599,CPI!$P$16:$R$22,3,FALSE)</f>
        <v>0</v>
      </c>
      <c r="M599" s="16" cm="1">
        <f t="array" ref="M599">IF(B599=0,INDEX('Category 31'!F:F,MATCH(C599&amp;E599&amp;D599,'Category 31'!B:B&amp;'Category 31'!C:C&amp;'Category 31'!A:A,0)),INDEX('Category 31'!G:G,MATCH(C599&amp;E599&amp;D599,'Category 31'!B:B&amp;'Category 31'!C:C&amp;'Category 31'!A:A,0)))</f>
        <v>47158</v>
      </c>
      <c r="N599" s="16">
        <f>M599/VLOOKUP($D599,CPI!$P$16:$R$22,3,FALSE)</f>
        <v>56957.226606643409</v>
      </c>
      <c r="O599">
        <f>VLOOKUP(E599,MBasketball!C:S,7,FALSE)</f>
        <v>86130</v>
      </c>
    </row>
    <row r="600" spans="1:15" ht="16" thickBot="1" x14ac:dyDescent="0.25">
      <c r="A600" s="15">
        <v>2</v>
      </c>
      <c r="B600">
        <f t="shared" si="9"/>
        <v>0</v>
      </c>
      <c r="C600">
        <f>IF(ISBLANK(H600),"",VLOOKUP(H600,Code!B:C,2,FALSE))</f>
        <v>8</v>
      </c>
      <c r="D600">
        <v>2018</v>
      </c>
      <c r="E600">
        <v>209542</v>
      </c>
      <c r="F600" t="s">
        <v>183</v>
      </c>
      <c r="G600" t="s">
        <v>289</v>
      </c>
      <c r="H600" t="s">
        <v>2</v>
      </c>
      <c r="I600" cm="1">
        <f t="array" ref="I600">IF(B600=0,INDEX('Category 14'!F:F,MATCH(C600&amp;E600&amp;D600,'Category 14'!B:B&amp;'Category 14'!C:C&amp;'Category 14'!A:A,0)),INDEX('Category 14'!G:G,MATCH(C600&amp;E600&amp;D600,'Category 14'!B:B&amp;'Category 14'!C:C&amp;'Category 14'!A:A,0)))</f>
        <v>0</v>
      </c>
      <c r="J600">
        <f>I600/VLOOKUP($D600,CPI!$P$16:$R$22,3,FALSE)</f>
        <v>0</v>
      </c>
      <c r="K600" cm="1">
        <f t="array" ref="K600">IF(B600=0,INDEX('Category 15'!F:F,MATCH(C600&amp;E600&amp;D600,'Category 15'!B:B&amp;'Category 15'!C:C&amp;'Category 15'!A:A,0)),INDEX('Category 15'!G:G,MATCH(C600&amp;E600&amp;D600,'Category 15'!B:B&amp;'Category 31'!C:C&amp;'Category 15'!A:A,0)))</f>
        <v>0</v>
      </c>
      <c r="L600">
        <f>K600/VLOOKUP($D600,CPI!$P$16:$R$22,3,FALSE)</f>
        <v>0</v>
      </c>
      <c r="M600" s="16" cm="1">
        <f t="array" ref="M600">IF(B600=0,INDEX('Category 31'!F:F,MATCH(C600&amp;E600&amp;D600,'Category 31'!B:B&amp;'Category 31'!C:C&amp;'Category 31'!A:A,0)),INDEX('Category 31'!G:G,MATCH(C600&amp;E600&amp;D600,'Category 31'!B:B&amp;'Category 31'!C:C&amp;'Category 31'!A:A,0)))</f>
        <v>136280</v>
      </c>
      <c r="N600" s="16">
        <f>M600/VLOOKUP($D600,CPI!$P$16:$R$22,3,FALSE)</f>
        <v>164598.38928608855</v>
      </c>
      <c r="O600">
        <f>VLOOKUP(E600,MFootball!C:S,7,FALSE)</f>
        <v>208524</v>
      </c>
    </row>
    <row r="601" spans="1:15" ht="16" thickBot="1" x14ac:dyDescent="0.25">
      <c r="A601" s="15">
        <v>2</v>
      </c>
      <c r="B601">
        <f t="shared" si="9"/>
        <v>0</v>
      </c>
      <c r="C601">
        <f>IF(ISBLANK(H601),"",VLOOKUP(H601,Code!B:C,2,FALSE))</f>
        <v>9</v>
      </c>
      <c r="D601">
        <v>2018</v>
      </c>
      <c r="E601">
        <v>209542</v>
      </c>
      <c r="F601" t="s">
        <v>183</v>
      </c>
      <c r="G601" t="s">
        <v>289</v>
      </c>
      <c r="H601" t="s">
        <v>3</v>
      </c>
      <c r="I601" cm="1">
        <f t="array" ref="I601">IF(B601=0,INDEX('Category 14'!F:F,MATCH(C601&amp;E601&amp;D601,'Category 14'!B:B&amp;'Category 14'!C:C&amp;'Category 14'!A:A,0)),INDEX('Category 14'!G:G,MATCH(C601&amp;E601&amp;D601,'Category 14'!B:B&amp;'Category 14'!C:C&amp;'Category 14'!A:A,0)))</f>
        <v>0</v>
      </c>
      <c r="J601">
        <f>I601/VLOOKUP($D601,CPI!$P$16:$R$22,3,FALSE)</f>
        <v>0</v>
      </c>
      <c r="K601" cm="1">
        <f t="array" ref="K601">IF(B601=0,INDEX('Category 15'!F:F,MATCH(C601&amp;E601&amp;D601,'Category 15'!B:B&amp;'Category 15'!C:C&amp;'Category 15'!A:A,0)),INDEX('Category 15'!G:G,MATCH(C601&amp;E601&amp;D601,'Category 15'!B:B&amp;'Category 31'!C:C&amp;'Category 15'!A:A,0)))</f>
        <v>0</v>
      </c>
      <c r="L601">
        <f>K601/VLOOKUP($D601,CPI!$P$16:$R$22,3,FALSE)</f>
        <v>0</v>
      </c>
      <c r="M601" s="16" cm="1">
        <f t="array" ref="M601">IF(B601=0,INDEX('Category 31'!F:F,MATCH(C601&amp;E601&amp;D601,'Category 31'!B:B&amp;'Category 31'!C:C&amp;'Category 31'!A:A,0)),INDEX('Category 31'!G:G,MATCH(C601&amp;E601&amp;D601,'Category 31'!B:B&amp;'Category 31'!C:C&amp;'Category 31'!A:A,0)))</f>
        <v>6024</v>
      </c>
      <c r="N601" s="16">
        <f>M601/VLOOKUP($D601,CPI!$P$16:$R$22,3,FALSE)</f>
        <v>7275.760911794815</v>
      </c>
      <c r="O601">
        <v>0</v>
      </c>
    </row>
    <row r="602" spans="1:15" ht="16" thickBot="1" x14ac:dyDescent="0.25">
      <c r="A602" s="15">
        <v>2</v>
      </c>
      <c r="B602">
        <f t="shared" si="9"/>
        <v>0</v>
      </c>
      <c r="C602">
        <f>IF(ISBLANK(H602),"",VLOOKUP(H602,Code!B:C,2,FALSE))</f>
        <v>17</v>
      </c>
      <c r="D602">
        <v>2018</v>
      </c>
      <c r="E602">
        <v>209542</v>
      </c>
      <c r="F602" t="s">
        <v>183</v>
      </c>
      <c r="G602" t="s">
        <v>289</v>
      </c>
      <c r="H602" t="s">
        <v>5</v>
      </c>
      <c r="I602" cm="1">
        <f t="array" ref="I602">IF(B602=0,INDEX('Category 14'!F:F,MATCH(C602&amp;E602&amp;D602,'Category 14'!B:B&amp;'Category 14'!C:C&amp;'Category 14'!A:A,0)),INDEX('Category 14'!G:G,MATCH(C602&amp;E602&amp;D602,'Category 14'!B:B&amp;'Category 14'!C:C&amp;'Category 14'!A:A,0)))</f>
        <v>0</v>
      </c>
      <c r="J602">
        <f>I602/VLOOKUP($D602,CPI!$P$16:$R$22,3,FALSE)</f>
        <v>0</v>
      </c>
      <c r="K602" cm="1">
        <f t="array" ref="K602">IF(B602=0,INDEX('Category 15'!F:F,MATCH(C602&amp;E602&amp;D602,'Category 15'!B:B&amp;'Category 15'!C:C&amp;'Category 15'!A:A,0)),INDEX('Category 15'!G:G,MATCH(C602&amp;E602&amp;D602,'Category 15'!B:B&amp;'Category 31'!C:C&amp;'Category 15'!A:A,0)))</f>
        <v>0</v>
      </c>
      <c r="L602">
        <f>K602/VLOOKUP($D602,CPI!$P$16:$R$22,3,FALSE)</f>
        <v>0</v>
      </c>
      <c r="M602" s="16" cm="1">
        <f t="array" ref="M602">IF(B602=0,INDEX('Category 31'!F:F,MATCH(C602&amp;E602&amp;D602,'Category 31'!B:B&amp;'Category 31'!C:C&amp;'Category 31'!A:A,0)),INDEX('Category 31'!G:G,MATCH(C602&amp;E602&amp;D602,'Category 31'!B:B&amp;'Category 31'!C:C&amp;'Category 31'!A:A,0)))</f>
        <v>5000</v>
      </c>
      <c r="N602" s="16">
        <f>M602/VLOOKUP($D602,CPI!$P$16:$R$22,3,FALSE)</f>
        <v>6038.9781804405839</v>
      </c>
      <c r="O602">
        <f>VLOOKUP(E602,MSoccer!C:S,7,FALSE)</f>
        <v>2623</v>
      </c>
    </row>
    <row r="603" spans="1:15" ht="16" thickBot="1" x14ac:dyDescent="0.25">
      <c r="A603" s="15">
        <v>2</v>
      </c>
      <c r="B603">
        <f t="shared" si="9"/>
        <v>0</v>
      </c>
      <c r="C603">
        <f>IF(ISBLANK(H603),"",VLOOKUP(H603,Code!B:C,2,FALSE))</f>
        <v>25</v>
      </c>
      <c r="D603">
        <v>2018</v>
      </c>
      <c r="E603">
        <v>209542</v>
      </c>
      <c r="F603" t="s">
        <v>183</v>
      </c>
      <c r="G603" t="s">
        <v>289</v>
      </c>
      <c r="H603" t="s">
        <v>35</v>
      </c>
      <c r="I603" cm="1">
        <f t="array" ref="I603">IF(B603=0,INDEX('Category 14'!F:F,MATCH(C603&amp;E603&amp;D603,'Category 14'!B:B&amp;'Category 14'!C:C&amp;'Category 14'!A:A,0)),INDEX('Category 14'!G:G,MATCH(C603&amp;E603&amp;D603,'Category 14'!B:B&amp;'Category 14'!C:C&amp;'Category 14'!A:A,0)))</f>
        <v>0</v>
      </c>
      <c r="J603">
        <f>I603/VLOOKUP($D603,CPI!$P$16:$R$22,3,FALSE)</f>
        <v>0</v>
      </c>
      <c r="K603" cm="1">
        <f t="array" ref="K603">IF(B603=0,INDEX('Category 15'!F:F,MATCH(C603&amp;E603&amp;D603,'Category 15'!B:B&amp;'Category 15'!C:C&amp;'Category 15'!A:A,0)),INDEX('Category 15'!G:G,MATCH(C603&amp;E603&amp;D603,'Category 15'!B:B&amp;'Category 31'!C:C&amp;'Category 15'!A:A,0)))</f>
        <v>0</v>
      </c>
      <c r="L603">
        <f>K603/VLOOKUP($D603,CPI!$P$16:$R$22,3,FALSE)</f>
        <v>0</v>
      </c>
      <c r="M603" s="16" cm="1">
        <f t="array" ref="M603">IF(B603=0,INDEX('Category 31'!F:F,MATCH(C603&amp;E603&amp;D603,'Category 31'!B:B&amp;'Category 31'!C:C&amp;'Category 31'!A:A,0)),INDEX('Category 31'!G:G,MATCH(C603&amp;E603&amp;D603,'Category 31'!B:B&amp;'Category 31'!C:C&amp;'Category 31'!A:A,0)))</f>
        <v>13318</v>
      </c>
      <c r="N603" s="16">
        <f>M603/VLOOKUP($D603,CPI!$P$16:$R$22,3,FALSE)</f>
        <v>16085.422281421539</v>
      </c>
      <c r="O603">
        <v>0</v>
      </c>
    </row>
    <row r="604" spans="1:15" ht="16" thickBot="1" x14ac:dyDescent="0.25">
      <c r="A604" s="15">
        <v>2</v>
      </c>
      <c r="B604">
        <f t="shared" si="9"/>
        <v>1</v>
      </c>
      <c r="C604">
        <f>IF(ISBLANK(H604),"",VLOOKUP(H604,Code!B:C,2,FALSE))</f>
        <v>2</v>
      </c>
      <c r="D604">
        <v>2018</v>
      </c>
      <c r="E604">
        <v>209542</v>
      </c>
      <c r="F604" t="s">
        <v>183</v>
      </c>
      <c r="G604" t="s">
        <v>290</v>
      </c>
      <c r="H604" t="s">
        <v>1</v>
      </c>
      <c r="I604" cm="1">
        <f t="array" ref="I604">IF(B604=0,INDEX('Category 14'!F:F,MATCH(C604&amp;E604&amp;D604,'Category 14'!B:B&amp;'Category 14'!C:C&amp;'Category 14'!A:A,0)),INDEX('Category 14'!G:G,MATCH(C604&amp;E604&amp;D604,'Category 14'!B:B&amp;'Category 14'!C:C&amp;'Category 14'!A:A,0)))</f>
        <v>0</v>
      </c>
      <c r="J604">
        <f>I604/VLOOKUP($D604,CPI!$P$16:$R$22,3,FALSE)</f>
        <v>0</v>
      </c>
      <c r="K604" cm="1">
        <f t="array" ref="K604">IF(B604=0,INDEX('Category 15'!F:F,MATCH(C604&amp;E604&amp;D604,'Category 15'!B:B&amp;'Category 15'!C:C&amp;'Category 15'!A:A,0)),INDEX('Category 15'!G:G,MATCH(C604&amp;E604&amp;D604,'Category 15'!B:B&amp;'Category 31'!C:C&amp;'Category 15'!A:A,0)))</f>
        <v>0</v>
      </c>
      <c r="L604">
        <f>K604/VLOOKUP($D604,CPI!$P$16:$R$22,3,FALSE)</f>
        <v>0</v>
      </c>
      <c r="M604" s="16" cm="1">
        <f t="array" ref="M604">IF(B604=0,INDEX('Category 31'!F:F,MATCH(C604&amp;E604&amp;D604,'Category 31'!B:B&amp;'Category 31'!C:C&amp;'Category 31'!A:A,0)),INDEX('Category 31'!G:G,MATCH(C604&amp;E604&amp;D604,'Category 31'!B:B&amp;'Category 31'!C:C&amp;'Category 31'!A:A,0)))</f>
        <v>57385</v>
      </c>
      <c r="N604" s="16">
        <f>M604/VLOOKUP($D604,CPI!$P$16:$R$22,3,FALSE)</f>
        <v>69309.352576916586</v>
      </c>
      <c r="O604">
        <f>VLOOKUP(E604,WBasketball!C:S,7,FALSE)</f>
        <v>79664</v>
      </c>
    </row>
    <row r="605" spans="1:15" ht="16" thickBot="1" x14ac:dyDescent="0.25">
      <c r="A605" s="15">
        <v>2</v>
      </c>
      <c r="B605">
        <f t="shared" si="9"/>
        <v>1</v>
      </c>
      <c r="C605">
        <f>IF(ISBLANK(H605),"",VLOOKUP(H605,Code!B:C,2,FALSE))</f>
        <v>9</v>
      </c>
      <c r="D605">
        <v>2018</v>
      </c>
      <c r="E605">
        <v>209542</v>
      </c>
      <c r="F605" t="s">
        <v>183</v>
      </c>
      <c r="G605" t="s">
        <v>290</v>
      </c>
      <c r="H605" t="s">
        <v>3</v>
      </c>
      <c r="I605" cm="1">
        <f t="array" ref="I605">IF(B605=0,INDEX('Category 14'!F:F,MATCH(C605&amp;E605&amp;D605,'Category 14'!B:B&amp;'Category 14'!C:C&amp;'Category 14'!A:A,0)),INDEX('Category 14'!G:G,MATCH(C605&amp;E605&amp;D605,'Category 14'!B:B&amp;'Category 14'!C:C&amp;'Category 14'!A:A,0)))</f>
        <v>0</v>
      </c>
      <c r="J605">
        <f>I605/VLOOKUP($D605,CPI!$P$16:$R$22,3,FALSE)</f>
        <v>0</v>
      </c>
      <c r="K605" cm="1">
        <f t="array" ref="K605">IF(B605=0,INDEX('Category 15'!F:F,MATCH(C605&amp;E605&amp;D605,'Category 15'!B:B&amp;'Category 15'!C:C&amp;'Category 15'!A:A,0)),INDEX('Category 15'!G:G,MATCH(C605&amp;E605&amp;D605,'Category 15'!B:B&amp;'Category 31'!C:C&amp;'Category 15'!A:A,0)))</f>
        <v>0</v>
      </c>
      <c r="L605">
        <f>K605/VLOOKUP($D605,CPI!$P$16:$R$22,3,FALSE)</f>
        <v>0</v>
      </c>
      <c r="M605" s="16" cm="1">
        <f t="array" ref="M605">IF(B605=0,INDEX('Category 31'!F:F,MATCH(C605&amp;E605&amp;D605,'Category 31'!B:B&amp;'Category 31'!C:C&amp;'Category 31'!A:A,0)),INDEX('Category 31'!G:G,MATCH(C605&amp;E605&amp;D605,'Category 31'!B:B&amp;'Category 31'!C:C&amp;'Category 31'!A:A,0)))</f>
        <v>3186</v>
      </c>
      <c r="N605" s="16">
        <f>M605/VLOOKUP($D605,CPI!$P$16:$R$22,3,FALSE)</f>
        <v>3848.0368965767398</v>
      </c>
      <c r="O605">
        <v>0</v>
      </c>
    </row>
    <row r="606" spans="1:15" ht="16" thickBot="1" x14ac:dyDescent="0.25">
      <c r="A606" s="15">
        <v>2</v>
      </c>
      <c r="B606">
        <f t="shared" si="9"/>
        <v>1</v>
      </c>
      <c r="C606">
        <f>IF(ISBLANK(H606),"",VLOOKUP(H606,Code!B:C,2,FALSE))</f>
        <v>10</v>
      </c>
      <c r="D606">
        <v>2018</v>
      </c>
      <c r="E606">
        <v>209542</v>
      </c>
      <c r="F606" t="s">
        <v>183</v>
      </c>
      <c r="G606" t="s">
        <v>290</v>
      </c>
      <c r="H606" t="s">
        <v>4</v>
      </c>
      <c r="I606" cm="1">
        <f t="array" ref="I606">IF(B606=0,INDEX('Category 14'!F:F,MATCH(C606&amp;E606&amp;D606,'Category 14'!B:B&amp;'Category 14'!C:C&amp;'Category 14'!A:A,0)),INDEX('Category 14'!G:G,MATCH(C606&amp;E606&amp;D606,'Category 14'!B:B&amp;'Category 14'!C:C&amp;'Category 14'!A:A,0)))</f>
        <v>0</v>
      </c>
      <c r="J606">
        <f>I606/VLOOKUP($D606,CPI!$P$16:$R$22,3,FALSE)</f>
        <v>0</v>
      </c>
      <c r="K606" cm="1">
        <f t="array" ref="K606">IF(B606=0,INDEX('Category 15'!F:F,MATCH(C606&amp;E606&amp;D606,'Category 15'!B:B&amp;'Category 15'!C:C&amp;'Category 15'!A:A,0)),INDEX('Category 15'!G:G,MATCH(C606&amp;E606&amp;D606,'Category 15'!B:B&amp;'Category 31'!C:C&amp;'Category 15'!A:A,0)))</f>
        <v>0</v>
      </c>
      <c r="L606">
        <f>K606/VLOOKUP($D606,CPI!$P$16:$R$22,3,FALSE)</f>
        <v>0</v>
      </c>
      <c r="M606" s="16" cm="1">
        <f t="array" ref="M606">IF(B606=0,INDEX('Category 31'!F:F,MATCH(C606&amp;E606&amp;D606,'Category 31'!B:B&amp;'Category 31'!C:C&amp;'Category 31'!A:A,0)),INDEX('Category 31'!G:G,MATCH(C606&amp;E606&amp;D606,'Category 31'!B:B&amp;'Category 31'!C:C&amp;'Category 31'!A:A,0)))</f>
        <v>6663</v>
      </c>
      <c r="N606" s="16">
        <f>M606/VLOOKUP($D606,CPI!$P$16:$R$22,3,FALSE)</f>
        <v>8047.542323255122</v>
      </c>
      <c r="O606">
        <v>0</v>
      </c>
    </row>
    <row r="607" spans="1:15" ht="16" thickBot="1" x14ac:dyDescent="0.25">
      <c r="A607" s="15">
        <v>2</v>
      </c>
      <c r="B607">
        <f t="shared" si="9"/>
        <v>1</v>
      </c>
      <c r="C607">
        <f>IF(ISBLANK(H607),"",VLOOKUP(H607,Code!B:C,2,FALSE))</f>
        <v>14</v>
      </c>
      <c r="D607">
        <v>2018</v>
      </c>
      <c r="E607">
        <v>209542</v>
      </c>
      <c r="F607" t="s">
        <v>183</v>
      </c>
      <c r="G607" t="s">
        <v>290</v>
      </c>
      <c r="H607" t="s">
        <v>29</v>
      </c>
      <c r="I607" cm="1">
        <f t="array" ref="I607">IF(B607=0,INDEX('Category 14'!F:F,MATCH(C607&amp;E607&amp;D607,'Category 14'!B:B&amp;'Category 14'!C:C&amp;'Category 14'!A:A,0)),INDEX('Category 14'!G:G,MATCH(C607&amp;E607&amp;D607,'Category 14'!B:B&amp;'Category 14'!C:C&amp;'Category 14'!A:A,0)))</f>
        <v>0</v>
      </c>
      <c r="J607">
        <f>I607/VLOOKUP($D607,CPI!$P$16:$R$22,3,FALSE)</f>
        <v>0</v>
      </c>
      <c r="K607" cm="1">
        <f t="array" ref="K607">IF(B607=0,INDEX('Category 15'!F:F,MATCH(C607&amp;E607&amp;D607,'Category 15'!B:B&amp;'Category 15'!C:C&amp;'Category 15'!A:A,0)),INDEX('Category 15'!G:G,MATCH(C607&amp;E607&amp;D607,'Category 15'!B:B&amp;'Category 31'!C:C&amp;'Category 15'!A:A,0)))</f>
        <v>0</v>
      </c>
      <c r="L607">
        <f>K607/VLOOKUP($D607,CPI!$P$16:$R$22,3,FALSE)</f>
        <v>0</v>
      </c>
      <c r="M607" s="16" cm="1">
        <f t="array" ref="M607">IF(B607=0,INDEX('Category 31'!F:F,MATCH(C607&amp;E607&amp;D607,'Category 31'!B:B&amp;'Category 31'!C:C&amp;'Category 31'!A:A,0)),INDEX('Category 31'!G:G,MATCH(C607&amp;E607&amp;D607,'Category 31'!B:B&amp;'Category 31'!C:C&amp;'Category 31'!A:A,0)))</f>
        <v>734</v>
      </c>
      <c r="N607" s="16">
        <f>M607/VLOOKUP($D607,CPI!$P$16:$R$22,3,FALSE)</f>
        <v>886.52199688867768</v>
      </c>
      <c r="O607">
        <v>0</v>
      </c>
    </row>
    <row r="608" spans="1:15" ht="16" thickBot="1" x14ac:dyDescent="0.25">
      <c r="A608" s="15">
        <v>2</v>
      </c>
      <c r="B608">
        <f t="shared" si="9"/>
        <v>1</v>
      </c>
      <c r="C608">
        <f>IF(ISBLANK(H608),"",VLOOKUP(H608,Code!B:C,2,FALSE))</f>
        <v>17</v>
      </c>
      <c r="D608">
        <v>2018</v>
      </c>
      <c r="E608">
        <v>209542</v>
      </c>
      <c r="F608" t="s">
        <v>183</v>
      </c>
      <c r="G608" t="s">
        <v>290</v>
      </c>
      <c r="H608" t="s">
        <v>5</v>
      </c>
      <c r="I608" cm="1">
        <f t="array" ref="I608">IF(B608=0,INDEX('Category 14'!F:F,MATCH(C608&amp;E608&amp;D608,'Category 14'!B:B&amp;'Category 14'!C:C&amp;'Category 14'!A:A,0)),INDEX('Category 14'!G:G,MATCH(C608&amp;E608&amp;D608,'Category 14'!B:B&amp;'Category 14'!C:C&amp;'Category 14'!A:A,0)))</f>
        <v>0</v>
      </c>
      <c r="J608">
        <f>I608/VLOOKUP($D608,CPI!$P$16:$R$22,3,FALSE)</f>
        <v>0</v>
      </c>
      <c r="K608" cm="1">
        <f t="array" ref="K608">IF(B608=0,INDEX('Category 15'!F:F,MATCH(C608&amp;E608&amp;D608,'Category 15'!B:B&amp;'Category 15'!C:C&amp;'Category 15'!A:A,0)),INDEX('Category 15'!G:G,MATCH(C608&amp;E608&amp;D608,'Category 15'!B:B&amp;'Category 31'!C:C&amp;'Category 15'!A:A,0)))</f>
        <v>0</v>
      </c>
      <c r="L608">
        <f>K608/VLOOKUP($D608,CPI!$P$16:$R$22,3,FALSE)</f>
        <v>0</v>
      </c>
      <c r="M608" s="16" cm="1">
        <f t="array" ref="M608">IF(B608=0,INDEX('Category 31'!F:F,MATCH(C608&amp;E608&amp;D608,'Category 31'!B:B&amp;'Category 31'!C:C&amp;'Category 31'!A:A,0)),INDEX('Category 31'!G:G,MATCH(C608&amp;E608&amp;D608,'Category 31'!B:B&amp;'Category 31'!C:C&amp;'Category 31'!A:A,0)))</f>
        <v>6526</v>
      </c>
      <c r="N608" s="16">
        <f>M608/VLOOKUP($D608,CPI!$P$16:$R$22,3,FALSE)</f>
        <v>7882.0743211110503</v>
      </c>
      <c r="O608">
        <f>VLOOKUP(E608,WSoccer!C:S,7,FALSE)</f>
        <v>3935</v>
      </c>
    </row>
    <row r="609" spans="1:15" ht="16" thickBot="1" x14ac:dyDescent="0.25">
      <c r="A609" s="15">
        <v>2</v>
      </c>
      <c r="B609">
        <f t="shared" si="9"/>
        <v>1</v>
      </c>
      <c r="C609">
        <f>IF(ISBLANK(H609),"",VLOOKUP(H609,Code!B:C,2,FALSE))</f>
        <v>18</v>
      </c>
      <c r="D609">
        <v>2018</v>
      </c>
      <c r="E609">
        <v>209542</v>
      </c>
      <c r="F609" t="s">
        <v>183</v>
      </c>
      <c r="G609" t="s">
        <v>290</v>
      </c>
      <c r="H609" t="s">
        <v>6</v>
      </c>
      <c r="I609" cm="1">
        <f t="array" ref="I609">IF(B609=0,INDEX('Category 14'!F:F,MATCH(C609&amp;E609&amp;D609,'Category 14'!B:B&amp;'Category 14'!C:C&amp;'Category 14'!A:A,0)),INDEX('Category 14'!G:G,MATCH(C609&amp;E609&amp;D609,'Category 14'!B:B&amp;'Category 14'!C:C&amp;'Category 14'!A:A,0)))</f>
        <v>0</v>
      </c>
      <c r="J609">
        <f>I609/VLOOKUP($D609,CPI!$P$16:$R$22,3,FALSE)</f>
        <v>0</v>
      </c>
      <c r="K609" cm="1">
        <f t="array" ref="K609">IF(B609=0,INDEX('Category 15'!F:F,MATCH(C609&amp;E609&amp;D609,'Category 15'!B:B&amp;'Category 15'!C:C&amp;'Category 15'!A:A,0)),INDEX('Category 15'!G:G,MATCH(C609&amp;E609&amp;D609,'Category 15'!B:B&amp;'Category 31'!C:C&amp;'Category 15'!A:A,0)))</f>
        <v>0</v>
      </c>
      <c r="L609">
        <f>K609/VLOOKUP($D609,CPI!$P$16:$R$22,3,FALSE)</f>
        <v>0</v>
      </c>
      <c r="M609" s="16" cm="1">
        <f t="array" ref="M609">IF(B609=0,INDEX('Category 31'!F:F,MATCH(C609&amp;E609&amp;D609,'Category 31'!B:B&amp;'Category 31'!C:C&amp;'Category 31'!A:A,0)),INDEX('Category 31'!G:G,MATCH(C609&amp;E609&amp;D609,'Category 31'!B:B&amp;'Category 31'!C:C&amp;'Category 31'!A:A,0)))</f>
        <v>1650</v>
      </c>
      <c r="N609" s="16">
        <f>M609/VLOOKUP($D609,CPI!$P$16:$R$22,3,FALSE)</f>
        <v>1992.8627995453926</v>
      </c>
      <c r="O609">
        <f>VLOOKUP(E609,WSoftball!C:S,7,FALSE)</f>
        <v>8511</v>
      </c>
    </row>
    <row r="610" spans="1:15" ht="16" thickBot="1" x14ac:dyDescent="0.25">
      <c r="A610" s="15">
        <v>2</v>
      </c>
      <c r="B610">
        <f t="shared" si="9"/>
        <v>1</v>
      </c>
      <c r="C610">
        <f>IF(ISBLANK(H610),"",VLOOKUP(H610,Code!B:C,2,FALSE))</f>
        <v>19</v>
      </c>
      <c r="D610">
        <v>2018</v>
      </c>
      <c r="E610">
        <v>209542</v>
      </c>
      <c r="F610" t="s">
        <v>183</v>
      </c>
      <c r="G610" t="s">
        <v>290</v>
      </c>
      <c r="H610" t="s">
        <v>7</v>
      </c>
      <c r="I610" cm="1">
        <f t="array" ref="I610">IF(B610=0,INDEX('Category 14'!F:F,MATCH(C610&amp;E610&amp;D610,'Category 14'!B:B&amp;'Category 14'!C:C&amp;'Category 14'!A:A,0)),INDEX('Category 14'!G:G,MATCH(C610&amp;E610&amp;D610,'Category 14'!B:B&amp;'Category 14'!C:C&amp;'Category 14'!A:A,0)))</f>
        <v>0</v>
      </c>
      <c r="J610">
        <f>I610/VLOOKUP($D610,CPI!$P$16:$R$22,3,FALSE)</f>
        <v>0</v>
      </c>
      <c r="K610" cm="1">
        <f t="array" ref="K610">IF(B610=0,INDEX('Category 15'!F:F,MATCH(C610&amp;E610&amp;D610,'Category 15'!B:B&amp;'Category 15'!C:C&amp;'Category 15'!A:A,0)),INDEX('Category 15'!G:G,MATCH(C610&amp;E610&amp;D610,'Category 15'!B:B&amp;'Category 31'!C:C&amp;'Category 15'!A:A,0)))</f>
        <v>0</v>
      </c>
      <c r="L610">
        <f>K610/VLOOKUP($D610,CPI!$P$16:$R$22,3,FALSE)</f>
        <v>0</v>
      </c>
      <c r="M610" s="16" cm="1">
        <f t="array" ref="M610">IF(B610=0,INDEX('Category 31'!F:F,MATCH(C610&amp;E610&amp;D610,'Category 31'!B:B&amp;'Category 31'!C:C&amp;'Category 31'!A:A,0)),INDEX('Category 31'!G:G,MATCH(C610&amp;E610&amp;D610,'Category 31'!B:B&amp;'Category 31'!C:C&amp;'Category 31'!A:A,0)))</f>
        <v>8615</v>
      </c>
      <c r="N610" s="16">
        <f>M610/VLOOKUP($D610,CPI!$P$16:$R$22,3,FALSE)</f>
        <v>10405.159404899126</v>
      </c>
      <c r="O610">
        <v>0</v>
      </c>
    </row>
    <row r="611" spans="1:15" ht="16" thickBot="1" x14ac:dyDescent="0.25">
      <c r="A611" s="15">
        <v>2</v>
      </c>
      <c r="B611">
        <f t="shared" si="9"/>
        <v>1</v>
      </c>
      <c r="C611">
        <f>IF(ISBLANK(H611),"",VLOOKUP(H611,Code!B:C,2,FALSE))</f>
        <v>21</v>
      </c>
      <c r="D611">
        <v>2018</v>
      </c>
      <c r="E611">
        <v>209542</v>
      </c>
      <c r="F611" t="s">
        <v>183</v>
      </c>
      <c r="G611" t="s">
        <v>290</v>
      </c>
      <c r="H611" t="s">
        <v>36</v>
      </c>
      <c r="I611" cm="1">
        <f t="array" ref="I611">IF(B611=0,INDEX('Category 14'!F:F,MATCH(C611&amp;E611&amp;D611,'Category 14'!B:B&amp;'Category 14'!C:C&amp;'Category 14'!A:A,0)),INDEX('Category 14'!G:G,MATCH(C611&amp;E611&amp;D611,'Category 14'!B:B&amp;'Category 14'!C:C&amp;'Category 14'!A:A,0)))</f>
        <v>0</v>
      </c>
      <c r="J611">
        <f>I611/VLOOKUP($D611,CPI!$P$16:$R$22,3,FALSE)</f>
        <v>0</v>
      </c>
      <c r="K611" cm="1">
        <f t="array" ref="K611">IF(B611=0,INDEX('Category 15'!F:F,MATCH(C611&amp;E611&amp;D611,'Category 15'!B:B&amp;'Category 15'!C:C&amp;'Category 15'!A:A,0)),INDEX('Category 15'!G:G,MATCH(C611&amp;E611&amp;D611,'Category 15'!B:B&amp;'Category 31'!C:C&amp;'Category 15'!A:A,0)))</f>
        <v>0</v>
      </c>
      <c r="L611">
        <f>K611/VLOOKUP($D611,CPI!$P$16:$R$22,3,FALSE)</f>
        <v>0</v>
      </c>
      <c r="M611" s="16" cm="1">
        <f t="array" ref="M611">IF(B611=0,INDEX('Category 31'!F:F,MATCH(C611&amp;E611&amp;D611,'Category 31'!B:B&amp;'Category 31'!C:C&amp;'Category 31'!A:A,0)),INDEX('Category 31'!G:G,MATCH(C611&amp;E611&amp;D611,'Category 31'!B:B&amp;'Category 31'!C:C&amp;'Category 31'!A:A,0)))</f>
        <v>2353</v>
      </c>
      <c r="N611" s="16">
        <f>M611/VLOOKUP($D611,CPI!$P$16:$R$22,3,FALSE)</f>
        <v>2841.9431317153385</v>
      </c>
      <c r="O611">
        <v>0</v>
      </c>
    </row>
    <row r="612" spans="1:15" ht="16" thickBot="1" x14ac:dyDescent="0.25">
      <c r="A612" s="15">
        <v>2</v>
      </c>
      <c r="B612">
        <f t="shared" si="9"/>
        <v>1</v>
      </c>
      <c r="C612">
        <f>IF(ISBLANK(H612),"",VLOOKUP(H612,Code!B:C,2,FALSE))</f>
        <v>23</v>
      </c>
      <c r="D612">
        <v>2018</v>
      </c>
      <c r="E612">
        <v>209542</v>
      </c>
      <c r="F612" t="s">
        <v>183</v>
      </c>
      <c r="G612" t="s">
        <v>290</v>
      </c>
      <c r="H612" t="s">
        <v>10</v>
      </c>
      <c r="I612" cm="1">
        <f t="array" ref="I612">IF(B612=0,INDEX('Category 14'!F:F,MATCH(C612&amp;E612&amp;D612,'Category 14'!B:B&amp;'Category 14'!C:C&amp;'Category 14'!A:A,0)),INDEX('Category 14'!G:G,MATCH(C612&amp;E612&amp;D612,'Category 14'!B:B&amp;'Category 14'!C:C&amp;'Category 14'!A:A,0)))</f>
        <v>0</v>
      </c>
      <c r="J612">
        <f>I612/VLOOKUP($D612,CPI!$P$16:$R$22,3,FALSE)</f>
        <v>0</v>
      </c>
      <c r="K612" cm="1">
        <f t="array" ref="K612">IF(B612=0,INDEX('Category 15'!F:F,MATCH(C612&amp;E612&amp;D612,'Category 15'!B:B&amp;'Category 15'!C:C&amp;'Category 15'!A:A,0)),INDEX('Category 15'!G:G,MATCH(C612&amp;E612&amp;D612,'Category 15'!B:B&amp;'Category 31'!C:C&amp;'Category 15'!A:A,0)))</f>
        <v>0</v>
      </c>
      <c r="L612">
        <f>K612/VLOOKUP($D612,CPI!$P$16:$R$22,3,FALSE)</f>
        <v>0</v>
      </c>
      <c r="M612" s="16" cm="1">
        <f t="array" ref="M612">IF(B612=0,INDEX('Category 31'!F:F,MATCH(C612&amp;E612&amp;D612,'Category 31'!B:B&amp;'Category 31'!C:C&amp;'Category 31'!A:A,0)),INDEX('Category 31'!G:G,MATCH(C612&amp;E612&amp;D612,'Category 31'!B:B&amp;'Category 31'!C:C&amp;'Category 31'!A:A,0)))</f>
        <v>13693</v>
      </c>
      <c r="N612" s="16">
        <f>M612/VLOOKUP($D612,CPI!$P$16:$R$22,3,FALSE)</f>
        <v>16538.345644954581</v>
      </c>
      <c r="O612">
        <f>VLOOKUP(E612,WVolleyball!C:S,7,FALSE)</f>
        <v>15015</v>
      </c>
    </row>
    <row r="613" spans="1:15" ht="16" thickBot="1" x14ac:dyDescent="0.25">
      <c r="A613" s="15">
        <v>2</v>
      </c>
      <c r="B613">
        <f t="shared" si="9"/>
        <v>0</v>
      </c>
      <c r="C613">
        <f>IF(ISBLANK(H613),"",VLOOKUP(H613,Code!B:C,2,FALSE))</f>
        <v>1</v>
      </c>
      <c r="D613">
        <v>2019</v>
      </c>
      <c r="E613">
        <v>209542</v>
      </c>
      <c r="F613" t="s">
        <v>183</v>
      </c>
      <c r="G613" t="s">
        <v>289</v>
      </c>
      <c r="H613" t="s">
        <v>0</v>
      </c>
      <c r="I613" cm="1">
        <f t="array" ref="I613">IF(B613=0,INDEX('Category 14'!F:F,MATCH(C613&amp;E613&amp;D613,'Category 14'!B:B&amp;'Category 14'!C:C&amp;'Category 14'!A:A,0)),INDEX('Category 14'!G:G,MATCH(C613&amp;E613&amp;D613,'Category 14'!B:B&amp;'Category 14'!C:C&amp;'Category 14'!A:A,0)))</f>
        <v>17097</v>
      </c>
      <c r="J613">
        <f>I613/VLOOKUP($D613,CPI!$P$16:$R$22,3,FALSE)</f>
        <v>20230.399727956694</v>
      </c>
      <c r="K613" cm="1">
        <f t="array" ref="K613">IF(B613=0,INDEX('Category 15'!F:F,MATCH(C613&amp;E613&amp;D613,'Category 15'!B:B&amp;'Category 15'!C:C&amp;'Category 15'!A:A,0)),INDEX('Category 15'!G:G,MATCH(C613&amp;E613&amp;D613,'Category 15'!B:B&amp;'Category 31'!C:C&amp;'Category 15'!A:A,0)))</f>
        <v>0</v>
      </c>
      <c r="L613">
        <f>K613/VLOOKUP($D613,CPI!$P$16:$R$22,3,FALSE)</f>
        <v>0</v>
      </c>
      <c r="M613" s="16" cm="1">
        <f t="array" ref="M613">IF(B613=0,INDEX('Category 31'!F:F,MATCH(C613&amp;E613&amp;D613,'Category 31'!B:B&amp;'Category 31'!C:C&amp;'Category 31'!A:A,0)),INDEX('Category 31'!G:G,MATCH(C613&amp;E613&amp;D613,'Category 31'!B:B&amp;'Category 31'!C:C&amp;'Category 31'!A:A,0)))</f>
        <v>27584</v>
      </c>
      <c r="N613" s="16">
        <f>M613/VLOOKUP($D613,CPI!$P$16:$R$22,3,FALSE)</f>
        <v>32639.37217616877</v>
      </c>
      <c r="O613">
        <f>VLOOKUP(E613,MBaseball!C:R,8,FALSE)</f>
        <v>106327</v>
      </c>
    </row>
    <row r="614" spans="1:15" ht="16" thickBot="1" x14ac:dyDescent="0.25">
      <c r="A614" s="15">
        <v>2</v>
      </c>
      <c r="B614">
        <f t="shared" si="9"/>
        <v>0</v>
      </c>
      <c r="C614">
        <f>IF(ISBLANK(H614),"",VLOOKUP(H614,Code!B:C,2,FALSE))</f>
        <v>2</v>
      </c>
      <c r="D614">
        <v>2019</v>
      </c>
      <c r="E614">
        <v>209542</v>
      </c>
      <c r="F614" t="s">
        <v>183</v>
      </c>
      <c r="G614" t="s">
        <v>289</v>
      </c>
      <c r="H614" t="s">
        <v>1</v>
      </c>
      <c r="I614" cm="1">
        <f t="array" ref="I614">IF(B614=0,INDEX('Category 14'!F:F,MATCH(C614&amp;E614&amp;D614,'Category 14'!B:B&amp;'Category 14'!C:C&amp;'Category 14'!A:A,0)),INDEX('Category 14'!G:G,MATCH(C614&amp;E614&amp;D614,'Category 14'!B:B&amp;'Category 14'!C:C&amp;'Category 14'!A:A,0)))</f>
        <v>0</v>
      </c>
      <c r="J614">
        <f>I614/VLOOKUP($D614,CPI!$P$16:$R$22,3,FALSE)</f>
        <v>0</v>
      </c>
      <c r="K614" cm="1">
        <f t="array" ref="K614">IF(B614=0,INDEX('Category 15'!F:F,MATCH(C614&amp;E614&amp;D614,'Category 15'!B:B&amp;'Category 15'!C:C&amp;'Category 15'!A:A,0)),INDEX('Category 15'!G:G,MATCH(C614&amp;E614&amp;D614,'Category 15'!B:B&amp;'Category 31'!C:C&amp;'Category 15'!A:A,0)))</f>
        <v>0</v>
      </c>
      <c r="L614">
        <f>K614/VLOOKUP($D614,CPI!$P$16:$R$22,3,FALSE)</f>
        <v>0</v>
      </c>
      <c r="M614" s="16" cm="1">
        <f t="array" ref="M614">IF(B614=0,INDEX('Category 31'!F:F,MATCH(C614&amp;E614&amp;D614,'Category 31'!B:B&amp;'Category 31'!C:C&amp;'Category 31'!A:A,0)),INDEX('Category 31'!G:G,MATCH(C614&amp;E614&amp;D614,'Category 31'!B:B&amp;'Category 31'!C:C&amp;'Category 31'!A:A,0)))</f>
        <v>36562</v>
      </c>
      <c r="N614" s="16">
        <f>M614/VLOOKUP($D614,CPI!$P$16:$R$22,3,FALSE)</f>
        <v>43262.787322545046</v>
      </c>
      <c r="O614">
        <f>VLOOKUP(E614,MBasketball!C:S,8,FALSE)</f>
        <v>82580</v>
      </c>
    </row>
    <row r="615" spans="1:15" ht="16" thickBot="1" x14ac:dyDescent="0.25">
      <c r="A615" s="15">
        <v>2</v>
      </c>
      <c r="B615">
        <f t="shared" si="9"/>
        <v>0</v>
      </c>
      <c r="C615">
        <f>IF(ISBLANK(H615),"",VLOOKUP(H615,Code!B:C,2,FALSE))</f>
        <v>8</v>
      </c>
      <c r="D615">
        <v>2019</v>
      </c>
      <c r="E615">
        <v>209542</v>
      </c>
      <c r="F615" t="s">
        <v>183</v>
      </c>
      <c r="G615" t="s">
        <v>289</v>
      </c>
      <c r="H615" t="s">
        <v>2</v>
      </c>
      <c r="I615" cm="1">
        <f t="array" ref="I615">IF(B615=0,INDEX('Category 14'!F:F,MATCH(C615&amp;E615&amp;D615,'Category 14'!B:B&amp;'Category 14'!C:C&amp;'Category 14'!A:A,0)),INDEX('Category 14'!G:G,MATCH(C615&amp;E615&amp;D615,'Category 14'!B:B&amp;'Category 14'!C:C&amp;'Category 14'!A:A,0)))</f>
        <v>0</v>
      </c>
      <c r="J615">
        <f>I615/VLOOKUP($D615,CPI!$P$16:$R$22,3,FALSE)</f>
        <v>0</v>
      </c>
      <c r="K615" cm="1">
        <f t="array" ref="K615">IF(B615=0,INDEX('Category 15'!F:F,MATCH(C615&amp;E615&amp;D615,'Category 15'!B:B&amp;'Category 15'!C:C&amp;'Category 15'!A:A,0)),INDEX('Category 15'!G:G,MATCH(C615&amp;E615&amp;D615,'Category 15'!B:B&amp;'Category 31'!C:C&amp;'Category 15'!A:A,0)))</f>
        <v>0</v>
      </c>
      <c r="L615">
        <f>K615/VLOOKUP($D615,CPI!$P$16:$R$22,3,FALSE)</f>
        <v>0</v>
      </c>
      <c r="M615" s="16" cm="1">
        <f t="array" ref="M615">IF(B615=0,INDEX('Category 31'!F:F,MATCH(C615&amp;E615&amp;D615,'Category 31'!B:B&amp;'Category 31'!C:C&amp;'Category 31'!A:A,0)),INDEX('Category 31'!G:G,MATCH(C615&amp;E615&amp;D615,'Category 31'!B:B&amp;'Category 31'!C:C&amp;'Category 31'!A:A,0)))</f>
        <v>167590</v>
      </c>
      <c r="N615" s="16">
        <f>M615/VLOOKUP($D615,CPI!$P$16:$R$22,3,FALSE)</f>
        <v>198304.53824695927</v>
      </c>
      <c r="O615">
        <f>VLOOKUP(E615,MFootball!C:S,8,FALSE)</f>
        <v>211252</v>
      </c>
    </row>
    <row r="616" spans="1:15" ht="16" thickBot="1" x14ac:dyDescent="0.25">
      <c r="A616" s="15">
        <v>2</v>
      </c>
      <c r="B616">
        <f t="shared" si="9"/>
        <v>0</v>
      </c>
      <c r="C616">
        <f>IF(ISBLANK(H616),"",VLOOKUP(H616,Code!B:C,2,FALSE))</f>
        <v>9</v>
      </c>
      <c r="D616">
        <v>2019</v>
      </c>
      <c r="E616">
        <v>209542</v>
      </c>
      <c r="F616" t="s">
        <v>183</v>
      </c>
      <c r="G616" t="s">
        <v>289</v>
      </c>
      <c r="H616" t="s">
        <v>3</v>
      </c>
      <c r="I616" cm="1">
        <f t="array" ref="I616">IF(B616=0,INDEX('Category 14'!F:F,MATCH(C616&amp;E616&amp;D616,'Category 14'!B:B&amp;'Category 14'!C:C&amp;'Category 14'!A:A,0)),INDEX('Category 14'!G:G,MATCH(C616&amp;E616&amp;D616,'Category 14'!B:B&amp;'Category 14'!C:C&amp;'Category 14'!A:A,0)))</f>
        <v>0</v>
      </c>
      <c r="J616">
        <f>I616/VLOOKUP($D616,CPI!$P$16:$R$22,3,FALSE)</f>
        <v>0</v>
      </c>
      <c r="K616" cm="1">
        <f t="array" ref="K616">IF(B616=0,INDEX('Category 15'!F:F,MATCH(C616&amp;E616&amp;D616,'Category 15'!B:B&amp;'Category 15'!C:C&amp;'Category 15'!A:A,0)),INDEX('Category 15'!G:G,MATCH(C616&amp;E616&amp;D616,'Category 15'!B:B&amp;'Category 31'!C:C&amp;'Category 15'!A:A,0)))</f>
        <v>0</v>
      </c>
      <c r="L616">
        <f>K616/VLOOKUP($D616,CPI!$P$16:$R$22,3,FALSE)</f>
        <v>0</v>
      </c>
      <c r="M616" s="16" cm="1">
        <f t="array" ref="M616">IF(B616=0,INDEX('Category 31'!F:F,MATCH(C616&amp;E616&amp;D616,'Category 31'!B:B&amp;'Category 31'!C:C&amp;'Category 31'!A:A,0)),INDEX('Category 31'!G:G,MATCH(C616&amp;E616&amp;D616,'Category 31'!B:B&amp;'Category 31'!C:C&amp;'Category 31'!A:A,0)))</f>
        <v>6752</v>
      </c>
      <c r="N616" s="16">
        <f>M616/VLOOKUP($D616,CPI!$P$16:$R$22,3,FALSE)</f>
        <v>7989.4518899902678</v>
      </c>
      <c r="O616">
        <v>0</v>
      </c>
    </row>
    <row r="617" spans="1:15" ht="16" thickBot="1" x14ac:dyDescent="0.25">
      <c r="A617" s="15">
        <v>2</v>
      </c>
      <c r="B617">
        <f t="shared" si="9"/>
        <v>0</v>
      </c>
      <c r="C617">
        <f>IF(ISBLANK(H617),"",VLOOKUP(H617,Code!B:C,2,FALSE))</f>
        <v>17</v>
      </c>
      <c r="D617">
        <v>2019</v>
      </c>
      <c r="E617">
        <v>209542</v>
      </c>
      <c r="F617" t="s">
        <v>183</v>
      </c>
      <c r="G617" t="s">
        <v>289</v>
      </c>
      <c r="H617" t="s">
        <v>5</v>
      </c>
      <c r="I617" cm="1">
        <f t="array" ref="I617">IF(B617=0,INDEX('Category 14'!F:F,MATCH(C617&amp;E617&amp;D617,'Category 14'!B:B&amp;'Category 14'!C:C&amp;'Category 14'!A:A,0)),INDEX('Category 14'!G:G,MATCH(C617&amp;E617&amp;D617,'Category 14'!B:B&amp;'Category 14'!C:C&amp;'Category 14'!A:A,0)))</f>
        <v>0</v>
      </c>
      <c r="J617">
        <f>I617/VLOOKUP($D617,CPI!$P$16:$R$22,3,FALSE)</f>
        <v>0</v>
      </c>
      <c r="K617" cm="1">
        <f t="array" ref="K617">IF(B617=0,INDEX('Category 15'!F:F,MATCH(C617&amp;E617&amp;D617,'Category 15'!B:B&amp;'Category 15'!C:C&amp;'Category 15'!A:A,0)),INDEX('Category 15'!G:G,MATCH(C617&amp;E617&amp;D617,'Category 15'!B:B&amp;'Category 31'!C:C&amp;'Category 15'!A:A,0)))</f>
        <v>0</v>
      </c>
      <c r="L617">
        <f>K617/VLOOKUP($D617,CPI!$P$16:$R$22,3,FALSE)</f>
        <v>0</v>
      </c>
      <c r="M617" s="16" cm="1">
        <f t="array" ref="M617">IF(B617=0,INDEX('Category 31'!F:F,MATCH(C617&amp;E617&amp;D617,'Category 31'!B:B&amp;'Category 31'!C:C&amp;'Category 31'!A:A,0)),INDEX('Category 31'!G:G,MATCH(C617&amp;E617&amp;D617,'Category 31'!B:B&amp;'Category 31'!C:C&amp;'Category 31'!A:A,0)))</f>
        <v>0</v>
      </c>
      <c r="N617" s="16">
        <f>M617/VLOOKUP($D617,CPI!$P$16:$R$22,3,FALSE)</f>
        <v>0</v>
      </c>
      <c r="O617">
        <f>VLOOKUP(E617,MSoccer!C:S,8,FALSE)</f>
        <v>5479</v>
      </c>
    </row>
    <row r="618" spans="1:15" ht="16" thickBot="1" x14ac:dyDescent="0.25">
      <c r="A618" s="15">
        <v>2</v>
      </c>
      <c r="B618">
        <f t="shared" si="9"/>
        <v>0</v>
      </c>
      <c r="C618">
        <f>IF(ISBLANK(H618),"",VLOOKUP(H618,Code!B:C,2,FALSE))</f>
        <v>25</v>
      </c>
      <c r="D618">
        <v>2019</v>
      </c>
      <c r="E618">
        <v>209542</v>
      </c>
      <c r="F618" t="s">
        <v>183</v>
      </c>
      <c r="G618" t="s">
        <v>289</v>
      </c>
      <c r="H618" t="s">
        <v>35</v>
      </c>
      <c r="I618" cm="1">
        <f t="array" ref="I618">IF(B618=0,INDEX('Category 14'!F:F,MATCH(C618&amp;E618&amp;D618,'Category 14'!B:B&amp;'Category 14'!C:C&amp;'Category 14'!A:A,0)),INDEX('Category 14'!G:G,MATCH(C618&amp;E618&amp;D618,'Category 14'!B:B&amp;'Category 14'!C:C&amp;'Category 14'!A:A,0)))</f>
        <v>0</v>
      </c>
      <c r="J618">
        <f>I618/VLOOKUP($D618,CPI!$P$16:$R$22,3,FALSE)</f>
        <v>0</v>
      </c>
      <c r="K618" cm="1">
        <f t="array" ref="K618">IF(B618=0,INDEX('Category 15'!F:F,MATCH(C618&amp;E618&amp;D618,'Category 15'!B:B&amp;'Category 15'!C:C&amp;'Category 15'!A:A,0)),INDEX('Category 15'!G:G,MATCH(C618&amp;E618&amp;D618,'Category 15'!B:B&amp;'Category 31'!C:C&amp;'Category 15'!A:A,0)))</f>
        <v>0</v>
      </c>
      <c r="L618">
        <f>K618/VLOOKUP($D618,CPI!$P$16:$R$22,3,FALSE)</f>
        <v>0</v>
      </c>
      <c r="M618" s="16" cm="1">
        <f t="array" ref="M618">IF(B618=0,INDEX('Category 31'!F:F,MATCH(C618&amp;E618&amp;D618,'Category 31'!B:B&amp;'Category 31'!C:C&amp;'Category 31'!A:A,0)),INDEX('Category 31'!G:G,MATCH(C618&amp;E618&amp;D618,'Category 31'!B:B&amp;'Category 31'!C:C&amp;'Category 31'!A:A,0)))</f>
        <v>3498</v>
      </c>
      <c r="N618" s="16">
        <f>M618/VLOOKUP($D618,CPI!$P$16:$R$22,3,FALSE)</f>
        <v>4139.085117178015</v>
      </c>
      <c r="O618">
        <v>0</v>
      </c>
    </row>
    <row r="619" spans="1:15" ht="16" thickBot="1" x14ac:dyDescent="0.25">
      <c r="A619" s="15">
        <v>2</v>
      </c>
      <c r="B619">
        <f t="shared" si="9"/>
        <v>1</v>
      </c>
      <c r="C619">
        <f>IF(ISBLANK(H619),"",VLOOKUP(H619,Code!B:C,2,FALSE))</f>
        <v>2</v>
      </c>
      <c r="D619">
        <v>2019</v>
      </c>
      <c r="E619">
        <v>209542</v>
      </c>
      <c r="F619" t="s">
        <v>183</v>
      </c>
      <c r="G619" t="s">
        <v>290</v>
      </c>
      <c r="H619" t="s">
        <v>1</v>
      </c>
      <c r="I619" cm="1">
        <f t="array" ref="I619">IF(B619=0,INDEX('Category 14'!F:F,MATCH(C619&amp;E619&amp;D619,'Category 14'!B:B&amp;'Category 14'!C:C&amp;'Category 14'!A:A,0)),INDEX('Category 14'!G:G,MATCH(C619&amp;E619&amp;D619,'Category 14'!B:B&amp;'Category 14'!C:C&amp;'Category 14'!A:A,0)))</f>
        <v>3261</v>
      </c>
      <c r="J619">
        <f>I619/VLOOKUP($D619,CPI!$P$16:$R$22,3,FALSE)</f>
        <v>3858.6496761342214</v>
      </c>
      <c r="K619" cm="1">
        <f t="array" ref="K619">IF(B619=0,INDEX('Category 15'!F:F,MATCH(C619&amp;E619&amp;D619,'Category 15'!B:B&amp;'Category 15'!C:C&amp;'Category 15'!A:A,0)),INDEX('Category 15'!G:G,MATCH(C619&amp;E619&amp;D619,'Category 15'!B:B&amp;'Category 31'!C:C&amp;'Category 15'!A:A,0)))</f>
        <v>0</v>
      </c>
      <c r="L619">
        <f>K619/VLOOKUP($D619,CPI!$P$16:$R$22,3,FALSE)</f>
        <v>0</v>
      </c>
      <c r="M619" s="16" cm="1">
        <f t="array" ref="M619">IF(B619=0,INDEX('Category 31'!F:F,MATCH(C619&amp;E619&amp;D619,'Category 31'!B:B&amp;'Category 31'!C:C&amp;'Category 31'!A:A,0)),INDEX('Category 31'!G:G,MATCH(C619&amp;E619&amp;D619,'Category 31'!B:B&amp;'Category 31'!C:C&amp;'Category 31'!A:A,0)))</f>
        <v>45554</v>
      </c>
      <c r="N619" s="16">
        <f>M619/VLOOKUP($D619,CPI!$P$16:$R$22,3,FALSE)</f>
        <v>53902.768275565264</v>
      </c>
      <c r="O619">
        <f>VLOOKUP(E619,WBasketball!C:S,8,FALSE)</f>
        <v>97875</v>
      </c>
    </row>
    <row r="620" spans="1:15" ht="16" thickBot="1" x14ac:dyDescent="0.25">
      <c r="A620" s="15">
        <v>2</v>
      </c>
      <c r="B620">
        <f t="shared" si="9"/>
        <v>1</v>
      </c>
      <c r="C620">
        <f>IF(ISBLANK(H620),"",VLOOKUP(H620,Code!B:C,2,FALSE))</f>
        <v>9</v>
      </c>
      <c r="D620">
        <v>2019</v>
      </c>
      <c r="E620">
        <v>209542</v>
      </c>
      <c r="F620" t="s">
        <v>183</v>
      </c>
      <c r="G620" t="s">
        <v>290</v>
      </c>
      <c r="H620" t="s">
        <v>3</v>
      </c>
      <c r="I620" cm="1">
        <f t="array" ref="I620">IF(B620=0,INDEX('Category 14'!F:F,MATCH(C620&amp;E620&amp;D620,'Category 14'!B:B&amp;'Category 14'!C:C&amp;'Category 14'!A:A,0)),INDEX('Category 14'!G:G,MATCH(C620&amp;E620&amp;D620,'Category 14'!B:B&amp;'Category 14'!C:C&amp;'Category 14'!A:A,0)))</f>
        <v>0</v>
      </c>
      <c r="J620">
        <f>I620/VLOOKUP($D620,CPI!$P$16:$R$22,3,FALSE)</f>
        <v>0</v>
      </c>
      <c r="K620" cm="1">
        <f t="array" ref="K620">IF(B620=0,INDEX('Category 15'!F:F,MATCH(C620&amp;E620&amp;D620,'Category 15'!B:B&amp;'Category 15'!C:C&amp;'Category 15'!A:A,0)),INDEX('Category 15'!G:G,MATCH(C620&amp;E620&amp;D620,'Category 15'!B:B&amp;'Category 31'!C:C&amp;'Category 15'!A:A,0)))</f>
        <v>0</v>
      </c>
      <c r="L620">
        <f>K620/VLOOKUP($D620,CPI!$P$16:$R$22,3,FALSE)</f>
        <v>0</v>
      </c>
      <c r="M620" s="16" cm="1">
        <f t="array" ref="M620">IF(B620=0,INDEX('Category 31'!F:F,MATCH(C620&amp;E620&amp;D620,'Category 31'!B:B&amp;'Category 31'!C:C&amp;'Category 31'!A:A,0)),INDEX('Category 31'!G:G,MATCH(C620&amp;E620&amp;D620,'Category 31'!B:B&amp;'Category 31'!C:C&amp;'Category 31'!A:A,0)))</f>
        <v>4529</v>
      </c>
      <c r="N620" s="16">
        <f>M620/VLOOKUP($D620,CPI!$P$16:$R$22,3,FALSE)</f>
        <v>5359.0384493136735</v>
      </c>
      <c r="O620">
        <v>0</v>
      </c>
    </row>
    <row r="621" spans="1:15" ht="16" thickBot="1" x14ac:dyDescent="0.25">
      <c r="A621" s="15">
        <v>2</v>
      </c>
      <c r="B621">
        <f t="shared" si="9"/>
        <v>1</v>
      </c>
      <c r="C621">
        <f>IF(ISBLANK(H621),"",VLOOKUP(H621,Code!B:C,2,FALSE))</f>
        <v>10</v>
      </c>
      <c r="D621">
        <v>2019</v>
      </c>
      <c r="E621">
        <v>209542</v>
      </c>
      <c r="F621" t="s">
        <v>183</v>
      </c>
      <c r="G621" t="s">
        <v>290</v>
      </c>
      <c r="H621" t="s">
        <v>4</v>
      </c>
      <c r="I621" cm="1">
        <f t="array" ref="I621">IF(B621=0,INDEX('Category 14'!F:F,MATCH(C621&amp;E621&amp;D621,'Category 14'!B:B&amp;'Category 14'!C:C&amp;'Category 14'!A:A,0)),INDEX('Category 14'!G:G,MATCH(C621&amp;E621&amp;D621,'Category 14'!B:B&amp;'Category 14'!C:C&amp;'Category 14'!A:A,0)))</f>
        <v>1666</v>
      </c>
      <c r="J621">
        <f>I621/VLOOKUP($D621,CPI!$P$16:$R$22,3,FALSE)</f>
        <v>1971.3309906285228</v>
      </c>
      <c r="K621" cm="1">
        <f t="array" ref="K621">IF(B621=0,INDEX('Category 15'!F:F,MATCH(C621&amp;E621&amp;D621,'Category 15'!B:B&amp;'Category 15'!C:C&amp;'Category 15'!A:A,0)),INDEX('Category 15'!G:G,MATCH(C621&amp;E621&amp;D621,'Category 15'!B:B&amp;'Category 31'!C:C&amp;'Category 15'!A:A,0)))</f>
        <v>0</v>
      </c>
      <c r="L621">
        <f>K621/VLOOKUP($D621,CPI!$P$16:$R$22,3,FALSE)</f>
        <v>0</v>
      </c>
      <c r="M621" s="16" cm="1">
        <f t="array" ref="M621">IF(B621=0,INDEX('Category 31'!F:F,MATCH(C621&amp;E621&amp;D621,'Category 31'!B:B&amp;'Category 31'!C:C&amp;'Category 31'!A:A,0)),INDEX('Category 31'!G:G,MATCH(C621&amp;E621&amp;D621,'Category 31'!B:B&amp;'Category 31'!C:C&amp;'Category 31'!A:A,0)))</f>
        <v>8396</v>
      </c>
      <c r="N621" s="16">
        <f>M621/VLOOKUP($D621,CPI!$P$16:$R$22,3,FALSE)</f>
        <v>9934.7508987497458</v>
      </c>
      <c r="O621">
        <v>0</v>
      </c>
    </row>
    <row r="622" spans="1:15" ht="16" thickBot="1" x14ac:dyDescent="0.25">
      <c r="A622" s="15">
        <v>2</v>
      </c>
      <c r="B622">
        <f t="shared" si="9"/>
        <v>1</v>
      </c>
      <c r="C622">
        <f>IF(ISBLANK(H622),"",VLOOKUP(H622,Code!B:C,2,FALSE))</f>
        <v>14</v>
      </c>
      <c r="D622">
        <v>2019</v>
      </c>
      <c r="E622">
        <v>209542</v>
      </c>
      <c r="F622" t="s">
        <v>183</v>
      </c>
      <c r="G622" t="s">
        <v>290</v>
      </c>
      <c r="H622" t="s">
        <v>29</v>
      </c>
      <c r="I622" cm="1">
        <f t="array" ref="I622">IF(B622=0,INDEX('Category 14'!F:F,MATCH(C622&amp;E622&amp;D622,'Category 14'!B:B&amp;'Category 14'!C:C&amp;'Category 14'!A:A,0)),INDEX('Category 14'!G:G,MATCH(C622&amp;E622&amp;D622,'Category 14'!B:B&amp;'Category 14'!C:C&amp;'Category 14'!A:A,0)))</f>
        <v>0</v>
      </c>
      <c r="J622">
        <f>I622/VLOOKUP($D622,CPI!$P$16:$R$22,3,FALSE)</f>
        <v>0</v>
      </c>
      <c r="K622" cm="1">
        <f t="array" ref="K622">IF(B622=0,INDEX('Category 15'!F:F,MATCH(C622&amp;E622&amp;D622,'Category 15'!B:B&amp;'Category 15'!C:C&amp;'Category 15'!A:A,0)),INDEX('Category 15'!G:G,MATCH(C622&amp;E622&amp;D622,'Category 15'!B:B&amp;'Category 31'!C:C&amp;'Category 15'!A:A,0)))</f>
        <v>0</v>
      </c>
      <c r="L622">
        <f>K622/VLOOKUP($D622,CPI!$P$16:$R$22,3,FALSE)</f>
        <v>0</v>
      </c>
      <c r="M622" s="16" cm="1">
        <f t="array" ref="M622">IF(B622=0,INDEX('Category 31'!F:F,MATCH(C622&amp;E622&amp;D622,'Category 31'!B:B&amp;'Category 31'!C:C&amp;'Category 31'!A:A,0)),INDEX('Category 31'!G:G,MATCH(C622&amp;E622&amp;D622,'Category 31'!B:B&amp;'Category 31'!C:C&amp;'Category 31'!A:A,0)))</f>
        <v>4149</v>
      </c>
      <c r="N622" s="16">
        <f>M622/VLOOKUP($D622,CPI!$P$16:$R$22,3,FALSE)</f>
        <v>4909.3951261210932</v>
      </c>
      <c r="O622">
        <v>0</v>
      </c>
    </row>
    <row r="623" spans="1:15" ht="16" thickBot="1" x14ac:dyDescent="0.25">
      <c r="A623" s="15">
        <v>2</v>
      </c>
      <c r="B623">
        <f t="shared" si="9"/>
        <v>1</v>
      </c>
      <c r="C623">
        <f>IF(ISBLANK(H623),"",VLOOKUP(H623,Code!B:C,2,FALSE))</f>
        <v>17</v>
      </c>
      <c r="D623">
        <v>2019</v>
      </c>
      <c r="E623">
        <v>209542</v>
      </c>
      <c r="F623" t="s">
        <v>183</v>
      </c>
      <c r="G623" t="s">
        <v>290</v>
      </c>
      <c r="H623" t="s">
        <v>5</v>
      </c>
      <c r="I623" cm="1">
        <f t="array" ref="I623">IF(B623=0,INDEX('Category 14'!F:F,MATCH(C623&amp;E623&amp;D623,'Category 14'!B:B&amp;'Category 14'!C:C&amp;'Category 14'!A:A,0)),INDEX('Category 14'!G:G,MATCH(C623&amp;E623&amp;D623,'Category 14'!B:B&amp;'Category 14'!C:C&amp;'Category 14'!A:A,0)))</f>
        <v>0</v>
      </c>
      <c r="J623">
        <f>I623/VLOOKUP($D623,CPI!$P$16:$R$22,3,FALSE)</f>
        <v>0</v>
      </c>
      <c r="K623" cm="1">
        <f t="array" ref="K623">IF(B623=0,INDEX('Category 15'!F:F,MATCH(C623&amp;E623&amp;D623,'Category 15'!B:B&amp;'Category 15'!C:C&amp;'Category 15'!A:A,0)),INDEX('Category 15'!G:G,MATCH(C623&amp;E623&amp;D623,'Category 15'!B:B&amp;'Category 31'!C:C&amp;'Category 15'!A:A,0)))</f>
        <v>0</v>
      </c>
      <c r="L623">
        <f>K623/VLOOKUP($D623,CPI!$P$16:$R$22,3,FALSE)</f>
        <v>0</v>
      </c>
      <c r="M623" s="16" cm="1">
        <f t="array" ref="M623">IF(B623=0,INDEX('Category 31'!F:F,MATCH(C623&amp;E623&amp;D623,'Category 31'!B:B&amp;'Category 31'!C:C&amp;'Category 31'!A:A,0)),INDEX('Category 31'!G:G,MATCH(C623&amp;E623&amp;D623,'Category 31'!B:B&amp;'Category 31'!C:C&amp;'Category 31'!A:A,0)))</f>
        <v>0</v>
      </c>
      <c r="N623" s="16">
        <f>M623/VLOOKUP($D623,CPI!$P$16:$R$22,3,FALSE)</f>
        <v>0</v>
      </c>
      <c r="O623">
        <f>VLOOKUP(E623,WSoccer!C:S,8,FALSE)</f>
        <v>3747</v>
      </c>
    </row>
    <row r="624" spans="1:15" ht="16" thickBot="1" x14ac:dyDescent="0.25">
      <c r="A624" s="15">
        <v>2</v>
      </c>
      <c r="B624">
        <f t="shared" si="9"/>
        <v>1</v>
      </c>
      <c r="C624">
        <f>IF(ISBLANK(H624),"",VLOOKUP(H624,Code!B:C,2,FALSE))</f>
        <v>18</v>
      </c>
      <c r="D624">
        <v>2019</v>
      </c>
      <c r="E624">
        <v>209542</v>
      </c>
      <c r="F624" t="s">
        <v>183</v>
      </c>
      <c r="G624" t="s">
        <v>290</v>
      </c>
      <c r="H624" t="s">
        <v>6</v>
      </c>
      <c r="I624" cm="1">
        <f t="array" ref="I624">IF(B624=0,INDEX('Category 14'!F:F,MATCH(C624&amp;E624&amp;D624,'Category 14'!B:B&amp;'Category 14'!C:C&amp;'Category 14'!A:A,0)),INDEX('Category 14'!G:G,MATCH(C624&amp;E624&amp;D624,'Category 14'!B:B&amp;'Category 14'!C:C&amp;'Category 14'!A:A,0)))</f>
        <v>0</v>
      </c>
      <c r="J624">
        <f>I624/VLOOKUP($D624,CPI!$P$16:$R$22,3,FALSE)</f>
        <v>0</v>
      </c>
      <c r="K624" cm="1">
        <f t="array" ref="K624">IF(B624=0,INDEX('Category 15'!F:F,MATCH(C624&amp;E624&amp;D624,'Category 15'!B:B&amp;'Category 15'!C:C&amp;'Category 15'!A:A,0)),INDEX('Category 15'!G:G,MATCH(C624&amp;E624&amp;D624,'Category 15'!B:B&amp;'Category 31'!C:C&amp;'Category 15'!A:A,0)))</f>
        <v>0</v>
      </c>
      <c r="L624">
        <f>K624/VLOOKUP($D624,CPI!$P$16:$R$22,3,FALSE)</f>
        <v>0</v>
      </c>
      <c r="M624" s="16" cm="1">
        <f t="array" ref="M624">IF(B624=0,INDEX('Category 31'!F:F,MATCH(C624&amp;E624&amp;D624,'Category 31'!B:B&amp;'Category 31'!C:C&amp;'Category 31'!A:A,0)),INDEX('Category 31'!G:G,MATCH(C624&amp;E624&amp;D624,'Category 31'!B:B&amp;'Category 31'!C:C&amp;'Category 31'!A:A,0)))</f>
        <v>488</v>
      </c>
      <c r="N624" s="16">
        <f>M624/VLOOKUP($D624,CPI!$P$16:$R$22,3,FALSE)</f>
        <v>577.4366887315241</v>
      </c>
      <c r="O624">
        <f>VLOOKUP(E624,WSoftball!C:S,8,FALSE)</f>
        <v>4586</v>
      </c>
    </row>
    <row r="625" spans="1:15" ht="16" thickBot="1" x14ac:dyDescent="0.25">
      <c r="A625" s="15">
        <v>2</v>
      </c>
      <c r="B625">
        <f t="shared" si="9"/>
        <v>1</v>
      </c>
      <c r="C625">
        <f>IF(ISBLANK(H625),"",VLOOKUP(H625,Code!B:C,2,FALSE))</f>
        <v>19</v>
      </c>
      <c r="D625">
        <v>2019</v>
      </c>
      <c r="E625">
        <v>209542</v>
      </c>
      <c r="F625" t="s">
        <v>183</v>
      </c>
      <c r="G625" t="s">
        <v>290</v>
      </c>
      <c r="H625" t="s">
        <v>7</v>
      </c>
      <c r="I625" cm="1">
        <f t="array" ref="I625">IF(B625=0,INDEX('Category 14'!F:F,MATCH(C625&amp;E625&amp;D625,'Category 14'!B:B&amp;'Category 14'!C:C&amp;'Category 14'!A:A,0)),INDEX('Category 14'!G:G,MATCH(C625&amp;E625&amp;D625,'Category 14'!B:B&amp;'Category 14'!C:C&amp;'Category 14'!A:A,0)))</f>
        <v>0</v>
      </c>
      <c r="J625">
        <f>I625/VLOOKUP($D625,CPI!$P$16:$R$22,3,FALSE)</f>
        <v>0</v>
      </c>
      <c r="K625" cm="1">
        <f t="array" ref="K625">IF(B625=0,INDEX('Category 15'!F:F,MATCH(C625&amp;E625&amp;D625,'Category 15'!B:B&amp;'Category 15'!C:C&amp;'Category 15'!A:A,0)),INDEX('Category 15'!G:G,MATCH(C625&amp;E625&amp;D625,'Category 15'!B:B&amp;'Category 31'!C:C&amp;'Category 15'!A:A,0)))</f>
        <v>0</v>
      </c>
      <c r="L625">
        <f>K625/VLOOKUP($D625,CPI!$P$16:$R$22,3,FALSE)</f>
        <v>0</v>
      </c>
      <c r="M625" s="16" cm="1">
        <f t="array" ref="M625">IF(B625=0,INDEX('Category 31'!F:F,MATCH(C625&amp;E625&amp;D625,'Category 31'!B:B&amp;'Category 31'!C:C&amp;'Category 31'!A:A,0)),INDEX('Category 31'!G:G,MATCH(C625&amp;E625&amp;D625,'Category 31'!B:B&amp;'Category 31'!C:C&amp;'Category 31'!A:A,0)))</f>
        <v>6215</v>
      </c>
      <c r="N625" s="16">
        <f>M625/VLOOKUP($D625,CPI!$P$16:$R$22,3,FALSE)</f>
        <v>7354.0348780049635</v>
      </c>
      <c r="O625">
        <v>0</v>
      </c>
    </row>
    <row r="626" spans="1:15" ht="16" thickBot="1" x14ac:dyDescent="0.25">
      <c r="A626" s="15">
        <v>2</v>
      </c>
      <c r="B626">
        <f t="shared" si="9"/>
        <v>1</v>
      </c>
      <c r="C626">
        <f>IF(ISBLANK(H626),"",VLOOKUP(H626,Code!B:C,2,FALSE))</f>
        <v>21</v>
      </c>
      <c r="D626">
        <v>2019</v>
      </c>
      <c r="E626">
        <v>209542</v>
      </c>
      <c r="F626" t="s">
        <v>183</v>
      </c>
      <c r="G626" t="s">
        <v>290</v>
      </c>
      <c r="H626" t="s">
        <v>36</v>
      </c>
      <c r="I626" cm="1">
        <f t="array" ref="I626">IF(B626=0,INDEX('Category 14'!F:F,MATCH(C626&amp;E626&amp;D626,'Category 14'!B:B&amp;'Category 14'!C:C&amp;'Category 14'!A:A,0)),INDEX('Category 14'!G:G,MATCH(C626&amp;E626&amp;D626,'Category 14'!B:B&amp;'Category 14'!C:C&amp;'Category 14'!A:A,0)))</f>
        <v>0</v>
      </c>
      <c r="J626">
        <f>I626/VLOOKUP($D626,CPI!$P$16:$R$22,3,FALSE)</f>
        <v>0</v>
      </c>
      <c r="K626" cm="1">
        <f t="array" ref="K626">IF(B626=0,INDEX('Category 15'!F:F,MATCH(C626&amp;E626&amp;D626,'Category 15'!B:B&amp;'Category 15'!C:C&amp;'Category 15'!A:A,0)),INDEX('Category 15'!G:G,MATCH(C626&amp;E626&amp;D626,'Category 15'!B:B&amp;'Category 31'!C:C&amp;'Category 15'!A:A,0)))</f>
        <v>0</v>
      </c>
      <c r="L626">
        <f>K626/VLOOKUP($D626,CPI!$P$16:$R$22,3,FALSE)</f>
        <v>0</v>
      </c>
      <c r="M626" s="16" cm="1">
        <f t="array" ref="M626">IF(B626=0,INDEX('Category 31'!F:F,MATCH(C626&amp;E626&amp;D626,'Category 31'!B:B&amp;'Category 31'!C:C&amp;'Category 31'!A:A,0)),INDEX('Category 31'!G:G,MATCH(C626&amp;E626&amp;D626,'Category 31'!B:B&amp;'Category 31'!C:C&amp;'Category 31'!A:A,0)))</f>
        <v>2667</v>
      </c>
      <c r="N626" s="16">
        <f>M626/VLOOKUP($D626,CPI!$P$16:$R$22,3,FALSE)</f>
        <v>3155.7861656700302</v>
      </c>
      <c r="O626">
        <v>0</v>
      </c>
    </row>
    <row r="627" spans="1:15" ht="16" thickBot="1" x14ac:dyDescent="0.25">
      <c r="A627" s="15">
        <v>2</v>
      </c>
      <c r="B627">
        <f t="shared" si="9"/>
        <v>1</v>
      </c>
      <c r="C627">
        <f>IF(ISBLANK(H627),"",VLOOKUP(H627,Code!B:C,2,FALSE))</f>
        <v>23</v>
      </c>
      <c r="D627">
        <v>2019</v>
      </c>
      <c r="E627">
        <v>209542</v>
      </c>
      <c r="F627" t="s">
        <v>183</v>
      </c>
      <c r="G627" t="s">
        <v>290</v>
      </c>
      <c r="H627" t="s">
        <v>10</v>
      </c>
      <c r="I627" cm="1">
        <f t="array" ref="I627">IF(B627=0,INDEX('Category 14'!F:F,MATCH(C627&amp;E627&amp;D627,'Category 14'!B:B&amp;'Category 14'!C:C&amp;'Category 14'!A:A,0)),INDEX('Category 14'!G:G,MATCH(C627&amp;E627&amp;D627,'Category 14'!B:B&amp;'Category 14'!C:C&amp;'Category 14'!A:A,0)))</f>
        <v>0</v>
      </c>
      <c r="J627">
        <f>I627/VLOOKUP($D627,CPI!$P$16:$R$22,3,FALSE)</f>
        <v>0</v>
      </c>
      <c r="K627" cm="1">
        <f t="array" ref="K627">IF(B627=0,INDEX('Category 15'!F:F,MATCH(C627&amp;E627&amp;D627,'Category 15'!B:B&amp;'Category 15'!C:C&amp;'Category 15'!A:A,0)),INDEX('Category 15'!G:G,MATCH(C627&amp;E627&amp;D627,'Category 15'!B:B&amp;'Category 31'!C:C&amp;'Category 15'!A:A,0)))</f>
        <v>0</v>
      </c>
      <c r="L627">
        <f>K627/VLOOKUP($D627,CPI!$P$16:$R$22,3,FALSE)</f>
        <v>0</v>
      </c>
      <c r="M627" s="16" cm="1">
        <f t="array" ref="M627">IF(B627=0,INDEX('Category 31'!F:F,MATCH(C627&amp;E627&amp;D627,'Category 31'!B:B&amp;'Category 31'!C:C&amp;'Category 31'!A:A,0)),INDEX('Category 31'!G:G,MATCH(C627&amp;E627&amp;D627,'Category 31'!B:B&amp;'Category 31'!C:C&amp;'Category 31'!A:A,0)))</f>
        <v>10770</v>
      </c>
      <c r="N627" s="16">
        <f>M627/VLOOKUP($D627,CPI!$P$16:$R$22,3,FALSE)</f>
        <v>12743.838396800234</v>
      </c>
      <c r="O627">
        <f>VLOOKUP(E627,WVolleyball!C:S,8,FALSE)</f>
        <v>14227</v>
      </c>
    </row>
    <row r="628" spans="1:15" ht="16" thickBot="1" x14ac:dyDescent="0.25">
      <c r="A628" s="15">
        <v>2</v>
      </c>
      <c r="B628">
        <f t="shared" si="9"/>
        <v>0</v>
      </c>
      <c r="C628">
        <f>IF(ISBLANK(H628),"",VLOOKUP(H628,Code!B:C,2,FALSE))</f>
        <v>1</v>
      </c>
      <c r="D628">
        <v>2020</v>
      </c>
      <c r="E628">
        <v>209542</v>
      </c>
      <c r="F628" t="s">
        <v>183</v>
      </c>
      <c r="G628" t="s">
        <v>289</v>
      </c>
      <c r="H628" t="s">
        <v>0</v>
      </c>
      <c r="I628" cm="1">
        <f t="array" ref="I628">IF(B628=0,INDEX('Category 14'!F:F,MATCH(C628&amp;E628&amp;D628,'Category 14'!B:B&amp;'Category 14'!C:C&amp;'Category 14'!A:A,0)),INDEX('Category 14'!G:G,MATCH(C628&amp;E628&amp;D628,'Category 14'!B:B&amp;'Category 14'!C:C&amp;'Category 14'!A:A,0)))</f>
        <v>2720</v>
      </c>
      <c r="J628">
        <f>I628/VLOOKUP($D628,CPI!$P$16:$R$22,3,FALSE)</f>
        <v>3168.9327061384756</v>
      </c>
      <c r="K628" cm="1">
        <f t="array" ref="K628">IF(B628=0,INDEX('Category 15'!F:F,MATCH(C628&amp;E628&amp;D628,'Category 15'!B:B&amp;'Category 15'!C:C&amp;'Category 15'!A:A,0)),INDEX('Category 15'!G:G,MATCH(C628&amp;E628&amp;D628,'Category 15'!B:B&amp;'Category 31'!C:C&amp;'Category 15'!A:A,0)))</f>
        <v>0</v>
      </c>
      <c r="L628">
        <f>K628/VLOOKUP($D628,CPI!$P$16:$R$22,3,FALSE)</f>
        <v>0</v>
      </c>
      <c r="M628" s="16" cm="1">
        <f t="array" ref="M628">IF(B628=0,INDEX('Category 31'!F:F,MATCH(C628&amp;E628&amp;D628,'Category 31'!B:B&amp;'Category 31'!C:C&amp;'Category 31'!A:A,0)),INDEX('Category 31'!G:G,MATCH(C628&amp;E628&amp;D628,'Category 31'!B:B&amp;'Category 31'!C:C&amp;'Category 31'!A:A,0)))</f>
        <v>98085</v>
      </c>
      <c r="N628" s="16">
        <f>M628/VLOOKUP($D628,CPI!$P$16:$R$22,3,FALSE)</f>
        <v>114273.81047117367</v>
      </c>
      <c r="O628">
        <f>VLOOKUP(E628,MBaseball!C:R,9,FALSE)</f>
        <v>10237</v>
      </c>
    </row>
    <row r="629" spans="1:15" ht="16" thickBot="1" x14ac:dyDescent="0.25">
      <c r="A629" s="15">
        <v>2</v>
      </c>
      <c r="B629">
        <f t="shared" si="9"/>
        <v>0</v>
      </c>
      <c r="C629">
        <f>IF(ISBLANK(H629),"",VLOOKUP(H629,Code!B:C,2,FALSE))</f>
        <v>2</v>
      </c>
      <c r="D629">
        <v>2020</v>
      </c>
      <c r="E629">
        <v>209542</v>
      </c>
      <c r="F629" t="s">
        <v>183</v>
      </c>
      <c r="G629" t="s">
        <v>289</v>
      </c>
      <c r="H629" t="s">
        <v>1</v>
      </c>
      <c r="I629" cm="1">
        <f t="array" ref="I629">IF(B629=0,INDEX('Category 14'!F:F,MATCH(C629&amp;E629&amp;D629,'Category 14'!B:B&amp;'Category 14'!C:C&amp;'Category 14'!A:A,0)),INDEX('Category 14'!G:G,MATCH(C629&amp;E629&amp;D629,'Category 14'!B:B&amp;'Category 14'!C:C&amp;'Category 14'!A:A,0)))</f>
        <v>0</v>
      </c>
      <c r="J629">
        <f>I629/VLOOKUP($D629,CPI!$P$16:$R$22,3,FALSE)</f>
        <v>0</v>
      </c>
      <c r="K629" cm="1">
        <f t="array" ref="K629">IF(B629=0,INDEX('Category 15'!F:F,MATCH(C629&amp;E629&amp;D629,'Category 15'!B:B&amp;'Category 15'!C:C&amp;'Category 15'!A:A,0)),INDEX('Category 15'!G:G,MATCH(C629&amp;E629&amp;D629,'Category 15'!B:B&amp;'Category 31'!C:C&amp;'Category 15'!A:A,0)))</f>
        <v>0</v>
      </c>
      <c r="L629">
        <f>K629/VLOOKUP($D629,CPI!$P$16:$R$22,3,FALSE)</f>
        <v>0</v>
      </c>
      <c r="M629" s="16" cm="1">
        <f t="array" ref="M629">IF(B629=0,INDEX('Category 31'!F:F,MATCH(C629&amp;E629&amp;D629,'Category 31'!B:B&amp;'Category 31'!C:C&amp;'Category 31'!A:A,0)),INDEX('Category 31'!G:G,MATCH(C629&amp;E629&amp;D629,'Category 31'!B:B&amp;'Category 31'!C:C&amp;'Category 31'!A:A,0)))</f>
        <v>46453</v>
      </c>
      <c r="N629" s="16">
        <f>M629/VLOOKUP($D629,CPI!$P$16:$R$22,3,FALSE)</f>
        <v>54120.011396415663</v>
      </c>
      <c r="O629">
        <f>VLOOKUP(E629,MBasketball!C:S,9,FALSE)</f>
        <v>75866</v>
      </c>
    </row>
    <row r="630" spans="1:15" ht="16" thickBot="1" x14ac:dyDescent="0.25">
      <c r="A630" s="15">
        <v>2</v>
      </c>
      <c r="B630">
        <f t="shared" si="9"/>
        <v>0</v>
      </c>
      <c r="C630">
        <f>IF(ISBLANK(H630),"",VLOOKUP(H630,Code!B:C,2,FALSE))</f>
        <v>8</v>
      </c>
      <c r="D630">
        <v>2020</v>
      </c>
      <c r="E630">
        <v>209542</v>
      </c>
      <c r="F630" t="s">
        <v>183</v>
      </c>
      <c r="G630" t="s">
        <v>289</v>
      </c>
      <c r="H630" t="s">
        <v>2</v>
      </c>
      <c r="I630" cm="1">
        <f t="array" ref="I630">IF(B630=0,INDEX('Category 14'!F:F,MATCH(C630&amp;E630&amp;D630,'Category 14'!B:B&amp;'Category 14'!C:C&amp;'Category 14'!A:A,0)),INDEX('Category 14'!G:G,MATCH(C630&amp;E630&amp;D630,'Category 14'!B:B&amp;'Category 14'!C:C&amp;'Category 14'!A:A,0)))</f>
        <v>0</v>
      </c>
      <c r="J630">
        <f>I630/VLOOKUP($D630,CPI!$P$16:$R$22,3,FALSE)</f>
        <v>0</v>
      </c>
      <c r="K630" cm="1">
        <f t="array" ref="K630">IF(B630=0,INDEX('Category 15'!F:F,MATCH(C630&amp;E630&amp;D630,'Category 15'!B:B&amp;'Category 15'!C:C&amp;'Category 15'!A:A,0)),INDEX('Category 15'!G:G,MATCH(C630&amp;E630&amp;D630,'Category 15'!B:B&amp;'Category 31'!C:C&amp;'Category 15'!A:A,0)))</f>
        <v>0</v>
      </c>
      <c r="L630">
        <f>K630/VLOOKUP($D630,CPI!$P$16:$R$22,3,FALSE)</f>
        <v>0</v>
      </c>
      <c r="M630" s="16" cm="1">
        <f t="array" ref="M630">IF(B630=0,INDEX('Category 31'!F:F,MATCH(C630&amp;E630&amp;D630,'Category 31'!B:B&amp;'Category 31'!C:C&amp;'Category 31'!A:A,0)),INDEX('Category 31'!G:G,MATCH(C630&amp;E630&amp;D630,'Category 31'!B:B&amp;'Category 31'!C:C&amp;'Category 31'!A:A,0)))</f>
        <v>133217</v>
      </c>
      <c r="N630" s="16">
        <f>M630/VLOOKUP($D630,CPI!$P$16:$R$22,3,FALSE)</f>
        <v>155204.30452707695</v>
      </c>
      <c r="O630">
        <f>VLOOKUP(E630,MFootball!C:S,9,FALSE)</f>
        <v>194546</v>
      </c>
    </row>
    <row r="631" spans="1:15" ht="16" thickBot="1" x14ac:dyDescent="0.25">
      <c r="A631" s="15">
        <v>2</v>
      </c>
      <c r="B631">
        <f t="shared" si="9"/>
        <v>0</v>
      </c>
      <c r="C631">
        <f>IF(ISBLANK(H631),"",VLOOKUP(H631,Code!B:C,2,FALSE))</f>
        <v>9</v>
      </c>
      <c r="D631">
        <v>2020</v>
      </c>
      <c r="E631">
        <v>209542</v>
      </c>
      <c r="F631" t="s">
        <v>183</v>
      </c>
      <c r="G631" t="s">
        <v>289</v>
      </c>
      <c r="H631" t="s">
        <v>3</v>
      </c>
      <c r="I631" cm="1">
        <f t="array" ref="I631">IF(B631=0,INDEX('Category 14'!F:F,MATCH(C631&amp;E631&amp;D631,'Category 14'!B:B&amp;'Category 14'!C:C&amp;'Category 14'!A:A,0)),INDEX('Category 14'!G:G,MATCH(C631&amp;E631&amp;D631,'Category 14'!B:B&amp;'Category 14'!C:C&amp;'Category 14'!A:A,0)))</f>
        <v>0</v>
      </c>
      <c r="J631">
        <f>I631/VLOOKUP($D631,CPI!$P$16:$R$22,3,FALSE)</f>
        <v>0</v>
      </c>
      <c r="K631" cm="1">
        <f t="array" ref="K631">IF(B631=0,INDEX('Category 15'!F:F,MATCH(C631&amp;E631&amp;D631,'Category 15'!B:B&amp;'Category 15'!C:C&amp;'Category 15'!A:A,0)),INDEX('Category 15'!G:G,MATCH(C631&amp;E631&amp;D631,'Category 15'!B:B&amp;'Category 31'!C:C&amp;'Category 15'!A:A,0)))</f>
        <v>0</v>
      </c>
      <c r="L631">
        <f>K631/VLOOKUP($D631,CPI!$P$16:$R$22,3,FALSE)</f>
        <v>0</v>
      </c>
      <c r="M631" s="16" cm="1">
        <f t="array" ref="M631">IF(B631=0,INDEX('Category 31'!F:F,MATCH(C631&amp;E631&amp;D631,'Category 31'!B:B&amp;'Category 31'!C:C&amp;'Category 31'!A:A,0)),INDEX('Category 31'!G:G,MATCH(C631&amp;E631&amp;D631,'Category 31'!B:B&amp;'Category 31'!C:C&amp;'Category 31'!A:A,0)))</f>
        <v>11053</v>
      </c>
      <c r="N631" s="16">
        <f>M631/VLOOKUP($D631,CPI!$P$16:$R$22,3,FALSE)</f>
        <v>12877.284265054621</v>
      </c>
      <c r="O631">
        <v>0</v>
      </c>
    </row>
    <row r="632" spans="1:15" ht="16" thickBot="1" x14ac:dyDescent="0.25">
      <c r="A632" s="15">
        <v>2</v>
      </c>
      <c r="B632">
        <f t="shared" si="9"/>
        <v>0</v>
      </c>
      <c r="C632">
        <f>IF(ISBLANK(H632),"",VLOOKUP(H632,Code!B:C,2,FALSE))</f>
        <v>17</v>
      </c>
      <c r="D632">
        <v>2020</v>
      </c>
      <c r="E632">
        <v>209542</v>
      </c>
      <c r="F632" t="s">
        <v>183</v>
      </c>
      <c r="G632" t="s">
        <v>289</v>
      </c>
      <c r="H632" t="s">
        <v>5</v>
      </c>
      <c r="I632" cm="1">
        <f t="array" ref="I632">IF(B632=0,INDEX('Category 14'!F:F,MATCH(C632&amp;E632&amp;D632,'Category 14'!B:B&amp;'Category 14'!C:C&amp;'Category 14'!A:A,0)),INDEX('Category 14'!G:G,MATCH(C632&amp;E632&amp;D632,'Category 14'!B:B&amp;'Category 14'!C:C&amp;'Category 14'!A:A,0)))</f>
        <v>0</v>
      </c>
      <c r="J632">
        <f>I632/VLOOKUP($D632,CPI!$P$16:$R$22,3,FALSE)</f>
        <v>0</v>
      </c>
      <c r="K632" cm="1">
        <f t="array" ref="K632">IF(B632=0,INDEX('Category 15'!F:F,MATCH(C632&amp;E632&amp;D632,'Category 15'!B:B&amp;'Category 15'!C:C&amp;'Category 15'!A:A,0)),INDEX('Category 15'!G:G,MATCH(C632&amp;E632&amp;D632,'Category 15'!B:B&amp;'Category 31'!C:C&amp;'Category 15'!A:A,0)))</f>
        <v>0</v>
      </c>
      <c r="L632">
        <f>K632/VLOOKUP($D632,CPI!$P$16:$R$22,3,FALSE)</f>
        <v>0</v>
      </c>
      <c r="M632" s="16" cm="1">
        <f t="array" ref="M632">IF(B632=0,INDEX('Category 31'!F:F,MATCH(C632&amp;E632&amp;D632,'Category 31'!B:B&amp;'Category 31'!C:C&amp;'Category 31'!A:A,0)),INDEX('Category 31'!G:G,MATCH(C632&amp;E632&amp;D632,'Category 31'!B:B&amp;'Category 31'!C:C&amp;'Category 31'!A:A,0)))</f>
        <v>10643</v>
      </c>
      <c r="N632" s="16">
        <f>M632/VLOOKUP($D632,CPI!$P$16:$R$22,3,FALSE)</f>
        <v>12399.614261555807</v>
      </c>
      <c r="O632">
        <f>VLOOKUP(E632,MSoccer!C:S,9,FALSE)</f>
        <v>0</v>
      </c>
    </row>
    <row r="633" spans="1:15" ht="16" thickBot="1" x14ac:dyDescent="0.25">
      <c r="A633" s="15">
        <v>2</v>
      </c>
      <c r="B633">
        <f t="shared" si="9"/>
        <v>0</v>
      </c>
      <c r="C633">
        <f>IF(ISBLANK(H633),"",VLOOKUP(H633,Code!B:C,2,FALSE))</f>
        <v>25</v>
      </c>
      <c r="D633">
        <v>2020</v>
      </c>
      <c r="E633">
        <v>209542</v>
      </c>
      <c r="F633" t="s">
        <v>183</v>
      </c>
      <c r="G633" t="s">
        <v>289</v>
      </c>
      <c r="H633" t="s">
        <v>35</v>
      </c>
      <c r="I633" cm="1">
        <f t="array" ref="I633">IF(B633=0,INDEX('Category 14'!F:F,MATCH(C633&amp;E633&amp;D633,'Category 14'!B:B&amp;'Category 14'!C:C&amp;'Category 14'!A:A,0)),INDEX('Category 14'!G:G,MATCH(C633&amp;E633&amp;D633,'Category 14'!B:B&amp;'Category 14'!C:C&amp;'Category 14'!A:A,0)))</f>
        <v>0</v>
      </c>
      <c r="J633">
        <f>I633/VLOOKUP($D633,CPI!$P$16:$R$22,3,FALSE)</f>
        <v>0</v>
      </c>
      <c r="K633" cm="1">
        <f t="array" ref="K633">IF(B633=0,INDEX('Category 15'!F:F,MATCH(C633&amp;E633&amp;D633,'Category 15'!B:B&amp;'Category 15'!C:C&amp;'Category 15'!A:A,0)),INDEX('Category 15'!G:G,MATCH(C633&amp;E633&amp;D633,'Category 15'!B:B&amp;'Category 31'!C:C&amp;'Category 15'!A:A,0)))</f>
        <v>0</v>
      </c>
      <c r="L633">
        <f>K633/VLOOKUP($D633,CPI!$P$16:$R$22,3,FALSE)</f>
        <v>0</v>
      </c>
      <c r="M633" s="16" cm="1">
        <f t="array" ref="M633">IF(B633=0,INDEX('Category 31'!F:F,MATCH(C633&amp;E633&amp;D633,'Category 31'!B:B&amp;'Category 31'!C:C&amp;'Category 31'!A:A,0)),INDEX('Category 31'!G:G,MATCH(C633&amp;E633&amp;D633,'Category 31'!B:B&amp;'Category 31'!C:C&amp;'Category 31'!A:A,0)))</f>
        <v>7553</v>
      </c>
      <c r="N633" s="16">
        <f>M633/VLOOKUP($D633,CPI!$P$16:$R$22,3,FALSE)</f>
        <v>8799.613503479377</v>
      </c>
      <c r="O633">
        <v>0</v>
      </c>
    </row>
    <row r="634" spans="1:15" ht="16" thickBot="1" x14ac:dyDescent="0.25">
      <c r="A634" s="15">
        <v>2</v>
      </c>
      <c r="B634">
        <f t="shared" si="9"/>
        <v>1</v>
      </c>
      <c r="C634">
        <f>IF(ISBLANK(H634),"",VLOOKUP(H634,Code!B:C,2,FALSE))</f>
        <v>2</v>
      </c>
      <c r="D634">
        <v>2020</v>
      </c>
      <c r="E634">
        <v>209542</v>
      </c>
      <c r="F634" t="s">
        <v>183</v>
      </c>
      <c r="G634" t="s">
        <v>290</v>
      </c>
      <c r="H634" t="s">
        <v>1</v>
      </c>
      <c r="I634" cm="1">
        <f t="array" ref="I634">IF(B634=0,INDEX('Category 14'!F:F,MATCH(C634&amp;E634&amp;D634,'Category 14'!B:B&amp;'Category 14'!C:C&amp;'Category 14'!A:A,0)),INDEX('Category 14'!G:G,MATCH(C634&amp;E634&amp;D634,'Category 14'!B:B&amp;'Category 14'!C:C&amp;'Category 14'!A:A,0)))</f>
        <v>875</v>
      </c>
      <c r="J634">
        <f>I634/VLOOKUP($D634,CPI!$P$16:$R$22,3,FALSE)</f>
        <v>1019.4176903938111</v>
      </c>
      <c r="K634" cm="1">
        <f t="array" ref="K634">IF(B634=0,INDEX('Category 15'!F:F,MATCH(C634&amp;E634&amp;D634,'Category 15'!B:B&amp;'Category 15'!C:C&amp;'Category 15'!A:A,0)),INDEX('Category 15'!G:G,MATCH(C634&amp;E634&amp;D634,'Category 15'!B:B&amp;'Category 31'!C:C&amp;'Category 15'!A:A,0)))</f>
        <v>0</v>
      </c>
      <c r="L634">
        <f>K634/VLOOKUP($D634,CPI!$P$16:$R$22,3,FALSE)</f>
        <v>0</v>
      </c>
      <c r="M634" s="16" cm="1">
        <f t="array" ref="M634">IF(B634=0,INDEX('Category 31'!F:F,MATCH(C634&amp;E634&amp;D634,'Category 31'!B:B&amp;'Category 31'!C:C&amp;'Category 31'!A:A,0)),INDEX('Category 31'!G:G,MATCH(C634&amp;E634&amp;D634,'Category 31'!B:B&amp;'Category 31'!C:C&amp;'Category 31'!A:A,0)))</f>
        <v>112449</v>
      </c>
      <c r="N634" s="16">
        <f>M634/VLOOKUP($D634,CPI!$P$16:$R$22,3,FALSE)</f>
        <v>131008.57127667847</v>
      </c>
      <c r="O634">
        <f>VLOOKUP(E634,WBasketball!C:S,9,FALSE)</f>
        <v>100337</v>
      </c>
    </row>
    <row r="635" spans="1:15" ht="16" thickBot="1" x14ac:dyDescent="0.25">
      <c r="A635" s="15">
        <v>2</v>
      </c>
      <c r="B635">
        <f t="shared" si="9"/>
        <v>1</v>
      </c>
      <c r="C635">
        <f>IF(ISBLANK(H635),"",VLOOKUP(H635,Code!B:C,2,FALSE))</f>
        <v>9</v>
      </c>
      <c r="D635">
        <v>2020</v>
      </c>
      <c r="E635">
        <v>209542</v>
      </c>
      <c r="F635" t="s">
        <v>183</v>
      </c>
      <c r="G635" t="s">
        <v>290</v>
      </c>
      <c r="H635" t="s">
        <v>3</v>
      </c>
      <c r="I635" cm="1">
        <f t="array" ref="I635">IF(B635=0,INDEX('Category 14'!F:F,MATCH(C635&amp;E635&amp;D635,'Category 14'!B:B&amp;'Category 14'!C:C&amp;'Category 14'!A:A,0)),INDEX('Category 14'!G:G,MATCH(C635&amp;E635&amp;D635,'Category 14'!B:B&amp;'Category 14'!C:C&amp;'Category 14'!A:A,0)))</f>
        <v>0</v>
      </c>
      <c r="J635">
        <f>I635/VLOOKUP($D635,CPI!$P$16:$R$22,3,FALSE)</f>
        <v>0</v>
      </c>
      <c r="K635" cm="1">
        <f t="array" ref="K635">IF(B635=0,INDEX('Category 15'!F:F,MATCH(C635&amp;E635&amp;D635,'Category 15'!B:B&amp;'Category 15'!C:C&amp;'Category 15'!A:A,0)),INDEX('Category 15'!G:G,MATCH(C635&amp;E635&amp;D635,'Category 15'!B:B&amp;'Category 31'!C:C&amp;'Category 15'!A:A,0)))</f>
        <v>0</v>
      </c>
      <c r="L635">
        <f>K635/VLOOKUP($D635,CPI!$P$16:$R$22,3,FALSE)</f>
        <v>0</v>
      </c>
      <c r="M635" s="16" cm="1">
        <f t="array" ref="M635">IF(B635=0,INDEX('Category 31'!F:F,MATCH(C635&amp;E635&amp;D635,'Category 31'!B:B&amp;'Category 31'!C:C&amp;'Category 31'!A:A,0)),INDEX('Category 31'!G:G,MATCH(C635&amp;E635&amp;D635,'Category 31'!B:B&amp;'Category 31'!C:C&amp;'Category 31'!A:A,0)))</f>
        <v>88390</v>
      </c>
      <c r="N635" s="16">
        <f>M635/VLOOKUP($D635,CPI!$P$16:$R$22,3,FALSE)</f>
        <v>102978.66246161023</v>
      </c>
      <c r="O635">
        <v>0</v>
      </c>
    </row>
    <row r="636" spans="1:15" ht="16" thickBot="1" x14ac:dyDescent="0.25">
      <c r="A636" s="15">
        <v>2</v>
      </c>
      <c r="B636">
        <f t="shared" si="9"/>
        <v>1</v>
      </c>
      <c r="C636">
        <f>IF(ISBLANK(H636),"",VLOOKUP(H636,Code!B:C,2,FALSE))</f>
        <v>10</v>
      </c>
      <c r="D636">
        <v>2020</v>
      </c>
      <c r="E636">
        <v>209542</v>
      </c>
      <c r="F636" t="s">
        <v>183</v>
      </c>
      <c r="G636" t="s">
        <v>290</v>
      </c>
      <c r="H636" t="s">
        <v>4</v>
      </c>
      <c r="I636" cm="1">
        <f t="array" ref="I636">IF(B636=0,INDEX('Category 14'!F:F,MATCH(C636&amp;E636&amp;D636,'Category 14'!B:B&amp;'Category 14'!C:C&amp;'Category 14'!A:A,0)),INDEX('Category 14'!G:G,MATCH(C636&amp;E636&amp;D636,'Category 14'!B:B&amp;'Category 14'!C:C&amp;'Category 14'!A:A,0)))</f>
        <v>0</v>
      </c>
      <c r="J636">
        <f>I636/VLOOKUP($D636,CPI!$P$16:$R$22,3,FALSE)</f>
        <v>0</v>
      </c>
      <c r="K636" cm="1">
        <f t="array" ref="K636">IF(B636=0,INDEX('Category 15'!F:F,MATCH(C636&amp;E636&amp;D636,'Category 15'!B:B&amp;'Category 15'!C:C&amp;'Category 15'!A:A,0)),INDEX('Category 15'!G:G,MATCH(C636&amp;E636&amp;D636,'Category 15'!B:B&amp;'Category 31'!C:C&amp;'Category 15'!A:A,0)))</f>
        <v>0</v>
      </c>
      <c r="L636">
        <f>K636/VLOOKUP($D636,CPI!$P$16:$R$22,3,FALSE)</f>
        <v>0</v>
      </c>
      <c r="M636" s="16" cm="1">
        <f t="array" ref="M636">IF(B636=0,INDEX('Category 31'!F:F,MATCH(C636&amp;E636&amp;D636,'Category 31'!B:B&amp;'Category 31'!C:C&amp;'Category 31'!A:A,0)),INDEX('Category 31'!G:G,MATCH(C636&amp;E636&amp;D636,'Category 31'!B:B&amp;'Category 31'!C:C&amp;'Category 31'!A:A,0)))</f>
        <v>7029</v>
      </c>
      <c r="N636" s="16">
        <f>M636/VLOOKUP($D636,CPI!$P$16:$R$22,3,FALSE)</f>
        <v>8189.1279380321121</v>
      </c>
      <c r="O636">
        <v>0</v>
      </c>
    </row>
    <row r="637" spans="1:15" ht="16" thickBot="1" x14ac:dyDescent="0.25">
      <c r="A637" s="15">
        <v>2</v>
      </c>
      <c r="B637">
        <f t="shared" si="9"/>
        <v>1</v>
      </c>
      <c r="C637">
        <f>IF(ISBLANK(H637),"",VLOOKUP(H637,Code!B:C,2,FALSE))</f>
        <v>14</v>
      </c>
      <c r="D637">
        <v>2020</v>
      </c>
      <c r="E637">
        <v>209542</v>
      </c>
      <c r="F637" t="s">
        <v>183</v>
      </c>
      <c r="G637" t="s">
        <v>290</v>
      </c>
      <c r="H637" t="s">
        <v>29</v>
      </c>
      <c r="I637" cm="1">
        <f t="array" ref="I637">IF(B637=0,INDEX('Category 14'!F:F,MATCH(C637&amp;E637&amp;D637,'Category 14'!B:B&amp;'Category 14'!C:C&amp;'Category 14'!A:A,0)),INDEX('Category 14'!G:G,MATCH(C637&amp;E637&amp;D637,'Category 14'!B:B&amp;'Category 14'!C:C&amp;'Category 14'!A:A,0)))</f>
        <v>0</v>
      </c>
      <c r="J637">
        <f>I637/VLOOKUP($D637,CPI!$P$16:$R$22,3,FALSE)</f>
        <v>0</v>
      </c>
      <c r="K637" cm="1">
        <f t="array" ref="K637">IF(B637=0,INDEX('Category 15'!F:F,MATCH(C637&amp;E637&amp;D637,'Category 15'!B:B&amp;'Category 15'!C:C&amp;'Category 15'!A:A,0)),INDEX('Category 15'!G:G,MATCH(C637&amp;E637&amp;D637,'Category 15'!B:B&amp;'Category 31'!C:C&amp;'Category 15'!A:A,0)))</f>
        <v>0</v>
      </c>
      <c r="L637">
        <f>K637/VLOOKUP($D637,CPI!$P$16:$R$22,3,FALSE)</f>
        <v>0</v>
      </c>
      <c r="M637" s="16" cm="1">
        <f t="array" ref="M637">IF(B637=0,INDEX('Category 31'!F:F,MATCH(C637&amp;E637&amp;D637,'Category 31'!B:B&amp;'Category 31'!C:C&amp;'Category 31'!A:A,0)),INDEX('Category 31'!G:G,MATCH(C637&amp;E637&amp;D637,'Category 31'!B:B&amp;'Category 31'!C:C&amp;'Category 31'!A:A,0)))</f>
        <v>3536</v>
      </c>
      <c r="N637" s="16">
        <f>M637/VLOOKUP($D637,CPI!$P$16:$R$22,3,FALSE)</f>
        <v>4119.6125179800183</v>
      </c>
      <c r="O637">
        <v>0</v>
      </c>
    </row>
    <row r="638" spans="1:15" ht="16" thickBot="1" x14ac:dyDescent="0.25">
      <c r="A638" s="15">
        <v>2</v>
      </c>
      <c r="B638">
        <f t="shared" si="9"/>
        <v>1</v>
      </c>
      <c r="C638">
        <f>IF(ISBLANK(H638),"",VLOOKUP(H638,Code!B:C,2,FALSE))</f>
        <v>17</v>
      </c>
      <c r="D638">
        <v>2020</v>
      </c>
      <c r="E638">
        <v>209542</v>
      </c>
      <c r="F638" t="s">
        <v>183</v>
      </c>
      <c r="G638" t="s">
        <v>290</v>
      </c>
      <c r="H638" t="s">
        <v>5</v>
      </c>
      <c r="I638" cm="1">
        <f t="array" ref="I638">IF(B638=0,INDEX('Category 14'!F:F,MATCH(C638&amp;E638&amp;D638,'Category 14'!B:B&amp;'Category 14'!C:C&amp;'Category 14'!A:A,0)),INDEX('Category 14'!G:G,MATCH(C638&amp;E638&amp;D638,'Category 14'!B:B&amp;'Category 14'!C:C&amp;'Category 14'!A:A,0)))</f>
        <v>0</v>
      </c>
      <c r="J638">
        <f>I638/VLOOKUP($D638,CPI!$P$16:$R$22,3,FALSE)</f>
        <v>0</v>
      </c>
      <c r="K638" cm="1">
        <f t="array" ref="K638">IF(B638=0,INDEX('Category 15'!F:F,MATCH(C638&amp;E638&amp;D638,'Category 15'!B:B&amp;'Category 15'!C:C&amp;'Category 15'!A:A,0)),INDEX('Category 15'!G:G,MATCH(C638&amp;E638&amp;D638,'Category 15'!B:B&amp;'Category 31'!C:C&amp;'Category 15'!A:A,0)))</f>
        <v>0</v>
      </c>
      <c r="L638">
        <f>K638/VLOOKUP($D638,CPI!$P$16:$R$22,3,FALSE)</f>
        <v>0</v>
      </c>
      <c r="M638" s="16" cm="1">
        <f t="array" ref="M638">IF(B638=0,INDEX('Category 31'!F:F,MATCH(C638&amp;E638&amp;D638,'Category 31'!B:B&amp;'Category 31'!C:C&amp;'Category 31'!A:A,0)),INDEX('Category 31'!G:G,MATCH(C638&amp;E638&amp;D638,'Category 31'!B:B&amp;'Category 31'!C:C&amp;'Category 31'!A:A,0)))</f>
        <v>7619</v>
      </c>
      <c r="N638" s="16">
        <f>M638/VLOOKUP($D638,CPI!$P$16:$R$22,3,FALSE)</f>
        <v>8876.5067235547958</v>
      </c>
      <c r="O638">
        <f>VLOOKUP(E638,WSoccer!C:S,9,FALSE)</f>
        <v>5001</v>
      </c>
    </row>
    <row r="639" spans="1:15" ht="16" thickBot="1" x14ac:dyDescent="0.25">
      <c r="A639" s="15">
        <v>2</v>
      </c>
      <c r="B639">
        <f t="shared" si="9"/>
        <v>1</v>
      </c>
      <c r="C639">
        <f>IF(ISBLANK(H639),"",VLOOKUP(H639,Code!B:C,2,FALSE))</f>
        <v>18</v>
      </c>
      <c r="D639">
        <v>2020</v>
      </c>
      <c r="E639">
        <v>209542</v>
      </c>
      <c r="F639" t="s">
        <v>183</v>
      </c>
      <c r="G639" t="s">
        <v>290</v>
      </c>
      <c r="H639" t="s">
        <v>6</v>
      </c>
      <c r="I639" cm="1">
        <f t="array" ref="I639">IF(B639=0,INDEX('Category 14'!F:F,MATCH(C639&amp;E639&amp;D639,'Category 14'!B:B&amp;'Category 14'!C:C&amp;'Category 14'!A:A,0)),INDEX('Category 14'!G:G,MATCH(C639&amp;E639&amp;D639,'Category 14'!B:B&amp;'Category 14'!C:C&amp;'Category 14'!A:A,0)))</f>
        <v>0</v>
      </c>
      <c r="J639">
        <f>I639/VLOOKUP($D639,CPI!$P$16:$R$22,3,FALSE)</f>
        <v>0</v>
      </c>
      <c r="K639" cm="1">
        <f t="array" ref="K639">IF(B639=0,INDEX('Category 15'!F:F,MATCH(C639&amp;E639&amp;D639,'Category 15'!B:B&amp;'Category 15'!C:C&amp;'Category 15'!A:A,0)),INDEX('Category 15'!G:G,MATCH(C639&amp;E639&amp;D639,'Category 15'!B:B&amp;'Category 31'!C:C&amp;'Category 15'!A:A,0)))</f>
        <v>0</v>
      </c>
      <c r="L639">
        <f>K639/VLOOKUP($D639,CPI!$P$16:$R$22,3,FALSE)</f>
        <v>0</v>
      </c>
      <c r="M639" s="16" cm="1">
        <f t="array" ref="M639">IF(B639=0,INDEX('Category 31'!F:F,MATCH(C639&amp;E639&amp;D639,'Category 31'!B:B&amp;'Category 31'!C:C&amp;'Category 31'!A:A,0)),INDEX('Category 31'!G:G,MATCH(C639&amp;E639&amp;D639,'Category 31'!B:B&amp;'Category 31'!C:C&amp;'Category 31'!A:A,0)))</f>
        <v>1846</v>
      </c>
      <c r="N639" s="16">
        <f>M639/VLOOKUP($D639,CPI!$P$16:$R$22,3,FALSE)</f>
        <v>2150.6800645336862</v>
      </c>
      <c r="O639">
        <f>VLOOKUP(E639,WSoftball!C:S,9,FALSE)</f>
        <v>0</v>
      </c>
    </row>
    <row r="640" spans="1:15" ht="16" thickBot="1" x14ac:dyDescent="0.25">
      <c r="A640" s="15">
        <v>2</v>
      </c>
      <c r="B640">
        <f t="shared" si="9"/>
        <v>1</v>
      </c>
      <c r="C640">
        <f>IF(ISBLANK(H640),"",VLOOKUP(H640,Code!B:C,2,FALSE))</f>
        <v>21</v>
      </c>
      <c r="D640">
        <v>2020</v>
      </c>
      <c r="E640">
        <v>209542</v>
      </c>
      <c r="F640" t="s">
        <v>183</v>
      </c>
      <c r="G640" t="s">
        <v>290</v>
      </c>
      <c r="H640" t="s">
        <v>36</v>
      </c>
      <c r="I640" cm="1">
        <f t="array" ref="I640">IF(B640=0,INDEX('Category 14'!F:F,MATCH(C640&amp;E640&amp;D640,'Category 14'!B:B&amp;'Category 14'!C:C&amp;'Category 14'!A:A,0)),INDEX('Category 14'!G:G,MATCH(C640&amp;E640&amp;D640,'Category 14'!B:B&amp;'Category 14'!C:C&amp;'Category 14'!A:A,0)))</f>
        <v>364</v>
      </c>
      <c r="J640">
        <f>I640/VLOOKUP($D640,CPI!$P$16:$R$22,3,FALSE)</f>
        <v>424.07775920382539</v>
      </c>
      <c r="K640" cm="1">
        <f t="array" ref="K640">IF(B640=0,INDEX('Category 15'!F:F,MATCH(C640&amp;E640&amp;D640,'Category 15'!B:B&amp;'Category 15'!C:C&amp;'Category 15'!A:A,0)),INDEX('Category 15'!G:G,MATCH(C640&amp;E640&amp;D640,'Category 15'!B:B&amp;'Category 31'!C:C&amp;'Category 15'!A:A,0)))</f>
        <v>0</v>
      </c>
      <c r="L640">
        <f>K640/VLOOKUP($D640,CPI!$P$16:$R$22,3,FALSE)</f>
        <v>0</v>
      </c>
      <c r="M640" s="16" cm="1">
        <f t="array" ref="M640">IF(B640=0,INDEX('Category 31'!F:F,MATCH(C640&amp;E640&amp;D640,'Category 31'!B:B&amp;'Category 31'!C:C&amp;'Category 31'!A:A,0)),INDEX('Category 31'!G:G,MATCH(C640&amp;E640&amp;D640,'Category 31'!B:B&amp;'Category 31'!C:C&amp;'Category 31'!A:A,0)))</f>
        <v>11150</v>
      </c>
      <c r="N640" s="16">
        <f>M640/VLOOKUP($D640,CPI!$P$16:$R$22,3,FALSE)</f>
        <v>12990.293997589706</v>
      </c>
      <c r="O640">
        <v>0</v>
      </c>
    </row>
    <row r="641" spans="1:15" ht="16" thickBot="1" x14ac:dyDescent="0.25">
      <c r="A641" s="15">
        <v>2</v>
      </c>
      <c r="B641">
        <f t="shared" si="9"/>
        <v>1</v>
      </c>
      <c r="C641">
        <f>IF(ISBLANK(H641),"",VLOOKUP(H641,Code!B:C,2,FALSE))</f>
        <v>23</v>
      </c>
      <c r="D641">
        <v>2020</v>
      </c>
      <c r="E641">
        <v>209542</v>
      </c>
      <c r="F641" t="s">
        <v>183</v>
      </c>
      <c r="G641" t="s">
        <v>290</v>
      </c>
      <c r="H641" t="s">
        <v>10</v>
      </c>
      <c r="I641" cm="1">
        <f t="array" ref="I641">IF(B641=0,INDEX('Category 14'!F:F,MATCH(C641&amp;E641&amp;D641,'Category 14'!B:B&amp;'Category 14'!C:C&amp;'Category 14'!A:A,0)),INDEX('Category 14'!G:G,MATCH(C641&amp;E641&amp;D641,'Category 14'!B:B&amp;'Category 14'!C:C&amp;'Category 14'!A:A,0)))</f>
        <v>0</v>
      </c>
      <c r="J641">
        <f>I641/VLOOKUP($D641,CPI!$P$16:$R$22,3,FALSE)</f>
        <v>0</v>
      </c>
      <c r="K641" cm="1">
        <f t="array" ref="K641">IF(B641=0,INDEX('Category 15'!F:F,MATCH(C641&amp;E641&amp;D641,'Category 15'!B:B&amp;'Category 15'!C:C&amp;'Category 15'!A:A,0)),INDEX('Category 15'!G:G,MATCH(C641&amp;E641&amp;D641,'Category 15'!B:B&amp;'Category 31'!C:C&amp;'Category 15'!A:A,0)))</f>
        <v>0</v>
      </c>
      <c r="L641">
        <f>K641/VLOOKUP($D641,CPI!$P$16:$R$22,3,FALSE)</f>
        <v>0</v>
      </c>
      <c r="M641" s="16" cm="1">
        <f t="array" ref="M641">IF(B641=0,INDEX('Category 31'!F:F,MATCH(C641&amp;E641&amp;D641,'Category 31'!B:B&amp;'Category 31'!C:C&amp;'Category 31'!A:A,0)),INDEX('Category 31'!G:G,MATCH(C641&amp;E641&amp;D641,'Category 31'!B:B&amp;'Category 31'!C:C&amp;'Category 31'!A:A,0)))</f>
        <v>7965</v>
      </c>
      <c r="N641" s="16">
        <f>M641/VLOOKUP($D641,CPI!$P$16:$R$22,3,FALSE)</f>
        <v>9279.6136045562343</v>
      </c>
      <c r="O641">
        <f>VLOOKUP(E641,WVolleyball!C:S,8,FALSE)</f>
        <v>14227</v>
      </c>
    </row>
    <row r="642" spans="1:15" ht="16" thickBot="1" x14ac:dyDescent="0.25">
      <c r="A642" s="15">
        <v>2</v>
      </c>
      <c r="B642">
        <f t="shared" si="9"/>
        <v>0</v>
      </c>
      <c r="C642">
        <f>IF(ISBLANK(H642),"",VLOOKUP(H642,Code!B:C,2,FALSE))</f>
        <v>1</v>
      </c>
      <c r="D642">
        <v>2021</v>
      </c>
      <c r="E642">
        <v>209542</v>
      </c>
      <c r="F642" t="s">
        <v>183</v>
      </c>
      <c r="G642" t="s">
        <v>289</v>
      </c>
      <c r="H642" t="s">
        <v>0</v>
      </c>
      <c r="I642" cm="1">
        <f t="array" ref="I642">IF(B642=0,INDEX('Category 14'!F:F,MATCH(C642&amp;E642&amp;D642,'Category 14'!B:B&amp;'Category 14'!C:C&amp;'Category 14'!A:A,0)),INDEX('Category 14'!G:G,MATCH(C642&amp;E642&amp;D642,'Category 14'!B:B&amp;'Category 14'!C:C&amp;'Category 14'!A:A,0)))</f>
        <v>0</v>
      </c>
      <c r="J642">
        <f>I642/VLOOKUP($D642,CPI!$P$16:$R$22,3,FALSE)</f>
        <v>0</v>
      </c>
      <c r="K642" cm="1">
        <f t="array" ref="K642">IF(B642=0,INDEX('Category 15'!F:F,MATCH(C642&amp;E642&amp;D642,'Category 15'!B:B&amp;'Category 15'!C:C&amp;'Category 15'!A:A,0)),INDEX('Category 15'!G:G,MATCH(C642&amp;E642&amp;D642,'Category 15'!B:B&amp;'Category 31'!C:C&amp;'Category 15'!A:A,0)))</f>
        <v>0</v>
      </c>
      <c r="L642">
        <f>K642/VLOOKUP($D642,CPI!$P$16:$R$22,3,FALSE)</f>
        <v>0</v>
      </c>
      <c r="M642" s="16" cm="1">
        <f t="array" ref="M642">IF(B642=0,INDEX('Category 31'!F:F,MATCH(C642&amp;E642&amp;D642,'Category 31'!B:B&amp;'Category 31'!C:C&amp;'Category 31'!A:A,0)),INDEX('Category 31'!G:G,MATCH(C642&amp;E642&amp;D642,'Category 31'!B:B&amp;'Category 31'!C:C&amp;'Category 31'!A:A,0)))</f>
        <v>36544</v>
      </c>
      <c r="N642" s="16">
        <f>M642/VLOOKUP($D642,CPI!$P$16:$R$22,3,FALSE)</f>
        <v>41617.655721725794</v>
      </c>
      <c r="O642">
        <f>VLOOKUP(E642,MBaseball!C:R,9,FALSE)</f>
        <v>10237</v>
      </c>
    </row>
    <row r="643" spans="1:15" ht="16" thickBot="1" x14ac:dyDescent="0.25">
      <c r="A643" s="15">
        <v>2</v>
      </c>
      <c r="B643">
        <f t="shared" ref="B643:B706" si="10">IF(ISBLANK(G643),"",IF(MID(G643,1,1)="M",0,1))</f>
        <v>0</v>
      </c>
      <c r="C643">
        <f>IF(ISBLANK(H643),"",VLOOKUP(H643,Code!B:C,2,FALSE))</f>
        <v>2</v>
      </c>
      <c r="D643">
        <v>2021</v>
      </c>
      <c r="E643">
        <v>209542</v>
      </c>
      <c r="F643" t="s">
        <v>183</v>
      </c>
      <c r="G643" t="s">
        <v>289</v>
      </c>
      <c r="H643" t="s">
        <v>1</v>
      </c>
      <c r="I643" cm="1">
        <f t="array" ref="I643">IF(B643=0,INDEX('Category 14'!F:F,MATCH(C643&amp;E643&amp;D643,'Category 14'!B:B&amp;'Category 14'!C:C&amp;'Category 14'!A:A,0)),INDEX('Category 14'!G:G,MATCH(C643&amp;E643&amp;D643,'Category 14'!B:B&amp;'Category 14'!C:C&amp;'Category 14'!A:A,0)))</f>
        <v>0</v>
      </c>
      <c r="J643">
        <f>I643/VLOOKUP($D643,CPI!$P$16:$R$22,3,FALSE)</f>
        <v>0</v>
      </c>
      <c r="K643" cm="1">
        <f t="array" ref="K643">IF(B643=0,INDEX('Category 15'!F:F,MATCH(C643&amp;E643&amp;D643,'Category 15'!B:B&amp;'Category 15'!C:C&amp;'Category 15'!A:A,0)),INDEX('Category 15'!G:G,MATCH(C643&amp;E643&amp;D643,'Category 15'!B:B&amp;'Category 31'!C:C&amp;'Category 15'!A:A,0)))</f>
        <v>0</v>
      </c>
      <c r="L643">
        <f>K643/VLOOKUP($D643,CPI!$P$16:$R$22,3,FALSE)</f>
        <v>0</v>
      </c>
      <c r="M643" s="16" cm="1">
        <f t="array" ref="M643">IF(B643=0,INDEX('Category 31'!F:F,MATCH(C643&amp;E643&amp;D643,'Category 31'!B:B&amp;'Category 31'!C:C&amp;'Category 31'!A:A,0)),INDEX('Category 31'!G:G,MATCH(C643&amp;E643&amp;D643,'Category 31'!B:B&amp;'Category 31'!C:C&amp;'Category 31'!A:A,0)))</f>
        <v>41574</v>
      </c>
      <c r="N643" s="16">
        <f>M643/VLOOKUP($D643,CPI!$P$16:$R$22,3,FALSE)</f>
        <v>47346.005335349939</v>
      </c>
      <c r="O643">
        <f>VLOOKUP(E643,MBasketball!C:S,10,FALSE)</f>
        <v>0</v>
      </c>
    </row>
    <row r="644" spans="1:15" ht="16" thickBot="1" x14ac:dyDescent="0.25">
      <c r="A644" s="15">
        <v>2</v>
      </c>
      <c r="B644">
        <f t="shared" si="10"/>
        <v>0</v>
      </c>
      <c r="C644">
        <f>IF(ISBLANK(H644),"",VLOOKUP(H644,Code!B:C,2,FALSE))</f>
        <v>8</v>
      </c>
      <c r="D644">
        <v>2021</v>
      </c>
      <c r="E644">
        <v>209542</v>
      </c>
      <c r="F644" t="s">
        <v>183</v>
      </c>
      <c r="G644" t="s">
        <v>289</v>
      </c>
      <c r="H644" t="s">
        <v>2</v>
      </c>
      <c r="I644" cm="1">
        <f t="array" ref="I644">IF(B644=0,INDEX('Category 14'!F:F,MATCH(C644&amp;E644&amp;D644,'Category 14'!B:B&amp;'Category 14'!C:C&amp;'Category 14'!A:A,0)),INDEX('Category 14'!G:G,MATCH(C644&amp;E644&amp;D644,'Category 14'!B:B&amp;'Category 14'!C:C&amp;'Category 14'!A:A,0)))</f>
        <v>0</v>
      </c>
      <c r="J644">
        <f>I644/VLOOKUP($D644,CPI!$P$16:$R$22,3,FALSE)</f>
        <v>0</v>
      </c>
      <c r="K644" cm="1">
        <f t="array" ref="K644">IF(B644=0,INDEX('Category 15'!F:F,MATCH(C644&amp;E644&amp;D644,'Category 15'!B:B&amp;'Category 15'!C:C&amp;'Category 15'!A:A,0)),INDEX('Category 15'!G:G,MATCH(C644&amp;E644&amp;D644,'Category 15'!B:B&amp;'Category 31'!C:C&amp;'Category 15'!A:A,0)))</f>
        <v>0</v>
      </c>
      <c r="L644">
        <f>K644/VLOOKUP($D644,CPI!$P$16:$R$22,3,FALSE)</f>
        <v>0</v>
      </c>
      <c r="M644" s="16" cm="1">
        <f t="array" ref="M644">IF(B644=0,INDEX('Category 31'!F:F,MATCH(C644&amp;E644&amp;D644,'Category 31'!B:B&amp;'Category 31'!C:C&amp;'Category 31'!A:A,0)),INDEX('Category 31'!G:G,MATCH(C644&amp;E644&amp;D644,'Category 31'!B:B&amp;'Category 31'!C:C&amp;'Category 31'!A:A,0)))</f>
        <v>81248</v>
      </c>
      <c r="N644" s="16">
        <f>M644/VLOOKUP($D644,CPI!$P$16:$R$22,3,FALSE)</f>
        <v>92528.220558197718</v>
      </c>
      <c r="O644">
        <f>VLOOKUP(E644,MFootball!C:S,10,FALSE)</f>
        <v>0</v>
      </c>
    </row>
    <row r="645" spans="1:15" ht="16" thickBot="1" x14ac:dyDescent="0.25">
      <c r="A645" s="15">
        <v>2</v>
      </c>
      <c r="B645">
        <f t="shared" si="10"/>
        <v>0</v>
      </c>
      <c r="C645">
        <f>IF(ISBLANK(H645),"",VLOOKUP(H645,Code!B:C,2,FALSE))</f>
        <v>9</v>
      </c>
      <c r="D645">
        <v>2021</v>
      </c>
      <c r="E645">
        <v>209542</v>
      </c>
      <c r="F645" t="s">
        <v>183</v>
      </c>
      <c r="G645" t="s">
        <v>289</v>
      </c>
      <c r="H645" t="s">
        <v>3</v>
      </c>
      <c r="I645" cm="1">
        <f t="array" ref="I645">IF(B645=0,INDEX('Category 14'!F:F,MATCH(C645&amp;E645&amp;D645,'Category 14'!B:B&amp;'Category 14'!C:C&amp;'Category 14'!A:A,0)),INDEX('Category 14'!G:G,MATCH(C645&amp;E645&amp;D645,'Category 14'!B:B&amp;'Category 14'!C:C&amp;'Category 14'!A:A,0)))</f>
        <v>0</v>
      </c>
      <c r="J645">
        <f>I645/VLOOKUP($D645,CPI!$P$16:$R$22,3,FALSE)</f>
        <v>0</v>
      </c>
      <c r="K645" cm="1">
        <f t="array" ref="K645">IF(B645=0,INDEX('Category 15'!F:F,MATCH(C645&amp;E645&amp;D645,'Category 15'!B:B&amp;'Category 15'!C:C&amp;'Category 15'!A:A,0)),INDEX('Category 15'!G:G,MATCH(C645&amp;E645&amp;D645,'Category 15'!B:B&amp;'Category 31'!C:C&amp;'Category 15'!A:A,0)))</f>
        <v>0</v>
      </c>
      <c r="L645">
        <f>K645/VLOOKUP($D645,CPI!$P$16:$R$22,3,FALSE)</f>
        <v>0</v>
      </c>
      <c r="M645" s="16" cm="1">
        <f t="array" ref="M645">IF(B645=0,INDEX('Category 31'!F:F,MATCH(C645&amp;E645&amp;D645,'Category 31'!B:B&amp;'Category 31'!C:C&amp;'Category 31'!A:A,0)),INDEX('Category 31'!G:G,MATCH(C645&amp;E645&amp;D645,'Category 31'!B:B&amp;'Category 31'!C:C&amp;'Category 31'!A:A,0)))</f>
        <v>6578</v>
      </c>
      <c r="N645" s="16">
        <f>M645/VLOOKUP($D645,CPI!$P$16:$R$22,3,FALSE)</f>
        <v>7491.2691368627484</v>
      </c>
      <c r="O645">
        <v>0</v>
      </c>
    </row>
    <row r="646" spans="1:15" ht="16" thickBot="1" x14ac:dyDescent="0.25">
      <c r="A646" s="15">
        <v>2</v>
      </c>
      <c r="B646">
        <f t="shared" si="10"/>
        <v>0</v>
      </c>
      <c r="C646">
        <f>IF(ISBLANK(H646),"",VLOOKUP(H646,Code!B:C,2,FALSE))</f>
        <v>17</v>
      </c>
      <c r="D646">
        <v>2021</v>
      </c>
      <c r="E646">
        <v>209542</v>
      </c>
      <c r="F646" t="s">
        <v>183</v>
      </c>
      <c r="G646" t="s">
        <v>289</v>
      </c>
      <c r="H646" t="s">
        <v>5</v>
      </c>
      <c r="I646" cm="1">
        <f t="array" ref="I646">IF(B646=0,INDEX('Category 14'!F:F,MATCH(C646&amp;E646&amp;D646,'Category 14'!B:B&amp;'Category 14'!C:C&amp;'Category 14'!A:A,0)),INDEX('Category 14'!G:G,MATCH(C646&amp;E646&amp;D646,'Category 14'!B:B&amp;'Category 14'!C:C&amp;'Category 14'!A:A,0)))</f>
        <v>0</v>
      </c>
      <c r="J646">
        <f>I646/VLOOKUP($D646,CPI!$P$16:$R$22,3,FALSE)</f>
        <v>0</v>
      </c>
      <c r="K646" cm="1">
        <f t="array" ref="K646">IF(B646=0,INDEX('Category 15'!F:F,MATCH(C646&amp;E646&amp;D646,'Category 15'!B:B&amp;'Category 15'!C:C&amp;'Category 15'!A:A,0)),INDEX('Category 15'!G:G,MATCH(C646&amp;E646&amp;D646,'Category 15'!B:B&amp;'Category 31'!C:C&amp;'Category 15'!A:A,0)))</f>
        <v>0</v>
      </c>
      <c r="L646">
        <f>K646/VLOOKUP($D646,CPI!$P$16:$R$22,3,FALSE)</f>
        <v>0</v>
      </c>
      <c r="M646" s="16" cm="1">
        <f t="array" ref="M646">IF(B646=0,INDEX('Category 31'!F:F,MATCH(C646&amp;E646&amp;D646,'Category 31'!B:B&amp;'Category 31'!C:C&amp;'Category 31'!A:A,0)),INDEX('Category 31'!G:G,MATCH(C646&amp;E646&amp;D646,'Category 31'!B:B&amp;'Category 31'!C:C&amp;'Category 31'!A:A,0)))</f>
        <v>6561</v>
      </c>
      <c r="N646" s="16">
        <f>M646/VLOOKUP($D646,CPI!$P$16:$R$22,3,FALSE)</f>
        <v>7471.9089095403606</v>
      </c>
      <c r="O646">
        <f>VLOOKUP(E646,MSoccer!C:S,10,FALSE)</f>
        <v>224</v>
      </c>
    </row>
    <row r="647" spans="1:15" ht="16" thickBot="1" x14ac:dyDescent="0.25">
      <c r="A647" s="15">
        <v>2</v>
      </c>
      <c r="B647">
        <f t="shared" si="10"/>
        <v>0</v>
      </c>
      <c r="C647">
        <f>IF(ISBLANK(H647),"",VLOOKUP(H647,Code!B:C,2,FALSE))</f>
        <v>25</v>
      </c>
      <c r="D647">
        <v>2021</v>
      </c>
      <c r="E647">
        <v>209542</v>
      </c>
      <c r="F647" t="s">
        <v>183</v>
      </c>
      <c r="G647" t="s">
        <v>289</v>
      </c>
      <c r="H647" t="s">
        <v>35</v>
      </c>
      <c r="I647" cm="1">
        <f t="array" ref="I647">IF(B647=0,INDEX('Category 14'!F:F,MATCH(C647&amp;E647&amp;D647,'Category 14'!B:B&amp;'Category 14'!C:C&amp;'Category 14'!A:A,0)),INDEX('Category 14'!G:G,MATCH(C647&amp;E647&amp;D647,'Category 14'!B:B&amp;'Category 14'!C:C&amp;'Category 14'!A:A,0)))</f>
        <v>0</v>
      </c>
      <c r="J647">
        <f>I647/VLOOKUP($D647,CPI!$P$16:$R$22,3,FALSE)</f>
        <v>0</v>
      </c>
      <c r="K647" cm="1">
        <f t="array" ref="K647">IF(B647=0,INDEX('Category 15'!F:F,MATCH(C647&amp;E647&amp;D647,'Category 15'!B:B&amp;'Category 15'!C:C&amp;'Category 15'!A:A,0)),INDEX('Category 15'!G:G,MATCH(C647&amp;E647&amp;D647,'Category 15'!B:B&amp;'Category 31'!C:C&amp;'Category 15'!A:A,0)))</f>
        <v>0</v>
      </c>
      <c r="L647">
        <f>K647/VLOOKUP($D647,CPI!$P$16:$R$22,3,FALSE)</f>
        <v>0</v>
      </c>
      <c r="M647" s="16" cm="1">
        <f t="array" ref="M647">IF(B647=0,INDEX('Category 31'!F:F,MATCH(C647&amp;E647&amp;D647,'Category 31'!B:B&amp;'Category 31'!C:C&amp;'Category 31'!A:A,0)),INDEX('Category 31'!G:G,MATCH(C647&amp;E647&amp;D647,'Category 31'!B:B&amp;'Category 31'!C:C&amp;'Category 31'!A:A,0)))</f>
        <v>9345</v>
      </c>
      <c r="N647" s="16">
        <f>M647/VLOOKUP($D647,CPI!$P$16:$R$22,3,FALSE)</f>
        <v>10642.430842806687</v>
      </c>
      <c r="O647">
        <v>0</v>
      </c>
    </row>
    <row r="648" spans="1:15" ht="16" thickBot="1" x14ac:dyDescent="0.25">
      <c r="A648" s="15">
        <v>2</v>
      </c>
      <c r="B648">
        <f t="shared" si="10"/>
        <v>1</v>
      </c>
      <c r="C648">
        <f>IF(ISBLANK(H648),"",VLOOKUP(H648,Code!B:C,2,FALSE))</f>
        <v>2</v>
      </c>
      <c r="D648">
        <v>2021</v>
      </c>
      <c r="E648">
        <v>209542</v>
      </c>
      <c r="F648" t="s">
        <v>183</v>
      </c>
      <c r="G648" t="s">
        <v>290</v>
      </c>
      <c r="H648" t="s">
        <v>1</v>
      </c>
      <c r="I648" cm="1">
        <f t="array" ref="I648">IF(B648=0,INDEX('Category 14'!F:F,MATCH(C648&amp;E648&amp;D648,'Category 14'!B:B&amp;'Category 14'!C:C&amp;'Category 14'!A:A,0)),INDEX('Category 14'!G:G,MATCH(C648&amp;E648&amp;D648,'Category 14'!B:B&amp;'Category 14'!C:C&amp;'Category 14'!A:A,0)))</f>
        <v>0</v>
      </c>
      <c r="J648">
        <f>I648/VLOOKUP($D648,CPI!$P$16:$R$22,3,FALSE)</f>
        <v>0</v>
      </c>
      <c r="K648" cm="1">
        <f t="array" ref="K648">IF(B648=0,INDEX('Category 15'!F:F,MATCH(C648&amp;E648&amp;D648,'Category 15'!B:B&amp;'Category 15'!C:C&amp;'Category 15'!A:A,0)),INDEX('Category 15'!G:G,MATCH(C648&amp;E648&amp;D648,'Category 15'!B:B&amp;'Category 31'!C:C&amp;'Category 15'!A:A,0)))</f>
        <v>0</v>
      </c>
      <c r="L648">
        <f>K648/VLOOKUP($D648,CPI!$P$16:$R$22,3,FALSE)</f>
        <v>0</v>
      </c>
      <c r="M648" s="16" cm="1">
        <f t="array" ref="M648">IF(B648=0,INDEX('Category 31'!F:F,MATCH(C648&amp;E648&amp;D648,'Category 31'!B:B&amp;'Category 31'!C:C&amp;'Category 31'!A:A,0)),INDEX('Category 31'!G:G,MATCH(C648&amp;E648&amp;D648,'Category 31'!B:B&amp;'Category 31'!C:C&amp;'Category 31'!A:A,0)))</f>
        <v>127695</v>
      </c>
      <c r="N648" s="16">
        <f>M648/VLOOKUP($D648,CPI!$P$16:$R$22,3,FALSE)</f>
        <v>145423.77811366503</v>
      </c>
      <c r="O648">
        <f>VLOOKUP(E648,WBasketball!C:S,10,FALSE)</f>
        <v>0</v>
      </c>
    </row>
    <row r="649" spans="1:15" ht="16" thickBot="1" x14ac:dyDescent="0.25">
      <c r="A649" s="15">
        <v>2</v>
      </c>
      <c r="B649">
        <f t="shared" si="10"/>
        <v>1</v>
      </c>
      <c r="C649">
        <f>IF(ISBLANK(H649),"",VLOOKUP(H649,Code!B:C,2,FALSE))</f>
        <v>9</v>
      </c>
      <c r="D649">
        <v>2021</v>
      </c>
      <c r="E649">
        <v>209542</v>
      </c>
      <c r="F649" t="s">
        <v>183</v>
      </c>
      <c r="G649" t="s">
        <v>290</v>
      </c>
      <c r="H649" t="s">
        <v>3</v>
      </c>
      <c r="I649" cm="1">
        <f t="array" ref="I649">IF(B649=0,INDEX('Category 14'!F:F,MATCH(C649&amp;E649&amp;D649,'Category 14'!B:B&amp;'Category 14'!C:C&amp;'Category 14'!A:A,0)),INDEX('Category 14'!G:G,MATCH(C649&amp;E649&amp;D649,'Category 14'!B:B&amp;'Category 14'!C:C&amp;'Category 14'!A:A,0)))</f>
        <v>0</v>
      </c>
      <c r="J649">
        <f>I649/VLOOKUP($D649,CPI!$P$16:$R$22,3,FALSE)</f>
        <v>0</v>
      </c>
      <c r="K649" cm="1">
        <f t="array" ref="K649">IF(B649=0,INDEX('Category 15'!F:F,MATCH(C649&amp;E649&amp;D649,'Category 15'!B:B&amp;'Category 15'!C:C&amp;'Category 15'!A:A,0)),INDEX('Category 15'!G:G,MATCH(C649&amp;E649&amp;D649,'Category 15'!B:B&amp;'Category 31'!C:C&amp;'Category 15'!A:A,0)))</f>
        <v>0</v>
      </c>
      <c r="L649">
        <f>K649/VLOOKUP($D649,CPI!$P$16:$R$22,3,FALSE)</f>
        <v>0</v>
      </c>
      <c r="M649" s="16" cm="1">
        <f t="array" ref="M649">IF(B649=0,INDEX('Category 31'!F:F,MATCH(C649&amp;E649&amp;D649,'Category 31'!B:B&amp;'Category 31'!C:C&amp;'Category 31'!A:A,0)),INDEX('Category 31'!G:G,MATCH(C649&amp;E649&amp;D649,'Category 31'!B:B&amp;'Category 31'!C:C&amp;'Category 31'!A:A,0)))</f>
        <v>1306</v>
      </c>
      <c r="N649" s="16">
        <f>M649/VLOOKUP($D649,CPI!$P$16:$R$22,3,FALSE)</f>
        <v>1487.3209931199071</v>
      </c>
      <c r="O649">
        <v>0</v>
      </c>
    </row>
    <row r="650" spans="1:15" ht="16" thickBot="1" x14ac:dyDescent="0.25">
      <c r="A650" s="15">
        <v>2</v>
      </c>
      <c r="B650">
        <f t="shared" si="10"/>
        <v>1</v>
      </c>
      <c r="C650">
        <f>IF(ISBLANK(H650),"",VLOOKUP(H650,Code!B:C,2,FALSE))</f>
        <v>10</v>
      </c>
      <c r="D650">
        <v>2021</v>
      </c>
      <c r="E650">
        <v>209542</v>
      </c>
      <c r="F650" t="s">
        <v>183</v>
      </c>
      <c r="G650" t="s">
        <v>290</v>
      </c>
      <c r="H650" t="s">
        <v>4</v>
      </c>
      <c r="I650" cm="1">
        <f t="array" ref="I650">IF(B650=0,INDEX('Category 14'!F:F,MATCH(C650&amp;E650&amp;D650,'Category 14'!B:B&amp;'Category 14'!C:C&amp;'Category 14'!A:A,0)),INDEX('Category 14'!G:G,MATCH(C650&amp;E650&amp;D650,'Category 14'!B:B&amp;'Category 14'!C:C&amp;'Category 14'!A:A,0)))</f>
        <v>0</v>
      </c>
      <c r="J650">
        <f>I650/VLOOKUP($D650,CPI!$P$16:$R$22,3,FALSE)</f>
        <v>0</v>
      </c>
      <c r="K650" cm="1">
        <f t="array" ref="K650">IF(B650=0,INDEX('Category 15'!F:F,MATCH(C650&amp;E650&amp;D650,'Category 15'!B:B&amp;'Category 15'!C:C&amp;'Category 15'!A:A,0)),INDEX('Category 15'!G:G,MATCH(C650&amp;E650&amp;D650,'Category 15'!B:B&amp;'Category 31'!C:C&amp;'Category 15'!A:A,0)))</f>
        <v>0</v>
      </c>
      <c r="L650">
        <f>K650/VLOOKUP($D650,CPI!$P$16:$R$22,3,FALSE)</f>
        <v>0</v>
      </c>
      <c r="M650" s="16" cm="1">
        <f t="array" ref="M650">IF(B650=0,INDEX('Category 31'!F:F,MATCH(C650&amp;E650&amp;D650,'Category 31'!B:B&amp;'Category 31'!C:C&amp;'Category 31'!A:A,0)),INDEX('Category 31'!G:G,MATCH(C650&amp;E650&amp;D650,'Category 31'!B:B&amp;'Category 31'!C:C&amp;'Category 31'!A:A,0)))</f>
        <v>5589</v>
      </c>
      <c r="N650" s="16">
        <f>M650/VLOOKUP($D650,CPI!$P$16:$R$22,3,FALSE)</f>
        <v>6364.9594414603071</v>
      </c>
      <c r="O650">
        <v>0</v>
      </c>
    </row>
    <row r="651" spans="1:15" ht="16" thickBot="1" x14ac:dyDescent="0.25">
      <c r="A651" s="15">
        <v>2</v>
      </c>
      <c r="B651">
        <f t="shared" si="10"/>
        <v>1</v>
      </c>
      <c r="C651">
        <f>IF(ISBLANK(H651),"",VLOOKUP(H651,Code!B:C,2,FALSE))</f>
        <v>14</v>
      </c>
      <c r="D651">
        <v>2021</v>
      </c>
      <c r="E651">
        <v>209542</v>
      </c>
      <c r="F651" t="s">
        <v>183</v>
      </c>
      <c r="G651" t="s">
        <v>290</v>
      </c>
      <c r="H651" t="s">
        <v>29</v>
      </c>
      <c r="I651" cm="1">
        <f t="array" ref="I651">IF(B651=0,INDEX('Category 14'!F:F,MATCH(C651&amp;E651&amp;D651,'Category 14'!B:B&amp;'Category 14'!C:C&amp;'Category 14'!A:A,0)),INDEX('Category 14'!G:G,MATCH(C651&amp;E651&amp;D651,'Category 14'!B:B&amp;'Category 14'!C:C&amp;'Category 14'!A:A,0)))</f>
        <v>0</v>
      </c>
      <c r="J651">
        <f>I651/VLOOKUP($D651,CPI!$P$16:$R$22,3,FALSE)</f>
        <v>0</v>
      </c>
      <c r="K651" cm="1">
        <f t="array" ref="K651">IF(B651=0,INDEX('Category 15'!F:F,MATCH(C651&amp;E651&amp;D651,'Category 15'!B:B&amp;'Category 15'!C:C&amp;'Category 15'!A:A,0)),INDEX('Category 15'!G:G,MATCH(C651&amp;E651&amp;D651,'Category 15'!B:B&amp;'Category 31'!C:C&amp;'Category 15'!A:A,0)))</f>
        <v>0</v>
      </c>
      <c r="L651">
        <f>K651/VLOOKUP($D651,CPI!$P$16:$R$22,3,FALSE)</f>
        <v>0</v>
      </c>
      <c r="M651" s="16" cm="1">
        <f t="array" ref="M651">IF(B651=0,INDEX('Category 31'!F:F,MATCH(C651&amp;E651&amp;D651,'Category 31'!B:B&amp;'Category 31'!C:C&amp;'Category 31'!A:A,0)),INDEX('Category 31'!G:G,MATCH(C651&amp;E651&amp;D651,'Category 31'!B:B&amp;'Category 31'!C:C&amp;'Category 31'!A:A,0)))</f>
        <v>5068</v>
      </c>
      <c r="N651" s="16">
        <f>M651/VLOOKUP($D651,CPI!$P$16:$R$22,3,FALSE)</f>
        <v>5771.6254158741876</v>
      </c>
      <c r="O651">
        <v>0</v>
      </c>
    </row>
    <row r="652" spans="1:15" ht="16" thickBot="1" x14ac:dyDescent="0.25">
      <c r="A652" s="15">
        <v>2</v>
      </c>
      <c r="B652">
        <f t="shared" si="10"/>
        <v>1</v>
      </c>
      <c r="C652">
        <f>IF(ISBLANK(H652),"",VLOOKUP(H652,Code!B:C,2,FALSE))</f>
        <v>17</v>
      </c>
      <c r="D652">
        <v>2021</v>
      </c>
      <c r="E652">
        <v>209542</v>
      </c>
      <c r="F652" t="s">
        <v>183</v>
      </c>
      <c r="G652" t="s">
        <v>290</v>
      </c>
      <c r="H652" t="s">
        <v>5</v>
      </c>
      <c r="I652" cm="1">
        <f t="array" ref="I652">IF(B652=0,INDEX('Category 14'!F:F,MATCH(C652&amp;E652&amp;D652,'Category 14'!B:B&amp;'Category 14'!C:C&amp;'Category 14'!A:A,0)),INDEX('Category 14'!G:G,MATCH(C652&amp;E652&amp;D652,'Category 14'!B:B&amp;'Category 14'!C:C&amp;'Category 14'!A:A,0)))</f>
        <v>0</v>
      </c>
      <c r="J652">
        <f>I652/VLOOKUP($D652,CPI!$P$16:$R$22,3,FALSE)</f>
        <v>0</v>
      </c>
      <c r="K652" cm="1">
        <f t="array" ref="K652">IF(B652=0,INDEX('Category 15'!F:F,MATCH(C652&amp;E652&amp;D652,'Category 15'!B:B&amp;'Category 15'!C:C&amp;'Category 15'!A:A,0)),INDEX('Category 15'!G:G,MATCH(C652&amp;E652&amp;D652,'Category 15'!B:B&amp;'Category 31'!C:C&amp;'Category 15'!A:A,0)))</f>
        <v>0</v>
      </c>
      <c r="L652">
        <f>K652/VLOOKUP($D652,CPI!$P$16:$R$22,3,FALSE)</f>
        <v>0</v>
      </c>
      <c r="M652" s="16" cm="1">
        <f t="array" ref="M652">IF(B652=0,INDEX('Category 31'!F:F,MATCH(C652&amp;E652&amp;D652,'Category 31'!B:B&amp;'Category 31'!C:C&amp;'Category 31'!A:A,0)),INDEX('Category 31'!G:G,MATCH(C652&amp;E652&amp;D652,'Category 31'!B:B&amp;'Category 31'!C:C&amp;'Category 31'!A:A,0)))</f>
        <v>5000</v>
      </c>
      <c r="N652" s="16">
        <f>M652/VLOOKUP($D652,CPI!$P$16:$R$22,3,FALSE)</f>
        <v>5694.1845065846373</v>
      </c>
      <c r="O652">
        <f>VLOOKUP(E652,WSoccer!C:S,10,FALSE)</f>
        <v>316</v>
      </c>
    </row>
    <row r="653" spans="1:15" ht="16" thickBot="1" x14ac:dyDescent="0.25">
      <c r="A653" s="15">
        <v>2</v>
      </c>
      <c r="B653">
        <f t="shared" si="10"/>
        <v>1</v>
      </c>
      <c r="C653">
        <f>IF(ISBLANK(H653),"",VLOOKUP(H653,Code!B:C,2,FALSE))</f>
        <v>18</v>
      </c>
      <c r="D653">
        <v>2021</v>
      </c>
      <c r="E653">
        <v>209542</v>
      </c>
      <c r="F653" t="s">
        <v>183</v>
      </c>
      <c r="G653" t="s">
        <v>290</v>
      </c>
      <c r="H653" t="s">
        <v>6</v>
      </c>
      <c r="I653" cm="1">
        <f t="array" ref="I653">IF(B653=0,INDEX('Category 14'!F:F,MATCH(C653&amp;E653&amp;D653,'Category 14'!B:B&amp;'Category 14'!C:C&amp;'Category 14'!A:A,0)),INDEX('Category 14'!G:G,MATCH(C653&amp;E653&amp;D653,'Category 14'!B:B&amp;'Category 14'!C:C&amp;'Category 14'!A:A,0)))</f>
        <v>0</v>
      </c>
      <c r="J653">
        <f>I653/VLOOKUP($D653,CPI!$P$16:$R$22,3,FALSE)</f>
        <v>0</v>
      </c>
      <c r="K653" cm="1">
        <f t="array" ref="K653">IF(B653=0,INDEX('Category 15'!F:F,MATCH(C653&amp;E653&amp;D653,'Category 15'!B:B&amp;'Category 15'!C:C&amp;'Category 15'!A:A,0)),INDEX('Category 15'!G:G,MATCH(C653&amp;E653&amp;D653,'Category 15'!B:B&amp;'Category 31'!C:C&amp;'Category 15'!A:A,0)))</f>
        <v>0</v>
      </c>
      <c r="L653">
        <f>K653/VLOOKUP($D653,CPI!$P$16:$R$22,3,FALSE)</f>
        <v>0</v>
      </c>
      <c r="M653" s="16" cm="1">
        <f t="array" ref="M653">IF(B653=0,INDEX('Category 31'!F:F,MATCH(C653&amp;E653&amp;D653,'Category 31'!B:B&amp;'Category 31'!C:C&amp;'Category 31'!A:A,0)),INDEX('Category 31'!G:G,MATCH(C653&amp;E653&amp;D653,'Category 31'!B:B&amp;'Category 31'!C:C&amp;'Category 31'!A:A,0)))</f>
        <v>4509</v>
      </c>
      <c r="N653" s="16">
        <f>M653/VLOOKUP($D653,CPI!$P$16:$R$22,3,FALSE)</f>
        <v>5135.0155880380253</v>
      </c>
      <c r="O653">
        <f>VLOOKUP(E653,WSoftball!C:S,10,FALSE)</f>
        <v>1394</v>
      </c>
    </row>
    <row r="654" spans="1:15" ht="16" thickBot="1" x14ac:dyDescent="0.25">
      <c r="A654" s="15">
        <v>2</v>
      </c>
      <c r="B654">
        <f t="shared" si="10"/>
        <v>1</v>
      </c>
      <c r="C654">
        <f>IF(ISBLANK(H654),"",VLOOKUP(H654,Code!B:C,2,FALSE))</f>
        <v>21</v>
      </c>
      <c r="D654">
        <v>2021</v>
      </c>
      <c r="E654">
        <v>209542</v>
      </c>
      <c r="F654" t="s">
        <v>183</v>
      </c>
      <c r="G654" t="s">
        <v>290</v>
      </c>
      <c r="H654" t="s">
        <v>36</v>
      </c>
      <c r="I654" cm="1">
        <f t="array" ref="I654">IF(B654=0,INDEX('Category 14'!F:F,MATCH(C654&amp;E654&amp;D654,'Category 14'!B:B&amp;'Category 14'!C:C&amp;'Category 14'!A:A,0)),INDEX('Category 14'!G:G,MATCH(C654&amp;E654&amp;D654,'Category 14'!B:B&amp;'Category 14'!C:C&amp;'Category 14'!A:A,0)))</f>
        <v>0</v>
      </c>
      <c r="J654">
        <f>I654/VLOOKUP($D654,CPI!$P$16:$R$22,3,FALSE)</f>
        <v>0</v>
      </c>
      <c r="K654" cm="1">
        <f t="array" ref="K654">IF(B654=0,INDEX('Category 15'!F:F,MATCH(C654&amp;E654&amp;D654,'Category 15'!B:B&amp;'Category 15'!C:C&amp;'Category 15'!A:A,0)),INDEX('Category 15'!G:G,MATCH(C654&amp;E654&amp;D654,'Category 15'!B:B&amp;'Category 31'!C:C&amp;'Category 15'!A:A,0)))</f>
        <v>0</v>
      </c>
      <c r="L654">
        <f>K654/VLOOKUP($D654,CPI!$P$16:$R$22,3,FALSE)</f>
        <v>0</v>
      </c>
      <c r="M654" s="16" cm="1">
        <f t="array" ref="M654">IF(B654=0,INDEX('Category 31'!F:F,MATCH(C654&amp;E654&amp;D654,'Category 31'!B:B&amp;'Category 31'!C:C&amp;'Category 31'!A:A,0)),INDEX('Category 31'!G:G,MATCH(C654&amp;E654&amp;D654,'Category 31'!B:B&amp;'Category 31'!C:C&amp;'Category 31'!A:A,0)))</f>
        <v>0</v>
      </c>
      <c r="N654" s="16">
        <f>M654/VLOOKUP($D654,CPI!$P$16:$R$22,3,FALSE)</f>
        <v>0</v>
      </c>
      <c r="O654">
        <v>0</v>
      </c>
    </row>
    <row r="655" spans="1:15" ht="16" thickBot="1" x14ac:dyDescent="0.25">
      <c r="A655" s="15">
        <v>2</v>
      </c>
      <c r="B655">
        <f t="shared" si="10"/>
        <v>1</v>
      </c>
      <c r="C655">
        <f>IF(ISBLANK(H655),"",VLOOKUP(H655,Code!B:C,2,FALSE))</f>
        <v>23</v>
      </c>
      <c r="D655">
        <v>2021</v>
      </c>
      <c r="E655">
        <v>209542</v>
      </c>
      <c r="F655" t="s">
        <v>183</v>
      </c>
      <c r="G655" t="s">
        <v>290</v>
      </c>
      <c r="H655" t="s">
        <v>10</v>
      </c>
      <c r="I655" cm="1">
        <f t="array" ref="I655">IF(B655=0,INDEX('Category 14'!F:F,MATCH(C655&amp;E655&amp;D655,'Category 14'!B:B&amp;'Category 14'!C:C&amp;'Category 14'!A:A,0)),INDEX('Category 14'!G:G,MATCH(C655&amp;E655&amp;D655,'Category 14'!B:B&amp;'Category 14'!C:C&amp;'Category 14'!A:A,0)))</f>
        <v>0</v>
      </c>
      <c r="J655">
        <f>I655/VLOOKUP($D655,CPI!$P$16:$R$22,3,FALSE)</f>
        <v>0</v>
      </c>
      <c r="K655" cm="1">
        <f t="array" ref="K655">IF(B655=0,INDEX('Category 15'!F:F,MATCH(C655&amp;E655&amp;D655,'Category 15'!B:B&amp;'Category 15'!C:C&amp;'Category 15'!A:A,0)),INDEX('Category 15'!G:G,MATCH(C655&amp;E655&amp;D655,'Category 15'!B:B&amp;'Category 31'!C:C&amp;'Category 15'!A:A,0)))</f>
        <v>0</v>
      </c>
      <c r="L655">
        <f>K655/VLOOKUP($D655,CPI!$P$16:$R$22,3,FALSE)</f>
        <v>0</v>
      </c>
      <c r="M655" s="16" cm="1">
        <f t="array" ref="M655">IF(B655=0,INDEX('Category 31'!F:F,MATCH(C655&amp;E655&amp;D655,'Category 31'!B:B&amp;'Category 31'!C:C&amp;'Category 31'!A:A,0)),INDEX('Category 31'!G:G,MATCH(C655&amp;E655&amp;D655,'Category 31'!B:B&amp;'Category 31'!C:C&amp;'Category 31'!A:A,0)))</f>
        <v>5243</v>
      </c>
      <c r="N655" s="16">
        <f>M655/VLOOKUP($D655,CPI!$P$16:$R$22,3,FALSE)</f>
        <v>5970.9218736046505</v>
      </c>
      <c r="O655">
        <f>VLOOKUP(E655,WVolleyball!C:S,10,FALSE)</f>
        <v>1</v>
      </c>
    </row>
    <row r="656" spans="1:15" ht="16" thickBot="1" x14ac:dyDescent="0.25">
      <c r="A656" s="15">
        <v>2</v>
      </c>
      <c r="B656">
        <f t="shared" si="10"/>
        <v>0</v>
      </c>
      <c r="C656">
        <f>IF(ISBLANK(H656),"",VLOOKUP(H656,Code!B:C,2,FALSE))</f>
        <v>1</v>
      </c>
      <c r="D656">
        <v>2022</v>
      </c>
      <c r="E656">
        <v>209542</v>
      </c>
      <c r="F656" t="s">
        <v>183</v>
      </c>
      <c r="G656" t="s">
        <v>289</v>
      </c>
      <c r="H656" t="s">
        <v>0</v>
      </c>
      <c r="I656" cm="1">
        <f t="array" ref="I656">IF(B656=0,INDEX('Category 14'!F:F,MATCH(C656&amp;E656&amp;D656,'Category 14'!B:B&amp;'Category 14'!C:C&amp;'Category 14'!A:A,0)),INDEX('Category 14'!G:G,MATCH(C656&amp;E656&amp;D656,'Category 14'!B:B&amp;'Category 14'!C:C&amp;'Category 14'!A:A,0)))</f>
        <v>3463</v>
      </c>
      <c r="J656">
        <f>I656/VLOOKUP($D656,CPI!$P$16:$R$22,3,FALSE)</f>
        <v>3679.8542203705351</v>
      </c>
      <c r="K656" cm="1">
        <f t="array" ref="K656">IF(B656=0,INDEX('Category 15'!F:F,MATCH(C656&amp;E656&amp;D656,'Category 15'!B:B&amp;'Category 15'!C:C&amp;'Category 15'!A:A,0)),INDEX('Category 15'!G:G,MATCH(C656&amp;E656&amp;D656,'Category 15'!B:B&amp;'Category 31'!C:C&amp;'Category 15'!A:A,0)))</f>
        <v>0</v>
      </c>
      <c r="L656">
        <f>K656/VLOOKUP($D656,CPI!$P$16:$R$22,3,FALSE)</f>
        <v>0</v>
      </c>
      <c r="M656" s="16" cm="1">
        <f t="array" ref="M656">IF(B656=0,INDEX('Category 31'!F:F,MATCH(C656&amp;E656&amp;D656,'Category 31'!B:B&amp;'Category 31'!C:C&amp;'Category 31'!A:A,0)),INDEX('Category 31'!G:G,MATCH(C656&amp;E656&amp;D656,'Category 31'!B:B&amp;'Category 31'!C:C&amp;'Category 31'!A:A,0)))</f>
        <v>89940</v>
      </c>
      <c r="N656" s="16">
        <f>M656/VLOOKUP($D656,CPI!$P$16:$R$22,3,FALSE)</f>
        <v>95572.072936796409</v>
      </c>
      <c r="O656">
        <f>VLOOKUP(E656,MBaseball!C:R,11,FALSE)</f>
        <v>125100</v>
      </c>
    </row>
    <row r="657" spans="1:15" ht="16" thickBot="1" x14ac:dyDescent="0.25">
      <c r="A657" s="15">
        <v>2</v>
      </c>
      <c r="B657">
        <f t="shared" si="10"/>
        <v>0</v>
      </c>
      <c r="C657">
        <f>IF(ISBLANK(H657),"",VLOOKUP(H657,Code!B:C,2,FALSE))</f>
        <v>2</v>
      </c>
      <c r="D657">
        <v>2022</v>
      </c>
      <c r="E657">
        <v>209542</v>
      </c>
      <c r="F657" t="s">
        <v>183</v>
      </c>
      <c r="G657" t="s">
        <v>289</v>
      </c>
      <c r="H657" t="s">
        <v>1</v>
      </c>
      <c r="I657" cm="1">
        <f t="array" ref="I657">IF(B657=0,INDEX('Category 14'!F:F,MATCH(C657&amp;E657&amp;D657,'Category 14'!B:B&amp;'Category 14'!C:C&amp;'Category 14'!A:A,0)),INDEX('Category 14'!G:G,MATCH(C657&amp;E657&amp;D657,'Category 14'!B:B&amp;'Category 14'!C:C&amp;'Category 14'!A:A,0)))</f>
        <v>0</v>
      </c>
      <c r="J657">
        <f>I657/VLOOKUP($D657,CPI!$P$16:$R$22,3,FALSE)</f>
        <v>0</v>
      </c>
      <c r="K657" cm="1">
        <f t="array" ref="K657">IF(B657=0,INDEX('Category 15'!F:F,MATCH(C657&amp;E657&amp;D657,'Category 15'!B:B&amp;'Category 15'!C:C&amp;'Category 15'!A:A,0)),INDEX('Category 15'!G:G,MATCH(C657&amp;E657&amp;D657,'Category 15'!B:B&amp;'Category 31'!C:C&amp;'Category 15'!A:A,0)))</f>
        <v>0</v>
      </c>
      <c r="L657">
        <f>K657/VLOOKUP($D657,CPI!$P$16:$R$22,3,FALSE)</f>
        <v>0</v>
      </c>
      <c r="M657" s="16" cm="1">
        <f t="array" ref="M657">IF(B657=0,INDEX('Category 31'!F:F,MATCH(C657&amp;E657&amp;D657,'Category 31'!B:B&amp;'Category 31'!C:C&amp;'Category 31'!A:A,0)),INDEX('Category 31'!G:G,MATCH(C657&amp;E657&amp;D657,'Category 31'!B:B&amp;'Category 31'!C:C&amp;'Category 31'!A:A,0)))</f>
        <v>47518</v>
      </c>
      <c r="N657" s="16">
        <f>M657/VLOOKUP($D657,CPI!$P$16:$R$22,3,FALSE)</f>
        <v>50493.593082173575</v>
      </c>
      <c r="O657">
        <f>VLOOKUP(E657,MBasketball!C:S,11,FALSE)</f>
        <v>58648</v>
      </c>
    </row>
    <row r="658" spans="1:15" ht="16" thickBot="1" x14ac:dyDescent="0.25">
      <c r="A658" s="15">
        <v>2</v>
      </c>
      <c r="B658">
        <f t="shared" si="10"/>
        <v>0</v>
      </c>
      <c r="C658">
        <f>IF(ISBLANK(H658),"",VLOOKUP(H658,Code!B:C,2,FALSE))</f>
        <v>8</v>
      </c>
      <c r="D658">
        <v>2022</v>
      </c>
      <c r="E658">
        <v>209542</v>
      </c>
      <c r="F658" t="s">
        <v>183</v>
      </c>
      <c r="G658" t="s">
        <v>289</v>
      </c>
      <c r="H658" t="s">
        <v>2</v>
      </c>
      <c r="I658" cm="1">
        <f t="array" ref="I658">IF(B658=0,INDEX('Category 14'!F:F,MATCH(C658&amp;E658&amp;D658,'Category 14'!B:B&amp;'Category 14'!C:C&amp;'Category 14'!A:A,0)),INDEX('Category 14'!G:G,MATCH(C658&amp;E658&amp;D658,'Category 14'!B:B&amp;'Category 14'!C:C&amp;'Category 14'!A:A,0)))</f>
        <v>81705</v>
      </c>
      <c r="J658">
        <f>I658/VLOOKUP($D658,CPI!$P$16:$R$22,3,FALSE)</f>
        <v>86821.394477439957</v>
      </c>
      <c r="K658" cm="1">
        <f t="array" ref="K658">IF(B658=0,INDEX('Category 15'!F:F,MATCH(C658&amp;E658&amp;D658,'Category 15'!B:B&amp;'Category 15'!C:C&amp;'Category 15'!A:A,0)),INDEX('Category 15'!G:G,MATCH(C658&amp;E658&amp;D658,'Category 15'!B:B&amp;'Category 31'!C:C&amp;'Category 15'!A:A,0)))</f>
        <v>0</v>
      </c>
      <c r="L658">
        <f>K658/VLOOKUP($D658,CPI!$P$16:$R$22,3,FALSE)</f>
        <v>0</v>
      </c>
      <c r="M658" s="16" cm="1">
        <f t="array" ref="M658">IF(B658=0,INDEX('Category 31'!F:F,MATCH(C658&amp;E658&amp;D658,'Category 31'!B:B&amp;'Category 31'!C:C&amp;'Category 31'!A:A,0)),INDEX('Category 31'!G:G,MATCH(C658&amp;E658&amp;D658,'Category 31'!B:B&amp;'Category 31'!C:C&amp;'Category 31'!A:A,0)))</f>
        <v>180086</v>
      </c>
      <c r="N658" s="16">
        <f>M658/VLOOKUP($D658,CPI!$P$16:$R$22,3,FALSE)</f>
        <v>191363.04566261859</v>
      </c>
      <c r="O658">
        <f>VLOOKUP(E658,MFootball!C:S,11,FALSE)</f>
        <v>183142</v>
      </c>
    </row>
    <row r="659" spans="1:15" ht="16" thickBot="1" x14ac:dyDescent="0.25">
      <c r="A659" s="15">
        <v>2</v>
      </c>
      <c r="B659">
        <f t="shared" si="10"/>
        <v>0</v>
      </c>
      <c r="C659">
        <f>IF(ISBLANK(H659),"",VLOOKUP(H659,Code!B:C,2,FALSE))</f>
        <v>9</v>
      </c>
      <c r="D659">
        <v>2022</v>
      </c>
      <c r="E659">
        <v>209542</v>
      </c>
      <c r="F659" t="s">
        <v>183</v>
      </c>
      <c r="G659" t="s">
        <v>289</v>
      </c>
      <c r="H659" t="s">
        <v>3</v>
      </c>
      <c r="I659" cm="1">
        <f t="array" ref="I659">IF(B659=0,INDEX('Category 14'!F:F,MATCH(C659&amp;E659&amp;D659,'Category 14'!B:B&amp;'Category 14'!C:C&amp;'Category 14'!A:A,0)),INDEX('Category 14'!G:G,MATCH(C659&amp;E659&amp;D659,'Category 14'!B:B&amp;'Category 14'!C:C&amp;'Category 14'!A:A,0)))</f>
        <v>0</v>
      </c>
      <c r="J659">
        <f>I659/VLOOKUP($D659,CPI!$P$16:$R$22,3,FALSE)</f>
        <v>0</v>
      </c>
      <c r="K659" cm="1">
        <f t="array" ref="K659">IF(B659=0,INDEX('Category 15'!F:F,MATCH(C659&amp;E659&amp;D659,'Category 15'!B:B&amp;'Category 15'!C:C&amp;'Category 15'!A:A,0)),INDEX('Category 15'!G:G,MATCH(C659&amp;E659&amp;D659,'Category 15'!B:B&amp;'Category 31'!C:C&amp;'Category 15'!A:A,0)))</f>
        <v>0</v>
      </c>
      <c r="L659">
        <f>K659/VLOOKUP($D659,CPI!$P$16:$R$22,3,FALSE)</f>
        <v>0</v>
      </c>
      <c r="M659" s="16" cm="1">
        <f t="array" ref="M659">IF(B659=0,INDEX('Category 31'!F:F,MATCH(C659&amp;E659&amp;D659,'Category 31'!B:B&amp;'Category 31'!C:C&amp;'Category 31'!A:A,0)),INDEX('Category 31'!G:G,MATCH(C659&amp;E659&amp;D659,'Category 31'!B:B&amp;'Category 31'!C:C&amp;'Category 31'!A:A,0)))</f>
        <v>7844</v>
      </c>
      <c r="N659" s="16">
        <f>M659/VLOOKUP($D659,CPI!$P$16:$R$22,3,FALSE)</f>
        <v>8335.1939083414618</v>
      </c>
      <c r="O659">
        <v>0</v>
      </c>
    </row>
    <row r="660" spans="1:15" ht="16" thickBot="1" x14ac:dyDescent="0.25">
      <c r="A660" s="15">
        <v>2</v>
      </c>
      <c r="B660">
        <f t="shared" si="10"/>
        <v>0</v>
      </c>
      <c r="C660">
        <f>IF(ISBLANK(H660),"",VLOOKUP(H660,Code!B:C,2,FALSE))</f>
        <v>17</v>
      </c>
      <c r="D660">
        <v>2022</v>
      </c>
      <c r="E660">
        <v>209542</v>
      </c>
      <c r="F660" t="s">
        <v>183</v>
      </c>
      <c r="G660" t="s">
        <v>289</v>
      </c>
      <c r="H660" t="s">
        <v>5</v>
      </c>
      <c r="I660" cm="1">
        <f t="array" ref="I660">IF(B660=0,INDEX('Category 14'!F:F,MATCH(C660&amp;E660&amp;D660,'Category 14'!B:B&amp;'Category 14'!C:C&amp;'Category 14'!A:A,0)),INDEX('Category 14'!G:G,MATCH(C660&amp;E660&amp;D660,'Category 14'!B:B&amp;'Category 14'!C:C&amp;'Category 14'!A:A,0)))</f>
        <v>157</v>
      </c>
      <c r="J660">
        <f>I660/VLOOKUP($D660,CPI!$P$16:$R$22,3,FALSE)</f>
        <v>166.83139260703842</v>
      </c>
      <c r="K660" cm="1">
        <f t="array" ref="K660">IF(B660=0,INDEX('Category 15'!F:F,MATCH(C660&amp;E660&amp;D660,'Category 15'!B:B&amp;'Category 15'!C:C&amp;'Category 15'!A:A,0)),INDEX('Category 15'!G:G,MATCH(C660&amp;E660&amp;D660,'Category 15'!B:B&amp;'Category 31'!C:C&amp;'Category 15'!A:A,0)))</f>
        <v>0</v>
      </c>
      <c r="L660">
        <f>K660/VLOOKUP($D660,CPI!$P$16:$R$22,3,FALSE)</f>
        <v>0</v>
      </c>
      <c r="M660" s="16" cm="1">
        <f t="array" ref="M660">IF(B660=0,INDEX('Category 31'!F:F,MATCH(C660&amp;E660&amp;D660,'Category 31'!B:B&amp;'Category 31'!C:C&amp;'Category 31'!A:A,0)),INDEX('Category 31'!G:G,MATCH(C660&amp;E660&amp;D660,'Category 31'!B:B&amp;'Category 31'!C:C&amp;'Category 31'!A:A,0)))</f>
        <v>3889</v>
      </c>
      <c r="N660" s="16">
        <f>M660/VLOOKUP($D660,CPI!$P$16:$R$22,3,FALSE)</f>
        <v>4132.5304831131998</v>
      </c>
      <c r="O660">
        <f>VLOOKUP(E660,MSoccer!C:S,11,FALSE)</f>
        <v>9951</v>
      </c>
    </row>
    <row r="661" spans="1:15" ht="16" thickBot="1" x14ac:dyDescent="0.25">
      <c r="A661" s="15">
        <v>2</v>
      </c>
      <c r="B661">
        <f t="shared" si="10"/>
        <v>0</v>
      </c>
      <c r="C661">
        <f>IF(ISBLANK(H661),"",VLOOKUP(H661,Code!B:C,2,FALSE))</f>
        <v>25</v>
      </c>
      <c r="D661">
        <v>2022</v>
      </c>
      <c r="E661">
        <v>209542</v>
      </c>
      <c r="F661" t="s">
        <v>183</v>
      </c>
      <c r="G661" t="s">
        <v>289</v>
      </c>
      <c r="H661" t="s">
        <v>35</v>
      </c>
      <c r="I661" cm="1">
        <f t="array" ref="I661">IF(B661=0,INDEX('Category 14'!F:F,MATCH(C661&amp;E661&amp;D661,'Category 14'!B:B&amp;'Category 14'!C:C&amp;'Category 14'!A:A,0)),INDEX('Category 14'!G:G,MATCH(C661&amp;E661&amp;D661,'Category 14'!B:B&amp;'Category 14'!C:C&amp;'Category 14'!A:A,0)))</f>
        <v>0</v>
      </c>
      <c r="J661">
        <f>I661/VLOOKUP($D661,CPI!$P$16:$R$22,3,FALSE)</f>
        <v>0</v>
      </c>
      <c r="K661" cm="1">
        <f t="array" ref="K661">IF(B661=0,INDEX('Category 15'!F:F,MATCH(C661&amp;E661&amp;D661,'Category 15'!B:B&amp;'Category 15'!C:C&amp;'Category 15'!A:A,0)),INDEX('Category 15'!G:G,MATCH(C661&amp;E661&amp;D661,'Category 15'!B:B&amp;'Category 31'!C:C&amp;'Category 15'!A:A,0)))</f>
        <v>0</v>
      </c>
      <c r="L661">
        <f>K661/VLOOKUP($D661,CPI!$P$16:$R$22,3,FALSE)</f>
        <v>0</v>
      </c>
      <c r="M661" s="16" cm="1">
        <f t="array" ref="M661">IF(B661=0,INDEX('Category 31'!F:F,MATCH(C661&amp;E661&amp;D661,'Category 31'!B:B&amp;'Category 31'!C:C&amp;'Category 31'!A:A,0)),INDEX('Category 31'!G:G,MATCH(C661&amp;E661&amp;D661,'Category 31'!B:B&amp;'Category 31'!C:C&amp;'Category 31'!A:A,0)))</f>
        <v>10451</v>
      </c>
      <c r="N661" s="16">
        <f>M661/VLOOKUP($D661,CPI!$P$16:$R$22,3,FALSE)</f>
        <v>11105.44512188636</v>
      </c>
      <c r="O661">
        <v>0</v>
      </c>
    </row>
    <row r="662" spans="1:15" ht="16" thickBot="1" x14ac:dyDescent="0.25">
      <c r="A662" s="15">
        <v>2</v>
      </c>
      <c r="B662">
        <f t="shared" si="10"/>
        <v>1</v>
      </c>
      <c r="C662">
        <f>IF(ISBLANK(H662),"",VLOOKUP(H662,Code!B:C,2,FALSE))</f>
        <v>2</v>
      </c>
      <c r="D662">
        <v>2022</v>
      </c>
      <c r="E662">
        <v>209542</v>
      </c>
      <c r="F662" t="s">
        <v>183</v>
      </c>
      <c r="G662" t="s">
        <v>290</v>
      </c>
      <c r="H662" t="s">
        <v>1</v>
      </c>
      <c r="I662" cm="1">
        <f t="array" ref="I662">IF(B662=0,INDEX('Category 14'!F:F,MATCH(C662&amp;E662&amp;D662,'Category 14'!B:B&amp;'Category 14'!C:C&amp;'Category 14'!A:A,0)),INDEX('Category 14'!G:G,MATCH(C662&amp;E662&amp;D662,'Category 14'!B:B&amp;'Category 14'!C:C&amp;'Category 14'!A:A,0)))</f>
        <v>0</v>
      </c>
      <c r="J662">
        <f>I662/VLOOKUP($D662,CPI!$P$16:$R$22,3,FALSE)</f>
        <v>0</v>
      </c>
      <c r="K662" cm="1">
        <f t="array" ref="K662">IF(B662=0,INDEX('Category 15'!F:F,MATCH(C662&amp;E662&amp;D662,'Category 15'!B:B&amp;'Category 15'!C:C&amp;'Category 15'!A:A,0)),INDEX('Category 15'!G:G,MATCH(C662&amp;E662&amp;D662,'Category 15'!B:B&amp;'Category 31'!C:C&amp;'Category 15'!A:A,0)))</f>
        <v>0</v>
      </c>
      <c r="L662">
        <f>K662/VLOOKUP($D662,CPI!$P$16:$R$22,3,FALSE)</f>
        <v>0</v>
      </c>
      <c r="M662" s="16" cm="1">
        <f t="array" ref="M662">IF(B662=0,INDEX('Category 31'!F:F,MATCH(C662&amp;E662&amp;D662,'Category 31'!B:B&amp;'Category 31'!C:C&amp;'Category 31'!A:A,0)),INDEX('Category 31'!G:G,MATCH(C662&amp;E662&amp;D662,'Category 31'!B:B&amp;'Category 31'!C:C&amp;'Category 31'!A:A,0)))</f>
        <v>43670</v>
      </c>
      <c r="N662" s="16">
        <f>M662/VLOOKUP($D662,CPI!$P$16:$R$22,3,FALSE)</f>
        <v>46404.630032798523</v>
      </c>
      <c r="O662">
        <f>VLOOKUP(E662,WBasketball!C:S,11,FALSE)</f>
        <v>58493</v>
      </c>
    </row>
    <row r="663" spans="1:15" ht="16" thickBot="1" x14ac:dyDescent="0.25">
      <c r="A663" s="15">
        <v>2</v>
      </c>
      <c r="B663">
        <f t="shared" si="10"/>
        <v>1</v>
      </c>
      <c r="C663">
        <f>IF(ISBLANK(H663),"",VLOOKUP(H663,Code!B:C,2,FALSE))</f>
        <v>9</v>
      </c>
      <c r="D663">
        <v>2022</v>
      </c>
      <c r="E663">
        <v>209542</v>
      </c>
      <c r="F663" t="s">
        <v>183</v>
      </c>
      <c r="G663" t="s">
        <v>290</v>
      </c>
      <c r="H663" t="s">
        <v>3</v>
      </c>
      <c r="I663" cm="1">
        <f t="array" ref="I663">IF(B663=0,INDEX('Category 14'!F:F,MATCH(C663&amp;E663&amp;D663,'Category 14'!B:B&amp;'Category 14'!C:C&amp;'Category 14'!A:A,0)),INDEX('Category 14'!G:G,MATCH(C663&amp;E663&amp;D663,'Category 14'!B:B&amp;'Category 14'!C:C&amp;'Category 14'!A:A,0)))</f>
        <v>0</v>
      </c>
      <c r="J663">
        <f>I663/VLOOKUP($D663,CPI!$P$16:$R$22,3,FALSE)</f>
        <v>0</v>
      </c>
      <c r="K663" cm="1">
        <f t="array" ref="K663">IF(B663=0,INDEX('Category 15'!F:F,MATCH(C663&amp;E663&amp;D663,'Category 15'!B:B&amp;'Category 15'!C:C&amp;'Category 15'!A:A,0)),INDEX('Category 15'!G:G,MATCH(C663&amp;E663&amp;D663,'Category 15'!B:B&amp;'Category 31'!C:C&amp;'Category 15'!A:A,0)))</f>
        <v>0</v>
      </c>
      <c r="L663">
        <f>K663/VLOOKUP($D663,CPI!$P$16:$R$22,3,FALSE)</f>
        <v>0</v>
      </c>
      <c r="M663" s="16" cm="1">
        <f t="array" ref="M663">IF(B663=0,INDEX('Category 31'!F:F,MATCH(C663&amp;E663&amp;D663,'Category 31'!B:B&amp;'Category 31'!C:C&amp;'Category 31'!A:A,0)),INDEX('Category 31'!G:G,MATCH(C663&amp;E663&amp;D663,'Category 31'!B:B&amp;'Category 31'!C:C&amp;'Category 31'!A:A,0)))</f>
        <v>1646</v>
      </c>
      <c r="N663" s="16">
        <f>M663/VLOOKUP($D663,CPI!$P$16:$R$22,3,FALSE)</f>
        <v>1749.0730715362117</v>
      </c>
      <c r="O663">
        <v>0</v>
      </c>
    </row>
    <row r="664" spans="1:15" ht="16" thickBot="1" x14ac:dyDescent="0.25">
      <c r="A664" s="15">
        <v>2</v>
      </c>
      <c r="B664">
        <f t="shared" si="10"/>
        <v>1</v>
      </c>
      <c r="C664">
        <f>IF(ISBLANK(H664),"",VLOOKUP(H664,Code!B:C,2,FALSE))</f>
        <v>10</v>
      </c>
      <c r="D664">
        <v>2022</v>
      </c>
      <c r="E664">
        <v>209542</v>
      </c>
      <c r="F664" t="s">
        <v>183</v>
      </c>
      <c r="G664" t="s">
        <v>290</v>
      </c>
      <c r="H664" t="s">
        <v>4</v>
      </c>
      <c r="I664" cm="1">
        <f t="array" ref="I664">IF(B664=0,INDEX('Category 14'!F:F,MATCH(C664&amp;E664&amp;D664,'Category 14'!B:B&amp;'Category 14'!C:C&amp;'Category 14'!A:A,0)),INDEX('Category 14'!G:G,MATCH(C664&amp;E664&amp;D664,'Category 14'!B:B&amp;'Category 14'!C:C&amp;'Category 14'!A:A,0)))</f>
        <v>0</v>
      </c>
      <c r="J664">
        <f>I664/VLOOKUP($D664,CPI!$P$16:$R$22,3,FALSE)</f>
        <v>0</v>
      </c>
      <c r="K664" cm="1">
        <f t="array" ref="K664">IF(B664=0,INDEX('Category 15'!F:F,MATCH(C664&amp;E664&amp;D664,'Category 15'!B:B&amp;'Category 15'!C:C&amp;'Category 15'!A:A,0)),INDEX('Category 15'!G:G,MATCH(C664&amp;E664&amp;D664,'Category 15'!B:B&amp;'Category 31'!C:C&amp;'Category 15'!A:A,0)))</f>
        <v>0</v>
      </c>
      <c r="L664">
        <f>K664/VLOOKUP($D664,CPI!$P$16:$R$22,3,FALSE)</f>
        <v>0</v>
      </c>
      <c r="M664" s="16" cm="1">
        <f t="array" ref="M664">IF(B664=0,INDEX('Category 31'!F:F,MATCH(C664&amp;E664&amp;D664,'Category 31'!B:B&amp;'Category 31'!C:C&amp;'Category 31'!A:A,0)),INDEX('Category 31'!G:G,MATCH(C664&amp;E664&amp;D664,'Category 31'!B:B&amp;'Category 31'!C:C&amp;'Category 31'!A:A,0)))</f>
        <v>10287</v>
      </c>
      <c r="N664" s="16">
        <f>M664/VLOOKUP($D664,CPI!$P$16:$R$22,3,FALSE)</f>
        <v>10931.175386933784</v>
      </c>
      <c r="O664">
        <v>0</v>
      </c>
    </row>
    <row r="665" spans="1:15" ht="16" thickBot="1" x14ac:dyDescent="0.25">
      <c r="A665" s="15">
        <v>2</v>
      </c>
      <c r="B665">
        <f t="shared" si="10"/>
        <v>1</v>
      </c>
      <c r="C665">
        <f>IF(ISBLANK(H665),"",VLOOKUP(H665,Code!B:C,2,FALSE))</f>
        <v>14</v>
      </c>
      <c r="D665">
        <v>2022</v>
      </c>
      <c r="E665">
        <v>209542</v>
      </c>
      <c r="F665" t="s">
        <v>183</v>
      </c>
      <c r="G665" t="s">
        <v>290</v>
      </c>
      <c r="H665" t="s">
        <v>29</v>
      </c>
      <c r="I665" cm="1">
        <f t="array" ref="I665">IF(B665=0,INDEX('Category 14'!F:F,MATCH(C665&amp;E665&amp;D665,'Category 14'!B:B&amp;'Category 14'!C:C&amp;'Category 14'!A:A,0)),INDEX('Category 14'!G:G,MATCH(C665&amp;E665&amp;D665,'Category 14'!B:B&amp;'Category 14'!C:C&amp;'Category 14'!A:A,0)))</f>
        <v>0</v>
      </c>
      <c r="J665">
        <f>I665/VLOOKUP($D665,CPI!$P$16:$R$22,3,FALSE)</f>
        <v>0</v>
      </c>
      <c r="K665" cm="1">
        <f t="array" ref="K665">IF(B665=0,INDEX('Category 15'!F:F,MATCH(C665&amp;E665&amp;D665,'Category 15'!B:B&amp;'Category 15'!C:C&amp;'Category 15'!A:A,0)),INDEX('Category 15'!G:G,MATCH(C665&amp;E665&amp;D665,'Category 15'!B:B&amp;'Category 31'!C:C&amp;'Category 15'!A:A,0)))</f>
        <v>0</v>
      </c>
      <c r="L665">
        <f>K665/VLOOKUP($D665,CPI!$P$16:$R$22,3,FALSE)</f>
        <v>0</v>
      </c>
      <c r="M665" s="16" cm="1">
        <f t="array" ref="M665">IF(B665=0,INDEX('Category 31'!F:F,MATCH(C665&amp;E665&amp;D665,'Category 31'!B:B&amp;'Category 31'!C:C&amp;'Category 31'!A:A,0)),INDEX('Category 31'!G:G,MATCH(C665&amp;E665&amp;D665,'Category 31'!B:B&amp;'Category 31'!C:C&amp;'Category 31'!A:A,0)))</f>
        <v>7139</v>
      </c>
      <c r="N665" s="16">
        <f>M665/VLOOKUP($D665,CPI!$P$16:$R$22,3,FALSE)</f>
        <v>7586.0465721124028</v>
      </c>
      <c r="O665">
        <v>0</v>
      </c>
    </row>
    <row r="666" spans="1:15" ht="16" thickBot="1" x14ac:dyDescent="0.25">
      <c r="A666" s="15">
        <v>2</v>
      </c>
      <c r="B666">
        <f t="shared" si="10"/>
        <v>1</v>
      </c>
      <c r="C666">
        <f>IF(ISBLANK(H666),"",VLOOKUP(H666,Code!B:C,2,FALSE))</f>
        <v>17</v>
      </c>
      <c r="D666">
        <v>2022</v>
      </c>
      <c r="E666">
        <v>209542</v>
      </c>
      <c r="F666" t="s">
        <v>183</v>
      </c>
      <c r="G666" t="s">
        <v>290</v>
      </c>
      <c r="H666" t="s">
        <v>5</v>
      </c>
      <c r="I666" cm="1">
        <f t="array" ref="I666">IF(B666=0,INDEX('Category 14'!F:F,MATCH(C666&amp;E666&amp;D666,'Category 14'!B:B&amp;'Category 14'!C:C&amp;'Category 14'!A:A,0)),INDEX('Category 14'!G:G,MATCH(C666&amp;E666&amp;D666,'Category 14'!B:B&amp;'Category 14'!C:C&amp;'Category 14'!A:A,0)))</f>
        <v>0</v>
      </c>
      <c r="J666">
        <f>I666/VLOOKUP($D666,CPI!$P$16:$R$22,3,FALSE)</f>
        <v>0</v>
      </c>
      <c r="K666" cm="1">
        <f t="array" ref="K666">IF(B666=0,INDEX('Category 15'!F:F,MATCH(C666&amp;E666&amp;D666,'Category 15'!B:B&amp;'Category 15'!C:C&amp;'Category 15'!A:A,0)),INDEX('Category 15'!G:G,MATCH(C666&amp;E666&amp;D666,'Category 15'!B:B&amp;'Category 31'!C:C&amp;'Category 15'!A:A,0)))</f>
        <v>0</v>
      </c>
      <c r="L666">
        <f>K666/VLOOKUP($D666,CPI!$P$16:$R$22,3,FALSE)</f>
        <v>0</v>
      </c>
      <c r="M666" s="16" cm="1">
        <f t="array" ref="M666">IF(B666=0,INDEX('Category 31'!F:F,MATCH(C666&amp;E666&amp;D666,'Category 31'!B:B&amp;'Category 31'!C:C&amp;'Category 31'!A:A,0)),INDEX('Category 31'!G:G,MATCH(C666&amp;E666&amp;D666,'Category 31'!B:B&amp;'Category 31'!C:C&amp;'Category 31'!A:A,0)))</f>
        <v>31</v>
      </c>
      <c r="N666" s="16">
        <f>M666/VLOOKUP($D666,CPI!$P$16:$R$22,3,FALSE)</f>
        <v>32.941230387377011</v>
      </c>
      <c r="O666">
        <f>VLOOKUP(E666,WSoccer!C:S,11,FALSE)</f>
        <v>5062</v>
      </c>
    </row>
    <row r="667" spans="1:15" ht="16" thickBot="1" x14ac:dyDescent="0.25">
      <c r="A667" s="15">
        <v>2</v>
      </c>
      <c r="B667">
        <f t="shared" si="10"/>
        <v>1</v>
      </c>
      <c r="C667">
        <f>IF(ISBLANK(H667),"",VLOOKUP(H667,Code!B:C,2,FALSE))</f>
        <v>18</v>
      </c>
      <c r="D667">
        <v>2022</v>
      </c>
      <c r="E667">
        <v>209542</v>
      </c>
      <c r="F667" t="s">
        <v>183</v>
      </c>
      <c r="G667" t="s">
        <v>290</v>
      </c>
      <c r="H667" t="s">
        <v>6</v>
      </c>
      <c r="I667" cm="1">
        <f t="array" ref="I667">IF(B667=0,INDEX('Category 14'!F:F,MATCH(C667&amp;E667&amp;D667,'Category 14'!B:B&amp;'Category 14'!C:C&amp;'Category 14'!A:A,0)),INDEX('Category 14'!G:G,MATCH(C667&amp;E667&amp;D667,'Category 14'!B:B&amp;'Category 14'!C:C&amp;'Category 14'!A:A,0)))</f>
        <v>0</v>
      </c>
      <c r="J667">
        <f>I667/VLOOKUP($D667,CPI!$P$16:$R$22,3,FALSE)</f>
        <v>0</v>
      </c>
      <c r="K667" cm="1">
        <f t="array" ref="K667">IF(B667=0,INDEX('Category 15'!F:F,MATCH(C667&amp;E667&amp;D667,'Category 15'!B:B&amp;'Category 15'!C:C&amp;'Category 15'!A:A,0)),INDEX('Category 15'!G:G,MATCH(C667&amp;E667&amp;D667,'Category 15'!B:B&amp;'Category 31'!C:C&amp;'Category 15'!A:A,0)))</f>
        <v>0</v>
      </c>
      <c r="L667">
        <f>K667/VLOOKUP($D667,CPI!$P$16:$R$22,3,FALSE)</f>
        <v>0</v>
      </c>
      <c r="M667" s="16" cm="1">
        <f t="array" ref="M667">IF(B667=0,INDEX('Category 31'!F:F,MATCH(C667&amp;E667&amp;D667,'Category 31'!B:B&amp;'Category 31'!C:C&amp;'Category 31'!A:A,0)),INDEX('Category 31'!G:G,MATCH(C667&amp;E667&amp;D667,'Category 31'!B:B&amp;'Category 31'!C:C&amp;'Category 31'!A:A,0)))</f>
        <v>7543</v>
      </c>
      <c r="N667" s="16">
        <f>M667/VLOOKUP($D667,CPI!$P$16:$R$22,3,FALSE)</f>
        <v>8015.3451874833809</v>
      </c>
      <c r="O667">
        <f>VLOOKUP(E667,WSoftball!C:S,11,FALSE)</f>
        <v>9565</v>
      </c>
    </row>
    <row r="668" spans="1:15" ht="16" thickBot="1" x14ac:dyDescent="0.25">
      <c r="A668" s="15">
        <v>2</v>
      </c>
      <c r="B668">
        <f t="shared" si="10"/>
        <v>1</v>
      </c>
      <c r="C668">
        <f>IF(ISBLANK(H668),"",VLOOKUP(H668,Code!B:C,2,FALSE))</f>
        <v>21</v>
      </c>
      <c r="D668">
        <v>2022</v>
      </c>
      <c r="E668">
        <v>209542</v>
      </c>
      <c r="F668" t="s">
        <v>183</v>
      </c>
      <c r="G668" t="s">
        <v>290</v>
      </c>
      <c r="H668" t="s">
        <v>36</v>
      </c>
      <c r="I668" cm="1">
        <f t="array" ref="I668">IF(B668=0,INDEX('Category 14'!F:F,MATCH(C668&amp;E668&amp;D668,'Category 14'!B:B&amp;'Category 14'!C:C&amp;'Category 14'!A:A,0)),INDEX('Category 14'!G:G,MATCH(C668&amp;E668&amp;D668,'Category 14'!B:B&amp;'Category 14'!C:C&amp;'Category 14'!A:A,0)))</f>
        <v>0</v>
      </c>
      <c r="J668">
        <f>I668/VLOOKUP($D668,CPI!$P$16:$R$22,3,FALSE)</f>
        <v>0</v>
      </c>
      <c r="K668" cm="1">
        <f t="array" ref="K668">IF(B668=0,INDEX('Category 15'!F:F,MATCH(C668&amp;E668&amp;D668,'Category 15'!B:B&amp;'Category 15'!C:C&amp;'Category 15'!A:A,0)),INDEX('Category 15'!G:G,MATCH(C668&amp;E668&amp;D668,'Category 15'!B:B&amp;'Category 31'!C:C&amp;'Category 15'!A:A,0)))</f>
        <v>0</v>
      </c>
      <c r="L668">
        <f>K668/VLOOKUP($D668,CPI!$P$16:$R$22,3,FALSE)</f>
        <v>0</v>
      </c>
      <c r="M668" s="16" cm="1">
        <f t="array" ref="M668">IF(B668=0,INDEX('Category 31'!F:F,MATCH(C668&amp;E668&amp;D668,'Category 31'!B:B&amp;'Category 31'!C:C&amp;'Category 31'!A:A,0)),INDEX('Category 31'!G:G,MATCH(C668&amp;E668&amp;D668,'Category 31'!B:B&amp;'Category 31'!C:C&amp;'Category 31'!A:A,0)))</f>
        <v>10161</v>
      </c>
      <c r="N668" s="16">
        <f>M668/VLOOKUP($D668,CPI!$P$16:$R$22,3,FALSE)</f>
        <v>10797.285224714124</v>
      </c>
      <c r="O668">
        <v>0</v>
      </c>
    </row>
    <row r="669" spans="1:15" ht="16" thickBot="1" x14ac:dyDescent="0.25">
      <c r="A669" s="15">
        <v>2</v>
      </c>
      <c r="B669">
        <f t="shared" si="10"/>
        <v>1</v>
      </c>
      <c r="C669">
        <f>IF(ISBLANK(H669),"",VLOOKUP(H669,Code!B:C,2,FALSE))</f>
        <v>23</v>
      </c>
      <c r="D669">
        <v>2022</v>
      </c>
      <c r="E669">
        <v>209542</v>
      </c>
      <c r="F669" t="s">
        <v>183</v>
      </c>
      <c r="G669" t="s">
        <v>290</v>
      </c>
      <c r="H669" t="s">
        <v>10</v>
      </c>
      <c r="I669" cm="1">
        <f t="array" ref="I669">IF(B669=0,INDEX('Category 14'!F:F,MATCH(C669&amp;E669&amp;D669,'Category 14'!B:B&amp;'Category 14'!C:C&amp;'Category 14'!A:A,0)),INDEX('Category 14'!G:G,MATCH(C669&amp;E669&amp;D669,'Category 14'!B:B&amp;'Category 14'!C:C&amp;'Category 14'!A:A,0)))</f>
        <v>0</v>
      </c>
      <c r="J669">
        <f>I669/VLOOKUP($D669,CPI!$P$16:$R$22,3,FALSE)</f>
        <v>0</v>
      </c>
      <c r="K669" cm="1">
        <f t="array" ref="K669">IF(B669=0,INDEX('Category 15'!F:F,MATCH(C669&amp;E669&amp;D669,'Category 15'!B:B&amp;'Category 15'!C:C&amp;'Category 15'!A:A,0)),INDEX('Category 15'!G:G,MATCH(C669&amp;E669&amp;D669,'Category 15'!B:B&amp;'Category 31'!C:C&amp;'Category 15'!A:A,0)))</f>
        <v>0</v>
      </c>
      <c r="L669">
        <f>K669/VLOOKUP($D669,CPI!$P$16:$R$22,3,FALSE)</f>
        <v>0</v>
      </c>
      <c r="M669" s="16" cm="1">
        <f t="array" ref="M669">IF(B669=0,INDEX('Category 31'!F:F,MATCH(C669&amp;E669&amp;D669,'Category 31'!B:B&amp;'Category 31'!C:C&amp;'Category 31'!A:A,0)),INDEX('Category 31'!G:G,MATCH(C669&amp;E669&amp;D669,'Category 31'!B:B&amp;'Category 31'!C:C&amp;'Category 31'!A:A,0)))</f>
        <v>9020</v>
      </c>
      <c r="N669" s="16">
        <f>M669/VLOOKUP($D669,CPI!$P$16:$R$22,3,FALSE)</f>
        <v>9584.835422391634</v>
      </c>
      <c r="O669">
        <f>VLOOKUP(E669,WVolleyball!C:S,11,FALSE)</f>
        <v>8329</v>
      </c>
    </row>
    <row r="670" spans="1:15" ht="16" thickBot="1" x14ac:dyDescent="0.25">
      <c r="A670" s="15">
        <v>2</v>
      </c>
      <c r="B670">
        <f t="shared" si="10"/>
        <v>0</v>
      </c>
      <c r="C670">
        <f>IF(ISBLANK(H670),"",VLOOKUP(H670,Code!B:C,2,FALSE))</f>
        <v>1</v>
      </c>
      <c r="D670">
        <v>2023</v>
      </c>
      <c r="E670">
        <v>209542</v>
      </c>
      <c r="F670" t="s">
        <v>183</v>
      </c>
      <c r="G670" t="s">
        <v>289</v>
      </c>
      <c r="H670" t="s">
        <v>0</v>
      </c>
      <c r="I670" cm="1">
        <f t="array" ref="I670">IF(B670=0,INDEX('Category 14'!F:F,MATCH(C670&amp;E670&amp;D670,'Category 14'!B:B&amp;'Category 14'!C:C&amp;'Category 14'!A:A,0)),INDEX('Category 14'!G:G,MATCH(C670&amp;E670&amp;D670,'Category 14'!B:B&amp;'Category 14'!C:C&amp;'Category 14'!A:A,0)))</f>
        <v>1122</v>
      </c>
      <c r="J670">
        <f>I670/VLOOKUP($D670,CPI!$P$16:$R$22,3,FALSE)</f>
        <v>1122</v>
      </c>
      <c r="K670" cm="1">
        <f t="array" ref="K670">IF(B670=0,INDEX('Category 15'!F:F,MATCH(C670&amp;E670&amp;D670,'Category 15'!B:B&amp;'Category 15'!C:C&amp;'Category 15'!A:A,0)),INDEX('Category 15'!G:G,MATCH(C670&amp;E670&amp;D670,'Category 15'!B:B&amp;'Category 31'!C:C&amp;'Category 15'!A:A,0)))</f>
        <v>0</v>
      </c>
      <c r="L670">
        <f>K670/VLOOKUP($D670,CPI!$P$16:$R$22,3,FALSE)</f>
        <v>0</v>
      </c>
      <c r="M670" s="16" cm="1">
        <f t="array" ref="M670">IF(B670=0,INDEX('Category 31'!F:F,MATCH(C670&amp;E670&amp;D670,'Category 31'!B:B&amp;'Category 31'!C:C&amp;'Category 31'!A:A,0)),INDEX('Category 31'!G:G,MATCH(C670&amp;E670&amp;D670,'Category 31'!B:B&amp;'Category 31'!C:C&amp;'Category 31'!A:A,0)))</f>
        <v>77614</v>
      </c>
      <c r="N670" s="16">
        <f>M670/VLOOKUP($D670,CPI!$P$16:$R$22,3,FALSE)</f>
        <v>77614</v>
      </c>
      <c r="O670">
        <f>VLOOKUP(E670,MBaseball!C:R,12,FALSE)</f>
        <v>103470</v>
      </c>
    </row>
    <row r="671" spans="1:15" ht="16" thickBot="1" x14ac:dyDescent="0.25">
      <c r="A671" s="15">
        <v>2</v>
      </c>
      <c r="B671">
        <f t="shared" si="10"/>
        <v>0</v>
      </c>
      <c r="C671">
        <f>IF(ISBLANK(H671),"",VLOOKUP(H671,Code!B:C,2,FALSE))</f>
        <v>2</v>
      </c>
      <c r="D671">
        <v>2023</v>
      </c>
      <c r="E671">
        <v>209542</v>
      </c>
      <c r="F671" t="s">
        <v>183</v>
      </c>
      <c r="G671" t="s">
        <v>289</v>
      </c>
      <c r="H671" t="s">
        <v>1</v>
      </c>
      <c r="I671" cm="1">
        <f t="array" ref="I671">IF(B671=0,INDEX('Category 14'!F:F,MATCH(C671&amp;E671&amp;D671,'Category 14'!B:B&amp;'Category 14'!C:C&amp;'Category 14'!A:A,0)),INDEX('Category 14'!G:G,MATCH(C671&amp;E671&amp;D671,'Category 14'!B:B&amp;'Category 14'!C:C&amp;'Category 14'!A:A,0)))</f>
        <v>27770</v>
      </c>
      <c r="J671">
        <f>I671/VLOOKUP($D671,CPI!$P$16:$R$22,3,FALSE)</f>
        <v>27770</v>
      </c>
      <c r="K671" cm="1">
        <f t="array" ref="K671">IF(B671=0,INDEX('Category 15'!F:F,MATCH(C671&amp;E671&amp;D671,'Category 15'!B:B&amp;'Category 15'!C:C&amp;'Category 15'!A:A,0)),INDEX('Category 15'!G:G,MATCH(C671&amp;E671&amp;D671,'Category 15'!B:B&amp;'Category 31'!C:C&amp;'Category 15'!A:A,0)))</f>
        <v>0</v>
      </c>
      <c r="L671">
        <f>K671/VLOOKUP($D671,CPI!$P$16:$R$22,3,FALSE)</f>
        <v>0</v>
      </c>
      <c r="M671" s="16" cm="1">
        <f t="array" ref="M671">IF(B671=0,INDEX('Category 31'!F:F,MATCH(C671&amp;E671&amp;D671,'Category 31'!B:B&amp;'Category 31'!C:C&amp;'Category 31'!A:A,0)),INDEX('Category 31'!G:G,MATCH(C671&amp;E671&amp;D671,'Category 31'!B:B&amp;'Category 31'!C:C&amp;'Category 31'!A:A,0)))</f>
        <v>37588</v>
      </c>
      <c r="N671" s="16">
        <f>M671/VLOOKUP($D671,CPI!$P$16:$R$22,3,FALSE)</f>
        <v>37588</v>
      </c>
      <c r="O671">
        <f>VLOOKUP(E671,MBasketball!C:S,12,FALSE)</f>
        <v>61649</v>
      </c>
    </row>
    <row r="672" spans="1:15" ht="16" thickBot="1" x14ac:dyDescent="0.25">
      <c r="A672" s="15">
        <v>2</v>
      </c>
      <c r="B672">
        <f t="shared" si="10"/>
        <v>0</v>
      </c>
      <c r="C672">
        <f>IF(ISBLANK(H672),"",VLOOKUP(H672,Code!B:C,2,FALSE))</f>
        <v>8</v>
      </c>
      <c r="D672">
        <v>2023</v>
      </c>
      <c r="E672">
        <v>209542</v>
      </c>
      <c r="F672" t="s">
        <v>183</v>
      </c>
      <c r="G672" t="s">
        <v>289</v>
      </c>
      <c r="H672" t="s">
        <v>2</v>
      </c>
      <c r="I672" cm="1">
        <f t="array" ref="I672">IF(B672=0,INDEX('Category 14'!F:F,MATCH(C672&amp;E672&amp;D672,'Category 14'!B:B&amp;'Category 14'!C:C&amp;'Category 14'!A:A,0)),INDEX('Category 14'!G:G,MATCH(C672&amp;E672&amp;D672,'Category 14'!B:B&amp;'Category 14'!C:C&amp;'Category 14'!A:A,0)))</f>
        <v>85410</v>
      </c>
      <c r="J672">
        <f>I672/VLOOKUP($D672,CPI!$P$16:$R$22,3,FALSE)</f>
        <v>85410</v>
      </c>
      <c r="K672" cm="1">
        <f t="array" ref="K672">IF(B672=0,INDEX('Category 15'!F:F,MATCH(C672&amp;E672&amp;D672,'Category 15'!B:B&amp;'Category 15'!C:C&amp;'Category 15'!A:A,0)),INDEX('Category 15'!G:G,MATCH(C672&amp;E672&amp;D672,'Category 15'!B:B&amp;'Category 31'!C:C&amp;'Category 15'!A:A,0)))</f>
        <v>0</v>
      </c>
      <c r="L672">
        <f>K672/VLOOKUP($D672,CPI!$P$16:$R$22,3,FALSE)</f>
        <v>0</v>
      </c>
      <c r="M672" s="16" cm="1">
        <f t="array" ref="M672">IF(B672=0,INDEX('Category 31'!F:F,MATCH(C672&amp;E672&amp;D672,'Category 31'!B:B&amp;'Category 31'!C:C&amp;'Category 31'!A:A,0)),INDEX('Category 31'!G:G,MATCH(C672&amp;E672&amp;D672,'Category 31'!B:B&amp;'Category 31'!C:C&amp;'Category 31'!A:A,0)))</f>
        <v>171431</v>
      </c>
      <c r="N672" s="16">
        <f>M672/VLOOKUP($D672,CPI!$P$16:$R$22,3,FALSE)</f>
        <v>171431</v>
      </c>
      <c r="O672">
        <f>VLOOKUP(E672,MFootball!C:S,12,FALSE)</f>
        <v>170397</v>
      </c>
    </row>
    <row r="673" spans="1:15" ht="16" thickBot="1" x14ac:dyDescent="0.25">
      <c r="A673" s="15">
        <v>2</v>
      </c>
      <c r="B673">
        <f t="shared" si="10"/>
        <v>0</v>
      </c>
      <c r="C673">
        <f>IF(ISBLANK(H673),"",VLOOKUP(H673,Code!B:C,2,FALSE))</f>
        <v>9</v>
      </c>
      <c r="D673">
        <v>2023</v>
      </c>
      <c r="E673">
        <v>209542</v>
      </c>
      <c r="F673" t="s">
        <v>183</v>
      </c>
      <c r="G673" t="s">
        <v>289</v>
      </c>
      <c r="H673" t="s">
        <v>3</v>
      </c>
      <c r="I673" cm="1">
        <f t="array" ref="I673">IF(B673=0,INDEX('Category 14'!F:F,MATCH(C673&amp;E673&amp;D673,'Category 14'!B:B&amp;'Category 14'!C:C&amp;'Category 14'!A:A,0)),INDEX('Category 14'!G:G,MATCH(C673&amp;E673&amp;D673,'Category 14'!B:B&amp;'Category 14'!C:C&amp;'Category 14'!A:A,0)))</f>
        <v>0</v>
      </c>
      <c r="J673">
        <f>I673/VLOOKUP($D673,CPI!$P$16:$R$22,3,FALSE)</f>
        <v>0</v>
      </c>
      <c r="K673" cm="1">
        <f t="array" ref="K673">IF(B673=0,INDEX('Category 15'!F:F,MATCH(C673&amp;E673&amp;D673,'Category 15'!B:B&amp;'Category 15'!C:C&amp;'Category 15'!A:A,0)),INDEX('Category 15'!G:G,MATCH(C673&amp;E673&amp;D673,'Category 15'!B:B&amp;'Category 31'!C:C&amp;'Category 15'!A:A,0)))</f>
        <v>0</v>
      </c>
      <c r="L673">
        <f>K673/VLOOKUP($D673,CPI!$P$16:$R$22,3,FALSE)</f>
        <v>0</v>
      </c>
      <c r="M673" s="16" cm="1">
        <f t="array" ref="M673">IF(B673=0,INDEX('Category 31'!F:F,MATCH(C673&amp;E673&amp;D673,'Category 31'!B:B&amp;'Category 31'!C:C&amp;'Category 31'!A:A,0)),INDEX('Category 31'!G:G,MATCH(C673&amp;E673&amp;D673,'Category 31'!B:B&amp;'Category 31'!C:C&amp;'Category 31'!A:A,0)))</f>
        <v>4197</v>
      </c>
      <c r="N673" s="16">
        <f>M673/VLOOKUP($D673,CPI!$P$16:$R$22,3,FALSE)</f>
        <v>4197</v>
      </c>
      <c r="O673">
        <v>0</v>
      </c>
    </row>
    <row r="674" spans="1:15" ht="16" thickBot="1" x14ac:dyDescent="0.25">
      <c r="A674" s="15">
        <v>2</v>
      </c>
      <c r="B674">
        <f t="shared" si="10"/>
        <v>0</v>
      </c>
      <c r="C674">
        <f>IF(ISBLANK(H674),"",VLOOKUP(H674,Code!B:C,2,FALSE))</f>
        <v>17</v>
      </c>
      <c r="D674">
        <v>2023</v>
      </c>
      <c r="E674">
        <v>209542</v>
      </c>
      <c r="F674" t="s">
        <v>183</v>
      </c>
      <c r="G674" t="s">
        <v>289</v>
      </c>
      <c r="H674" t="s">
        <v>5</v>
      </c>
      <c r="I674" cm="1">
        <f t="array" ref="I674">IF(B674=0,INDEX('Category 14'!F:F,MATCH(C674&amp;E674&amp;D674,'Category 14'!B:B&amp;'Category 14'!C:C&amp;'Category 14'!A:A,0)),INDEX('Category 14'!G:G,MATCH(C674&amp;E674&amp;D674,'Category 14'!B:B&amp;'Category 14'!C:C&amp;'Category 14'!A:A,0)))</f>
        <v>0</v>
      </c>
      <c r="J674">
        <f>I674/VLOOKUP($D674,CPI!$P$16:$R$22,3,FALSE)</f>
        <v>0</v>
      </c>
      <c r="K674" cm="1">
        <f t="array" ref="K674">IF(B674=0,INDEX('Category 15'!F:F,MATCH(C674&amp;E674&amp;D674,'Category 15'!B:B&amp;'Category 15'!C:C&amp;'Category 15'!A:A,0)),INDEX('Category 15'!G:G,MATCH(C674&amp;E674&amp;D674,'Category 15'!B:B&amp;'Category 31'!C:C&amp;'Category 15'!A:A,0)))</f>
        <v>0</v>
      </c>
      <c r="L674">
        <f>K674/VLOOKUP($D674,CPI!$P$16:$R$22,3,FALSE)</f>
        <v>0</v>
      </c>
      <c r="M674" s="16" cm="1">
        <f t="array" ref="M674">IF(B674=0,INDEX('Category 31'!F:F,MATCH(C674&amp;E674&amp;D674,'Category 31'!B:B&amp;'Category 31'!C:C&amp;'Category 31'!A:A,0)),INDEX('Category 31'!G:G,MATCH(C674&amp;E674&amp;D674,'Category 31'!B:B&amp;'Category 31'!C:C&amp;'Category 31'!A:A,0)))</f>
        <v>0</v>
      </c>
      <c r="N674" s="16">
        <f>M674/VLOOKUP($D674,CPI!$P$16:$R$22,3,FALSE)</f>
        <v>0</v>
      </c>
      <c r="O674">
        <f>VLOOKUP(E674,MSoccer!C:S,12,FALSE)</f>
        <v>8155</v>
      </c>
    </row>
    <row r="675" spans="1:15" ht="16" thickBot="1" x14ac:dyDescent="0.25">
      <c r="A675" s="15">
        <v>2</v>
      </c>
      <c r="B675">
        <f t="shared" si="10"/>
        <v>0</v>
      </c>
      <c r="C675">
        <f>IF(ISBLANK(H675),"",VLOOKUP(H675,Code!B:C,2,FALSE))</f>
        <v>25</v>
      </c>
      <c r="D675">
        <v>2023</v>
      </c>
      <c r="E675">
        <v>209542</v>
      </c>
      <c r="F675" t="s">
        <v>183</v>
      </c>
      <c r="G675" t="s">
        <v>289</v>
      </c>
      <c r="H675" t="s">
        <v>35</v>
      </c>
      <c r="I675" cm="1">
        <f t="array" ref="I675">IF(B675=0,INDEX('Category 14'!F:F,MATCH(C675&amp;E675&amp;D675,'Category 14'!B:B&amp;'Category 14'!C:C&amp;'Category 14'!A:A,0)),INDEX('Category 14'!G:G,MATCH(C675&amp;E675&amp;D675,'Category 14'!B:B&amp;'Category 14'!C:C&amp;'Category 14'!A:A,0)))</f>
        <v>0</v>
      </c>
      <c r="J675">
        <f>I675/VLOOKUP($D675,CPI!$P$16:$R$22,3,FALSE)</f>
        <v>0</v>
      </c>
      <c r="K675" cm="1">
        <f t="array" ref="K675">IF(B675=0,INDEX('Category 15'!F:F,MATCH(C675&amp;E675&amp;D675,'Category 15'!B:B&amp;'Category 15'!C:C&amp;'Category 15'!A:A,0)),INDEX('Category 15'!G:G,MATCH(C675&amp;E675&amp;D675,'Category 15'!B:B&amp;'Category 31'!C:C&amp;'Category 15'!A:A,0)))</f>
        <v>0</v>
      </c>
      <c r="L675">
        <f>K675/VLOOKUP($D675,CPI!$P$16:$R$22,3,FALSE)</f>
        <v>0</v>
      </c>
      <c r="M675" s="16" cm="1">
        <f t="array" ref="M675">IF(B675=0,INDEX('Category 31'!F:F,MATCH(C675&amp;E675&amp;D675,'Category 31'!B:B&amp;'Category 31'!C:C&amp;'Category 31'!A:A,0)),INDEX('Category 31'!G:G,MATCH(C675&amp;E675&amp;D675,'Category 31'!B:B&amp;'Category 31'!C:C&amp;'Category 31'!A:A,0)))</f>
        <v>2582</v>
      </c>
      <c r="N675" s="16">
        <f>M675/VLOOKUP($D675,CPI!$P$16:$R$22,3,FALSE)</f>
        <v>2582</v>
      </c>
      <c r="O675">
        <v>0</v>
      </c>
    </row>
    <row r="676" spans="1:15" ht="16" thickBot="1" x14ac:dyDescent="0.25">
      <c r="A676" s="15">
        <v>2</v>
      </c>
      <c r="B676">
        <f t="shared" si="10"/>
        <v>1</v>
      </c>
      <c r="C676">
        <f>IF(ISBLANK(H676),"",VLOOKUP(H676,Code!B:C,2,FALSE))</f>
        <v>2</v>
      </c>
      <c r="D676">
        <v>2023</v>
      </c>
      <c r="E676">
        <v>209542</v>
      </c>
      <c r="F676" t="s">
        <v>183</v>
      </c>
      <c r="G676" t="s">
        <v>290</v>
      </c>
      <c r="H676" t="s">
        <v>1</v>
      </c>
      <c r="I676" cm="1">
        <f t="array" ref="I676">IF(B676=0,INDEX('Category 14'!F:F,MATCH(C676&amp;E676&amp;D676,'Category 14'!B:B&amp;'Category 14'!C:C&amp;'Category 14'!A:A,0)),INDEX('Category 14'!G:G,MATCH(C676&amp;E676&amp;D676,'Category 14'!B:B&amp;'Category 14'!C:C&amp;'Category 14'!A:A,0)))</f>
        <v>3975</v>
      </c>
      <c r="J676">
        <f>I676/VLOOKUP($D676,CPI!$P$16:$R$22,3,FALSE)</f>
        <v>3975</v>
      </c>
      <c r="K676" cm="1">
        <f t="array" ref="K676">IF(B676=0,INDEX('Category 15'!F:F,MATCH(C676&amp;E676&amp;D676,'Category 15'!B:B&amp;'Category 15'!C:C&amp;'Category 15'!A:A,0)),INDEX('Category 15'!G:G,MATCH(C676&amp;E676&amp;D676,'Category 15'!B:B&amp;'Category 31'!C:C&amp;'Category 15'!A:A,0)))</f>
        <v>0</v>
      </c>
      <c r="L676">
        <f>K676/VLOOKUP($D676,CPI!$P$16:$R$22,3,FALSE)</f>
        <v>0</v>
      </c>
      <c r="M676" s="16" cm="1">
        <f t="array" ref="M676">IF(B676=0,INDEX('Category 31'!F:F,MATCH(C676&amp;E676&amp;D676,'Category 31'!B:B&amp;'Category 31'!C:C&amp;'Category 31'!A:A,0)),INDEX('Category 31'!G:G,MATCH(C676&amp;E676&amp;D676,'Category 31'!B:B&amp;'Category 31'!C:C&amp;'Category 31'!A:A,0)))</f>
        <v>33696</v>
      </c>
      <c r="N676" s="16">
        <f>M676/VLOOKUP($D676,CPI!$P$16:$R$22,3,FALSE)</f>
        <v>33696</v>
      </c>
      <c r="O676">
        <f>VLOOKUP(E676,WBasketball!C:S,12,FALSE)</f>
        <v>68748</v>
      </c>
    </row>
    <row r="677" spans="1:15" ht="16" thickBot="1" x14ac:dyDescent="0.25">
      <c r="A677" s="15">
        <v>2</v>
      </c>
      <c r="B677">
        <f t="shared" si="10"/>
        <v>1</v>
      </c>
      <c r="C677">
        <f>IF(ISBLANK(H677),"",VLOOKUP(H677,Code!B:C,2,FALSE))</f>
        <v>9</v>
      </c>
      <c r="D677">
        <v>2023</v>
      </c>
      <c r="E677">
        <v>209542</v>
      </c>
      <c r="F677" t="s">
        <v>183</v>
      </c>
      <c r="G677" t="s">
        <v>290</v>
      </c>
      <c r="H677" t="s">
        <v>3</v>
      </c>
      <c r="I677" cm="1">
        <f t="array" ref="I677">IF(B677=0,INDEX('Category 14'!F:F,MATCH(C677&amp;E677&amp;D677,'Category 14'!B:B&amp;'Category 14'!C:C&amp;'Category 14'!A:A,0)),INDEX('Category 14'!G:G,MATCH(C677&amp;E677&amp;D677,'Category 14'!B:B&amp;'Category 14'!C:C&amp;'Category 14'!A:A,0)))</f>
        <v>0</v>
      </c>
      <c r="J677">
        <f>I677/VLOOKUP($D677,CPI!$P$16:$R$22,3,FALSE)</f>
        <v>0</v>
      </c>
      <c r="K677" cm="1">
        <f t="array" ref="K677">IF(B677=0,INDEX('Category 15'!F:F,MATCH(C677&amp;E677&amp;D677,'Category 15'!B:B&amp;'Category 15'!C:C&amp;'Category 15'!A:A,0)),INDEX('Category 15'!G:G,MATCH(C677&amp;E677&amp;D677,'Category 15'!B:B&amp;'Category 31'!C:C&amp;'Category 15'!A:A,0)))</f>
        <v>0</v>
      </c>
      <c r="L677">
        <f>K677/VLOOKUP($D677,CPI!$P$16:$R$22,3,FALSE)</f>
        <v>0</v>
      </c>
      <c r="M677" s="16" cm="1">
        <f t="array" ref="M677">IF(B677=0,INDEX('Category 31'!F:F,MATCH(C677&amp;E677&amp;D677,'Category 31'!B:B&amp;'Category 31'!C:C&amp;'Category 31'!A:A,0)),INDEX('Category 31'!G:G,MATCH(C677&amp;E677&amp;D677,'Category 31'!B:B&amp;'Category 31'!C:C&amp;'Category 31'!A:A,0)))</f>
        <v>4574</v>
      </c>
      <c r="N677" s="16">
        <f>M677/VLOOKUP($D677,CPI!$P$16:$R$22,3,FALSE)</f>
        <v>4574</v>
      </c>
      <c r="O677">
        <v>0</v>
      </c>
    </row>
    <row r="678" spans="1:15" ht="16" thickBot="1" x14ac:dyDescent="0.25">
      <c r="A678" s="15">
        <v>2</v>
      </c>
      <c r="B678">
        <f t="shared" si="10"/>
        <v>1</v>
      </c>
      <c r="C678">
        <f>IF(ISBLANK(H678),"",VLOOKUP(H678,Code!B:C,2,FALSE))</f>
        <v>10</v>
      </c>
      <c r="D678">
        <v>2023</v>
      </c>
      <c r="E678">
        <v>209542</v>
      </c>
      <c r="F678" t="s">
        <v>183</v>
      </c>
      <c r="G678" t="s">
        <v>290</v>
      </c>
      <c r="H678" t="s">
        <v>4</v>
      </c>
      <c r="I678" cm="1">
        <f t="array" ref="I678">IF(B678=0,INDEX('Category 14'!F:F,MATCH(C678&amp;E678&amp;D678,'Category 14'!B:B&amp;'Category 14'!C:C&amp;'Category 14'!A:A,0)),INDEX('Category 14'!G:G,MATCH(C678&amp;E678&amp;D678,'Category 14'!B:B&amp;'Category 14'!C:C&amp;'Category 14'!A:A,0)))</f>
        <v>0</v>
      </c>
      <c r="J678">
        <f>I678/VLOOKUP($D678,CPI!$P$16:$R$22,3,FALSE)</f>
        <v>0</v>
      </c>
      <c r="K678" cm="1">
        <f t="array" ref="K678">IF(B678=0,INDEX('Category 15'!F:F,MATCH(C678&amp;E678&amp;D678,'Category 15'!B:B&amp;'Category 15'!C:C&amp;'Category 15'!A:A,0)),INDEX('Category 15'!G:G,MATCH(C678&amp;E678&amp;D678,'Category 15'!B:B&amp;'Category 31'!C:C&amp;'Category 15'!A:A,0)))</f>
        <v>0</v>
      </c>
      <c r="L678">
        <f>K678/VLOOKUP($D678,CPI!$P$16:$R$22,3,FALSE)</f>
        <v>0</v>
      </c>
      <c r="M678" s="16" cm="1">
        <f t="array" ref="M678">IF(B678=0,INDEX('Category 31'!F:F,MATCH(C678&amp;E678&amp;D678,'Category 31'!B:B&amp;'Category 31'!C:C&amp;'Category 31'!A:A,0)),INDEX('Category 31'!G:G,MATCH(C678&amp;E678&amp;D678,'Category 31'!B:B&amp;'Category 31'!C:C&amp;'Category 31'!A:A,0)))</f>
        <v>36806</v>
      </c>
      <c r="N678" s="16">
        <f>M678/VLOOKUP($D678,CPI!$P$16:$R$22,3,FALSE)</f>
        <v>36806</v>
      </c>
      <c r="O678">
        <v>0</v>
      </c>
    </row>
    <row r="679" spans="1:15" ht="16" thickBot="1" x14ac:dyDescent="0.25">
      <c r="A679" s="15">
        <v>2</v>
      </c>
      <c r="B679">
        <f t="shared" si="10"/>
        <v>1</v>
      </c>
      <c r="C679">
        <f>IF(ISBLANK(H679),"",VLOOKUP(H679,Code!B:C,2,FALSE))</f>
        <v>14</v>
      </c>
      <c r="D679">
        <v>2023</v>
      </c>
      <c r="E679">
        <v>209542</v>
      </c>
      <c r="F679" t="s">
        <v>183</v>
      </c>
      <c r="G679" t="s">
        <v>290</v>
      </c>
      <c r="H679" t="s">
        <v>29</v>
      </c>
      <c r="I679" cm="1">
        <f t="array" ref="I679">IF(B679=0,INDEX('Category 14'!F:F,MATCH(C679&amp;E679&amp;D679,'Category 14'!B:B&amp;'Category 14'!C:C&amp;'Category 14'!A:A,0)),INDEX('Category 14'!G:G,MATCH(C679&amp;E679&amp;D679,'Category 14'!B:B&amp;'Category 14'!C:C&amp;'Category 14'!A:A,0)))</f>
        <v>0</v>
      </c>
      <c r="J679">
        <f>I679/VLOOKUP($D679,CPI!$P$16:$R$22,3,FALSE)</f>
        <v>0</v>
      </c>
      <c r="K679" cm="1">
        <f t="array" ref="K679">IF(B679=0,INDEX('Category 15'!F:F,MATCH(C679&amp;E679&amp;D679,'Category 15'!B:B&amp;'Category 15'!C:C&amp;'Category 15'!A:A,0)),INDEX('Category 15'!G:G,MATCH(C679&amp;E679&amp;D679,'Category 15'!B:B&amp;'Category 31'!C:C&amp;'Category 15'!A:A,0)))</f>
        <v>0</v>
      </c>
      <c r="L679">
        <f>K679/VLOOKUP($D679,CPI!$P$16:$R$22,3,FALSE)</f>
        <v>0</v>
      </c>
      <c r="M679" s="16" cm="1">
        <f t="array" ref="M679">IF(B679=0,INDEX('Category 31'!F:F,MATCH(C679&amp;E679&amp;D679,'Category 31'!B:B&amp;'Category 31'!C:C&amp;'Category 31'!A:A,0)),INDEX('Category 31'!G:G,MATCH(C679&amp;E679&amp;D679,'Category 31'!B:B&amp;'Category 31'!C:C&amp;'Category 31'!A:A,0)))</f>
        <v>13297</v>
      </c>
      <c r="N679" s="16">
        <f>M679/VLOOKUP($D679,CPI!$P$16:$R$22,3,FALSE)</f>
        <v>13297</v>
      </c>
      <c r="O679">
        <v>0</v>
      </c>
    </row>
    <row r="680" spans="1:15" ht="16" thickBot="1" x14ac:dyDescent="0.25">
      <c r="A680" s="15">
        <v>2</v>
      </c>
      <c r="B680">
        <f t="shared" si="10"/>
        <v>1</v>
      </c>
      <c r="C680">
        <f>IF(ISBLANK(H680),"",VLOOKUP(H680,Code!B:C,2,FALSE))</f>
        <v>17</v>
      </c>
      <c r="D680">
        <v>2023</v>
      </c>
      <c r="E680">
        <v>209542</v>
      </c>
      <c r="F680" t="s">
        <v>183</v>
      </c>
      <c r="G680" t="s">
        <v>290</v>
      </c>
      <c r="H680" t="s">
        <v>5</v>
      </c>
      <c r="I680" cm="1">
        <f t="array" ref="I680">IF(B680=0,INDEX('Category 14'!F:F,MATCH(C680&amp;E680&amp;D680,'Category 14'!B:B&amp;'Category 14'!C:C&amp;'Category 14'!A:A,0)),INDEX('Category 14'!G:G,MATCH(C680&amp;E680&amp;D680,'Category 14'!B:B&amp;'Category 14'!C:C&amp;'Category 14'!A:A,0)))</f>
        <v>31</v>
      </c>
      <c r="J680">
        <f>I680/VLOOKUP($D680,CPI!$P$16:$R$22,3,FALSE)</f>
        <v>31</v>
      </c>
      <c r="K680" cm="1">
        <f t="array" ref="K680">IF(B680=0,INDEX('Category 15'!F:F,MATCH(C680&amp;E680&amp;D680,'Category 15'!B:B&amp;'Category 15'!C:C&amp;'Category 15'!A:A,0)),INDEX('Category 15'!G:G,MATCH(C680&amp;E680&amp;D680,'Category 15'!B:B&amp;'Category 31'!C:C&amp;'Category 15'!A:A,0)))</f>
        <v>0</v>
      </c>
      <c r="L680">
        <f>K680/VLOOKUP($D680,CPI!$P$16:$R$22,3,FALSE)</f>
        <v>0</v>
      </c>
      <c r="M680" s="16" cm="1">
        <f t="array" ref="M680">IF(B680=0,INDEX('Category 31'!F:F,MATCH(C680&amp;E680&amp;D680,'Category 31'!B:B&amp;'Category 31'!C:C&amp;'Category 31'!A:A,0)),INDEX('Category 31'!G:G,MATCH(C680&amp;E680&amp;D680,'Category 31'!B:B&amp;'Category 31'!C:C&amp;'Category 31'!A:A,0)))</f>
        <v>7605</v>
      </c>
      <c r="N680" s="16">
        <f>M680/VLOOKUP($D680,CPI!$P$16:$R$22,3,FALSE)</f>
        <v>7605</v>
      </c>
      <c r="O680">
        <f>VLOOKUP(E680,WSoccer!C:S,12,FALSE)</f>
        <v>5008</v>
      </c>
    </row>
    <row r="681" spans="1:15" ht="16" thickBot="1" x14ac:dyDescent="0.25">
      <c r="A681" s="15">
        <v>2</v>
      </c>
      <c r="B681">
        <f t="shared" si="10"/>
        <v>1</v>
      </c>
      <c r="C681">
        <f>IF(ISBLANK(H681),"",VLOOKUP(H681,Code!B:C,2,FALSE))</f>
        <v>18</v>
      </c>
      <c r="D681">
        <v>2023</v>
      </c>
      <c r="E681">
        <v>209542</v>
      </c>
      <c r="F681" t="s">
        <v>183</v>
      </c>
      <c r="G681" t="s">
        <v>290</v>
      </c>
      <c r="H681" t="s">
        <v>6</v>
      </c>
      <c r="I681" cm="1">
        <f t="array" ref="I681">IF(B681=0,INDEX('Category 14'!F:F,MATCH(C681&amp;E681&amp;D681,'Category 14'!B:B&amp;'Category 14'!C:C&amp;'Category 14'!A:A,0)),INDEX('Category 14'!G:G,MATCH(C681&amp;E681&amp;D681,'Category 14'!B:B&amp;'Category 14'!C:C&amp;'Category 14'!A:A,0)))</f>
        <v>0</v>
      </c>
      <c r="J681">
        <f>I681/VLOOKUP($D681,CPI!$P$16:$R$22,3,FALSE)</f>
        <v>0</v>
      </c>
      <c r="K681" cm="1">
        <f t="array" ref="K681">IF(B681=0,INDEX('Category 15'!F:F,MATCH(C681&amp;E681&amp;D681,'Category 15'!B:B&amp;'Category 15'!C:C&amp;'Category 15'!A:A,0)),INDEX('Category 15'!G:G,MATCH(C681&amp;E681&amp;D681,'Category 15'!B:B&amp;'Category 31'!C:C&amp;'Category 15'!A:A,0)))</f>
        <v>0</v>
      </c>
      <c r="L681">
        <f>K681/VLOOKUP($D681,CPI!$P$16:$R$22,3,FALSE)</f>
        <v>0</v>
      </c>
      <c r="M681" s="16" cm="1">
        <f t="array" ref="M681">IF(B681=0,INDEX('Category 31'!F:F,MATCH(C681&amp;E681&amp;D681,'Category 31'!B:B&amp;'Category 31'!C:C&amp;'Category 31'!A:A,0)),INDEX('Category 31'!G:G,MATCH(C681&amp;E681&amp;D681,'Category 31'!B:B&amp;'Category 31'!C:C&amp;'Category 31'!A:A,0)))</f>
        <v>36057</v>
      </c>
      <c r="N681" s="16">
        <f>M681/VLOOKUP($D681,CPI!$P$16:$R$22,3,FALSE)</f>
        <v>36057</v>
      </c>
      <c r="O681">
        <f>VLOOKUP(E681,WSoftball!C:S,12,FALSE)</f>
        <v>7786</v>
      </c>
    </row>
    <row r="682" spans="1:15" ht="16" thickBot="1" x14ac:dyDescent="0.25">
      <c r="A682" s="15">
        <v>2</v>
      </c>
      <c r="B682">
        <f t="shared" si="10"/>
        <v>1</v>
      </c>
      <c r="C682">
        <f>IF(ISBLANK(H682),"",VLOOKUP(H682,Code!B:C,2,FALSE))</f>
        <v>21</v>
      </c>
      <c r="D682">
        <v>2023</v>
      </c>
      <c r="E682">
        <v>209542</v>
      </c>
      <c r="F682" t="s">
        <v>183</v>
      </c>
      <c r="G682" t="s">
        <v>290</v>
      </c>
      <c r="H682" t="s">
        <v>9</v>
      </c>
      <c r="I682" cm="1">
        <f t="array" ref="I682">IF(B682=0,INDEX('Category 14'!F:F,MATCH(C682&amp;E682&amp;D682,'Category 14'!B:B&amp;'Category 14'!C:C&amp;'Category 14'!A:A,0)),INDEX('Category 14'!G:G,MATCH(C682&amp;E682&amp;D682,'Category 14'!B:B&amp;'Category 14'!C:C&amp;'Category 14'!A:A,0)))</f>
        <v>0</v>
      </c>
      <c r="J682">
        <f>I682/VLOOKUP($D682,CPI!$P$16:$R$22,3,FALSE)</f>
        <v>0</v>
      </c>
      <c r="K682" cm="1">
        <f t="array" ref="K682">IF(B682=0,INDEX('Category 15'!F:F,MATCH(C682&amp;E682&amp;D682,'Category 15'!B:B&amp;'Category 15'!C:C&amp;'Category 15'!A:A,0)),INDEX('Category 15'!G:G,MATCH(C682&amp;E682&amp;D682,'Category 15'!B:B&amp;'Category 31'!C:C&amp;'Category 15'!A:A,0)))</f>
        <v>0</v>
      </c>
      <c r="L682">
        <f>K682/VLOOKUP($D682,CPI!$P$16:$R$22,3,FALSE)</f>
        <v>0</v>
      </c>
      <c r="M682" s="16" cm="1">
        <f t="array" ref="M682">IF(B682=0,INDEX('Category 31'!F:F,MATCH(C682&amp;E682&amp;D682,'Category 31'!B:B&amp;'Category 31'!C:C&amp;'Category 31'!A:A,0)),INDEX('Category 31'!G:G,MATCH(C682&amp;E682&amp;D682,'Category 31'!B:B&amp;'Category 31'!C:C&amp;'Category 31'!A:A,0)))</f>
        <v>3704</v>
      </c>
      <c r="N682" s="16">
        <f>M682/VLOOKUP($D682,CPI!$P$16:$R$22,3,FALSE)</f>
        <v>3704</v>
      </c>
      <c r="O682">
        <v>0</v>
      </c>
    </row>
    <row r="683" spans="1:15" ht="16" thickBot="1" x14ac:dyDescent="0.25">
      <c r="A683" s="15">
        <v>2</v>
      </c>
      <c r="B683">
        <f t="shared" si="10"/>
        <v>1</v>
      </c>
      <c r="C683">
        <f>IF(ISBLANK(H683),"",VLOOKUP(H683,Code!B:C,2,FALSE))</f>
        <v>23</v>
      </c>
      <c r="D683">
        <v>2023</v>
      </c>
      <c r="E683">
        <v>209542</v>
      </c>
      <c r="F683" t="s">
        <v>183</v>
      </c>
      <c r="G683" t="s">
        <v>290</v>
      </c>
      <c r="H683" t="s">
        <v>10</v>
      </c>
      <c r="I683" cm="1">
        <f t="array" ref="I683">IF(B683=0,INDEX('Category 14'!F:F,MATCH(C683&amp;E683&amp;D683,'Category 14'!B:B&amp;'Category 14'!C:C&amp;'Category 14'!A:A,0)),INDEX('Category 14'!G:G,MATCH(C683&amp;E683&amp;D683,'Category 14'!B:B&amp;'Category 14'!C:C&amp;'Category 14'!A:A,0)))</f>
        <v>0</v>
      </c>
      <c r="J683">
        <f>I683/VLOOKUP($D683,CPI!$P$16:$R$22,3,FALSE)</f>
        <v>0</v>
      </c>
      <c r="K683" cm="1">
        <f t="array" ref="K683">IF(B683=0,INDEX('Category 15'!F:F,MATCH(C683&amp;E683&amp;D683,'Category 15'!B:B&amp;'Category 15'!C:C&amp;'Category 15'!A:A,0)),INDEX('Category 15'!G:G,MATCH(C683&amp;E683&amp;D683,'Category 15'!B:B&amp;'Category 31'!C:C&amp;'Category 15'!A:A,0)))</f>
        <v>0</v>
      </c>
      <c r="L683">
        <f>K683/VLOOKUP($D683,CPI!$P$16:$R$22,3,FALSE)</f>
        <v>0</v>
      </c>
      <c r="M683" s="16" cm="1">
        <f t="array" ref="M683">IF(B683=0,INDEX('Category 31'!F:F,MATCH(C683&amp;E683&amp;D683,'Category 31'!B:B&amp;'Category 31'!C:C&amp;'Category 31'!A:A,0)),INDEX('Category 31'!G:G,MATCH(C683&amp;E683&amp;D683,'Category 31'!B:B&amp;'Category 31'!C:C&amp;'Category 31'!A:A,0)))</f>
        <v>3725</v>
      </c>
      <c r="N683" s="16">
        <f>M683/VLOOKUP($D683,CPI!$P$16:$R$22,3,FALSE)</f>
        <v>3725</v>
      </c>
      <c r="O683">
        <f>VLOOKUP(E683,WVolleyball!C:S,12,FALSE)</f>
        <v>11323</v>
      </c>
    </row>
    <row r="684" spans="1:15" ht="16" thickBot="1" x14ac:dyDescent="0.25">
      <c r="A684" s="15">
        <v>2</v>
      </c>
      <c r="B684">
        <f t="shared" si="10"/>
        <v>0</v>
      </c>
      <c r="C684">
        <f>IF(ISBLANK(H684),"",VLOOKUP(H684,Code!B:C,2,FALSE))</f>
        <v>2</v>
      </c>
      <c r="D684">
        <v>2017</v>
      </c>
      <c r="E684">
        <v>209807</v>
      </c>
      <c r="F684" t="s">
        <v>185</v>
      </c>
      <c r="G684" t="s">
        <v>289</v>
      </c>
      <c r="H684" t="s">
        <v>1</v>
      </c>
      <c r="I684" cm="1">
        <f t="array" ref="I684">IF(B684=0,INDEX('Category 14'!F:F,MATCH(C684&amp;E684&amp;D684,'Category 14'!B:B&amp;'Category 14'!C:C&amp;'Category 14'!A:A,0)),INDEX('Category 14'!G:G,MATCH(C684&amp;E684&amp;D684,'Category 14'!B:B&amp;'Category 14'!C:C&amp;'Category 14'!A:A,0)))</f>
        <v>0</v>
      </c>
      <c r="J684">
        <f>I684/VLOOKUP($D684,CPI!$P$16:$R$22,3,FALSE)</f>
        <v>0</v>
      </c>
      <c r="K684" cm="1">
        <f t="array" ref="K684">IF(B684=0,INDEX('Category 15'!F:F,MATCH(C684&amp;E684&amp;D684,'Category 15'!B:B&amp;'Category 15'!C:C&amp;'Category 15'!A:A,0)),INDEX('Category 15'!G:G,MATCH(C684&amp;E684&amp;D684,'Category 15'!B:B&amp;'Category 31'!C:C&amp;'Category 15'!A:A,0)))</f>
        <v>0</v>
      </c>
      <c r="L684">
        <f>K684/VLOOKUP($D684,CPI!$P$16:$R$22,3,FALSE)</f>
        <v>0</v>
      </c>
      <c r="M684" s="16" cm="1">
        <f t="array" ref="M684">IF(B684=0,INDEX('Category 31'!F:F,MATCH(C684&amp;E684&amp;D684,'Category 31'!B:B&amp;'Category 31'!C:C&amp;'Category 31'!A:A,0)),INDEX('Category 31'!G:G,MATCH(C684&amp;E684&amp;D684,'Category 31'!B:B&amp;'Category 31'!C:C&amp;'Category 31'!A:A,0)))</f>
        <v>131</v>
      </c>
      <c r="N684" s="16">
        <f>M684/VLOOKUP($D684,CPI!$P$16:$R$22,3,FALSE)</f>
        <v>161.78754947837788</v>
      </c>
      <c r="O684">
        <f>VLOOKUP(E684,MBasketball!C:S,6,FALSE)</f>
        <v>6994</v>
      </c>
    </row>
    <row r="685" spans="1:15" ht="16" thickBot="1" x14ac:dyDescent="0.25">
      <c r="A685" s="15">
        <v>2</v>
      </c>
      <c r="B685">
        <f t="shared" si="10"/>
        <v>0</v>
      </c>
      <c r="C685">
        <f>IF(ISBLANK(H685),"",VLOOKUP(H685,Code!B:C,2,FALSE))</f>
        <v>8</v>
      </c>
      <c r="D685">
        <v>2017</v>
      </c>
      <c r="E685">
        <v>209807</v>
      </c>
      <c r="F685" t="s">
        <v>185</v>
      </c>
      <c r="G685" t="s">
        <v>289</v>
      </c>
      <c r="H685" t="s">
        <v>2</v>
      </c>
      <c r="I685" cm="1">
        <f t="array" ref="I685">IF(B685=0,INDEX('Category 14'!F:F,MATCH(C685&amp;E685&amp;D685,'Category 14'!B:B&amp;'Category 14'!C:C&amp;'Category 14'!A:A,0)),INDEX('Category 14'!G:G,MATCH(C685&amp;E685&amp;D685,'Category 14'!B:B&amp;'Category 14'!C:C&amp;'Category 14'!A:A,0)))</f>
        <v>0</v>
      </c>
      <c r="J685">
        <f>I685/VLOOKUP($D685,CPI!$P$16:$R$22,3,FALSE)</f>
        <v>0</v>
      </c>
      <c r="K685" cm="1">
        <f t="array" ref="K685">IF(B685=0,INDEX('Category 15'!F:F,MATCH(C685&amp;E685&amp;D685,'Category 15'!B:B&amp;'Category 15'!C:C&amp;'Category 15'!A:A,0)),INDEX('Category 15'!G:G,MATCH(C685&amp;E685&amp;D685,'Category 15'!B:B&amp;'Category 31'!C:C&amp;'Category 15'!A:A,0)))</f>
        <v>0</v>
      </c>
      <c r="L685">
        <f>K685/VLOOKUP($D685,CPI!$P$16:$R$22,3,FALSE)</f>
        <v>0</v>
      </c>
      <c r="M685" s="16" cm="1">
        <f t="array" ref="M685">IF(B685=0,INDEX('Category 31'!F:F,MATCH(C685&amp;E685&amp;D685,'Category 31'!B:B&amp;'Category 31'!C:C&amp;'Category 31'!A:A,0)),INDEX('Category 31'!G:G,MATCH(C685&amp;E685&amp;D685,'Category 31'!B:B&amp;'Category 31'!C:C&amp;'Category 31'!A:A,0)))</f>
        <v>3247</v>
      </c>
      <c r="N685" s="16">
        <f>M685/VLOOKUP($D685,CPI!$P$16:$R$22,3,FALSE)</f>
        <v>4010.1081920327711</v>
      </c>
      <c r="O685">
        <f>VLOOKUP(E685,MFootball!C:S,6,FALSE)</f>
        <v>22948</v>
      </c>
    </row>
    <row r="686" spans="1:15" ht="16" thickBot="1" x14ac:dyDescent="0.25">
      <c r="A686" s="15">
        <v>2</v>
      </c>
      <c r="B686">
        <f t="shared" si="10"/>
        <v>0</v>
      </c>
      <c r="C686">
        <f>IF(ISBLANK(H686),"",VLOOKUP(H686,Code!B:C,2,FALSE))</f>
        <v>20</v>
      </c>
      <c r="D686">
        <v>2017</v>
      </c>
      <c r="E686">
        <v>209807</v>
      </c>
      <c r="F686" t="s">
        <v>185</v>
      </c>
      <c r="G686" t="s">
        <v>289</v>
      </c>
      <c r="H686" t="s">
        <v>8</v>
      </c>
      <c r="I686" cm="1">
        <f t="array" ref="I686">IF(B686=0,INDEX('Category 14'!F:F,MATCH(C686&amp;E686&amp;D686,'Category 14'!B:B&amp;'Category 14'!C:C&amp;'Category 14'!A:A,0)),INDEX('Category 14'!G:G,MATCH(C686&amp;E686&amp;D686,'Category 14'!B:B&amp;'Category 14'!C:C&amp;'Category 14'!A:A,0)))</f>
        <v>0</v>
      </c>
      <c r="J686">
        <f>I686/VLOOKUP($D686,CPI!$P$16:$R$22,3,FALSE)</f>
        <v>0</v>
      </c>
      <c r="K686" cm="1">
        <f t="array" ref="K686">IF(B686=0,INDEX('Category 15'!F:F,MATCH(C686&amp;E686&amp;D686,'Category 15'!B:B&amp;'Category 15'!C:C&amp;'Category 15'!A:A,0)),INDEX('Category 15'!G:G,MATCH(C686&amp;E686&amp;D686,'Category 15'!B:B&amp;'Category 31'!C:C&amp;'Category 15'!A:A,0)))</f>
        <v>0</v>
      </c>
      <c r="L686">
        <f>K686/VLOOKUP($D686,CPI!$P$16:$R$22,3,FALSE)</f>
        <v>0</v>
      </c>
      <c r="M686" s="16" cm="1">
        <f t="array" ref="M686">IF(B686=0,INDEX('Category 31'!F:F,MATCH(C686&amp;E686&amp;D686,'Category 31'!B:B&amp;'Category 31'!C:C&amp;'Category 31'!A:A,0)),INDEX('Category 31'!G:G,MATCH(C686&amp;E686&amp;D686,'Category 31'!B:B&amp;'Category 31'!C:C&amp;'Category 31'!A:A,0)))</f>
        <v>0</v>
      </c>
      <c r="N686" s="16">
        <f>M686/VLOOKUP($D686,CPI!$P$16:$R$22,3,FALSE)</f>
        <v>0</v>
      </c>
      <c r="O686">
        <v>0</v>
      </c>
    </row>
    <row r="687" spans="1:15" ht="16" thickBot="1" x14ac:dyDescent="0.25">
      <c r="A687" s="15">
        <v>2</v>
      </c>
      <c r="B687">
        <f t="shared" si="10"/>
        <v>0</v>
      </c>
      <c r="C687">
        <f>IF(ISBLANK(H687),"",VLOOKUP(H687,Code!B:C,2,FALSE))</f>
        <v>21</v>
      </c>
      <c r="D687">
        <v>2017</v>
      </c>
      <c r="E687">
        <v>209807</v>
      </c>
      <c r="F687" t="s">
        <v>185</v>
      </c>
      <c r="G687" t="s">
        <v>289</v>
      </c>
      <c r="H687" t="s">
        <v>36</v>
      </c>
      <c r="I687" cm="1">
        <f t="array" ref="I687">IF(B687=0,INDEX('Category 14'!F:F,MATCH(C687&amp;E687&amp;D687,'Category 14'!B:B&amp;'Category 14'!C:C&amp;'Category 14'!A:A,0)),INDEX('Category 14'!G:G,MATCH(C687&amp;E687&amp;D687,'Category 14'!B:B&amp;'Category 14'!C:C&amp;'Category 14'!A:A,0)))</f>
        <v>0</v>
      </c>
      <c r="J687">
        <f>I687/VLOOKUP($D687,CPI!$P$16:$R$22,3,FALSE)</f>
        <v>0</v>
      </c>
      <c r="K687" cm="1">
        <f t="array" ref="K687">IF(B687=0,INDEX('Category 15'!F:F,MATCH(C687&amp;E687&amp;D687,'Category 15'!B:B&amp;'Category 15'!C:C&amp;'Category 15'!A:A,0)),INDEX('Category 15'!G:G,MATCH(C687&amp;E687&amp;D687,'Category 15'!B:B&amp;'Category 31'!C:C&amp;'Category 15'!A:A,0)))</f>
        <v>0</v>
      </c>
      <c r="L687">
        <f>K687/VLOOKUP($D687,CPI!$P$16:$R$22,3,FALSE)</f>
        <v>0</v>
      </c>
      <c r="M687" s="16" cm="1">
        <f t="array" ref="M687">IF(B687=0,INDEX('Category 31'!F:F,MATCH(C687&amp;E687&amp;D687,'Category 31'!B:B&amp;'Category 31'!C:C&amp;'Category 31'!A:A,0)),INDEX('Category 31'!G:G,MATCH(C687&amp;E687&amp;D687,'Category 31'!B:B&amp;'Category 31'!C:C&amp;'Category 31'!A:A,0)))</f>
        <v>0</v>
      </c>
      <c r="N687" s="16">
        <f>M687/VLOOKUP($D687,CPI!$P$16:$R$22,3,FALSE)</f>
        <v>0</v>
      </c>
      <c r="O687">
        <v>0</v>
      </c>
    </row>
    <row r="688" spans="1:15" ht="16" thickBot="1" x14ac:dyDescent="0.25">
      <c r="A688" s="15">
        <v>2</v>
      </c>
      <c r="B688">
        <f t="shared" si="10"/>
        <v>1</v>
      </c>
      <c r="C688">
        <f>IF(ISBLANK(H688),"",VLOOKUP(H688,Code!B:C,2,FALSE))</f>
        <v>2</v>
      </c>
      <c r="D688">
        <v>2017</v>
      </c>
      <c r="E688">
        <v>209807</v>
      </c>
      <c r="F688" t="s">
        <v>185</v>
      </c>
      <c r="G688" t="s">
        <v>290</v>
      </c>
      <c r="H688" t="s">
        <v>1</v>
      </c>
      <c r="I688" cm="1">
        <f t="array" ref="I688">IF(B688=0,INDEX('Category 14'!F:F,MATCH(C688&amp;E688&amp;D688,'Category 14'!B:B&amp;'Category 14'!C:C&amp;'Category 14'!A:A,0)),INDEX('Category 14'!G:G,MATCH(C688&amp;E688&amp;D688,'Category 14'!B:B&amp;'Category 14'!C:C&amp;'Category 14'!A:A,0)))</f>
        <v>0</v>
      </c>
      <c r="J688">
        <f>I688/VLOOKUP($D688,CPI!$P$16:$R$22,3,FALSE)</f>
        <v>0</v>
      </c>
      <c r="K688" cm="1">
        <f t="array" ref="K688">IF(B688=0,INDEX('Category 15'!F:F,MATCH(C688&amp;E688&amp;D688,'Category 15'!B:B&amp;'Category 15'!C:C&amp;'Category 15'!A:A,0)),INDEX('Category 15'!G:G,MATCH(C688&amp;E688&amp;D688,'Category 15'!B:B&amp;'Category 31'!C:C&amp;'Category 15'!A:A,0)))</f>
        <v>0</v>
      </c>
      <c r="L688">
        <f>K688/VLOOKUP($D688,CPI!$P$16:$R$22,3,FALSE)</f>
        <v>0</v>
      </c>
      <c r="M688" s="16" cm="1">
        <f t="array" ref="M688">IF(B688=0,INDEX('Category 31'!F:F,MATCH(C688&amp;E688&amp;D688,'Category 31'!B:B&amp;'Category 31'!C:C&amp;'Category 31'!A:A,0)),INDEX('Category 31'!G:G,MATCH(C688&amp;E688&amp;D688,'Category 31'!B:B&amp;'Category 31'!C:C&amp;'Category 31'!A:A,0)))</f>
        <v>0</v>
      </c>
      <c r="N688" s="16">
        <f>M688/VLOOKUP($D688,CPI!$P$16:$R$22,3,FALSE)</f>
        <v>0</v>
      </c>
      <c r="O688">
        <f>VLOOKUP(E688,WBasketball!C:S,6,FALSE)</f>
        <v>3815</v>
      </c>
    </row>
    <row r="689" spans="1:15" ht="16" thickBot="1" x14ac:dyDescent="0.25">
      <c r="A689" s="15">
        <v>2</v>
      </c>
      <c r="B689">
        <f t="shared" si="10"/>
        <v>1</v>
      </c>
      <c r="C689">
        <f>IF(ISBLANK(H689),"",VLOOKUP(H689,Code!B:C,2,FALSE))</f>
        <v>9</v>
      </c>
      <c r="D689">
        <v>2017</v>
      </c>
      <c r="E689">
        <v>209807</v>
      </c>
      <c r="F689" t="s">
        <v>185</v>
      </c>
      <c r="G689" t="s">
        <v>290</v>
      </c>
      <c r="H689" t="s">
        <v>3</v>
      </c>
      <c r="I689" cm="1">
        <f t="array" ref="I689">IF(B689=0,INDEX('Category 14'!F:F,MATCH(C689&amp;E689&amp;D689,'Category 14'!B:B&amp;'Category 14'!C:C&amp;'Category 14'!A:A,0)),INDEX('Category 14'!G:G,MATCH(C689&amp;E689&amp;D689,'Category 14'!B:B&amp;'Category 14'!C:C&amp;'Category 14'!A:A,0)))</f>
        <v>0</v>
      </c>
      <c r="J689">
        <f>I689/VLOOKUP($D689,CPI!$P$16:$R$22,3,FALSE)</f>
        <v>0</v>
      </c>
      <c r="K689" cm="1">
        <f t="array" ref="K689">IF(B689=0,INDEX('Category 15'!F:F,MATCH(C689&amp;E689&amp;D689,'Category 15'!B:B&amp;'Category 15'!C:C&amp;'Category 15'!A:A,0)),INDEX('Category 15'!G:G,MATCH(C689&amp;E689&amp;D689,'Category 15'!B:B&amp;'Category 31'!C:C&amp;'Category 15'!A:A,0)))</f>
        <v>0</v>
      </c>
      <c r="L689">
        <f>K689/VLOOKUP($D689,CPI!$P$16:$R$22,3,FALSE)</f>
        <v>0</v>
      </c>
      <c r="M689" s="16" cm="1">
        <f t="array" ref="M689">IF(B689=0,INDEX('Category 31'!F:F,MATCH(C689&amp;E689&amp;D689,'Category 31'!B:B&amp;'Category 31'!C:C&amp;'Category 31'!A:A,0)),INDEX('Category 31'!G:G,MATCH(C689&amp;E689&amp;D689,'Category 31'!B:B&amp;'Category 31'!C:C&amp;'Category 31'!A:A,0)))</f>
        <v>0</v>
      </c>
      <c r="N689" s="16">
        <f>M689/VLOOKUP($D689,CPI!$P$16:$R$22,3,FALSE)</f>
        <v>0</v>
      </c>
      <c r="O689">
        <v>0</v>
      </c>
    </row>
    <row r="690" spans="1:15" ht="16" thickBot="1" x14ac:dyDescent="0.25">
      <c r="A690" s="15">
        <v>2</v>
      </c>
      <c r="B690">
        <f t="shared" si="10"/>
        <v>1</v>
      </c>
      <c r="C690">
        <f>IF(ISBLANK(H690),"",VLOOKUP(H690,Code!B:C,2,FALSE))</f>
        <v>17</v>
      </c>
      <c r="D690">
        <v>2017</v>
      </c>
      <c r="E690">
        <v>209807</v>
      </c>
      <c r="F690" t="s">
        <v>185</v>
      </c>
      <c r="G690" t="s">
        <v>290</v>
      </c>
      <c r="H690" t="s">
        <v>5</v>
      </c>
      <c r="I690" cm="1">
        <f t="array" ref="I690">IF(B690=0,INDEX('Category 14'!F:F,MATCH(C690&amp;E690&amp;D690,'Category 14'!B:B&amp;'Category 14'!C:C&amp;'Category 14'!A:A,0)),INDEX('Category 14'!G:G,MATCH(C690&amp;E690&amp;D690,'Category 14'!B:B&amp;'Category 14'!C:C&amp;'Category 14'!A:A,0)))</f>
        <v>0</v>
      </c>
      <c r="J690">
        <f>I690/VLOOKUP($D690,CPI!$P$16:$R$22,3,FALSE)</f>
        <v>0</v>
      </c>
      <c r="K690" cm="1">
        <f t="array" ref="K690">IF(B690=0,INDEX('Category 15'!F:F,MATCH(C690&amp;E690&amp;D690,'Category 15'!B:B&amp;'Category 15'!C:C&amp;'Category 15'!A:A,0)),INDEX('Category 15'!G:G,MATCH(C690&amp;E690&amp;D690,'Category 15'!B:B&amp;'Category 31'!C:C&amp;'Category 15'!A:A,0)))</f>
        <v>0</v>
      </c>
      <c r="L690">
        <f>K690/VLOOKUP($D690,CPI!$P$16:$R$22,3,FALSE)</f>
        <v>0</v>
      </c>
      <c r="M690" s="16" cm="1">
        <f t="array" ref="M690">IF(B690=0,INDEX('Category 31'!F:F,MATCH(C690&amp;E690&amp;D690,'Category 31'!B:B&amp;'Category 31'!C:C&amp;'Category 31'!A:A,0)),INDEX('Category 31'!G:G,MATCH(C690&amp;E690&amp;D690,'Category 31'!B:B&amp;'Category 31'!C:C&amp;'Category 31'!A:A,0)))</f>
        <v>10</v>
      </c>
      <c r="N690" s="16">
        <f>M690/VLOOKUP($D690,CPI!$P$16:$R$22,3,FALSE)</f>
        <v>12.350194616670068</v>
      </c>
      <c r="O690">
        <f>VLOOKUP(E690,WSoccer!C:S,6,FALSE)</f>
        <v>730</v>
      </c>
    </row>
    <row r="691" spans="1:15" ht="16" thickBot="1" x14ac:dyDescent="0.25">
      <c r="A691" s="15">
        <v>2</v>
      </c>
      <c r="B691">
        <f t="shared" si="10"/>
        <v>1</v>
      </c>
      <c r="C691">
        <f>IF(ISBLANK(H691),"",VLOOKUP(H691,Code!B:C,2,FALSE))</f>
        <v>18</v>
      </c>
      <c r="D691">
        <v>2017</v>
      </c>
      <c r="E691">
        <v>209807</v>
      </c>
      <c r="F691" t="s">
        <v>185</v>
      </c>
      <c r="G691" t="s">
        <v>290</v>
      </c>
      <c r="H691" t="s">
        <v>6</v>
      </c>
      <c r="I691" cm="1">
        <f t="array" ref="I691">IF(B691=0,INDEX('Category 14'!F:F,MATCH(C691&amp;E691&amp;D691,'Category 14'!B:B&amp;'Category 14'!C:C&amp;'Category 14'!A:A,0)),INDEX('Category 14'!G:G,MATCH(C691&amp;E691&amp;D691,'Category 14'!B:B&amp;'Category 14'!C:C&amp;'Category 14'!A:A,0)))</f>
        <v>0</v>
      </c>
      <c r="J691">
        <f>I691/VLOOKUP($D691,CPI!$P$16:$R$22,3,FALSE)</f>
        <v>0</v>
      </c>
      <c r="K691" cm="1">
        <f t="array" ref="K691">IF(B691=0,INDEX('Category 15'!F:F,MATCH(C691&amp;E691&amp;D691,'Category 15'!B:B&amp;'Category 15'!C:C&amp;'Category 15'!A:A,0)),INDEX('Category 15'!G:G,MATCH(C691&amp;E691&amp;D691,'Category 15'!B:B&amp;'Category 31'!C:C&amp;'Category 15'!A:A,0)))</f>
        <v>0</v>
      </c>
      <c r="L691">
        <f>K691/VLOOKUP($D691,CPI!$P$16:$R$22,3,FALSE)</f>
        <v>0</v>
      </c>
      <c r="M691" s="16" cm="1">
        <f t="array" ref="M691">IF(B691=0,INDEX('Category 31'!F:F,MATCH(C691&amp;E691&amp;D691,'Category 31'!B:B&amp;'Category 31'!C:C&amp;'Category 31'!A:A,0)),INDEX('Category 31'!G:G,MATCH(C691&amp;E691&amp;D691,'Category 31'!B:B&amp;'Category 31'!C:C&amp;'Category 31'!A:A,0)))</f>
        <v>0</v>
      </c>
      <c r="N691" s="16">
        <f>M691/VLOOKUP($D691,CPI!$P$16:$R$22,3,FALSE)</f>
        <v>0</v>
      </c>
      <c r="O691">
        <f>VLOOKUP(E691,WSoftball!C:S,6,FALSE)</f>
        <v>3389</v>
      </c>
    </row>
    <row r="692" spans="1:15" ht="16" thickBot="1" x14ac:dyDescent="0.25">
      <c r="A692" s="15">
        <v>2</v>
      </c>
      <c r="B692">
        <f t="shared" si="10"/>
        <v>1</v>
      </c>
      <c r="C692">
        <f>IF(ISBLANK(H692),"",VLOOKUP(H692,Code!B:C,2,FALSE))</f>
        <v>20</v>
      </c>
      <c r="D692">
        <v>2017</v>
      </c>
      <c r="E692">
        <v>209807</v>
      </c>
      <c r="F692" t="s">
        <v>185</v>
      </c>
      <c r="G692" t="s">
        <v>290</v>
      </c>
      <c r="H692" t="s">
        <v>8</v>
      </c>
      <c r="I692" cm="1">
        <f t="array" ref="I692">IF(B692=0,INDEX('Category 14'!F:F,MATCH(C692&amp;E692&amp;D692,'Category 14'!B:B&amp;'Category 14'!C:C&amp;'Category 14'!A:A,0)),INDEX('Category 14'!G:G,MATCH(C692&amp;E692&amp;D692,'Category 14'!B:B&amp;'Category 14'!C:C&amp;'Category 14'!A:A,0)))</f>
        <v>0</v>
      </c>
      <c r="J692">
        <f>I692/VLOOKUP($D692,CPI!$P$16:$R$22,3,FALSE)</f>
        <v>0</v>
      </c>
      <c r="K692" cm="1">
        <f t="array" ref="K692">IF(B692=0,INDEX('Category 15'!F:F,MATCH(C692&amp;E692&amp;D692,'Category 15'!B:B&amp;'Category 15'!C:C&amp;'Category 15'!A:A,0)),INDEX('Category 15'!G:G,MATCH(C692&amp;E692&amp;D692,'Category 15'!B:B&amp;'Category 31'!C:C&amp;'Category 15'!A:A,0)))</f>
        <v>0</v>
      </c>
      <c r="L692">
        <f>K692/VLOOKUP($D692,CPI!$P$16:$R$22,3,FALSE)</f>
        <v>0</v>
      </c>
      <c r="M692" s="16" cm="1">
        <f t="array" ref="M692">IF(B692=0,INDEX('Category 31'!F:F,MATCH(C692&amp;E692&amp;D692,'Category 31'!B:B&amp;'Category 31'!C:C&amp;'Category 31'!A:A,0)),INDEX('Category 31'!G:G,MATCH(C692&amp;E692&amp;D692,'Category 31'!B:B&amp;'Category 31'!C:C&amp;'Category 31'!A:A,0)))</f>
        <v>0</v>
      </c>
      <c r="N692" s="16">
        <f>M692/VLOOKUP($D692,CPI!$P$16:$R$22,3,FALSE)</f>
        <v>0</v>
      </c>
      <c r="O692">
        <v>0</v>
      </c>
    </row>
    <row r="693" spans="1:15" ht="16" thickBot="1" x14ac:dyDescent="0.25">
      <c r="A693" s="15">
        <v>2</v>
      </c>
      <c r="B693">
        <f t="shared" si="10"/>
        <v>1</v>
      </c>
      <c r="C693">
        <f>IF(ISBLANK(H693),"",VLOOKUP(H693,Code!B:C,2,FALSE))</f>
        <v>21</v>
      </c>
      <c r="D693">
        <v>2017</v>
      </c>
      <c r="E693">
        <v>209807</v>
      </c>
      <c r="F693" t="s">
        <v>185</v>
      </c>
      <c r="G693" t="s">
        <v>290</v>
      </c>
      <c r="H693" t="s">
        <v>36</v>
      </c>
      <c r="I693" cm="1">
        <f t="array" ref="I693">IF(B693=0,INDEX('Category 14'!F:F,MATCH(C693&amp;E693&amp;D693,'Category 14'!B:B&amp;'Category 14'!C:C&amp;'Category 14'!A:A,0)),INDEX('Category 14'!G:G,MATCH(C693&amp;E693&amp;D693,'Category 14'!B:B&amp;'Category 14'!C:C&amp;'Category 14'!A:A,0)))</f>
        <v>0</v>
      </c>
      <c r="J693">
        <f>I693/VLOOKUP($D693,CPI!$P$16:$R$22,3,FALSE)</f>
        <v>0</v>
      </c>
      <c r="K693" cm="1">
        <f t="array" ref="K693">IF(B693=0,INDEX('Category 15'!F:F,MATCH(C693&amp;E693&amp;D693,'Category 15'!B:B&amp;'Category 15'!C:C&amp;'Category 15'!A:A,0)),INDEX('Category 15'!G:G,MATCH(C693&amp;E693&amp;D693,'Category 15'!B:B&amp;'Category 31'!C:C&amp;'Category 15'!A:A,0)))</f>
        <v>0</v>
      </c>
      <c r="L693">
        <f>K693/VLOOKUP($D693,CPI!$P$16:$R$22,3,FALSE)</f>
        <v>0</v>
      </c>
      <c r="M693" s="16" cm="1">
        <f t="array" ref="M693">IF(B693=0,INDEX('Category 31'!F:F,MATCH(C693&amp;E693&amp;D693,'Category 31'!B:B&amp;'Category 31'!C:C&amp;'Category 31'!A:A,0)),INDEX('Category 31'!G:G,MATCH(C693&amp;E693&amp;D693,'Category 31'!B:B&amp;'Category 31'!C:C&amp;'Category 31'!A:A,0)))</f>
        <v>0</v>
      </c>
      <c r="N693" s="16">
        <f>M693/VLOOKUP($D693,CPI!$P$16:$R$22,3,FALSE)</f>
        <v>0</v>
      </c>
      <c r="O693">
        <v>0</v>
      </c>
    </row>
    <row r="694" spans="1:15" ht="16" thickBot="1" x14ac:dyDescent="0.25">
      <c r="A694" s="15">
        <v>2</v>
      </c>
      <c r="B694">
        <f t="shared" si="10"/>
        <v>1</v>
      </c>
      <c r="C694">
        <f>IF(ISBLANK(H694),"",VLOOKUP(H694,Code!B:C,2,FALSE))</f>
        <v>23</v>
      </c>
      <c r="D694">
        <v>2017</v>
      </c>
      <c r="E694">
        <v>209807</v>
      </c>
      <c r="F694" t="s">
        <v>185</v>
      </c>
      <c r="G694" t="s">
        <v>290</v>
      </c>
      <c r="H694" t="s">
        <v>10</v>
      </c>
      <c r="I694" cm="1">
        <f t="array" ref="I694">IF(B694=0,INDEX('Category 14'!F:F,MATCH(C694&amp;E694&amp;D694,'Category 14'!B:B&amp;'Category 14'!C:C&amp;'Category 14'!A:A,0)),INDEX('Category 14'!G:G,MATCH(C694&amp;E694&amp;D694,'Category 14'!B:B&amp;'Category 14'!C:C&amp;'Category 14'!A:A,0)))</f>
        <v>0</v>
      </c>
      <c r="J694">
        <f>I694/VLOOKUP($D694,CPI!$P$16:$R$22,3,FALSE)</f>
        <v>0</v>
      </c>
      <c r="K694" cm="1">
        <f t="array" ref="K694">IF(B694=0,INDEX('Category 15'!F:F,MATCH(C694&amp;E694&amp;D694,'Category 15'!B:B&amp;'Category 15'!C:C&amp;'Category 15'!A:A,0)),INDEX('Category 15'!G:G,MATCH(C694&amp;E694&amp;D694,'Category 15'!B:B&amp;'Category 31'!C:C&amp;'Category 15'!A:A,0)))</f>
        <v>0</v>
      </c>
      <c r="L694">
        <f>K694/VLOOKUP($D694,CPI!$P$16:$R$22,3,FALSE)</f>
        <v>0</v>
      </c>
      <c r="M694" s="16" cm="1">
        <f t="array" ref="M694">IF(B694=0,INDEX('Category 31'!F:F,MATCH(C694&amp;E694&amp;D694,'Category 31'!B:B&amp;'Category 31'!C:C&amp;'Category 31'!A:A,0)),INDEX('Category 31'!G:G,MATCH(C694&amp;E694&amp;D694,'Category 31'!B:B&amp;'Category 31'!C:C&amp;'Category 31'!A:A,0)))</f>
        <v>0</v>
      </c>
      <c r="N694" s="16">
        <f>M694/VLOOKUP($D694,CPI!$P$16:$R$22,3,FALSE)</f>
        <v>0</v>
      </c>
      <c r="O694">
        <f>VLOOKUP(E694,WVolleyball!C:S,6,FALSE)</f>
        <v>2731</v>
      </c>
    </row>
    <row r="695" spans="1:15" ht="16" thickBot="1" x14ac:dyDescent="0.25">
      <c r="A695" s="15">
        <v>2</v>
      </c>
      <c r="B695">
        <f t="shared" si="10"/>
        <v>0</v>
      </c>
      <c r="C695">
        <f>IF(ISBLANK(H695),"",VLOOKUP(H695,Code!B:C,2,FALSE))</f>
        <v>2</v>
      </c>
      <c r="D695">
        <v>2018</v>
      </c>
      <c r="E695">
        <v>209807</v>
      </c>
      <c r="F695" t="s">
        <v>185</v>
      </c>
      <c r="G695" t="s">
        <v>289</v>
      </c>
      <c r="H695" t="s">
        <v>1</v>
      </c>
      <c r="I695" cm="1">
        <f t="array" ref="I695">IF(B695=0,INDEX('Category 14'!F:F,MATCH(C695&amp;E695&amp;D695,'Category 14'!B:B&amp;'Category 14'!C:C&amp;'Category 14'!A:A,0)),INDEX('Category 14'!G:G,MATCH(C695&amp;E695&amp;D695,'Category 14'!B:B&amp;'Category 14'!C:C&amp;'Category 14'!A:A,0)))</f>
        <v>0</v>
      </c>
      <c r="J695">
        <f>I695/VLOOKUP($D695,CPI!$P$16:$R$22,3,FALSE)</f>
        <v>0</v>
      </c>
      <c r="K695" cm="1">
        <f t="array" ref="K695">IF(B695=0,INDEX('Category 15'!F:F,MATCH(C695&amp;E695&amp;D695,'Category 15'!B:B&amp;'Category 15'!C:C&amp;'Category 15'!A:A,0)),INDEX('Category 15'!G:G,MATCH(C695&amp;E695&amp;D695,'Category 15'!B:B&amp;'Category 31'!C:C&amp;'Category 15'!A:A,0)))</f>
        <v>0</v>
      </c>
      <c r="L695">
        <f>K695/VLOOKUP($D695,CPI!$P$16:$R$22,3,FALSE)</f>
        <v>0</v>
      </c>
      <c r="M695" s="16" cm="1">
        <f t="array" ref="M695">IF(B695=0,INDEX('Category 31'!F:F,MATCH(C695&amp;E695&amp;D695,'Category 31'!B:B&amp;'Category 31'!C:C&amp;'Category 31'!A:A,0)),INDEX('Category 31'!G:G,MATCH(C695&amp;E695&amp;D695,'Category 31'!B:B&amp;'Category 31'!C:C&amp;'Category 31'!A:A,0)))</f>
        <v>262</v>
      </c>
      <c r="N695" s="16">
        <f>M695/VLOOKUP($D695,CPI!$P$16:$R$22,3,FALSE)</f>
        <v>316.44245665508657</v>
      </c>
      <c r="O695">
        <f>VLOOKUP(E695,MBasketball!C:S,7,FALSE)</f>
        <v>7885</v>
      </c>
    </row>
    <row r="696" spans="1:15" ht="16" thickBot="1" x14ac:dyDescent="0.25">
      <c r="A696" s="15">
        <v>2</v>
      </c>
      <c r="B696">
        <f t="shared" si="10"/>
        <v>0</v>
      </c>
      <c r="C696">
        <f>IF(ISBLANK(H696),"",VLOOKUP(H696,Code!B:C,2,FALSE))</f>
        <v>8</v>
      </c>
      <c r="D696">
        <v>2018</v>
      </c>
      <c r="E696">
        <v>209807</v>
      </c>
      <c r="F696" t="s">
        <v>185</v>
      </c>
      <c r="G696" t="s">
        <v>289</v>
      </c>
      <c r="H696" t="s">
        <v>2</v>
      </c>
      <c r="I696" cm="1">
        <f t="array" ref="I696">IF(B696=0,INDEX('Category 14'!F:F,MATCH(C696&amp;E696&amp;D696,'Category 14'!B:B&amp;'Category 14'!C:C&amp;'Category 14'!A:A,0)),INDEX('Category 14'!G:G,MATCH(C696&amp;E696&amp;D696,'Category 14'!B:B&amp;'Category 14'!C:C&amp;'Category 14'!A:A,0)))</f>
        <v>0</v>
      </c>
      <c r="J696">
        <f>I696/VLOOKUP($D696,CPI!$P$16:$R$22,3,FALSE)</f>
        <v>0</v>
      </c>
      <c r="K696" cm="1">
        <f t="array" ref="K696">IF(B696=0,INDEX('Category 15'!F:F,MATCH(C696&amp;E696&amp;D696,'Category 15'!B:B&amp;'Category 15'!C:C&amp;'Category 15'!A:A,0)),INDEX('Category 15'!G:G,MATCH(C696&amp;E696&amp;D696,'Category 15'!B:B&amp;'Category 31'!C:C&amp;'Category 15'!A:A,0)))</f>
        <v>0</v>
      </c>
      <c r="L696">
        <f>K696/VLOOKUP($D696,CPI!$P$16:$R$22,3,FALSE)</f>
        <v>0</v>
      </c>
      <c r="M696" s="16" cm="1">
        <f t="array" ref="M696">IF(B696=0,INDEX('Category 31'!F:F,MATCH(C696&amp;E696&amp;D696,'Category 31'!B:B&amp;'Category 31'!C:C&amp;'Category 31'!A:A,0)),INDEX('Category 31'!G:G,MATCH(C696&amp;E696&amp;D696,'Category 31'!B:B&amp;'Category 31'!C:C&amp;'Category 31'!A:A,0)))</f>
        <v>5673</v>
      </c>
      <c r="N696" s="16">
        <f>M696/VLOOKUP($D696,CPI!$P$16:$R$22,3,FALSE)</f>
        <v>6851.8246435278861</v>
      </c>
      <c r="O696">
        <f>VLOOKUP(E696,MFootball!C:S,7,FALSE)</f>
        <v>20678</v>
      </c>
    </row>
    <row r="697" spans="1:15" ht="16" thickBot="1" x14ac:dyDescent="0.25">
      <c r="A697" s="15">
        <v>2</v>
      </c>
      <c r="B697">
        <f t="shared" si="10"/>
        <v>0</v>
      </c>
      <c r="C697">
        <f>IF(ISBLANK(H697),"",VLOOKUP(H697,Code!B:C,2,FALSE))</f>
        <v>20</v>
      </c>
      <c r="D697">
        <v>2018</v>
      </c>
      <c r="E697">
        <v>209807</v>
      </c>
      <c r="F697" t="s">
        <v>185</v>
      </c>
      <c r="G697" t="s">
        <v>289</v>
      </c>
      <c r="H697" t="s">
        <v>8</v>
      </c>
      <c r="I697" cm="1">
        <f t="array" ref="I697">IF(B697=0,INDEX('Category 14'!F:F,MATCH(C697&amp;E697&amp;D697,'Category 14'!B:B&amp;'Category 14'!C:C&amp;'Category 14'!A:A,0)),INDEX('Category 14'!G:G,MATCH(C697&amp;E697&amp;D697,'Category 14'!B:B&amp;'Category 14'!C:C&amp;'Category 14'!A:A,0)))</f>
        <v>0</v>
      </c>
      <c r="J697">
        <f>I697/VLOOKUP($D697,CPI!$P$16:$R$22,3,FALSE)</f>
        <v>0</v>
      </c>
      <c r="K697" cm="1">
        <f t="array" ref="K697">IF(B697=0,INDEX('Category 15'!F:F,MATCH(C697&amp;E697&amp;D697,'Category 15'!B:B&amp;'Category 15'!C:C&amp;'Category 15'!A:A,0)),INDEX('Category 15'!G:G,MATCH(C697&amp;E697&amp;D697,'Category 15'!B:B&amp;'Category 31'!C:C&amp;'Category 15'!A:A,0)))</f>
        <v>0</v>
      </c>
      <c r="L697">
        <f>K697/VLOOKUP($D697,CPI!$P$16:$R$22,3,FALSE)</f>
        <v>0</v>
      </c>
      <c r="M697" s="16" cm="1">
        <f t="array" ref="M697">IF(B697=0,INDEX('Category 31'!F:F,MATCH(C697&amp;E697&amp;D697,'Category 31'!B:B&amp;'Category 31'!C:C&amp;'Category 31'!A:A,0)),INDEX('Category 31'!G:G,MATCH(C697&amp;E697&amp;D697,'Category 31'!B:B&amp;'Category 31'!C:C&amp;'Category 31'!A:A,0)))</f>
        <v>0</v>
      </c>
      <c r="N697" s="16">
        <f>M697/VLOOKUP($D697,CPI!$P$16:$R$22,3,FALSE)</f>
        <v>0</v>
      </c>
      <c r="O697">
        <v>0</v>
      </c>
    </row>
    <row r="698" spans="1:15" ht="16" thickBot="1" x14ac:dyDescent="0.25">
      <c r="A698" s="15">
        <v>2</v>
      </c>
      <c r="B698">
        <f t="shared" si="10"/>
        <v>0</v>
      </c>
      <c r="C698">
        <f>IF(ISBLANK(H698),"",VLOOKUP(H698,Code!B:C,2,FALSE))</f>
        <v>21</v>
      </c>
      <c r="D698">
        <v>2018</v>
      </c>
      <c r="E698">
        <v>209807</v>
      </c>
      <c r="F698" t="s">
        <v>185</v>
      </c>
      <c r="G698" t="s">
        <v>289</v>
      </c>
      <c r="H698" t="s">
        <v>36</v>
      </c>
      <c r="I698" cm="1">
        <f t="array" ref="I698">IF(B698=0,INDEX('Category 14'!F:F,MATCH(C698&amp;E698&amp;D698,'Category 14'!B:B&amp;'Category 14'!C:C&amp;'Category 14'!A:A,0)),INDEX('Category 14'!G:G,MATCH(C698&amp;E698&amp;D698,'Category 14'!B:B&amp;'Category 14'!C:C&amp;'Category 14'!A:A,0)))</f>
        <v>0</v>
      </c>
      <c r="J698">
        <f>I698/VLOOKUP($D698,CPI!$P$16:$R$22,3,FALSE)</f>
        <v>0</v>
      </c>
      <c r="K698" cm="1">
        <f t="array" ref="K698">IF(B698=0,INDEX('Category 15'!F:F,MATCH(C698&amp;E698&amp;D698,'Category 15'!B:B&amp;'Category 15'!C:C&amp;'Category 15'!A:A,0)),INDEX('Category 15'!G:G,MATCH(C698&amp;E698&amp;D698,'Category 15'!B:B&amp;'Category 31'!C:C&amp;'Category 15'!A:A,0)))</f>
        <v>0</v>
      </c>
      <c r="L698">
        <f>K698/VLOOKUP($D698,CPI!$P$16:$R$22,3,FALSE)</f>
        <v>0</v>
      </c>
      <c r="M698" s="16" cm="1">
        <f t="array" ref="M698">IF(B698=0,INDEX('Category 31'!F:F,MATCH(C698&amp;E698&amp;D698,'Category 31'!B:B&amp;'Category 31'!C:C&amp;'Category 31'!A:A,0)),INDEX('Category 31'!G:G,MATCH(C698&amp;E698&amp;D698,'Category 31'!B:B&amp;'Category 31'!C:C&amp;'Category 31'!A:A,0)))</f>
        <v>0</v>
      </c>
      <c r="N698" s="16">
        <f>M698/VLOOKUP($D698,CPI!$P$16:$R$22,3,FALSE)</f>
        <v>0</v>
      </c>
      <c r="O698">
        <v>0</v>
      </c>
    </row>
    <row r="699" spans="1:15" ht="16" thickBot="1" x14ac:dyDescent="0.25">
      <c r="A699" s="15">
        <v>2</v>
      </c>
      <c r="B699">
        <f t="shared" si="10"/>
        <v>1</v>
      </c>
      <c r="C699">
        <f>IF(ISBLANK(H699),"",VLOOKUP(H699,Code!B:C,2,FALSE))</f>
        <v>2</v>
      </c>
      <c r="D699">
        <v>2018</v>
      </c>
      <c r="E699">
        <v>209807</v>
      </c>
      <c r="F699" t="s">
        <v>185</v>
      </c>
      <c r="G699" t="s">
        <v>290</v>
      </c>
      <c r="H699" t="s">
        <v>1</v>
      </c>
      <c r="I699" cm="1">
        <f t="array" ref="I699">IF(B699=0,INDEX('Category 14'!F:F,MATCH(C699&amp;E699&amp;D699,'Category 14'!B:B&amp;'Category 14'!C:C&amp;'Category 14'!A:A,0)),INDEX('Category 14'!G:G,MATCH(C699&amp;E699&amp;D699,'Category 14'!B:B&amp;'Category 14'!C:C&amp;'Category 14'!A:A,0)))</f>
        <v>0</v>
      </c>
      <c r="J699">
        <f>I699/VLOOKUP($D699,CPI!$P$16:$R$22,3,FALSE)</f>
        <v>0</v>
      </c>
      <c r="K699" cm="1">
        <f t="array" ref="K699">IF(B699=0,INDEX('Category 15'!F:F,MATCH(C699&amp;E699&amp;D699,'Category 15'!B:B&amp;'Category 15'!C:C&amp;'Category 15'!A:A,0)),INDEX('Category 15'!G:G,MATCH(C699&amp;E699&amp;D699,'Category 15'!B:B&amp;'Category 31'!C:C&amp;'Category 15'!A:A,0)))</f>
        <v>0</v>
      </c>
      <c r="L699">
        <f>K699/VLOOKUP($D699,CPI!$P$16:$R$22,3,FALSE)</f>
        <v>0</v>
      </c>
      <c r="M699" s="16" cm="1">
        <f t="array" ref="M699">IF(B699=0,INDEX('Category 31'!F:F,MATCH(C699&amp;E699&amp;D699,'Category 31'!B:B&amp;'Category 31'!C:C&amp;'Category 31'!A:A,0)),INDEX('Category 31'!G:G,MATCH(C699&amp;E699&amp;D699,'Category 31'!B:B&amp;'Category 31'!C:C&amp;'Category 31'!A:A,0)))</f>
        <v>79</v>
      </c>
      <c r="N699" s="16">
        <f>M699/VLOOKUP($D699,CPI!$P$16:$R$22,3,FALSE)</f>
        <v>95.415855250961229</v>
      </c>
      <c r="O699">
        <f>VLOOKUP(E699,WBasketball!C:S,7,FALSE)</f>
        <v>3157</v>
      </c>
    </row>
    <row r="700" spans="1:15" ht="16" thickBot="1" x14ac:dyDescent="0.25">
      <c r="A700" s="15">
        <v>2</v>
      </c>
      <c r="B700">
        <f t="shared" si="10"/>
        <v>1</v>
      </c>
      <c r="C700">
        <f>IF(ISBLANK(H700),"",VLOOKUP(H700,Code!B:C,2,FALSE))</f>
        <v>9</v>
      </c>
      <c r="D700">
        <v>2018</v>
      </c>
      <c r="E700">
        <v>209807</v>
      </c>
      <c r="F700" t="s">
        <v>185</v>
      </c>
      <c r="G700" t="s">
        <v>290</v>
      </c>
      <c r="H700" t="s">
        <v>3</v>
      </c>
      <c r="I700" cm="1">
        <f t="array" ref="I700">IF(B700=0,INDEX('Category 14'!F:F,MATCH(C700&amp;E700&amp;D700,'Category 14'!B:B&amp;'Category 14'!C:C&amp;'Category 14'!A:A,0)),INDEX('Category 14'!G:G,MATCH(C700&amp;E700&amp;D700,'Category 14'!B:B&amp;'Category 14'!C:C&amp;'Category 14'!A:A,0)))</f>
        <v>0</v>
      </c>
      <c r="J700">
        <f>I700/VLOOKUP($D700,CPI!$P$16:$R$22,3,FALSE)</f>
        <v>0</v>
      </c>
      <c r="K700" cm="1">
        <f t="array" ref="K700">IF(B700=0,INDEX('Category 15'!F:F,MATCH(C700&amp;E700&amp;D700,'Category 15'!B:B&amp;'Category 15'!C:C&amp;'Category 15'!A:A,0)),INDEX('Category 15'!G:G,MATCH(C700&amp;E700&amp;D700,'Category 15'!B:B&amp;'Category 31'!C:C&amp;'Category 15'!A:A,0)))</f>
        <v>0</v>
      </c>
      <c r="L700">
        <f>K700/VLOOKUP($D700,CPI!$P$16:$R$22,3,FALSE)</f>
        <v>0</v>
      </c>
      <c r="M700" s="16" cm="1">
        <f t="array" ref="M700">IF(B700=0,INDEX('Category 31'!F:F,MATCH(C700&amp;E700&amp;D700,'Category 31'!B:B&amp;'Category 31'!C:C&amp;'Category 31'!A:A,0)),INDEX('Category 31'!G:G,MATCH(C700&amp;E700&amp;D700,'Category 31'!B:B&amp;'Category 31'!C:C&amp;'Category 31'!A:A,0)))</f>
        <v>0</v>
      </c>
      <c r="N700" s="16">
        <f>M700/VLOOKUP($D700,CPI!$P$16:$R$22,3,FALSE)</f>
        <v>0</v>
      </c>
      <c r="O700">
        <v>0</v>
      </c>
    </row>
    <row r="701" spans="1:15" ht="16" thickBot="1" x14ac:dyDescent="0.25">
      <c r="A701" s="15">
        <v>2</v>
      </c>
      <c r="B701">
        <f t="shared" si="10"/>
        <v>1</v>
      </c>
      <c r="C701">
        <f>IF(ISBLANK(H701),"",VLOOKUP(H701,Code!B:C,2,FALSE))</f>
        <v>17</v>
      </c>
      <c r="D701">
        <v>2018</v>
      </c>
      <c r="E701">
        <v>209807</v>
      </c>
      <c r="F701" t="s">
        <v>185</v>
      </c>
      <c r="G701" t="s">
        <v>290</v>
      </c>
      <c r="H701" t="s">
        <v>5</v>
      </c>
      <c r="I701" cm="1">
        <f t="array" ref="I701">IF(B701=0,INDEX('Category 14'!F:F,MATCH(C701&amp;E701&amp;D701,'Category 14'!B:B&amp;'Category 14'!C:C&amp;'Category 14'!A:A,0)),INDEX('Category 14'!G:G,MATCH(C701&amp;E701&amp;D701,'Category 14'!B:B&amp;'Category 14'!C:C&amp;'Category 14'!A:A,0)))</f>
        <v>0</v>
      </c>
      <c r="J701">
        <f>I701/VLOOKUP($D701,CPI!$P$16:$R$22,3,FALSE)</f>
        <v>0</v>
      </c>
      <c r="K701" cm="1">
        <f t="array" ref="K701">IF(B701=0,INDEX('Category 15'!F:F,MATCH(C701&amp;E701&amp;D701,'Category 15'!B:B&amp;'Category 15'!C:C&amp;'Category 15'!A:A,0)),INDEX('Category 15'!G:G,MATCH(C701&amp;E701&amp;D701,'Category 15'!B:B&amp;'Category 31'!C:C&amp;'Category 15'!A:A,0)))</f>
        <v>0</v>
      </c>
      <c r="L701">
        <f>K701/VLOOKUP($D701,CPI!$P$16:$R$22,3,FALSE)</f>
        <v>0</v>
      </c>
      <c r="M701" s="16" cm="1">
        <f t="array" ref="M701">IF(B701=0,INDEX('Category 31'!F:F,MATCH(C701&amp;E701&amp;D701,'Category 31'!B:B&amp;'Category 31'!C:C&amp;'Category 31'!A:A,0)),INDEX('Category 31'!G:G,MATCH(C701&amp;E701&amp;D701,'Category 31'!B:B&amp;'Category 31'!C:C&amp;'Category 31'!A:A,0)))</f>
        <v>0</v>
      </c>
      <c r="N701" s="16">
        <f>M701/VLOOKUP($D701,CPI!$P$16:$R$22,3,FALSE)</f>
        <v>0</v>
      </c>
      <c r="O701">
        <f>VLOOKUP(E701,WSoccer!C:S,7,FALSE)</f>
        <v>730</v>
      </c>
    </row>
    <row r="702" spans="1:15" ht="16" thickBot="1" x14ac:dyDescent="0.25">
      <c r="A702" s="15">
        <v>2</v>
      </c>
      <c r="B702">
        <f t="shared" si="10"/>
        <v>1</v>
      </c>
      <c r="C702">
        <f>IF(ISBLANK(H702),"",VLOOKUP(H702,Code!B:C,2,FALSE))</f>
        <v>18</v>
      </c>
      <c r="D702">
        <v>2018</v>
      </c>
      <c r="E702">
        <v>209807</v>
      </c>
      <c r="F702" t="s">
        <v>185</v>
      </c>
      <c r="G702" t="s">
        <v>290</v>
      </c>
      <c r="H702" t="s">
        <v>6</v>
      </c>
      <c r="I702" cm="1">
        <f t="array" ref="I702">IF(B702=0,INDEX('Category 14'!F:F,MATCH(C702&amp;E702&amp;D702,'Category 14'!B:B&amp;'Category 14'!C:C&amp;'Category 14'!A:A,0)),INDEX('Category 14'!G:G,MATCH(C702&amp;E702&amp;D702,'Category 14'!B:B&amp;'Category 14'!C:C&amp;'Category 14'!A:A,0)))</f>
        <v>0</v>
      </c>
      <c r="J702">
        <f>I702/VLOOKUP($D702,CPI!$P$16:$R$22,3,FALSE)</f>
        <v>0</v>
      </c>
      <c r="K702" cm="1">
        <f t="array" ref="K702">IF(B702=0,INDEX('Category 15'!F:F,MATCH(C702&amp;E702&amp;D702,'Category 15'!B:B&amp;'Category 15'!C:C&amp;'Category 15'!A:A,0)),INDEX('Category 15'!G:G,MATCH(C702&amp;E702&amp;D702,'Category 15'!B:B&amp;'Category 31'!C:C&amp;'Category 15'!A:A,0)))</f>
        <v>0</v>
      </c>
      <c r="L702">
        <f>K702/VLOOKUP($D702,CPI!$P$16:$R$22,3,FALSE)</f>
        <v>0</v>
      </c>
      <c r="M702" s="16" cm="1">
        <f t="array" ref="M702">IF(B702=0,INDEX('Category 31'!F:F,MATCH(C702&amp;E702&amp;D702,'Category 31'!B:B&amp;'Category 31'!C:C&amp;'Category 31'!A:A,0)),INDEX('Category 31'!G:G,MATCH(C702&amp;E702&amp;D702,'Category 31'!B:B&amp;'Category 31'!C:C&amp;'Category 31'!A:A,0)))</f>
        <v>0</v>
      </c>
      <c r="N702" s="16">
        <f>M702/VLOOKUP($D702,CPI!$P$16:$R$22,3,FALSE)</f>
        <v>0</v>
      </c>
      <c r="O702">
        <f>VLOOKUP(E702,WSoftball!C:S,7,FALSE)</f>
        <v>1823</v>
      </c>
    </row>
    <row r="703" spans="1:15" ht="16" thickBot="1" x14ac:dyDescent="0.25">
      <c r="A703" s="15">
        <v>2</v>
      </c>
      <c r="B703">
        <f t="shared" si="10"/>
        <v>1</v>
      </c>
      <c r="C703">
        <f>IF(ISBLANK(H703),"",VLOOKUP(H703,Code!B:C,2,FALSE))</f>
        <v>20</v>
      </c>
      <c r="D703">
        <v>2018</v>
      </c>
      <c r="E703">
        <v>209807</v>
      </c>
      <c r="F703" t="s">
        <v>185</v>
      </c>
      <c r="G703" t="s">
        <v>290</v>
      </c>
      <c r="H703" t="s">
        <v>8</v>
      </c>
      <c r="I703" cm="1">
        <f t="array" ref="I703">IF(B703=0,INDEX('Category 14'!F:F,MATCH(C703&amp;E703&amp;D703,'Category 14'!B:B&amp;'Category 14'!C:C&amp;'Category 14'!A:A,0)),INDEX('Category 14'!G:G,MATCH(C703&amp;E703&amp;D703,'Category 14'!B:B&amp;'Category 14'!C:C&amp;'Category 14'!A:A,0)))</f>
        <v>0</v>
      </c>
      <c r="J703">
        <f>I703/VLOOKUP($D703,CPI!$P$16:$R$22,3,FALSE)</f>
        <v>0</v>
      </c>
      <c r="K703" cm="1">
        <f t="array" ref="K703">IF(B703=0,INDEX('Category 15'!F:F,MATCH(C703&amp;E703&amp;D703,'Category 15'!B:B&amp;'Category 15'!C:C&amp;'Category 15'!A:A,0)),INDEX('Category 15'!G:G,MATCH(C703&amp;E703&amp;D703,'Category 15'!B:B&amp;'Category 31'!C:C&amp;'Category 15'!A:A,0)))</f>
        <v>0</v>
      </c>
      <c r="L703">
        <f>K703/VLOOKUP($D703,CPI!$P$16:$R$22,3,FALSE)</f>
        <v>0</v>
      </c>
      <c r="M703" s="16" cm="1">
        <f t="array" ref="M703">IF(B703=0,INDEX('Category 31'!F:F,MATCH(C703&amp;E703&amp;D703,'Category 31'!B:B&amp;'Category 31'!C:C&amp;'Category 31'!A:A,0)),INDEX('Category 31'!G:G,MATCH(C703&amp;E703&amp;D703,'Category 31'!B:B&amp;'Category 31'!C:C&amp;'Category 31'!A:A,0)))</f>
        <v>0</v>
      </c>
      <c r="N703" s="16">
        <f>M703/VLOOKUP($D703,CPI!$P$16:$R$22,3,FALSE)</f>
        <v>0</v>
      </c>
      <c r="O703">
        <v>0</v>
      </c>
    </row>
    <row r="704" spans="1:15" ht="16" thickBot="1" x14ac:dyDescent="0.25">
      <c r="A704" s="15">
        <v>2</v>
      </c>
      <c r="B704">
        <f t="shared" si="10"/>
        <v>1</v>
      </c>
      <c r="C704">
        <f>IF(ISBLANK(H704),"",VLOOKUP(H704,Code!B:C,2,FALSE))</f>
        <v>21</v>
      </c>
      <c r="D704">
        <v>2018</v>
      </c>
      <c r="E704">
        <v>209807</v>
      </c>
      <c r="F704" t="s">
        <v>185</v>
      </c>
      <c r="G704" t="s">
        <v>290</v>
      </c>
      <c r="H704" t="s">
        <v>36</v>
      </c>
      <c r="I704" cm="1">
        <f t="array" ref="I704">IF(B704=0,INDEX('Category 14'!F:F,MATCH(C704&amp;E704&amp;D704,'Category 14'!B:B&amp;'Category 14'!C:C&amp;'Category 14'!A:A,0)),INDEX('Category 14'!G:G,MATCH(C704&amp;E704&amp;D704,'Category 14'!B:B&amp;'Category 14'!C:C&amp;'Category 14'!A:A,0)))</f>
        <v>0</v>
      </c>
      <c r="J704">
        <f>I704/VLOOKUP($D704,CPI!$P$16:$R$22,3,FALSE)</f>
        <v>0</v>
      </c>
      <c r="K704" cm="1">
        <f t="array" ref="K704">IF(B704=0,INDEX('Category 15'!F:F,MATCH(C704&amp;E704&amp;D704,'Category 15'!B:B&amp;'Category 15'!C:C&amp;'Category 15'!A:A,0)),INDEX('Category 15'!G:G,MATCH(C704&amp;E704&amp;D704,'Category 15'!B:B&amp;'Category 31'!C:C&amp;'Category 15'!A:A,0)))</f>
        <v>0</v>
      </c>
      <c r="L704">
        <f>K704/VLOOKUP($D704,CPI!$P$16:$R$22,3,FALSE)</f>
        <v>0</v>
      </c>
      <c r="M704" s="16" cm="1">
        <f t="array" ref="M704">IF(B704=0,INDEX('Category 31'!F:F,MATCH(C704&amp;E704&amp;D704,'Category 31'!B:B&amp;'Category 31'!C:C&amp;'Category 31'!A:A,0)),INDEX('Category 31'!G:G,MATCH(C704&amp;E704&amp;D704,'Category 31'!B:B&amp;'Category 31'!C:C&amp;'Category 31'!A:A,0)))</f>
        <v>0</v>
      </c>
      <c r="N704" s="16">
        <f>M704/VLOOKUP($D704,CPI!$P$16:$R$22,3,FALSE)</f>
        <v>0</v>
      </c>
      <c r="O704">
        <v>0</v>
      </c>
    </row>
    <row r="705" spans="1:15" ht="16" thickBot="1" x14ac:dyDescent="0.25">
      <c r="A705" s="15">
        <v>2</v>
      </c>
      <c r="B705">
        <f t="shared" si="10"/>
        <v>1</v>
      </c>
      <c r="C705">
        <f>IF(ISBLANK(H705),"",VLOOKUP(H705,Code!B:C,2,FALSE))</f>
        <v>23</v>
      </c>
      <c r="D705">
        <v>2018</v>
      </c>
      <c r="E705">
        <v>209807</v>
      </c>
      <c r="F705" t="s">
        <v>185</v>
      </c>
      <c r="G705" t="s">
        <v>290</v>
      </c>
      <c r="H705" t="s">
        <v>10</v>
      </c>
      <c r="I705" cm="1">
        <f t="array" ref="I705">IF(B705=0,INDEX('Category 14'!F:F,MATCH(C705&amp;E705&amp;D705,'Category 14'!B:B&amp;'Category 14'!C:C&amp;'Category 14'!A:A,0)),INDEX('Category 14'!G:G,MATCH(C705&amp;E705&amp;D705,'Category 14'!B:B&amp;'Category 14'!C:C&amp;'Category 14'!A:A,0)))</f>
        <v>0</v>
      </c>
      <c r="J705">
        <f>I705/VLOOKUP($D705,CPI!$P$16:$R$22,3,FALSE)</f>
        <v>0</v>
      </c>
      <c r="K705" cm="1">
        <f t="array" ref="K705">IF(B705=0,INDEX('Category 15'!F:F,MATCH(C705&amp;E705&amp;D705,'Category 15'!B:B&amp;'Category 15'!C:C&amp;'Category 15'!A:A,0)),INDEX('Category 15'!G:G,MATCH(C705&amp;E705&amp;D705,'Category 15'!B:B&amp;'Category 31'!C:C&amp;'Category 15'!A:A,0)))</f>
        <v>0</v>
      </c>
      <c r="L705">
        <f>K705/VLOOKUP($D705,CPI!$P$16:$R$22,3,FALSE)</f>
        <v>0</v>
      </c>
      <c r="M705" s="16" cm="1">
        <f t="array" ref="M705">IF(B705=0,INDEX('Category 31'!F:F,MATCH(C705&amp;E705&amp;D705,'Category 31'!B:B&amp;'Category 31'!C:C&amp;'Category 31'!A:A,0)),INDEX('Category 31'!G:G,MATCH(C705&amp;E705&amp;D705,'Category 31'!B:B&amp;'Category 31'!C:C&amp;'Category 31'!A:A,0)))</f>
        <v>0</v>
      </c>
      <c r="N705" s="16">
        <f>M705/VLOOKUP($D705,CPI!$P$16:$R$22,3,FALSE)</f>
        <v>0</v>
      </c>
      <c r="O705">
        <f>VLOOKUP(E705,WVolleyball!C:S,7,FALSE)</f>
        <v>2885</v>
      </c>
    </row>
    <row r="706" spans="1:15" ht="16" thickBot="1" x14ac:dyDescent="0.25">
      <c r="A706" s="15">
        <v>2</v>
      </c>
      <c r="B706">
        <f t="shared" si="10"/>
        <v>0</v>
      </c>
      <c r="C706">
        <f>IF(ISBLANK(H706),"",VLOOKUP(H706,Code!B:C,2,FALSE))</f>
        <v>2</v>
      </c>
      <c r="D706">
        <v>2019</v>
      </c>
      <c r="E706">
        <v>209807</v>
      </c>
      <c r="F706" t="s">
        <v>185</v>
      </c>
      <c r="G706" t="s">
        <v>289</v>
      </c>
      <c r="H706" t="s">
        <v>1</v>
      </c>
      <c r="I706" cm="1">
        <f t="array" ref="I706">IF(B706=0,INDEX('Category 14'!F:F,MATCH(C706&amp;E706&amp;D706,'Category 14'!B:B&amp;'Category 14'!C:C&amp;'Category 14'!A:A,0)),INDEX('Category 14'!G:G,MATCH(C706&amp;E706&amp;D706,'Category 14'!B:B&amp;'Category 14'!C:C&amp;'Category 14'!A:A,0)))</f>
        <v>0</v>
      </c>
      <c r="J706">
        <f>I706/VLOOKUP($D706,CPI!$P$16:$R$22,3,FALSE)</f>
        <v>0</v>
      </c>
      <c r="K706" cm="1">
        <f t="array" ref="K706">IF(B706=0,INDEX('Category 15'!F:F,MATCH(C706&amp;E706&amp;D706,'Category 15'!B:B&amp;'Category 15'!C:C&amp;'Category 15'!A:A,0)),INDEX('Category 15'!G:G,MATCH(C706&amp;E706&amp;D706,'Category 15'!B:B&amp;'Category 31'!C:C&amp;'Category 15'!A:A,0)))</f>
        <v>0</v>
      </c>
      <c r="L706">
        <f>K706/VLOOKUP($D706,CPI!$P$16:$R$22,3,FALSE)</f>
        <v>0</v>
      </c>
      <c r="M706" s="16" cm="1">
        <f t="array" ref="M706">IF(B706=0,INDEX('Category 31'!F:F,MATCH(C706&amp;E706&amp;D706,'Category 31'!B:B&amp;'Category 31'!C:C&amp;'Category 31'!A:A,0)),INDEX('Category 31'!G:G,MATCH(C706&amp;E706&amp;D706,'Category 31'!B:B&amp;'Category 31'!C:C&amp;'Category 31'!A:A,0)))</f>
        <v>0</v>
      </c>
      <c r="N706" s="16">
        <f>M706/VLOOKUP($D706,CPI!$P$16:$R$22,3,FALSE)</f>
        <v>0</v>
      </c>
      <c r="O706">
        <f>VLOOKUP(E706,MBasketball!C:S,8,FALSE)</f>
        <v>19807</v>
      </c>
    </row>
    <row r="707" spans="1:15" ht="16" thickBot="1" x14ac:dyDescent="0.25">
      <c r="A707" s="15">
        <v>2</v>
      </c>
      <c r="B707">
        <f t="shared" ref="B707:B770" si="11">IF(ISBLANK(G707),"",IF(MID(G707,1,1)="M",0,1))</f>
        <v>0</v>
      </c>
      <c r="C707">
        <f>IF(ISBLANK(H707),"",VLOOKUP(H707,Code!B:C,2,FALSE))</f>
        <v>8</v>
      </c>
      <c r="D707">
        <v>2019</v>
      </c>
      <c r="E707">
        <v>209807</v>
      </c>
      <c r="F707" t="s">
        <v>185</v>
      </c>
      <c r="G707" t="s">
        <v>289</v>
      </c>
      <c r="H707" t="s">
        <v>2</v>
      </c>
      <c r="I707" cm="1">
        <f t="array" ref="I707">IF(B707=0,INDEX('Category 14'!F:F,MATCH(C707&amp;E707&amp;D707,'Category 14'!B:B&amp;'Category 14'!C:C&amp;'Category 14'!A:A,0)),INDEX('Category 14'!G:G,MATCH(C707&amp;E707&amp;D707,'Category 14'!B:B&amp;'Category 14'!C:C&amp;'Category 14'!A:A,0)))</f>
        <v>0</v>
      </c>
      <c r="J707">
        <f>I707/VLOOKUP($D707,CPI!$P$16:$R$22,3,FALSE)</f>
        <v>0</v>
      </c>
      <c r="K707" cm="1">
        <f t="array" ref="K707">IF(B707=0,INDEX('Category 15'!F:F,MATCH(C707&amp;E707&amp;D707,'Category 15'!B:B&amp;'Category 15'!C:C&amp;'Category 15'!A:A,0)),INDEX('Category 15'!G:G,MATCH(C707&amp;E707&amp;D707,'Category 15'!B:B&amp;'Category 31'!C:C&amp;'Category 15'!A:A,0)))</f>
        <v>0</v>
      </c>
      <c r="L707">
        <f>K707/VLOOKUP($D707,CPI!$P$16:$R$22,3,FALSE)</f>
        <v>0</v>
      </c>
      <c r="M707" s="16" cm="1">
        <f t="array" ref="M707">IF(B707=0,INDEX('Category 31'!F:F,MATCH(C707&amp;E707&amp;D707,'Category 31'!B:B&amp;'Category 31'!C:C&amp;'Category 31'!A:A,0)),INDEX('Category 31'!G:G,MATCH(C707&amp;E707&amp;D707,'Category 31'!B:B&amp;'Category 31'!C:C&amp;'Category 31'!A:A,0)))</f>
        <v>0</v>
      </c>
      <c r="N707" s="16">
        <f>M707/VLOOKUP($D707,CPI!$P$16:$R$22,3,FALSE)</f>
        <v>0</v>
      </c>
      <c r="O707">
        <f>VLOOKUP(E707,MFootball!C:S,8,FALSE)</f>
        <v>18993</v>
      </c>
    </row>
    <row r="708" spans="1:15" ht="16" thickBot="1" x14ac:dyDescent="0.25">
      <c r="A708" s="15">
        <v>2</v>
      </c>
      <c r="B708">
        <f t="shared" si="11"/>
        <v>0</v>
      </c>
      <c r="C708">
        <f>IF(ISBLANK(H708),"",VLOOKUP(H708,Code!B:C,2,FALSE))</f>
        <v>20</v>
      </c>
      <c r="D708">
        <v>2019</v>
      </c>
      <c r="E708">
        <v>209807</v>
      </c>
      <c r="F708" t="s">
        <v>185</v>
      </c>
      <c r="G708" t="s">
        <v>289</v>
      </c>
      <c r="H708" t="s">
        <v>8</v>
      </c>
      <c r="I708" cm="1">
        <f t="array" ref="I708">IF(B708=0,INDEX('Category 14'!F:F,MATCH(C708&amp;E708&amp;D708,'Category 14'!B:B&amp;'Category 14'!C:C&amp;'Category 14'!A:A,0)),INDEX('Category 14'!G:G,MATCH(C708&amp;E708&amp;D708,'Category 14'!B:B&amp;'Category 14'!C:C&amp;'Category 14'!A:A,0)))</f>
        <v>0</v>
      </c>
      <c r="J708">
        <f>I708/VLOOKUP($D708,CPI!$P$16:$R$22,3,FALSE)</f>
        <v>0</v>
      </c>
      <c r="K708" cm="1">
        <f t="array" ref="K708">IF(B708=0,INDEX('Category 15'!F:F,MATCH(C708&amp;E708&amp;D708,'Category 15'!B:B&amp;'Category 15'!C:C&amp;'Category 15'!A:A,0)),INDEX('Category 15'!G:G,MATCH(C708&amp;E708&amp;D708,'Category 15'!B:B&amp;'Category 31'!C:C&amp;'Category 15'!A:A,0)))</f>
        <v>0</v>
      </c>
      <c r="L708">
        <f>K708/VLOOKUP($D708,CPI!$P$16:$R$22,3,FALSE)</f>
        <v>0</v>
      </c>
      <c r="M708" s="16" cm="1">
        <f t="array" ref="M708">IF(B708=0,INDEX('Category 31'!F:F,MATCH(C708&amp;E708&amp;D708,'Category 31'!B:B&amp;'Category 31'!C:C&amp;'Category 31'!A:A,0)),INDEX('Category 31'!G:G,MATCH(C708&amp;E708&amp;D708,'Category 31'!B:B&amp;'Category 31'!C:C&amp;'Category 31'!A:A,0)))</f>
        <v>0</v>
      </c>
      <c r="N708" s="16">
        <f>M708/VLOOKUP($D708,CPI!$P$16:$R$22,3,FALSE)</f>
        <v>0</v>
      </c>
      <c r="O708">
        <v>0</v>
      </c>
    </row>
    <row r="709" spans="1:15" ht="16" thickBot="1" x14ac:dyDescent="0.25">
      <c r="A709" s="15">
        <v>2</v>
      </c>
      <c r="B709">
        <f t="shared" si="11"/>
        <v>0</v>
      </c>
      <c r="C709">
        <f>IF(ISBLANK(H709),"",VLOOKUP(H709,Code!B:C,2,FALSE))</f>
        <v>21</v>
      </c>
      <c r="D709">
        <v>2019</v>
      </c>
      <c r="E709">
        <v>209807</v>
      </c>
      <c r="F709" t="s">
        <v>185</v>
      </c>
      <c r="G709" t="s">
        <v>289</v>
      </c>
      <c r="H709" t="s">
        <v>36</v>
      </c>
      <c r="I709" cm="1">
        <f t="array" ref="I709">IF(B709=0,INDEX('Category 14'!F:F,MATCH(C709&amp;E709&amp;D709,'Category 14'!B:B&amp;'Category 14'!C:C&amp;'Category 14'!A:A,0)),INDEX('Category 14'!G:G,MATCH(C709&amp;E709&amp;D709,'Category 14'!B:B&amp;'Category 14'!C:C&amp;'Category 14'!A:A,0)))</f>
        <v>0</v>
      </c>
      <c r="J709">
        <f>I709/VLOOKUP($D709,CPI!$P$16:$R$22,3,FALSE)</f>
        <v>0</v>
      </c>
      <c r="K709" cm="1">
        <f t="array" ref="K709">IF(B709=0,INDEX('Category 15'!F:F,MATCH(C709&amp;E709&amp;D709,'Category 15'!B:B&amp;'Category 15'!C:C&amp;'Category 15'!A:A,0)),INDEX('Category 15'!G:G,MATCH(C709&amp;E709&amp;D709,'Category 15'!B:B&amp;'Category 31'!C:C&amp;'Category 15'!A:A,0)))</f>
        <v>0</v>
      </c>
      <c r="L709">
        <f>K709/VLOOKUP($D709,CPI!$P$16:$R$22,3,FALSE)</f>
        <v>0</v>
      </c>
      <c r="M709" s="16" cm="1">
        <f t="array" ref="M709">IF(B709=0,INDEX('Category 31'!F:F,MATCH(C709&amp;E709&amp;D709,'Category 31'!B:B&amp;'Category 31'!C:C&amp;'Category 31'!A:A,0)),INDEX('Category 31'!G:G,MATCH(C709&amp;E709&amp;D709,'Category 31'!B:B&amp;'Category 31'!C:C&amp;'Category 31'!A:A,0)))</f>
        <v>0</v>
      </c>
      <c r="N709" s="16">
        <f>M709/VLOOKUP($D709,CPI!$P$16:$R$22,3,FALSE)</f>
        <v>0</v>
      </c>
      <c r="O709">
        <v>0</v>
      </c>
    </row>
    <row r="710" spans="1:15" ht="16" thickBot="1" x14ac:dyDescent="0.25">
      <c r="A710" s="15">
        <v>2</v>
      </c>
      <c r="B710">
        <f t="shared" si="11"/>
        <v>1</v>
      </c>
      <c r="C710">
        <f>IF(ISBLANK(H710),"",VLOOKUP(H710,Code!B:C,2,FALSE))</f>
        <v>2</v>
      </c>
      <c r="D710">
        <v>2019</v>
      </c>
      <c r="E710">
        <v>209807</v>
      </c>
      <c r="F710" t="s">
        <v>185</v>
      </c>
      <c r="G710" t="s">
        <v>290</v>
      </c>
      <c r="H710" t="s">
        <v>1</v>
      </c>
      <c r="I710" cm="1">
        <f t="array" ref="I710">IF(B710=0,INDEX('Category 14'!F:F,MATCH(C710&amp;E710&amp;D710,'Category 14'!B:B&amp;'Category 14'!C:C&amp;'Category 14'!A:A,0)),INDEX('Category 14'!G:G,MATCH(C710&amp;E710&amp;D710,'Category 14'!B:B&amp;'Category 14'!C:C&amp;'Category 14'!A:A,0)))</f>
        <v>0</v>
      </c>
      <c r="J710">
        <f>I710/VLOOKUP($D710,CPI!$P$16:$R$22,3,FALSE)</f>
        <v>0</v>
      </c>
      <c r="K710" cm="1">
        <f t="array" ref="K710">IF(B710=0,INDEX('Category 15'!F:F,MATCH(C710&amp;E710&amp;D710,'Category 15'!B:B&amp;'Category 15'!C:C&amp;'Category 15'!A:A,0)),INDEX('Category 15'!G:G,MATCH(C710&amp;E710&amp;D710,'Category 15'!B:B&amp;'Category 31'!C:C&amp;'Category 15'!A:A,0)))</f>
        <v>0</v>
      </c>
      <c r="L710">
        <f>K710/VLOOKUP($D710,CPI!$P$16:$R$22,3,FALSE)</f>
        <v>0</v>
      </c>
      <c r="M710" s="16" cm="1">
        <f t="array" ref="M710">IF(B710=0,INDEX('Category 31'!F:F,MATCH(C710&amp;E710&amp;D710,'Category 31'!B:B&amp;'Category 31'!C:C&amp;'Category 31'!A:A,0)),INDEX('Category 31'!G:G,MATCH(C710&amp;E710&amp;D710,'Category 31'!B:B&amp;'Category 31'!C:C&amp;'Category 31'!A:A,0)))</f>
        <v>0</v>
      </c>
      <c r="N710" s="16">
        <f>M710/VLOOKUP($D710,CPI!$P$16:$R$22,3,FALSE)</f>
        <v>0</v>
      </c>
      <c r="O710">
        <f>VLOOKUP(E710,WBasketball!C:S,8,FALSE)</f>
        <v>8202</v>
      </c>
    </row>
    <row r="711" spans="1:15" ht="16" thickBot="1" x14ac:dyDescent="0.25">
      <c r="A711" s="15">
        <v>2</v>
      </c>
      <c r="B711">
        <f t="shared" si="11"/>
        <v>1</v>
      </c>
      <c r="C711">
        <f>IF(ISBLANK(H711),"",VLOOKUP(H711,Code!B:C,2,FALSE))</f>
        <v>9</v>
      </c>
      <c r="D711">
        <v>2019</v>
      </c>
      <c r="E711">
        <v>209807</v>
      </c>
      <c r="F711" t="s">
        <v>185</v>
      </c>
      <c r="G711" t="s">
        <v>290</v>
      </c>
      <c r="H711" t="s">
        <v>3</v>
      </c>
      <c r="I711" cm="1">
        <f t="array" ref="I711">IF(B711=0,INDEX('Category 14'!F:F,MATCH(C711&amp;E711&amp;D711,'Category 14'!B:B&amp;'Category 14'!C:C&amp;'Category 14'!A:A,0)),INDEX('Category 14'!G:G,MATCH(C711&amp;E711&amp;D711,'Category 14'!B:B&amp;'Category 14'!C:C&amp;'Category 14'!A:A,0)))</f>
        <v>0</v>
      </c>
      <c r="J711">
        <f>I711/VLOOKUP($D711,CPI!$P$16:$R$22,3,FALSE)</f>
        <v>0</v>
      </c>
      <c r="K711" cm="1">
        <f t="array" ref="K711">IF(B711=0,INDEX('Category 15'!F:F,MATCH(C711&amp;E711&amp;D711,'Category 15'!B:B&amp;'Category 15'!C:C&amp;'Category 15'!A:A,0)),INDEX('Category 15'!G:G,MATCH(C711&amp;E711&amp;D711,'Category 15'!B:B&amp;'Category 31'!C:C&amp;'Category 15'!A:A,0)))</f>
        <v>0</v>
      </c>
      <c r="L711">
        <f>K711/VLOOKUP($D711,CPI!$P$16:$R$22,3,FALSE)</f>
        <v>0</v>
      </c>
      <c r="M711" s="16" cm="1">
        <f t="array" ref="M711">IF(B711=0,INDEX('Category 31'!F:F,MATCH(C711&amp;E711&amp;D711,'Category 31'!B:B&amp;'Category 31'!C:C&amp;'Category 31'!A:A,0)),INDEX('Category 31'!G:G,MATCH(C711&amp;E711&amp;D711,'Category 31'!B:B&amp;'Category 31'!C:C&amp;'Category 31'!A:A,0)))</f>
        <v>0</v>
      </c>
      <c r="N711" s="16">
        <f>M711/VLOOKUP($D711,CPI!$P$16:$R$22,3,FALSE)</f>
        <v>0</v>
      </c>
      <c r="O711">
        <v>0</v>
      </c>
    </row>
    <row r="712" spans="1:15" ht="16" thickBot="1" x14ac:dyDescent="0.25">
      <c r="A712" s="15">
        <v>2</v>
      </c>
      <c r="B712">
        <f t="shared" si="11"/>
        <v>1</v>
      </c>
      <c r="C712">
        <f>IF(ISBLANK(H712),"",VLOOKUP(H712,Code!B:C,2,FALSE))</f>
        <v>17</v>
      </c>
      <c r="D712">
        <v>2019</v>
      </c>
      <c r="E712">
        <v>209807</v>
      </c>
      <c r="F712" t="s">
        <v>185</v>
      </c>
      <c r="G712" t="s">
        <v>290</v>
      </c>
      <c r="H712" t="s">
        <v>5</v>
      </c>
      <c r="I712" cm="1">
        <f t="array" ref="I712">IF(B712=0,INDEX('Category 14'!F:F,MATCH(C712&amp;E712&amp;D712,'Category 14'!B:B&amp;'Category 14'!C:C&amp;'Category 14'!A:A,0)),INDEX('Category 14'!G:G,MATCH(C712&amp;E712&amp;D712,'Category 14'!B:B&amp;'Category 14'!C:C&amp;'Category 14'!A:A,0)))</f>
        <v>0</v>
      </c>
      <c r="J712">
        <f>I712/VLOOKUP($D712,CPI!$P$16:$R$22,3,FALSE)</f>
        <v>0</v>
      </c>
      <c r="K712" cm="1">
        <f t="array" ref="K712">IF(B712=0,INDEX('Category 15'!F:F,MATCH(C712&amp;E712&amp;D712,'Category 15'!B:B&amp;'Category 15'!C:C&amp;'Category 15'!A:A,0)),INDEX('Category 15'!G:G,MATCH(C712&amp;E712&amp;D712,'Category 15'!B:B&amp;'Category 31'!C:C&amp;'Category 15'!A:A,0)))</f>
        <v>0</v>
      </c>
      <c r="L712">
        <f>K712/VLOOKUP($D712,CPI!$P$16:$R$22,3,FALSE)</f>
        <v>0</v>
      </c>
      <c r="M712" s="16" cm="1">
        <f t="array" ref="M712">IF(B712=0,INDEX('Category 31'!F:F,MATCH(C712&amp;E712&amp;D712,'Category 31'!B:B&amp;'Category 31'!C:C&amp;'Category 31'!A:A,0)),INDEX('Category 31'!G:G,MATCH(C712&amp;E712&amp;D712,'Category 31'!B:B&amp;'Category 31'!C:C&amp;'Category 31'!A:A,0)))</f>
        <v>0</v>
      </c>
      <c r="N712" s="16">
        <f>M712/VLOOKUP($D712,CPI!$P$16:$R$22,3,FALSE)</f>
        <v>0</v>
      </c>
      <c r="O712">
        <f>VLOOKUP(E712,WSoccer!C:S,8,FALSE)</f>
        <v>671</v>
      </c>
    </row>
    <row r="713" spans="1:15" ht="16" thickBot="1" x14ac:dyDescent="0.25">
      <c r="A713" s="15">
        <v>2</v>
      </c>
      <c r="B713">
        <f t="shared" si="11"/>
        <v>1</v>
      </c>
      <c r="C713">
        <f>IF(ISBLANK(H713),"",VLOOKUP(H713,Code!B:C,2,FALSE))</f>
        <v>18</v>
      </c>
      <c r="D713">
        <v>2019</v>
      </c>
      <c r="E713">
        <v>209807</v>
      </c>
      <c r="F713" t="s">
        <v>185</v>
      </c>
      <c r="G713" t="s">
        <v>290</v>
      </c>
      <c r="H713" t="s">
        <v>6</v>
      </c>
      <c r="I713" cm="1">
        <f t="array" ref="I713">IF(B713=0,INDEX('Category 14'!F:F,MATCH(C713&amp;E713&amp;D713,'Category 14'!B:B&amp;'Category 14'!C:C&amp;'Category 14'!A:A,0)),INDEX('Category 14'!G:G,MATCH(C713&amp;E713&amp;D713,'Category 14'!B:B&amp;'Category 14'!C:C&amp;'Category 14'!A:A,0)))</f>
        <v>0</v>
      </c>
      <c r="J713">
        <f>I713/VLOOKUP($D713,CPI!$P$16:$R$22,3,FALSE)</f>
        <v>0</v>
      </c>
      <c r="K713" cm="1">
        <f t="array" ref="K713">IF(B713=0,INDEX('Category 15'!F:F,MATCH(C713&amp;E713&amp;D713,'Category 15'!B:B&amp;'Category 15'!C:C&amp;'Category 15'!A:A,0)),INDEX('Category 15'!G:G,MATCH(C713&amp;E713&amp;D713,'Category 15'!B:B&amp;'Category 31'!C:C&amp;'Category 15'!A:A,0)))</f>
        <v>0</v>
      </c>
      <c r="L713">
        <f>K713/VLOOKUP($D713,CPI!$P$16:$R$22,3,FALSE)</f>
        <v>0</v>
      </c>
      <c r="M713" s="16" cm="1">
        <f t="array" ref="M713">IF(B713=0,INDEX('Category 31'!F:F,MATCH(C713&amp;E713&amp;D713,'Category 31'!B:B&amp;'Category 31'!C:C&amp;'Category 31'!A:A,0)),INDEX('Category 31'!G:G,MATCH(C713&amp;E713&amp;D713,'Category 31'!B:B&amp;'Category 31'!C:C&amp;'Category 31'!A:A,0)))</f>
        <v>0</v>
      </c>
      <c r="N713" s="16">
        <f>M713/VLOOKUP($D713,CPI!$P$16:$R$22,3,FALSE)</f>
        <v>0</v>
      </c>
      <c r="O713">
        <f>VLOOKUP(E713,WSoftball!C:S,8,FALSE)</f>
        <v>1565</v>
      </c>
    </row>
    <row r="714" spans="1:15" ht="16" thickBot="1" x14ac:dyDescent="0.25">
      <c r="A714" s="15">
        <v>2</v>
      </c>
      <c r="B714">
        <f t="shared" si="11"/>
        <v>1</v>
      </c>
      <c r="C714">
        <f>IF(ISBLANK(H714),"",VLOOKUP(H714,Code!B:C,2,FALSE))</f>
        <v>20</v>
      </c>
      <c r="D714">
        <v>2019</v>
      </c>
      <c r="E714">
        <v>209807</v>
      </c>
      <c r="F714" t="s">
        <v>185</v>
      </c>
      <c r="G714" t="s">
        <v>290</v>
      </c>
      <c r="H714" t="s">
        <v>8</v>
      </c>
      <c r="I714" cm="1">
        <f t="array" ref="I714">IF(B714=0,INDEX('Category 14'!F:F,MATCH(C714&amp;E714&amp;D714,'Category 14'!B:B&amp;'Category 14'!C:C&amp;'Category 14'!A:A,0)),INDEX('Category 14'!G:G,MATCH(C714&amp;E714&amp;D714,'Category 14'!B:B&amp;'Category 14'!C:C&amp;'Category 14'!A:A,0)))</f>
        <v>0</v>
      </c>
      <c r="J714">
        <f>I714/VLOOKUP($D714,CPI!$P$16:$R$22,3,FALSE)</f>
        <v>0</v>
      </c>
      <c r="K714" cm="1">
        <f t="array" ref="K714">IF(B714=0,INDEX('Category 15'!F:F,MATCH(C714&amp;E714&amp;D714,'Category 15'!B:B&amp;'Category 15'!C:C&amp;'Category 15'!A:A,0)),INDEX('Category 15'!G:G,MATCH(C714&amp;E714&amp;D714,'Category 15'!B:B&amp;'Category 31'!C:C&amp;'Category 15'!A:A,0)))</f>
        <v>0</v>
      </c>
      <c r="L714">
        <f>K714/VLOOKUP($D714,CPI!$P$16:$R$22,3,FALSE)</f>
        <v>0</v>
      </c>
      <c r="M714" s="16" cm="1">
        <f t="array" ref="M714">IF(B714=0,INDEX('Category 31'!F:F,MATCH(C714&amp;E714&amp;D714,'Category 31'!B:B&amp;'Category 31'!C:C&amp;'Category 31'!A:A,0)),INDEX('Category 31'!G:G,MATCH(C714&amp;E714&amp;D714,'Category 31'!B:B&amp;'Category 31'!C:C&amp;'Category 31'!A:A,0)))</f>
        <v>0</v>
      </c>
      <c r="N714" s="16">
        <f>M714/VLOOKUP($D714,CPI!$P$16:$R$22,3,FALSE)</f>
        <v>0</v>
      </c>
      <c r="O714">
        <v>0</v>
      </c>
    </row>
    <row r="715" spans="1:15" ht="16" thickBot="1" x14ac:dyDescent="0.25">
      <c r="A715" s="15">
        <v>2</v>
      </c>
      <c r="B715">
        <f t="shared" si="11"/>
        <v>1</v>
      </c>
      <c r="C715">
        <f>IF(ISBLANK(H715),"",VLOOKUP(H715,Code!B:C,2,FALSE))</f>
        <v>21</v>
      </c>
      <c r="D715">
        <v>2019</v>
      </c>
      <c r="E715">
        <v>209807</v>
      </c>
      <c r="F715" t="s">
        <v>185</v>
      </c>
      <c r="G715" t="s">
        <v>290</v>
      </c>
      <c r="H715" t="s">
        <v>36</v>
      </c>
      <c r="I715" cm="1">
        <f t="array" ref="I715">IF(B715=0,INDEX('Category 14'!F:F,MATCH(C715&amp;E715&amp;D715,'Category 14'!B:B&amp;'Category 14'!C:C&amp;'Category 14'!A:A,0)),INDEX('Category 14'!G:G,MATCH(C715&amp;E715&amp;D715,'Category 14'!B:B&amp;'Category 14'!C:C&amp;'Category 14'!A:A,0)))</f>
        <v>0</v>
      </c>
      <c r="J715">
        <f>I715/VLOOKUP($D715,CPI!$P$16:$R$22,3,FALSE)</f>
        <v>0</v>
      </c>
      <c r="K715" cm="1">
        <f t="array" ref="K715">IF(B715=0,INDEX('Category 15'!F:F,MATCH(C715&amp;E715&amp;D715,'Category 15'!B:B&amp;'Category 15'!C:C&amp;'Category 15'!A:A,0)),INDEX('Category 15'!G:G,MATCH(C715&amp;E715&amp;D715,'Category 15'!B:B&amp;'Category 31'!C:C&amp;'Category 15'!A:A,0)))</f>
        <v>0</v>
      </c>
      <c r="L715">
        <f>K715/VLOOKUP($D715,CPI!$P$16:$R$22,3,FALSE)</f>
        <v>0</v>
      </c>
      <c r="M715" s="16" cm="1">
        <f t="array" ref="M715">IF(B715=0,INDEX('Category 31'!F:F,MATCH(C715&amp;E715&amp;D715,'Category 31'!B:B&amp;'Category 31'!C:C&amp;'Category 31'!A:A,0)),INDEX('Category 31'!G:G,MATCH(C715&amp;E715&amp;D715,'Category 31'!B:B&amp;'Category 31'!C:C&amp;'Category 31'!A:A,0)))</f>
        <v>0</v>
      </c>
      <c r="N715" s="16">
        <f>M715/VLOOKUP($D715,CPI!$P$16:$R$22,3,FALSE)</f>
        <v>0</v>
      </c>
      <c r="O715">
        <v>0</v>
      </c>
    </row>
    <row r="716" spans="1:15" ht="16" thickBot="1" x14ac:dyDescent="0.25">
      <c r="A716" s="15">
        <v>2</v>
      </c>
      <c r="B716">
        <f t="shared" si="11"/>
        <v>1</v>
      </c>
      <c r="C716">
        <f>IF(ISBLANK(H716),"",VLOOKUP(H716,Code!B:C,2,FALSE))</f>
        <v>23</v>
      </c>
      <c r="D716">
        <v>2019</v>
      </c>
      <c r="E716">
        <v>209807</v>
      </c>
      <c r="F716" t="s">
        <v>185</v>
      </c>
      <c r="G716" t="s">
        <v>290</v>
      </c>
      <c r="H716" t="s">
        <v>10</v>
      </c>
      <c r="I716" cm="1">
        <f t="array" ref="I716">IF(B716=0,INDEX('Category 14'!F:F,MATCH(C716&amp;E716&amp;D716,'Category 14'!B:B&amp;'Category 14'!C:C&amp;'Category 14'!A:A,0)),INDEX('Category 14'!G:G,MATCH(C716&amp;E716&amp;D716,'Category 14'!B:B&amp;'Category 14'!C:C&amp;'Category 14'!A:A,0)))</f>
        <v>0</v>
      </c>
      <c r="J716">
        <f>I716/VLOOKUP($D716,CPI!$P$16:$R$22,3,FALSE)</f>
        <v>0</v>
      </c>
      <c r="K716" cm="1">
        <f t="array" ref="K716">IF(B716=0,INDEX('Category 15'!F:F,MATCH(C716&amp;E716&amp;D716,'Category 15'!B:B&amp;'Category 15'!C:C&amp;'Category 15'!A:A,0)),INDEX('Category 15'!G:G,MATCH(C716&amp;E716&amp;D716,'Category 15'!B:B&amp;'Category 31'!C:C&amp;'Category 15'!A:A,0)))</f>
        <v>0</v>
      </c>
      <c r="L716">
        <f>K716/VLOOKUP($D716,CPI!$P$16:$R$22,3,FALSE)</f>
        <v>0</v>
      </c>
      <c r="M716" s="16" cm="1">
        <f t="array" ref="M716">IF(B716=0,INDEX('Category 31'!F:F,MATCH(C716&amp;E716&amp;D716,'Category 31'!B:B&amp;'Category 31'!C:C&amp;'Category 31'!A:A,0)),INDEX('Category 31'!G:G,MATCH(C716&amp;E716&amp;D716,'Category 31'!B:B&amp;'Category 31'!C:C&amp;'Category 31'!A:A,0)))</f>
        <v>0</v>
      </c>
      <c r="N716" s="16">
        <f>M716/VLOOKUP($D716,CPI!$P$16:$R$22,3,FALSE)</f>
        <v>0</v>
      </c>
      <c r="O716">
        <f>VLOOKUP(E716,WVolleyball!C:S,8,FALSE)</f>
        <v>4668</v>
      </c>
    </row>
    <row r="717" spans="1:15" ht="16" thickBot="1" x14ac:dyDescent="0.25">
      <c r="A717" s="15">
        <v>2</v>
      </c>
      <c r="B717">
        <f t="shared" si="11"/>
        <v>0</v>
      </c>
      <c r="C717">
        <f>IF(ISBLANK(H717),"",VLOOKUP(H717,Code!B:C,2,FALSE))</f>
        <v>2</v>
      </c>
      <c r="D717">
        <v>2020</v>
      </c>
      <c r="E717">
        <v>209807</v>
      </c>
      <c r="F717" t="s">
        <v>185</v>
      </c>
      <c r="G717" t="s">
        <v>289</v>
      </c>
      <c r="H717" t="s">
        <v>1</v>
      </c>
      <c r="I717" cm="1">
        <f t="array" ref="I717">IF(B717=0,INDEX('Category 14'!F:F,MATCH(C717&amp;E717&amp;D717,'Category 14'!B:B&amp;'Category 14'!C:C&amp;'Category 14'!A:A,0)),INDEX('Category 14'!G:G,MATCH(C717&amp;E717&amp;D717,'Category 14'!B:B&amp;'Category 14'!C:C&amp;'Category 14'!A:A,0)))</f>
        <v>0</v>
      </c>
      <c r="J717">
        <f>I717/VLOOKUP($D717,CPI!$P$16:$R$22,3,FALSE)</f>
        <v>0</v>
      </c>
      <c r="K717" cm="1">
        <f t="array" ref="K717">IF(B717=0,INDEX('Category 15'!F:F,MATCH(C717&amp;E717&amp;D717,'Category 15'!B:B&amp;'Category 15'!C:C&amp;'Category 15'!A:A,0)),INDEX('Category 15'!G:G,MATCH(C717&amp;E717&amp;D717,'Category 15'!B:B&amp;'Category 31'!C:C&amp;'Category 15'!A:A,0)))</f>
        <v>0</v>
      </c>
      <c r="L717">
        <f>K717/VLOOKUP($D717,CPI!$P$16:$R$22,3,FALSE)</f>
        <v>0</v>
      </c>
      <c r="M717" s="16" cm="1">
        <f t="array" ref="M717">IF(B717=0,INDEX('Category 31'!F:F,MATCH(C717&amp;E717&amp;D717,'Category 31'!B:B&amp;'Category 31'!C:C&amp;'Category 31'!A:A,0)),INDEX('Category 31'!G:G,MATCH(C717&amp;E717&amp;D717,'Category 31'!B:B&amp;'Category 31'!C:C&amp;'Category 31'!A:A,0)))</f>
        <v>11995</v>
      </c>
      <c r="N717" s="16">
        <f>M717/VLOOKUP($D717,CPI!$P$16:$R$22,3,FALSE)</f>
        <v>13974.760224312873</v>
      </c>
      <c r="O717">
        <f>VLOOKUP(E717,MBasketball!C:S,9,FALSE)</f>
        <v>15867</v>
      </c>
    </row>
    <row r="718" spans="1:15" ht="16" thickBot="1" x14ac:dyDescent="0.25">
      <c r="A718" s="15">
        <v>2</v>
      </c>
      <c r="B718">
        <f t="shared" si="11"/>
        <v>0</v>
      </c>
      <c r="C718">
        <f>IF(ISBLANK(H718),"",VLOOKUP(H718,Code!B:C,2,FALSE))</f>
        <v>8</v>
      </c>
      <c r="D718">
        <v>2020</v>
      </c>
      <c r="E718">
        <v>209807</v>
      </c>
      <c r="F718" t="s">
        <v>185</v>
      </c>
      <c r="G718" t="s">
        <v>289</v>
      </c>
      <c r="H718" t="s">
        <v>2</v>
      </c>
      <c r="I718" cm="1">
        <f t="array" ref="I718">IF(B718=0,INDEX('Category 14'!F:F,MATCH(C718&amp;E718&amp;D718,'Category 14'!B:B&amp;'Category 14'!C:C&amp;'Category 14'!A:A,0)),INDEX('Category 14'!G:G,MATCH(C718&amp;E718&amp;D718,'Category 14'!B:B&amp;'Category 14'!C:C&amp;'Category 14'!A:A,0)))</f>
        <v>0</v>
      </c>
      <c r="J718">
        <f>I718/VLOOKUP($D718,CPI!$P$16:$R$22,3,FALSE)</f>
        <v>0</v>
      </c>
      <c r="K718" cm="1">
        <f t="array" ref="K718">IF(B718=0,INDEX('Category 15'!F:F,MATCH(C718&amp;E718&amp;D718,'Category 15'!B:B&amp;'Category 15'!C:C&amp;'Category 15'!A:A,0)),INDEX('Category 15'!G:G,MATCH(C718&amp;E718&amp;D718,'Category 15'!B:B&amp;'Category 31'!C:C&amp;'Category 15'!A:A,0)))</f>
        <v>0</v>
      </c>
      <c r="L718">
        <f>K718/VLOOKUP($D718,CPI!$P$16:$R$22,3,FALSE)</f>
        <v>0</v>
      </c>
      <c r="M718" s="16" cm="1">
        <f t="array" ref="M718">IF(B718=0,INDEX('Category 31'!F:F,MATCH(C718&amp;E718&amp;D718,'Category 31'!B:B&amp;'Category 31'!C:C&amp;'Category 31'!A:A,0)),INDEX('Category 31'!G:G,MATCH(C718&amp;E718&amp;D718,'Category 31'!B:B&amp;'Category 31'!C:C&amp;'Category 31'!A:A,0)))</f>
        <v>8869</v>
      </c>
      <c r="N718" s="16">
        <f>M718/VLOOKUP($D718,CPI!$P$16:$R$22,3,FALSE)</f>
        <v>10332.817709831668</v>
      </c>
      <c r="O718">
        <f>VLOOKUP(E718,MFootball!C:S,9,FALSE)</f>
        <v>23995</v>
      </c>
    </row>
    <row r="719" spans="1:15" ht="16" thickBot="1" x14ac:dyDescent="0.25">
      <c r="A719" s="15">
        <v>2</v>
      </c>
      <c r="B719">
        <f t="shared" si="11"/>
        <v>0</v>
      </c>
      <c r="C719">
        <f>IF(ISBLANK(H719),"",VLOOKUP(H719,Code!B:C,2,FALSE))</f>
        <v>20</v>
      </c>
      <c r="D719">
        <v>2020</v>
      </c>
      <c r="E719">
        <v>209807</v>
      </c>
      <c r="F719" t="s">
        <v>185</v>
      </c>
      <c r="G719" t="s">
        <v>289</v>
      </c>
      <c r="H719" t="s">
        <v>8</v>
      </c>
      <c r="I719" cm="1">
        <f t="array" ref="I719">IF(B719=0,INDEX('Category 14'!F:F,MATCH(C719&amp;E719&amp;D719,'Category 14'!B:B&amp;'Category 14'!C:C&amp;'Category 14'!A:A,0)),INDEX('Category 14'!G:G,MATCH(C719&amp;E719&amp;D719,'Category 14'!B:B&amp;'Category 14'!C:C&amp;'Category 14'!A:A,0)))</f>
        <v>0</v>
      </c>
      <c r="J719">
        <f>I719/VLOOKUP($D719,CPI!$P$16:$R$22,3,FALSE)</f>
        <v>0</v>
      </c>
      <c r="K719" cm="1">
        <f t="array" ref="K719">IF(B719=0,INDEX('Category 15'!F:F,MATCH(C719&amp;E719&amp;D719,'Category 15'!B:B&amp;'Category 15'!C:C&amp;'Category 15'!A:A,0)),INDEX('Category 15'!G:G,MATCH(C719&amp;E719&amp;D719,'Category 15'!B:B&amp;'Category 31'!C:C&amp;'Category 15'!A:A,0)))</f>
        <v>0</v>
      </c>
      <c r="L719">
        <f>K719/VLOOKUP($D719,CPI!$P$16:$R$22,3,FALSE)</f>
        <v>0</v>
      </c>
      <c r="M719" s="16" cm="1">
        <f t="array" ref="M719">IF(B719=0,INDEX('Category 31'!F:F,MATCH(C719&amp;E719&amp;D719,'Category 31'!B:B&amp;'Category 31'!C:C&amp;'Category 31'!A:A,0)),INDEX('Category 31'!G:G,MATCH(C719&amp;E719&amp;D719,'Category 31'!B:B&amp;'Category 31'!C:C&amp;'Category 31'!A:A,0)))</f>
        <v>0</v>
      </c>
      <c r="N719" s="16">
        <f>M719/VLOOKUP($D719,CPI!$P$16:$R$22,3,FALSE)</f>
        <v>0</v>
      </c>
      <c r="O719">
        <v>0</v>
      </c>
    </row>
    <row r="720" spans="1:15" ht="16" thickBot="1" x14ac:dyDescent="0.25">
      <c r="A720" s="15">
        <v>2</v>
      </c>
      <c r="B720">
        <f t="shared" si="11"/>
        <v>0</v>
      </c>
      <c r="C720">
        <f>IF(ISBLANK(H720),"",VLOOKUP(H720,Code!B:C,2,FALSE))</f>
        <v>21</v>
      </c>
      <c r="D720">
        <v>2020</v>
      </c>
      <c r="E720">
        <v>209807</v>
      </c>
      <c r="F720" t="s">
        <v>185</v>
      </c>
      <c r="G720" t="s">
        <v>289</v>
      </c>
      <c r="H720" t="s">
        <v>36</v>
      </c>
      <c r="I720" cm="1">
        <f t="array" ref="I720">IF(B720=0,INDEX('Category 14'!F:F,MATCH(C720&amp;E720&amp;D720,'Category 14'!B:B&amp;'Category 14'!C:C&amp;'Category 14'!A:A,0)),INDEX('Category 14'!G:G,MATCH(C720&amp;E720&amp;D720,'Category 14'!B:B&amp;'Category 14'!C:C&amp;'Category 14'!A:A,0)))</f>
        <v>0</v>
      </c>
      <c r="J720">
        <f>I720/VLOOKUP($D720,CPI!$P$16:$R$22,3,FALSE)</f>
        <v>0</v>
      </c>
      <c r="K720" cm="1">
        <f t="array" ref="K720">IF(B720=0,INDEX('Category 15'!F:F,MATCH(C720&amp;E720&amp;D720,'Category 15'!B:B&amp;'Category 15'!C:C&amp;'Category 15'!A:A,0)),INDEX('Category 15'!G:G,MATCH(C720&amp;E720&amp;D720,'Category 15'!B:B&amp;'Category 31'!C:C&amp;'Category 15'!A:A,0)))</f>
        <v>0</v>
      </c>
      <c r="L720">
        <f>K720/VLOOKUP($D720,CPI!$P$16:$R$22,3,FALSE)</f>
        <v>0</v>
      </c>
      <c r="M720" s="16" cm="1">
        <f t="array" ref="M720">IF(B720=0,INDEX('Category 31'!F:F,MATCH(C720&amp;E720&amp;D720,'Category 31'!B:B&amp;'Category 31'!C:C&amp;'Category 31'!A:A,0)),INDEX('Category 31'!G:G,MATCH(C720&amp;E720&amp;D720,'Category 31'!B:B&amp;'Category 31'!C:C&amp;'Category 31'!A:A,0)))</f>
        <v>0</v>
      </c>
      <c r="N720" s="16">
        <f>M720/VLOOKUP($D720,CPI!$P$16:$R$22,3,FALSE)</f>
        <v>0</v>
      </c>
      <c r="O720">
        <v>0</v>
      </c>
    </row>
    <row r="721" spans="1:15" ht="16" thickBot="1" x14ac:dyDescent="0.25">
      <c r="A721" s="15">
        <v>2</v>
      </c>
      <c r="B721">
        <f t="shared" si="11"/>
        <v>1</v>
      </c>
      <c r="C721">
        <f>IF(ISBLANK(H721),"",VLOOKUP(H721,Code!B:C,2,FALSE))</f>
        <v>2</v>
      </c>
      <c r="D721">
        <v>2020</v>
      </c>
      <c r="E721">
        <v>209807</v>
      </c>
      <c r="F721" t="s">
        <v>185</v>
      </c>
      <c r="G721" t="s">
        <v>290</v>
      </c>
      <c r="H721" t="s">
        <v>1</v>
      </c>
      <c r="I721" cm="1">
        <f t="array" ref="I721">IF(B721=0,INDEX('Category 14'!F:F,MATCH(C721&amp;E721&amp;D721,'Category 14'!B:B&amp;'Category 14'!C:C&amp;'Category 14'!A:A,0)),INDEX('Category 14'!G:G,MATCH(C721&amp;E721&amp;D721,'Category 14'!B:B&amp;'Category 14'!C:C&amp;'Category 14'!A:A,0)))</f>
        <v>0</v>
      </c>
      <c r="J721">
        <f>I721/VLOOKUP($D721,CPI!$P$16:$R$22,3,FALSE)</f>
        <v>0</v>
      </c>
      <c r="K721" cm="1">
        <f t="array" ref="K721">IF(B721=0,INDEX('Category 15'!F:F,MATCH(C721&amp;E721&amp;D721,'Category 15'!B:B&amp;'Category 15'!C:C&amp;'Category 15'!A:A,0)),INDEX('Category 15'!G:G,MATCH(C721&amp;E721&amp;D721,'Category 15'!B:B&amp;'Category 31'!C:C&amp;'Category 15'!A:A,0)))</f>
        <v>0</v>
      </c>
      <c r="L721">
        <f>K721/VLOOKUP($D721,CPI!$P$16:$R$22,3,FALSE)</f>
        <v>0</v>
      </c>
      <c r="M721" s="16" cm="1">
        <f t="array" ref="M721">IF(B721=0,INDEX('Category 31'!F:F,MATCH(C721&amp;E721&amp;D721,'Category 31'!B:B&amp;'Category 31'!C:C&amp;'Category 31'!A:A,0)),INDEX('Category 31'!G:G,MATCH(C721&amp;E721&amp;D721,'Category 31'!B:B&amp;'Category 31'!C:C&amp;'Category 31'!A:A,0)))</f>
        <v>3342</v>
      </c>
      <c r="N721" s="16">
        <f>M721/VLOOKUP($D721,CPI!$P$16:$R$22,3,FALSE)</f>
        <v>3893.5930529098473</v>
      </c>
      <c r="O721">
        <f>VLOOKUP(E721,WBasketball!C:S,9,FALSE)</f>
        <v>7808</v>
      </c>
    </row>
    <row r="722" spans="1:15" ht="16" thickBot="1" x14ac:dyDescent="0.25">
      <c r="A722" s="15">
        <v>2</v>
      </c>
      <c r="B722">
        <f t="shared" si="11"/>
        <v>1</v>
      </c>
      <c r="C722">
        <f>IF(ISBLANK(H722),"",VLOOKUP(H722,Code!B:C,2,FALSE))</f>
        <v>9</v>
      </c>
      <c r="D722">
        <v>2020</v>
      </c>
      <c r="E722">
        <v>209807</v>
      </c>
      <c r="F722" t="s">
        <v>185</v>
      </c>
      <c r="G722" t="s">
        <v>290</v>
      </c>
      <c r="H722" t="s">
        <v>3</v>
      </c>
      <c r="I722" cm="1">
        <f t="array" ref="I722">IF(B722=0,INDEX('Category 14'!F:F,MATCH(C722&amp;E722&amp;D722,'Category 14'!B:B&amp;'Category 14'!C:C&amp;'Category 14'!A:A,0)),INDEX('Category 14'!G:G,MATCH(C722&amp;E722&amp;D722,'Category 14'!B:B&amp;'Category 14'!C:C&amp;'Category 14'!A:A,0)))</f>
        <v>0</v>
      </c>
      <c r="J722">
        <f>I722/VLOOKUP($D722,CPI!$P$16:$R$22,3,FALSE)</f>
        <v>0</v>
      </c>
      <c r="K722" cm="1">
        <f t="array" ref="K722">IF(B722=0,INDEX('Category 15'!F:F,MATCH(C722&amp;E722&amp;D722,'Category 15'!B:B&amp;'Category 15'!C:C&amp;'Category 15'!A:A,0)),INDEX('Category 15'!G:G,MATCH(C722&amp;E722&amp;D722,'Category 15'!B:B&amp;'Category 31'!C:C&amp;'Category 15'!A:A,0)))</f>
        <v>0</v>
      </c>
      <c r="L722">
        <f>K722/VLOOKUP($D722,CPI!$P$16:$R$22,3,FALSE)</f>
        <v>0</v>
      </c>
      <c r="M722" s="16" cm="1">
        <f t="array" ref="M722">IF(B722=0,INDEX('Category 31'!F:F,MATCH(C722&amp;E722&amp;D722,'Category 31'!B:B&amp;'Category 31'!C:C&amp;'Category 31'!A:A,0)),INDEX('Category 31'!G:G,MATCH(C722&amp;E722&amp;D722,'Category 31'!B:B&amp;'Category 31'!C:C&amp;'Category 31'!A:A,0)))</f>
        <v>0</v>
      </c>
      <c r="N722" s="16">
        <f>M722/VLOOKUP($D722,CPI!$P$16:$R$22,3,FALSE)</f>
        <v>0</v>
      </c>
      <c r="O722">
        <v>0</v>
      </c>
    </row>
    <row r="723" spans="1:15" ht="16" thickBot="1" x14ac:dyDescent="0.25">
      <c r="A723" s="15">
        <v>2</v>
      </c>
      <c r="B723">
        <f t="shared" si="11"/>
        <v>1</v>
      </c>
      <c r="C723">
        <f>IF(ISBLANK(H723),"",VLOOKUP(H723,Code!B:C,2,FALSE))</f>
        <v>17</v>
      </c>
      <c r="D723">
        <v>2020</v>
      </c>
      <c r="E723">
        <v>209807</v>
      </c>
      <c r="F723" t="s">
        <v>185</v>
      </c>
      <c r="G723" t="s">
        <v>290</v>
      </c>
      <c r="H723" t="s">
        <v>5</v>
      </c>
      <c r="I723" cm="1">
        <f t="array" ref="I723">IF(B723=0,INDEX('Category 14'!F:F,MATCH(C723&amp;E723&amp;D723,'Category 14'!B:B&amp;'Category 14'!C:C&amp;'Category 14'!A:A,0)),INDEX('Category 14'!G:G,MATCH(C723&amp;E723&amp;D723,'Category 14'!B:B&amp;'Category 14'!C:C&amp;'Category 14'!A:A,0)))</f>
        <v>0</v>
      </c>
      <c r="J723">
        <f>I723/VLOOKUP($D723,CPI!$P$16:$R$22,3,FALSE)</f>
        <v>0</v>
      </c>
      <c r="K723" cm="1">
        <f t="array" ref="K723">IF(B723=0,INDEX('Category 15'!F:F,MATCH(C723&amp;E723&amp;D723,'Category 15'!B:B&amp;'Category 15'!C:C&amp;'Category 15'!A:A,0)),INDEX('Category 15'!G:G,MATCH(C723&amp;E723&amp;D723,'Category 15'!B:B&amp;'Category 31'!C:C&amp;'Category 15'!A:A,0)))</f>
        <v>0</v>
      </c>
      <c r="L723">
        <f>K723/VLOOKUP($D723,CPI!$P$16:$R$22,3,FALSE)</f>
        <v>0</v>
      </c>
      <c r="M723" s="16" cm="1">
        <f t="array" ref="M723">IF(B723=0,INDEX('Category 31'!F:F,MATCH(C723&amp;E723&amp;D723,'Category 31'!B:B&amp;'Category 31'!C:C&amp;'Category 31'!A:A,0)),INDEX('Category 31'!G:G,MATCH(C723&amp;E723&amp;D723,'Category 31'!B:B&amp;'Category 31'!C:C&amp;'Category 31'!A:A,0)))</f>
        <v>0</v>
      </c>
      <c r="N723" s="16">
        <f>M723/VLOOKUP($D723,CPI!$P$16:$R$22,3,FALSE)</f>
        <v>0</v>
      </c>
      <c r="O723">
        <f>VLOOKUP(E723,WSoccer!C:S,9,FALSE)</f>
        <v>1295</v>
      </c>
    </row>
    <row r="724" spans="1:15" ht="16" thickBot="1" x14ac:dyDescent="0.25">
      <c r="A724" s="15">
        <v>2</v>
      </c>
      <c r="B724">
        <f t="shared" si="11"/>
        <v>1</v>
      </c>
      <c r="C724">
        <f>IF(ISBLANK(H724),"",VLOOKUP(H724,Code!B:C,2,FALSE))</f>
        <v>18</v>
      </c>
      <c r="D724">
        <v>2020</v>
      </c>
      <c r="E724">
        <v>209807</v>
      </c>
      <c r="F724" t="s">
        <v>185</v>
      </c>
      <c r="G724" t="s">
        <v>290</v>
      </c>
      <c r="H724" t="s">
        <v>6</v>
      </c>
      <c r="I724" cm="1">
        <f t="array" ref="I724">IF(B724=0,INDEX('Category 14'!F:F,MATCH(C724&amp;E724&amp;D724,'Category 14'!B:B&amp;'Category 14'!C:C&amp;'Category 14'!A:A,0)),INDEX('Category 14'!G:G,MATCH(C724&amp;E724&amp;D724,'Category 14'!B:B&amp;'Category 14'!C:C&amp;'Category 14'!A:A,0)))</f>
        <v>0</v>
      </c>
      <c r="J724">
        <f>I724/VLOOKUP($D724,CPI!$P$16:$R$22,3,FALSE)</f>
        <v>0</v>
      </c>
      <c r="K724" cm="1">
        <f t="array" ref="K724">IF(B724=0,INDEX('Category 15'!F:F,MATCH(C724&amp;E724&amp;D724,'Category 15'!B:B&amp;'Category 15'!C:C&amp;'Category 15'!A:A,0)),INDEX('Category 15'!G:G,MATCH(C724&amp;E724&amp;D724,'Category 15'!B:B&amp;'Category 31'!C:C&amp;'Category 15'!A:A,0)))</f>
        <v>0</v>
      </c>
      <c r="L724">
        <f>K724/VLOOKUP($D724,CPI!$P$16:$R$22,3,FALSE)</f>
        <v>0</v>
      </c>
      <c r="M724" s="16" cm="1">
        <f t="array" ref="M724">IF(B724=0,INDEX('Category 31'!F:F,MATCH(C724&amp;E724&amp;D724,'Category 31'!B:B&amp;'Category 31'!C:C&amp;'Category 31'!A:A,0)),INDEX('Category 31'!G:G,MATCH(C724&amp;E724&amp;D724,'Category 31'!B:B&amp;'Category 31'!C:C&amp;'Category 31'!A:A,0)))</f>
        <v>0</v>
      </c>
      <c r="N724" s="16">
        <f>M724/VLOOKUP($D724,CPI!$P$16:$R$22,3,FALSE)</f>
        <v>0</v>
      </c>
      <c r="O724">
        <f>VLOOKUP(E724,WSoftball!C:S,9,FALSE)</f>
        <v>0</v>
      </c>
    </row>
    <row r="725" spans="1:15" ht="16" thickBot="1" x14ac:dyDescent="0.25">
      <c r="A725" s="15">
        <v>2</v>
      </c>
      <c r="B725">
        <f t="shared" si="11"/>
        <v>1</v>
      </c>
      <c r="C725">
        <f>IF(ISBLANK(H725),"",VLOOKUP(H725,Code!B:C,2,FALSE))</f>
        <v>20</v>
      </c>
      <c r="D725">
        <v>2020</v>
      </c>
      <c r="E725">
        <v>209807</v>
      </c>
      <c r="F725" t="s">
        <v>185</v>
      </c>
      <c r="G725" t="s">
        <v>290</v>
      </c>
      <c r="H725" t="s">
        <v>8</v>
      </c>
      <c r="I725" cm="1">
        <f t="array" ref="I725">IF(B725=0,INDEX('Category 14'!F:F,MATCH(C725&amp;E725&amp;D725,'Category 14'!B:B&amp;'Category 14'!C:C&amp;'Category 14'!A:A,0)),INDEX('Category 14'!G:G,MATCH(C725&amp;E725&amp;D725,'Category 14'!B:B&amp;'Category 14'!C:C&amp;'Category 14'!A:A,0)))</f>
        <v>0</v>
      </c>
      <c r="J725">
        <f>I725/VLOOKUP($D725,CPI!$P$16:$R$22,3,FALSE)</f>
        <v>0</v>
      </c>
      <c r="K725" cm="1">
        <f t="array" ref="K725">IF(B725=0,INDEX('Category 15'!F:F,MATCH(C725&amp;E725&amp;D725,'Category 15'!B:B&amp;'Category 15'!C:C&amp;'Category 15'!A:A,0)),INDEX('Category 15'!G:G,MATCH(C725&amp;E725&amp;D725,'Category 15'!B:B&amp;'Category 31'!C:C&amp;'Category 15'!A:A,0)))</f>
        <v>0</v>
      </c>
      <c r="L725">
        <f>K725/VLOOKUP($D725,CPI!$P$16:$R$22,3,FALSE)</f>
        <v>0</v>
      </c>
      <c r="M725" s="16" cm="1">
        <f t="array" ref="M725">IF(B725=0,INDEX('Category 31'!F:F,MATCH(C725&amp;E725&amp;D725,'Category 31'!B:B&amp;'Category 31'!C:C&amp;'Category 31'!A:A,0)),INDEX('Category 31'!G:G,MATCH(C725&amp;E725&amp;D725,'Category 31'!B:B&amp;'Category 31'!C:C&amp;'Category 31'!A:A,0)))</f>
        <v>0</v>
      </c>
      <c r="N725" s="16">
        <f>M725/VLOOKUP($D725,CPI!$P$16:$R$22,3,FALSE)</f>
        <v>0</v>
      </c>
      <c r="O725">
        <v>0</v>
      </c>
    </row>
    <row r="726" spans="1:15" ht="16" thickBot="1" x14ac:dyDescent="0.25">
      <c r="A726" s="15">
        <v>2</v>
      </c>
      <c r="B726">
        <f t="shared" si="11"/>
        <v>1</v>
      </c>
      <c r="C726">
        <f>IF(ISBLANK(H726),"",VLOOKUP(H726,Code!B:C,2,FALSE))</f>
        <v>21</v>
      </c>
      <c r="D726">
        <v>2020</v>
      </c>
      <c r="E726">
        <v>209807</v>
      </c>
      <c r="F726" t="s">
        <v>185</v>
      </c>
      <c r="G726" t="s">
        <v>290</v>
      </c>
      <c r="H726" t="s">
        <v>36</v>
      </c>
      <c r="I726" cm="1">
        <f t="array" ref="I726">IF(B726=0,INDEX('Category 14'!F:F,MATCH(C726&amp;E726&amp;D726,'Category 14'!B:B&amp;'Category 14'!C:C&amp;'Category 14'!A:A,0)),INDEX('Category 14'!G:G,MATCH(C726&amp;E726&amp;D726,'Category 14'!B:B&amp;'Category 14'!C:C&amp;'Category 14'!A:A,0)))</f>
        <v>0</v>
      </c>
      <c r="J726">
        <f>I726/VLOOKUP($D726,CPI!$P$16:$R$22,3,FALSE)</f>
        <v>0</v>
      </c>
      <c r="K726" cm="1">
        <f t="array" ref="K726">IF(B726=0,INDEX('Category 15'!F:F,MATCH(C726&amp;E726&amp;D726,'Category 15'!B:B&amp;'Category 15'!C:C&amp;'Category 15'!A:A,0)),INDEX('Category 15'!G:G,MATCH(C726&amp;E726&amp;D726,'Category 15'!B:B&amp;'Category 31'!C:C&amp;'Category 15'!A:A,0)))</f>
        <v>0</v>
      </c>
      <c r="L726">
        <f>K726/VLOOKUP($D726,CPI!$P$16:$R$22,3,FALSE)</f>
        <v>0</v>
      </c>
      <c r="M726" s="16" cm="1">
        <f t="array" ref="M726">IF(B726=0,INDEX('Category 31'!F:F,MATCH(C726&amp;E726&amp;D726,'Category 31'!B:B&amp;'Category 31'!C:C&amp;'Category 31'!A:A,0)),INDEX('Category 31'!G:G,MATCH(C726&amp;E726&amp;D726,'Category 31'!B:B&amp;'Category 31'!C:C&amp;'Category 31'!A:A,0)))</f>
        <v>0</v>
      </c>
      <c r="N726" s="16">
        <f>M726/VLOOKUP($D726,CPI!$P$16:$R$22,3,FALSE)</f>
        <v>0</v>
      </c>
      <c r="O726">
        <v>0</v>
      </c>
    </row>
    <row r="727" spans="1:15" ht="16" thickBot="1" x14ac:dyDescent="0.25">
      <c r="A727" s="15">
        <v>2</v>
      </c>
      <c r="B727">
        <f t="shared" si="11"/>
        <v>1</v>
      </c>
      <c r="C727">
        <f>IF(ISBLANK(H727),"",VLOOKUP(H727,Code!B:C,2,FALSE))</f>
        <v>23</v>
      </c>
      <c r="D727">
        <v>2020</v>
      </c>
      <c r="E727">
        <v>209807</v>
      </c>
      <c r="F727" t="s">
        <v>185</v>
      </c>
      <c r="G727" t="s">
        <v>290</v>
      </c>
      <c r="H727" t="s">
        <v>10</v>
      </c>
      <c r="I727" cm="1">
        <f t="array" ref="I727">IF(B727=0,INDEX('Category 14'!F:F,MATCH(C727&amp;E727&amp;D727,'Category 14'!B:B&amp;'Category 14'!C:C&amp;'Category 14'!A:A,0)),INDEX('Category 14'!G:G,MATCH(C727&amp;E727&amp;D727,'Category 14'!B:B&amp;'Category 14'!C:C&amp;'Category 14'!A:A,0)))</f>
        <v>0</v>
      </c>
      <c r="J727">
        <f>I727/VLOOKUP($D727,CPI!$P$16:$R$22,3,FALSE)</f>
        <v>0</v>
      </c>
      <c r="K727" cm="1">
        <f t="array" ref="K727">IF(B727=0,INDEX('Category 15'!F:F,MATCH(C727&amp;E727&amp;D727,'Category 15'!B:B&amp;'Category 15'!C:C&amp;'Category 15'!A:A,0)),INDEX('Category 15'!G:G,MATCH(C727&amp;E727&amp;D727,'Category 15'!B:B&amp;'Category 31'!C:C&amp;'Category 15'!A:A,0)))</f>
        <v>0</v>
      </c>
      <c r="L727">
        <f>K727/VLOOKUP($D727,CPI!$P$16:$R$22,3,FALSE)</f>
        <v>0</v>
      </c>
      <c r="M727" s="16" cm="1">
        <f t="array" ref="M727">IF(B727=0,INDEX('Category 31'!F:F,MATCH(C727&amp;E727&amp;D727,'Category 31'!B:B&amp;'Category 31'!C:C&amp;'Category 31'!A:A,0)),INDEX('Category 31'!G:G,MATCH(C727&amp;E727&amp;D727,'Category 31'!B:B&amp;'Category 31'!C:C&amp;'Category 31'!A:A,0)))</f>
        <v>0</v>
      </c>
      <c r="N727" s="16">
        <f>M727/VLOOKUP($D727,CPI!$P$16:$R$22,3,FALSE)</f>
        <v>0</v>
      </c>
      <c r="O727">
        <f>VLOOKUP(E727,WVolleyball!C:S,9,FALSE)</f>
        <v>3020</v>
      </c>
    </row>
    <row r="728" spans="1:15" ht="16" thickBot="1" x14ac:dyDescent="0.25">
      <c r="A728" s="15">
        <v>2</v>
      </c>
      <c r="B728">
        <f t="shared" si="11"/>
        <v>0</v>
      </c>
      <c r="C728">
        <f>IF(ISBLANK(H728),"",VLOOKUP(H728,Code!B:C,2,FALSE))</f>
        <v>2</v>
      </c>
      <c r="D728">
        <v>2021</v>
      </c>
      <c r="E728">
        <v>209807</v>
      </c>
      <c r="F728" t="s">
        <v>185</v>
      </c>
      <c r="G728" t="s">
        <v>289</v>
      </c>
      <c r="H728" t="s">
        <v>1</v>
      </c>
      <c r="I728" cm="1">
        <f t="array" ref="I728">IF(B728=0,INDEX('Category 14'!F:F,MATCH(C728&amp;E728&amp;D728,'Category 14'!B:B&amp;'Category 14'!C:C&amp;'Category 14'!A:A,0)),INDEX('Category 14'!G:G,MATCH(C728&amp;E728&amp;D728,'Category 14'!B:B&amp;'Category 14'!C:C&amp;'Category 14'!A:A,0)))</f>
        <v>0</v>
      </c>
      <c r="J728">
        <f>I728/VLOOKUP($D728,CPI!$P$16:$R$22,3,FALSE)</f>
        <v>0</v>
      </c>
      <c r="K728" cm="1">
        <f t="array" ref="K728">IF(B728=0,INDEX('Category 15'!F:F,MATCH(C728&amp;E728&amp;D728,'Category 15'!B:B&amp;'Category 15'!C:C&amp;'Category 15'!A:A,0)),INDEX('Category 15'!G:G,MATCH(C728&amp;E728&amp;D728,'Category 15'!B:B&amp;'Category 31'!C:C&amp;'Category 15'!A:A,0)))</f>
        <v>0</v>
      </c>
      <c r="L728">
        <f>K728/VLOOKUP($D728,CPI!$P$16:$R$22,3,FALSE)</f>
        <v>0</v>
      </c>
      <c r="M728" s="16" cm="1">
        <f t="array" ref="M728">IF(B728=0,INDEX('Category 31'!F:F,MATCH(C728&amp;E728&amp;D728,'Category 31'!B:B&amp;'Category 31'!C:C&amp;'Category 31'!A:A,0)),INDEX('Category 31'!G:G,MATCH(C728&amp;E728&amp;D728,'Category 31'!B:B&amp;'Category 31'!C:C&amp;'Category 31'!A:A,0)))</f>
        <v>380</v>
      </c>
      <c r="N728" s="16">
        <f>M728/VLOOKUP($D728,CPI!$P$16:$R$22,3,FALSE)</f>
        <v>432.75802250043239</v>
      </c>
      <c r="O728">
        <f>VLOOKUP(E728,MBasketball!C:S,10,FALSE)</f>
        <v>32</v>
      </c>
    </row>
    <row r="729" spans="1:15" ht="16" thickBot="1" x14ac:dyDescent="0.25">
      <c r="A729" s="15">
        <v>2</v>
      </c>
      <c r="B729">
        <f t="shared" si="11"/>
        <v>0</v>
      </c>
      <c r="C729">
        <f>IF(ISBLANK(H729),"",VLOOKUP(H729,Code!B:C,2,FALSE))</f>
        <v>8</v>
      </c>
      <c r="D729">
        <v>2021</v>
      </c>
      <c r="E729">
        <v>209807</v>
      </c>
      <c r="F729" t="s">
        <v>185</v>
      </c>
      <c r="G729" t="s">
        <v>289</v>
      </c>
      <c r="H729" t="s">
        <v>2</v>
      </c>
      <c r="I729" cm="1">
        <f t="array" ref="I729">IF(B729=0,INDEX('Category 14'!F:F,MATCH(C729&amp;E729&amp;D729,'Category 14'!B:B&amp;'Category 14'!C:C&amp;'Category 14'!A:A,0)),INDEX('Category 14'!G:G,MATCH(C729&amp;E729&amp;D729,'Category 14'!B:B&amp;'Category 14'!C:C&amp;'Category 14'!A:A,0)))</f>
        <v>0</v>
      </c>
      <c r="J729">
        <f>I729/VLOOKUP($D729,CPI!$P$16:$R$22,3,FALSE)</f>
        <v>0</v>
      </c>
      <c r="K729" cm="1">
        <f t="array" ref="K729">IF(B729=0,INDEX('Category 15'!F:F,MATCH(C729&amp;E729&amp;D729,'Category 15'!B:B&amp;'Category 15'!C:C&amp;'Category 15'!A:A,0)),INDEX('Category 15'!G:G,MATCH(C729&amp;E729&amp;D729,'Category 15'!B:B&amp;'Category 31'!C:C&amp;'Category 15'!A:A,0)))</f>
        <v>0</v>
      </c>
      <c r="L729">
        <f>K729/VLOOKUP($D729,CPI!$P$16:$R$22,3,FALSE)</f>
        <v>0</v>
      </c>
      <c r="M729" s="16" cm="1">
        <f t="array" ref="M729">IF(B729=0,INDEX('Category 31'!F:F,MATCH(C729&amp;E729&amp;D729,'Category 31'!B:B&amp;'Category 31'!C:C&amp;'Category 31'!A:A,0)),INDEX('Category 31'!G:G,MATCH(C729&amp;E729&amp;D729,'Category 31'!B:B&amp;'Category 31'!C:C&amp;'Category 31'!A:A,0)))</f>
        <v>0</v>
      </c>
      <c r="N729" s="16">
        <f>M729/VLOOKUP($D729,CPI!$P$16:$R$22,3,FALSE)</f>
        <v>0</v>
      </c>
      <c r="O729">
        <f>VLOOKUP(E729,MFootball!C:S,10,FALSE)</f>
        <v>0</v>
      </c>
    </row>
    <row r="730" spans="1:15" ht="16" thickBot="1" x14ac:dyDescent="0.25">
      <c r="A730" s="15">
        <v>2</v>
      </c>
      <c r="B730">
        <f t="shared" si="11"/>
        <v>0</v>
      </c>
      <c r="C730">
        <f>IF(ISBLANK(H730),"",VLOOKUP(H730,Code!B:C,2,FALSE))</f>
        <v>20</v>
      </c>
      <c r="D730">
        <v>2021</v>
      </c>
      <c r="E730">
        <v>209807</v>
      </c>
      <c r="F730" t="s">
        <v>185</v>
      </c>
      <c r="G730" t="s">
        <v>289</v>
      </c>
      <c r="H730" t="s">
        <v>8</v>
      </c>
      <c r="I730" cm="1">
        <f t="array" ref="I730">IF(B730=0,INDEX('Category 14'!F:F,MATCH(C730&amp;E730&amp;D730,'Category 14'!B:B&amp;'Category 14'!C:C&amp;'Category 14'!A:A,0)),INDEX('Category 14'!G:G,MATCH(C730&amp;E730&amp;D730,'Category 14'!B:B&amp;'Category 14'!C:C&amp;'Category 14'!A:A,0)))</f>
        <v>0</v>
      </c>
      <c r="J730">
        <f>I730/VLOOKUP($D730,CPI!$P$16:$R$22,3,FALSE)</f>
        <v>0</v>
      </c>
      <c r="K730" cm="1">
        <f t="array" ref="K730">IF(B730=0,INDEX('Category 15'!F:F,MATCH(C730&amp;E730&amp;D730,'Category 15'!B:B&amp;'Category 15'!C:C&amp;'Category 15'!A:A,0)),INDEX('Category 15'!G:G,MATCH(C730&amp;E730&amp;D730,'Category 15'!B:B&amp;'Category 31'!C:C&amp;'Category 15'!A:A,0)))</f>
        <v>0</v>
      </c>
      <c r="L730">
        <f>K730/VLOOKUP($D730,CPI!$P$16:$R$22,3,FALSE)</f>
        <v>0</v>
      </c>
      <c r="M730" s="16" cm="1">
        <f t="array" ref="M730">IF(B730=0,INDEX('Category 31'!F:F,MATCH(C730&amp;E730&amp;D730,'Category 31'!B:B&amp;'Category 31'!C:C&amp;'Category 31'!A:A,0)),INDEX('Category 31'!G:G,MATCH(C730&amp;E730&amp;D730,'Category 31'!B:B&amp;'Category 31'!C:C&amp;'Category 31'!A:A,0)))</f>
        <v>0</v>
      </c>
      <c r="N730" s="16">
        <f>M730/VLOOKUP($D730,CPI!$P$16:$R$22,3,FALSE)</f>
        <v>0</v>
      </c>
      <c r="O730">
        <v>0</v>
      </c>
    </row>
    <row r="731" spans="1:15" ht="16" thickBot="1" x14ac:dyDescent="0.25">
      <c r="A731" s="15">
        <v>2</v>
      </c>
      <c r="B731">
        <f t="shared" si="11"/>
        <v>0</v>
      </c>
      <c r="C731">
        <f>IF(ISBLANK(H731),"",VLOOKUP(H731,Code!B:C,2,FALSE))</f>
        <v>21</v>
      </c>
      <c r="D731">
        <v>2021</v>
      </c>
      <c r="E731">
        <v>209807</v>
      </c>
      <c r="F731" t="s">
        <v>185</v>
      </c>
      <c r="G731" t="s">
        <v>289</v>
      </c>
      <c r="H731" t="s">
        <v>36</v>
      </c>
      <c r="I731" cm="1">
        <f t="array" ref="I731">IF(B731=0,INDEX('Category 14'!F:F,MATCH(C731&amp;E731&amp;D731,'Category 14'!B:B&amp;'Category 14'!C:C&amp;'Category 14'!A:A,0)),INDEX('Category 14'!G:G,MATCH(C731&amp;E731&amp;D731,'Category 14'!B:B&amp;'Category 14'!C:C&amp;'Category 14'!A:A,0)))</f>
        <v>0</v>
      </c>
      <c r="J731">
        <f>I731/VLOOKUP($D731,CPI!$P$16:$R$22,3,FALSE)</f>
        <v>0</v>
      </c>
      <c r="K731" cm="1">
        <f t="array" ref="K731">IF(B731=0,INDEX('Category 15'!F:F,MATCH(C731&amp;E731&amp;D731,'Category 15'!B:B&amp;'Category 15'!C:C&amp;'Category 15'!A:A,0)),INDEX('Category 15'!G:G,MATCH(C731&amp;E731&amp;D731,'Category 15'!B:B&amp;'Category 31'!C:C&amp;'Category 15'!A:A,0)))</f>
        <v>0</v>
      </c>
      <c r="L731">
        <f>K731/VLOOKUP($D731,CPI!$P$16:$R$22,3,FALSE)</f>
        <v>0</v>
      </c>
      <c r="M731" s="16" cm="1">
        <f t="array" ref="M731">IF(B731=0,INDEX('Category 31'!F:F,MATCH(C731&amp;E731&amp;D731,'Category 31'!B:B&amp;'Category 31'!C:C&amp;'Category 31'!A:A,0)),INDEX('Category 31'!G:G,MATCH(C731&amp;E731&amp;D731,'Category 31'!B:B&amp;'Category 31'!C:C&amp;'Category 31'!A:A,0)))</f>
        <v>0</v>
      </c>
      <c r="N731" s="16">
        <f>M731/VLOOKUP($D731,CPI!$P$16:$R$22,3,FALSE)</f>
        <v>0</v>
      </c>
      <c r="O731">
        <v>0</v>
      </c>
    </row>
    <row r="732" spans="1:15" ht="16" thickBot="1" x14ac:dyDescent="0.25">
      <c r="A732" s="15">
        <v>2</v>
      </c>
      <c r="B732">
        <f t="shared" si="11"/>
        <v>1</v>
      </c>
      <c r="C732">
        <f>IF(ISBLANK(H732),"",VLOOKUP(H732,Code!B:C,2,FALSE))</f>
        <v>2</v>
      </c>
      <c r="D732">
        <v>2021</v>
      </c>
      <c r="E732">
        <v>209807</v>
      </c>
      <c r="F732" t="s">
        <v>185</v>
      </c>
      <c r="G732" t="s">
        <v>290</v>
      </c>
      <c r="H732" t="s">
        <v>1</v>
      </c>
      <c r="I732" cm="1">
        <f t="array" ref="I732">IF(B732=0,INDEX('Category 14'!F:F,MATCH(C732&amp;E732&amp;D732,'Category 14'!B:B&amp;'Category 14'!C:C&amp;'Category 14'!A:A,0)),INDEX('Category 14'!G:G,MATCH(C732&amp;E732&amp;D732,'Category 14'!B:B&amp;'Category 14'!C:C&amp;'Category 14'!A:A,0)))</f>
        <v>0</v>
      </c>
      <c r="J732">
        <f>I732/VLOOKUP($D732,CPI!$P$16:$R$22,3,FALSE)</f>
        <v>0</v>
      </c>
      <c r="K732" cm="1">
        <f t="array" ref="K732">IF(B732=0,INDEX('Category 15'!F:F,MATCH(C732&amp;E732&amp;D732,'Category 15'!B:B&amp;'Category 15'!C:C&amp;'Category 15'!A:A,0)),INDEX('Category 15'!G:G,MATCH(C732&amp;E732&amp;D732,'Category 15'!B:B&amp;'Category 31'!C:C&amp;'Category 15'!A:A,0)))</f>
        <v>0</v>
      </c>
      <c r="L732">
        <f>K732/VLOOKUP($D732,CPI!$P$16:$R$22,3,FALSE)</f>
        <v>0</v>
      </c>
      <c r="M732" s="16" cm="1">
        <f t="array" ref="M732">IF(B732=0,INDEX('Category 31'!F:F,MATCH(C732&amp;E732&amp;D732,'Category 31'!B:B&amp;'Category 31'!C:C&amp;'Category 31'!A:A,0)),INDEX('Category 31'!G:G,MATCH(C732&amp;E732&amp;D732,'Category 31'!B:B&amp;'Category 31'!C:C&amp;'Category 31'!A:A,0)))</f>
        <v>0</v>
      </c>
      <c r="N732" s="16">
        <f>M732/VLOOKUP($D732,CPI!$P$16:$R$22,3,FALSE)</f>
        <v>0</v>
      </c>
      <c r="O732">
        <f>VLOOKUP(E732,WBasketball!C:S,10,FALSE)</f>
        <v>134</v>
      </c>
    </row>
    <row r="733" spans="1:15" ht="16" thickBot="1" x14ac:dyDescent="0.25">
      <c r="A733" s="15">
        <v>2</v>
      </c>
      <c r="B733">
        <f t="shared" si="11"/>
        <v>1</v>
      </c>
      <c r="C733">
        <f>IF(ISBLANK(H733),"",VLOOKUP(H733,Code!B:C,2,FALSE))</f>
        <v>9</v>
      </c>
      <c r="D733">
        <v>2021</v>
      </c>
      <c r="E733">
        <v>209807</v>
      </c>
      <c r="F733" t="s">
        <v>185</v>
      </c>
      <c r="G733" t="s">
        <v>290</v>
      </c>
      <c r="H733" t="s">
        <v>3</v>
      </c>
      <c r="I733" cm="1">
        <f t="array" ref="I733">IF(B733=0,INDEX('Category 14'!F:F,MATCH(C733&amp;E733&amp;D733,'Category 14'!B:B&amp;'Category 14'!C:C&amp;'Category 14'!A:A,0)),INDEX('Category 14'!G:G,MATCH(C733&amp;E733&amp;D733,'Category 14'!B:B&amp;'Category 14'!C:C&amp;'Category 14'!A:A,0)))</f>
        <v>0</v>
      </c>
      <c r="J733">
        <f>I733/VLOOKUP($D733,CPI!$P$16:$R$22,3,FALSE)</f>
        <v>0</v>
      </c>
      <c r="K733" cm="1">
        <f t="array" ref="K733">IF(B733=0,INDEX('Category 15'!F:F,MATCH(C733&amp;E733&amp;D733,'Category 15'!B:B&amp;'Category 15'!C:C&amp;'Category 15'!A:A,0)),INDEX('Category 15'!G:G,MATCH(C733&amp;E733&amp;D733,'Category 15'!B:B&amp;'Category 31'!C:C&amp;'Category 15'!A:A,0)))</f>
        <v>0</v>
      </c>
      <c r="L733">
        <f>K733/VLOOKUP($D733,CPI!$P$16:$R$22,3,FALSE)</f>
        <v>0</v>
      </c>
      <c r="M733" s="16" cm="1">
        <f t="array" ref="M733">IF(B733=0,INDEX('Category 31'!F:F,MATCH(C733&amp;E733&amp;D733,'Category 31'!B:B&amp;'Category 31'!C:C&amp;'Category 31'!A:A,0)),INDEX('Category 31'!G:G,MATCH(C733&amp;E733&amp;D733,'Category 31'!B:B&amp;'Category 31'!C:C&amp;'Category 31'!A:A,0)))</f>
        <v>0</v>
      </c>
      <c r="N733" s="16">
        <f>M733/VLOOKUP($D733,CPI!$P$16:$R$22,3,FALSE)</f>
        <v>0</v>
      </c>
      <c r="O733">
        <v>0</v>
      </c>
    </row>
    <row r="734" spans="1:15" ht="16" thickBot="1" x14ac:dyDescent="0.25">
      <c r="A734" s="15">
        <v>2</v>
      </c>
      <c r="B734">
        <f t="shared" si="11"/>
        <v>1</v>
      </c>
      <c r="C734">
        <f>IF(ISBLANK(H734),"",VLOOKUP(H734,Code!B:C,2,FALSE))</f>
        <v>17</v>
      </c>
      <c r="D734">
        <v>2021</v>
      </c>
      <c r="E734">
        <v>209807</v>
      </c>
      <c r="F734" t="s">
        <v>185</v>
      </c>
      <c r="G734" t="s">
        <v>290</v>
      </c>
      <c r="H734" t="s">
        <v>5</v>
      </c>
      <c r="I734" cm="1">
        <f t="array" ref="I734">IF(B734=0,INDEX('Category 14'!F:F,MATCH(C734&amp;E734&amp;D734,'Category 14'!B:B&amp;'Category 14'!C:C&amp;'Category 14'!A:A,0)),INDEX('Category 14'!G:G,MATCH(C734&amp;E734&amp;D734,'Category 14'!B:B&amp;'Category 14'!C:C&amp;'Category 14'!A:A,0)))</f>
        <v>0</v>
      </c>
      <c r="J734">
        <f>I734/VLOOKUP($D734,CPI!$P$16:$R$22,3,FALSE)</f>
        <v>0</v>
      </c>
      <c r="K734" cm="1">
        <f t="array" ref="K734">IF(B734=0,INDEX('Category 15'!F:F,MATCH(C734&amp;E734&amp;D734,'Category 15'!B:B&amp;'Category 15'!C:C&amp;'Category 15'!A:A,0)),INDEX('Category 15'!G:G,MATCH(C734&amp;E734&amp;D734,'Category 15'!B:B&amp;'Category 31'!C:C&amp;'Category 15'!A:A,0)))</f>
        <v>0</v>
      </c>
      <c r="L734">
        <f>K734/VLOOKUP($D734,CPI!$P$16:$R$22,3,FALSE)</f>
        <v>0</v>
      </c>
      <c r="M734" s="16" cm="1">
        <f t="array" ref="M734">IF(B734=0,INDEX('Category 31'!F:F,MATCH(C734&amp;E734&amp;D734,'Category 31'!B:B&amp;'Category 31'!C:C&amp;'Category 31'!A:A,0)),INDEX('Category 31'!G:G,MATCH(C734&amp;E734&amp;D734,'Category 31'!B:B&amp;'Category 31'!C:C&amp;'Category 31'!A:A,0)))</f>
        <v>0</v>
      </c>
      <c r="N734" s="16">
        <f>M734/VLOOKUP($D734,CPI!$P$16:$R$22,3,FALSE)</f>
        <v>0</v>
      </c>
      <c r="O734">
        <f>VLOOKUP(E734,WSoccer!C:S,10,FALSE)</f>
        <v>336</v>
      </c>
    </row>
    <row r="735" spans="1:15" ht="16" thickBot="1" x14ac:dyDescent="0.25">
      <c r="A735" s="15">
        <v>2</v>
      </c>
      <c r="B735">
        <f t="shared" si="11"/>
        <v>1</v>
      </c>
      <c r="C735">
        <f>IF(ISBLANK(H735),"",VLOOKUP(H735,Code!B:C,2,FALSE))</f>
        <v>18</v>
      </c>
      <c r="D735">
        <v>2021</v>
      </c>
      <c r="E735">
        <v>209807</v>
      </c>
      <c r="F735" t="s">
        <v>185</v>
      </c>
      <c r="G735" t="s">
        <v>290</v>
      </c>
      <c r="H735" t="s">
        <v>6</v>
      </c>
      <c r="I735" cm="1">
        <f t="array" ref="I735">IF(B735=0,INDEX('Category 14'!F:F,MATCH(C735&amp;E735&amp;D735,'Category 14'!B:B&amp;'Category 14'!C:C&amp;'Category 14'!A:A,0)),INDEX('Category 14'!G:G,MATCH(C735&amp;E735&amp;D735,'Category 14'!B:B&amp;'Category 14'!C:C&amp;'Category 14'!A:A,0)))</f>
        <v>0</v>
      </c>
      <c r="J735">
        <f>I735/VLOOKUP($D735,CPI!$P$16:$R$22,3,FALSE)</f>
        <v>0</v>
      </c>
      <c r="K735" cm="1">
        <f t="array" ref="K735">IF(B735=0,INDEX('Category 15'!F:F,MATCH(C735&amp;E735&amp;D735,'Category 15'!B:B&amp;'Category 15'!C:C&amp;'Category 15'!A:A,0)),INDEX('Category 15'!G:G,MATCH(C735&amp;E735&amp;D735,'Category 15'!B:B&amp;'Category 31'!C:C&amp;'Category 15'!A:A,0)))</f>
        <v>0</v>
      </c>
      <c r="L735">
        <f>K735/VLOOKUP($D735,CPI!$P$16:$R$22,3,FALSE)</f>
        <v>0</v>
      </c>
      <c r="M735" s="16" cm="1">
        <f t="array" ref="M735">IF(B735=0,INDEX('Category 31'!F:F,MATCH(C735&amp;E735&amp;D735,'Category 31'!B:B&amp;'Category 31'!C:C&amp;'Category 31'!A:A,0)),INDEX('Category 31'!G:G,MATCH(C735&amp;E735&amp;D735,'Category 31'!B:B&amp;'Category 31'!C:C&amp;'Category 31'!A:A,0)))</f>
        <v>498</v>
      </c>
      <c r="N735" s="16">
        <f>M735/VLOOKUP($D735,CPI!$P$16:$R$22,3,FALSE)</f>
        <v>567.14077685582981</v>
      </c>
      <c r="O735">
        <f>VLOOKUP(E735,WSoftball!C:S,10,FALSE)</f>
        <v>1009</v>
      </c>
    </row>
    <row r="736" spans="1:15" ht="16" thickBot="1" x14ac:dyDescent="0.25">
      <c r="A736" s="15">
        <v>2</v>
      </c>
      <c r="B736">
        <f t="shared" si="11"/>
        <v>1</v>
      </c>
      <c r="C736">
        <f>IF(ISBLANK(H736),"",VLOOKUP(H736,Code!B:C,2,FALSE))</f>
        <v>20</v>
      </c>
      <c r="D736">
        <v>2021</v>
      </c>
      <c r="E736">
        <v>209807</v>
      </c>
      <c r="F736" t="s">
        <v>185</v>
      </c>
      <c r="G736" t="s">
        <v>290</v>
      </c>
      <c r="H736" t="s">
        <v>8</v>
      </c>
      <c r="I736" cm="1">
        <f t="array" ref="I736">IF(B736=0,INDEX('Category 14'!F:F,MATCH(C736&amp;E736&amp;D736,'Category 14'!B:B&amp;'Category 14'!C:C&amp;'Category 14'!A:A,0)),INDEX('Category 14'!G:G,MATCH(C736&amp;E736&amp;D736,'Category 14'!B:B&amp;'Category 14'!C:C&amp;'Category 14'!A:A,0)))</f>
        <v>0</v>
      </c>
      <c r="J736">
        <f>I736/VLOOKUP($D736,CPI!$P$16:$R$22,3,FALSE)</f>
        <v>0</v>
      </c>
      <c r="K736" cm="1">
        <f t="array" ref="K736">IF(B736=0,INDEX('Category 15'!F:F,MATCH(C736&amp;E736&amp;D736,'Category 15'!B:B&amp;'Category 15'!C:C&amp;'Category 15'!A:A,0)),INDEX('Category 15'!G:G,MATCH(C736&amp;E736&amp;D736,'Category 15'!B:B&amp;'Category 31'!C:C&amp;'Category 15'!A:A,0)))</f>
        <v>0</v>
      </c>
      <c r="L736">
        <f>K736/VLOOKUP($D736,CPI!$P$16:$R$22,3,FALSE)</f>
        <v>0</v>
      </c>
      <c r="M736" s="16" cm="1">
        <f t="array" ref="M736">IF(B736=0,INDEX('Category 31'!F:F,MATCH(C736&amp;E736&amp;D736,'Category 31'!B:B&amp;'Category 31'!C:C&amp;'Category 31'!A:A,0)),INDEX('Category 31'!G:G,MATCH(C736&amp;E736&amp;D736,'Category 31'!B:B&amp;'Category 31'!C:C&amp;'Category 31'!A:A,0)))</f>
        <v>0</v>
      </c>
      <c r="N736" s="16">
        <f>M736/VLOOKUP($D736,CPI!$P$16:$R$22,3,FALSE)</f>
        <v>0</v>
      </c>
      <c r="O736">
        <v>0</v>
      </c>
    </row>
    <row r="737" spans="1:15" ht="16" thickBot="1" x14ac:dyDescent="0.25">
      <c r="A737" s="15">
        <v>2</v>
      </c>
      <c r="B737">
        <f t="shared" si="11"/>
        <v>1</v>
      </c>
      <c r="C737">
        <f>IF(ISBLANK(H737),"",VLOOKUP(H737,Code!B:C,2,FALSE))</f>
        <v>21</v>
      </c>
      <c r="D737">
        <v>2021</v>
      </c>
      <c r="E737">
        <v>209807</v>
      </c>
      <c r="F737" t="s">
        <v>185</v>
      </c>
      <c r="G737" t="s">
        <v>290</v>
      </c>
      <c r="H737" t="s">
        <v>36</v>
      </c>
      <c r="I737" cm="1">
        <f t="array" ref="I737">IF(B737=0,INDEX('Category 14'!F:F,MATCH(C737&amp;E737&amp;D737,'Category 14'!B:B&amp;'Category 14'!C:C&amp;'Category 14'!A:A,0)),INDEX('Category 14'!G:G,MATCH(C737&amp;E737&amp;D737,'Category 14'!B:B&amp;'Category 14'!C:C&amp;'Category 14'!A:A,0)))</f>
        <v>0</v>
      </c>
      <c r="J737">
        <f>I737/VLOOKUP($D737,CPI!$P$16:$R$22,3,FALSE)</f>
        <v>0</v>
      </c>
      <c r="K737" cm="1">
        <f t="array" ref="K737">IF(B737=0,INDEX('Category 15'!F:F,MATCH(C737&amp;E737&amp;D737,'Category 15'!B:B&amp;'Category 15'!C:C&amp;'Category 15'!A:A,0)),INDEX('Category 15'!G:G,MATCH(C737&amp;E737&amp;D737,'Category 15'!B:B&amp;'Category 31'!C:C&amp;'Category 15'!A:A,0)))</f>
        <v>0</v>
      </c>
      <c r="L737">
        <f>K737/VLOOKUP($D737,CPI!$P$16:$R$22,3,FALSE)</f>
        <v>0</v>
      </c>
      <c r="M737" s="16" cm="1">
        <f t="array" ref="M737">IF(B737=0,INDEX('Category 31'!F:F,MATCH(C737&amp;E737&amp;D737,'Category 31'!B:B&amp;'Category 31'!C:C&amp;'Category 31'!A:A,0)),INDEX('Category 31'!G:G,MATCH(C737&amp;E737&amp;D737,'Category 31'!B:B&amp;'Category 31'!C:C&amp;'Category 31'!A:A,0)))</f>
        <v>0</v>
      </c>
      <c r="N737" s="16">
        <f>M737/VLOOKUP($D737,CPI!$P$16:$R$22,3,FALSE)</f>
        <v>0</v>
      </c>
      <c r="O737">
        <v>0</v>
      </c>
    </row>
    <row r="738" spans="1:15" ht="16" thickBot="1" x14ac:dyDescent="0.25">
      <c r="A738" s="15">
        <v>2</v>
      </c>
      <c r="B738">
        <f t="shared" si="11"/>
        <v>1</v>
      </c>
      <c r="C738">
        <f>IF(ISBLANK(H738),"",VLOOKUP(H738,Code!B:C,2,FALSE))</f>
        <v>23</v>
      </c>
      <c r="D738">
        <v>2021</v>
      </c>
      <c r="E738">
        <v>209807</v>
      </c>
      <c r="F738" t="s">
        <v>185</v>
      </c>
      <c r="G738" t="s">
        <v>290</v>
      </c>
      <c r="H738" t="s">
        <v>10</v>
      </c>
      <c r="I738" cm="1">
        <f t="array" ref="I738">IF(B738=0,INDEX('Category 14'!F:F,MATCH(C738&amp;E738&amp;D738,'Category 14'!B:B&amp;'Category 14'!C:C&amp;'Category 14'!A:A,0)),INDEX('Category 14'!G:G,MATCH(C738&amp;E738&amp;D738,'Category 14'!B:B&amp;'Category 14'!C:C&amp;'Category 14'!A:A,0)))</f>
        <v>0</v>
      </c>
      <c r="J738">
        <f>I738/VLOOKUP($D738,CPI!$P$16:$R$22,3,FALSE)</f>
        <v>0</v>
      </c>
      <c r="K738" cm="1">
        <f t="array" ref="K738">IF(B738=0,INDEX('Category 15'!F:F,MATCH(C738&amp;E738&amp;D738,'Category 15'!B:B&amp;'Category 15'!C:C&amp;'Category 15'!A:A,0)),INDEX('Category 15'!G:G,MATCH(C738&amp;E738&amp;D738,'Category 15'!B:B&amp;'Category 31'!C:C&amp;'Category 15'!A:A,0)))</f>
        <v>0</v>
      </c>
      <c r="L738">
        <f>K738/VLOOKUP($D738,CPI!$P$16:$R$22,3,FALSE)</f>
        <v>0</v>
      </c>
      <c r="M738" s="16" cm="1">
        <f t="array" ref="M738">IF(B738=0,INDEX('Category 31'!F:F,MATCH(C738&amp;E738&amp;D738,'Category 31'!B:B&amp;'Category 31'!C:C&amp;'Category 31'!A:A,0)),INDEX('Category 31'!G:G,MATCH(C738&amp;E738&amp;D738,'Category 31'!B:B&amp;'Category 31'!C:C&amp;'Category 31'!A:A,0)))</f>
        <v>0</v>
      </c>
      <c r="N738" s="16">
        <f>M738/VLOOKUP($D738,CPI!$P$16:$R$22,3,FALSE)</f>
        <v>0</v>
      </c>
      <c r="O738">
        <f>VLOOKUP(E738,WVolleyball!C:S,10,FALSE)</f>
        <v>13</v>
      </c>
    </row>
    <row r="739" spans="1:15" ht="16" thickBot="1" x14ac:dyDescent="0.25">
      <c r="A739" s="15">
        <v>2</v>
      </c>
      <c r="B739">
        <f t="shared" si="11"/>
        <v>0</v>
      </c>
      <c r="C739">
        <f>IF(ISBLANK(H739),"",VLOOKUP(H739,Code!B:C,2,FALSE))</f>
        <v>2</v>
      </c>
      <c r="D739">
        <v>2022</v>
      </c>
      <c r="E739">
        <v>209807</v>
      </c>
      <c r="F739" t="s">
        <v>185</v>
      </c>
      <c r="G739" t="s">
        <v>289</v>
      </c>
      <c r="H739" t="s">
        <v>1</v>
      </c>
      <c r="I739" cm="1">
        <f t="array" ref="I739">IF(B739=0,INDEX('Category 14'!F:F,MATCH(C739&amp;E739&amp;D739,'Category 14'!B:B&amp;'Category 14'!C:C&amp;'Category 14'!A:A,0)),INDEX('Category 14'!G:G,MATCH(C739&amp;E739&amp;D739,'Category 14'!B:B&amp;'Category 14'!C:C&amp;'Category 14'!A:A,0)))</f>
        <v>0</v>
      </c>
      <c r="J739">
        <f>I739/VLOOKUP($D739,CPI!$P$16:$R$22,3,FALSE)</f>
        <v>0</v>
      </c>
      <c r="K739" cm="1">
        <f t="array" ref="K739">IF(B739=0,INDEX('Category 15'!F:F,MATCH(C739&amp;E739&amp;D739,'Category 15'!B:B&amp;'Category 15'!C:C&amp;'Category 15'!A:A,0)),INDEX('Category 15'!G:G,MATCH(C739&amp;E739&amp;D739,'Category 15'!B:B&amp;'Category 31'!C:C&amp;'Category 15'!A:A,0)))</f>
        <v>0</v>
      </c>
      <c r="L739">
        <f>K739/VLOOKUP($D739,CPI!$P$16:$R$22,3,FALSE)</f>
        <v>0</v>
      </c>
      <c r="M739" s="16" cm="1">
        <f t="array" ref="M739">IF(B739=0,INDEX('Category 31'!F:F,MATCH(C739&amp;E739&amp;D739,'Category 31'!B:B&amp;'Category 31'!C:C&amp;'Category 31'!A:A,0)),INDEX('Category 31'!G:G,MATCH(C739&amp;E739&amp;D739,'Category 31'!B:B&amp;'Category 31'!C:C&amp;'Category 31'!A:A,0)))</f>
        <v>0</v>
      </c>
      <c r="N739" s="16">
        <f>M739/VLOOKUP($D739,CPI!$P$16:$R$22,3,FALSE)</f>
        <v>0</v>
      </c>
      <c r="O739">
        <f>VLOOKUP(E739,MBasketball!C:S,11,FALSE)</f>
        <v>13256</v>
      </c>
    </row>
    <row r="740" spans="1:15" ht="16" thickBot="1" x14ac:dyDescent="0.25">
      <c r="A740" s="15">
        <v>2</v>
      </c>
      <c r="B740">
        <f t="shared" si="11"/>
        <v>0</v>
      </c>
      <c r="C740">
        <f>IF(ISBLANK(H740),"",VLOOKUP(H740,Code!B:C,2,FALSE))</f>
        <v>8</v>
      </c>
      <c r="D740">
        <v>2022</v>
      </c>
      <c r="E740">
        <v>209807</v>
      </c>
      <c r="F740" t="s">
        <v>185</v>
      </c>
      <c r="G740" t="s">
        <v>289</v>
      </c>
      <c r="H740" t="s">
        <v>2</v>
      </c>
      <c r="I740" cm="1">
        <f t="array" ref="I740">IF(B740=0,INDEX('Category 14'!F:F,MATCH(C740&amp;E740&amp;D740,'Category 14'!B:B&amp;'Category 14'!C:C&amp;'Category 14'!A:A,0)),INDEX('Category 14'!G:G,MATCH(C740&amp;E740&amp;D740,'Category 14'!B:B&amp;'Category 14'!C:C&amp;'Category 14'!A:A,0)))</f>
        <v>0</v>
      </c>
      <c r="J740">
        <f>I740/VLOOKUP($D740,CPI!$P$16:$R$22,3,FALSE)</f>
        <v>0</v>
      </c>
      <c r="K740" cm="1">
        <f t="array" ref="K740">IF(B740=0,INDEX('Category 15'!F:F,MATCH(C740&amp;E740&amp;D740,'Category 15'!B:B&amp;'Category 15'!C:C&amp;'Category 15'!A:A,0)),INDEX('Category 15'!G:G,MATCH(C740&amp;E740&amp;D740,'Category 15'!B:B&amp;'Category 31'!C:C&amp;'Category 15'!A:A,0)))</f>
        <v>0</v>
      </c>
      <c r="L740">
        <f>K740/VLOOKUP($D740,CPI!$P$16:$R$22,3,FALSE)</f>
        <v>0</v>
      </c>
      <c r="M740" s="16" cm="1">
        <f t="array" ref="M740">IF(B740=0,INDEX('Category 31'!F:F,MATCH(C740&amp;E740&amp;D740,'Category 31'!B:B&amp;'Category 31'!C:C&amp;'Category 31'!A:A,0)),INDEX('Category 31'!G:G,MATCH(C740&amp;E740&amp;D740,'Category 31'!B:B&amp;'Category 31'!C:C&amp;'Category 31'!A:A,0)))</f>
        <v>0</v>
      </c>
      <c r="N740" s="16">
        <f>M740/VLOOKUP($D740,CPI!$P$16:$R$22,3,FALSE)</f>
        <v>0</v>
      </c>
      <c r="O740">
        <f>VLOOKUP(E740,MFootball!C:S,11,FALSE)</f>
        <v>16644</v>
      </c>
    </row>
    <row r="741" spans="1:15" ht="16" thickBot="1" x14ac:dyDescent="0.25">
      <c r="A741" s="15">
        <v>2</v>
      </c>
      <c r="B741">
        <f t="shared" si="11"/>
        <v>0</v>
      </c>
      <c r="C741">
        <f>IF(ISBLANK(H741),"",VLOOKUP(H741,Code!B:C,2,FALSE))</f>
        <v>20</v>
      </c>
      <c r="D741">
        <v>2022</v>
      </c>
      <c r="E741">
        <v>209807</v>
      </c>
      <c r="F741" t="s">
        <v>185</v>
      </c>
      <c r="G741" t="s">
        <v>289</v>
      </c>
      <c r="H741" t="s">
        <v>8</v>
      </c>
      <c r="I741" cm="1">
        <f t="array" ref="I741">IF(B741=0,INDEX('Category 14'!F:F,MATCH(C741&amp;E741&amp;D741,'Category 14'!B:B&amp;'Category 14'!C:C&amp;'Category 14'!A:A,0)),INDEX('Category 14'!G:G,MATCH(C741&amp;E741&amp;D741,'Category 14'!B:B&amp;'Category 14'!C:C&amp;'Category 14'!A:A,0)))</f>
        <v>0</v>
      </c>
      <c r="J741">
        <f>I741/VLOOKUP($D741,CPI!$P$16:$R$22,3,FALSE)</f>
        <v>0</v>
      </c>
      <c r="K741" cm="1">
        <f t="array" ref="K741">IF(B741=0,INDEX('Category 15'!F:F,MATCH(C741&amp;E741&amp;D741,'Category 15'!B:B&amp;'Category 15'!C:C&amp;'Category 15'!A:A,0)),INDEX('Category 15'!G:G,MATCH(C741&amp;E741&amp;D741,'Category 15'!B:B&amp;'Category 31'!C:C&amp;'Category 15'!A:A,0)))</f>
        <v>0</v>
      </c>
      <c r="L741">
        <f>K741/VLOOKUP($D741,CPI!$P$16:$R$22,3,FALSE)</f>
        <v>0</v>
      </c>
      <c r="M741" s="16" cm="1">
        <f t="array" ref="M741">IF(B741=0,INDEX('Category 31'!F:F,MATCH(C741&amp;E741&amp;D741,'Category 31'!B:B&amp;'Category 31'!C:C&amp;'Category 31'!A:A,0)),INDEX('Category 31'!G:G,MATCH(C741&amp;E741&amp;D741,'Category 31'!B:B&amp;'Category 31'!C:C&amp;'Category 31'!A:A,0)))</f>
        <v>0</v>
      </c>
      <c r="N741" s="16">
        <f>M741/VLOOKUP($D741,CPI!$P$16:$R$22,3,FALSE)</f>
        <v>0</v>
      </c>
      <c r="O741">
        <v>0</v>
      </c>
    </row>
    <row r="742" spans="1:15" ht="16" thickBot="1" x14ac:dyDescent="0.25">
      <c r="A742" s="15">
        <v>2</v>
      </c>
      <c r="B742">
        <f t="shared" si="11"/>
        <v>0</v>
      </c>
      <c r="C742">
        <f>IF(ISBLANK(H742),"",VLOOKUP(H742,Code!B:C,2,FALSE))</f>
        <v>21</v>
      </c>
      <c r="D742">
        <v>2022</v>
      </c>
      <c r="E742">
        <v>209807</v>
      </c>
      <c r="F742" t="s">
        <v>185</v>
      </c>
      <c r="G742" t="s">
        <v>289</v>
      </c>
      <c r="H742" t="s">
        <v>36</v>
      </c>
      <c r="I742" cm="1">
        <f t="array" ref="I742">IF(B742=0,INDEX('Category 14'!F:F,MATCH(C742&amp;E742&amp;D742,'Category 14'!B:B&amp;'Category 14'!C:C&amp;'Category 14'!A:A,0)),INDEX('Category 14'!G:G,MATCH(C742&amp;E742&amp;D742,'Category 14'!B:B&amp;'Category 14'!C:C&amp;'Category 14'!A:A,0)))</f>
        <v>0</v>
      </c>
      <c r="J742">
        <f>I742/VLOOKUP($D742,CPI!$P$16:$R$22,3,FALSE)</f>
        <v>0</v>
      </c>
      <c r="K742" cm="1">
        <f t="array" ref="K742">IF(B742=0,INDEX('Category 15'!F:F,MATCH(C742&amp;E742&amp;D742,'Category 15'!B:B&amp;'Category 15'!C:C&amp;'Category 15'!A:A,0)),INDEX('Category 15'!G:G,MATCH(C742&amp;E742&amp;D742,'Category 15'!B:B&amp;'Category 31'!C:C&amp;'Category 15'!A:A,0)))</f>
        <v>0</v>
      </c>
      <c r="L742">
        <f>K742/VLOOKUP($D742,CPI!$P$16:$R$22,3,FALSE)</f>
        <v>0</v>
      </c>
      <c r="M742" s="16" cm="1">
        <f t="array" ref="M742">IF(B742=0,INDEX('Category 31'!F:F,MATCH(C742&amp;E742&amp;D742,'Category 31'!B:B&amp;'Category 31'!C:C&amp;'Category 31'!A:A,0)),INDEX('Category 31'!G:G,MATCH(C742&amp;E742&amp;D742,'Category 31'!B:B&amp;'Category 31'!C:C&amp;'Category 31'!A:A,0)))</f>
        <v>0</v>
      </c>
      <c r="N742" s="16">
        <f>M742/VLOOKUP($D742,CPI!$P$16:$R$22,3,FALSE)</f>
        <v>0</v>
      </c>
      <c r="O742">
        <v>0</v>
      </c>
    </row>
    <row r="743" spans="1:15" ht="16" thickBot="1" x14ac:dyDescent="0.25">
      <c r="A743" s="15">
        <v>2</v>
      </c>
      <c r="B743">
        <f t="shared" si="11"/>
        <v>1</v>
      </c>
      <c r="C743">
        <f>IF(ISBLANK(H743),"",VLOOKUP(H743,Code!B:C,2,FALSE))</f>
        <v>2</v>
      </c>
      <c r="D743">
        <v>2022</v>
      </c>
      <c r="E743">
        <v>209807</v>
      </c>
      <c r="F743" t="s">
        <v>185</v>
      </c>
      <c r="G743" t="s">
        <v>290</v>
      </c>
      <c r="H743" t="s">
        <v>1</v>
      </c>
      <c r="I743" cm="1">
        <f t="array" ref="I743">IF(B743=0,INDEX('Category 14'!F:F,MATCH(C743&amp;E743&amp;D743,'Category 14'!B:B&amp;'Category 14'!C:C&amp;'Category 14'!A:A,0)),INDEX('Category 14'!G:G,MATCH(C743&amp;E743&amp;D743,'Category 14'!B:B&amp;'Category 14'!C:C&amp;'Category 14'!A:A,0)))</f>
        <v>0</v>
      </c>
      <c r="J743">
        <f>I743/VLOOKUP($D743,CPI!$P$16:$R$22,3,FALSE)</f>
        <v>0</v>
      </c>
      <c r="K743" cm="1">
        <f t="array" ref="K743">IF(B743=0,INDEX('Category 15'!F:F,MATCH(C743&amp;E743&amp;D743,'Category 15'!B:B&amp;'Category 15'!C:C&amp;'Category 15'!A:A,0)),INDEX('Category 15'!G:G,MATCH(C743&amp;E743&amp;D743,'Category 15'!B:B&amp;'Category 31'!C:C&amp;'Category 15'!A:A,0)))</f>
        <v>0</v>
      </c>
      <c r="L743">
        <f>K743/VLOOKUP($D743,CPI!$P$16:$R$22,3,FALSE)</f>
        <v>0</v>
      </c>
      <c r="M743" s="16" cm="1">
        <f t="array" ref="M743">IF(B743=0,INDEX('Category 31'!F:F,MATCH(C743&amp;E743&amp;D743,'Category 31'!B:B&amp;'Category 31'!C:C&amp;'Category 31'!A:A,0)),INDEX('Category 31'!G:G,MATCH(C743&amp;E743&amp;D743,'Category 31'!B:B&amp;'Category 31'!C:C&amp;'Category 31'!A:A,0)))</f>
        <v>0</v>
      </c>
      <c r="N743" s="16">
        <f>M743/VLOOKUP($D743,CPI!$P$16:$R$22,3,FALSE)</f>
        <v>0</v>
      </c>
      <c r="O743">
        <f>VLOOKUP(E743,WBasketball!C:S,11,FALSE)</f>
        <v>5823</v>
      </c>
    </row>
    <row r="744" spans="1:15" ht="16" thickBot="1" x14ac:dyDescent="0.25">
      <c r="A744" s="15">
        <v>2</v>
      </c>
      <c r="B744">
        <f t="shared" si="11"/>
        <v>1</v>
      </c>
      <c r="C744">
        <f>IF(ISBLANK(H744),"",VLOOKUP(H744,Code!B:C,2,FALSE))</f>
        <v>9</v>
      </c>
      <c r="D744">
        <v>2022</v>
      </c>
      <c r="E744">
        <v>209807</v>
      </c>
      <c r="F744" t="s">
        <v>185</v>
      </c>
      <c r="G744" t="s">
        <v>290</v>
      </c>
      <c r="H744" t="s">
        <v>3</v>
      </c>
      <c r="I744" cm="1">
        <f t="array" ref="I744">IF(B744=0,INDEX('Category 14'!F:F,MATCH(C744&amp;E744&amp;D744,'Category 14'!B:B&amp;'Category 14'!C:C&amp;'Category 14'!A:A,0)),INDEX('Category 14'!G:G,MATCH(C744&amp;E744&amp;D744,'Category 14'!B:B&amp;'Category 14'!C:C&amp;'Category 14'!A:A,0)))</f>
        <v>0</v>
      </c>
      <c r="J744">
        <f>I744/VLOOKUP($D744,CPI!$P$16:$R$22,3,FALSE)</f>
        <v>0</v>
      </c>
      <c r="K744" cm="1">
        <f t="array" ref="K744">IF(B744=0,INDEX('Category 15'!F:F,MATCH(C744&amp;E744&amp;D744,'Category 15'!B:B&amp;'Category 15'!C:C&amp;'Category 15'!A:A,0)),INDEX('Category 15'!G:G,MATCH(C744&amp;E744&amp;D744,'Category 15'!B:B&amp;'Category 31'!C:C&amp;'Category 15'!A:A,0)))</f>
        <v>0</v>
      </c>
      <c r="L744">
        <f>K744/VLOOKUP($D744,CPI!$P$16:$R$22,3,FALSE)</f>
        <v>0</v>
      </c>
      <c r="M744" s="16" cm="1">
        <f t="array" ref="M744">IF(B744=0,INDEX('Category 31'!F:F,MATCH(C744&amp;E744&amp;D744,'Category 31'!B:B&amp;'Category 31'!C:C&amp;'Category 31'!A:A,0)),INDEX('Category 31'!G:G,MATCH(C744&amp;E744&amp;D744,'Category 31'!B:B&amp;'Category 31'!C:C&amp;'Category 31'!A:A,0)))</f>
        <v>0</v>
      </c>
      <c r="N744" s="16">
        <f>M744/VLOOKUP($D744,CPI!$P$16:$R$22,3,FALSE)</f>
        <v>0</v>
      </c>
      <c r="O744">
        <v>0</v>
      </c>
    </row>
    <row r="745" spans="1:15" ht="16" thickBot="1" x14ac:dyDescent="0.25">
      <c r="A745" s="15">
        <v>2</v>
      </c>
      <c r="B745">
        <f t="shared" si="11"/>
        <v>1</v>
      </c>
      <c r="C745">
        <f>IF(ISBLANK(H745),"",VLOOKUP(H745,Code!B:C,2,FALSE))</f>
        <v>17</v>
      </c>
      <c r="D745">
        <v>2022</v>
      </c>
      <c r="E745">
        <v>209807</v>
      </c>
      <c r="F745" t="s">
        <v>185</v>
      </c>
      <c r="G745" t="s">
        <v>290</v>
      </c>
      <c r="H745" t="s">
        <v>5</v>
      </c>
      <c r="I745" cm="1">
        <f t="array" ref="I745">IF(B745=0,INDEX('Category 14'!F:F,MATCH(C745&amp;E745&amp;D745,'Category 14'!B:B&amp;'Category 14'!C:C&amp;'Category 14'!A:A,0)),INDEX('Category 14'!G:G,MATCH(C745&amp;E745&amp;D745,'Category 14'!B:B&amp;'Category 14'!C:C&amp;'Category 14'!A:A,0)))</f>
        <v>0</v>
      </c>
      <c r="J745">
        <f>I745/VLOOKUP($D745,CPI!$P$16:$R$22,3,FALSE)</f>
        <v>0</v>
      </c>
      <c r="K745" cm="1">
        <f t="array" ref="K745">IF(B745=0,INDEX('Category 15'!F:F,MATCH(C745&amp;E745&amp;D745,'Category 15'!B:B&amp;'Category 15'!C:C&amp;'Category 15'!A:A,0)),INDEX('Category 15'!G:G,MATCH(C745&amp;E745&amp;D745,'Category 15'!B:B&amp;'Category 31'!C:C&amp;'Category 15'!A:A,0)))</f>
        <v>0</v>
      </c>
      <c r="L745">
        <f>K745/VLOOKUP($D745,CPI!$P$16:$R$22,3,FALSE)</f>
        <v>0</v>
      </c>
      <c r="M745" s="16" cm="1">
        <f t="array" ref="M745">IF(B745=0,INDEX('Category 31'!F:F,MATCH(C745&amp;E745&amp;D745,'Category 31'!B:B&amp;'Category 31'!C:C&amp;'Category 31'!A:A,0)),INDEX('Category 31'!G:G,MATCH(C745&amp;E745&amp;D745,'Category 31'!B:B&amp;'Category 31'!C:C&amp;'Category 31'!A:A,0)))</f>
        <v>0</v>
      </c>
      <c r="N745" s="16">
        <f>M745/VLOOKUP($D745,CPI!$P$16:$R$22,3,FALSE)</f>
        <v>0</v>
      </c>
      <c r="O745">
        <f>VLOOKUP(E745,WSoccer!C:S,11,FALSE)</f>
        <v>1056</v>
      </c>
    </row>
    <row r="746" spans="1:15" ht="16" thickBot="1" x14ac:dyDescent="0.25">
      <c r="A746" s="15">
        <v>2</v>
      </c>
      <c r="B746">
        <f t="shared" si="11"/>
        <v>1</v>
      </c>
      <c r="C746">
        <f>IF(ISBLANK(H746),"",VLOOKUP(H746,Code!B:C,2,FALSE))</f>
        <v>18</v>
      </c>
      <c r="D746">
        <v>2022</v>
      </c>
      <c r="E746">
        <v>209807</v>
      </c>
      <c r="F746" t="s">
        <v>185</v>
      </c>
      <c r="G746" t="s">
        <v>290</v>
      </c>
      <c r="H746" t="s">
        <v>6</v>
      </c>
      <c r="I746" cm="1">
        <f t="array" ref="I746">IF(B746=0,INDEX('Category 14'!F:F,MATCH(C746&amp;E746&amp;D746,'Category 14'!B:B&amp;'Category 14'!C:C&amp;'Category 14'!A:A,0)),INDEX('Category 14'!G:G,MATCH(C746&amp;E746&amp;D746,'Category 14'!B:B&amp;'Category 14'!C:C&amp;'Category 14'!A:A,0)))</f>
        <v>0</v>
      </c>
      <c r="J746">
        <f>I746/VLOOKUP($D746,CPI!$P$16:$R$22,3,FALSE)</f>
        <v>0</v>
      </c>
      <c r="K746" cm="1">
        <f t="array" ref="K746">IF(B746=0,INDEX('Category 15'!F:F,MATCH(C746&amp;E746&amp;D746,'Category 15'!B:B&amp;'Category 15'!C:C&amp;'Category 15'!A:A,0)),INDEX('Category 15'!G:G,MATCH(C746&amp;E746&amp;D746,'Category 15'!B:B&amp;'Category 31'!C:C&amp;'Category 15'!A:A,0)))</f>
        <v>0</v>
      </c>
      <c r="L746">
        <f>K746/VLOOKUP($D746,CPI!$P$16:$R$22,3,FALSE)</f>
        <v>0</v>
      </c>
      <c r="M746" s="16" cm="1">
        <f t="array" ref="M746">IF(B746=0,INDEX('Category 31'!F:F,MATCH(C746&amp;E746&amp;D746,'Category 31'!B:B&amp;'Category 31'!C:C&amp;'Category 31'!A:A,0)),INDEX('Category 31'!G:G,MATCH(C746&amp;E746&amp;D746,'Category 31'!B:B&amp;'Category 31'!C:C&amp;'Category 31'!A:A,0)))</f>
        <v>0</v>
      </c>
      <c r="N746" s="16">
        <f>M746/VLOOKUP($D746,CPI!$P$16:$R$22,3,FALSE)</f>
        <v>0</v>
      </c>
      <c r="O746">
        <f>VLOOKUP(E746,WSoftball!C:S,11,FALSE)</f>
        <v>1360</v>
      </c>
    </row>
    <row r="747" spans="1:15" ht="16" thickBot="1" x14ac:dyDescent="0.25">
      <c r="A747" s="15">
        <v>2</v>
      </c>
      <c r="B747">
        <f t="shared" si="11"/>
        <v>1</v>
      </c>
      <c r="C747">
        <f>IF(ISBLANK(H747),"",VLOOKUP(H747,Code!B:C,2,FALSE))</f>
        <v>20</v>
      </c>
      <c r="D747">
        <v>2022</v>
      </c>
      <c r="E747">
        <v>209807</v>
      </c>
      <c r="F747" t="s">
        <v>185</v>
      </c>
      <c r="G747" t="s">
        <v>290</v>
      </c>
      <c r="H747" t="s">
        <v>8</v>
      </c>
      <c r="I747" cm="1">
        <f t="array" ref="I747">IF(B747=0,INDEX('Category 14'!F:F,MATCH(C747&amp;E747&amp;D747,'Category 14'!B:B&amp;'Category 14'!C:C&amp;'Category 14'!A:A,0)),INDEX('Category 14'!G:G,MATCH(C747&amp;E747&amp;D747,'Category 14'!B:B&amp;'Category 14'!C:C&amp;'Category 14'!A:A,0)))</f>
        <v>0</v>
      </c>
      <c r="J747">
        <f>I747/VLOOKUP($D747,CPI!$P$16:$R$22,3,FALSE)</f>
        <v>0</v>
      </c>
      <c r="K747" cm="1">
        <f t="array" ref="K747">IF(B747=0,INDEX('Category 15'!F:F,MATCH(C747&amp;E747&amp;D747,'Category 15'!B:B&amp;'Category 15'!C:C&amp;'Category 15'!A:A,0)),INDEX('Category 15'!G:G,MATCH(C747&amp;E747&amp;D747,'Category 15'!B:B&amp;'Category 31'!C:C&amp;'Category 15'!A:A,0)))</f>
        <v>0</v>
      </c>
      <c r="L747">
        <f>K747/VLOOKUP($D747,CPI!$P$16:$R$22,3,FALSE)</f>
        <v>0</v>
      </c>
      <c r="M747" s="16" cm="1">
        <f t="array" ref="M747">IF(B747=0,INDEX('Category 31'!F:F,MATCH(C747&amp;E747&amp;D747,'Category 31'!B:B&amp;'Category 31'!C:C&amp;'Category 31'!A:A,0)),INDEX('Category 31'!G:G,MATCH(C747&amp;E747&amp;D747,'Category 31'!B:B&amp;'Category 31'!C:C&amp;'Category 31'!A:A,0)))</f>
        <v>0</v>
      </c>
      <c r="N747" s="16">
        <f>M747/VLOOKUP($D747,CPI!$P$16:$R$22,3,FALSE)</f>
        <v>0</v>
      </c>
      <c r="O747">
        <v>0</v>
      </c>
    </row>
    <row r="748" spans="1:15" ht="16" thickBot="1" x14ac:dyDescent="0.25">
      <c r="A748" s="15">
        <v>2</v>
      </c>
      <c r="B748">
        <f t="shared" si="11"/>
        <v>1</v>
      </c>
      <c r="C748">
        <f>IF(ISBLANK(H748),"",VLOOKUP(H748,Code!B:C,2,FALSE))</f>
        <v>21</v>
      </c>
      <c r="D748">
        <v>2022</v>
      </c>
      <c r="E748">
        <v>209807</v>
      </c>
      <c r="F748" t="s">
        <v>185</v>
      </c>
      <c r="G748" t="s">
        <v>290</v>
      </c>
      <c r="H748" t="s">
        <v>36</v>
      </c>
      <c r="I748" cm="1">
        <f t="array" ref="I748">IF(B748=0,INDEX('Category 14'!F:F,MATCH(C748&amp;E748&amp;D748,'Category 14'!B:B&amp;'Category 14'!C:C&amp;'Category 14'!A:A,0)),INDEX('Category 14'!G:G,MATCH(C748&amp;E748&amp;D748,'Category 14'!B:B&amp;'Category 14'!C:C&amp;'Category 14'!A:A,0)))</f>
        <v>0</v>
      </c>
      <c r="J748">
        <f>I748/VLOOKUP($D748,CPI!$P$16:$R$22,3,FALSE)</f>
        <v>0</v>
      </c>
      <c r="K748" cm="1">
        <f t="array" ref="K748">IF(B748=0,INDEX('Category 15'!F:F,MATCH(C748&amp;E748&amp;D748,'Category 15'!B:B&amp;'Category 15'!C:C&amp;'Category 15'!A:A,0)),INDEX('Category 15'!G:G,MATCH(C748&amp;E748&amp;D748,'Category 15'!B:B&amp;'Category 31'!C:C&amp;'Category 15'!A:A,0)))</f>
        <v>0</v>
      </c>
      <c r="L748">
        <f>K748/VLOOKUP($D748,CPI!$P$16:$R$22,3,FALSE)</f>
        <v>0</v>
      </c>
      <c r="M748" s="16" cm="1">
        <f t="array" ref="M748">IF(B748=0,INDEX('Category 31'!F:F,MATCH(C748&amp;E748&amp;D748,'Category 31'!B:B&amp;'Category 31'!C:C&amp;'Category 31'!A:A,0)),INDEX('Category 31'!G:G,MATCH(C748&amp;E748&amp;D748,'Category 31'!B:B&amp;'Category 31'!C:C&amp;'Category 31'!A:A,0)))</f>
        <v>0</v>
      </c>
      <c r="N748" s="16">
        <f>M748/VLOOKUP($D748,CPI!$P$16:$R$22,3,FALSE)</f>
        <v>0</v>
      </c>
      <c r="O748">
        <v>0</v>
      </c>
    </row>
    <row r="749" spans="1:15" ht="16" thickBot="1" x14ac:dyDescent="0.25">
      <c r="A749" s="15">
        <v>2</v>
      </c>
      <c r="B749">
        <f t="shared" si="11"/>
        <v>1</v>
      </c>
      <c r="C749">
        <f>IF(ISBLANK(H749),"",VLOOKUP(H749,Code!B:C,2,FALSE))</f>
        <v>23</v>
      </c>
      <c r="D749">
        <v>2022</v>
      </c>
      <c r="E749">
        <v>209807</v>
      </c>
      <c r="F749" t="s">
        <v>185</v>
      </c>
      <c r="G749" t="s">
        <v>290</v>
      </c>
      <c r="H749" t="s">
        <v>10</v>
      </c>
      <c r="I749" cm="1">
        <f t="array" ref="I749">IF(B749=0,INDEX('Category 14'!F:F,MATCH(C749&amp;E749&amp;D749,'Category 14'!B:B&amp;'Category 14'!C:C&amp;'Category 14'!A:A,0)),INDEX('Category 14'!G:G,MATCH(C749&amp;E749&amp;D749,'Category 14'!B:B&amp;'Category 14'!C:C&amp;'Category 14'!A:A,0)))</f>
        <v>0</v>
      </c>
      <c r="J749">
        <f>I749/VLOOKUP($D749,CPI!$P$16:$R$22,3,FALSE)</f>
        <v>0</v>
      </c>
      <c r="K749" cm="1">
        <f t="array" ref="K749">IF(B749=0,INDEX('Category 15'!F:F,MATCH(C749&amp;E749&amp;D749,'Category 15'!B:B&amp;'Category 15'!C:C&amp;'Category 15'!A:A,0)),INDEX('Category 15'!G:G,MATCH(C749&amp;E749&amp;D749,'Category 15'!B:B&amp;'Category 31'!C:C&amp;'Category 15'!A:A,0)))</f>
        <v>0</v>
      </c>
      <c r="L749">
        <f>K749/VLOOKUP($D749,CPI!$P$16:$R$22,3,FALSE)</f>
        <v>0</v>
      </c>
      <c r="M749" s="16" cm="1">
        <f t="array" ref="M749">IF(B749=0,INDEX('Category 31'!F:F,MATCH(C749&amp;E749&amp;D749,'Category 31'!B:B&amp;'Category 31'!C:C&amp;'Category 31'!A:A,0)),INDEX('Category 31'!G:G,MATCH(C749&amp;E749&amp;D749,'Category 31'!B:B&amp;'Category 31'!C:C&amp;'Category 31'!A:A,0)))</f>
        <v>0</v>
      </c>
      <c r="N749" s="16">
        <f>M749/VLOOKUP($D749,CPI!$P$16:$R$22,3,FALSE)</f>
        <v>0</v>
      </c>
      <c r="O749">
        <f>VLOOKUP(E749,WVolleyball!C:S,11,FALSE)</f>
        <v>4845</v>
      </c>
    </row>
    <row r="750" spans="1:15" ht="16" thickBot="1" x14ac:dyDescent="0.25">
      <c r="A750" s="15">
        <v>2</v>
      </c>
      <c r="B750">
        <f t="shared" si="11"/>
        <v>0</v>
      </c>
      <c r="C750">
        <f>IF(ISBLANK(H750),"",VLOOKUP(H750,Code!B:C,2,FALSE))</f>
        <v>2</v>
      </c>
      <c r="D750">
        <v>2023</v>
      </c>
      <c r="E750">
        <v>209807</v>
      </c>
      <c r="F750" t="s">
        <v>185</v>
      </c>
      <c r="G750" t="s">
        <v>289</v>
      </c>
      <c r="H750" t="s">
        <v>1</v>
      </c>
      <c r="I750" cm="1">
        <f t="array" ref="I750">IF(B750=0,INDEX('Category 14'!F:F,MATCH(C750&amp;E750&amp;D750,'Category 14'!B:B&amp;'Category 14'!C:C&amp;'Category 14'!A:A,0)),INDEX('Category 14'!G:G,MATCH(C750&amp;E750&amp;D750,'Category 14'!B:B&amp;'Category 14'!C:C&amp;'Category 14'!A:A,0)))</f>
        <v>0</v>
      </c>
      <c r="J750">
        <f>I750/VLOOKUP($D750,CPI!$P$16:$R$22,3,FALSE)</f>
        <v>0</v>
      </c>
      <c r="K750" cm="1">
        <f t="array" ref="K750">IF(B750=0,INDEX('Category 15'!F:F,MATCH(C750&amp;E750&amp;D750,'Category 15'!B:B&amp;'Category 15'!C:C&amp;'Category 15'!A:A,0)),INDEX('Category 15'!G:G,MATCH(C750&amp;E750&amp;D750,'Category 15'!B:B&amp;'Category 31'!C:C&amp;'Category 15'!A:A,0)))</f>
        <v>0</v>
      </c>
      <c r="L750">
        <f>K750/VLOOKUP($D750,CPI!$P$16:$R$22,3,FALSE)</f>
        <v>0</v>
      </c>
      <c r="M750" s="16" cm="1">
        <f t="array" ref="M750">IF(B750=0,INDEX('Category 31'!F:F,MATCH(C750&amp;E750&amp;D750,'Category 31'!B:B&amp;'Category 31'!C:C&amp;'Category 31'!A:A,0)),INDEX('Category 31'!G:G,MATCH(C750&amp;E750&amp;D750,'Category 31'!B:B&amp;'Category 31'!C:C&amp;'Category 31'!A:A,0)))</f>
        <v>0</v>
      </c>
      <c r="N750" s="16">
        <f>M750/VLOOKUP($D750,CPI!$P$16:$R$22,3,FALSE)</f>
        <v>0</v>
      </c>
      <c r="O750">
        <f>VLOOKUP(E750,MBasketball!C:S,12,FALSE)</f>
        <v>14090</v>
      </c>
    </row>
    <row r="751" spans="1:15" ht="16" thickBot="1" x14ac:dyDescent="0.25">
      <c r="A751" s="15">
        <v>2</v>
      </c>
      <c r="B751">
        <f t="shared" si="11"/>
        <v>0</v>
      </c>
      <c r="C751">
        <f>IF(ISBLANK(H751),"",VLOOKUP(H751,Code!B:C,2,FALSE))</f>
        <v>8</v>
      </c>
      <c r="D751">
        <v>2023</v>
      </c>
      <c r="E751">
        <v>209807</v>
      </c>
      <c r="F751" t="s">
        <v>185</v>
      </c>
      <c r="G751" t="s">
        <v>289</v>
      </c>
      <c r="H751" t="s">
        <v>2</v>
      </c>
      <c r="I751" cm="1">
        <f t="array" ref="I751">IF(B751=0,INDEX('Category 14'!F:F,MATCH(C751&amp;E751&amp;D751,'Category 14'!B:B&amp;'Category 14'!C:C&amp;'Category 14'!A:A,0)),INDEX('Category 14'!G:G,MATCH(C751&amp;E751&amp;D751,'Category 14'!B:B&amp;'Category 14'!C:C&amp;'Category 14'!A:A,0)))</f>
        <v>0</v>
      </c>
      <c r="J751">
        <f>I751/VLOOKUP($D751,CPI!$P$16:$R$22,3,FALSE)</f>
        <v>0</v>
      </c>
      <c r="K751" cm="1">
        <f t="array" ref="K751">IF(B751=0,INDEX('Category 15'!F:F,MATCH(C751&amp;E751&amp;D751,'Category 15'!B:B&amp;'Category 15'!C:C&amp;'Category 15'!A:A,0)),INDEX('Category 15'!G:G,MATCH(C751&amp;E751&amp;D751,'Category 15'!B:B&amp;'Category 31'!C:C&amp;'Category 15'!A:A,0)))</f>
        <v>0</v>
      </c>
      <c r="L751">
        <f>K751/VLOOKUP($D751,CPI!$P$16:$R$22,3,FALSE)</f>
        <v>0</v>
      </c>
      <c r="M751" s="16" cm="1">
        <f t="array" ref="M751">IF(B751=0,INDEX('Category 31'!F:F,MATCH(C751&amp;E751&amp;D751,'Category 31'!B:B&amp;'Category 31'!C:C&amp;'Category 31'!A:A,0)),INDEX('Category 31'!G:G,MATCH(C751&amp;E751&amp;D751,'Category 31'!B:B&amp;'Category 31'!C:C&amp;'Category 31'!A:A,0)))</f>
        <v>0</v>
      </c>
      <c r="N751" s="16">
        <f>M751/VLOOKUP($D751,CPI!$P$16:$R$22,3,FALSE)</f>
        <v>0</v>
      </c>
      <c r="O751">
        <f>VLOOKUP(E751,MFootball!C:S,12,FALSE)</f>
        <v>16245</v>
      </c>
    </row>
    <row r="752" spans="1:15" ht="16" thickBot="1" x14ac:dyDescent="0.25">
      <c r="A752" s="15">
        <v>2</v>
      </c>
      <c r="B752">
        <f t="shared" si="11"/>
        <v>0</v>
      </c>
      <c r="C752">
        <f>IF(ISBLANK(H752),"",VLOOKUP(H752,Code!B:C,2,FALSE))</f>
        <v>20</v>
      </c>
      <c r="D752">
        <v>2023</v>
      </c>
      <c r="E752">
        <v>209807</v>
      </c>
      <c r="F752" t="s">
        <v>185</v>
      </c>
      <c r="G752" t="s">
        <v>289</v>
      </c>
      <c r="H752" t="s">
        <v>8</v>
      </c>
      <c r="I752" cm="1">
        <f t="array" ref="I752">IF(B752=0,INDEX('Category 14'!F:F,MATCH(C752&amp;E752&amp;D752,'Category 14'!B:B&amp;'Category 14'!C:C&amp;'Category 14'!A:A,0)),INDEX('Category 14'!G:G,MATCH(C752&amp;E752&amp;D752,'Category 14'!B:B&amp;'Category 14'!C:C&amp;'Category 14'!A:A,0)))</f>
        <v>0</v>
      </c>
      <c r="J752">
        <f>I752/VLOOKUP($D752,CPI!$P$16:$R$22,3,FALSE)</f>
        <v>0</v>
      </c>
      <c r="K752" cm="1">
        <f t="array" ref="K752">IF(B752=0,INDEX('Category 15'!F:F,MATCH(C752&amp;E752&amp;D752,'Category 15'!B:B&amp;'Category 15'!C:C&amp;'Category 15'!A:A,0)),INDEX('Category 15'!G:G,MATCH(C752&amp;E752&amp;D752,'Category 15'!B:B&amp;'Category 31'!C:C&amp;'Category 15'!A:A,0)))</f>
        <v>0</v>
      </c>
      <c r="L752">
        <f>K752/VLOOKUP($D752,CPI!$P$16:$R$22,3,FALSE)</f>
        <v>0</v>
      </c>
      <c r="M752" s="16" cm="1">
        <f t="array" ref="M752">IF(B752=0,INDEX('Category 31'!F:F,MATCH(C752&amp;E752&amp;D752,'Category 31'!B:B&amp;'Category 31'!C:C&amp;'Category 31'!A:A,0)),INDEX('Category 31'!G:G,MATCH(C752&amp;E752&amp;D752,'Category 31'!B:B&amp;'Category 31'!C:C&amp;'Category 31'!A:A,0)))</f>
        <v>0</v>
      </c>
      <c r="N752" s="16">
        <f>M752/VLOOKUP($D752,CPI!$P$16:$R$22,3,FALSE)</f>
        <v>0</v>
      </c>
      <c r="O752">
        <v>0</v>
      </c>
    </row>
    <row r="753" spans="1:15" ht="16" thickBot="1" x14ac:dyDescent="0.25">
      <c r="A753" s="15">
        <v>2</v>
      </c>
      <c r="B753">
        <f t="shared" si="11"/>
        <v>0</v>
      </c>
      <c r="C753">
        <f>IF(ISBLANK(H753),"",VLOOKUP(H753,Code!B:C,2,FALSE))</f>
        <v>21</v>
      </c>
      <c r="D753">
        <v>2023</v>
      </c>
      <c r="E753">
        <v>209807</v>
      </c>
      <c r="F753" t="s">
        <v>185</v>
      </c>
      <c r="G753" t="s">
        <v>289</v>
      </c>
      <c r="H753" t="s">
        <v>9</v>
      </c>
      <c r="I753" cm="1">
        <f t="array" ref="I753">IF(B753=0,INDEX('Category 14'!F:F,MATCH(C753&amp;E753&amp;D753,'Category 14'!B:B&amp;'Category 14'!C:C&amp;'Category 14'!A:A,0)),INDEX('Category 14'!G:G,MATCH(C753&amp;E753&amp;D753,'Category 14'!B:B&amp;'Category 14'!C:C&amp;'Category 14'!A:A,0)))</f>
        <v>0</v>
      </c>
      <c r="J753">
        <f>I753/VLOOKUP($D753,CPI!$P$16:$R$22,3,FALSE)</f>
        <v>0</v>
      </c>
      <c r="K753" cm="1">
        <f t="array" ref="K753">IF(B753=0,INDEX('Category 15'!F:F,MATCH(C753&amp;E753&amp;D753,'Category 15'!B:B&amp;'Category 15'!C:C&amp;'Category 15'!A:A,0)),INDEX('Category 15'!G:G,MATCH(C753&amp;E753&amp;D753,'Category 15'!B:B&amp;'Category 31'!C:C&amp;'Category 15'!A:A,0)))</f>
        <v>0</v>
      </c>
      <c r="L753">
        <f>K753/VLOOKUP($D753,CPI!$P$16:$R$22,3,FALSE)</f>
        <v>0</v>
      </c>
      <c r="M753" s="16" cm="1">
        <f t="array" ref="M753">IF(B753=0,INDEX('Category 31'!F:F,MATCH(C753&amp;E753&amp;D753,'Category 31'!B:B&amp;'Category 31'!C:C&amp;'Category 31'!A:A,0)),INDEX('Category 31'!G:G,MATCH(C753&amp;E753&amp;D753,'Category 31'!B:B&amp;'Category 31'!C:C&amp;'Category 31'!A:A,0)))</f>
        <v>0</v>
      </c>
      <c r="N753" s="16">
        <f>M753/VLOOKUP($D753,CPI!$P$16:$R$22,3,FALSE)</f>
        <v>0</v>
      </c>
      <c r="O753">
        <v>0</v>
      </c>
    </row>
    <row r="754" spans="1:15" ht="16" thickBot="1" x14ac:dyDescent="0.25">
      <c r="A754" s="15">
        <v>2</v>
      </c>
      <c r="B754">
        <f t="shared" si="11"/>
        <v>1</v>
      </c>
      <c r="C754">
        <f>IF(ISBLANK(H754),"",VLOOKUP(H754,Code!B:C,2,FALSE))</f>
        <v>2</v>
      </c>
      <c r="D754">
        <v>2023</v>
      </c>
      <c r="E754">
        <v>209807</v>
      </c>
      <c r="F754" t="s">
        <v>185</v>
      </c>
      <c r="G754" t="s">
        <v>290</v>
      </c>
      <c r="H754" t="s">
        <v>1</v>
      </c>
      <c r="I754" cm="1">
        <f t="array" ref="I754">IF(B754=0,INDEX('Category 14'!F:F,MATCH(C754&amp;E754&amp;D754,'Category 14'!B:B&amp;'Category 14'!C:C&amp;'Category 14'!A:A,0)),INDEX('Category 14'!G:G,MATCH(C754&amp;E754&amp;D754,'Category 14'!B:B&amp;'Category 14'!C:C&amp;'Category 14'!A:A,0)))</f>
        <v>0</v>
      </c>
      <c r="J754">
        <f>I754/VLOOKUP($D754,CPI!$P$16:$R$22,3,FALSE)</f>
        <v>0</v>
      </c>
      <c r="K754" cm="1">
        <f t="array" ref="K754">IF(B754=0,INDEX('Category 15'!F:F,MATCH(C754&amp;E754&amp;D754,'Category 15'!B:B&amp;'Category 15'!C:C&amp;'Category 15'!A:A,0)),INDEX('Category 15'!G:G,MATCH(C754&amp;E754&amp;D754,'Category 15'!B:B&amp;'Category 31'!C:C&amp;'Category 15'!A:A,0)))</f>
        <v>0</v>
      </c>
      <c r="L754">
        <f>K754/VLOOKUP($D754,CPI!$P$16:$R$22,3,FALSE)</f>
        <v>0</v>
      </c>
      <c r="M754" s="16" cm="1">
        <f t="array" ref="M754">IF(B754=0,INDEX('Category 31'!F:F,MATCH(C754&amp;E754&amp;D754,'Category 31'!B:B&amp;'Category 31'!C:C&amp;'Category 31'!A:A,0)),INDEX('Category 31'!G:G,MATCH(C754&amp;E754&amp;D754,'Category 31'!B:B&amp;'Category 31'!C:C&amp;'Category 31'!A:A,0)))</f>
        <v>0</v>
      </c>
      <c r="N754" s="16">
        <f>M754/VLOOKUP($D754,CPI!$P$16:$R$22,3,FALSE)</f>
        <v>0</v>
      </c>
      <c r="O754">
        <f>VLOOKUP(E754,WBasketball!C:S,12,FALSE)</f>
        <v>6231</v>
      </c>
    </row>
    <row r="755" spans="1:15" ht="16" thickBot="1" x14ac:dyDescent="0.25">
      <c r="A755" s="15">
        <v>2</v>
      </c>
      <c r="B755">
        <f t="shared" si="11"/>
        <v>1</v>
      </c>
      <c r="C755">
        <f>IF(ISBLANK(H755),"",VLOOKUP(H755,Code!B:C,2,FALSE))</f>
        <v>9</v>
      </c>
      <c r="D755">
        <v>2023</v>
      </c>
      <c r="E755">
        <v>209807</v>
      </c>
      <c r="F755" t="s">
        <v>185</v>
      </c>
      <c r="G755" t="s">
        <v>290</v>
      </c>
      <c r="H755" t="s">
        <v>3</v>
      </c>
      <c r="I755" cm="1">
        <f t="array" ref="I755">IF(B755=0,INDEX('Category 14'!F:F,MATCH(C755&amp;E755&amp;D755,'Category 14'!B:B&amp;'Category 14'!C:C&amp;'Category 14'!A:A,0)),INDEX('Category 14'!G:G,MATCH(C755&amp;E755&amp;D755,'Category 14'!B:B&amp;'Category 14'!C:C&amp;'Category 14'!A:A,0)))</f>
        <v>0</v>
      </c>
      <c r="J755">
        <f>I755/VLOOKUP($D755,CPI!$P$16:$R$22,3,FALSE)</f>
        <v>0</v>
      </c>
      <c r="K755" cm="1">
        <f t="array" ref="K755">IF(B755=0,INDEX('Category 15'!F:F,MATCH(C755&amp;E755&amp;D755,'Category 15'!B:B&amp;'Category 15'!C:C&amp;'Category 15'!A:A,0)),INDEX('Category 15'!G:G,MATCH(C755&amp;E755&amp;D755,'Category 15'!B:B&amp;'Category 31'!C:C&amp;'Category 15'!A:A,0)))</f>
        <v>0</v>
      </c>
      <c r="L755">
        <f>K755/VLOOKUP($D755,CPI!$P$16:$R$22,3,FALSE)</f>
        <v>0</v>
      </c>
      <c r="M755" s="16" cm="1">
        <f t="array" ref="M755">IF(B755=0,INDEX('Category 31'!F:F,MATCH(C755&amp;E755&amp;D755,'Category 31'!B:B&amp;'Category 31'!C:C&amp;'Category 31'!A:A,0)),INDEX('Category 31'!G:G,MATCH(C755&amp;E755&amp;D755,'Category 31'!B:B&amp;'Category 31'!C:C&amp;'Category 31'!A:A,0)))</f>
        <v>0</v>
      </c>
      <c r="N755" s="16">
        <f>M755/VLOOKUP($D755,CPI!$P$16:$R$22,3,FALSE)</f>
        <v>0</v>
      </c>
      <c r="O755">
        <v>0</v>
      </c>
    </row>
    <row r="756" spans="1:15" ht="16" thickBot="1" x14ac:dyDescent="0.25">
      <c r="A756" s="15">
        <v>2</v>
      </c>
      <c r="B756">
        <f t="shared" si="11"/>
        <v>1</v>
      </c>
      <c r="C756">
        <f>IF(ISBLANK(H756),"",VLOOKUP(H756,Code!B:C,2,FALSE))</f>
        <v>17</v>
      </c>
      <c r="D756">
        <v>2023</v>
      </c>
      <c r="E756">
        <v>209807</v>
      </c>
      <c r="F756" t="s">
        <v>185</v>
      </c>
      <c r="G756" t="s">
        <v>290</v>
      </c>
      <c r="H756" t="s">
        <v>5</v>
      </c>
      <c r="I756" cm="1">
        <f t="array" ref="I756">IF(B756=0,INDEX('Category 14'!F:F,MATCH(C756&amp;E756&amp;D756,'Category 14'!B:B&amp;'Category 14'!C:C&amp;'Category 14'!A:A,0)),INDEX('Category 14'!G:G,MATCH(C756&amp;E756&amp;D756,'Category 14'!B:B&amp;'Category 14'!C:C&amp;'Category 14'!A:A,0)))</f>
        <v>0</v>
      </c>
      <c r="J756">
        <f>I756/VLOOKUP($D756,CPI!$P$16:$R$22,3,FALSE)</f>
        <v>0</v>
      </c>
      <c r="K756" cm="1">
        <f t="array" ref="K756">IF(B756=0,INDEX('Category 15'!F:F,MATCH(C756&amp;E756&amp;D756,'Category 15'!B:B&amp;'Category 15'!C:C&amp;'Category 15'!A:A,0)),INDEX('Category 15'!G:G,MATCH(C756&amp;E756&amp;D756,'Category 15'!B:B&amp;'Category 31'!C:C&amp;'Category 15'!A:A,0)))</f>
        <v>0</v>
      </c>
      <c r="L756">
        <f>K756/VLOOKUP($D756,CPI!$P$16:$R$22,3,FALSE)</f>
        <v>0</v>
      </c>
      <c r="M756" s="16" cm="1">
        <f t="array" ref="M756">IF(B756=0,INDEX('Category 31'!F:F,MATCH(C756&amp;E756&amp;D756,'Category 31'!B:B&amp;'Category 31'!C:C&amp;'Category 31'!A:A,0)),INDEX('Category 31'!G:G,MATCH(C756&amp;E756&amp;D756,'Category 31'!B:B&amp;'Category 31'!C:C&amp;'Category 31'!A:A,0)))</f>
        <v>275</v>
      </c>
      <c r="N756" s="16">
        <f>M756/VLOOKUP($D756,CPI!$P$16:$R$22,3,FALSE)</f>
        <v>275</v>
      </c>
      <c r="O756">
        <f>VLOOKUP(E756,WSoccer!C:S,12,FALSE)</f>
        <v>1449</v>
      </c>
    </row>
    <row r="757" spans="1:15" ht="16" thickBot="1" x14ac:dyDescent="0.25">
      <c r="A757" s="15">
        <v>2</v>
      </c>
      <c r="B757">
        <f t="shared" si="11"/>
        <v>1</v>
      </c>
      <c r="C757">
        <f>IF(ISBLANK(H757),"",VLOOKUP(H757,Code!B:C,2,FALSE))</f>
        <v>18</v>
      </c>
      <c r="D757">
        <v>2023</v>
      </c>
      <c r="E757">
        <v>209807</v>
      </c>
      <c r="F757" t="s">
        <v>185</v>
      </c>
      <c r="G757" t="s">
        <v>290</v>
      </c>
      <c r="H757" t="s">
        <v>6</v>
      </c>
      <c r="I757" cm="1">
        <f t="array" ref="I757">IF(B757=0,INDEX('Category 14'!F:F,MATCH(C757&amp;E757&amp;D757,'Category 14'!B:B&amp;'Category 14'!C:C&amp;'Category 14'!A:A,0)),INDEX('Category 14'!G:G,MATCH(C757&amp;E757&amp;D757,'Category 14'!B:B&amp;'Category 14'!C:C&amp;'Category 14'!A:A,0)))</f>
        <v>0</v>
      </c>
      <c r="J757">
        <f>I757/VLOOKUP($D757,CPI!$P$16:$R$22,3,FALSE)</f>
        <v>0</v>
      </c>
      <c r="K757" cm="1">
        <f t="array" ref="K757">IF(B757=0,INDEX('Category 15'!F:F,MATCH(C757&amp;E757&amp;D757,'Category 15'!B:B&amp;'Category 15'!C:C&amp;'Category 15'!A:A,0)),INDEX('Category 15'!G:G,MATCH(C757&amp;E757&amp;D757,'Category 15'!B:B&amp;'Category 31'!C:C&amp;'Category 15'!A:A,0)))</f>
        <v>0</v>
      </c>
      <c r="L757">
        <f>K757/VLOOKUP($D757,CPI!$P$16:$R$22,3,FALSE)</f>
        <v>0</v>
      </c>
      <c r="M757" s="16" cm="1">
        <f t="array" ref="M757">IF(B757=0,INDEX('Category 31'!F:F,MATCH(C757&amp;E757&amp;D757,'Category 31'!B:B&amp;'Category 31'!C:C&amp;'Category 31'!A:A,0)),INDEX('Category 31'!G:G,MATCH(C757&amp;E757&amp;D757,'Category 31'!B:B&amp;'Category 31'!C:C&amp;'Category 31'!A:A,0)))</f>
        <v>0</v>
      </c>
      <c r="N757" s="16">
        <f>M757/VLOOKUP($D757,CPI!$P$16:$R$22,3,FALSE)</f>
        <v>0</v>
      </c>
      <c r="O757">
        <f>VLOOKUP(E757,WSoftball!C:S,12,FALSE)</f>
        <v>2221</v>
      </c>
    </row>
    <row r="758" spans="1:15" ht="16" thickBot="1" x14ac:dyDescent="0.25">
      <c r="A758" s="15">
        <v>2</v>
      </c>
      <c r="B758">
        <f t="shared" si="11"/>
        <v>1</v>
      </c>
      <c r="C758">
        <f>IF(ISBLANK(H758),"",VLOOKUP(H758,Code!B:C,2,FALSE))</f>
        <v>20</v>
      </c>
      <c r="D758">
        <v>2023</v>
      </c>
      <c r="E758">
        <v>209807</v>
      </c>
      <c r="F758" t="s">
        <v>185</v>
      </c>
      <c r="G758" t="s">
        <v>290</v>
      </c>
      <c r="H758" t="s">
        <v>8</v>
      </c>
      <c r="I758" cm="1">
        <f t="array" ref="I758">IF(B758=0,INDEX('Category 14'!F:F,MATCH(C758&amp;E758&amp;D758,'Category 14'!B:B&amp;'Category 14'!C:C&amp;'Category 14'!A:A,0)),INDEX('Category 14'!G:G,MATCH(C758&amp;E758&amp;D758,'Category 14'!B:B&amp;'Category 14'!C:C&amp;'Category 14'!A:A,0)))</f>
        <v>0</v>
      </c>
      <c r="J758">
        <f>I758/VLOOKUP($D758,CPI!$P$16:$R$22,3,FALSE)</f>
        <v>0</v>
      </c>
      <c r="K758" cm="1">
        <f t="array" ref="K758">IF(B758=0,INDEX('Category 15'!F:F,MATCH(C758&amp;E758&amp;D758,'Category 15'!B:B&amp;'Category 15'!C:C&amp;'Category 15'!A:A,0)),INDEX('Category 15'!G:G,MATCH(C758&amp;E758&amp;D758,'Category 15'!B:B&amp;'Category 31'!C:C&amp;'Category 15'!A:A,0)))</f>
        <v>0</v>
      </c>
      <c r="L758">
        <f>K758/VLOOKUP($D758,CPI!$P$16:$R$22,3,FALSE)</f>
        <v>0</v>
      </c>
      <c r="M758" s="16" cm="1">
        <f t="array" ref="M758">IF(B758=0,INDEX('Category 31'!F:F,MATCH(C758&amp;E758&amp;D758,'Category 31'!B:B&amp;'Category 31'!C:C&amp;'Category 31'!A:A,0)),INDEX('Category 31'!G:G,MATCH(C758&amp;E758&amp;D758,'Category 31'!B:B&amp;'Category 31'!C:C&amp;'Category 31'!A:A,0)))</f>
        <v>0</v>
      </c>
      <c r="N758" s="16">
        <f>M758/VLOOKUP($D758,CPI!$P$16:$R$22,3,FALSE)</f>
        <v>0</v>
      </c>
      <c r="O758">
        <v>0</v>
      </c>
    </row>
    <row r="759" spans="1:15" ht="16" thickBot="1" x14ac:dyDescent="0.25">
      <c r="A759" s="15">
        <v>2</v>
      </c>
      <c r="B759">
        <f t="shared" si="11"/>
        <v>1</v>
      </c>
      <c r="C759">
        <f>IF(ISBLANK(H759),"",VLOOKUP(H759,Code!B:C,2,FALSE))</f>
        <v>21</v>
      </c>
      <c r="D759">
        <v>2023</v>
      </c>
      <c r="E759">
        <v>209807</v>
      </c>
      <c r="F759" t="s">
        <v>185</v>
      </c>
      <c r="G759" t="s">
        <v>290</v>
      </c>
      <c r="H759" t="s">
        <v>9</v>
      </c>
      <c r="I759" cm="1">
        <f t="array" ref="I759">IF(B759=0,INDEX('Category 14'!F:F,MATCH(C759&amp;E759&amp;D759,'Category 14'!B:B&amp;'Category 14'!C:C&amp;'Category 14'!A:A,0)),INDEX('Category 14'!G:G,MATCH(C759&amp;E759&amp;D759,'Category 14'!B:B&amp;'Category 14'!C:C&amp;'Category 14'!A:A,0)))</f>
        <v>0</v>
      </c>
      <c r="J759">
        <f>I759/VLOOKUP($D759,CPI!$P$16:$R$22,3,FALSE)</f>
        <v>0</v>
      </c>
      <c r="K759" cm="1">
        <f t="array" ref="K759">IF(B759=0,INDEX('Category 15'!F:F,MATCH(C759&amp;E759&amp;D759,'Category 15'!B:B&amp;'Category 15'!C:C&amp;'Category 15'!A:A,0)),INDEX('Category 15'!G:G,MATCH(C759&amp;E759&amp;D759,'Category 15'!B:B&amp;'Category 31'!C:C&amp;'Category 15'!A:A,0)))</f>
        <v>0</v>
      </c>
      <c r="L759">
        <f>K759/VLOOKUP($D759,CPI!$P$16:$R$22,3,FALSE)</f>
        <v>0</v>
      </c>
      <c r="M759" s="16" cm="1">
        <f t="array" ref="M759">IF(B759=0,INDEX('Category 31'!F:F,MATCH(C759&amp;E759&amp;D759,'Category 31'!B:B&amp;'Category 31'!C:C&amp;'Category 31'!A:A,0)),INDEX('Category 31'!G:G,MATCH(C759&amp;E759&amp;D759,'Category 31'!B:B&amp;'Category 31'!C:C&amp;'Category 31'!A:A,0)))</f>
        <v>0</v>
      </c>
      <c r="N759" s="16">
        <f>M759/VLOOKUP($D759,CPI!$P$16:$R$22,3,FALSE)</f>
        <v>0</v>
      </c>
      <c r="O759">
        <v>0</v>
      </c>
    </row>
    <row r="760" spans="1:15" ht="16" thickBot="1" x14ac:dyDescent="0.25">
      <c r="A760" s="15">
        <v>2</v>
      </c>
      <c r="B760">
        <f t="shared" si="11"/>
        <v>1</v>
      </c>
      <c r="C760">
        <f>IF(ISBLANK(H760),"",VLOOKUP(H760,Code!B:C,2,FALSE))</f>
        <v>23</v>
      </c>
      <c r="D760">
        <v>2023</v>
      </c>
      <c r="E760">
        <v>209807</v>
      </c>
      <c r="F760" t="s">
        <v>185</v>
      </c>
      <c r="G760" t="s">
        <v>290</v>
      </c>
      <c r="H760" t="s">
        <v>10</v>
      </c>
      <c r="I760" cm="1">
        <f t="array" ref="I760">IF(B760=0,INDEX('Category 14'!F:F,MATCH(C760&amp;E760&amp;D760,'Category 14'!B:B&amp;'Category 14'!C:C&amp;'Category 14'!A:A,0)),INDEX('Category 14'!G:G,MATCH(C760&amp;E760&amp;D760,'Category 14'!B:B&amp;'Category 14'!C:C&amp;'Category 14'!A:A,0)))</f>
        <v>0</v>
      </c>
      <c r="J760">
        <f>I760/VLOOKUP($D760,CPI!$P$16:$R$22,3,FALSE)</f>
        <v>0</v>
      </c>
      <c r="K760" cm="1">
        <f t="array" ref="K760">IF(B760=0,INDEX('Category 15'!F:F,MATCH(C760&amp;E760&amp;D760,'Category 15'!B:B&amp;'Category 15'!C:C&amp;'Category 15'!A:A,0)),INDEX('Category 15'!G:G,MATCH(C760&amp;E760&amp;D760,'Category 15'!B:B&amp;'Category 31'!C:C&amp;'Category 15'!A:A,0)))</f>
        <v>0</v>
      </c>
      <c r="L760">
        <f>K760/VLOOKUP($D760,CPI!$P$16:$R$22,3,FALSE)</f>
        <v>0</v>
      </c>
      <c r="M760" s="16" cm="1">
        <f t="array" ref="M760">IF(B760=0,INDEX('Category 31'!F:F,MATCH(C760&amp;E760&amp;D760,'Category 31'!B:B&amp;'Category 31'!C:C&amp;'Category 31'!A:A,0)),INDEX('Category 31'!G:G,MATCH(C760&amp;E760&amp;D760,'Category 31'!B:B&amp;'Category 31'!C:C&amp;'Category 31'!A:A,0)))</f>
        <v>0</v>
      </c>
      <c r="N760" s="16">
        <f>M760/VLOOKUP($D760,CPI!$P$16:$R$22,3,FALSE)</f>
        <v>0</v>
      </c>
      <c r="O760">
        <f>VLOOKUP(E760,WVolleyball!C:S,12,FALSE)</f>
        <v>5653</v>
      </c>
    </row>
    <row r="761" spans="1:15" ht="16" thickBot="1" x14ac:dyDescent="0.25">
      <c r="A761" s="15">
        <v>2</v>
      </c>
      <c r="B761">
        <f t="shared" si="11"/>
        <v>0</v>
      </c>
      <c r="C761">
        <f>IF(ISBLANK(H761),"",VLOOKUP(H761,Code!B:C,2,FALSE))</f>
        <v>2</v>
      </c>
      <c r="D761">
        <v>2017</v>
      </c>
      <c r="E761">
        <v>230782</v>
      </c>
      <c r="F761" t="s">
        <v>246</v>
      </c>
      <c r="G761" t="s">
        <v>289</v>
      </c>
      <c r="H761" t="s">
        <v>1</v>
      </c>
      <c r="I761" cm="1">
        <f t="array" ref="I761">IF(B761=0,INDEX('Category 14'!F:F,MATCH(C761&amp;E761&amp;D761,'Category 14'!B:B&amp;'Category 14'!C:C&amp;'Category 14'!A:A,0)),INDEX('Category 14'!G:G,MATCH(C761&amp;E761&amp;D761,'Category 14'!B:B&amp;'Category 14'!C:C&amp;'Category 14'!A:A,0)))</f>
        <v>0</v>
      </c>
      <c r="J761">
        <f>I761/VLOOKUP($D761,CPI!$P$16:$R$22,3,FALSE)</f>
        <v>0</v>
      </c>
      <c r="K761" cm="1">
        <f t="array" ref="K761">IF(B761=0,INDEX('Category 15'!F:F,MATCH(C761&amp;E761&amp;D761,'Category 15'!B:B&amp;'Category 15'!C:C&amp;'Category 15'!A:A,0)),INDEX('Category 15'!G:G,MATCH(C761&amp;E761&amp;D761,'Category 15'!B:B&amp;'Category 31'!C:C&amp;'Category 15'!A:A,0)))</f>
        <v>373203</v>
      </c>
      <c r="L761">
        <f>K761/VLOOKUP($D761,CPI!$P$16:$R$22,3,FALSE)</f>
        <v>460912.96815251192</v>
      </c>
      <c r="M761" s="16" cm="1">
        <f t="array" ref="M761">IF(B761=0,INDEX('Category 31'!F:F,MATCH(C761&amp;E761&amp;D761,'Category 31'!B:B&amp;'Category 31'!C:C&amp;'Category 31'!A:A,0)),INDEX('Category 31'!G:G,MATCH(C761&amp;E761&amp;D761,'Category 31'!B:B&amp;'Category 31'!C:C&amp;'Category 31'!A:A,0)))</f>
        <v>2888</v>
      </c>
      <c r="N761" s="16">
        <f>M761/VLOOKUP($D761,CPI!$P$16:$R$22,3,FALSE)</f>
        <v>3566.7362052943158</v>
      </c>
      <c r="O761">
        <f>VLOOKUP(E761,MBasketball!C:S,6,FALSE)</f>
        <v>89298</v>
      </c>
    </row>
    <row r="762" spans="1:15" ht="16" thickBot="1" x14ac:dyDescent="0.25">
      <c r="A762" s="15">
        <v>2</v>
      </c>
      <c r="B762">
        <f t="shared" si="11"/>
        <v>0</v>
      </c>
      <c r="C762">
        <f>IF(ISBLANK(H762),"",VLOOKUP(H762,Code!B:C,2,FALSE))</f>
        <v>8</v>
      </c>
      <c r="D762">
        <v>2017</v>
      </c>
      <c r="E762">
        <v>230782</v>
      </c>
      <c r="F762" t="s">
        <v>246</v>
      </c>
      <c r="G762" t="s">
        <v>289</v>
      </c>
      <c r="H762" t="s">
        <v>2</v>
      </c>
      <c r="I762" cm="1">
        <f t="array" ref="I762">IF(B762=0,INDEX('Category 14'!F:F,MATCH(C762&amp;E762&amp;D762,'Category 14'!B:B&amp;'Category 14'!C:C&amp;'Category 14'!A:A,0)),INDEX('Category 14'!G:G,MATCH(C762&amp;E762&amp;D762,'Category 14'!B:B&amp;'Category 14'!C:C&amp;'Category 14'!A:A,0)))</f>
        <v>0</v>
      </c>
      <c r="J762">
        <f>I762/VLOOKUP($D762,CPI!$P$16:$R$22,3,FALSE)</f>
        <v>0</v>
      </c>
      <c r="K762" cm="1">
        <f t="array" ref="K762">IF(B762=0,INDEX('Category 15'!F:F,MATCH(C762&amp;E762&amp;D762,'Category 15'!B:B&amp;'Category 15'!C:C&amp;'Category 15'!A:A,0)),INDEX('Category 15'!G:G,MATCH(C762&amp;E762&amp;D762,'Category 15'!B:B&amp;'Category 31'!C:C&amp;'Category 15'!A:A,0)))</f>
        <v>305348</v>
      </c>
      <c r="L762">
        <f>K762/VLOOKUP($D762,CPI!$P$16:$R$22,3,FALSE)</f>
        <v>377110.72258109722</v>
      </c>
      <c r="M762" s="16" cm="1">
        <f t="array" ref="M762">IF(B762=0,INDEX('Category 31'!F:F,MATCH(C762&amp;E762&amp;D762,'Category 31'!B:B&amp;'Category 31'!C:C&amp;'Category 31'!A:A,0)),INDEX('Category 31'!G:G,MATCH(C762&amp;E762&amp;D762,'Category 31'!B:B&amp;'Category 31'!C:C&amp;'Category 31'!A:A,0)))</f>
        <v>34433</v>
      </c>
      <c r="N762" s="16">
        <f>M762/VLOOKUP($D762,CPI!$P$16:$R$22,3,FALSE)</f>
        <v>42525.425123580048</v>
      </c>
      <c r="O762">
        <f>VLOOKUP(E762,MFootball!C:S,6,FALSE)</f>
        <v>43672</v>
      </c>
    </row>
    <row r="763" spans="1:15" ht="16" thickBot="1" x14ac:dyDescent="0.25">
      <c r="A763" s="15">
        <v>2</v>
      </c>
      <c r="B763">
        <f t="shared" si="11"/>
        <v>0</v>
      </c>
      <c r="C763">
        <f>IF(ISBLANK(H763),"",VLOOKUP(H763,Code!B:C,2,FALSE))</f>
        <v>9</v>
      </c>
      <c r="D763">
        <v>2017</v>
      </c>
      <c r="E763">
        <v>230782</v>
      </c>
      <c r="F763" t="s">
        <v>246</v>
      </c>
      <c r="G763" t="s">
        <v>289</v>
      </c>
      <c r="H763" t="s">
        <v>3</v>
      </c>
      <c r="I763" cm="1">
        <f t="array" ref="I763">IF(B763=0,INDEX('Category 14'!F:F,MATCH(C763&amp;E763&amp;D763,'Category 14'!B:B&amp;'Category 14'!C:C&amp;'Category 14'!A:A,0)),INDEX('Category 14'!G:G,MATCH(C763&amp;E763&amp;D763,'Category 14'!B:B&amp;'Category 14'!C:C&amp;'Category 14'!A:A,0)))</f>
        <v>0</v>
      </c>
      <c r="J763">
        <f>I763/VLOOKUP($D763,CPI!$P$16:$R$22,3,FALSE)</f>
        <v>0</v>
      </c>
      <c r="K763" cm="1">
        <f t="array" ref="K763">IF(B763=0,INDEX('Category 15'!F:F,MATCH(C763&amp;E763&amp;D763,'Category 15'!B:B&amp;'Category 15'!C:C&amp;'Category 15'!A:A,0)),INDEX('Category 15'!G:G,MATCH(C763&amp;E763&amp;D763,'Category 15'!B:B&amp;'Category 31'!C:C&amp;'Category 15'!A:A,0)))</f>
        <v>0</v>
      </c>
      <c r="L763">
        <f>K763/VLOOKUP($D763,CPI!$P$16:$R$22,3,FALSE)</f>
        <v>0</v>
      </c>
      <c r="M763" s="16" cm="1">
        <f t="array" ref="M763">IF(B763=0,INDEX('Category 31'!F:F,MATCH(C763&amp;E763&amp;D763,'Category 31'!B:B&amp;'Category 31'!C:C&amp;'Category 31'!A:A,0)),INDEX('Category 31'!G:G,MATCH(C763&amp;E763&amp;D763,'Category 31'!B:B&amp;'Category 31'!C:C&amp;'Category 31'!A:A,0)))</f>
        <v>7654</v>
      </c>
      <c r="N763" s="16">
        <f>M763/VLOOKUP($D763,CPI!$P$16:$R$22,3,FALSE)</f>
        <v>9452.8389595992703</v>
      </c>
      <c r="O763">
        <v>0</v>
      </c>
    </row>
    <row r="764" spans="1:15" ht="16" thickBot="1" x14ac:dyDescent="0.25">
      <c r="A764" s="15">
        <v>2</v>
      </c>
      <c r="B764">
        <f t="shared" si="11"/>
        <v>0</v>
      </c>
      <c r="C764">
        <f>IF(ISBLANK(H764),"",VLOOKUP(H764,Code!B:C,2,FALSE))</f>
        <v>20</v>
      </c>
      <c r="D764">
        <v>2017</v>
      </c>
      <c r="E764">
        <v>230782</v>
      </c>
      <c r="F764" t="s">
        <v>246</v>
      </c>
      <c r="G764" t="s">
        <v>289</v>
      </c>
      <c r="H764" t="s">
        <v>8</v>
      </c>
      <c r="I764" cm="1">
        <f t="array" ref="I764">IF(B764=0,INDEX('Category 14'!F:F,MATCH(C764&amp;E764&amp;D764,'Category 14'!B:B&amp;'Category 14'!C:C&amp;'Category 14'!A:A,0)),INDEX('Category 14'!G:G,MATCH(C764&amp;E764&amp;D764,'Category 14'!B:B&amp;'Category 14'!C:C&amp;'Category 14'!A:A,0)))</f>
        <v>0</v>
      </c>
      <c r="J764">
        <f>I764/VLOOKUP($D764,CPI!$P$16:$R$22,3,FALSE)</f>
        <v>0</v>
      </c>
      <c r="K764" cm="1">
        <f t="array" ref="K764">IF(B764=0,INDEX('Category 15'!F:F,MATCH(C764&amp;E764&amp;D764,'Category 15'!B:B&amp;'Category 15'!C:C&amp;'Category 15'!A:A,0)),INDEX('Category 15'!G:G,MATCH(C764&amp;E764&amp;D764,'Category 15'!B:B&amp;'Category 31'!C:C&amp;'Category 15'!A:A,0)))</f>
        <v>0</v>
      </c>
      <c r="L764">
        <f>K764/VLOOKUP($D764,CPI!$P$16:$R$22,3,FALSE)</f>
        <v>0</v>
      </c>
      <c r="M764" s="16" cm="1">
        <f t="array" ref="M764">IF(B764=0,INDEX('Category 31'!F:F,MATCH(C764&amp;E764&amp;D764,'Category 31'!B:B&amp;'Category 31'!C:C&amp;'Category 31'!A:A,0)),INDEX('Category 31'!G:G,MATCH(C764&amp;E764&amp;D764,'Category 31'!B:B&amp;'Category 31'!C:C&amp;'Category 31'!A:A,0)))</f>
        <v>0</v>
      </c>
      <c r="N764" s="16">
        <f>M764/VLOOKUP($D764,CPI!$P$16:$R$22,3,FALSE)</f>
        <v>0</v>
      </c>
      <c r="O764">
        <v>0</v>
      </c>
    </row>
    <row r="765" spans="1:15" ht="16" thickBot="1" x14ac:dyDescent="0.25">
      <c r="A765" s="15">
        <v>2</v>
      </c>
      <c r="B765">
        <f t="shared" si="11"/>
        <v>0</v>
      </c>
      <c r="C765">
        <f>IF(ISBLANK(H765),"",VLOOKUP(H765,Code!B:C,2,FALSE))</f>
        <v>21</v>
      </c>
      <c r="D765">
        <v>2017</v>
      </c>
      <c r="E765">
        <v>230782</v>
      </c>
      <c r="F765" t="s">
        <v>246</v>
      </c>
      <c r="G765" t="s">
        <v>289</v>
      </c>
      <c r="H765" t="s">
        <v>36</v>
      </c>
      <c r="I765" cm="1">
        <f t="array" ref="I765">IF(B765=0,INDEX('Category 14'!F:F,MATCH(C765&amp;E765&amp;D765,'Category 14'!B:B&amp;'Category 14'!C:C&amp;'Category 14'!A:A,0)),INDEX('Category 14'!G:G,MATCH(C765&amp;E765&amp;D765,'Category 14'!B:B&amp;'Category 14'!C:C&amp;'Category 14'!A:A,0)))</f>
        <v>0</v>
      </c>
      <c r="J765">
        <f>I765/VLOOKUP($D765,CPI!$P$16:$R$22,3,FALSE)</f>
        <v>0</v>
      </c>
      <c r="K765" cm="1">
        <f t="array" ref="K765">IF(B765=0,INDEX('Category 15'!F:F,MATCH(C765&amp;E765&amp;D765,'Category 15'!B:B&amp;'Category 15'!C:C&amp;'Category 15'!A:A,0)),INDEX('Category 15'!G:G,MATCH(C765&amp;E765&amp;D765,'Category 15'!B:B&amp;'Category 31'!C:C&amp;'Category 15'!A:A,0)))</f>
        <v>0</v>
      </c>
      <c r="L765">
        <f>K765/VLOOKUP($D765,CPI!$P$16:$R$22,3,FALSE)</f>
        <v>0</v>
      </c>
      <c r="M765" s="16" cm="1">
        <f t="array" ref="M765">IF(B765=0,INDEX('Category 31'!F:F,MATCH(C765&amp;E765&amp;D765,'Category 31'!B:B&amp;'Category 31'!C:C&amp;'Category 31'!A:A,0)),INDEX('Category 31'!G:G,MATCH(C765&amp;E765&amp;D765,'Category 31'!B:B&amp;'Category 31'!C:C&amp;'Category 31'!A:A,0)))</f>
        <v>214</v>
      </c>
      <c r="N765" s="16">
        <f>M765/VLOOKUP($D765,CPI!$P$16:$R$22,3,FALSE)</f>
        <v>264.29416479673944</v>
      </c>
      <c r="O765">
        <v>0</v>
      </c>
    </row>
    <row r="766" spans="1:15" ht="16" thickBot="1" x14ac:dyDescent="0.25">
      <c r="A766" s="15">
        <v>2</v>
      </c>
      <c r="B766">
        <f t="shared" si="11"/>
        <v>1</v>
      </c>
      <c r="C766">
        <f>IF(ISBLANK(H766),"",VLOOKUP(H766,Code!B:C,2,FALSE))</f>
        <v>2</v>
      </c>
      <c r="D766">
        <v>2017</v>
      </c>
      <c r="E766">
        <v>230782</v>
      </c>
      <c r="F766" t="s">
        <v>246</v>
      </c>
      <c r="G766" t="s">
        <v>290</v>
      </c>
      <c r="H766" t="s">
        <v>1</v>
      </c>
      <c r="I766" cm="1">
        <f t="array" ref="I766">IF(B766=0,INDEX('Category 14'!F:F,MATCH(C766&amp;E766&amp;D766,'Category 14'!B:B&amp;'Category 14'!C:C&amp;'Category 14'!A:A,0)),INDEX('Category 14'!G:G,MATCH(C766&amp;E766&amp;D766,'Category 14'!B:B&amp;'Category 14'!C:C&amp;'Category 14'!A:A,0)))</f>
        <v>0</v>
      </c>
      <c r="J766">
        <f>I766/VLOOKUP($D766,CPI!$P$16:$R$22,3,FALSE)</f>
        <v>0</v>
      </c>
      <c r="K766" cm="1">
        <f t="array" ref="K766">IF(B766=0,INDEX('Category 15'!F:F,MATCH(C766&amp;E766&amp;D766,'Category 15'!B:B&amp;'Category 15'!C:C&amp;'Category 15'!A:A,0)),INDEX('Category 15'!G:G,MATCH(C766&amp;E766&amp;D766,'Category 15'!B:B&amp;'Category 31'!C:C&amp;'Category 15'!A:A,0)))</f>
        <v>0</v>
      </c>
      <c r="L766">
        <f>K766/VLOOKUP($D766,CPI!$P$16:$R$22,3,FALSE)</f>
        <v>0</v>
      </c>
      <c r="M766" s="16" cm="1">
        <f t="array" ref="M766">IF(B766=0,INDEX('Category 31'!F:F,MATCH(C766&amp;E766&amp;D766,'Category 31'!B:B&amp;'Category 31'!C:C&amp;'Category 31'!A:A,0)),INDEX('Category 31'!G:G,MATCH(C766&amp;E766&amp;D766,'Category 31'!B:B&amp;'Category 31'!C:C&amp;'Category 31'!A:A,0)))</f>
        <v>0</v>
      </c>
      <c r="N766" s="16">
        <f>M766/VLOOKUP($D766,CPI!$P$16:$R$22,3,FALSE)</f>
        <v>0</v>
      </c>
      <c r="O766">
        <f>VLOOKUP(E766,WBasketball!C:S,6,FALSE)</f>
        <v>13600</v>
      </c>
    </row>
    <row r="767" spans="1:15" ht="16" thickBot="1" x14ac:dyDescent="0.25">
      <c r="A767" s="15">
        <v>2</v>
      </c>
      <c r="B767">
        <f t="shared" si="11"/>
        <v>1</v>
      </c>
      <c r="C767">
        <f>IF(ISBLANK(H767),"",VLOOKUP(H767,Code!B:C,2,FALSE))</f>
        <v>9</v>
      </c>
      <c r="D767">
        <v>2017</v>
      </c>
      <c r="E767">
        <v>230782</v>
      </c>
      <c r="F767" t="s">
        <v>246</v>
      </c>
      <c r="G767" t="s">
        <v>290</v>
      </c>
      <c r="H767" t="s">
        <v>3</v>
      </c>
      <c r="I767" cm="1">
        <f t="array" ref="I767">IF(B767=0,INDEX('Category 14'!F:F,MATCH(C767&amp;E767&amp;D767,'Category 14'!B:B&amp;'Category 14'!C:C&amp;'Category 14'!A:A,0)),INDEX('Category 14'!G:G,MATCH(C767&amp;E767&amp;D767,'Category 14'!B:B&amp;'Category 14'!C:C&amp;'Category 14'!A:A,0)))</f>
        <v>0</v>
      </c>
      <c r="J767">
        <f>I767/VLOOKUP($D767,CPI!$P$16:$R$22,3,FALSE)</f>
        <v>0</v>
      </c>
      <c r="K767" cm="1">
        <f t="array" ref="K767">IF(B767=0,INDEX('Category 15'!F:F,MATCH(C767&amp;E767&amp;D767,'Category 15'!B:B&amp;'Category 15'!C:C&amp;'Category 15'!A:A,0)),INDEX('Category 15'!G:G,MATCH(C767&amp;E767&amp;D767,'Category 15'!B:B&amp;'Category 31'!C:C&amp;'Category 15'!A:A,0)))</f>
        <v>0</v>
      </c>
      <c r="L767">
        <f>K767/VLOOKUP($D767,CPI!$P$16:$R$22,3,FALSE)</f>
        <v>0</v>
      </c>
      <c r="M767" s="16" cm="1">
        <f t="array" ref="M767">IF(B767=0,INDEX('Category 31'!F:F,MATCH(C767&amp;E767&amp;D767,'Category 31'!B:B&amp;'Category 31'!C:C&amp;'Category 31'!A:A,0)),INDEX('Category 31'!G:G,MATCH(C767&amp;E767&amp;D767,'Category 31'!B:B&amp;'Category 31'!C:C&amp;'Category 31'!A:A,0)))</f>
        <v>9024</v>
      </c>
      <c r="N767" s="16">
        <f>M767/VLOOKUP($D767,CPI!$P$16:$R$22,3,FALSE)</f>
        <v>11144.81562208307</v>
      </c>
      <c r="O767">
        <v>0</v>
      </c>
    </row>
    <row r="768" spans="1:15" ht="16" thickBot="1" x14ac:dyDescent="0.25">
      <c r="A768" s="15">
        <v>2</v>
      </c>
      <c r="B768">
        <f t="shared" si="11"/>
        <v>1</v>
      </c>
      <c r="C768">
        <f>IF(ISBLANK(H768),"",VLOOKUP(H768,Code!B:C,2,FALSE))</f>
        <v>17</v>
      </c>
      <c r="D768">
        <v>2017</v>
      </c>
      <c r="E768">
        <v>230782</v>
      </c>
      <c r="F768" t="s">
        <v>246</v>
      </c>
      <c r="G768" t="s">
        <v>290</v>
      </c>
      <c r="H768" t="s">
        <v>5</v>
      </c>
      <c r="I768" cm="1">
        <f t="array" ref="I768">IF(B768=0,INDEX('Category 14'!F:F,MATCH(C768&amp;E768&amp;D768,'Category 14'!B:B&amp;'Category 14'!C:C&amp;'Category 14'!A:A,0)),INDEX('Category 14'!G:G,MATCH(C768&amp;E768&amp;D768,'Category 14'!B:B&amp;'Category 14'!C:C&amp;'Category 14'!A:A,0)))</f>
        <v>839</v>
      </c>
      <c r="J768">
        <f>I768/VLOOKUP($D768,CPI!$P$16:$R$22,3,FALSE)</f>
        <v>1036.1813283386186</v>
      </c>
      <c r="K768" cm="1">
        <f t="array" ref="K768">IF(B768=0,INDEX('Category 15'!F:F,MATCH(C768&amp;E768&amp;D768,'Category 15'!B:B&amp;'Category 15'!C:C&amp;'Category 15'!A:A,0)),INDEX('Category 15'!G:G,MATCH(C768&amp;E768&amp;D768,'Category 15'!B:B&amp;'Category 31'!C:C&amp;'Category 15'!A:A,0)))</f>
        <v>0</v>
      </c>
      <c r="L768">
        <f>K768/VLOOKUP($D768,CPI!$P$16:$R$22,3,FALSE)</f>
        <v>0</v>
      </c>
      <c r="M768" s="16" cm="1">
        <f t="array" ref="M768">IF(B768=0,INDEX('Category 31'!F:F,MATCH(C768&amp;E768&amp;D768,'Category 31'!B:B&amp;'Category 31'!C:C&amp;'Category 31'!A:A,0)),INDEX('Category 31'!G:G,MATCH(C768&amp;E768&amp;D768,'Category 31'!B:B&amp;'Category 31'!C:C&amp;'Category 31'!A:A,0)))</f>
        <v>1982</v>
      </c>
      <c r="N768" s="16">
        <f>M768/VLOOKUP($D768,CPI!$P$16:$R$22,3,FALSE)</f>
        <v>2447.8085730240073</v>
      </c>
      <c r="O768">
        <f>VLOOKUP(E768,WSoccer!C:S,6,FALSE)</f>
        <v>2340</v>
      </c>
    </row>
    <row r="769" spans="1:15" ht="16" thickBot="1" x14ac:dyDescent="0.25">
      <c r="A769" s="15">
        <v>2</v>
      </c>
      <c r="B769">
        <f t="shared" si="11"/>
        <v>1</v>
      </c>
      <c r="C769">
        <f>IF(ISBLANK(H769),"",VLOOKUP(H769,Code!B:C,2,FALSE))</f>
        <v>18</v>
      </c>
      <c r="D769">
        <v>2017</v>
      </c>
      <c r="E769">
        <v>230782</v>
      </c>
      <c r="F769" t="s">
        <v>246</v>
      </c>
      <c r="G769" t="s">
        <v>290</v>
      </c>
      <c r="H769" t="s">
        <v>6</v>
      </c>
      <c r="I769" cm="1">
        <f t="array" ref="I769">IF(B769=0,INDEX('Category 14'!F:F,MATCH(C769&amp;E769&amp;D769,'Category 14'!B:B&amp;'Category 14'!C:C&amp;'Category 14'!A:A,0)),INDEX('Category 14'!G:G,MATCH(C769&amp;E769&amp;D769,'Category 14'!B:B&amp;'Category 14'!C:C&amp;'Category 14'!A:A,0)))</f>
        <v>1484</v>
      </c>
      <c r="J769">
        <f>I769/VLOOKUP($D769,CPI!$P$16:$R$22,3,FALSE)</f>
        <v>1832.768881113838</v>
      </c>
      <c r="K769" cm="1">
        <f t="array" ref="K769">IF(B769=0,INDEX('Category 15'!F:F,MATCH(C769&amp;E769&amp;D769,'Category 15'!B:B&amp;'Category 15'!C:C&amp;'Category 15'!A:A,0)),INDEX('Category 15'!G:G,MATCH(C769&amp;E769&amp;D769,'Category 15'!B:B&amp;'Category 31'!C:C&amp;'Category 15'!A:A,0)))</f>
        <v>0</v>
      </c>
      <c r="L769">
        <f>K769/VLOOKUP($D769,CPI!$P$16:$R$22,3,FALSE)</f>
        <v>0</v>
      </c>
      <c r="M769" s="16" cm="1">
        <f t="array" ref="M769">IF(B769=0,INDEX('Category 31'!F:F,MATCH(C769&amp;E769&amp;D769,'Category 31'!B:B&amp;'Category 31'!C:C&amp;'Category 31'!A:A,0)),INDEX('Category 31'!G:G,MATCH(C769&amp;E769&amp;D769,'Category 31'!B:B&amp;'Category 31'!C:C&amp;'Category 31'!A:A,0)))</f>
        <v>4773</v>
      </c>
      <c r="N769" s="16">
        <f>M769/VLOOKUP($D769,CPI!$P$16:$R$22,3,FALSE)</f>
        <v>5894.7478905366233</v>
      </c>
      <c r="O769">
        <f>VLOOKUP(E769,WSoftball!C:S,6,FALSE)</f>
        <v>7697</v>
      </c>
    </row>
    <row r="770" spans="1:15" ht="16" thickBot="1" x14ac:dyDescent="0.25">
      <c r="A770" s="15">
        <v>2</v>
      </c>
      <c r="B770">
        <f t="shared" si="11"/>
        <v>1</v>
      </c>
      <c r="C770">
        <f>IF(ISBLANK(H770),"",VLOOKUP(H770,Code!B:C,2,FALSE))</f>
        <v>20</v>
      </c>
      <c r="D770">
        <v>2017</v>
      </c>
      <c r="E770">
        <v>230782</v>
      </c>
      <c r="F770" t="s">
        <v>246</v>
      </c>
      <c r="G770" t="s">
        <v>290</v>
      </c>
      <c r="H770" t="s">
        <v>8</v>
      </c>
      <c r="I770" cm="1">
        <f t="array" ref="I770">IF(B770=0,INDEX('Category 14'!F:F,MATCH(C770&amp;E770&amp;D770,'Category 14'!B:B&amp;'Category 14'!C:C&amp;'Category 14'!A:A,0)),INDEX('Category 14'!G:G,MATCH(C770&amp;E770&amp;D770,'Category 14'!B:B&amp;'Category 14'!C:C&amp;'Category 14'!A:A,0)))</f>
        <v>0</v>
      </c>
      <c r="J770">
        <f>I770/VLOOKUP($D770,CPI!$P$16:$R$22,3,FALSE)</f>
        <v>0</v>
      </c>
      <c r="K770" cm="1">
        <f t="array" ref="K770">IF(B770=0,INDEX('Category 15'!F:F,MATCH(C770&amp;E770&amp;D770,'Category 15'!B:B&amp;'Category 15'!C:C&amp;'Category 15'!A:A,0)),INDEX('Category 15'!G:G,MATCH(C770&amp;E770&amp;D770,'Category 15'!B:B&amp;'Category 31'!C:C&amp;'Category 15'!A:A,0)))</f>
        <v>0</v>
      </c>
      <c r="L770">
        <f>K770/VLOOKUP($D770,CPI!$P$16:$R$22,3,FALSE)</f>
        <v>0</v>
      </c>
      <c r="M770" s="16" cm="1">
        <f t="array" ref="M770">IF(B770=0,INDEX('Category 31'!F:F,MATCH(C770&amp;E770&amp;D770,'Category 31'!B:B&amp;'Category 31'!C:C&amp;'Category 31'!A:A,0)),INDEX('Category 31'!G:G,MATCH(C770&amp;E770&amp;D770,'Category 31'!B:B&amp;'Category 31'!C:C&amp;'Category 31'!A:A,0)))</f>
        <v>0</v>
      </c>
      <c r="N770" s="16">
        <f>M770/VLOOKUP($D770,CPI!$P$16:$R$22,3,FALSE)</f>
        <v>0</v>
      </c>
      <c r="O770">
        <v>0</v>
      </c>
    </row>
    <row r="771" spans="1:15" ht="16" thickBot="1" x14ac:dyDescent="0.25">
      <c r="A771" s="15">
        <v>2</v>
      </c>
      <c r="B771">
        <f t="shared" ref="B771:B834" si="12">IF(ISBLANK(G771),"",IF(MID(G771,1,1)="M",0,1))</f>
        <v>1</v>
      </c>
      <c r="C771">
        <f>IF(ISBLANK(H771),"",VLOOKUP(H771,Code!B:C,2,FALSE))</f>
        <v>21</v>
      </c>
      <c r="D771">
        <v>2017</v>
      </c>
      <c r="E771">
        <v>230782</v>
      </c>
      <c r="F771" t="s">
        <v>246</v>
      </c>
      <c r="G771" t="s">
        <v>290</v>
      </c>
      <c r="H771" t="s">
        <v>36</v>
      </c>
      <c r="I771" cm="1">
        <f t="array" ref="I771">IF(B771=0,INDEX('Category 14'!F:F,MATCH(C771&amp;E771&amp;D771,'Category 14'!B:B&amp;'Category 14'!C:C&amp;'Category 14'!A:A,0)),INDEX('Category 14'!G:G,MATCH(C771&amp;E771&amp;D771,'Category 14'!B:B&amp;'Category 14'!C:C&amp;'Category 14'!A:A,0)))</f>
        <v>0</v>
      </c>
      <c r="J771">
        <f>I771/VLOOKUP($D771,CPI!$P$16:$R$22,3,FALSE)</f>
        <v>0</v>
      </c>
      <c r="K771" cm="1">
        <f t="array" ref="K771">IF(B771=0,INDEX('Category 15'!F:F,MATCH(C771&amp;E771&amp;D771,'Category 15'!B:B&amp;'Category 15'!C:C&amp;'Category 15'!A:A,0)),INDEX('Category 15'!G:G,MATCH(C771&amp;E771&amp;D771,'Category 15'!B:B&amp;'Category 31'!C:C&amp;'Category 15'!A:A,0)))</f>
        <v>0</v>
      </c>
      <c r="L771">
        <f>K771/VLOOKUP($D771,CPI!$P$16:$R$22,3,FALSE)</f>
        <v>0</v>
      </c>
      <c r="M771" s="16" cm="1">
        <f t="array" ref="M771">IF(B771=0,INDEX('Category 31'!F:F,MATCH(C771&amp;E771&amp;D771,'Category 31'!B:B&amp;'Category 31'!C:C&amp;'Category 31'!A:A,0)),INDEX('Category 31'!G:G,MATCH(C771&amp;E771&amp;D771,'Category 31'!B:B&amp;'Category 31'!C:C&amp;'Category 31'!A:A,0)))</f>
        <v>215</v>
      </c>
      <c r="N771" s="16">
        <f>M771/VLOOKUP($D771,CPI!$P$16:$R$22,3,FALSE)</f>
        <v>265.52918425840647</v>
      </c>
      <c r="O771">
        <v>0</v>
      </c>
    </row>
    <row r="772" spans="1:15" ht="16" thickBot="1" x14ac:dyDescent="0.25">
      <c r="A772" s="15">
        <v>2</v>
      </c>
      <c r="B772">
        <f t="shared" si="12"/>
        <v>1</v>
      </c>
      <c r="C772">
        <f>IF(ISBLANK(H772),"",VLOOKUP(H772,Code!B:C,2,FALSE))</f>
        <v>23</v>
      </c>
      <c r="D772">
        <v>2017</v>
      </c>
      <c r="E772">
        <v>230782</v>
      </c>
      <c r="F772" t="s">
        <v>246</v>
      </c>
      <c r="G772" t="s">
        <v>290</v>
      </c>
      <c r="H772" t="s">
        <v>10</v>
      </c>
      <c r="I772" cm="1">
        <f t="array" ref="I772">IF(B772=0,INDEX('Category 14'!F:F,MATCH(C772&amp;E772&amp;D772,'Category 14'!B:B&amp;'Category 14'!C:C&amp;'Category 14'!A:A,0)),INDEX('Category 14'!G:G,MATCH(C772&amp;E772&amp;D772,'Category 14'!B:B&amp;'Category 14'!C:C&amp;'Category 14'!A:A,0)))</f>
        <v>0</v>
      </c>
      <c r="J772">
        <f>I772/VLOOKUP($D772,CPI!$P$16:$R$22,3,FALSE)</f>
        <v>0</v>
      </c>
      <c r="K772" cm="1">
        <f t="array" ref="K772">IF(B772=0,INDEX('Category 15'!F:F,MATCH(C772&amp;E772&amp;D772,'Category 15'!B:B&amp;'Category 15'!C:C&amp;'Category 15'!A:A,0)),INDEX('Category 15'!G:G,MATCH(C772&amp;E772&amp;D772,'Category 15'!B:B&amp;'Category 31'!C:C&amp;'Category 15'!A:A,0)))</f>
        <v>0</v>
      </c>
      <c r="L772">
        <f>K772/VLOOKUP($D772,CPI!$P$16:$R$22,3,FALSE)</f>
        <v>0</v>
      </c>
      <c r="M772" s="16" cm="1">
        <f t="array" ref="M772">IF(B772=0,INDEX('Category 31'!F:F,MATCH(C772&amp;E772&amp;D772,'Category 31'!B:B&amp;'Category 31'!C:C&amp;'Category 31'!A:A,0)),INDEX('Category 31'!G:G,MATCH(C772&amp;E772&amp;D772,'Category 31'!B:B&amp;'Category 31'!C:C&amp;'Category 31'!A:A,0)))</f>
        <v>15</v>
      </c>
      <c r="N772" s="16">
        <f>M772/VLOOKUP($D772,CPI!$P$16:$R$22,3,FALSE)</f>
        <v>18.525291925005103</v>
      </c>
      <c r="O772">
        <f>VLOOKUP(E772,WVolleyball!C:S,6,FALSE)</f>
        <v>3180</v>
      </c>
    </row>
    <row r="773" spans="1:15" ht="16" thickBot="1" x14ac:dyDescent="0.25">
      <c r="A773" s="15">
        <v>2</v>
      </c>
      <c r="B773">
        <f t="shared" si="12"/>
        <v>0</v>
      </c>
      <c r="C773">
        <f>IF(ISBLANK(H773),"",VLOOKUP(H773,Code!B:C,2,FALSE))</f>
        <v>2</v>
      </c>
      <c r="D773">
        <v>2018</v>
      </c>
      <c r="E773">
        <v>230782</v>
      </c>
      <c r="F773" t="s">
        <v>246</v>
      </c>
      <c r="G773" t="s">
        <v>289</v>
      </c>
      <c r="H773" t="s">
        <v>1</v>
      </c>
      <c r="I773" cm="1">
        <f t="array" ref="I773">IF(B773=0,INDEX('Category 14'!F:F,MATCH(C773&amp;E773&amp;D773,'Category 14'!B:B&amp;'Category 14'!C:C&amp;'Category 14'!A:A,0)),INDEX('Category 14'!G:G,MATCH(C773&amp;E773&amp;D773,'Category 14'!B:B&amp;'Category 14'!C:C&amp;'Category 14'!A:A,0)))</f>
        <v>0</v>
      </c>
      <c r="J773">
        <f>I773/VLOOKUP($D773,CPI!$P$16:$R$22,3,FALSE)</f>
        <v>0</v>
      </c>
      <c r="K773" cm="1">
        <f t="array" ref="K773">IF(B773=0,INDEX('Category 15'!F:F,MATCH(C773&amp;E773&amp;D773,'Category 15'!B:B&amp;'Category 15'!C:C&amp;'Category 15'!A:A,0)),INDEX('Category 15'!G:G,MATCH(C773&amp;E773&amp;D773,'Category 15'!B:B&amp;'Category 31'!C:C&amp;'Category 15'!A:A,0)))</f>
        <v>467286</v>
      </c>
      <c r="L773">
        <f>K773/VLOOKUP($D773,CPI!$P$16:$R$22,3,FALSE)</f>
        <v>564385.9916050717</v>
      </c>
      <c r="M773" s="16" cm="1">
        <f t="array" ref="M773">IF(B773=0,INDEX('Category 31'!F:F,MATCH(C773&amp;E773&amp;D773,'Category 31'!B:B&amp;'Category 31'!C:C&amp;'Category 31'!A:A,0)),INDEX('Category 31'!G:G,MATCH(C773&amp;E773&amp;D773,'Category 31'!B:B&amp;'Category 31'!C:C&amp;'Category 31'!A:A,0)))</f>
        <v>18902</v>
      </c>
      <c r="N773" s="16">
        <f>M773/VLOOKUP($D773,CPI!$P$16:$R$22,3,FALSE)</f>
        <v>22829.753113337581</v>
      </c>
      <c r="O773">
        <f>VLOOKUP(E773,MBasketball!C:S,7,FALSE)</f>
        <v>101683</v>
      </c>
    </row>
    <row r="774" spans="1:15" ht="16" thickBot="1" x14ac:dyDescent="0.25">
      <c r="A774" s="15">
        <v>2</v>
      </c>
      <c r="B774">
        <f t="shared" si="12"/>
        <v>0</v>
      </c>
      <c r="C774">
        <f>IF(ISBLANK(H774),"",VLOOKUP(H774,Code!B:C,2,FALSE))</f>
        <v>8</v>
      </c>
      <c r="D774">
        <v>2018</v>
      </c>
      <c r="E774">
        <v>230782</v>
      </c>
      <c r="F774" t="s">
        <v>246</v>
      </c>
      <c r="G774" t="s">
        <v>289</v>
      </c>
      <c r="H774" t="s">
        <v>2</v>
      </c>
      <c r="I774" cm="1">
        <f t="array" ref="I774">IF(B774=0,INDEX('Category 14'!F:F,MATCH(C774&amp;E774&amp;D774,'Category 14'!B:B&amp;'Category 14'!C:C&amp;'Category 14'!A:A,0)),INDEX('Category 14'!G:G,MATCH(C774&amp;E774&amp;D774,'Category 14'!B:B&amp;'Category 14'!C:C&amp;'Category 14'!A:A,0)))</f>
        <v>11215</v>
      </c>
      <c r="J774">
        <f>I774/VLOOKUP($D774,CPI!$P$16:$R$22,3,FALSE)</f>
        <v>13545.42805872823</v>
      </c>
      <c r="K774" cm="1">
        <f t="array" ref="K774">IF(B774=0,INDEX('Category 15'!F:F,MATCH(C774&amp;E774&amp;D774,'Category 15'!B:B&amp;'Category 15'!C:C&amp;'Category 15'!A:A,0)),INDEX('Category 15'!G:G,MATCH(C774&amp;E774&amp;D774,'Category 15'!B:B&amp;'Category 31'!C:C&amp;'Category 15'!A:A,0)))</f>
        <v>382325</v>
      </c>
      <c r="L774">
        <f>K774/VLOOKUP($D774,CPI!$P$16:$R$22,3,FALSE)</f>
        <v>461770.46656738926</v>
      </c>
      <c r="M774" s="16" cm="1">
        <f t="array" ref="M774">IF(B774=0,INDEX('Category 31'!F:F,MATCH(C774&amp;E774&amp;D774,'Category 31'!B:B&amp;'Category 31'!C:C&amp;'Category 31'!A:A,0)),INDEX('Category 31'!G:G,MATCH(C774&amp;E774&amp;D774,'Category 31'!B:B&amp;'Category 31'!C:C&amp;'Category 31'!A:A,0)))</f>
        <v>20043</v>
      </c>
      <c r="N774" s="16">
        <f>M774/VLOOKUP($D774,CPI!$P$16:$R$22,3,FALSE)</f>
        <v>24207.847934114125</v>
      </c>
      <c r="O774">
        <f>VLOOKUP(E774,MFootball!C:S,7,FALSE)</f>
        <v>52794</v>
      </c>
    </row>
    <row r="775" spans="1:15" ht="16" thickBot="1" x14ac:dyDescent="0.25">
      <c r="A775" s="15">
        <v>2</v>
      </c>
      <c r="B775">
        <f t="shared" si="12"/>
        <v>0</v>
      </c>
      <c r="C775">
        <f>IF(ISBLANK(H775),"",VLOOKUP(H775,Code!B:C,2,FALSE))</f>
        <v>9</v>
      </c>
      <c r="D775">
        <v>2018</v>
      </c>
      <c r="E775">
        <v>230782</v>
      </c>
      <c r="F775" t="s">
        <v>246</v>
      </c>
      <c r="G775" t="s">
        <v>289</v>
      </c>
      <c r="H775" t="s">
        <v>3</v>
      </c>
      <c r="I775" cm="1">
        <f t="array" ref="I775">IF(B775=0,INDEX('Category 14'!F:F,MATCH(C775&amp;E775&amp;D775,'Category 14'!B:B&amp;'Category 14'!C:C&amp;'Category 14'!A:A,0)),INDEX('Category 14'!G:G,MATCH(C775&amp;E775&amp;D775,'Category 14'!B:B&amp;'Category 14'!C:C&amp;'Category 14'!A:A,0)))</f>
        <v>0</v>
      </c>
      <c r="J775">
        <f>I775/VLOOKUP($D775,CPI!$P$16:$R$22,3,FALSE)</f>
        <v>0</v>
      </c>
      <c r="K775" cm="1">
        <f t="array" ref="K775">IF(B775=0,INDEX('Category 15'!F:F,MATCH(C775&amp;E775&amp;D775,'Category 15'!B:B&amp;'Category 15'!C:C&amp;'Category 15'!A:A,0)),INDEX('Category 15'!G:G,MATCH(C775&amp;E775&amp;D775,'Category 15'!B:B&amp;'Category 31'!C:C&amp;'Category 15'!A:A,0)))</f>
        <v>0</v>
      </c>
      <c r="L775">
        <f>K775/VLOOKUP($D775,CPI!$P$16:$R$22,3,FALSE)</f>
        <v>0</v>
      </c>
      <c r="M775" s="16" cm="1">
        <f t="array" ref="M775">IF(B775=0,INDEX('Category 31'!F:F,MATCH(C775&amp;E775&amp;D775,'Category 31'!B:B&amp;'Category 31'!C:C&amp;'Category 31'!A:A,0)),INDEX('Category 31'!G:G,MATCH(C775&amp;E775&amp;D775,'Category 31'!B:B&amp;'Category 31'!C:C&amp;'Category 31'!A:A,0)))</f>
        <v>5351</v>
      </c>
      <c r="N775" s="16">
        <f>M775/VLOOKUP($D775,CPI!$P$16:$R$22,3,FALSE)</f>
        <v>6462.9144487075127</v>
      </c>
      <c r="O775">
        <v>0</v>
      </c>
    </row>
    <row r="776" spans="1:15" ht="16" thickBot="1" x14ac:dyDescent="0.25">
      <c r="A776" s="15">
        <v>2</v>
      </c>
      <c r="B776">
        <f t="shared" si="12"/>
        <v>0</v>
      </c>
      <c r="C776">
        <f>IF(ISBLANK(H776),"",VLOOKUP(H776,Code!B:C,2,FALSE))</f>
        <v>20</v>
      </c>
      <c r="D776">
        <v>2018</v>
      </c>
      <c r="E776">
        <v>230782</v>
      </c>
      <c r="F776" t="s">
        <v>246</v>
      </c>
      <c r="G776" t="s">
        <v>289</v>
      </c>
      <c r="H776" t="s">
        <v>8</v>
      </c>
      <c r="I776" cm="1">
        <f t="array" ref="I776">IF(B776=0,INDEX('Category 14'!F:F,MATCH(C776&amp;E776&amp;D776,'Category 14'!B:B&amp;'Category 14'!C:C&amp;'Category 14'!A:A,0)),INDEX('Category 14'!G:G,MATCH(C776&amp;E776&amp;D776,'Category 14'!B:B&amp;'Category 14'!C:C&amp;'Category 14'!A:A,0)))</f>
        <v>0</v>
      </c>
      <c r="J776">
        <f>I776/VLOOKUP($D776,CPI!$P$16:$R$22,3,FALSE)</f>
        <v>0</v>
      </c>
      <c r="K776" cm="1">
        <f t="array" ref="K776">IF(B776=0,INDEX('Category 15'!F:F,MATCH(C776&amp;E776&amp;D776,'Category 15'!B:B&amp;'Category 15'!C:C&amp;'Category 15'!A:A,0)),INDEX('Category 15'!G:G,MATCH(C776&amp;E776&amp;D776,'Category 15'!B:B&amp;'Category 31'!C:C&amp;'Category 15'!A:A,0)))</f>
        <v>0</v>
      </c>
      <c r="L776">
        <f>K776/VLOOKUP($D776,CPI!$P$16:$R$22,3,FALSE)</f>
        <v>0</v>
      </c>
      <c r="M776" s="16" cm="1">
        <f t="array" ref="M776">IF(B776=0,INDEX('Category 31'!F:F,MATCH(C776&amp;E776&amp;D776,'Category 31'!B:B&amp;'Category 31'!C:C&amp;'Category 31'!A:A,0)),INDEX('Category 31'!G:G,MATCH(C776&amp;E776&amp;D776,'Category 31'!B:B&amp;'Category 31'!C:C&amp;'Category 31'!A:A,0)))</f>
        <v>0</v>
      </c>
      <c r="N776" s="16">
        <f>M776/VLOOKUP($D776,CPI!$P$16:$R$22,3,FALSE)</f>
        <v>0</v>
      </c>
      <c r="O776">
        <v>0</v>
      </c>
    </row>
    <row r="777" spans="1:15" ht="16" thickBot="1" x14ac:dyDescent="0.25">
      <c r="A777" s="15">
        <v>2</v>
      </c>
      <c r="B777">
        <f t="shared" si="12"/>
        <v>0</v>
      </c>
      <c r="C777">
        <f>IF(ISBLANK(H777),"",VLOOKUP(H777,Code!B:C,2,FALSE))</f>
        <v>21</v>
      </c>
      <c r="D777">
        <v>2018</v>
      </c>
      <c r="E777">
        <v>230782</v>
      </c>
      <c r="F777" t="s">
        <v>246</v>
      </c>
      <c r="G777" t="s">
        <v>289</v>
      </c>
      <c r="H777" t="s">
        <v>36</v>
      </c>
      <c r="I777" cm="1">
        <f t="array" ref="I777">IF(B777=0,INDEX('Category 14'!F:F,MATCH(C777&amp;E777&amp;D777,'Category 14'!B:B&amp;'Category 14'!C:C&amp;'Category 14'!A:A,0)),INDEX('Category 14'!G:G,MATCH(C777&amp;E777&amp;D777,'Category 14'!B:B&amp;'Category 14'!C:C&amp;'Category 14'!A:A,0)))</f>
        <v>0</v>
      </c>
      <c r="J777">
        <f>I777/VLOOKUP($D777,CPI!$P$16:$R$22,3,FALSE)</f>
        <v>0</v>
      </c>
      <c r="K777" cm="1">
        <f t="array" ref="K777">IF(B777=0,INDEX('Category 15'!F:F,MATCH(C777&amp;E777&amp;D777,'Category 15'!B:B&amp;'Category 15'!C:C&amp;'Category 15'!A:A,0)),INDEX('Category 15'!G:G,MATCH(C777&amp;E777&amp;D777,'Category 15'!B:B&amp;'Category 31'!C:C&amp;'Category 15'!A:A,0)))</f>
        <v>0</v>
      </c>
      <c r="L777">
        <f>K777/VLOOKUP($D777,CPI!$P$16:$R$22,3,FALSE)</f>
        <v>0</v>
      </c>
      <c r="M777" s="16" cm="1">
        <f t="array" ref="M777">IF(B777=0,INDEX('Category 31'!F:F,MATCH(C777&amp;E777&amp;D777,'Category 31'!B:B&amp;'Category 31'!C:C&amp;'Category 31'!A:A,0)),INDEX('Category 31'!G:G,MATCH(C777&amp;E777&amp;D777,'Category 31'!B:B&amp;'Category 31'!C:C&amp;'Category 31'!A:A,0)))</f>
        <v>2198</v>
      </c>
      <c r="N777" s="16">
        <f>M777/VLOOKUP($D777,CPI!$P$16:$R$22,3,FALSE)</f>
        <v>2654.7348081216805</v>
      </c>
      <c r="O777">
        <v>0</v>
      </c>
    </row>
    <row r="778" spans="1:15" ht="16" thickBot="1" x14ac:dyDescent="0.25">
      <c r="A778" s="15">
        <v>2</v>
      </c>
      <c r="B778">
        <f t="shared" si="12"/>
        <v>1</v>
      </c>
      <c r="C778">
        <f>IF(ISBLANK(H778),"",VLOOKUP(H778,Code!B:C,2,FALSE))</f>
        <v>2</v>
      </c>
      <c r="D778">
        <v>2018</v>
      </c>
      <c r="E778">
        <v>230782</v>
      </c>
      <c r="F778" t="s">
        <v>246</v>
      </c>
      <c r="G778" t="s">
        <v>290</v>
      </c>
      <c r="H778" t="s">
        <v>1</v>
      </c>
      <c r="I778" cm="1">
        <f t="array" ref="I778">IF(B778=0,INDEX('Category 14'!F:F,MATCH(C778&amp;E778&amp;D778,'Category 14'!B:B&amp;'Category 14'!C:C&amp;'Category 14'!A:A,0)),INDEX('Category 14'!G:G,MATCH(C778&amp;E778&amp;D778,'Category 14'!B:B&amp;'Category 14'!C:C&amp;'Category 14'!A:A,0)))</f>
        <v>0</v>
      </c>
      <c r="J778">
        <f>I778/VLOOKUP($D778,CPI!$P$16:$R$22,3,FALSE)</f>
        <v>0</v>
      </c>
      <c r="K778" cm="1">
        <f t="array" ref="K778">IF(B778=0,INDEX('Category 15'!F:F,MATCH(C778&amp;E778&amp;D778,'Category 15'!B:B&amp;'Category 15'!C:C&amp;'Category 15'!A:A,0)),INDEX('Category 15'!G:G,MATCH(C778&amp;E778&amp;D778,'Category 15'!B:B&amp;'Category 31'!C:C&amp;'Category 15'!A:A,0)))</f>
        <v>0</v>
      </c>
      <c r="L778">
        <f>K778/VLOOKUP($D778,CPI!$P$16:$R$22,3,FALSE)</f>
        <v>0</v>
      </c>
      <c r="M778" s="16" cm="1">
        <f t="array" ref="M778">IF(B778=0,INDEX('Category 31'!F:F,MATCH(C778&amp;E778&amp;D778,'Category 31'!B:B&amp;'Category 31'!C:C&amp;'Category 31'!A:A,0)),INDEX('Category 31'!G:G,MATCH(C778&amp;E778&amp;D778,'Category 31'!B:B&amp;'Category 31'!C:C&amp;'Category 31'!A:A,0)))</f>
        <v>273</v>
      </c>
      <c r="N778" s="16">
        <f>M778/VLOOKUP($D778,CPI!$P$16:$R$22,3,FALSE)</f>
        <v>329.72820865205586</v>
      </c>
      <c r="O778">
        <f>VLOOKUP(E778,WBasketball!C:S,7,FALSE)</f>
        <v>14444</v>
      </c>
    </row>
    <row r="779" spans="1:15" ht="16" thickBot="1" x14ac:dyDescent="0.25">
      <c r="A779" s="15">
        <v>2</v>
      </c>
      <c r="B779">
        <f t="shared" si="12"/>
        <v>1</v>
      </c>
      <c r="C779">
        <f>IF(ISBLANK(H779),"",VLOOKUP(H779,Code!B:C,2,FALSE))</f>
        <v>9</v>
      </c>
      <c r="D779">
        <v>2018</v>
      </c>
      <c r="E779">
        <v>230782</v>
      </c>
      <c r="F779" t="s">
        <v>246</v>
      </c>
      <c r="G779" t="s">
        <v>290</v>
      </c>
      <c r="H779" t="s">
        <v>3</v>
      </c>
      <c r="I779" cm="1">
        <f t="array" ref="I779">IF(B779=0,INDEX('Category 14'!F:F,MATCH(C779&amp;E779&amp;D779,'Category 14'!B:B&amp;'Category 14'!C:C&amp;'Category 14'!A:A,0)),INDEX('Category 14'!G:G,MATCH(C779&amp;E779&amp;D779,'Category 14'!B:B&amp;'Category 14'!C:C&amp;'Category 14'!A:A,0)))</f>
        <v>0</v>
      </c>
      <c r="J779">
        <f>I779/VLOOKUP($D779,CPI!$P$16:$R$22,3,FALSE)</f>
        <v>0</v>
      </c>
      <c r="K779" cm="1">
        <f t="array" ref="K779">IF(B779=0,INDEX('Category 15'!F:F,MATCH(C779&amp;E779&amp;D779,'Category 15'!B:B&amp;'Category 15'!C:C&amp;'Category 15'!A:A,0)),INDEX('Category 15'!G:G,MATCH(C779&amp;E779&amp;D779,'Category 15'!B:B&amp;'Category 31'!C:C&amp;'Category 15'!A:A,0)))</f>
        <v>0</v>
      </c>
      <c r="L779">
        <f>K779/VLOOKUP($D779,CPI!$P$16:$R$22,3,FALSE)</f>
        <v>0</v>
      </c>
      <c r="M779" s="16" cm="1">
        <f t="array" ref="M779">IF(B779=0,INDEX('Category 31'!F:F,MATCH(C779&amp;E779&amp;D779,'Category 31'!B:B&amp;'Category 31'!C:C&amp;'Category 31'!A:A,0)),INDEX('Category 31'!G:G,MATCH(C779&amp;E779&amp;D779,'Category 31'!B:B&amp;'Category 31'!C:C&amp;'Category 31'!A:A,0)))</f>
        <v>5218</v>
      </c>
      <c r="N779" s="16">
        <f>M779/VLOOKUP($D779,CPI!$P$16:$R$22,3,FALSE)</f>
        <v>6302.2776291077935</v>
      </c>
      <c r="O779">
        <v>0</v>
      </c>
    </row>
    <row r="780" spans="1:15" ht="16" thickBot="1" x14ac:dyDescent="0.25">
      <c r="A780" s="15">
        <v>2</v>
      </c>
      <c r="B780">
        <f t="shared" si="12"/>
        <v>1</v>
      </c>
      <c r="C780">
        <f>IF(ISBLANK(H780),"",VLOOKUP(H780,Code!B:C,2,FALSE))</f>
        <v>17</v>
      </c>
      <c r="D780">
        <v>2018</v>
      </c>
      <c r="E780">
        <v>230782</v>
      </c>
      <c r="F780" t="s">
        <v>246</v>
      </c>
      <c r="G780" t="s">
        <v>290</v>
      </c>
      <c r="H780" t="s">
        <v>5</v>
      </c>
      <c r="I780" cm="1">
        <f t="array" ref="I780">IF(B780=0,INDEX('Category 14'!F:F,MATCH(C780&amp;E780&amp;D780,'Category 14'!B:B&amp;'Category 14'!C:C&amp;'Category 14'!A:A,0)),INDEX('Category 14'!G:G,MATCH(C780&amp;E780&amp;D780,'Category 14'!B:B&amp;'Category 14'!C:C&amp;'Category 14'!A:A,0)))</f>
        <v>0</v>
      </c>
      <c r="J780">
        <f>I780/VLOOKUP($D780,CPI!$P$16:$R$22,3,FALSE)</f>
        <v>0</v>
      </c>
      <c r="K780" cm="1">
        <f t="array" ref="K780">IF(B780=0,INDEX('Category 15'!F:F,MATCH(C780&amp;E780&amp;D780,'Category 15'!B:B&amp;'Category 15'!C:C&amp;'Category 15'!A:A,0)),INDEX('Category 15'!G:G,MATCH(C780&amp;E780&amp;D780,'Category 15'!B:B&amp;'Category 31'!C:C&amp;'Category 15'!A:A,0)))</f>
        <v>0</v>
      </c>
      <c r="L780">
        <f>K780/VLOOKUP($D780,CPI!$P$16:$R$22,3,FALSE)</f>
        <v>0</v>
      </c>
      <c r="M780" s="16" cm="1">
        <f t="array" ref="M780">IF(B780=0,INDEX('Category 31'!F:F,MATCH(C780&amp;E780&amp;D780,'Category 31'!B:B&amp;'Category 31'!C:C&amp;'Category 31'!A:A,0)),INDEX('Category 31'!G:G,MATCH(C780&amp;E780&amp;D780,'Category 31'!B:B&amp;'Category 31'!C:C&amp;'Category 31'!A:A,0)))</f>
        <v>754</v>
      </c>
      <c r="N780" s="16">
        <f>M780/VLOOKUP($D780,CPI!$P$16:$R$22,3,FALSE)</f>
        <v>910.67790961044</v>
      </c>
      <c r="O780">
        <f>VLOOKUP(E780,WSoccer!C:S,7,FALSE)</f>
        <v>5375</v>
      </c>
    </row>
    <row r="781" spans="1:15" ht="16" thickBot="1" x14ac:dyDescent="0.25">
      <c r="A781" s="15">
        <v>2</v>
      </c>
      <c r="B781">
        <f t="shared" si="12"/>
        <v>1</v>
      </c>
      <c r="C781">
        <f>IF(ISBLANK(H781),"",VLOOKUP(H781,Code!B:C,2,FALSE))</f>
        <v>18</v>
      </c>
      <c r="D781">
        <v>2018</v>
      </c>
      <c r="E781">
        <v>230782</v>
      </c>
      <c r="F781" t="s">
        <v>246</v>
      </c>
      <c r="G781" t="s">
        <v>290</v>
      </c>
      <c r="H781" t="s">
        <v>6</v>
      </c>
      <c r="I781" cm="1">
        <f t="array" ref="I781">IF(B781=0,INDEX('Category 14'!F:F,MATCH(C781&amp;E781&amp;D781,'Category 14'!B:B&amp;'Category 14'!C:C&amp;'Category 14'!A:A,0)),INDEX('Category 14'!G:G,MATCH(C781&amp;E781&amp;D781,'Category 14'!B:B&amp;'Category 14'!C:C&amp;'Category 14'!A:A,0)))</f>
        <v>0</v>
      </c>
      <c r="J781">
        <f>I781/VLOOKUP($D781,CPI!$P$16:$R$22,3,FALSE)</f>
        <v>0</v>
      </c>
      <c r="K781" cm="1">
        <f t="array" ref="K781">IF(B781=0,INDEX('Category 15'!F:F,MATCH(C781&amp;E781&amp;D781,'Category 15'!B:B&amp;'Category 15'!C:C&amp;'Category 15'!A:A,0)),INDEX('Category 15'!G:G,MATCH(C781&amp;E781&amp;D781,'Category 15'!B:B&amp;'Category 31'!C:C&amp;'Category 15'!A:A,0)))</f>
        <v>0</v>
      </c>
      <c r="L781">
        <f>K781/VLOOKUP($D781,CPI!$P$16:$R$22,3,FALSE)</f>
        <v>0</v>
      </c>
      <c r="M781" s="16" cm="1">
        <f t="array" ref="M781">IF(B781=0,INDEX('Category 31'!F:F,MATCH(C781&amp;E781&amp;D781,'Category 31'!B:B&amp;'Category 31'!C:C&amp;'Category 31'!A:A,0)),INDEX('Category 31'!G:G,MATCH(C781&amp;E781&amp;D781,'Category 31'!B:B&amp;'Category 31'!C:C&amp;'Category 31'!A:A,0)))</f>
        <v>6052</v>
      </c>
      <c r="N781" s="16">
        <f>M781/VLOOKUP($D781,CPI!$P$16:$R$22,3,FALSE)</f>
        <v>7309.5791896052824</v>
      </c>
      <c r="O781">
        <f>VLOOKUP(E781,WSoftball!C:S,7,FALSE)</f>
        <v>3180</v>
      </c>
    </row>
    <row r="782" spans="1:15" ht="16" thickBot="1" x14ac:dyDescent="0.25">
      <c r="A782" s="15">
        <v>2</v>
      </c>
      <c r="B782">
        <f t="shared" si="12"/>
        <v>1</v>
      </c>
      <c r="C782">
        <f>IF(ISBLANK(H782),"",VLOOKUP(H782,Code!B:C,2,FALSE))</f>
        <v>20</v>
      </c>
      <c r="D782">
        <v>2018</v>
      </c>
      <c r="E782">
        <v>230782</v>
      </c>
      <c r="F782" t="s">
        <v>246</v>
      </c>
      <c r="G782" t="s">
        <v>290</v>
      </c>
      <c r="H782" t="s">
        <v>8</v>
      </c>
      <c r="I782" cm="1">
        <f t="array" ref="I782">IF(B782=0,INDEX('Category 14'!F:F,MATCH(C782&amp;E782&amp;D782,'Category 14'!B:B&amp;'Category 14'!C:C&amp;'Category 14'!A:A,0)),INDEX('Category 14'!G:G,MATCH(C782&amp;E782&amp;D782,'Category 14'!B:B&amp;'Category 14'!C:C&amp;'Category 14'!A:A,0)))</f>
        <v>0</v>
      </c>
      <c r="J782">
        <f>I782/VLOOKUP($D782,CPI!$P$16:$R$22,3,FALSE)</f>
        <v>0</v>
      </c>
      <c r="K782" cm="1">
        <f t="array" ref="K782">IF(B782=0,INDEX('Category 15'!F:F,MATCH(C782&amp;E782&amp;D782,'Category 15'!B:B&amp;'Category 15'!C:C&amp;'Category 15'!A:A,0)),INDEX('Category 15'!G:G,MATCH(C782&amp;E782&amp;D782,'Category 15'!B:B&amp;'Category 31'!C:C&amp;'Category 15'!A:A,0)))</f>
        <v>0</v>
      </c>
      <c r="L782">
        <f>K782/VLOOKUP($D782,CPI!$P$16:$R$22,3,FALSE)</f>
        <v>0</v>
      </c>
      <c r="M782" s="16" cm="1">
        <f t="array" ref="M782">IF(B782=0,INDEX('Category 31'!F:F,MATCH(C782&amp;E782&amp;D782,'Category 31'!B:B&amp;'Category 31'!C:C&amp;'Category 31'!A:A,0)),INDEX('Category 31'!G:G,MATCH(C782&amp;E782&amp;D782,'Category 31'!B:B&amp;'Category 31'!C:C&amp;'Category 31'!A:A,0)))</f>
        <v>0</v>
      </c>
      <c r="N782" s="16">
        <f>M782/VLOOKUP($D782,CPI!$P$16:$R$22,3,FALSE)</f>
        <v>0</v>
      </c>
      <c r="O782">
        <v>0</v>
      </c>
    </row>
    <row r="783" spans="1:15" ht="16" thickBot="1" x14ac:dyDescent="0.25">
      <c r="A783" s="15">
        <v>2</v>
      </c>
      <c r="B783">
        <f t="shared" si="12"/>
        <v>1</v>
      </c>
      <c r="C783">
        <f>IF(ISBLANK(H783),"",VLOOKUP(H783,Code!B:C,2,FALSE))</f>
        <v>21</v>
      </c>
      <c r="D783">
        <v>2018</v>
      </c>
      <c r="E783">
        <v>230782</v>
      </c>
      <c r="F783" t="s">
        <v>246</v>
      </c>
      <c r="G783" t="s">
        <v>290</v>
      </c>
      <c r="H783" t="s">
        <v>36</v>
      </c>
      <c r="I783" cm="1">
        <f t="array" ref="I783">IF(B783=0,INDEX('Category 14'!F:F,MATCH(C783&amp;E783&amp;D783,'Category 14'!B:B&amp;'Category 14'!C:C&amp;'Category 14'!A:A,0)),INDEX('Category 14'!G:G,MATCH(C783&amp;E783&amp;D783,'Category 14'!B:B&amp;'Category 14'!C:C&amp;'Category 14'!A:A,0)))</f>
        <v>0</v>
      </c>
      <c r="J783">
        <f>I783/VLOOKUP($D783,CPI!$P$16:$R$22,3,FALSE)</f>
        <v>0</v>
      </c>
      <c r="K783" cm="1">
        <f t="array" ref="K783">IF(B783=0,INDEX('Category 15'!F:F,MATCH(C783&amp;E783&amp;D783,'Category 15'!B:B&amp;'Category 15'!C:C&amp;'Category 15'!A:A,0)),INDEX('Category 15'!G:G,MATCH(C783&amp;E783&amp;D783,'Category 15'!B:B&amp;'Category 31'!C:C&amp;'Category 15'!A:A,0)))</f>
        <v>0</v>
      </c>
      <c r="L783">
        <f>K783/VLOOKUP($D783,CPI!$P$16:$R$22,3,FALSE)</f>
        <v>0</v>
      </c>
      <c r="M783" s="16" cm="1">
        <f t="array" ref="M783">IF(B783=0,INDEX('Category 31'!F:F,MATCH(C783&amp;E783&amp;D783,'Category 31'!B:B&amp;'Category 31'!C:C&amp;'Category 31'!A:A,0)),INDEX('Category 31'!G:G,MATCH(C783&amp;E783&amp;D783,'Category 31'!B:B&amp;'Category 31'!C:C&amp;'Category 31'!A:A,0)))</f>
        <v>2323</v>
      </c>
      <c r="N783" s="16">
        <f>M783/VLOOKUP($D783,CPI!$P$16:$R$22,3,FALSE)</f>
        <v>2805.7092626326953</v>
      </c>
      <c r="O783">
        <v>0</v>
      </c>
    </row>
    <row r="784" spans="1:15" ht="16" thickBot="1" x14ac:dyDescent="0.25">
      <c r="A784" s="15">
        <v>2</v>
      </c>
      <c r="B784">
        <f t="shared" si="12"/>
        <v>1</v>
      </c>
      <c r="C784">
        <f>IF(ISBLANK(H784),"",VLOOKUP(H784,Code!B:C,2,FALSE))</f>
        <v>23</v>
      </c>
      <c r="D784">
        <v>2018</v>
      </c>
      <c r="E784">
        <v>230782</v>
      </c>
      <c r="F784" t="s">
        <v>246</v>
      </c>
      <c r="G784" t="s">
        <v>290</v>
      </c>
      <c r="H784" t="s">
        <v>10</v>
      </c>
      <c r="I784" cm="1">
        <f t="array" ref="I784">IF(B784=0,INDEX('Category 14'!F:F,MATCH(C784&amp;E784&amp;D784,'Category 14'!B:B&amp;'Category 14'!C:C&amp;'Category 14'!A:A,0)),INDEX('Category 14'!G:G,MATCH(C784&amp;E784&amp;D784,'Category 14'!B:B&amp;'Category 14'!C:C&amp;'Category 14'!A:A,0)))</f>
        <v>0</v>
      </c>
      <c r="J784">
        <f>I784/VLOOKUP($D784,CPI!$P$16:$R$22,3,FALSE)</f>
        <v>0</v>
      </c>
      <c r="K784" cm="1">
        <f t="array" ref="K784">IF(B784=0,INDEX('Category 15'!F:F,MATCH(C784&amp;E784&amp;D784,'Category 15'!B:B&amp;'Category 15'!C:C&amp;'Category 15'!A:A,0)),INDEX('Category 15'!G:G,MATCH(C784&amp;E784&amp;D784,'Category 15'!B:B&amp;'Category 31'!C:C&amp;'Category 15'!A:A,0)))</f>
        <v>0</v>
      </c>
      <c r="L784">
        <f>K784/VLOOKUP($D784,CPI!$P$16:$R$22,3,FALSE)</f>
        <v>0</v>
      </c>
      <c r="M784" s="16" cm="1">
        <f t="array" ref="M784">IF(B784=0,INDEX('Category 31'!F:F,MATCH(C784&amp;E784&amp;D784,'Category 31'!B:B&amp;'Category 31'!C:C&amp;'Category 31'!A:A,0)),INDEX('Category 31'!G:G,MATCH(C784&amp;E784&amp;D784,'Category 31'!B:B&amp;'Category 31'!C:C&amp;'Category 31'!A:A,0)))</f>
        <v>46</v>
      </c>
      <c r="N784" s="16">
        <f>M784/VLOOKUP($D784,CPI!$P$16:$R$22,3,FALSE)</f>
        <v>55.55859926005337</v>
      </c>
      <c r="O784">
        <f>VLOOKUP(E784,WVolleyball!C:S,7,FALSE)</f>
        <v>4049</v>
      </c>
    </row>
    <row r="785" spans="1:15" ht="16" thickBot="1" x14ac:dyDescent="0.25">
      <c r="A785" s="15">
        <v>2</v>
      </c>
      <c r="B785">
        <f t="shared" si="12"/>
        <v>0</v>
      </c>
      <c r="C785">
        <f>IF(ISBLANK(H785),"",VLOOKUP(H785,Code!B:C,2,FALSE))</f>
        <v>2</v>
      </c>
      <c r="D785">
        <v>2019</v>
      </c>
      <c r="E785">
        <v>230782</v>
      </c>
      <c r="F785" t="s">
        <v>246</v>
      </c>
      <c r="G785" t="s">
        <v>289</v>
      </c>
      <c r="H785" t="s">
        <v>1</v>
      </c>
      <c r="I785" cm="1">
        <f t="array" ref="I785">IF(B785=0,INDEX('Category 14'!F:F,MATCH(C785&amp;E785&amp;D785,'Category 14'!B:B&amp;'Category 14'!C:C&amp;'Category 14'!A:A,0)),INDEX('Category 14'!G:G,MATCH(C785&amp;E785&amp;D785,'Category 14'!B:B&amp;'Category 14'!C:C&amp;'Category 14'!A:A,0)))</f>
        <v>0</v>
      </c>
      <c r="J785">
        <f>I785/VLOOKUP($D785,CPI!$P$16:$R$22,3,FALSE)</f>
        <v>0</v>
      </c>
      <c r="K785" cm="1">
        <f t="array" ref="K785">IF(B785=0,INDEX('Category 15'!F:F,MATCH(C785&amp;E785&amp;D785,'Category 15'!B:B&amp;'Category 15'!C:C&amp;'Category 15'!A:A,0)),INDEX('Category 15'!G:G,MATCH(C785&amp;E785&amp;D785,'Category 15'!B:B&amp;'Category 31'!C:C&amp;'Category 15'!A:A,0)))</f>
        <v>280949</v>
      </c>
      <c r="L785">
        <f>K785/VLOOKUP($D785,CPI!$P$16:$R$22,3,FALSE)</f>
        <v>332439.05791482161</v>
      </c>
      <c r="M785" s="16" cm="1">
        <f t="array" ref="M785">IF(B785=0,INDEX('Category 31'!F:F,MATCH(C785&amp;E785&amp;D785,'Category 31'!B:B&amp;'Category 31'!C:C&amp;'Category 31'!A:A,0)),INDEX('Category 31'!G:G,MATCH(C785&amp;E785&amp;D785,'Category 31'!B:B&amp;'Category 31'!C:C&amp;'Category 31'!A:A,0)))</f>
        <v>7320</v>
      </c>
      <c r="N785" s="16">
        <f>M785/VLOOKUP($D785,CPI!$P$16:$R$22,3,FALSE)</f>
        <v>8661.550330972861</v>
      </c>
      <c r="O785">
        <f>VLOOKUP(E785,MBasketball!C:S,8,FALSE)</f>
        <v>101326</v>
      </c>
    </row>
    <row r="786" spans="1:15" ht="16" thickBot="1" x14ac:dyDescent="0.25">
      <c r="A786" s="15">
        <v>2</v>
      </c>
      <c r="B786">
        <f t="shared" si="12"/>
        <v>0</v>
      </c>
      <c r="C786">
        <f>IF(ISBLANK(H786),"",VLOOKUP(H786,Code!B:C,2,FALSE))</f>
        <v>8</v>
      </c>
      <c r="D786">
        <v>2019</v>
      </c>
      <c r="E786">
        <v>230782</v>
      </c>
      <c r="F786" t="s">
        <v>246</v>
      </c>
      <c r="G786" t="s">
        <v>289</v>
      </c>
      <c r="H786" t="s">
        <v>2</v>
      </c>
      <c r="I786" cm="1">
        <f t="array" ref="I786">IF(B786=0,INDEX('Category 14'!F:F,MATCH(C786&amp;E786&amp;D786,'Category 14'!B:B&amp;'Category 14'!C:C&amp;'Category 14'!A:A,0)),INDEX('Category 14'!G:G,MATCH(C786&amp;E786&amp;D786,'Category 14'!B:B&amp;'Category 14'!C:C&amp;'Category 14'!A:A,0)))</f>
        <v>14023</v>
      </c>
      <c r="J786">
        <f>I786/VLOOKUP($D786,CPI!$P$16:$R$22,3,FALSE)</f>
        <v>16593.02189770935</v>
      </c>
      <c r="K786" cm="1">
        <f t="array" ref="K786">IF(B786=0,INDEX('Category 15'!F:F,MATCH(C786&amp;E786&amp;D786,'Category 15'!B:B&amp;'Category 15'!C:C&amp;'Category 15'!A:A,0)),INDEX('Category 15'!G:G,MATCH(C786&amp;E786&amp;D786,'Category 15'!B:B&amp;'Category 31'!C:C&amp;'Category 15'!A:A,0)))</f>
        <v>229868</v>
      </c>
      <c r="L786">
        <f>K786/VLOOKUP($D786,CPI!$P$16:$R$22,3,FALSE)</f>
        <v>271996.3458306106</v>
      </c>
      <c r="M786" s="16" cm="1">
        <f t="array" ref="M786">IF(B786=0,INDEX('Category 31'!F:F,MATCH(C786&amp;E786&amp;D786,'Category 31'!B:B&amp;'Category 31'!C:C&amp;'Category 31'!A:A,0)),INDEX('Category 31'!G:G,MATCH(C786&amp;E786&amp;D786,'Category 31'!B:B&amp;'Category 31'!C:C&amp;'Category 31'!A:A,0)))</f>
        <v>38505</v>
      </c>
      <c r="N786" s="16">
        <f>M786/VLOOKUP($D786,CPI!$P$16:$R$22,3,FALSE)</f>
        <v>45561.884630342902</v>
      </c>
      <c r="O786">
        <f>VLOOKUP(E786,MFootball!C:S,8,FALSE)</f>
        <v>57817</v>
      </c>
    </row>
    <row r="787" spans="1:15" ht="16" thickBot="1" x14ac:dyDescent="0.25">
      <c r="A787" s="15">
        <v>2</v>
      </c>
      <c r="B787">
        <f t="shared" si="12"/>
        <v>0</v>
      </c>
      <c r="C787">
        <f>IF(ISBLANK(H787),"",VLOOKUP(H787,Code!B:C,2,FALSE))</f>
        <v>9</v>
      </c>
      <c r="D787">
        <v>2019</v>
      </c>
      <c r="E787">
        <v>230782</v>
      </c>
      <c r="F787" t="s">
        <v>246</v>
      </c>
      <c r="G787" t="s">
        <v>289</v>
      </c>
      <c r="H787" t="s">
        <v>3</v>
      </c>
      <c r="I787" cm="1">
        <f t="array" ref="I787">IF(B787=0,INDEX('Category 14'!F:F,MATCH(C787&amp;E787&amp;D787,'Category 14'!B:B&amp;'Category 14'!C:C&amp;'Category 14'!A:A,0)),INDEX('Category 14'!G:G,MATCH(C787&amp;E787&amp;D787,'Category 14'!B:B&amp;'Category 14'!C:C&amp;'Category 14'!A:A,0)))</f>
        <v>0</v>
      </c>
      <c r="J787">
        <f>I787/VLOOKUP($D787,CPI!$P$16:$R$22,3,FALSE)</f>
        <v>0</v>
      </c>
      <c r="K787" cm="1">
        <f t="array" ref="K787">IF(B787=0,INDEX('Category 15'!F:F,MATCH(C787&amp;E787&amp;D787,'Category 15'!B:B&amp;'Category 15'!C:C&amp;'Category 15'!A:A,0)),INDEX('Category 15'!G:G,MATCH(C787&amp;E787&amp;D787,'Category 15'!B:B&amp;'Category 31'!C:C&amp;'Category 15'!A:A,0)))</f>
        <v>0</v>
      </c>
      <c r="L787">
        <f>K787/VLOOKUP($D787,CPI!$P$16:$R$22,3,FALSE)</f>
        <v>0</v>
      </c>
      <c r="M787" s="16" cm="1">
        <f t="array" ref="M787">IF(B787=0,INDEX('Category 31'!F:F,MATCH(C787&amp;E787&amp;D787,'Category 31'!B:B&amp;'Category 31'!C:C&amp;'Category 31'!A:A,0)),INDEX('Category 31'!G:G,MATCH(C787&amp;E787&amp;D787,'Category 31'!B:B&amp;'Category 31'!C:C&amp;'Category 31'!A:A,0)))</f>
        <v>4989</v>
      </c>
      <c r="N787" s="16">
        <f>M787/VLOOKUP($D787,CPI!$P$16:$R$22,3,FALSE)</f>
        <v>5903.3435247573225</v>
      </c>
      <c r="O787">
        <v>0</v>
      </c>
    </row>
    <row r="788" spans="1:15" ht="16" thickBot="1" x14ac:dyDescent="0.25">
      <c r="A788" s="15">
        <v>2</v>
      </c>
      <c r="B788">
        <f t="shared" si="12"/>
        <v>0</v>
      </c>
      <c r="C788">
        <f>IF(ISBLANK(H788),"",VLOOKUP(H788,Code!B:C,2,FALSE))</f>
        <v>20</v>
      </c>
      <c r="D788">
        <v>2019</v>
      </c>
      <c r="E788">
        <v>230782</v>
      </c>
      <c r="F788" t="s">
        <v>246</v>
      </c>
      <c r="G788" t="s">
        <v>289</v>
      </c>
      <c r="H788" t="s">
        <v>8</v>
      </c>
      <c r="I788" cm="1">
        <f t="array" ref="I788">IF(B788=0,INDEX('Category 14'!F:F,MATCH(C788&amp;E788&amp;D788,'Category 14'!B:B&amp;'Category 14'!C:C&amp;'Category 14'!A:A,0)),INDEX('Category 14'!G:G,MATCH(C788&amp;E788&amp;D788,'Category 14'!B:B&amp;'Category 14'!C:C&amp;'Category 14'!A:A,0)))</f>
        <v>0</v>
      </c>
      <c r="J788">
        <f>I788/VLOOKUP($D788,CPI!$P$16:$R$22,3,FALSE)</f>
        <v>0</v>
      </c>
      <c r="K788" cm="1">
        <f t="array" ref="K788">IF(B788=0,INDEX('Category 15'!F:F,MATCH(C788&amp;E788&amp;D788,'Category 15'!B:B&amp;'Category 15'!C:C&amp;'Category 15'!A:A,0)),INDEX('Category 15'!G:G,MATCH(C788&amp;E788&amp;D788,'Category 15'!B:B&amp;'Category 31'!C:C&amp;'Category 15'!A:A,0)))</f>
        <v>0</v>
      </c>
      <c r="L788">
        <f>K788/VLOOKUP($D788,CPI!$P$16:$R$22,3,FALSE)</f>
        <v>0</v>
      </c>
      <c r="M788" s="16" cm="1">
        <f t="array" ref="M788">IF(B788=0,INDEX('Category 31'!F:F,MATCH(C788&amp;E788&amp;D788,'Category 31'!B:B&amp;'Category 31'!C:C&amp;'Category 31'!A:A,0)),INDEX('Category 31'!G:G,MATCH(C788&amp;E788&amp;D788,'Category 31'!B:B&amp;'Category 31'!C:C&amp;'Category 31'!A:A,0)))</f>
        <v>0</v>
      </c>
      <c r="N788" s="16">
        <f>M788/VLOOKUP($D788,CPI!$P$16:$R$22,3,FALSE)</f>
        <v>0</v>
      </c>
      <c r="O788">
        <v>0</v>
      </c>
    </row>
    <row r="789" spans="1:15" ht="16" thickBot="1" x14ac:dyDescent="0.25">
      <c r="A789" s="15">
        <v>2</v>
      </c>
      <c r="B789">
        <f t="shared" si="12"/>
        <v>0</v>
      </c>
      <c r="C789">
        <f>IF(ISBLANK(H789),"",VLOOKUP(H789,Code!B:C,2,FALSE))</f>
        <v>21</v>
      </c>
      <c r="D789">
        <v>2019</v>
      </c>
      <c r="E789">
        <v>230782</v>
      </c>
      <c r="F789" t="s">
        <v>246</v>
      </c>
      <c r="G789" t="s">
        <v>289</v>
      </c>
      <c r="H789" t="s">
        <v>36</v>
      </c>
      <c r="I789" cm="1">
        <f t="array" ref="I789">IF(B789=0,INDEX('Category 14'!F:F,MATCH(C789&amp;E789&amp;D789,'Category 14'!B:B&amp;'Category 14'!C:C&amp;'Category 14'!A:A,0)),INDEX('Category 14'!G:G,MATCH(C789&amp;E789&amp;D789,'Category 14'!B:B&amp;'Category 14'!C:C&amp;'Category 14'!A:A,0)))</f>
        <v>0</v>
      </c>
      <c r="J789">
        <f>I789/VLOOKUP($D789,CPI!$P$16:$R$22,3,FALSE)</f>
        <v>0</v>
      </c>
      <c r="K789" cm="1">
        <f t="array" ref="K789">IF(B789=0,INDEX('Category 15'!F:F,MATCH(C789&amp;E789&amp;D789,'Category 15'!B:B&amp;'Category 15'!C:C&amp;'Category 15'!A:A,0)),INDEX('Category 15'!G:G,MATCH(C789&amp;E789&amp;D789,'Category 15'!B:B&amp;'Category 31'!C:C&amp;'Category 15'!A:A,0)))</f>
        <v>0</v>
      </c>
      <c r="L789">
        <f>K789/VLOOKUP($D789,CPI!$P$16:$R$22,3,FALSE)</f>
        <v>0</v>
      </c>
      <c r="M789" s="16" cm="1">
        <f t="array" ref="M789">IF(B789=0,INDEX('Category 31'!F:F,MATCH(C789&amp;E789&amp;D789,'Category 31'!B:B&amp;'Category 31'!C:C&amp;'Category 31'!A:A,0)),INDEX('Category 31'!G:G,MATCH(C789&amp;E789&amp;D789,'Category 31'!B:B&amp;'Category 31'!C:C&amp;'Category 31'!A:A,0)))</f>
        <v>5029</v>
      </c>
      <c r="N789" s="16">
        <f>M789/VLOOKUP($D789,CPI!$P$16:$R$22,3,FALSE)</f>
        <v>5950.6744008828573</v>
      </c>
      <c r="O789">
        <v>0</v>
      </c>
    </row>
    <row r="790" spans="1:15" ht="16" thickBot="1" x14ac:dyDescent="0.25">
      <c r="A790" s="15">
        <v>2</v>
      </c>
      <c r="B790">
        <f t="shared" si="12"/>
        <v>1</v>
      </c>
      <c r="C790">
        <f>IF(ISBLANK(H790),"",VLOOKUP(H790,Code!B:C,2,FALSE))</f>
        <v>2</v>
      </c>
      <c r="D790">
        <v>2019</v>
      </c>
      <c r="E790">
        <v>230782</v>
      </c>
      <c r="F790" t="s">
        <v>246</v>
      </c>
      <c r="G790" t="s">
        <v>290</v>
      </c>
      <c r="H790" t="s">
        <v>1</v>
      </c>
      <c r="I790" cm="1">
        <f t="array" ref="I790">IF(B790=0,INDEX('Category 14'!F:F,MATCH(C790&amp;E790&amp;D790,'Category 14'!B:B&amp;'Category 14'!C:C&amp;'Category 14'!A:A,0)),INDEX('Category 14'!G:G,MATCH(C790&amp;E790&amp;D790,'Category 14'!B:B&amp;'Category 14'!C:C&amp;'Category 14'!A:A,0)))</f>
        <v>0</v>
      </c>
      <c r="J790">
        <f>I790/VLOOKUP($D790,CPI!$P$16:$R$22,3,FALSE)</f>
        <v>0</v>
      </c>
      <c r="K790" cm="1">
        <f t="array" ref="K790">IF(B790=0,INDEX('Category 15'!F:F,MATCH(C790&amp;E790&amp;D790,'Category 15'!B:B&amp;'Category 15'!C:C&amp;'Category 15'!A:A,0)),INDEX('Category 15'!G:G,MATCH(C790&amp;E790&amp;D790,'Category 15'!B:B&amp;'Category 31'!C:C&amp;'Category 15'!A:A,0)))</f>
        <v>0</v>
      </c>
      <c r="L790">
        <f>K790/VLOOKUP($D790,CPI!$P$16:$R$22,3,FALSE)</f>
        <v>0</v>
      </c>
      <c r="M790" s="16" cm="1">
        <f t="array" ref="M790">IF(B790=0,INDEX('Category 31'!F:F,MATCH(C790&amp;E790&amp;D790,'Category 31'!B:B&amp;'Category 31'!C:C&amp;'Category 31'!A:A,0)),INDEX('Category 31'!G:G,MATCH(C790&amp;E790&amp;D790,'Category 31'!B:B&amp;'Category 31'!C:C&amp;'Category 31'!A:A,0)))</f>
        <v>28</v>
      </c>
      <c r="N790" s="16">
        <f>M790/VLOOKUP($D790,CPI!$P$16:$R$22,3,FALSE)</f>
        <v>33.13161328787433</v>
      </c>
      <c r="O790">
        <f>VLOOKUP(E790,WBasketball!C:S,8,FALSE)</f>
        <v>9257</v>
      </c>
    </row>
    <row r="791" spans="1:15" ht="16" thickBot="1" x14ac:dyDescent="0.25">
      <c r="A791" s="15">
        <v>2</v>
      </c>
      <c r="B791">
        <f t="shared" si="12"/>
        <v>1</v>
      </c>
      <c r="C791">
        <f>IF(ISBLANK(H791),"",VLOOKUP(H791,Code!B:C,2,FALSE))</f>
        <v>9</v>
      </c>
      <c r="D791">
        <v>2019</v>
      </c>
      <c r="E791">
        <v>230782</v>
      </c>
      <c r="F791" t="s">
        <v>246</v>
      </c>
      <c r="G791" t="s">
        <v>290</v>
      </c>
      <c r="H791" t="s">
        <v>3</v>
      </c>
      <c r="I791" cm="1">
        <f t="array" ref="I791">IF(B791=0,INDEX('Category 14'!F:F,MATCH(C791&amp;E791&amp;D791,'Category 14'!B:B&amp;'Category 14'!C:C&amp;'Category 14'!A:A,0)),INDEX('Category 14'!G:G,MATCH(C791&amp;E791&amp;D791,'Category 14'!B:B&amp;'Category 14'!C:C&amp;'Category 14'!A:A,0)))</f>
        <v>0</v>
      </c>
      <c r="J791">
        <f>I791/VLOOKUP($D791,CPI!$P$16:$R$22,3,FALSE)</f>
        <v>0</v>
      </c>
      <c r="K791" cm="1">
        <f t="array" ref="K791">IF(B791=0,INDEX('Category 15'!F:F,MATCH(C791&amp;E791&amp;D791,'Category 15'!B:B&amp;'Category 15'!C:C&amp;'Category 15'!A:A,0)),INDEX('Category 15'!G:G,MATCH(C791&amp;E791&amp;D791,'Category 15'!B:B&amp;'Category 31'!C:C&amp;'Category 15'!A:A,0)))</f>
        <v>0</v>
      </c>
      <c r="L791">
        <f>K791/VLOOKUP($D791,CPI!$P$16:$R$22,3,FALSE)</f>
        <v>0</v>
      </c>
      <c r="M791" s="16" cm="1">
        <f t="array" ref="M791">IF(B791=0,INDEX('Category 31'!F:F,MATCH(C791&amp;E791&amp;D791,'Category 31'!B:B&amp;'Category 31'!C:C&amp;'Category 31'!A:A,0)),INDEX('Category 31'!G:G,MATCH(C791&amp;E791&amp;D791,'Category 31'!B:B&amp;'Category 31'!C:C&amp;'Category 31'!A:A,0)))</f>
        <v>4519</v>
      </c>
      <c r="N791" s="16">
        <f>M791/VLOOKUP($D791,CPI!$P$16:$R$22,3,FALSE)</f>
        <v>5347.2057302822896</v>
      </c>
      <c r="O791">
        <v>0</v>
      </c>
    </row>
    <row r="792" spans="1:15" ht="16" thickBot="1" x14ac:dyDescent="0.25">
      <c r="A792" s="15">
        <v>2</v>
      </c>
      <c r="B792">
        <f t="shared" si="12"/>
        <v>1</v>
      </c>
      <c r="C792">
        <f>IF(ISBLANK(H792),"",VLOOKUP(H792,Code!B:C,2,FALSE))</f>
        <v>17</v>
      </c>
      <c r="D792">
        <v>2019</v>
      </c>
      <c r="E792">
        <v>230782</v>
      </c>
      <c r="F792" t="s">
        <v>246</v>
      </c>
      <c r="G792" t="s">
        <v>290</v>
      </c>
      <c r="H792" t="s">
        <v>5</v>
      </c>
      <c r="I792" cm="1">
        <f t="array" ref="I792">IF(B792=0,INDEX('Category 14'!F:F,MATCH(C792&amp;E792&amp;D792,'Category 14'!B:B&amp;'Category 14'!C:C&amp;'Category 14'!A:A,0)),INDEX('Category 14'!G:G,MATCH(C792&amp;E792&amp;D792,'Category 14'!B:B&amp;'Category 14'!C:C&amp;'Category 14'!A:A,0)))</f>
        <v>0</v>
      </c>
      <c r="J792">
        <f>I792/VLOOKUP($D792,CPI!$P$16:$R$22,3,FALSE)</f>
        <v>0</v>
      </c>
      <c r="K792" cm="1">
        <f t="array" ref="K792">IF(B792=0,INDEX('Category 15'!F:F,MATCH(C792&amp;E792&amp;D792,'Category 15'!B:B&amp;'Category 15'!C:C&amp;'Category 15'!A:A,0)),INDEX('Category 15'!G:G,MATCH(C792&amp;E792&amp;D792,'Category 15'!B:B&amp;'Category 31'!C:C&amp;'Category 15'!A:A,0)))</f>
        <v>0</v>
      </c>
      <c r="L792">
        <f>K792/VLOOKUP($D792,CPI!$P$16:$R$22,3,FALSE)</f>
        <v>0</v>
      </c>
      <c r="M792" s="16" cm="1">
        <f t="array" ref="M792">IF(B792=0,INDEX('Category 31'!F:F,MATCH(C792&amp;E792&amp;D792,'Category 31'!B:B&amp;'Category 31'!C:C&amp;'Category 31'!A:A,0)),INDEX('Category 31'!G:G,MATCH(C792&amp;E792&amp;D792,'Category 31'!B:B&amp;'Category 31'!C:C&amp;'Category 31'!A:A,0)))</f>
        <v>2170</v>
      </c>
      <c r="N792" s="16">
        <f>M792/VLOOKUP($D792,CPI!$P$16:$R$22,3,FALSE)</f>
        <v>2567.7000298102607</v>
      </c>
      <c r="O792">
        <f>VLOOKUP(E792,WSoccer!C:S,8,FALSE)</f>
        <v>5439</v>
      </c>
    </row>
    <row r="793" spans="1:15" ht="16" thickBot="1" x14ac:dyDescent="0.25">
      <c r="A793" s="15">
        <v>2</v>
      </c>
      <c r="B793">
        <f t="shared" si="12"/>
        <v>1</v>
      </c>
      <c r="C793">
        <f>IF(ISBLANK(H793),"",VLOOKUP(H793,Code!B:C,2,FALSE))</f>
        <v>18</v>
      </c>
      <c r="D793">
        <v>2019</v>
      </c>
      <c r="E793">
        <v>230782</v>
      </c>
      <c r="F793" t="s">
        <v>246</v>
      </c>
      <c r="G793" t="s">
        <v>290</v>
      </c>
      <c r="H793" t="s">
        <v>6</v>
      </c>
      <c r="I793" cm="1">
        <f t="array" ref="I793">IF(B793=0,INDEX('Category 14'!F:F,MATCH(C793&amp;E793&amp;D793,'Category 14'!B:B&amp;'Category 14'!C:C&amp;'Category 14'!A:A,0)),INDEX('Category 14'!G:G,MATCH(C793&amp;E793&amp;D793,'Category 14'!B:B&amp;'Category 14'!C:C&amp;'Category 14'!A:A,0)))</f>
        <v>0</v>
      </c>
      <c r="J793">
        <f>I793/VLOOKUP($D793,CPI!$P$16:$R$22,3,FALSE)</f>
        <v>0</v>
      </c>
      <c r="K793" cm="1">
        <f t="array" ref="K793">IF(B793=0,INDEX('Category 15'!F:F,MATCH(C793&amp;E793&amp;D793,'Category 15'!B:B&amp;'Category 15'!C:C&amp;'Category 15'!A:A,0)),INDEX('Category 15'!G:G,MATCH(C793&amp;E793&amp;D793,'Category 15'!B:B&amp;'Category 31'!C:C&amp;'Category 15'!A:A,0)))</f>
        <v>0</v>
      </c>
      <c r="L793">
        <f>K793/VLOOKUP($D793,CPI!$P$16:$R$22,3,FALSE)</f>
        <v>0</v>
      </c>
      <c r="M793" s="16" cm="1">
        <f t="array" ref="M793">IF(B793=0,INDEX('Category 31'!F:F,MATCH(C793&amp;E793&amp;D793,'Category 31'!B:B&amp;'Category 31'!C:C&amp;'Category 31'!A:A,0)),INDEX('Category 31'!G:G,MATCH(C793&amp;E793&amp;D793,'Category 31'!B:B&amp;'Category 31'!C:C&amp;'Category 31'!A:A,0)))</f>
        <v>6617</v>
      </c>
      <c r="N793" s="16">
        <f>M793/VLOOKUP($D793,CPI!$P$16:$R$22,3,FALSE)</f>
        <v>7829.7101830665879</v>
      </c>
      <c r="O793">
        <f>VLOOKUP(E793,WSoftball!C:S,8,FALSE)</f>
        <v>2899</v>
      </c>
    </row>
    <row r="794" spans="1:15" ht="16" thickBot="1" x14ac:dyDescent="0.25">
      <c r="A794" s="15">
        <v>2</v>
      </c>
      <c r="B794">
        <f t="shared" si="12"/>
        <v>1</v>
      </c>
      <c r="C794">
        <f>IF(ISBLANK(H794),"",VLOOKUP(H794,Code!B:C,2,FALSE))</f>
        <v>20</v>
      </c>
      <c r="D794">
        <v>2019</v>
      </c>
      <c r="E794">
        <v>230782</v>
      </c>
      <c r="F794" t="s">
        <v>246</v>
      </c>
      <c r="G794" t="s">
        <v>290</v>
      </c>
      <c r="H794" t="s">
        <v>8</v>
      </c>
      <c r="I794" cm="1">
        <f t="array" ref="I794">IF(B794=0,INDEX('Category 14'!F:F,MATCH(C794&amp;E794&amp;D794,'Category 14'!B:B&amp;'Category 14'!C:C&amp;'Category 14'!A:A,0)),INDEX('Category 14'!G:G,MATCH(C794&amp;E794&amp;D794,'Category 14'!B:B&amp;'Category 14'!C:C&amp;'Category 14'!A:A,0)))</f>
        <v>0</v>
      </c>
      <c r="J794">
        <f>I794/VLOOKUP($D794,CPI!$P$16:$R$22,3,FALSE)</f>
        <v>0</v>
      </c>
      <c r="K794" cm="1">
        <f t="array" ref="K794">IF(B794=0,INDEX('Category 15'!F:F,MATCH(C794&amp;E794&amp;D794,'Category 15'!B:B&amp;'Category 15'!C:C&amp;'Category 15'!A:A,0)),INDEX('Category 15'!G:G,MATCH(C794&amp;E794&amp;D794,'Category 15'!B:B&amp;'Category 31'!C:C&amp;'Category 15'!A:A,0)))</f>
        <v>0</v>
      </c>
      <c r="L794">
        <f>K794/VLOOKUP($D794,CPI!$P$16:$R$22,3,FALSE)</f>
        <v>0</v>
      </c>
      <c r="M794" s="16" cm="1">
        <f t="array" ref="M794">IF(B794=0,INDEX('Category 31'!F:F,MATCH(C794&amp;E794&amp;D794,'Category 31'!B:B&amp;'Category 31'!C:C&amp;'Category 31'!A:A,0)),INDEX('Category 31'!G:G,MATCH(C794&amp;E794&amp;D794,'Category 31'!B:B&amp;'Category 31'!C:C&amp;'Category 31'!A:A,0)))</f>
        <v>0</v>
      </c>
      <c r="N794" s="16">
        <f>M794/VLOOKUP($D794,CPI!$P$16:$R$22,3,FALSE)</f>
        <v>0</v>
      </c>
      <c r="O794">
        <v>0</v>
      </c>
    </row>
    <row r="795" spans="1:15" ht="16" thickBot="1" x14ac:dyDescent="0.25">
      <c r="A795" s="15">
        <v>2</v>
      </c>
      <c r="B795">
        <f t="shared" si="12"/>
        <v>1</v>
      </c>
      <c r="C795">
        <f>IF(ISBLANK(H795),"",VLOOKUP(H795,Code!B:C,2,FALSE))</f>
        <v>21</v>
      </c>
      <c r="D795">
        <v>2019</v>
      </c>
      <c r="E795">
        <v>230782</v>
      </c>
      <c r="F795" t="s">
        <v>246</v>
      </c>
      <c r="G795" t="s">
        <v>290</v>
      </c>
      <c r="H795" t="s">
        <v>36</v>
      </c>
      <c r="I795" cm="1">
        <f t="array" ref="I795">IF(B795=0,INDEX('Category 14'!F:F,MATCH(C795&amp;E795&amp;D795,'Category 14'!B:B&amp;'Category 14'!C:C&amp;'Category 14'!A:A,0)),INDEX('Category 14'!G:G,MATCH(C795&amp;E795&amp;D795,'Category 14'!B:B&amp;'Category 14'!C:C&amp;'Category 14'!A:A,0)))</f>
        <v>0</v>
      </c>
      <c r="J795">
        <f>I795/VLOOKUP($D795,CPI!$P$16:$R$22,3,FALSE)</f>
        <v>0</v>
      </c>
      <c r="K795" cm="1">
        <f t="array" ref="K795">IF(B795=0,INDEX('Category 15'!F:F,MATCH(C795&amp;E795&amp;D795,'Category 15'!B:B&amp;'Category 15'!C:C&amp;'Category 15'!A:A,0)),INDEX('Category 15'!G:G,MATCH(C795&amp;E795&amp;D795,'Category 15'!B:B&amp;'Category 31'!C:C&amp;'Category 15'!A:A,0)))</f>
        <v>0</v>
      </c>
      <c r="L795">
        <f>K795/VLOOKUP($D795,CPI!$P$16:$R$22,3,FALSE)</f>
        <v>0</v>
      </c>
      <c r="M795" s="16" cm="1">
        <f t="array" ref="M795">IF(B795=0,INDEX('Category 31'!F:F,MATCH(C795&amp;E795&amp;D795,'Category 31'!B:B&amp;'Category 31'!C:C&amp;'Category 31'!A:A,0)),INDEX('Category 31'!G:G,MATCH(C795&amp;E795&amp;D795,'Category 31'!B:B&amp;'Category 31'!C:C&amp;'Category 31'!A:A,0)))</f>
        <v>5029</v>
      </c>
      <c r="N795" s="16">
        <f>M795/VLOOKUP($D795,CPI!$P$16:$R$22,3,FALSE)</f>
        <v>5950.6744008828573</v>
      </c>
      <c r="O795">
        <v>0</v>
      </c>
    </row>
    <row r="796" spans="1:15" ht="16" thickBot="1" x14ac:dyDescent="0.25">
      <c r="A796" s="15">
        <v>2</v>
      </c>
      <c r="B796">
        <f t="shared" si="12"/>
        <v>1</v>
      </c>
      <c r="C796">
        <f>IF(ISBLANK(H796),"",VLOOKUP(H796,Code!B:C,2,FALSE))</f>
        <v>23</v>
      </c>
      <c r="D796">
        <v>2019</v>
      </c>
      <c r="E796">
        <v>230782</v>
      </c>
      <c r="F796" t="s">
        <v>246</v>
      </c>
      <c r="G796" t="s">
        <v>290</v>
      </c>
      <c r="H796" t="s">
        <v>10</v>
      </c>
      <c r="I796" cm="1">
        <f t="array" ref="I796">IF(B796=0,INDEX('Category 14'!F:F,MATCH(C796&amp;E796&amp;D796,'Category 14'!B:B&amp;'Category 14'!C:C&amp;'Category 14'!A:A,0)),INDEX('Category 14'!G:G,MATCH(C796&amp;E796&amp;D796,'Category 14'!B:B&amp;'Category 14'!C:C&amp;'Category 14'!A:A,0)))</f>
        <v>0</v>
      </c>
      <c r="J796">
        <f>I796/VLOOKUP($D796,CPI!$P$16:$R$22,3,FALSE)</f>
        <v>0</v>
      </c>
      <c r="K796" cm="1">
        <f t="array" ref="K796">IF(B796=0,INDEX('Category 15'!F:F,MATCH(C796&amp;E796&amp;D796,'Category 15'!B:B&amp;'Category 15'!C:C&amp;'Category 15'!A:A,0)),INDEX('Category 15'!G:G,MATCH(C796&amp;E796&amp;D796,'Category 15'!B:B&amp;'Category 31'!C:C&amp;'Category 15'!A:A,0)))</f>
        <v>0</v>
      </c>
      <c r="L796">
        <f>K796/VLOOKUP($D796,CPI!$P$16:$R$22,3,FALSE)</f>
        <v>0</v>
      </c>
      <c r="M796" s="16" cm="1">
        <f t="array" ref="M796">IF(B796=0,INDEX('Category 31'!F:F,MATCH(C796&amp;E796&amp;D796,'Category 31'!B:B&amp;'Category 31'!C:C&amp;'Category 31'!A:A,0)),INDEX('Category 31'!G:G,MATCH(C796&amp;E796&amp;D796,'Category 31'!B:B&amp;'Category 31'!C:C&amp;'Category 31'!A:A,0)))</f>
        <v>0</v>
      </c>
      <c r="N796" s="16">
        <f>M796/VLOOKUP($D796,CPI!$P$16:$R$22,3,FALSE)</f>
        <v>0</v>
      </c>
      <c r="O796">
        <f>VLOOKUP(E796,WVolleyball!C:S,8,FALSE)</f>
        <v>5169</v>
      </c>
    </row>
    <row r="797" spans="1:15" ht="16" thickBot="1" x14ac:dyDescent="0.25">
      <c r="A797" s="15">
        <v>2</v>
      </c>
      <c r="B797">
        <f t="shared" si="12"/>
        <v>0</v>
      </c>
      <c r="C797">
        <f>IF(ISBLANK(H797),"",VLOOKUP(H797,Code!B:C,2,FALSE))</f>
        <v>2</v>
      </c>
      <c r="D797">
        <v>2020</v>
      </c>
      <c r="E797">
        <v>230782</v>
      </c>
      <c r="F797" t="s">
        <v>246</v>
      </c>
      <c r="G797" t="s">
        <v>289</v>
      </c>
      <c r="H797" t="s">
        <v>1</v>
      </c>
      <c r="I797" cm="1">
        <f t="array" ref="I797">IF(B797=0,INDEX('Category 14'!F:F,MATCH(C797&amp;E797&amp;D797,'Category 14'!B:B&amp;'Category 14'!C:C&amp;'Category 14'!A:A,0)),INDEX('Category 14'!G:G,MATCH(C797&amp;E797&amp;D797,'Category 14'!B:B&amp;'Category 14'!C:C&amp;'Category 14'!A:A,0)))</f>
        <v>0</v>
      </c>
      <c r="J797">
        <f>I797/VLOOKUP($D797,CPI!$P$16:$R$22,3,FALSE)</f>
        <v>0</v>
      </c>
      <c r="K797" cm="1">
        <f t="array" ref="K797">IF(B797=0,INDEX('Category 15'!F:F,MATCH(C797&amp;E797&amp;D797,'Category 15'!B:B&amp;'Category 15'!C:C&amp;'Category 15'!A:A,0)),INDEX('Category 15'!G:G,MATCH(C797&amp;E797&amp;D797,'Category 15'!B:B&amp;'Category 31'!C:C&amp;'Category 15'!A:A,0)))</f>
        <v>262056</v>
      </c>
      <c r="L797">
        <f>K797/VLOOKUP($D797,CPI!$P$16:$R$22,3,FALSE)</f>
        <v>305308.02545581775</v>
      </c>
      <c r="M797" s="16" cm="1">
        <f t="array" ref="M797">IF(B797=0,INDEX('Category 31'!F:F,MATCH(C797&amp;E797&amp;D797,'Category 31'!B:B&amp;'Category 31'!C:C&amp;'Category 31'!A:A,0)),INDEX('Category 31'!G:G,MATCH(C797&amp;E797&amp;D797,'Category 31'!B:B&amp;'Category 31'!C:C&amp;'Category 31'!A:A,0)))</f>
        <v>10055</v>
      </c>
      <c r="N797" s="16">
        <f>M797/VLOOKUP($D797,CPI!$P$16:$R$22,3,FALSE)</f>
        <v>11714.565573611166</v>
      </c>
      <c r="O797">
        <f>VLOOKUP(E797,MBasketball!C:S,9,FALSE)</f>
        <v>61610</v>
      </c>
    </row>
    <row r="798" spans="1:15" ht="16" thickBot="1" x14ac:dyDescent="0.25">
      <c r="A798" s="15">
        <v>2</v>
      </c>
      <c r="B798">
        <f t="shared" si="12"/>
        <v>0</v>
      </c>
      <c r="C798">
        <f>IF(ISBLANK(H798),"",VLOOKUP(H798,Code!B:C,2,FALSE))</f>
        <v>8</v>
      </c>
      <c r="D798">
        <v>2020</v>
      </c>
      <c r="E798">
        <v>230782</v>
      </c>
      <c r="F798" t="s">
        <v>246</v>
      </c>
      <c r="G798" t="s">
        <v>289</v>
      </c>
      <c r="H798" t="s">
        <v>2</v>
      </c>
      <c r="I798" cm="1">
        <f t="array" ref="I798">IF(B798=0,INDEX('Category 14'!F:F,MATCH(C798&amp;E798&amp;D798,'Category 14'!B:B&amp;'Category 14'!C:C&amp;'Category 14'!A:A,0)),INDEX('Category 14'!G:G,MATCH(C798&amp;E798&amp;D798,'Category 14'!B:B&amp;'Category 14'!C:C&amp;'Category 14'!A:A,0)))</f>
        <v>21160</v>
      </c>
      <c r="J798">
        <f>I798/VLOOKUP($D798,CPI!$P$16:$R$22,3,FALSE)</f>
        <v>24652.432375694905</v>
      </c>
      <c r="K798" cm="1">
        <f t="array" ref="K798">IF(B798=0,INDEX('Category 15'!F:F,MATCH(C798&amp;E798&amp;D798,'Category 15'!B:B&amp;'Category 15'!C:C&amp;'Category 15'!A:A,0)),INDEX('Category 15'!G:G,MATCH(C798&amp;E798&amp;D798,'Category 15'!B:B&amp;'Category 31'!C:C&amp;'Category 15'!A:A,0)))</f>
        <v>214410</v>
      </c>
      <c r="L798">
        <f>K798/VLOOKUP($D798,CPI!$P$16:$R$22,3,FALSE)</f>
        <v>249798.11085409945</v>
      </c>
      <c r="M798" s="16" cm="1">
        <f t="array" ref="M798">IF(B798=0,INDEX('Category 31'!F:F,MATCH(C798&amp;E798&amp;D798,'Category 31'!B:B&amp;'Category 31'!C:C&amp;'Category 31'!A:A,0)),INDEX('Category 31'!G:G,MATCH(C798&amp;E798&amp;D798,'Category 31'!B:B&amp;'Category 31'!C:C&amp;'Category 31'!A:A,0)))</f>
        <v>30308</v>
      </c>
      <c r="N798" s="16">
        <f>M798/VLOOKUP($D798,CPI!$P$16:$R$22,3,FALSE)</f>
        <v>35310.298697663573</v>
      </c>
      <c r="O798">
        <f>VLOOKUP(E798,MFootball!C:S,9,FALSE)</f>
        <v>59506</v>
      </c>
    </row>
    <row r="799" spans="1:15" ht="16" thickBot="1" x14ac:dyDescent="0.25">
      <c r="A799" s="15">
        <v>2</v>
      </c>
      <c r="B799">
        <f t="shared" si="12"/>
        <v>0</v>
      </c>
      <c r="C799">
        <f>IF(ISBLANK(H799),"",VLOOKUP(H799,Code!B:C,2,FALSE))</f>
        <v>9</v>
      </c>
      <c r="D799">
        <v>2020</v>
      </c>
      <c r="E799">
        <v>230782</v>
      </c>
      <c r="F799" t="s">
        <v>246</v>
      </c>
      <c r="G799" t="s">
        <v>289</v>
      </c>
      <c r="H799" t="s">
        <v>3</v>
      </c>
      <c r="I799" cm="1">
        <f t="array" ref="I799">IF(B799=0,INDEX('Category 14'!F:F,MATCH(C799&amp;E799&amp;D799,'Category 14'!B:B&amp;'Category 14'!C:C&amp;'Category 14'!A:A,0)),INDEX('Category 14'!G:G,MATCH(C799&amp;E799&amp;D799,'Category 14'!B:B&amp;'Category 14'!C:C&amp;'Category 14'!A:A,0)))</f>
        <v>0</v>
      </c>
      <c r="J799">
        <f>I799/VLOOKUP($D799,CPI!$P$16:$R$22,3,FALSE)</f>
        <v>0</v>
      </c>
      <c r="K799" cm="1">
        <f t="array" ref="K799">IF(B799=0,INDEX('Category 15'!F:F,MATCH(C799&amp;E799&amp;D799,'Category 15'!B:B&amp;'Category 15'!C:C&amp;'Category 15'!A:A,0)),INDEX('Category 15'!G:G,MATCH(C799&amp;E799&amp;D799,'Category 15'!B:B&amp;'Category 31'!C:C&amp;'Category 15'!A:A,0)))</f>
        <v>0</v>
      </c>
      <c r="L799">
        <f>K799/VLOOKUP($D799,CPI!$P$16:$R$22,3,FALSE)</f>
        <v>0</v>
      </c>
      <c r="M799" s="16" cm="1">
        <f t="array" ref="M799">IF(B799=0,INDEX('Category 31'!F:F,MATCH(C799&amp;E799&amp;D799,'Category 31'!B:B&amp;'Category 31'!C:C&amp;'Category 31'!A:A,0)),INDEX('Category 31'!G:G,MATCH(C799&amp;E799&amp;D799,'Category 31'!B:B&amp;'Category 31'!C:C&amp;'Category 31'!A:A,0)))</f>
        <v>3889</v>
      </c>
      <c r="N799" s="16">
        <f>M799/VLOOKUP($D799,CPI!$P$16:$R$22,3,FALSE)</f>
        <v>4530.874740504607</v>
      </c>
      <c r="O799">
        <v>0</v>
      </c>
    </row>
    <row r="800" spans="1:15" ht="16" thickBot="1" x14ac:dyDescent="0.25">
      <c r="A800" s="15">
        <v>2</v>
      </c>
      <c r="B800">
        <f t="shared" si="12"/>
        <v>0</v>
      </c>
      <c r="C800">
        <f>IF(ISBLANK(H800),"",VLOOKUP(H800,Code!B:C,2,FALSE))</f>
        <v>20</v>
      </c>
      <c r="D800">
        <v>2020</v>
      </c>
      <c r="E800">
        <v>230782</v>
      </c>
      <c r="F800" t="s">
        <v>246</v>
      </c>
      <c r="G800" t="s">
        <v>289</v>
      </c>
      <c r="H800" t="s">
        <v>8</v>
      </c>
      <c r="I800" cm="1">
        <f t="array" ref="I800">IF(B800=0,INDEX('Category 14'!F:F,MATCH(C800&amp;E800&amp;D800,'Category 14'!B:B&amp;'Category 14'!C:C&amp;'Category 14'!A:A,0)),INDEX('Category 14'!G:G,MATCH(C800&amp;E800&amp;D800,'Category 14'!B:B&amp;'Category 14'!C:C&amp;'Category 14'!A:A,0)))</f>
        <v>0</v>
      </c>
      <c r="J800">
        <f>I800/VLOOKUP($D800,CPI!$P$16:$R$22,3,FALSE)</f>
        <v>0</v>
      </c>
      <c r="K800" cm="1">
        <f t="array" ref="K800">IF(B800=0,INDEX('Category 15'!F:F,MATCH(C800&amp;E800&amp;D800,'Category 15'!B:B&amp;'Category 15'!C:C&amp;'Category 15'!A:A,0)),INDEX('Category 15'!G:G,MATCH(C800&amp;E800&amp;D800,'Category 15'!B:B&amp;'Category 31'!C:C&amp;'Category 15'!A:A,0)))</f>
        <v>0</v>
      </c>
      <c r="L800">
        <f>K800/VLOOKUP($D800,CPI!$P$16:$R$22,3,FALSE)</f>
        <v>0</v>
      </c>
      <c r="M800" s="16" cm="1">
        <f t="array" ref="M800">IF(B800=0,INDEX('Category 31'!F:F,MATCH(C800&amp;E800&amp;D800,'Category 31'!B:B&amp;'Category 31'!C:C&amp;'Category 31'!A:A,0)),INDEX('Category 31'!G:G,MATCH(C800&amp;E800&amp;D800,'Category 31'!B:B&amp;'Category 31'!C:C&amp;'Category 31'!A:A,0)))</f>
        <v>0</v>
      </c>
      <c r="N800" s="16">
        <f>M800/VLOOKUP($D800,CPI!$P$16:$R$22,3,FALSE)</f>
        <v>0</v>
      </c>
      <c r="O800">
        <v>0</v>
      </c>
    </row>
    <row r="801" spans="1:15" ht="16" thickBot="1" x14ac:dyDescent="0.25">
      <c r="A801" s="15">
        <v>2</v>
      </c>
      <c r="B801">
        <f t="shared" si="12"/>
        <v>0</v>
      </c>
      <c r="C801">
        <f>IF(ISBLANK(H801),"",VLOOKUP(H801,Code!B:C,2,FALSE))</f>
        <v>21</v>
      </c>
      <c r="D801">
        <v>2020</v>
      </c>
      <c r="E801">
        <v>230782</v>
      </c>
      <c r="F801" t="s">
        <v>246</v>
      </c>
      <c r="G801" t="s">
        <v>289</v>
      </c>
      <c r="H801" t="s">
        <v>36</v>
      </c>
      <c r="I801" cm="1">
        <f t="array" ref="I801">IF(B801=0,INDEX('Category 14'!F:F,MATCH(C801&amp;E801&amp;D801,'Category 14'!B:B&amp;'Category 14'!C:C&amp;'Category 14'!A:A,0)),INDEX('Category 14'!G:G,MATCH(C801&amp;E801&amp;D801,'Category 14'!B:B&amp;'Category 14'!C:C&amp;'Category 14'!A:A,0)))</f>
        <v>0</v>
      </c>
      <c r="J801">
        <f>I801/VLOOKUP($D801,CPI!$P$16:$R$22,3,FALSE)</f>
        <v>0</v>
      </c>
      <c r="K801" cm="1">
        <f t="array" ref="K801">IF(B801=0,INDEX('Category 15'!F:F,MATCH(C801&amp;E801&amp;D801,'Category 15'!B:B&amp;'Category 15'!C:C&amp;'Category 15'!A:A,0)),INDEX('Category 15'!G:G,MATCH(C801&amp;E801&amp;D801,'Category 15'!B:B&amp;'Category 31'!C:C&amp;'Category 15'!A:A,0)))</f>
        <v>0</v>
      </c>
      <c r="L801">
        <f>K801/VLOOKUP($D801,CPI!$P$16:$R$22,3,FALSE)</f>
        <v>0</v>
      </c>
      <c r="M801" s="16" cm="1">
        <f t="array" ref="M801">IF(B801=0,INDEX('Category 31'!F:F,MATCH(C801&amp;E801&amp;D801,'Category 31'!B:B&amp;'Category 31'!C:C&amp;'Category 31'!A:A,0)),INDEX('Category 31'!G:G,MATCH(C801&amp;E801&amp;D801,'Category 31'!B:B&amp;'Category 31'!C:C&amp;'Category 31'!A:A,0)))</f>
        <v>6459</v>
      </c>
      <c r="N801" s="16">
        <f>M801/VLOOKUP($D801,CPI!$P$16:$R$22,3,FALSE)</f>
        <v>7525.0501282898576</v>
      </c>
      <c r="O801">
        <v>0</v>
      </c>
    </row>
    <row r="802" spans="1:15" ht="16" thickBot="1" x14ac:dyDescent="0.25">
      <c r="A802" s="15">
        <v>2</v>
      </c>
      <c r="B802">
        <f t="shared" si="12"/>
        <v>1</v>
      </c>
      <c r="C802">
        <f>IF(ISBLANK(H802),"",VLOOKUP(H802,Code!B:C,2,FALSE))</f>
        <v>2</v>
      </c>
      <c r="D802">
        <v>2020</v>
      </c>
      <c r="E802">
        <v>230782</v>
      </c>
      <c r="F802" t="s">
        <v>246</v>
      </c>
      <c r="G802" t="s">
        <v>290</v>
      </c>
      <c r="H802" t="s">
        <v>1</v>
      </c>
      <c r="I802" cm="1">
        <f t="array" ref="I802">IF(B802=0,INDEX('Category 14'!F:F,MATCH(C802&amp;E802&amp;D802,'Category 14'!B:B&amp;'Category 14'!C:C&amp;'Category 14'!A:A,0)),INDEX('Category 14'!G:G,MATCH(C802&amp;E802&amp;D802,'Category 14'!B:B&amp;'Category 14'!C:C&amp;'Category 14'!A:A,0)))</f>
        <v>0</v>
      </c>
      <c r="J802">
        <f>I802/VLOOKUP($D802,CPI!$P$16:$R$22,3,FALSE)</f>
        <v>0</v>
      </c>
      <c r="K802" cm="1">
        <f t="array" ref="K802">IF(B802=0,INDEX('Category 15'!F:F,MATCH(C802&amp;E802&amp;D802,'Category 15'!B:B&amp;'Category 15'!C:C&amp;'Category 15'!A:A,0)),INDEX('Category 15'!G:G,MATCH(C802&amp;E802&amp;D802,'Category 15'!B:B&amp;'Category 31'!C:C&amp;'Category 15'!A:A,0)))</f>
        <v>0</v>
      </c>
      <c r="L802">
        <f>K802/VLOOKUP($D802,CPI!$P$16:$R$22,3,FALSE)</f>
        <v>0</v>
      </c>
      <c r="M802" s="16" cm="1">
        <f t="array" ref="M802">IF(B802=0,INDEX('Category 31'!F:F,MATCH(C802&amp;E802&amp;D802,'Category 31'!B:B&amp;'Category 31'!C:C&amp;'Category 31'!A:A,0)),INDEX('Category 31'!G:G,MATCH(C802&amp;E802&amp;D802,'Category 31'!B:B&amp;'Category 31'!C:C&amp;'Category 31'!A:A,0)))</f>
        <v>55</v>
      </c>
      <c r="N802" s="16">
        <f>M802/VLOOKUP($D802,CPI!$P$16:$R$22,3,FALSE)</f>
        <v>64.077683396182408</v>
      </c>
      <c r="O802">
        <f>VLOOKUP(E802,WBasketball!C:S,9,FALSE)</f>
        <v>7362</v>
      </c>
    </row>
    <row r="803" spans="1:15" ht="16" thickBot="1" x14ac:dyDescent="0.25">
      <c r="A803" s="15">
        <v>2</v>
      </c>
      <c r="B803">
        <f t="shared" si="12"/>
        <v>1</v>
      </c>
      <c r="C803">
        <f>IF(ISBLANK(H803),"",VLOOKUP(H803,Code!B:C,2,FALSE))</f>
        <v>9</v>
      </c>
      <c r="D803">
        <v>2020</v>
      </c>
      <c r="E803">
        <v>230782</v>
      </c>
      <c r="F803" t="s">
        <v>246</v>
      </c>
      <c r="G803" t="s">
        <v>290</v>
      </c>
      <c r="H803" t="s">
        <v>3</v>
      </c>
      <c r="I803" cm="1">
        <f t="array" ref="I803">IF(B803=0,INDEX('Category 14'!F:F,MATCH(C803&amp;E803&amp;D803,'Category 14'!B:B&amp;'Category 14'!C:C&amp;'Category 14'!A:A,0)),INDEX('Category 14'!G:G,MATCH(C803&amp;E803&amp;D803,'Category 14'!B:B&amp;'Category 14'!C:C&amp;'Category 14'!A:A,0)))</f>
        <v>0</v>
      </c>
      <c r="J803">
        <f>I803/VLOOKUP($D803,CPI!$P$16:$R$22,3,FALSE)</f>
        <v>0</v>
      </c>
      <c r="K803" cm="1">
        <f t="array" ref="K803">IF(B803=0,INDEX('Category 15'!F:F,MATCH(C803&amp;E803&amp;D803,'Category 15'!B:B&amp;'Category 15'!C:C&amp;'Category 15'!A:A,0)),INDEX('Category 15'!G:G,MATCH(C803&amp;E803&amp;D803,'Category 15'!B:B&amp;'Category 31'!C:C&amp;'Category 15'!A:A,0)))</f>
        <v>0</v>
      </c>
      <c r="L803">
        <f>K803/VLOOKUP($D803,CPI!$P$16:$R$22,3,FALSE)</f>
        <v>0</v>
      </c>
      <c r="M803" s="16" cm="1">
        <f t="array" ref="M803">IF(B803=0,INDEX('Category 31'!F:F,MATCH(C803&amp;E803&amp;D803,'Category 31'!B:B&amp;'Category 31'!C:C&amp;'Category 31'!A:A,0)),INDEX('Category 31'!G:G,MATCH(C803&amp;E803&amp;D803,'Category 31'!B:B&amp;'Category 31'!C:C&amp;'Category 31'!A:A,0)))</f>
        <v>4599</v>
      </c>
      <c r="N803" s="16">
        <f>M803/VLOOKUP($D803,CPI!$P$16:$R$22,3,FALSE)</f>
        <v>5358.0593807098712</v>
      </c>
      <c r="O803">
        <v>0</v>
      </c>
    </row>
    <row r="804" spans="1:15" ht="16" thickBot="1" x14ac:dyDescent="0.25">
      <c r="A804" s="15">
        <v>2</v>
      </c>
      <c r="B804">
        <f t="shared" si="12"/>
        <v>1</v>
      </c>
      <c r="C804">
        <f>IF(ISBLANK(H804),"",VLOOKUP(H804,Code!B:C,2,FALSE))</f>
        <v>17</v>
      </c>
      <c r="D804">
        <v>2020</v>
      </c>
      <c r="E804">
        <v>230782</v>
      </c>
      <c r="F804" t="s">
        <v>246</v>
      </c>
      <c r="G804" t="s">
        <v>290</v>
      </c>
      <c r="H804" t="s">
        <v>5</v>
      </c>
      <c r="I804" cm="1">
        <f t="array" ref="I804">IF(B804=0,INDEX('Category 14'!F:F,MATCH(C804&amp;E804&amp;D804,'Category 14'!B:B&amp;'Category 14'!C:C&amp;'Category 14'!A:A,0)),INDEX('Category 14'!G:G,MATCH(C804&amp;E804&amp;D804,'Category 14'!B:B&amp;'Category 14'!C:C&amp;'Category 14'!A:A,0)))</f>
        <v>0</v>
      </c>
      <c r="J804">
        <f>I804/VLOOKUP($D804,CPI!$P$16:$R$22,3,FALSE)</f>
        <v>0</v>
      </c>
      <c r="K804" cm="1">
        <f t="array" ref="K804">IF(B804=0,INDEX('Category 15'!F:F,MATCH(C804&amp;E804&amp;D804,'Category 15'!B:B&amp;'Category 15'!C:C&amp;'Category 15'!A:A,0)),INDEX('Category 15'!G:G,MATCH(C804&amp;E804&amp;D804,'Category 15'!B:B&amp;'Category 31'!C:C&amp;'Category 15'!A:A,0)))</f>
        <v>0</v>
      </c>
      <c r="L804">
        <f>K804/VLOOKUP($D804,CPI!$P$16:$R$22,3,FALSE)</f>
        <v>0</v>
      </c>
      <c r="M804" s="16" cm="1">
        <f t="array" ref="M804">IF(B804=0,INDEX('Category 31'!F:F,MATCH(C804&amp;E804&amp;D804,'Category 31'!B:B&amp;'Category 31'!C:C&amp;'Category 31'!A:A,0)),INDEX('Category 31'!G:G,MATCH(C804&amp;E804&amp;D804,'Category 31'!B:B&amp;'Category 31'!C:C&amp;'Category 31'!A:A,0)))</f>
        <v>548</v>
      </c>
      <c r="N804" s="16">
        <f>M804/VLOOKUP($D804,CPI!$P$16:$R$22,3,FALSE)</f>
        <v>638.44673638378106</v>
      </c>
      <c r="O804">
        <f>VLOOKUP(E804,WSoccer!C:S,9,FALSE)</f>
        <v>1146</v>
      </c>
    </row>
    <row r="805" spans="1:15" ht="16" thickBot="1" x14ac:dyDescent="0.25">
      <c r="A805" s="15">
        <v>2</v>
      </c>
      <c r="B805">
        <f t="shared" si="12"/>
        <v>1</v>
      </c>
      <c r="C805">
        <f>IF(ISBLANK(H805),"",VLOOKUP(H805,Code!B:C,2,FALSE))</f>
        <v>18</v>
      </c>
      <c r="D805">
        <v>2020</v>
      </c>
      <c r="E805">
        <v>230782</v>
      </c>
      <c r="F805" t="s">
        <v>246</v>
      </c>
      <c r="G805" t="s">
        <v>290</v>
      </c>
      <c r="H805" t="s">
        <v>6</v>
      </c>
      <c r="I805" cm="1">
        <f t="array" ref="I805">IF(B805=0,INDEX('Category 14'!F:F,MATCH(C805&amp;E805&amp;D805,'Category 14'!B:B&amp;'Category 14'!C:C&amp;'Category 14'!A:A,0)),INDEX('Category 14'!G:G,MATCH(C805&amp;E805&amp;D805,'Category 14'!B:B&amp;'Category 14'!C:C&amp;'Category 14'!A:A,0)))</f>
        <v>0</v>
      </c>
      <c r="J805">
        <f>I805/VLOOKUP($D805,CPI!$P$16:$R$22,3,FALSE)</f>
        <v>0</v>
      </c>
      <c r="K805" cm="1">
        <f t="array" ref="K805">IF(B805=0,INDEX('Category 15'!F:F,MATCH(C805&amp;E805&amp;D805,'Category 15'!B:B&amp;'Category 15'!C:C&amp;'Category 15'!A:A,0)),INDEX('Category 15'!G:G,MATCH(C805&amp;E805&amp;D805,'Category 15'!B:B&amp;'Category 31'!C:C&amp;'Category 15'!A:A,0)))</f>
        <v>0</v>
      </c>
      <c r="L805">
        <f>K805/VLOOKUP($D805,CPI!$P$16:$R$22,3,FALSE)</f>
        <v>0</v>
      </c>
      <c r="M805" s="16" cm="1">
        <f t="array" ref="M805">IF(B805=0,INDEX('Category 31'!F:F,MATCH(C805&amp;E805&amp;D805,'Category 31'!B:B&amp;'Category 31'!C:C&amp;'Category 31'!A:A,0)),INDEX('Category 31'!G:G,MATCH(C805&amp;E805&amp;D805,'Category 31'!B:B&amp;'Category 31'!C:C&amp;'Category 31'!A:A,0)))</f>
        <v>18015</v>
      </c>
      <c r="N805" s="16">
        <f>M805/VLOOKUP($D805,CPI!$P$16:$R$22,3,FALSE)</f>
        <v>20988.353934222294</v>
      </c>
      <c r="O805">
        <f>VLOOKUP(E805,WSoftball!C:S,9,FALSE)</f>
        <v>0</v>
      </c>
    </row>
    <row r="806" spans="1:15" ht="16" thickBot="1" x14ac:dyDescent="0.25">
      <c r="A806" s="15">
        <v>2</v>
      </c>
      <c r="B806">
        <f t="shared" si="12"/>
        <v>1</v>
      </c>
      <c r="C806">
        <f>IF(ISBLANK(H806),"",VLOOKUP(H806,Code!B:C,2,FALSE))</f>
        <v>20</v>
      </c>
      <c r="D806">
        <v>2020</v>
      </c>
      <c r="E806">
        <v>230782</v>
      </c>
      <c r="F806" t="s">
        <v>246</v>
      </c>
      <c r="G806" t="s">
        <v>290</v>
      </c>
      <c r="H806" t="s">
        <v>8</v>
      </c>
      <c r="I806" cm="1">
        <f t="array" ref="I806">IF(B806=0,INDEX('Category 14'!F:F,MATCH(C806&amp;E806&amp;D806,'Category 14'!B:B&amp;'Category 14'!C:C&amp;'Category 14'!A:A,0)),INDEX('Category 14'!G:G,MATCH(C806&amp;E806&amp;D806,'Category 14'!B:B&amp;'Category 14'!C:C&amp;'Category 14'!A:A,0)))</f>
        <v>0</v>
      </c>
      <c r="J806">
        <f>I806/VLOOKUP($D806,CPI!$P$16:$R$22,3,FALSE)</f>
        <v>0</v>
      </c>
      <c r="K806" cm="1">
        <f t="array" ref="K806">IF(B806=0,INDEX('Category 15'!F:F,MATCH(C806&amp;E806&amp;D806,'Category 15'!B:B&amp;'Category 15'!C:C&amp;'Category 15'!A:A,0)),INDEX('Category 15'!G:G,MATCH(C806&amp;E806&amp;D806,'Category 15'!B:B&amp;'Category 31'!C:C&amp;'Category 15'!A:A,0)))</f>
        <v>0</v>
      </c>
      <c r="L806">
        <f>K806/VLOOKUP($D806,CPI!$P$16:$R$22,3,FALSE)</f>
        <v>0</v>
      </c>
      <c r="M806" s="16" cm="1">
        <f t="array" ref="M806">IF(B806=0,INDEX('Category 31'!F:F,MATCH(C806&amp;E806&amp;D806,'Category 31'!B:B&amp;'Category 31'!C:C&amp;'Category 31'!A:A,0)),INDEX('Category 31'!G:G,MATCH(C806&amp;E806&amp;D806,'Category 31'!B:B&amp;'Category 31'!C:C&amp;'Category 31'!A:A,0)))</f>
        <v>0</v>
      </c>
      <c r="N806" s="16">
        <f>M806/VLOOKUP($D806,CPI!$P$16:$R$22,3,FALSE)</f>
        <v>0</v>
      </c>
      <c r="O806">
        <v>0</v>
      </c>
    </row>
    <row r="807" spans="1:15" ht="16" thickBot="1" x14ac:dyDescent="0.25">
      <c r="A807" s="15">
        <v>2</v>
      </c>
      <c r="B807">
        <f t="shared" si="12"/>
        <v>1</v>
      </c>
      <c r="C807">
        <f>IF(ISBLANK(H807),"",VLOOKUP(H807,Code!B:C,2,FALSE))</f>
        <v>21</v>
      </c>
      <c r="D807">
        <v>2020</v>
      </c>
      <c r="E807">
        <v>230782</v>
      </c>
      <c r="F807" t="s">
        <v>246</v>
      </c>
      <c r="G807" t="s">
        <v>290</v>
      </c>
      <c r="H807" t="s">
        <v>36</v>
      </c>
      <c r="I807" cm="1">
        <f t="array" ref="I807">IF(B807=0,INDEX('Category 14'!F:F,MATCH(C807&amp;E807&amp;D807,'Category 14'!B:B&amp;'Category 14'!C:C&amp;'Category 14'!A:A,0)),INDEX('Category 14'!G:G,MATCH(C807&amp;E807&amp;D807,'Category 14'!B:B&amp;'Category 14'!C:C&amp;'Category 14'!A:A,0)))</f>
        <v>0</v>
      </c>
      <c r="J807">
        <f>I807/VLOOKUP($D807,CPI!$P$16:$R$22,3,FALSE)</f>
        <v>0</v>
      </c>
      <c r="K807" cm="1">
        <f t="array" ref="K807">IF(B807=0,INDEX('Category 15'!F:F,MATCH(C807&amp;E807&amp;D807,'Category 15'!B:B&amp;'Category 15'!C:C&amp;'Category 15'!A:A,0)),INDEX('Category 15'!G:G,MATCH(C807&amp;E807&amp;D807,'Category 15'!B:B&amp;'Category 31'!C:C&amp;'Category 15'!A:A,0)))</f>
        <v>0</v>
      </c>
      <c r="L807">
        <f>K807/VLOOKUP($D807,CPI!$P$16:$R$22,3,FALSE)</f>
        <v>0</v>
      </c>
      <c r="M807" s="16" cm="1">
        <f t="array" ref="M807">IF(B807=0,INDEX('Category 31'!F:F,MATCH(C807&amp;E807&amp;D807,'Category 31'!B:B&amp;'Category 31'!C:C&amp;'Category 31'!A:A,0)),INDEX('Category 31'!G:G,MATCH(C807&amp;E807&amp;D807,'Category 31'!B:B&amp;'Category 31'!C:C&amp;'Category 31'!A:A,0)))</f>
        <v>6459</v>
      </c>
      <c r="N807" s="16">
        <f>M807/VLOOKUP($D807,CPI!$P$16:$R$22,3,FALSE)</f>
        <v>7525.0501282898576</v>
      </c>
      <c r="O807">
        <v>0</v>
      </c>
    </row>
    <row r="808" spans="1:15" ht="16" thickBot="1" x14ac:dyDescent="0.25">
      <c r="A808" s="15">
        <v>2</v>
      </c>
      <c r="B808">
        <f t="shared" si="12"/>
        <v>1</v>
      </c>
      <c r="C808">
        <f>IF(ISBLANK(H808),"",VLOOKUP(H808,Code!B:C,2,FALSE))</f>
        <v>23</v>
      </c>
      <c r="D808">
        <v>2020</v>
      </c>
      <c r="E808">
        <v>230782</v>
      </c>
      <c r="F808" t="s">
        <v>246</v>
      </c>
      <c r="G808" t="s">
        <v>290</v>
      </c>
      <c r="H808" t="s">
        <v>10</v>
      </c>
      <c r="I808" cm="1">
        <f t="array" ref="I808">IF(B808=0,INDEX('Category 14'!F:F,MATCH(C808&amp;E808&amp;D808,'Category 14'!B:B&amp;'Category 14'!C:C&amp;'Category 14'!A:A,0)),INDEX('Category 14'!G:G,MATCH(C808&amp;E808&amp;D808,'Category 14'!B:B&amp;'Category 14'!C:C&amp;'Category 14'!A:A,0)))</f>
        <v>0</v>
      </c>
      <c r="J808">
        <f>I808/VLOOKUP($D808,CPI!$P$16:$R$22,3,FALSE)</f>
        <v>0</v>
      </c>
      <c r="K808" cm="1">
        <f t="array" ref="K808">IF(B808=0,INDEX('Category 15'!F:F,MATCH(C808&amp;E808&amp;D808,'Category 15'!B:B&amp;'Category 15'!C:C&amp;'Category 15'!A:A,0)),INDEX('Category 15'!G:G,MATCH(C808&amp;E808&amp;D808,'Category 15'!B:B&amp;'Category 31'!C:C&amp;'Category 15'!A:A,0)))</f>
        <v>0</v>
      </c>
      <c r="L808">
        <f>K808/VLOOKUP($D808,CPI!$P$16:$R$22,3,FALSE)</f>
        <v>0</v>
      </c>
      <c r="M808" s="16" cm="1">
        <f t="array" ref="M808">IF(B808=0,INDEX('Category 31'!F:F,MATCH(C808&amp;E808&amp;D808,'Category 31'!B:B&amp;'Category 31'!C:C&amp;'Category 31'!A:A,0)),INDEX('Category 31'!G:G,MATCH(C808&amp;E808&amp;D808,'Category 31'!B:B&amp;'Category 31'!C:C&amp;'Category 31'!A:A,0)))</f>
        <v>0</v>
      </c>
      <c r="N808" s="16">
        <f>M808/VLOOKUP($D808,CPI!$P$16:$R$22,3,FALSE)</f>
        <v>0</v>
      </c>
      <c r="O808">
        <f>VLOOKUP(E808,WVolleyball!C:S,9,FALSE)</f>
        <v>3803</v>
      </c>
    </row>
    <row r="809" spans="1:15" ht="16" thickBot="1" x14ac:dyDescent="0.25">
      <c r="A809" s="15">
        <v>2</v>
      </c>
      <c r="B809">
        <f t="shared" si="12"/>
        <v>0</v>
      </c>
      <c r="C809">
        <f>IF(ISBLANK(H809),"",VLOOKUP(H809,Code!B:C,2,FALSE))</f>
        <v>2</v>
      </c>
      <c r="D809">
        <v>2021</v>
      </c>
      <c r="E809">
        <v>230782</v>
      </c>
      <c r="F809" t="s">
        <v>246</v>
      </c>
      <c r="G809" t="s">
        <v>289</v>
      </c>
      <c r="H809" t="s">
        <v>1</v>
      </c>
      <c r="I809" cm="1">
        <f t="array" ref="I809">IF(B809=0,INDEX('Category 14'!F:F,MATCH(C809&amp;E809&amp;D809,'Category 14'!B:B&amp;'Category 14'!C:C&amp;'Category 14'!A:A,0)),INDEX('Category 14'!G:G,MATCH(C809&amp;E809&amp;D809,'Category 14'!B:B&amp;'Category 14'!C:C&amp;'Category 14'!A:A,0)))</f>
        <v>0</v>
      </c>
      <c r="J809">
        <f>I809/VLOOKUP($D809,CPI!$P$16:$R$22,3,FALSE)</f>
        <v>0</v>
      </c>
      <c r="K809" cm="1">
        <f t="array" ref="K809">IF(B809=0,INDEX('Category 15'!F:F,MATCH(C809&amp;E809&amp;D809,'Category 15'!B:B&amp;'Category 15'!C:C&amp;'Category 15'!A:A,0)),INDEX('Category 15'!G:G,MATCH(C809&amp;E809&amp;D809,'Category 15'!B:B&amp;'Category 31'!C:C&amp;'Category 15'!A:A,0)))</f>
        <v>88013</v>
      </c>
      <c r="L809">
        <f>K809/VLOOKUP($D809,CPI!$P$16:$R$22,3,FALSE)</f>
        <v>100232.45219560673</v>
      </c>
      <c r="M809" s="16" cm="1">
        <f t="array" ref="M809">IF(B809=0,INDEX('Category 31'!F:F,MATCH(C809&amp;E809&amp;D809,'Category 31'!B:B&amp;'Category 31'!C:C&amp;'Category 31'!A:A,0)),INDEX('Category 31'!G:G,MATCH(C809&amp;E809&amp;D809,'Category 31'!B:B&amp;'Category 31'!C:C&amp;'Category 31'!A:A,0)))</f>
        <v>0</v>
      </c>
      <c r="N809" s="16">
        <f>M809/VLOOKUP($D809,CPI!$P$16:$R$22,3,FALSE)</f>
        <v>0</v>
      </c>
      <c r="O809">
        <f>VLOOKUP(E809,MBasketball!C:S,10,FALSE)</f>
        <v>4647</v>
      </c>
    </row>
    <row r="810" spans="1:15" ht="16" thickBot="1" x14ac:dyDescent="0.25">
      <c r="A810" s="15">
        <v>2</v>
      </c>
      <c r="B810">
        <f t="shared" si="12"/>
        <v>0</v>
      </c>
      <c r="C810">
        <f>IF(ISBLANK(H810),"",VLOOKUP(H810,Code!B:C,2,FALSE))</f>
        <v>8</v>
      </c>
      <c r="D810">
        <v>2021</v>
      </c>
      <c r="E810">
        <v>230782</v>
      </c>
      <c r="F810" t="s">
        <v>246</v>
      </c>
      <c r="G810" t="s">
        <v>289</v>
      </c>
      <c r="H810" t="s">
        <v>2</v>
      </c>
      <c r="I810" cm="1">
        <f t="array" ref="I810">IF(B810=0,INDEX('Category 14'!F:F,MATCH(C810&amp;E810&amp;D810,'Category 14'!B:B&amp;'Category 14'!C:C&amp;'Category 14'!A:A,0)),INDEX('Category 14'!G:G,MATCH(C810&amp;E810&amp;D810,'Category 14'!B:B&amp;'Category 14'!C:C&amp;'Category 14'!A:A,0)))</f>
        <v>9626</v>
      </c>
      <c r="J810">
        <f>I810/VLOOKUP($D810,CPI!$P$16:$R$22,3,FALSE)</f>
        <v>10962.444012076743</v>
      </c>
      <c r="K810" cm="1">
        <f t="array" ref="K810">IF(B810=0,INDEX('Category 15'!F:F,MATCH(C810&amp;E810&amp;D810,'Category 15'!B:B&amp;'Category 15'!C:C&amp;'Category 15'!A:A,0)),INDEX('Category 15'!G:G,MATCH(C810&amp;E810&amp;D810,'Category 15'!B:B&amp;'Category 31'!C:C&amp;'Category 15'!A:A,0)))</f>
        <v>72010</v>
      </c>
      <c r="L810">
        <f>K810/VLOOKUP($D810,CPI!$P$16:$R$22,3,FALSE)</f>
        <v>82007.645263831946</v>
      </c>
      <c r="M810" s="16" cm="1">
        <f t="array" ref="M810">IF(B810=0,INDEX('Category 31'!F:F,MATCH(C810&amp;E810&amp;D810,'Category 31'!B:B&amp;'Category 31'!C:C&amp;'Category 31'!A:A,0)),INDEX('Category 31'!G:G,MATCH(C810&amp;E810&amp;D810,'Category 31'!B:B&amp;'Category 31'!C:C&amp;'Category 31'!A:A,0)))</f>
        <v>21517</v>
      </c>
      <c r="N810" s="16">
        <f>M810/VLOOKUP($D810,CPI!$P$16:$R$22,3,FALSE)</f>
        <v>24504.353605636326</v>
      </c>
      <c r="O810">
        <f>VLOOKUP(E810,MFootball!C:S,10,FALSE)</f>
        <v>17359</v>
      </c>
    </row>
    <row r="811" spans="1:15" ht="16" thickBot="1" x14ac:dyDescent="0.25">
      <c r="A811" s="15">
        <v>2</v>
      </c>
      <c r="B811">
        <f t="shared" si="12"/>
        <v>0</v>
      </c>
      <c r="C811">
        <f>IF(ISBLANK(H811),"",VLOOKUP(H811,Code!B:C,2,FALSE))</f>
        <v>9</v>
      </c>
      <c r="D811">
        <v>2021</v>
      </c>
      <c r="E811">
        <v>230782</v>
      </c>
      <c r="F811" t="s">
        <v>246</v>
      </c>
      <c r="G811" t="s">
        <v>289</v>
      </c>
      <c r="H811" t="s">
        <v>3</v>
      </c>
      <c r="I811" cm="1">
        <f t="array" ref="I811">IF(B811=0,INDEX('Category 14'!F:F,MATCH(C811&amp;E811&amp;D811,'Category 14'!B:B&amp;'Category 14'!C:C&amp;'Category 14'!A:A,0)),INDEX('Category 14'!G:G,MATCH(C811&amp;E811&amp;D811,'Category 14'!B:B&amp;'Category 14'!C:C&amp;'Category 14'!A:A,0)))</f>
        <v>0</v>
      </c>
      <c r="J811">
        <f>I811/VLOOKUP($D811,CPI!$P$16:$R$22,3,FALSE)</f>
        <v>0</v>
      </c>
      <c r="K811" cm="1">
        <f t="array" ref="K811">IF(B811=0,INDEX('Category 15'!F:F,MATCH(C811&amp;E811&amp;D811,'Category 15'!B:B&amp;'Category 15'!C:C&amp;'Category 15'!A:A,0)),INDEX('Category 15'!G:G,MATCH(C811&amp;E811&amp;D811,'Category 15'!B:B&amp;'Category 31'!C:C&amp;'Category 15'!A:A,0)))</f>
        <v>0</v>
      </c>
      <c r="L811">
        <f>K811/VLOOKUP($D811,CPI!$P$16:$R$22,3,FALSE)</f>
        <v>0</v>
      </c>
      <c r="M811" s="16" cm="1">
        <f t="array" ref="M811">IF(B811=0,INDEX('Category 31'!F:F,MATCH(C811&amp;E811&amp;D811,'Category 31'!B:B&amp;'Category 31'!C:C&amp;'Category 31'!A:A,0)),INDEX('Category 31'!G:G,MATCH(C811&amp;E811&amp;D811,'Category 31'!B:B&amp;'Category 31'!C:C&amp;'Category 31'!A:A,0)))</f>
        <v>0</v>
      </c>
      <c r="N811" s="16">
        <f>M811/VLOOKUP($D811,CPI!$P$16:$R$22,3,FALSE)</f>
        <v>0</v>
      </c>
      <c r="O811">
        <v>0</v>
      </c>
    </row>
    <row r="812" spans="1:15" ht="16" thickBot="1" x14ac:dyDescent="0.25">
      <c r="A812" s="15">
        <v>2</v>
      </c>
      <c r="B812">
        <f t="shared" si="12"/>
        <v>0</v>
      </c>
      <c r="C812">
        <f>IF(ISBLANK(H812),"",VLOOKUP(H812,Code!B:C,2,FALSE))</f>
        <v>20</v>
      </c>
      <c r="D812">
        <v>2021</v>
      </c>
      <c r="E812">
        <v>230782</v>
      </c>
      <c r="F812" t="s">
        <v>246</v>
      </c>
      <c r="G812" t="s">
        <v>289</v>
      </c>
      <c r="H812" t="s">
        <v>8</v>
      </c>
      <c r="I812" cm="1">
        <f t="array" ref="I812">IF(B812=0,INDEX('Category 14'!F:F,MATCH(C812&amp;E812&amp;D812,'Category 14'!B:B&amp;'Category 14'!C:C&amp;'Category 14'!A:A,0)),INDEX('Category 14'!G:G,MATCH(C812&amp;E812&amp;D812,'Category 14'!B:B&amp;'Category 14'!C:C&amp;'Category 14'!A:A,0)))</f>
        <v>0</v>
      </c>
      <c r="J812">
        <f>I812/VLOOKUP($D812,CPI!$P$16:$R$22,3,FALSE)</f>
        <v>0</v>
      </c>
      <c r="K812" cm="1">
        <f t="array" ref="K812">IF(B812=0,INDEX('Category 15'!F:F,MATCH(C812&amp;E812&amp;D812,'Category 15'!B:B&amp;'Category 15'!C:C&amp;'Category 15'!A:A,0)),INDEX('Category 15'!G:G,MATCH(C812&amp;E812&amp;D812,'Category 15'!B:B&amp;'Category 31'!C:C&amp;'Category 15'!A:A,0)))</f>
        <v>0</v>
      </c>
      <c r="L812">
        <f>K812/VLOOKUP($D812,CPI!$P$16:$R$22,3,FALSE)</f>
        <v>0</v>
      </c>
      <c r="M812" s="16" cm="1">
        <f t="array" ref="M812">IF(B812=0,INDEX('Category 31'!F:F,MATCH(C812&amp;E812&amp;D812,'Category 31'!B:B&amp;'Category 31'!C:C&amp;'Category 31'!A:A,0)),INDEX('Category 31'!G:G,MATCH(C812&amp;E812&amp;D812,'Category 31'!B:B&amp;'Category 31'!C:C&amp;'Category 31'!A:A,0)))</f>
        <v>0</v>
      </c>
      <c r="N812" s="16">
        <f>M812/VLOOKUP($D812,CPI!$P$16:$R$22,3,FALSE)</f>
        <v>0</v>
      </c>
      <c r="O812">
        <v>0</v>
      </c>
    </row>
    <row r="813" spans="1:15" ht="16" thickBot="1" x14ac:dyDescent="0.25">
      <c r="A813" s="15">
        <v>2</v>
      </c>
      <c r="B813">
        <f t="shared" si="12"/>
        <v>0</v>
      </c>
      <c r="C813">
        <f>IF(ISBLANK(H813),"",VLOOKUP(H813,Code!B:C,2,FALSE))</f>
        <v>21</v>
      </c>
      <c r="D813">
        <v>2021</v>
      </c>
      <c r="E813">
        <v>230782</v>
      </c>
      <c r="F813" t="s">
        <v>246</v>
      </c>
      <c r="G813" t="s">
        <v>289</v>
      </c>
      <c r="H813" t="s">
        <v>36</v>
      </c>
      <c r="I813" cm="1">
        <f t="array" ref="I813">IF(B813=0,INDEX('Category 14'!F:F,MATCH(C813&amp;E813&amp;D813,'Category 14'!B:B&amp;'Category 14'!C:C&amp;'Category 14'!A:A,0)),INDEX('Category 14'!G:G,MATCH(C813&amp;E813&amp;D813,'Category 14'!B:B&amp;'Category 14'!C:C&amp;'Category 14'!A:A,0)))</f>
        <v>0</v>
      </c>
      <c r="J813">
        <f>I813/VLOOKUP($D813,CPI!$P$16:$R$22,3,FALSE)</f>
        <v>0</v>
      </c>
      <c r="K813" cm="1">
        <f t="array" ref="K813">IF(B813=0,INDEX('Category 15'!F:F,MATCH(C813&amp;E813&amp;D813,'Category 15'!B:B&amp;'Category 15'!C:C&amp;'Category 15'!A:A,0)),INDEX('Category 15'!G:G,MATCH(C813&amp;E813&amp;D813,'Category 15'!B:B&amp;'Category 31'!C:C&amp;'Category 15'!A:A,0)))</f>
        <v>0</v>
      </c>
      <c r="L813">
        <f>K813/VLOOKUP($D813,CPI!$P$16:$R$22,3,FALSE)</f>
        <v>0</v>
      </c>
      <c r="M813" s="16" cm="1">
        <f t="array" ref="M813">IF(B813=0,INDEX('Category 31'!F:F,MATCH(C813&amp;E813&amp;D813,'Category 31'!B:B&amp;'Category 31'!C:C&amp;'Category 31'!A:A,0)),INDEX('Category 31'!G:G,MATCH(C813&amp;E813&amp;D813,'Category 31'!B:B&amp;'Category 31'!C:C&amp;'Category 31'!A:A,0)))</f>
        <v>75</v>
      </c>
      <c r="N813" s="16">
        <f>M813/VLOOKUP($D813,CPI!$P$16:$R$22,3,FALSE)</f>
        <v>85.412767598769548</v>
      </c>
      <c r="O813">
        <v>0</v>
      </c>
    </row>
    <row r="814" spans="1:15" ht="16" thickBot="1" x14ac:dyDescent="0.25">
      <c r="A814" s="15">
        <v>2</v>
      </c>
      <c r="B814">
        <f t="shared" si="12"/>
        <v>1</v>
      </c>
      <c r="C814">
        <f>IF(ISBLANK(H814),"",VLOOKUP(H814,Code!B:C,2,FALSE))</f>
        <v>2</v>
      </c>
      <c r="D814">
        <v>2021</v>
      </c>
      <c r="E814">
        <v>230782</v>
      </c>
      <c r="F814" t="s">
        <v>246</v>
      </c>
      <c r="G814" t="s">
        <v>290</v>
      </c>
      <c r="H814" t="s">
        <v>1</v>
      </c>
      <c r="I814" cm="1">
        <f t="array" ref="I814">IF(B814=0,INDEX('Category 14'!F:F,MATCH(C814&amp;E814&amp;D814,'Category 14'!B:B&amp;'Category 14'!C:C&amp;'Category 14'!A:A,0)),INDEX('Category 14'!G:G,MATCH(C814&amp;E814&amp;D814,'Category 14'!B:B&amp;'Category 14'!C:C&amp;'Category 14'!A:A,0)))</f>
        <v>0</v>
      </c>
      <c r="J814">
        <f>I814/VLOOKUP($D814,CPI!$P$16:$R$22,3,FALSE)</f>
        <v>0</v>
      </c>
      <c r="K814" cm="1">
        <f t="array" ref="K814">IF(B814=0,INDEX('Category 15'!F:F,MATCH(C814&amp;E814&amp;D814,'Category 15'!B:B&amp;'Category 15'!C:C&amp;'Category 15'!A:A,0)),INDEX('Category 15'!G:G,MATCH(C814&amp;E814&amp;D814,'Category 15'!B:B&amp;'Category 31'!C:C&amp;'Category 15'!A:A,0)))</f>
        <v>0</v>
      </c>
      <c r="L814">
        <f>K814/VLOOKUP($D814,CPI!$P$16:$R$22,3,FALSE)</f>
        <v>0</v>
      </c>
      <c r="M814" s="16" cm="1">
        <f t="array" ref="M814">IF(B814=0,INDEX('Category 31'!F:F,MATCH(C814&amp;E814&amp;D814,'Category 31'!B:B&amp;'Category 31'!C:C&amp;'Category 31'!A:A,0)),INDEX('Category 31'!G:G,MATCH(C814&amp;E814&amp;D814,'Category 31'!B:B&amp;'Category 31'!C:C&amp;'Category 31'!A:A,0)))</f>
        <v>0</v>
      </c>
      <c r="N814" s="16">
        <f>M814/VLOOKUP($D814,CPI!$P$16:$R$22,3,FALSE)</f>
        <v>0</v>
      </c>
      <c r="O814">
        <f>VLOOKUP(E814,WBasketball!C:S,10,FALSE)</f>
        <v>396</v>
      </c>
    </row>
    <row r="815" spans="1:15" ht="16" thickBot="1" x14ac:dyDescent="0.25">
      <c r="A815" s="15">
        <v>2</v>
      </c>
      <c r="B815">
        <f t="shared" si="12"/>
        <v>1</v>
      </c>
      <c r="C815">
        <f>IF(ISBLANK(H815),"",VLOOKUP(H815,Code!B:C,2,FALSE))</f>
        <v>9</v>
      </c>
      <c r="D815">
        <v>2021</v>
      </c>
      <c r="E815">
        <v>230782</v>
      </c>
      <c r="F815" t="s">
        <v>246</v>
      </c>
      <c r="G815" t="s">
        <v>290</v>
      </c>
      <c r="H815" t="s">
        <v>3</v>
      </c>
      <c r="I815" cm="1">
        <f t="array" ref="I815">IF(B815=0,INDEX('Category 14'!F:F,MATCH(C815&amp;E815&amp;D815,'Category 14'!B:B&amp;'Category 14'!C:C&amp;'Category 14'!A:A,0)),INDEX('Category 14'!G:G,MATCH(C815&amp;E815&amp;D815,'Category 14'!B:B&amp;'Category 14'!C:C&amp;'Category 14'!A:A,0)))</f>
        <v>0</v>
      </c>
      <c r="J815">
        <f>I815/VLOOKUP($D815,CPI!$P$16:$R$22,3,FALSE)</f>
        <v>0</v>
      </c>
      <c r="K815" cm="1">
        <f t="array" ref="K815">IF(B815=0,INDEX('Category 15'!F:F,MATCH(C815&amp;E815&amp;D815,'Category 15'!B:B&amp;'Category 15'!C:C&amp;'Category 15'!A:A,0)),INDEX('Category 15'!G:G,MATCH(C815&amp;E815&amp;D815,'Category 15'!B:B&amp;'Category 31'!C:C&amp;'Category 15'!A:A,0)))</f>
        <v>0</v>
      </c>
      <c r="L815">
        <f>K815/VLOOKUP($D815,CPI!$P$16:$R$22,3,FALSE)</f>
        <v>0</v>
      </c>
      <c r="M815" s="16" cm="1">
        <f t="array" ref="M815">IF(B815=0,INDEX('Category 31'!F:F,MATCH(C815&amp;E815&amp;D815,'Category 31'!B:B&amp;'Category 31'!C:C&amp;'Category 31'!A:A,0)),INDEX('Category 31'!G:G,MATCH(C815&amp;E815&amp;D815,'Category 31'!B:B&amp;'Category 31'!C:C&amp;'Category 31'!A:A,0)))</f>
        <v>0</v>
      </c>
      <c r="N815" s="16">
        <f>M815/VLOOKUP($D815,CPI!$P$16:$R$22,3,FALSE)</f>
        <v>0</v>
      </c>
      <c r="O815">
        <v>0</v>
      </c>
    </row>
    <row r="816" spans="1:15" ht="16" thickBot="1" x14ac:dyDescent="0.25">
      <c r="A816" s="15">
        <v>2</v>
      </c>
      <c r="B816">
        <f t="shared" si="12"/>
        <v>1</v>
      </c>
      <c r="C816">
        <f>IF(ISBLANK(H816),"",VLOOKUP(H816,Code!B:C,2,FALSE))</f>
        <v>17</v>
      </c>
      <c r="D816">
        <v>2021</v>
      </c>
      <c r="E816">
        <v>230782</v>
      </c>
      <c r="F816" t="s">
        <v>246</v>
      </c>
      <c r="G816" t="s">
        <v>290</v>
      </c>
      <c r="H816" t="s">
        <v>5</v>
      </c>
      <c r="I816" cm="1">
        <f t="array" ref="I816">IF(B816=0,INDEX('Category 14'!F:F,MATCH(C816&amp;E816&amp;D816,'Category 14'!B:B&amp;'Category 14'!C:C&amp;'Category 14'!A:A,0)),INDEX('Category 14'!G:G,MATCH(C816&amp;E816&amp;D816,'Category 14'!B:B&amp;'Category 14'!C:C&amp;'Category 14'!A:A,0)))</f>
        <v>0</v>
      </c>
      <c r="J816">
        <f>I816/VLOOKUP($D816,CPI!$P$16:$R$22,3,FALSE)</f>
        <v>0</v>
      </c>
      <c r="K816" cm="1">
        <f t="array" ref="K816">IF(B816=0,INDEX('Category 15'!F:F,MATCH(C816&amp;E816&amp;D816,'Category 15'!B:B&amp;'Category 15'!C:C&amp;'Category 15'!A:A,0)),INDEX('Category 15'!G:G,MATCH(C816&amp;E816&amp;D816,'Category 15'!B:B&amp;'Category 31'!C:C&amp;'Category 15'!A:A,0)))</f>
        <v>0</v>
      </c>
      <c r="L816">
        <f>K816/VLOOKUP($D816,CPI!$P$16:$R$22,3,FALSE)</f>
        <v>0</v>
      </c>
      <c r="M816" s="16" cm="1">
        <f t="array" ref="M816">IF(B816=0,INDEX('Category 31'!F:F,MATCH(C816&amp;E816&amp;D816,'Category 31'!B:B&amp;'Category 31'!C:C&amp;'Category 31'!A:A,0)),INDEX('Category 31'!G:G,MATCH(C816&amp;E816&amp;D816,'Category 31'!B:B&amp;'Category 31'!C:C&amp;'Category 31'!A:A,0)))</f>
        <v>0</v>
      </c>
      <c r="N816" s="16">
        <f>M816/VLOOKUP($D816,CPI!$P$16:$R$22,3,FALSE)</f>
        <v>0</v>
      </c>
      <c r="O816">
        <f>VLOOKUP(E816,WSoccer!C:S,10,FALSE)</f>
        <v>453</v>
      </c>
    </row>
    <row r="817" spans="1:15" ht="16" thickBot="1" x14ac:dyDescent="0.25">
      <c r="A817" s="15">
        <v>2</v>
      </c>
      <c r="B817">
        <f t="shared" si="12"/>
        <v>1</v>
      </c>
      <c r="C817">
        <f>IF(ISBLANK(H817),"",VLOOKUP(H817,Code!B:C,2,FALSE))</f>
        <v>18</v>
      </c>
      <c r="D817">
        <v>2021</v>
      </c>
      <c r="E817">
        <v>230782</v>
      </c>
      <c r="F817" t="s">
        <v>246</v>
      </c>
      <c r="G817" t="s">
        <v>290</v>
      </c>
      <c r="H817" t="s">
        <v>6</v>
      </c>
      <c r="I817" cm="1">
        <f t="array" ref="I817">IF(B817=0,INDEX('Category 14'!F:F,MATCH(C817&amp;E817&amp;D817,'Category 14'!B:B&amp;'Category 14'!C:C&amp;'Category 14'!A:A,0)),INDEX('Category 14'!G:G,MATCH(C817&amp;E817&amp;D817,'Category 14'!B:B&amp;'Category 14'!C:C&amp;'Category 14'!A:A,0)))</f>
        <v>0</v>
      </c>
      <c r="J817">
        <f>I817/VLOOKUP($D817,CPI!$P$16:$R$22,3,FALSE)</f>
        <v>0</v>
      </c>
      <c r="K817" cm="1">
        <f t="array" ref="K817">IF(B817=0,INDEX('Category 15'!F:F,MATCH(C817&amp;E817&amp;D817,'Category 15'!B:B&amp;'Category 15'!C:C&amp;'Category 15'!A:A,0)),INDEX('Category 15'!G:G,MATCH(C817&amp;E817&amp;D817,'Category 15'!B:B&amp;'Category 31'!C:C&amp;'Category 15'!A:A,0)))</f>
        <v>0</v>
      </c>
      <c r="L817">
        <f>K817/VLOOKUP($D817,CPI!$P$16:$R$22,3,FALSE)</f>
        <v>0</v>
      </c>
      <c r="M817" s="16" cm="1">
        <f t="array" ref="M817">IF(B817=0,INDEX('Category 31'!F:F,MATCH(C817&amp;E817&amp;D817,'Category 31'!B:B&amp;'Category 31'!C:C&amp;'Category 31'!A:A,0)),INDEX('Category 31'!G:G,MATCH(C817&amp;E817&amp;D817,'Category 31'!B:B&amp;'Category 31'!C:C&amp;'Category 31'!A:A,0)))</f>
        <v>249</v>
      </c>
      <c r="N817" s="16">
        <f>M817/VLOOKUP($D817,CPI!$P$16:$R$22,3,FALSE)</f>
        <v>283.57038842791491</v>
      </c>
      <c r="O817">
        <f>VLOOKUP(E817,WSoftball!C:S,10,FALSE)</f>
        <v>1704</v>
      </c>
    </row>
    <row r="818" spans="1:15" ht="16" thickBot="1" x14ac:dyDescent="0.25">
      <c r="A818" s="15">
        <v>2</v>
      </c>
      <c r="B818">
        <f t="shared" si="12"/>
        <v>1</v>
      </c>
      <c r="C818">
        <f>IF(ISBLANK(H818),"",VLOOKUP(H818,Code!B:C,2,FALSE))</f>
        <v>20</v>
      </c>
      <c r="D818">
        <v>2021</v>
      </c>
      <c r="E818">
        <v>230782</v>
      </c>
      <c r="F818" t="s">
        <v>246</v>
      </c>
      <c r="G818" t="s">
        <v>290</v>
      </c>
      <c r="H818" t="s">
        <v>8</v>
      </c>
      <c r="I818" cm="1">
        <f t="array" ref="I818">IF(B818=0,INDEX('Category 14'!F:F,MATCH(C818&amp;E818&amp;D818,'Category 14'!B:B&amp;'Category 14'!C:C&amp;'Category 14'!A:A,0)),INDEX('Category 14'!G:G,MATCH(C818&amp;E818&amp;D818,'Category 14'!B:B&amp;'Category 14'!C:C&amp;'Category 14'!A:A,0)))</f>
        <v>0</v>
      </c>
      <c r="J818">
        <f>I818/VLOOKUP($D818,CPI!$P$16:$R$22,3,FALSE)</f>
        <v>0</v>
      </c>
      <c r="K818" cm="1">
        <f t="array" ref="K818">IF(B818=0,INDEX('Category 15'!F:F,MATCH(C818&amp;E818&amp;D818,'Category 15'!B:B&amp;'Category 15'!C:C&amp;'Category 15'!A:A,0)),INDEX('Category 15'!G:G,MATCH(C818&amp;E818&amp;D818,'Category 15'!B:B&amp;'Category 31'!C:C&amp;'Category 15'!A:A,0)))</f>
        <v>0</v>
      </c>
      <c r="L818">
        <f>K818/VLOOKUP($D818,CPI!$P$16:$R$22,3,FALSE)</f>
        <v>0</v>
      </c>
      <c r="M818" s="16" cm="1">
        <f t="array" ref="M818">IF(B818=0,INDEX('Category 31'!F:F,MATCH(C818&amp;E818&amp;D818,'Category 31'!B:B&amp;'Category 31'!C:C&amp;'Category 31'!A:A,0)),INDEX('Category 31'!G:G,MATCH(C818&amp;E818&amp;D818,'Category 31'!B:B&amp;'Category 31'!C:C&amp;'Category 31'!A:A,0)))</f>
        <v>0</v>
      </c>
      <c r="N818" s="16">
        <f>M818/VLOOKUP($D818,CPI!$P$16:$R$22,3,FALSE)</f>
        <v>0</v>
      </c>
      <c r="O818">
        <v>0</v>
      </c>
    </row>
    <row r="819" spans="1:15" ht="16" thickBot="1" x14ac:dyDescent="0.25">
      <c r="A819" s="15">
        <v>2</v>
      </c>
      <c r="B819">
        <f t="shared" si="12"/>
        <v>1</v>
      </c>
      <c r="C819">
        <f>IF(ISBLANK(H819),"",VLOOKUP(H819,Code!B:C,2,FALSE))</f>
        <v>21</v>
      </c>
      <c r="D819">
        <v>2021</v>
      </c>
      <c r="E819">
        <v>230782</v>
      </c>
      <c r="F819" t="s">
        <v>246</v>
      </c>
      <c r="G819" t="s">
        <v>290</v>
      </c>
      <c r="H819" t="s">
        <v>36</v>
      </c>
      <c r="I819" cm="1">
        <f t="array" ref="I819">IF(B819=0,INDEX('Category 14'!F:F,MATCH(C819&amp;E819&amp;D819,'Category 14'!B:B&amp;'Category 14'!C:C&amp;'Category 14'!A:A,0)),INDEX('Category 14'!G:G,MATCH(C819&amp;E819&amp;D819,'Category 14'!B:B&amp;'Category 14'!C:C&amp;'Category 14'!A:A,0)))</f>
        <v>0</v>
      </c>
      <c r="J819">
        <f>I819/VLOOKUP($D819,CPI!$P$16:$R$22,3,FALSE)</f>
        <v>0</v>
      </c>
      <c r="K819" cm="1">
        <f t="array" ref="K819">IF(B819=0,INDEX('Category 15'!F:F,MATCH(C819&amp;E819&amp;D819,'Category 15'!B:B&amp;'Category 15'!C:C&amp;'Category 15'!A:A,0)),INDEX('Category 15'!G:G,MATCH(C819&amp;E819&amp;D819,'Category 15'!B:B&amp;'Category 31'!C:C&amp;'Category 15'!A:A,0)))</f>
        <v>0</v>
      </c>
      <c r="L819">
        <f>K819/VLOOKUP($D819,CPI!$P$16:$R$22,3,FALSE)</f>
        <v>0</v>
      </c>
      <c r="M819" s="16" cm="1">
        <f t="array" ref="M819">IF(B819=0,INDEX('Category 31'!F:F,MATCH(C819&amp;E819&amp;D819,'Category 31'!B:B&amp;'Category 31'!C:C&amp;'Category 31'!A:A,0)),INDEX('Category 31'!G:G,MATCH(C819&amp;E819&amp;D819,'Category 31'!B:B&amp;'Category 31'!C:C&amp;'Category 31'!A:A,0)))</f>
        <v>75</v>
      </c>
      <c r="N819" s="16">
        <f>M819/VLOOKUP($D819,CPI!$P$16:$R$22,3,FALSE)</f>
        <v>85.412767598769548</v>
      </c>
      <c r="O819">
        <v>0</v>
      </c>
    </row>
    <row r="820" spans="1:15" ht="16" thickBot="1" x14ac:dyDescent="0.25">
      <c r="A820" s="15">
        <v>2</v>
      </c>
      <c r="B820">
        <f t="shared" si="12"/>
        <v>1</v>
      </c>
      <c r="C820">
        <f>IF(ISBLANK(H820),"",VLOOKUP(H820,Code!B:C,2,FALSE))</f>
        <v>23</v>
      </c>
      <c r="D820">
        <v>2021</v>
      </c>
      <c r="E820">
        <v>230782</v>
      </c>
      <c r="F820" t="s">
        <v>246</v>
      </c>
      <c r="G820" t="s">
        <v>290</v>
      </c>
      <c r="H820" t="s">
        <v>10</v>
      </c>
      <c r="I820" cm="1">
        <f t="array" ref="I820">IF(B820=0,INDEX('Category 14'!F:F,MATCH(C820&amp;E820&amp;D820,'Category 14'!B:B&amp;'Category 14'!C:C&amp;'Category 14'!A:A,0)),INDEX('Category 14'!G:G,MATCH(C820&amp;E820&amp;D820,'Category 14'!B:B&amp;'Category 14'!C:C&amp;'Category 14'!A:A,0)))</f>
        <v>0</v>
      </c>
      <c r="J820">
        <f>I820/VLOOKUP($D820,CPI!$P$16:$R$22,3,FALSE)</f>
        <v>0</v>
      </c>
      <c r="K820" cm="1">
        <f t="array" ref="K820">IF(B820=0,INDEX('Category 15'!F:F,MATCH(C820&amp;E820&amp;D820,'Category 15'!B:B&amp;'Category 15'!C:C&amp;'Category 15'!A:A,0)),INDEX('Category 15'!G:G,MATCH(C820&amp;E820&amp;D820,'Category 15'!B:B&amp;'Category 31'!C:C&amp;'Category 15'!A:A,0)))</f>
        <v>0</v>
      </c>
      <c r="L820">
        <f>K820/VLOOKUP($D820,CPI!$P$16:$R$22,3,FALSE)</f>
        <v>0</v>
      </c>
      <c r="M820" s="16" cm="1">
        <f t="array" ref="M820">IF(B820=0,INDEX('Category 31'!F:F,MATCH(C820&amp;E820&amp;D820,'Category 31'!B:B&amp;'Category 31'!C:C&amp;'Category 31'!A:A,0)),INDEX('Category 31'!G:G,MATCH(C820&amp;E820&amp;D820,'Category 31'!B:B&amp;'Category 31'!C:C&amp;'Category 31'!A:A,0)))</f>
        <v>0</v>
      </c>
      <c r="N820" s="16">
        <f>M820/VLOOKUP($D820,CPI!$P$16:$R$22,3,FALSE)</f>
        <v>0</v>
      </c>
      <c r="O820">
        <f>VLOOKUP(E820,WVolleyball!C:S,10,FALSE)</f>
        <v>0</v>
      </c>
    </row>
    <row r="821" spans="1:15" ht="16" thickBot="1" x14ac:dyDescent="0.25">
      <c r="A821" s="15">
        <v>2</v>
      </c>
      <c r="B821">
        <f t="shared" si="12"/>
        <v>0</v>
      </c>
      <c r="C821">
        <f>IF(ISBLANK(H821),"",VLOOKUP(H821,Code!B:C,2,FALSE))</f>
        <v>2</v>
      </c>
      <c r="D821">
        <v>2022</v>
      </c>
      <c r="E821">
        <v>230782</v>
      </c>
      <c r="F821" t="s">
        <v>246</v>
      </c>
      <c r="G821" t="s">
        <v>289</v>
      </c>
      <c r="H821" t="s">
        <v>1</v>
      </c>
      <c r="I821" cm="1">
        <f t="array" ref="I821">IF(B821=0,INDEX('Category 14'!F:F,MATCH(C821&amp;E821&amp;D821,'Category 14'!B:B&amp;'Category 14'!C:C&amp;'Category 14'!A:A,0)),INDEX('Category 14'!G:G,MATCH(C821&amp;E821&amp;D821,'Category 14'!B:B&amp;'Category 14'!C:C&amp;'Category 14'!A:A,0)))</f>
        <v>0</v>
      </c>
      <c r="J821">
        <f>I821/VLOOKUP($D821,CPI!$P$16:$R$22,3,FALSE)</f>
        <v>0</v>
      </c>
      <c r="K821" cm="1">
        <f t="array" ref="K821">IF(B821=0,INDEX('Category 15'!F:F,MATCH(C821&amp;E821&amp;D821,'Category 15'!B:B&amp;'Category 15'!C:C&amp;'Category 15'!A:A,0)),INDEX('Category 15'!G:G,MATCH(C821&amp;E821&amp;D821,'Category 15'!B:B&amp;'Category 31'!C:C&amp;'Category 15'!A:A,0)))</f>
        <v>301153</v>
      </c>
      <c r="L821">
        <f>K821/VLOOKUP($D821,CPI!$P$16:$R$22,3,FALSE)</f>
        <v>320011.30176934676</v>
      </c>
      <c r="M821" s="16" cm="1">
        <f t="array" ref="M821">IF(B821=0,INDEX('Category 31'!F:F,MATCH(C821&amp;E821&amp;D821,'Category 31'!B:B&amp;'Category 31'!C:C&amp;'Category 31'!A:A,0)),INDEX('Category 31'!G:G,MATCH(C821&amp;E821&amp;D821,'Category 31'!B:B&amp;'Category 31'!C:C&amp;'Category 31'!A:A,0)))</f>
        <v>24428</v>
      </c>
      <c r="N821" s="16">
        <f>M821/VLOOKUP($D821,CPI!$P$16:$R$22,3,FALSE)</f>
        <v>25957.689545253084</v>
      </c>
      <c r="O821">
        <f>VLOOKUP(E821,MBasketball!C:S,11,FALSE)</f>
        <v>67678</v>
      </c>
    </row>
    <row r="822" spans="1:15" ht="16" thickBot="1" x14ac:dyDescent="0.25">
      <c r="A822" s="15">
        <v>2</v>
      </c>
      <c r="B822">
        <f t="shared" si="12"/>
        <v>0</v>
      </c>
      <c r="C822">
        <f>IF(ISBLANK(H822),"",VLOOKUP(H822,Code!B:C,2,FALSE))</f>
        <v>8</v>
      </c>
      <c r="D822">
        <v>2022</v>
      </c>
      <c r="E822">
        <v>230782</v>
      </c>
      <c r="F822" t="s">
        <v>246</v>
      </c>
      <c r="G822" t="s">
        <v>289</v>
      </c>
      <c r="H822" t="s">
        <v>2</v>
      </c>
      <c r="I822" cm="1">
        <f t="array" ref="I822">IF(B822=0,INDEX('Category 14'!F:F,MATCH(C822&amp;E822&amp;D822,'Category 14'!B:B&amp;'Category 14'!C:C&amp;'Category 14'!A:A,0)),INDEX('Category 14'!G:G,MATCH(C822&amp;E822&amp;D822,'Category 14'!B:B&amp;'Category 14'!C:C&amp;'Category 14'!A:A,0)))</f>
        <v>13481</v>
      </c>
      <c r="J822">
        <f>I822/VLOOKUP($D822,CPI!$P$16:$R$22,3,FALSE)</f>
        <v>14325.184737168694</v>
      </c>
      <c r="K822" cm="1">
        <f t="array" ref="K822">IF(B822=0,INDEX('Category 15'!F:F,MATCH(C822&amp;E822&amp;D822,'Category 15'!B:B&amp;'Category 15'!C:C&amp;'Category 15'!A:A,0)),INDEX('Category 15'!G:G,MATCH(C822&amp;E822&amp;D822,'Category 15'!B:B&amp;'Category 31'!C:C&amp;'Category 15'!A:A,0)))</f>
        <v>246397</v>
      </c>
      <c r="L822">
        <f>K822/VLOOKUP($D822,CPI!$P$16:$R$22,3,FALSE)</f>
        <v>261826.46270188817</v>
      </c>
      <c r="M822" s="16" cm="1">
        <f t="array" ref="M822">IF(B822=0,INDEX('Category 31'!F:F,MATCH(C822&amp;E822&amp;D822,'Category 31'!B:B&amp;'Category 31'!C:C&amp;'Category 31'!A:A,0)),INDEX('Category 31'!G:G,MATCH(C822&amp;E822&amp;D822,'Category 31'!B:B&amp;'Category 31'!C:C&amp;'Category 31'!A:A,0)))</f>
        <v>26337</v>
      </c>
      <c r="N822" s="16">
        <f>M822/VLOOKUP($D822,CPI!$P$16:$R$22,3,FALSE)</f>
        <v>27986.231764914464</v>
      </c>
      <c r="O822">
        <f>VLOOKUP(E822,MFootball!C:S,11,FALSE)</f>
        <v>32022</v>
      </c>
    </row>
    <row r="823" spans="1:15" ht="16" thickBot="1" x14ac:dyDescent="0.25">
      <c r="A823" s="15">
        <v>2</v>
      </c>
      <c r="B823">
        <f t="shared" si="12"/>
        <v>0</v>
      </c>
      <c r="C823">
        <f>IF(ISBLANK(H823),"",VLOOKUP(H823,Code!B:C,2,FALSE))</f>
        <v>9</v>
      </c>
      <c r="D823">
        <v>2022</v>
      </c>
      <c r="E823">
        <v>230782</v>
      </c>
      <c r="F823" t="s">
        <v>246</v>
      </c>
      <c r="G823" t="s">
        <v>289</v>
      </c>
      <c r="H823" t="s">
        <v>3</v>
      </c>
      <c r="I823" cm="1">
        <f t="array" ref="I823">IF(B823=0,INDEX('Category 14'!F:F,MATCH(C823&amp;E823&amp;D823,'Category 14'!B:B&amp;'Category 14'!C:C&amp;'Category 14'!A:A,0)),INDEX('Category 14'!G:G,MATCH(C823&amp;E823&amp;D823,'Category 14'!B:B&amp;'Category 14'!C:C&amp;'Category 14'!A:A,0)))</f>
        <v>0</v>
      </c>
      <c r="J823">
        <f>I823/VLOOKUP($D823,CPI!$P$16:$R$22,3,FALSE)</f>
        <v>0</v>
      </c>
      <c r="K823" cm="1">
        <f t="array" ref="K823">IF(B823=0,INDEX('Category 15'!F:F,MATCH(C823&amp;E823&amp;D823,'Category 15'!B:B&amp;'Category 15'!C:C&amp;'Category 15'!A:A,0)),INDEX('Category 15'!G:G,MATCH(C823&amp;E823&amp;D823,'Category 15'!B:B&amp;'Category 31'!C:C&amp;'Category 15'!A:A,0)))</f>
        <v>0</v>
      </c>
      <c r="L823">
        <f>K823/VLOOKUP($D823,CPI!$P$16:$R$22,3,FALSE)</f>
        <v>0</v>
      </c>
      <c r="M823" s="16" cm="1">
        <f t="array" ref="M823">IF(B823=0,INDEX('Category 31'!F:F,MATCH(C823&amp;E823&amp;D823,'Category 31'!B:B&amp;'Category 31'!C:C&amp;'Category 31'!A:A,0)),INDEX('Category 31'!G:G,MATCH(C823&amp;E823&amp;D823,'Category 31'!B:B&amp;'Category 31'!C:C&amp;'Category 31'!A:A,0)))</f>
        <v>7198</v>
      </c>
      <c r="N823" s="16">
        <f>M823/VLOOKUP($D823,CPI!$P$16:$R$22,3,FALSE)</f>
        <v>7648.7411718819267</v>
      </c>
      <c r="O823">
        <v>0</v>
      </c>
    </row>
    <row r="824" spans="1:15" ht="16" thickBot="1" x14ac:dyDescent="0.25">
      <c r="A824" s="15">
        <v>2</v>
      </c>
      <c r="B824">
        <f t="shared" si="12"/>
        <v>0</v>
      </c>
      <c r="C824">
        <f>IF(ISBLANK(H824),"",VLOOKUP(H824,Code!B:C,2,FALSE))</f>
        <v>20</v>
      </c>
      <c r="D824">
        <v>2022</v>
      </c>
      <c r="E824">
        <v>230782</v>
      </c>
      <c r="F824" t="s">
        <v>246</v>
      </c>
      <c r="G824" t="s">
        <v>289</v>
      </c>
      <c r="H824" t="s">
        <v>8</v>
      </c>
      <c r="I824" cm="1">
        <f t="array" ref="I824">IF(B824=0,INDEX('Category 14'!F:F,MATCH(C824&amp;E824&amp;D824,'Category 14'!B:B&amp;'Category 14'!C:C&amp;'Category 14'!A:A,0)),INDEX('Category 14'!G:G,MATCH(C824&amp;E824&amp;D824,'Category 14'!B:B&amp;'Category 14'!C:C&amp;'Category 14'!A:A,0)))</f>
        <v>0</v>
      </c>
      <c r="J824">
        <f>I824/VLOOKUP($D824,CPI!$P$16:$R$22,3,FALSE)</f>
        <v>0</v>
      </c>
      <c r="K824" cm="1">
        <f t="array" ref="K824">IF(B824=0,INDEX('Category 15'!F:F,MATCH(C824&amp;E824&amp;D824,'Category 15'!B:B&amp;'Category 15'!C:C&amp;'Category 15'!A:A,0)),INDEX('Category 15'!G:G,MATCH(C824&amp;E824&amp;D824,'Category 15'!B:B&amp;'Category 31'!C:C&amp;'Category 15'!A:A,0)))</f>
        <v>0</v>
      </c>
      <c r="L824">
        <f>K824/VLOOKUP($D824,CPI!$P$16:$R$22,3,FALSE)</f>
        <v>0</v>
      </c>
      <c r="M824" s="16" cm="1">
        <f t="array" ref="M824">IF(B824=0,INDEX('Category 31'!F:F,MATCH(C824&amp;E824&amp;D824,'Category 31'!B:B&amp;'Category 31'!C:C&amp;'Category 31'!A:A,0)),INDEX('Category 31'!G:G,MATCH(C824&amp;E824&amp;D824,'Category 31'!B:B&amp;'Category 31'!C:C&amp;'Category 31'!A:A,0)))</f>
        <v>0</v>
      </c>
      <c r="N824" s="16">
        <f>M824/VLOOKUP($D824,CPI!$P$16:$R$22,3,FALSE)</f>
        <v>0</v>
      </c>
      <c r="O824">
        <v>0</v>
      </c>
    </row>
    <row r="825" spans="1:15" ht="16" thickBot="1" x14ac:dyDescent="0.25">
      <c r="A825" s="15">
        <v>2</v>
      </c>
      <c r="B825">
        <f t="shared" si="12"/>
        <v>0</v>
      </c>
      <c r="C825">
        <f>IF(ISBLANK(H825),"",VLOOKUP(H825,Code!B:C,2,FALSE))</f>
        <v>21</v>
      </c>
      <c r="D825">
        <v>2022</v>
      </c>
      <c r="E825">
        <v>230782</v>
      </c>
      <c r="F825" t="s">
        <v>246</v>
      </c>
      <c r="G825" t="s">
        <v>289</v>
      </c>
      <c r="H825" t="s">
        <v>36</v>
      </c>
      <c r="I825" cm="1">
        <f t="array" ref="I825">IF(B825=0,INDEX('Category 14'!F:F,MATCH(C825&amp;E825&amp;D825,'Category 14'!B:B&amp;'Category 14'!C:C&amp;'Category 14'!A:A,0)),INDEX('Category 14'!G:G,MATCH(C825&amp;E825&amp;D825,'Category 14'!B:B&amp;'Category 14'!C:C&amp;'Category 14'!A:A,0)))</f>
        <v>0</v>
      </c>
      <c r="J825">
        <f>I825/VLOOKUP($D825,CPI!$P$16:$R$22,3,FALSE)</f>
        <v>0</v>
      </c>
      <c r="K825" cm="1">
        <f t="array" ref="K825">IF(B825=0,INDEX('Category 15'!F:F,MATCH(C825&amp;E825&amp;D825,'Category 15'!B:B&amp;'Category 15'!C:C&amp;'Category 15'!A:A,0)),INDEX('Category 15'!G:G,MATCH(C825&amp;E825&amp;D825,'Category 15'!B:B&amp;'Category 31'!C:C&amp;'Category 15'!A:A,0)))</f>
        <v>0</v>
      </c>
      <c r="L825">
        <f>K825/VLOOKUP($D825,CPI!$P$16:$R$22,3,FALSE)</f>
        <v>0</v>
      </c>
      <c r="M825" s="16" cm="1">
        <f t="array" ref="M825">IF(B825=0,INDEX('Category 31'!F:F,MATCH(C825&amp;E825&amp;D825,'Category 31'!B:B&amp;'Category 31'!C:C&amp;'Category 31'!A:A,0)),INDEX('Category 31'!G:G,MATCH(C825&amp;E825&amp;D825,'Category 31'!B:B&amp;'Category 31'!C:C&amp;'Category 31'!A:A,0)))</f>
        <v>2646</v>
      </c>
      <c r="N825" s="16">
        <f>M825/VLOOKUP($D825,CPI!$P$16:$R$22,3,FALSE)</f>
        <v>2811.6934066128897</v>
      </c>
      <c r="O825">
        <v>0</v>
      </c>
    </row>
    <row r="826" spans="1:15" ht="16" thickBot="1" x14ac:dyDescent="0.25">
      <c r="A826" s="15">
        <v>2</v>
      </c>
      <c r="B826">
        <f t="shared" si="12"/>
        <v>1</v>
      </c>
      <c r="C826">
        <f>IF(ISBLANK(H826),"",VLOOKUP(H826,Code!B:C,2,FALSE))</f>
        <v>2</v>
      </c>
      <c r="D826">
        <v>2022</v>
      </c>
      <c r="E826">
        <v>230782</v>
      </c>
      <c r="F826" t="s">
        <v>246</v>
      </c>
      <c r="G826" t="s">
        <v>290</v>
      </c>
      <c r="H826" t="s">
        <v>1</v>
      </c>
      <c r="I826" cm="1">
        <f t="array" ref="I826">IF(B826=0,INDEX('Category 14'!F:F,MATCH(C826&amp;E826&amp;D826,'Category 14'!B:B&amp;'Category 14'!C:C&amp;'Category 14'!A:A,0)),INDEX('Category 14'!G:G,MATCH(C826&amp;E826&amp;D826,'Category 14'!B:B&amp;'Category 14'!C:C&amp;'Category 14'!A:A,0)))</f>
        <v>0</v>
      </c>
      <c r="J826">
        <f>I826/VLOOKUP($D826,CPI!$P$16:$R$22,3,FALSE)</f>
        <v>0</v>
      </c>
      <c r="K826" cm="1">
        <f t="array" ref="K826">IF(B826=0,INDEX('Category 15'!F:F,MATCH(C826&amp;E826&amp;D826,'Category 15'!B:B&amp;'Category 15'!C:C&amp;'Category 15'!A:A,0)),INDEX('Category 15'!G:G,MATCH(C826&amp;E826&amp;D826,'Category 15'!B:B&amp;'Category 31'!C:C&amp;'Category 15'!A:A,0)))</f>
        <v>0</v>
      </c>
      <c r="L826">
        <f>K826/VLOOKUP($D826,CPI!$P$16:$R$22,3,FALSE)</f>
        <v>0</v>
      </c>
      <c r="M826" s="16" cm="1">
        <f t="array" ref="M826">IF(B826=0,INDEX('Category 31'!F:F,MATCH(C826&amp;E826&amp;D826,'Category 31'!B:B&amp;'Category 31'!C:C&amp;'Category 31'!A:A,0)),INDEX('Category 31'!G:G,MATCH(C826&amp;E826&amp;D826,'Category 31'!B:B&amp;'Category 31'!C:C&amp;'Category 31'!A:A,0)))</f>
        <v>0</v>
      </c>
      <c r="N826" s="16">
        <f>M826/VLOOKUP($D826,CPI!$P$16:$R$22,3,FALSE)</f>
        <v>0</v>
      </c>
      <c r="O826">
        <f>VLOOKUP(E826,WBasketball!C:S,11,FALSE)</f>
        <v>4046</v>
      </c>
    </row>
    <row r="827" spans="1:15" ht="16" thickBot="1" x14ac:dyDescent="0.25">
      <c r="A827" s="15">
        <v>2</v>
      </c>
      <c r="B827">
        <f t="shared" si="12"/>
        <v>1</v>
      </c>
      <c r="C827">
        <f>IF(ISBLANK(H827),"",VLOOKUP(H827,Code!B:C,2,FALSE))</f>
        <v>9</v>
      </c>
      <c r="D827">
        <v>2022</v>
      </c>
      <c r="E827">
        <v>230782</v>
      </c>
      <c r="F827" t="s">
        <v>246</v>
      </c>
      <c r="G827" t="s">
        <v>290</v>
      </c>
      <c r="H827" t="s">
        <v>3</v>
      </c>
      <c r="I827" cm="1">
        <f t="array" ref="I827">IF(B827=0,INDEX('Category 14'!F:F,MATCH(C827&amp;E827&amp;D827,'Category 14'!B:B&amp;'Category 14'!C:C&amp;'Category 14'!A:A,0)),INDEX('Category 14'!G:G,MATCH(C827&amp;E827&amp;D827,'Category 14'!B:B&amp;'Category 14'!C:C&amp;'Category 14'!A:A,0)))</f>
        <v>0</v>
      </c>
      <c r="J827">
        <f>I827/VLOOKUP($D827,CPI!$P$16:$R$22,3,FALSE)</f>
        <v>0</v>
      </c>
      <c r="K827" cm="1">
        <f t="array" ref="K827">IF(B827=0,INDEX('Category 15'!F:F,MATCH(C827&amp;E827&amp;D827,'Category 15'!B:B&amp;'Category 15'!C:C&amp;'Category 15'!A:A,0)),INDEX('Category 15'!G:G,MATCH(C827&amp;E827&amp;D827,'Category 15'!B:B&amp;'Category 31'!C:C&amp;'Category 15'!A:A,0)))</f>
        <v>0</v>
      </c>
      <c r="L827">
        <f>K827/VLOOKUP($D827,CPI!$P$16:$R$22,3,FALSE)</f>
        <v>0</v>
      </c>
      <c r="M827" s="16" cm="1">
        <f t="array" ref="M827">IF(B827=0,INDEX('Category 31'!F:F,MATCH(C827&amp;E827&amp;D827,'Category 31'!B:B&amp;'Category 31'!C:C&amp;'Category 31'!A:A,0)),INDEX('Category 31'!G:G,MATCH(C827&amp;E827&amp;D827,'Category 31'!B:B&amp;'Category 31'!C:C&amp;'Category 31'!A:A,0)))</f>
        <v>6832</v>
      </c>
      <c r="N827" s="16">
        <f>M827/VLOOKUP($D827,CPI!$P$16:$R$22,3,FALSE)</f>
        <v>7259.8221292438629</v>
      </c>
      <c r="O827">
        <v>0</v>
      </c>
    </row>
    <row r="828" spans="1:15" ht="16" thickBot="1" x14ac:dyDescent="0.25">
      <c r="A828" s="15">
        <v>2</v>
      </c>
      <c r="B828">
        <f t="shared" si="12"/>
        <v>1</v>
      </c>
      <c r="C828">
        <f>IF(ISBLANK(H828),"",VLOOKUP(H828,Code!B:C,2,FALSE))</f>
        <v>17</v>
      </c>
      <c r="D828">
        <v>2022</v>
      </c>
      <c r="E828">
        <v>230782</v>
      </c>
      <c r="F828" t="s">
        <v>246</v>
      </c>
      <c r="G828" t="s">
        <v>290</v>
      </c>
      <c r="H828" t="s">
        <v>5</v>
      </c>
      <c r="I828" cm="1">
        <f t="array" ref="I828">IF(B828=0,INDEX('Category 14'!F:F,MATCH(C828&amp;E828&amp;D828,'Category 14'!B:B&amp;'Category 14'!C:C&amp;'Category 14'!A:A,0)),INDEX('Category 14'!G:G,MATCH(C828&amp;E828&amp;D828,'Category 14'!B:B&amp;'Category 14'!C:C&amp;'Category 14'!A:A,0)))</f>
        <v>0</v>
      </c>
      <c r="J828">
        <f>I828/VLOOKUP($D828,CPI!$P$16:$R$22,3,FALSE)</f>
        <v>0</v>
      </c>
      <c r="K828" cm="1">
        <f t="array" ref="K828">IF(B828=0,INDEX('Category 15'!F:F,MATCH(C828&amp;E828&amp;D828,'Category 15'!B:B&amp;'Category 15'!C:C&amp;'Category 15'!A:A,0)),INDEX('Category 15'!G:G,MATCH(C828&amp;E828&amp;D828,'Category 15'!B:B&amp;'Category 31'!C:C&amp;'Category 15'!A:A,0)))</f>
        <v>0</v>
      </c>
      <c r="L828">
        <f>K828/VLOOKUP($D828,CPI!$P$16:$R$22,3,FALSE)</f>
        <v>0</v>
      </c>
      <c r="M828" s="16" cm="1">
        <f t="array" ref="M828">IF(B828=0,INDEX('Category 31'!F:F,MATCH(C828&amp;E828&amp;D828,'Category 31'!B:B&amp;'Category 31'!C:C&amp;'Category 31'!A:A,0)),INDEX('Category 31'!G:G,MATCH(C828&amp;E828&amp;D828,'Category 31'!B:B&amp;'Category 31'!C:C&amp;'Category 31'!A:A,0)))</f>
        <v>0</v>
      </c>
      <c r="N828" s="16">
        <f>M828/VLOOKUP($D828,CPI!$P$16:$R$22,3,FALSE)</f>
        <v>0</v>
      </c>
      <c r="O828">
        <f>VLOOKUP(E828,WSoccer!C:S,10,FALSE)</f>
        <v>453</v>
      </c>
    </row>
    <row r="829" spans="1:15" ht="16" thickBot="1" x14ac:dyDescent="0.25">
      <c r="A829" s="15">
        <v>2</v>
      </c>
      <c r="B829">
        <f t="shared" si="12"/>
        <v>1</v>
      </c>
      <c r="C829">
        <f>IF(ISBLANK(H829),"",VLOOKUP(H829,Code!B:C,2,FALSE))</f>
        <v>18</v>
      </c>
      <c r="D829">
        <v>2022</v>
      </c>
      <c r="E829">
        <v>230782</v>
      </c>
      <c r="F829" t="s">
        <v>246</v>
      </c>
      <c r="G829" t="s">
        <v>290</v>
      </c>
      <c r="H829" t="s">
        <v>6</v>
      </c>
      <c r="I829" cm="1">
        <f t="array" ref="I829">IF(B829=0,INDEX('Category 14'!F:F,MATCH(C829&amp;E829&amp;D829,'Category 14'!B:B&amp;'Category 14'!C:C&amp;'Category 14'!A:A,0)),INDEX('Category 14'!G:G,MATCH(C829&amp;E829&amp;D829,'Category 14'!B:B&amp;'Category 14'!C:C&amp;'Category 14'!A:A,0)))</f>
        <v>0</v>
      </c>
      <c r="J829">
        <f>I829/VLOOKUP($D829,CPI!$P$16:$R$22,3,FALSE)</f>
        <v>0</v>
      </c>
      <c r="K829" cm="1">
        <f t="array" ref="K829">IF(B829=0,INDEX('Category 15'!F:F,MATCH(C829&amp;E829&amp;D829,'Category 15'!B:B&amp;'Category 15'!C:C&amp;'Category 15'!A:A,0)),INDEX('Category 15'!G:G,MATCH(C829&amp;E829&amp;D829,'Category 15'!B:B&amp;'Category 31'!C:C&amp;'Category 15'!A:A,0)))</f>
        <v>0</v>
      </c>
      <c r="L829">
        <f>K829/VLOOKUP($D829,CPI!$P$16:$R$22,3,FALSE)</f>
        <v>0</v>
      </c>
      <c r="M829" s="16" cm="1">
        <f t="array" ref="M829">IF(B829=0,INDEX('Category 31'!F:F,MATCH(C829&amp;E829&amp;D829,'Category 31'!B:B&amp;'Category 31'!C:C&amp;'Category 31'!A:A,0)),INDEX('Category 31'!G:G,MATCH(C829&amp;E829&amp;D829,'Category 31'!B:B&amp;'Category 31'!C:C&amp;'Category 31'!A:A,0)))</f>
        <v>1961</v>
      </c>
      <c r="N829" s="16">
        <f>M829/VLOOKUP($D829,CPI!$P$16:$R$22,3,FALSE)</f>
        <v>2083.7984770853654</v>
      </c>
      <c r="O829">
        <f>VLOOKUP(E829,WSoftball!C:S,11,FALSE)</f>
        <v>4399</v>
      </c>
    </row>
    <row r="830" spans="1:15" ht="16" thickBot="1" x14ac:dyDescent="0.25">
      <c r="A830" s="15">
        <v>2</v>
      </c>
      <c r="B830">
        <f t="shared" si="12"/>
        <v>1</v>
      </c>
      <c r="C830">
        <f>IF(ISBLANK(H830),"",VLOOKUP(H830,Code!B:C,2,FALSE))</f>
        <v>20</v>
      </c>
      <c r="D830">
        <v>2022</v>
      </c>
      <c r="E830">
        <v>230782</v>
      </c>
      <c r="F830" t="s">
        <v>246</v>
      </c>
      <c r="G830" t="s">
        <v>290</v>
      </c>
      <c r="H830" t="s">
        <v>8</v>
      </c>
      <c r="I830" cm="1">
        <f t="array" ref="I830">IF(B830=0,INDEX('Category 14'!F:F,MATCH(C830&amp;E830&amp;D830,'Category 14'!B:B&amp;'Category 14'!C:C&amp;'Category 14'!A:A,0)),INDEX('Category 14'!G:G,MATCH(C830&amp;E830&amp;D830,'Category 14'!B:B&amp;'Category 14'!C:C&amp;'Category 14'!A:A,0)))</f>
        <v>0</v>
      </c>
      <c r="J830">
        <f>I830/VLOOKUP($D830,CPI!$P$16:$R$22,3,FALSE)</f>
        <v>0</v>
      </c>
      <c r="K830" cm="1">
        <f t="array" ref="K830">IF(B830=0,INDEX('Category 15'!F:F,MATCH(C830&amp;E830&amp;D830,'Category 15'!B:B&amp;'Category 15'!C:C&amp;'Category 15'!A:A,0)),INDEX('Category 15'!G:G,MATCH(C830&amp;E830&amp;D830,'Category 15'!B:B&amp;'Category 31'!C:C&amp;'Category 15'!A:A,0)))</f>
        <v>0</v>
      </c>
      <c r="L830">
        <f>K830/VLOOKUP($D830,CPI!$P$16:$R$22,3,FALSE)</f>
        <v>0</v>
      </c>
      <c r="M830" s="16" cm="1">
        <f t="array" ref="M830">IF(B830=0,INDEX('Category 31'!F:F,MATCH(C830&amp;E830&amp;D830,'Category 31'!B:B&amp;'Category 31'!C:C&amp;'Category 31'!A:A,0)),INDEX('Category 31'!G:G,MATCH(C830&amp;E830&amp;D830,'Category 31'!B:B&amp;'Category 31'!C:C&amp;'Category 31'!A:A,0)))</f>
        <v>0</v>
      </c>
      <c r="N830" s="16">
        <f>M830/VLOOKUP($D830,CPI!$P$16:$R$22,3,FALSE)</f>
        <v>0</v>
      </c>
      <c r="O830">
        <v>0</v>
      </c>
    </row>
    <row r="831" spans="1:15" ht="16" thickBot="1" x14ac:dyDescent="0.25">
      <c r="A831" s="15">
        <v>2</v>
      </c>
      <c r="B831">
        <f t="shared" si="12"/>
        <v>1</v>
      </c>
      <c r="C831">
        <f>IF(ISBLANK(H831),"",VLOOKUP(H831,Code!B:C,2,FALSE))</f>
        <v>21</v>
      </c>
      <c r="D831">
        <v>2022</v>
      </c>
      <c r="E831">
        <v>230782</v>
      </c>
      <c r="F831" t="s">
        <v>246</v>
      </c>
      <c r="G831" t="s">
        <v>290</v>
      </c>
      <c r="H831" t="s">
        <v>36</v>
      </c>
      <c r="I831" cm="1">
        <f t="array" ref="I831">IF(B831=0,INDEX('Category 14'!F:F,MATCH(C831&amp;E831&amp;D831,'Category 14'!B:B&amp;'Category 14'!C:C&amp;'Category 14'!A:A,0)),INDEX('Category 14'!G:G,MATCH(C831&amp;E831&amp;D831,'Category 14'!B:B&amp;'Category 14'!C:C&amp;'Category 14'!A:A,0)))</f>
        <v>0</v>
      </c>
      <c r="J831">
        <f>I831/VLOOKUP($D831,CPI!$P$16:$R$22,3,FALSE)</f>
        <v>0</v>
      </c>
      <c r="K831" cm="1">
        <f t="array" ref="K831">IF(B831=0,INDEX('Category 15'!F:F,MATCH(C831&amp;E831&amp;D831,'Category 15'!B:B&amp;'Category 15'!C:C&amp;'Category 15'!A:A,0)),INDEX('Category 15'!G:G,MATCH(C831&amp;E831&amp;D831,'Category 15'!B:B&amp;'Category 31'!C:C&amp;'Category 15'!A:A,0)))</f>
        <v>0</v>
      </c>
      <c r="L831">
        <f>K831/VLOOKUP($D831,CPI!$P$16:$R$22,3,FALSE)</f>
        <v>0</v>
      </c>
      <c r="M831" s="16" cm="1">
        <f t="array" ref="M831">IF(B831=0,INDEX('Category 31'!F:F,MATCH(C831&amp;E831&amp;D831,'Category 31'!B:B&amp;'Category 31'!C:C&amp;'Category 31'!A:A,0)),INDEX('Category 31'!G:G,MATCH(C831&amp;E831&amp;D831,'Category 31'!B:B&amp;'Category 31'!C:C&amp;'Category 31'!A:A,0)))</f>
        <v>2634</v>
      </c>
      <c r="N831" s="16">
        <f>M831/VLOOKUP($D831,CPI!$P$16:$R$22,3,FALSE)</f>
        <v>2798.9419625919695</v>
      </c>
      <c r="O831">
        <v>0</v>
      </c>
    </row>
    <row r="832" spans="1:15" ht="16" thickBot="1" x14ac:dyDescent="0.25">
      <c r="A832" s="15">
        <v>2</v>
      </c>
      <c r="B832">
        <f t="shared" si="12"/>
        <v>1</v>
      </c>
      <c r="C832">
        <f>IF(ISBLANK(H832),"",VLOOKUP(H832,Code!B:C,2,FALSE))</f>
        <v>23</v>
      </c>
      <c r="D832">
        <v>2022</v>
      </c>
      <c r="E832">
        <v>230782</v>
      </c>
      <c r="F832" t="s">
        <v>246</v>
      </c>
      <c r="G832" t="s">
        <v>290</v>
      </c>
      <c r="H832" t="s">
        <v>10</v>
      </c>
      <c r="I832" cm="1">
        <f t="array" ref="I832">IF(B832=0,INDEX('Category 14'!F:F,MATCH(C832&amp;E832&amp;D832,'Category 14'!B:B&amp;'Category 14'!C:C&amp;'Category 14'!A:A,0)),INDEX('Category 14'!G:G,MATCH(C832&amp;E832&amp;D832,'Category 14'!B:B&amp;'Category 14'!C:C&amp;'Category 14'!A:A,0)))</f>
        <v>0</v>
      </c>
      <c r="J832">
        <f>I832/VLOOKUP($D832,CPI!$P$16:$R$22,3,FALSE)</f>
        <v>0</v>
      </c>
      <c r="K832" cm="1">
        <f t="array" ref="K832">IF(B832=0,INDEX('Category 15'!F:F,MATCH(C832&amp;E832&amp;D832,'Category 15'!B:B&amp;'Category 15'!C:C&amp;'Category 15'!A:A,0)),INDEX('Category 15'!G:G,MATCH(C832&amp;E832&amp;D832,'Category 15'!B:B&amp;'Category 31'!C:C&amp;'Category 15'!A:A,0)))</f>
        <v>0</v>
      </c>
      <c r="L832">
        <f>K832/VLOOKUP($D832,CPI!$P$16:$R$22,3,FALSE)</f>
        <v>0</v>
      </c>
      <c r="M832" s="16" cm="1">
        <f t="array" ref="M832">IF(B832=0,INDEX('Category 31'!F:F,MATCH(C832&amp;E832&amp;D832,'Category 31'!B:B&amp;'Category 31'!C:C&amp;'Category 31'!A:A,0)),INDEX('Category 31'!G:G,MATCH(C832&amp;E832&amp;D832,'Category 31'!B:B&amp;'Category 31'!C:C&amp;'Category 31'!A:A,0)))</f>
        <v>1458</v>
      </c>
      <c r="N832" s="16">
        <f>M832/VLOOKUP($D832,CPI!$P$16:$R$22,3,FALSE)</f>
        <v>1549.3004485417962</v>
      </c>
      <c r="O832">
        <f>VLOOKUP(E832,WVolleyball!C:S,11,FALSE)</f>
        <v>9878</v>
      </c>
    </row>
    <row r="833" spans="1:15" ht="16" thickBot="1" x14ac:dyDescent="0.25">
      <c r="A833" s="15">
        <v>2</v>
      </c>
      <c r="B833">
        <f t="shared" si="12"/>
        <v>0</v>
      </c>
      <c r="C833">
        <f>IF(ISBLANK(H833),"",VLOOKUP(H833,Code!B:C,2,FALSE))</f>
        <v>2</v>
      </c>
      <c r="D833">
        <v>2023</v>
      </c>
      <c r="E833">
        <v>230782</v>
      </c>
      <c r="F833" t="s">
        <v>246</v>
      </c>
      <c r="G833" t="s">
        <v>289</v>
      </c>
      <c r="H833" t="s">
        <v>1</v>
      </c>
      <c r="I833" cm="1">
        <f t="array" ref="I833">IF(B833=0,INDEX('Category 14'!F:F,MATCH(C833&amp;E833&amp;D833,'Category 14'!B:B&amp;'Category 14'!C:C&amp;'Category 14'!A:A,0)),INDEX('Category 14'!G:G,MATCH(C833&amp;E833&amp;D833,'Category 14'!B:B&amp;'Category 14'!C:C&amp;'Category 14'!A:A,0)))</f>
        <v>0</v>
      </c>
      <c r="J833">
        <f>I833/VLOOKUP($D833,CPI!$P$16:$R$22,3,FALSE)</f>
        <v>0</v>
      </c>
      <c r="K833" cm="1">
        <f t="array" ref="K833">IF(B833=0,INDEX('Category 15'!F:F,MATCH(C833&amp;E833&amp;D833,'Category 15'!B:B&amp;'Category 15'!C:C&amp;'Category 15'!A:A,0)),INDEX('Category 15'!G:G,MATCH(C833&amp;E833&amp;D833,'Category 15'!B:B&amp;'Category 31'!C:C&amp;'Category 15'!A:A,0)))</f>
        <v>490514</v>
      </c>
      <c r="L833">
        <f>K833/VLOOKUP($D833,CPI!$P$16:$R$22,3,FALSE)</f>
        <v>490514</v>
      </c>
      <c r="M833" s="16" cm="1">
        <f t="array" ref="M833">IF(B833=0,INDEX('Category 31'!F:F,MATCH(C833&amp;E833&amp;D833,'Category 31'!B:B&amp;'Category 31'!C:C&amp;'Category 31'!A:A,0)),INDEX('Category 31'!G:G,MATCH(C833&amp;E833&amp;D833,'Category 31'!B:B&amp;'Category 31'!C:C&amp;'Category 31'!A:A,0)))</f>
        <v>20027</v>
      </c>
      <c r="N833" s="16">
        <f>M833/VLOOKUP($D833,CPI!$P$16:$R$22,3,FALSE)</f>
        <v>20027</v>
      </c>
      <c r="O833">
        <f>VLOOKUP(E833,MBasketball!C:S,12,FALSE)</f>
        <v>61792</v>
      </c>
    </row>
    <row r="834" spans="1:15" ht="16" thickBot="1" x14ac:dyDescent="0.25">
      <c r="A834" s="15">
        <v>2</v>
      </c>
      <c r="B834">
        <f t="shared" si="12"/>
        <v>0</v>
      </c>
      <c r="C834">
        <f>IF(ISBLANK(H834),"",VLOOKUP(H834,Code!B:C,2,FALSE))</f>
        <v>8</v>
      </c>
      <c r="D834">
        <v>2023</v>
      </c>
      <c r="E834">
        <v>230782</v>
      </c>
      <c r="F834" t="s">
        <v>246</v>
      </c>
      <c r="G834" t="s">
        <v>289</v>
      </c>
      <c r="H834" t="s">
        <v>2</v>
      </c>
      <c r="I834" cm="1">
        <f t="array" ref="I834">IF(B834=0,INDEX('Category 14'!F:F,MATCH(C834&amp;E834&amp;D834,'Category 14'!B:B&amp;'Category 14'!C:C&amp;'Category 14'!A:A,0)),INDEX('Category 14'!G:G,MATCH(C834&amp;E834&amp;D834,'Category 14'!B:B&amp;'Category 14'!C:C&amp;'Category 14'!A:A,0)))</f>
        <v>19175</v>
      </c>
      <c r="J834">
        <f>I834/VLOOKUP($D834,CPI!$P$16:$R$22,3,FALSE)</f>
        <v>19175</v>
      </c>
      <c r="K834" cm="1">
        <f t="array" ref="K834">IF(B834=0,INDEX('Category 15'!F:F,MATCH(C834&amp;E834&amp;D834,'Category 15'!B:B&amp;'Category 15'!C:C&amp;'Category 15'!A:A,0)),INDEX('Category 15'!G:G,MATCH(C834&amp;E834&amp;D834,'Category 15'!B:B&amp;'Category 31'!C:C&amp;'Category 15'!A:A,0)))</f>
        <v>401330</v>
      </c>
      <c r="L834">
        <f>K834/VLOOKUP($D834,CPI!$P$16:$R$22,3,FALSE)</f>
        <v>401330</v>
      </c>
      <c r="M834" s="16" cm="1">
        <f t="array" ref="M834">IF(B834=0,INDEX('Category 31'!F:F,MATCH(C834&amp;E834&amp;D834,'Category 31'!B:B&amp;'Category 31'!C:C&amp;'Category 31'!A:A,0)),INDEX('Category 31'!G:G,MATCH(C834&amp;E834&amp;D834,'Category 31'!B:B&amp;'Category 31'!C:C&amp;'Category 31'!A:A,0)))</f>
        <v>19392</v>
      </c>
      <c r="N834" s="16">
        <f>M834/VLOOKUP($D834,CPI!$P$16:$R$22,3,FALSE)</f>
        <v>19392</v>
      </c>
      <c r="O834">
        <f>VLOOKUP(E834,MFootball!C:S,12,FALSE)</f>
        <v>57406</v>
      </c>
    </row>
    <row r="835" spans="1:15" ht="16" thickBot="1" x14ac:dyDescent="0.25">
      <c r="A835" s="15">
        <v>2</v>
      </c>
      <c r="B835">
        <f t="shared" ref="B835:B844" si="13">IF(ISBLANK(G835),"",IF(MID(G835,1,1)="M",0,1))</f>
        <v>0</v>
      </c>
      <c r="C835">
        <f>IF(ISBLANK(H835),"",VLOOKUP(H835,Code!B:C,2,FALSE))</f>
        <v>9</v>
      </c>
      <c r="D835">
        <v>2023</v>
      </c>
      <c r="E835">
        <v>230782</v>
      </c>
      <c r="F835" t="s">
        <v>246</v>
      </c>
      <c r="G835" t="s">
        <v>289</v>
      </c>
      <c r="H835" t="s">
        <v>3</v>
      </c>
      <c r="I835" cm="1">
        <f t="array" ref="I835">IF(B835=0,INDEX('Category 14'!F:F,MATCH(C835&amp;E835&amp;D835,'Category 14'!B:B&amp;'Category 14'!C:C&amp;'Category 14'!A:A,0)),INDEX('Category 14'!G:G,MATCH(C835&amp;E835&amp;D835,'Category 14'!B:B&amp;'Category 14'!C:C&amp;'Category 14'!A:A,0)))</f>
        <v>0</v>
      </c>
      <c r="J835">
        <f>I835/VLOOKUP($D835,CPI!$P$16:$R$22,3,FALSE)</f>
        <v>0</v>
      </c>
      <c r="K835" cm="1">
        <f t="array" ref="K835">IF(B835=0,INDEX('Category 15'!F:F,MATCH(C835&amp;E835&amp;D835,'Category 15'!B:B&amp;'Category 15'!C:C&amp;'Category 15'!A:A,0)),INDEX('Category 15'!G:G,MATCH(C835&amp;E835&amp;D835,'Category 15'!B:B&amp;'Category 31'!C:C&amp;'Category 15'!A:A,0)))</f>
        <v>0</v>
      </c>
      <c r="L835">
        <f>K835/VLOOKUP($D835,CPI!$P$16:$R$22,3,FALSE)</f>
        <v>0</v>
      </c>
      <c r="M835" s="16" cm="1">
        <f t="array" ref="M835">IF(B835=0,INDEX('Category 31'!F:F,MATCH(C835&amp;E835&amp;D835,'Category 31'!B:B&amp;'Category 31'!C:C&amp;'Category 31'!A:A,0)),INDEX('Category 31'!G:G,MATCH(C835&amp;E835&amp;D835,'Category 31'!B:B&amp;'Category 31'!C:C&amp;'Category 31'!A:A,0)))</f>
        <v>12422</v>
      </c>
      <c r="N835" s="16">
        <f>M835/VLOOKUP($D835,CPI!$P$16:$R$22,3,FALSE)</f>
        <v>12422</v>
      </c>
      <c r="O835">
        <v>0</v>
      </c>
    </row>
    <row r="836" spans="1:15" ht="16" thickBot="1" x14ac:dyDescent="0.25">
      <c r="A836" s="15">
        <v>2</v>
      </c>
      <c r="B836">
        <f t="shared" si="13"/>
        <v>0</v>
      </c>
      <c r="C836">
        <f>IF(ISBLANK(H836),"",VLOOKUP(H836,Code!B:C,2,FALSE))</f>
        <v>20</v>
      </c>
      <c r="D836">
        <v>2023</v>
      </c>
      <c r="E836">
        <v>230782</v>
      </c>
      <c r="F836" t="s">
        <v>246</v>
      </c>
      <c r="G836" t="s">
        <v>289</v>
      </c>
      <c r="H836" t="s">
        <v>8</v>
      </c>
      <c r="I836" cm="1">
        <f t="array" ref="I836">IF(B836=0,INDEX('Category 14'!F:F,MATCH(C836&amp;E836&amp;D836,'Category 14'!B:B&amp;'Category 14'!C:C&amp;'Category 14'!A:A,0)),INDEX('Category 14'!G:G,MATCH(C836&amp;E836&amp;D836,'Category 14'!B:B&amp;'Category 14'!C:C&amp;'Category 14'!A:A,0)))</f>
        <v>0</v>
      </c>
      <c r="J836">
        <f>I836/VLOOKUP($D836,CPI!$P$16:$R$22,3,FALSE)</f>
        <v>0</v>
      </c>
      <c r="K836" cm="1">
        <f t="array" ref="K836">IF(B836=0,INDEX('Category 15'!F:F,MATCH(C836&amp;E836&amp;D836,'Category 15'!B:B&amp;'Category 15'!C:C&amp;'Category 15'!A:A,0)),INDEX('Category 15'!G:G,MATCH(C836&amp;E836&amp;D836,'Category 15'!B:B&amp;'Category 31'!C:C&amp;'Category 15'!A:A,0)))</f>
        <v>0</v>
      </c>
      <c r="L836">
        <f>K836/VLOOKUP($D836,CPI!$P$16:$R$22,3,FALSE)</f>
        <v>0</v>
      </c>
      <c r="M836" s="16" cm="1">
        <f t="array" ref="M836">IF(B836=0,INDEX('Category 31'!F:F,MATCH(C836&amp;E836&amp;D836,'Category 31'!B:B&amp;'Category 31'!C:C&amp;'Category 31'!A:A,0)),INDEX('Category 31'!G:G,MATCH(C836&amp;E836&amp;D836,'Category 31'!B:B&amp;'Category 31'!C:C&amp;'Category 31'!A:A,0)))</f>
        <v>0</v>
      </c>
      <c r="N836" s="16">
        <f>M836/VLOOKUP($D836,CPI!$P$16:$R$22,3,FALSE)</f>
        <v>0</v>
      </c>
      <c r="O836">
        <v>0</v>
      </c>
    </row>
    <row r="837" spans="1:15" ht="16" thickBot="1" x14ac:dyDescent="0.25">
      <c r="A837" s="15">
        <v>2</v>
      </c>
      <c r="B837">
        <f t="shared" si="13"/>
        <v>0</v>
      </c>
      <c r="C837">
        <f>IF(ISBLANK(H837),"",VLOOKUP(H837,Code!B:C,2,FALSE))</f>
        <v>21</v>
      </c>
      <c r="D837">
        <v>2023</v>
      </c>
      <c r="E837">
        <v>230782</v>
      </c>
      <c r="F837" t="s">
        <v>246</v>
      </c>
      <c r="G837" t="s">
        <v>289</v>
      </c>
      <c r="H837" t="s">
        <v>9</v>
      </c>
      <c r="I837" cm="1">
        <f t="array" ref="I837">IF(B837=0,INDEX('Category 14'!F:F,MATCH(C837&amp;E837&amp;D837,'Category 14'!B:B&amp;'Category 14'!C:C&amp;'Category 14'!A:A,0)),INDEX('Category 14'!G:G,MATCH(C837&amp;E837&amp;D837,'Category 14'!B:B&amp;'Category 14'!C:C&amp;'Category 14'!A:A,0)))</f>
        <v>0</v>
      </c>
      <c r="J837">
        <f>I837/VLOOKUP($D837,CPI!$P$16:$R$22,3,FALSE)</f>
        <v>0</v>
      </c>
      <c r="K837" cm="1">
        <f t="array" ref="K837">IF(B837=0,INDEX('Category 15'!F:F,MATCH(C837&amp;E837&amp;D837,'Category 15'!B:B&amp;'Category 15'!C:C&amp;'Category 15'!A:A,0)),INDEX('Category 15'!G:G,MATCH(C837&amp;E837&amp;D837,'Category 15'!B:B&amp;'Category 31'!C:C&amp;'Category 15'!A:A,0)))</f>
        <v>0</v>
      </c>
      <c r="L837">
        <f>K837/VLOOKUP($D837,CPI!$P$16:$R$22,3,FALSE)</f>
        <v>0</v>
      </c>
      <c r="M837" s="16" cm="1">
        <f t="array" ref="M837">IF(B837=0,INDEX('Category 31'!F:F,MATCH(C837&amp;E837&amp;D837,'Category 31'!B:B&amp;'Category 31'!C:C&amp;'Category 31'!A:A,0)),INDEX('Category 31'!G:G,MATCH(C837&amp;E837&amp;D837,'Category 31'!B:B&amp;'Category 31'!C:C&amp;'Category 31'!A:A,0)))</f>
        <v>2622</v>
      </c>
      <c r="N837" s="16">
        <f>M837/VLOOKUP($D837,CPI!$P$16:$R$22,3,FALSE)</f>
        <v>2622</v>
      </c>
      <c r="O837">
        <v>0</v>
      </c>
    </row>
    <row r="838" spans="1:15" ht="16" thickBot="1" x14ac:dyDescent="0.25">
      <c r="A838" s="15">
        <v>2</v>
      </c>
      <c r="B838">
        <f t="shared" si="13"/>
        <v>1</v>
      </c>
      <c r="C838">
        <f>IF(ISBLANK(H838),"",VLOOKUP(H838,Code!B:C,2,FALSE))</f>
        <v>2</v>
      </c>
      <c r="D838">
        <v>2023</v>
      </c>
      <c r="E838">
        <v>230782</v>
      </c>
      <c r="F838" t="s">
        <v>246</v>
      </c>
      <c r="G838" t="s">
        <v>290</v>
      </c>
      <c r="H838" t="s">
        <v>1</v>
      </c>
      <c r="I838" cm="1">
        <f t="array" ref="I838">IF(B838=0,INDEX('Category 14'!F:F,MATCH(C838&amp;E838&amp;D838,'Category 14'!B:B&amp;'Category 14'!C:C&amp;'Category 14'!A:A,0)),INDEX('Category 14'!G:G,MATCH(C838&amp;E838&amp;D838,'Category 14'!B:B&amp;'Category 14'!C:C&amp;'Category 14'!A:A,0)))</f>
        <v>0</v>
      </c>
      <c r="J838">
        <f>I838/VLOOKUP($D838,CPI!$P$16:$R$22,3,FALSE)</f>
        <v>0</v>
      </c>
      <c r="K838" cm="1">
        <f t="array" ref="K838">IF(B838=0,INDEX('Category 15'!F:F,MATCH(C838&amp;E838&amp;D838,'Category 15'!B:B&amp;'Category 15'!C:C&amp;'Category 15'!A:A,0)),INDEX('Category 15'!G:G,MATCH(C838&amp;E838&amp;D838,'Category 15'!B:B&amp;'Category 31'!C:C&amp;'Category 15'!A:A,0)))</f>
        <v>0</v>
      </c>
      <c r="L838">
        <f>K838/VLOOKUP($D838,CPI!$P$16:$R$22,3,FALSE)</f>
        <v>0</v>
      </c>
      <c r="M838" s="16" cm="1">
        <f t="array" ref="M838">IF(B838=0,INDEX('Category 31'!F:F,MATCH(C838&amp;E838&amp;D838,'Category 31'!B:B&amp;'Category 31'!C:C&amp;'Category 31'!A:A,0)),INDEX('Category 31'!G:G,MATCH(C838&amp;E838&amp;D838,'Category 31'!B:B&amp;'Category 31'!C:C&amp;'Category 31'!A:A,0)))</f>
        <v>1708</v>
      </c>
      <c r="N838" s="16">
        <f>M838/VLOOKUP($D838,CPI!$P$16:$R$22,3,FALSE)</f>
        <v>1708</v>
      </c>
      <c r="O838">
        <f>VLOOKUP(E838,WBasketball!C:S,12,FALSE)</f>
        <v>5944</v>
      </c>
    </row>
    <row r="839" spans="1:15" ht="16" thickBot="1" x14ac:dyDescent="0.25">
      <c r="A839" s="15">
        <v>2</v>
      </c>
      <c r="B839">
        <f t="shared" si="13"/>
        <v>1</v>
      </c>
      <c r="C839">
        <f>IF(ISBLANK(H839),"",VLOOKUP(H839,Code!B:C,2,FALSE))</f>
        <v>9</v>
      </c>
      <c r="D839">
        <v>2023</v>
      </c>
      <c r="E839">
        <v>230782</v>
      </c>
      <c r="F839" t="s">
        <v>246</v>
      </c>
      <c r="G839" t="s">
        <v>290</v>
      </c>
      <c r="H839" t="s">
        <v>3</v>
      </c>
      <c r="I839" cm="1">
        <f t="array" ref="I839">IF(B839=0,INDEX('Category 14'!F:F,MATCH(C839&amp;E839&amp;D839,'Category 14'!B:B&amp;'Category 14'!C:C&amp;'Category 14'!A:A,0)),INDEX('Category 14'!G:G,MATCH(C839&amp;E839&amp;D839,'Category 14'!B:B&amp;'Category 14'!C:C&amp;'Category 14'!A:A,0)))</f>
        <v>0</v>
      </c>
      <c r="J839">
        <f>I839/VLOOKUP($D839,CPI!$P$16:$R$22,3,FALSE)</f>
        <v>0</v>
      </c>
      <c r="K839" cm="1">
        <f t="array" ref="K839">IF(B839=0,INDEX('Category 15'!F:F,MATCH(C839&amp;E839&amp;D839,'Category 15'!B:B&amp;'Category 15'!C:C&amp;'Category 15'!A:A,0)),INDEX('Category 15'!G:G,MATCH(C839&amp;E839&amp;D839,'Category 15'!B:B&amp;'Category 31'!C:C&amp;'Category 15'!A:A,0)))</f>
        <v>0</v>
      </c>
      <c r="L839">
        <f>K839/VLOOKUP($D839,CPI!$P$16:$R$22,3,FALSE)</f>
        <v>0</v>
      </c>
      <c r="M839" s="16" cm="1">
        <f t="array" ref="M839">IF(B839=0,INDEX('Category 31'!F:F,MATCH(C839&amp;E839&amp;D839,'Category 31'!B:B&amp;'Category 31'!C:C&amp;'Category 31'!A:A,0)),INDEX('Category 31'!G:G,MATCH(C839&amp;E839&amp;D839,'Category 31'!B:B&amp;'Category 31'!C:C&amp;'Category 31'!A:A,0)))</f>
        <v>12499</v>
      </c>
      <c r="N839" s="16">
        <f>M839/VLOOKUP($D839,CPI!$P$16:$R$22,3,FALSE)</f>
        <v>12499</v>
      </c>
      <c r="O839">
        <v>0</v>
      </c>
    </row>
    <row r="840" spans="1:15" ht="16" thickBot="1" x14ac:dyDescent="0.25">
      <c r="A840" s="15">
        <v>2</v>
      </c>
      <c r="B840">
        <f t="shared" si="13"/>
        <v>1</v>
      </c>
      <c r="C840">
        <f>IF(ISBLANK(H840),"",VLOOKUP(H840,Code!B:C,2,FALSE))</f>
        <v>17</v>
      </c>
      <c r="D840">
        <v>2023</v>
      </c>
      <c r="E840">
        <v>230782</v>
      </c>
      <c r="F840" t="s">
        <v>246</v>
      </c>
      <c r="G840" t="s">
        <v>290</v>
      </c>
      <c r="H840" t="s">
        <v>5</v>
      </c>
      <c r="I840" cm="1">
        <f t="array" ref="I840">IF(B840=0,INDEX('Category 14'!F:F,MATCH(C840&amp;E840&amp;D840,'Category 14'!B:B&amp;'Category 14'!C:C&amp;'Category 14'!A:A,0)),INDEX('Category 14'!G:G,MATCH(C840&amp;E840&amp;D840,'Category 14'!B:B&amp;'Category 14'!C:C&amp;'Category 14'!A:A,0)))</f>
        <v>0</v>
      </c>
      <c r="J840">
        <f>I840/VLOOKUP($D840,CPI!$P$16:$R$22,3,FALSE)</f>
        <v>0</v>
      </c>
      <c r="K840" cm="1">
        <f t="array" ref="K840">IF(B840=0,INDEX('Category 15'!F:F,MATCH(C840&amp;E840&amp;D840,'Category 15'!B:B&amp;'Category 15'!C:C&amp;'Category 15'!A:A,0)),INDEX('Category 15'!G:G,MATCH(C840&amp;E840&amp;D840,'Category 15'!B:B&amp;'Category 31'!C:C&amp;'Category 15'!A:A,0)))</f>
        <v>0</v>
      </c>
      <c r="L840">
        <f>K840/VLOOKUP($D840,CPI!$P$16:$R$22,3,FALSE)</f>
        <v>0</v>
      </c>
      <c r="M840" s="16" cm="1">
        <f t="array" ref="M840">IF(B840=0,INDEX('Category 31'!F:F,MATCH(C840&amp;E840&amp;D840,'Category 31'!B:B&amp;'Category 31'!C:C&amp;'Category 31'!A:A,0)),INDEX('Category 31'!G:G,MATCH(C840&amp;E840&amp;D840,'Category 31'!B:B&amp;'Category 31'!C:C&amp;'Category 31'!A:A,0)))</f>
        <v>480</v>
      </c>
      <c r="N840" s="16">
        <f>M840/VLOOKUP($D840,CPI!$P$16:$R$22,3,FALSE)</f>
        <v>480</v>
      </c>
      <c r="O840">
        <f>VLOOKUP(E840,WSoccer!C:S,12,FALSE)</f>
        <v>1282</v>
      </c>
    </row>
    <row r="841" spans="1:15" ht="16" thickBot="1" x14ac:dyDescent="0.25">
      <c r="A841" s="15">
        <v>2</v>
      </c>
      <c r="B841">
        <f t="shared" si="13"/>
        <v>1</v>
      </c>
      <c r="C841">
        <f>IF(ISBLANK(H841),"",VLOOKUP(H841,Code!B:C,2,FALSE))</f>
        <v>18</v>
      </c>
      <c r="D841">
        <v>2023</v>
      </c>
      <c r="E841">
        <v>230782</v>
      </c>
      <c r="F841" t="s">
        <v>246</v>
      </c>
      <c r="G841" t="s">
        <v>290</v>
      </c>
      <c r="H841" t="s">
        <v>6</v>
      </c>
      <c r="I841" cm="1">
        <f t="array" ref="I841">IF(B841=0,INDEX('Category 14'!F:F,MATCH(C841&amp;E841&amp;D841,'Category 14'!B:B&amp;'Category 14'!C:C&amp;'Category 14'!A:A,0)),INDEX('Category 14'!G:G,MATCH(C841&amp;E841&amp;D841,'Category 14'!B:B&amp;'Category 14'!C:C&amp;'Category 14'!A:A,0)))</f>
        <v>0</v>
      </c>
      <c r="J841">
        <f>I841/VLOOKUP($D841,CPI!$P$16:$R$22,3,FALSE)</f>
        <v>0</v>
      </c>
      <c r="K841" cm="1">
        <f t="array" ref="K841">IF(B841=0,INDEX('Category 15'!F:F,MATCH(C841&amp;E841&amp;D841,'Category 15'!B:B&amp;'Category 15'!C:C&amp;'Category 15'!A:A,0)),INDEX('Category 15'!G:G,MATCH(C841&amp;E841&amp;D841,'Category 15'!B:B&amp;'Category 31'!C:C&amp;'Category 15'!A:A,0)))</f>
        <v>0</v>
      </c>
      <c r="L841">
        <f>K841/VLOOKUP($D841,CPI!$P$16:$R$22,3,FALSE)</f>
        <v>0</v>
      </c>
      <c r="M841" s="16" cm="1">
        <f t="array" ref="M841">IF(B841=0,INDEX('Category 31'!F:F,MATCH(C841&amp;E841&amp;D841,'Category 31'!B:B&amp;'Category 31'!C:C&amp;'Category 31'!A:A,0)),INDEX('Category 31'!G:G,MATCH(C841&amp;E841&amp;D841,'Category 31'!B:B&amp;'Category 31'!C:C&amp;'Category 31'!A:A,0)))</f>
        <v>2639</v>
      </c>
      <c r="N841" s="16">
        <f>M841/VLOOKUP($D841,CPI!$P$16:$R$22,3,FALSE)</f>
        <v>2639</v>
      </c>
      <c r="O841">
        <f>VLOOKUP(E841,WSoftball!C:S,12,FALSE)</f>
        <v>2232</v>
      </c>
    </row>
    <row r="842" spans="1:15" ht="16" thickBot="1" x14ac:dyDescent="0.25">
      <c r="A842" s="15">
        <v>2</v>
      </c>
      <c r="B842">
        <f t="shared" si="13"/>
        <v>1</v>
      </c>
      <c r="C842">
        <f>IF(ISBLANK(H842),"",VLOOKUP(H842,Code!B:C,2,FALSE))</f>
        <v>20</v>
      </c>
      <c r="D842">
        <v>2023</v>
      </c>
      <c r="E842">
        <v>230782</v>
      </c>
      <c r="F842" t="s">
        <v>246</v>
      </c>
      <c r="G842" t="s">
        <v>290</v>
      </c>
      <c r="H842" t="s">
        <v>8</v>
      </c>
      <c r="I842" cm="1">
        <f t="array" ref="I842">IF(B842=0,INDEX('Category 14'!F:F,MATCH(C842&amp;E842&amp;D842,'Category 14'!B:B&amp;'Category 14'!C:C&amp;'Category 14'!A:A,0)),INDEX('Category 14'!G:G,MATCH(C842&amp;E842&amp;D842,'Category 14'!B:B&amp;'Category 14'!C:C&amp;'Category 14'!A:A,0)))</f>
        <v>0</v>
      </c>
      <c r="J842">
        <f>I842/VLOOKUP($D842,CPI!$P$16:$R$22,3,FALSE)</f>
        <v>0</v>
      </c>
      <c r="K842">
        <v>0</v>
      </c>
      <c r="L842">
        <f>K842/VLOOKUP($D842,CPI!$P$16:$R$22,3,FALSE)</f>
        <v>0</v>
      </c>
      <c r="M842" s="16" cm="1">
        <f t="array" ref="M842">IF(B842=0,INDEX('Category 31'!F:F,MATCH(C842&amp;E842&amp;D842,'Category 31'!B:B&amp;'Category 31'!C:C&amp;'Category 31'!A:A,0)),INDEX('Category 31'!G:G,MATCH(C842&amp;E842&amp;D842,'Category 31'!B:B&amp;'Category 31'!C:C&amp;'Category 31'!A:A,0)))</f>
        <v>0</v>
      </c>
      <c r="N842" s="16">
        <f>M842/VLOOKUP($D842,CPI!$P$16:$R$22,3,FALSE)</f>
        <v>0</v>
      </c>
      <c r="O842">
        <v>0</v>
      </c>
    </row>
    <row r="843" spans="1:15" ht="16" thickBot="1" x14ac:dyDescent="0.25">
      <c r="A843" s="15">
        <v>2</v>
      </c>
      <c r="B843">
        <f t="shared" si="13"/>
        <v>1</v>
      </c>
      <c r="C843">
        <f>IF(ISBLANK(H843),"",VLOOKUP(H843,Code!B:C,2,FALSE))</f>
        <v>21</v>
      </c>
      <c r="D843">
        <v>2023</v>
      </c>
      <c r="E843">
        <v>230782</v>
      </c>
      <c r="F843" t="s">
        <v>246</v>
      </c>
      <c r="G843" t="s">
        <v>290</v>
      </c>
      <c r="H843" t="s">
        <v>9</v>
      </c>
      <c r="I843" cm="1">
        <f t="array" ref="I843">IF(B843=0,INDEX('Category 14'!F:F,MATCH(C843&amp;E843&amp;D843,'Category 14'!B:B&amp;'Category 14'!C:C&amp;'Category 14'!A:A,0)),INDEX('Category 14'!G:G,MATCH(C843&amp;E843&amp;D843,'Category 14'!B:B&amp;'Category 14'!C:C&amp;'Category 14'!A:A,0)))</f>
        <v>0</v>
      </c>
      <c r="J843">
        <f>I843/VLOOKUP($D843,CPI!$P$16:$R$22,3,FALSE)</f>
        <v>0</v>
      </c>
      <c r="K843">
        <v>0</v>
      </c>
      <c r="L843">
        <f>K843/VLOOKUP($D843,CPI!$P$16:$R$22,3,FALSE)</f>
        <v>0</v>
      </c>
      <c r="M843" s="16" cm="1">
        <f t="array" ref="M843">IF(B843=0,INDEX('Category 31'!F:F,MATCH(C843&amp;E843&amp;D843,'Category 31'!B:B&amp;'Category 31'!C:C&amp;'Category 31'!A:A,0)),INDEX('Category 31'!G:G,MATCH(C843&amp;E843&amp;D843,'Category 31'!B:B&amp;'Category 31'!C:C&amp;'Category 31'!A:A,0)))</f>
        <v>2899</v>
      </c>
      <c r="N843" s="16">
        <f>M843/VLOOKUP($D843,CPI!$P$16:$R$22,3,FALSE)</f>
        <v>2899</v>
      </c>
      <c r="O843">
        <v>0</v>
      </c>
    </row>
    <row r="844" spans="1:15" ht="16" thickBot="1" x14ac:dyDescent="0.25">
      <c r="A844" s="15">
        <v>2</v>
      </c>
      <c r="B844">
        <f t="shared" si="13"/>
        <v>1</v>
      </c>
      <c r="C844">
        <f>IF(ISBLANK(H844),"",VLOOKUP(H844,Code!B:C,2,FALSE))</f>
        <v>23</v>
      </c>
      <c r="D844">
        <v>2023</v>
      </c>
      <c r="E844">
        <v>230782</v>
      </c>
      <c r="F844" t="s">
        <v>246</v>
      </c>
      <c r="G844" t="s">
        <v>290</v>
      </c>
      <c r="H844" t="s">
        <v>10</v>
      </c>
      <c r="I844" cm="1">
        <f t="array" ref="I844">IF(B844=0,INDEX('Category 14'!F:F,MATCH(C844&amp;E844&amp;D844,'Category 14'!B:B&amp;'Category 14'!C:C&amp;'Category 14'!A:A,0)),INDEX('Category 14'!G:G,MATCH(C844&amp;E844&amp;D844,'Category 14'!B:B&amp;'Category 14'!C:C&amp;'Category 14'!A:A,0)))</f>
        <v>0</v>
      </c>
      <c r="J844">
        <f>I844/VLOOKUP($D844,CPI!$P$16:$R$22,3,FALSE)</f>
        <v>0</v>
      </c>
      <c r="K844" cm="1">
        <f t="array" ref="K844">IF(B844=0,INDEX('Category 15'!F:F,MATCH(C844&amp;E844&amp;D844,'Category 15'!B:B&amp;'Category 15'!C:C&amp;'Category 15'!A:A,0)),INDEX('Category 15'!G:G,MATCH(C844&amp;E844&amp;D844,'Category 15'!B:B&amp;'Category 31'!C:C&amp;'Category 15'!A:A,0)))</f>
        <v>0</v>
      </c>
      <c r="L844">
        <f>K844/VLOOKUP($D844,CPI!$P$16:$R$22,3,FALSE)</f>
        <v>0</v>
      </c>
      <c r="M844" s="16" cm="1">
        <f t="array" ref="M844">IF(B844=0,INDEX('Category 31'!F:F,MATCH(C844&amp;E844&amp;D844,'Category 31'!B:B&amp;'Category 31'!C:C&amp;'Category 31'!A:A,0)),INDEX('Category 31'!G:G,MATCH(C844&amp;E844&amp;D844,'Category 31'!B:B&amp;'Category 31'!C:C&amp;'Category 31'!A:A,0)))</f>
        <v>1182</v>
      </c>
      <c r="N844" s="16">
        <f>M844/VLOOKUP($D844,CPI!$P$16:$R$22,3,FALSE)</f>
        <v>1182</v>
      </c>
      <c r="O844">
        <f>VLOOKUP(E844,WVolleyball!C:S,12,FALSE)</f>
        <v>6594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8AF6-D21A-4E58-AF2B-8CD0B1922FE3}">
  <sheetPr>
    <tabColor theme="5"/>
  </sheetPr>
  <dimension ref="A1:H599"/>
  <sheetViews>
    <sheetView workbookViewId="0"/>
  </sheetViews>
  <sheetFormatPr baseColWidth="10" defaultColWidth="8.83203125" defaultRowHeight="15" x14ac:dyDescent="0.2"/>
  <cols>
    <col min="1" max="1" width="5" bestFit="1" customWidth="1"/>
    <col min="5" max="5" width="25.6640625" customWidth="1"/>
  </cols>
  <sheetData>
    <row r="1" spans="1:8" ht="12.75" customHeight="1" x14ac:dyDescent="0.2">
      <c r="A1" s="5" t="s">
        <v>16</v>
      </c>
      <c r="B1" t="s">
        <v>20</v>
      </c>
      <c r="C1" t="s">
        <v>15</v>
      </c>
      <c r="D1" t="s">
        <v>17</v>
      </c>
      <c r="E1" t="s">
        <v>19</v>
      </c>
      <c r="F1" t="s">
        <v>267</v>
      </c>
      <c r="G1" t="s">
        <v>268</v>
      </c>
      <c r="H1" t="s">
        <v>271</v>
      </c>
    </row>
    <row r="2" spans="1:8" x14ac:dyDescent="0.2">
      <c r="A2">
        <v>2017</v>
      </c>
      <c r="B2">
        <f>IF(ISBLANK(E2),"",VLOOKUP(E2,Code!B:C,2,FALSE))</f>
        <v>1</v>
      </c>
      <c r="C2">
        <v>104179</v>
      </c>
      <c r="D2" t="s">
        <v>45</v>
      </c>
      <c r="E2" t="s">
        <v>0</v>
      </c>
      <c r="F2">
        <v>23795</v>
      </c>
    </row>
    <row r="3" spans="1:8" x14ac:dyDescent="0.2">
      <c r="A3">
        <v>2017</v>
      </c>
      <c r="B3">
        <f>IF(ISBLANK(E3),"",VLOOKUP(E3,Code!B:C,2,FALSE))</f>
        <v>2</v>
      </c>
      <c r="C3">
        <v>104179</v>
      </c>
      <c r="D3" t="s">
        <v>45</v>
      </c>
      <c r="E3" t="s">
        <v>1</v>
      </c>
      <c r="F3">
        <v>353895</v>
      </c>
    </row>
    <row r="4" spans="1:8" x14ac:dyDescent="0.2">
      <c r="A4">
        <v>2017</v>
      </c>
      <c r="B4">
        <f>IF(ISBLANK(E4),"",VLOOKUP(E4,Code!B:C,2,FALSE))</f>
        <v>3</v>
      </c>
      <c r="C4">
        <v>104179</v>
      </c>
      <c r="D4" t="s">
        <v>45</v>
      </c>
      <c r="E4" t="s">
        <v>21</v>
      </c>
      <c r="G4">
        <v>328</v>
      </c>
    </row>
    <row r="5" spans="1:8" x14ac:dyDescent="0.2">
      <c r="A5">
        <v>2017</v>
      </c>
      <c r="B5">
        <v>8</v>
      </c>
      <c r="C5">
        <v>104179</v>
      </c>
      <c r="D5" t="s">
        <v>45</v>
      </c>
      <c r="E5" t="s">
        <v>296</v>
      </c>
      <c r="F5">
        <v>659525</v>
      </c>
    </row>
    <row r="6" spans="1:8" x14ac:dyDescent="0.2">
      <c r="A6">
        <v>2017</v>
      </c>
      <c r="B6">
        <f>IF(ISBLANK(E6),"",VLOOKUP(E6,Code!B:C,2,FALSE))</f>
        <v>9</v>
      </c>
      <c r="C6">
        <v>104179</v>
      </c>
      <c r="D6" t="s">
        <v>45</v>
      </c>
      <c r="E6" t="s">
        <v>3</v>
      </c>
      <c r="F6" s="6">
        <v>18513</v>
      </c>
      <c r="G6" s="6">
        <v>4680</v>
      </c>
    </row>
    <row r="7" spans="1:8" x14ac:dyDescent="0.2">
      <c r="A7">
        <v>2017</v>
      </c>
      <c r="B7">
        <f>IF(ISBLANK(E7),"",VLOOKUP(E7,Code!B:C,2,FALSE))</f>
        <v>10</v>
      </c>
      <c r="C7">
        <v>104179</v>
      </c>
      <c r="D7" t="s">
        <v>45</v>
      </c>
      <c r="E7" t="s">
        <v>4</v>
      </c>
      <c r="G7">
        <v>295</v>
      </c>
    </row>
    <row r="8" spans="1:8" x14ac:dyDescent="0.2">
      <c r="A8">
        <v>2017</v>
      </c>
      <c r="B8">
        <f>IF(ISBLANK(E8),"",VLOOKUP(E8,Code!B:C,2,FALSE))</f>
        <v>17</v>
      </c>
      <c r="C8">
        <v>104179</v>
      </c>
      <c r="D8" t="s">
        <v>45</v>
      </c>
      <c r="E8" t="s">
        <v>5</v>
      </c>
      <c r="G8">
        <v>2346</v>
      </c>
    </row>
    <row r="9" spans="1:8" x14ac:dyDescent="0.2">
      <c r="A9">
        <v>2017</v>
      </c>
      <c r="B9">
        <f>IF(ISBLANK(E9),"",VLOOKUP(E9,Code!B:C,2,FALSE))</f>
        <v>18</v>
      </c>
      <c r="C9">
        <v>104179</v>
      </c>
      <c r="D9" t="s">
        <v>45</v>
      </c>
      <c r="E9" t="s">
        <v>6</v>
      </c>
      <c r="G9">
        <v>30388</v>
      </c>
    </row>
    <row r="10" spans="1:8" x14ac:dyDescent="0.2">
      <c r="A10">
        <v>2017</v>
      </c>
      <c r="B10">
        <f>IF(ISBLANK(E10),"",VLOOKUP(E10,Code!B:C,2,FALSE))</f>
        <v>19</v>
      </c>
      <c r="C10">
        <v>104179</v>
      </c>
      <c r="D10" t="s">
        <v>45</v>
      </c>
      <c r="E10" t="s">
        <v>7</v>
      </c>
      <c r="F10">
        <v>5787</v>
      </c>
      <c r="G10">
        <v>8180</v>
      </c>
    </row>
    <row r="11" spans="1:8" x14ac:dyDescent="0.2">
      <c r="A11">
        <v>2017</v>
      </c>
      <c r="B11">
        <f>IF(ISBLANK(E11),"",VLOOKUP(E11,Code!B:C,2,FALSE))</f>
        <v>20</v>
      </c>
      <c r="C11">
        <v>104179</v>
      </c>
      <c r="D11" t="s">
        <v>45</v>
      </c>
      <c r="E11" t="s">
        <v>8</v>
      </c>
      <c r="G11">
        <v>12187</v>
      </c>
    </row>
    <row r="12" spans="1:8" x14ac:dyDescent="0.2">
      <c r="A12">
        <v>2017</v>
      </c>
      <c r="B12">
        <f>IF(ISBLANK(E12),"",VLOOKUP(E12,Code!B:C,2,FALSE))</f>
        <v>21</v>
      </c>
      <c r="C12">
        <v>104179</v>
      </c>
      <c r="D12" t="s">
        <v>45</v>
      </c>
      <c r="E12" t="s">
        <v>36</v>
      </c>
      <c r="F12">
        <v>15915</v>
      </c>
      <c r="G12">
        <v>9702</v>
      </c>
    </row>
    <row r="13" spans="1:8" x14ac:dyDescent="0.2">
      <c r="A13">
        <v>2017</v>
      </c>
      <c r="B13">
        <f>IF(ISBLANK(E13),"",VLOOKUP(E13,Code!B:C,2,FALSE))</f>
        <v>23</v>
      </c>
      <c r="C13">
        <v>104179</v>
      </c>
      <c r="D13" t="s">
        <v>45</v>
      </c>
      <c r="E13" t="s">
        <v>10</v>
      </c>
      <c r="G13">
        <v>19455</v>
      </c>
    </row>
    <row r="14" spans="1:8" x14ac:dyDescent="0.2">
      <c r="A14">
        <v>2018</v>
      </c>
      <c r="B14">
        <f>IF(ISBLANK(E14),"",VLOOKUP(E14,Code!B:C,2,FALSE))</f>
        <v>1</v>
      </c>
      <c r="C14">
        <v>104179</v>
      </c>
      <c r="D14" t="s">
        <v>45</v>
      </c>
      <c r="E14" t="s">
        <v>0</v>
      </c>
      <c r="F14" s="6">
        <v>2150</v>
      </c>
    </row>
    <row r="15" spans="1:8" x14ac:dyDescent="0.2">
      <c r="A15">
        <v>2018</v>
      </c>
      <c r="B15">
        <f>IF(ISBLANK(E15),"",VLOOKUP(E15,Code!B:C,2,FALSE))</f>
        <v>2</v>
      </c>
      <c r="C15">
        <v>104179</v>
      </c>
      <c r="D15" t="s">
        <v>45</v>
      </c>
      <c r="E15" t="s">
        <v>1</v>
      </c>
      <c r="F15" s="6">
        <v>166804</v>
      </c>
    </row>
    <row r="16" spans="1:8" x14ac:dyDescent="0.2">
      <c r="A16">
        <v>2018</v>
      </c>
      <c r="B16">
        <f>IF(ISBLANK(E16),"",VLOOKUP(E16,Code!B:C,2,FALSE))</f>
        <v>8</v>
      </c>
      <c r="C16">
        <v>104179</v>
      </c>
      <c r="D16" t="s">
        <v>45</v>
      </c>
      <c r="E16" t="s">
        <v>2</v>
      </c>
      <c r="F16" s="6">
        <v>592731</v>
      </c>
    </row>
    <row r="17" spans="1:7" x14ac:dyDescent="0.2">
      <c r="A17">
        <v>2018</v>
      </c>
      <c r="B17">
        <f>IF(ISBLANK(E17),"",VLOOKUP(E17,Code!B:C,2,FALSE))</f>
        <v>21</v>
      </c>
      <c r="C17">
        <v>104179</v>
      </c>
      <c r="D17" t="s">
        <v>45</v>
      </c>
      <c r="E17" t="s">
        <v>36</v>
      </c>
      <c r="F17" s="6">
        <v>11082</v>
      </c>
      <c r="G17" s="6">
        <v>10223</v>
      </c>
    </row>
    <row r="18" spans="1:7" x14ac:dyDescent="0.2">
      <c r="A18">
        <v>2018</v>
      </c>
      <c r="B18">
        <f>IF(ISBLANK(E18),"",VLOOKUP(E18,Code!B:C,2,FALSE))</f>
        <v>3</v>
      </c>
      <c r="C18">
        <v>104179</v>
      </c>
      <c r="D18" t="s">
        <v>45</v>
      </c>
      <c r="E18" t="s">
        <v>21</v>
      </c>
    </row>
    <row r="19" spans="1:7" x14ac:dyDescent="0.2">
      <c r="A19">
        <v>2018</v>
      </c>
      <c r="B19">
        <f>IF(ISBLANK(E19),"",VLOOKUP(E19,Code!B:C,2,FALSE))</f>
        <v>9</v>
      </c>
      <c r="C19">
        <v>104179</v>
      </c>
      <c r="D19" t="s">
        <v>45</v>
      </c>
      <c r="E19" t="s">
        <v>3</v>
      </c>
      <c r="F19" s="6">
        <v>32700</v>
      </c>
      <c r="G19" s="6">
        <v>11085</v>
      </c>
    </row>
    <row r="20" spans="1:7" x14ac:dyDescent="0.2">
      <c r="A20">
        <v>2018</v>
      </c>
      <c r="B20">
        <f>IF(ISBLANK(E20),"",VLOOKUP(E20,Code!B:C,2,FALSE))</f>
        <v>10</v>
      </c>
      <c r="C20">
        <v>104179</v>
      </c>
      <c r="D20" t="s">
        <v>45</v>
      </c>
      <c r="E20" t="s">
        <v>4</v>
      </c>
      <c r="G20" s="6">
        <v>1937</v>
      </c>
    </row>
    <row r="21" spans="1:7" x14ac:dyDescent="0.2">
      <c r="A21">
        <v>2018</v>
      </c>
      <c r="B21">
        <f>IF(ISBLANK(E21),"",VLOOKUP(E21,Code!B:C,2,FALSE))</f>
        <v>17</v>
      </c>
      <c r="C21">
        <v>104179</v>
      </c>
      <c r="D21" t="s">
        <v>45</v>
      </c>
      <c r="E21" t="s">
        <v>5</v>
      </c>
      <c r="G21" s="6">
        <v>2300</v>
      </c>
    </row>
    <row r="22" spans="1:7" x14ac:dyDescent="0.2">
      <c r="A22">
        <v>2018</v>
      </c>
      <c r="B22">
        <f>IF(ISBLANK(E22),"",VLOOKUP(E22,Code!B:C,2,FALSE))</f>
        <v>18</v>
      </c>
      <c r="C22">
        <v>104179</v>
      </c>
      <c r="D22" t="s">
        <v>45</v>
      </c>
      <c r="E22" t="s">
        <v>6</v>
      </c>
    </row>
    <row r="23" spans="1:7" x14ac:dyDescent="0.2">
      <c r="A23">
        <v>2018</v>
      </c>
      <c r="B23">
        <f>IF(ISBLANK(E23),"",VLOOKUP(E23,Code!B:C,2,FALSE))</f>
        <v>19</v>
      </c>
      <c r="C23">
        <v>104179</v>
      </c>
      <c r="D23" t="s">
        <v>45</v>
      </c>
      <c r="E23" t="s">
        <v>7</v>
      </c>
      <c r="F23" s="6">
        <v>1296</v>
      </c>
      <c r="G23" s="6">
        <v>1121</v>
      </c>
    </row>
    <row r="24" spans="1:7" x14ac:dyDescent="0.2">
      <c r="A24">
        <v>2018</v>
      </c>
      <c r="B24">
        <f>IF(ISBLANK(E24),"",VLOOKUP(E24,Code!B:C,2,FALSE))</f>
        <v>20</v>
      </c>
      <c r="C24">
        <v>104179</v>
      </c>
      <c r="D24" t="s">
        <v>45</v>
      </c>
      <c r="E24" t="s">
        <v>8</v>
      </c>
      <c r="G24">
        <v>870</v>
      </c>
    </row>
    <row r="25" spans="1:7" x14ac:dyDescent="0.2">
      <c r="A25">
        <v>2018</v>
      </c>
      <c r="B25">
        <f>IF(ISBLANK(E25),"",VLOOKUP(E25,Code!B:C,2,FALSE))</f>
        <v>23</v>
      </c>
      <c r="C25">
        <v>104179</v>
      </c>
      <c r="D25" t="s">
        <v>45</v>
      </c>
      <c r="E25" t="s">
        <v>10</v>
      </c>
    </row>
    <row r="26" spans="1:7" x14ac:dyDescent="0.2">
      <c r="A26">
        <v>2019</v>
      </c>
      <c r="B26">
        <f>IF(ISBLANK(E26),"",VLOOKUP(E26,Code!B:C,2,FALSE))</f>
        <v>1</v>
      </c>
      <c r="C26">
        <v>104179</v>
      </c>
      <c r="D26" t="s">
        <v>45</v>
      </c>
      <c r="E26" t="s">
        <v>0</v>
      </c>
      <c r="F26" s="6">
        <v>3435</v>
      </c>
    </row>
    <row r="27" spans="1:7" x14ac:dyDescent="0.2">
      <c r="A27">
        <v>2019</v>
      </c>
      <c r="B27">
        <f>IF(ISBLANK(E27),"",VLOOKUP(E27,Code!B:C,2,FALSE))</f>
        <v>2</v>
      </c>
      <c r="C27">
        <v>104179</v>
      </c>
      <c r="D27" t="s">
        <v>45</v>
      </c>
      <c r="E27" t="s">
        <v>1</v>
      </c>
      <c r="F27" s="6">
        <v>45770</v>
      </c>
    </row>
    <row r="28" spans="1:7" x14ac:dyDescent="0.2">
      <c r="A28">
        <v>2019</v>
      </c>
      <c r="B28">
        <f>IF(ISBLANK(E28),"",VLOOKUP(E28,Code!B:C,2,FALSE))</f>
        <v>8</v>
      </c>
      <c r="C28">
        <v>104179</v>
      </c>
      <c r="D28" t="s">
        <v>45</v>
      </c>
      <c r="E28" t="s">
        <v>2</v>
      </c>
      <c r="F28" s="6">
        <v>471041</v>
      </c>
    </row>
    <row r="29" spans="1:7" x14ac:dyDescent="0.2">
      <c r="A29">
        <v>2019</v>
      </c>
      <c r="B29">
        <f>IF(ISBLANK(E29),"",VLOOKUP(E29,Code!B:C,2,FALSE))</f>
        <v>9</v>
      </c>
      <c r="C29">
        <v>104179</v>
      </c>
      <c r="D29" t="s">
        <v>45</v>
      </c>
      <c r="E29" t="s">
        <v>3</v>
      </c>
    </row>
    <row r="30" spans="1:7" x14ac:dyDescent="0.2">
      <c r="A30">
        <v>2019</v>
      </c>
      <c r="B30">
        <f>IF(ISBLANK(E30),"",VLOOKUP(E30,Code!B:C,2,FALSE))</f>
        <v>20</v>
      </c>
      <c r="C30">
        <v>104179</v>
      </c>
      <c r="D30" t="s">
        <v>45</v>
      </c>
      <c r="E30" t="s">
        <v>8</v>
      </c>
    </row>
    <row r="31" spans="1:7" x14ac:dyDescent="0.2">
      <c r="A31">
        <v>2019</v>
      </c>
      <c r="B31">
        <f>IF(ISBLANK(E31),"",VLOOKUP(E31,Code!B:C,2,FALSE))</f>
        <v>21</v>
      </c>
      <c r="C31">
        <v>104179</v>
      </c>
      <c r="D31" t="s">
        <v>45</v>
      </c>
      <c r="E31" t="s">
        <v>36</v>
      </c>
    </row>
    <row r="32" spans="1:7" x14ac:dyDescent="0.2">
      <c r="A32">
        <v>2019</v>
      </c>
      <c r="B32">
        <f>IF(ISBLANK(E32),"",VLOOKUP(E32,Code!B:C,2,FALSE))</f>
        <v>3</v>
      </c>
      <c r="C32">
        <v>104179</v>
      </c>
      <c r="D32" t="s">
        <v>45</v>
      </c>
      <c r="E32" t="s">
        <v>21</v>
      </c>
      <c r="G32">
        <v>590</v>
      </c>
    </row>
    <row r="33" spans="1:7" x14ac:dyDescent="0.2">
      <c r="A33">
        <v>2019</v>
      </c>
      <c r="B33">
        <f>IF(ISBLANK(E33),"",VLOOKUP(E33,Code!B:C,2,FALSE))</f>
        <v>10</v>
      </c>
      <c r="C33">
        <v>104179</v>
      </c>
      <c r="D33" t="s">
        <v>45</v>
      </c>
      <c r="E33" t="s">
        <v>4</v>
      </c>
    </row>
    <row r="34" spans="1:7" x14ac:dyDescent="0.2">
      <c r="A34">
        <v>2019</v>
      </c>
      <c r="B34">
        <f>IF(ISBLANK(E34),"",VLOOKUP(E34,Code!B:C,2,FALSE))</f>
        <v>17</v>
      </c>
      <c r="C34">
        <v>104179</v>
      </c>
      <c r="D34" t="s">
        <v>45</v>
      </c>
      <c r="E34" t="s">
        <v>5</v>
      </c>
      <c r="G34" s="6">
        <v>14756</v>
      </c>
    </row>
    <row r="35" spans="1:7" x14ac:dyDescent="0.2">
      <c r="A35">
        <v>2019</v>
      </c>
      <c r="B35">
        <f>IF(ISBLANK(E35),"",VLOOKUP(E35,Code!B:C,2,FALSE))</f>
        <v>18</v>
      </c>
      <c r="C35">
        <v>104179</v>
      </c>
      <c r="D35" t="s">
        <v>45</v>
      </c>
      <c r="E35" t="s">
        <v>6</v>
      </c>
    </row>
    <row r="36" spans="1:7" x14ac:dyDescent="0.2">
      <c r="A36">
        <v>2019</v>
      </c>
      <c r="B36">
        <f>IF(ISBLANK(E36),"",VLOOKUP(E36,Code!B:C,2,FALSE))</f>
        <v>19</v>
      </c>
      <c r="C36">
        <v>104179</v>
      </c>
      <c r="D36" t="s">
        <v>45</v>
      </c>
      <c r="E36" t="s">
        <v>7</v>
      </c>
    </row>
    <row r="37" spans="1:7" x14ac:dyDescent="0.2">
      <c r="A37">
        <v>2019</v>
      </c>
      <c r="B37">
        <f>IF(ISBLANK(E37),"",VLOOKUP(E37,Code!B:C,2,FALSE))</f>
        <v>23</v>
      </c>
      <c r="C37">
        <v>104179</v>
      </c>
      <c r="D37" t="s">
        <v>45</v>
      </c>
      <c r="E37" t="s">
        <v>10</v>
      </c>
    </row>
    <row r="38" spans="1:7" x14ac:dyDescent="0.2">
      <c r="A38">
        <v>2020</v>
      </c>
      <c r="B38">
        <f>IF(ISBLANK(E38),"",VLOOKUP(E38,Code!B:C,2,FALSE))</f>
        <v>1</v>
      </c>
      <c r="C38">
        <v>104179</v>
      </c>
      <c r="D38" t="s">
        <v>45</v>
      </c>
      <c r="E38" t="s">
        <v>0</v>
      </c>
      <c r="F38">
        <v>55</v>
      </c>
    </row>
    <row r="39" spans="1:7" x14ac:dyDescent="0.2">
      <c r="A39">
        <v>2020</v>
      </c>
      <c r="B39">
        <f>IF(ISBLANK(E39),"",VLOOKUP(E39,Code!B:C,2,FALSE))</f>
        <v>2</v>
      </c>
      <c r="C39">
        <v>104179</v>
      </c>
      <c r="D39" t="s">
        <v>45</v>
      </c>
      <c r="E39" t="s">
        <v>1</v>
      </c>
      <c r="F39" s="6">
        <v>111966</v>
      </c>
    </row>
    <row r="40" spans="1:7" x14ac:dyDescent="0.2">
      <c r="A40">
        <v>2020</v>
      </c>
      <c r="B40">
        <f>IF(ISBLANK(E40),"",VLOOKUP(E40,Code!B:C,2,FALSE))</f>
        <v>8</v>
      </c>
      <c r="C40">
        <v>104179</v>
      </c>
      <c r="D40" t="s">
        <v>45</v>
      </c>
      <c r="E40" t="s">
        <v>2</v>
      </c>
      <c r="F40" s="6">
        <v>448366</v>
      </c>
    </row>
    <row r="41" spans="1:7" x14ac:dyDescent="0.2">
      <c r="A41">
        <v>2020</v>
      </c>
      <c r="B41">
        <f>IF(ISBLANK(E41),"",VLOOKUP(E41,Code!B:C,2,FALSE))</f>
        <v>3</v>
      </c>
      <c r="C41">
        <v>104179</v>
      </c>
      <c r="D41" t="s">
        <v>45</v>
      </c>
      <c r="E41" t="s">
        <v>21</v>
      </c>
    </row>
    <row r="42" spans="1:7" x14ac:dyDescent="0.2">
      <c r="A42">
        <v>2020</v>
      </c>
      <c r="B42">
        <f>IF(ISBLANK(E42),"",VLOOKUP(E42,Code!B:C,2,FALSE))</f>
        <v>9</v>
      </c>
      <c r="C42">
        <v>104179</v>
      </c>
      <c r="D42" t="s">
        <v>45</v>
      </c>
      <c r="E42" t="s">
        <v>3</v>
      </c>
    </row>
    <row r="43" spans="1:7" x14ac:dyDescent="0.2">
      <c r="A43">
        <v>2020</v>
      </c>
      <c r="B43">
        <f>IF(ISBLANK(E43),"",VLOOKUP(E43,Code!B:C,2,FALSE))</f>
        <v>10</v>
      </c>
      <c r="C43">
        <v>104179</v>
      </c>
      <c r="D43" t="s">
        <v>45</v>
      </c>
      <c r="E43" t="s">
        <v>4</v>
      </c>
    </row>
    <row r="44" spans="1:7" x14ac:dyDescent="0.2">
      <c r="A44">
        <v>2020</v>
      </c>
      <c r="B44">
        <f>IF(ISBLANK(E44),"",VLOOKUP(E44,Code!B:C,2,FALSE))</f>
        <v>17</v>
      </c>
      <c r="C44">
        <v>104179</v>
      </c>
      <c r="D44" t="s">
        <v>45</v>
      </c>
      <c r="E44" t="s">
        <v>5</v>
      </c>
      <c r="G44" s="6">
        <v>20490</v>
      </c>
    </row>
    <row r="45" spans="1:7" x14ac:dyDescent="0.2">
      <c r="A45">
        <v>2020</v>
      </c>
      <c r="B45">
        <f>IF(ISBLANK(E45),"",VLOOKUP(E45,Code!B:C,2,FALSE))</f>
        <v>18</v>
      </c>
      <c r="C45">
        <v>104179</v>
      </c>
      <c r="D45" t="s">
        <v>45</v>
      </c>
      <c r="E45" t="s">
        <v>6</v>
      </c>
    </row>
    <row r="46" spans="1:7" x14ac:dyDescent="0.2">
      <c r="A46">
        <v>2020</v>
      </c>
      <c r="B46">
        <f>IF(ISBLANK(E46),"",VLOOKUP(E46,Code!B:C,2,FALSE))</f>
        <v>19</v>
      </c>
      <c r="C46">
        <v>104179</v>
      </c>
      <c r="D46" t="s">
        <v>45</v>
      </c>
      <c r="E46" t="s">
        <v>7</v>
      </c>
    </row>
    <row r="47" spans="1:7" x14ac:dyDescent="0.2">
      <c r="A47">
        <v>2020</v>
      </c>
      <c r="B47">
        <f>IF(ISBLANK(E47),"",VLOOKUP(E47,Code!B:C,2,FALSE))</f>
        <v>20</v>
      </c>
      <c r="C47">
        <v>104179</v>
      </c>
      <c r="D47" t="s">
        <v>45</v>
      </c>
      <c r="E47" t="s">
        <v>8</v>
      </c>
    </row>
    <row r="48" spans="1:7" x14ac:dyDescent="0.2">
      <c r="A48">
        <v>2020</v>
      </c>
      <c r="B48">
        <f>IF(ISBLANK(E48),"",VLOOKUP(E48,Code!B:C,2,FALSE))</f>
        <v>21</v>
      </c>
      <c r="C48">
        <v>104179</v>
      </c>
      <c r="D48" t="s">
        <v>45</v>
      </c>
      <c r="E48" t="s">
        <v>36</v>
      </c>
    </row>
    <row r="49" spans="1:7" x14ac:dyDescent="0.2">
      <c r="A49">
        <v>2020</v>
      </c>
      <c r="B49">
        <f>IF(ISBLANK(E49),"",VLOOKUP(E49,Code!B:C,2,FALSE))</f>
        <v>23</v>
      </c>
      <c r="C49">
        <v>104179</v>
      </c>
      <c r="D49" t="s">
        <v>45</v>
      </c>
      <c r="E49" t="s">
        <v>10</v>
      </c>
    </row>
    <row r="50" spans="1:7" x14ac:dyDescent="0.2">
      <c r="A50">
        <v>2021</v>
      </c>
      <c r="B50">
        <f>IF(ISBLANK(E50),"",VLOOKUP(E50,Code!B:C,2,FALSE))</f>
        <v>1</v>
      </c>
      <c r="C50">
        <v>104179</v>
      </c>
      <c r="D50" t="s">
        <v>45</v>
      </c>
      <c r="E50" t="s">
        <v>0</v>
      </c>
    </row>
    <row r="51" spans="1:7" x14ac:dyDescent="0.2">
      <c r="A51">
        <v>2021</v>
      </c>
      <c r="B51">
        <f>IF(ISBLANK(E51),"",VLOOKUP(E51,Code!B:C,2,FALSE))</f>
        <v>2</v>
      </c>
      <c r="C51">
        <v>104179</v>
      </c>
      <c r="D51" t="s">
        <v>45</v>
      </c>
      <c r="E51" t="s">
        <v>1</v>
      </c>
      <c r="F51" s="6">
        <v>29555</v>
      </c>
    </row>
    <row r="52" spans="1:7" x14ac:dyDescent="0.2">
      <c r="A52">
        <v>2021</v>
      </c>
      <c r="B52">
        <f>IF(ISBLANK(E52),"",VLOOKUP(E52,Code!B:C,2,FALSE))</f>
        <v>8</v>
      </c>
      <c r="C52">
        <v>104179</v>
      </c>
      <c r="D52" t="s">
        <v>45</v>
      </c>
      <c r="E52" t="s">
        <v>2</v>
      </c>
      <c r="F52" s="6">
        <v>305983</v>
      </c>
    </row>
    <row r="53" spans="1:7" x14ac:dyDescent="0.2">
      <c r="A53">
        <v>2021</v>
      </c>
      <c r="B53">
        <v>3</v>
      </c>
      <c r="C53">
        <v>104179</v>
      </c>
      <c r="D53" t="s">
        <v>45</v>
      </c>
      <c r="E53" t="s">
        <v>295</v>
      </c>
    </row>
    <row r="54" spans="1:7" x14ac:dyDescent="0.2">
      <c r="A54">
        <v>2021</v>
      </c>
      <c r="B54">
        <v>9</v>
      </c>
      <c r="C54">
        <v>104179</v>
      </c>
      <c r="D54" t="s">
        <v>45</v>
      </c>
      <c r="E54" t="s">
        <v>292</v>
      </c>
    </row>
    <row r="55" spans="1:7" x14ac:dyDescent="0.2">
      <c r="A55">
        <v>2021</v>
      </c>
      <c r="B55">
        <f>IF(ISBLANK(E55),"",VLOOKUP(E55,Code!B:C,2,FALSE))</f>
        <v>10</v>
      </c>
      <c r="C55">
        <v>104179</v>
      </c>
      <c r="D55" t="s">
        <v>45</v>
      </c>
      <c r="E55" t="s">
        <v>4</v>
      </c>
    </row>
    <row r="56" spans="1:7" x14ac:dyDescent="0.2">
      <c r="A56">
        <v>2021</v>
      </c>
      <c r="B56">
        <f>IF(ISBLANK(E56),"",VLOOKUP(E56,Code!B:C,2,FALSE))</f>
        <v>17</v>
      </c>
      <c r="C56">
        <v>104179</v>
      </c>
      <c r="D56" t="s">
        <v>45</v>
      </c>
      <c r="E56" t="s">
        <v>5</v>
      </c>
    </row>
    <row r="57" spans="1:7" x14ac:dyDescent="0.2">
      <c r="A57">
        <v>2021</v>
      </c>
      <c r="B57">
        <f>IF(ISBLANK(E57),"",VLOOKUP(E57,Code!B:C,2,FALSE))</f>
        <v>18</v>
      </c>
      <c r="C57">
        <v>104179</v>
      </c>
      <c r="D57" t="s">
        <v>45</v>
      </c>
      <c r="E57" t="s">
        <v>6</v>
      </c>
    </row>
    <row r="58" spans="1:7" x14ac:dyDescent="0.2">
      <c r="A58">
        <v>2021</v>
      </c>
      <c r="B58">
        <v>19</v>
      </c>
      <c r="C58">
        <v>104179</v>
      </c>
      <c r="D58" t="s">
        <v>45</v>
      </c>
      <c r="E58" t="s">
        <v>293</v>
      </c>
    </row>
    <row r="59" spans="1:7" x14ac:dyDescent="0.2">
      <c r="A59">
        <v>2021</v>
      </c>
      <c r="B59">
        <f>IF(ISBLANK(E59),"",VLOOKUP(E59,Code!B:C,2,FALSE))</f>
        <v>20</v>
      </c>
      <c r="C59">
        <v>104179</v>
      </c>
      <c r="D59" t="s">
        <v>45</v>
      </c>
      <c r="E59" t="s">
        <v>8</v>
      </c>
    </row>
    <row r="60" spans="1:7" x14ac:dyDescent="0.2">
      <c r="A60">
        <v>2021</v>
      </c>
      <c r="B60">
        <v>21</v>
      </c>
      <c r="C60">
        <v>104179</v>
      </c>
      <c r="D60" t="s">
        <v>45</v>
      </c>
      <c r="E60" t="s">
        <v>294</v>
      </c>
    </row>
    <row r="61" spans="1:7" x14ac:dyDescent="0.2">
      <c r="A61">
        <v>2021</v>
      </c>
      <c r="B61">
        <f>IF(ISBLANK(E61),"",VLOOKUP(E61,Code!B:C,2,FALSE))</f>
        <v>23</v>
      </c>
      <c r="C61">
        <v>104179</v>
      </c>
      <c r="D61" t="s">
        <v>45</v>
      </c>
      <c r="E61" t="s">
        <v>10</v>
      </c>
    </row>
    <row r="62" spans="1:7" x14ac:dyDescent="0.2">
      <c r="A62">
        <v>2022</v>
      </c>
      <c r="B62">
        <f>IF(ISBLANK(E62),"",VLOOKUP(E62,Code!B:C,2,FALSE))</f>
        <v>1</v>
      </c>
      <c r="C62">
        <v>104179</v>
      </c>
      <c r="D62" t="s">
        <v>45</v>
      </c>
      <c r="E62" t="s">
        <v>0</v>
      </c>
      <c r="F62">
        <v>986</v>
      </c>
    </row>
    <row r="63" spans="1:7" x14ac:dyDescent="0.2">
      <c r="A63">
        <v>2022</v>
      </c>
      <c r="B63">
        <f>IF(ISBLANK(E63),"",VLOOKUP(E63,Code!B:C,2,FALSE))</f>
        <v>2</v>
      </c>
      <c r="C63">
        <v>104179</v>
      </c>
      <c r="D63" t="s">
        <v>45</v>
      </c>
      <c r="E63" t="s">
        <v>1</v>
      </c>
      <c r="F63" s="6">
        <v>29403</v>
      </c>
      <c r="G63" s="6">
        <v>40615</v>
      </c>
    </row>
    <row r="64" spans="1:7" x14ac:dyDescent="0.2">
      <c r="A64">
        <v>2022</v>
      </c>
      <c r="B64">
        <f>IF(ISBLANK(E64),"",VLOOKUP(E64,Code!B:C,2,FALSE))</f>
        <v>8</v>
      </c>
      <c r="C64">
        <v>104179</v>
      </c>
      <c r="D64" t="s">
        <v>45</v>
      </c>
      <c r="E64" t="s">
        <v>2</v>
      </c>
      <c r="F64" s="6">
        <v>497067</v>
      </c>
    </row>
    <row r="65" spans="1:7" x14ac:dyDescent="0.2">
      <c r="A65">
        <v>2022</v>
      </c>
      <c r="B65">
        <f>IF(ISBLANK(E65),"",VLOOKUP(E65,Code!B:C,2,FALSE))</f>
        <v>3</v>
      </c>
      <c r="C65">
        <v>104179</v>
      </c>
      <c r="D65" t="s">
        <v>45</v>
      </c>
      <c r="E65" t="s">
        <v>21</v>
      </c>
    </row>
    <row r="66" spans="1:7" x14ac:dyDescent="0.2">
      <c r="A66">
        <v>2022</v>
      </c>
      <c r="B66">
        <f>IF(ISBLANK(E66),"",VLOOKUP(E66,Code!B:C,2,FALSE))</f>
        <v>9</v>
      </c>
      <c r="C66">
        <v>104179</v>
      </c>
      <c r="D66" t="s">
        <v>45</v>
      </c>
      <c r="E66" t="s">
        <v>3</v>
      </c>
    </row>
    <row r="67" spans="1:7" x14ac:dyDescent="0.2">
      <c r="A67">
        <v>2022</v>
      </c>
      <c r="B67">
        <f>IF(ISBLANK(E67),"",VLOOKUP(E67,Code!B:C,2,FALSE))</f>
        <v>10</v>
      </c>
      <c r="C67">
        <v>104179</v>
      </c>
      <c r="D67" t="s">
        <v>45</v>
      </c>
      <c r="E67" t="s">
        <v>4</v>
      </c>
    </row>
    <row r="68" spans="1:7" x14ac:dyDescent="0.2">
      <c r="A68">
        <v>2022</v>
      </c>
      <c r="B68">
        <f>IF(ISBLANK(E68),"",VLOOKUP(E68,Code!B:C,2,FALSE))</f>
        <v>17</v>
      </c>
      <c r="C68">
        <v>104179</v>
      </c>
      <c r="D68" t="s">
        <v>45</v>
      </c>
      <c r="E68" t="s">
        <v>5</v>
      </c>
    </row>
    <row r="69" spans="1:7" x14ac:dyDescent="0.2">
      <c r="A69">
        <v>2022</v>
      </c>
      <c r="B69">
        <f>IF(ISBLANK(E69),"",VLOOKUP(E69,Code!B:C,2,FALSE))</f>
        <v>18</v>
      </c>
      <c r="C69">
        <v>104179</v>
      </c>
      <c r="D69" t="s">
        <v>45</v>
      </c>
      <c r="E69" t="s">
        <v>6</v>
      </c>
    </row>
    <row r="70" spans="1:7" x14ac:dyDescent="0.2">
      <c r="A70">
        <v>2022</v>
      </c>
      <c r="B70">
        <f>IF(ISBLANK(E70),"",VLOOKUP(E70,Code!B:C,2,FALSE))</f>
        <v>19</v>
      </c>
      <c r="C70">
        <v>104179</v>
      </c>
      <c r="D70" t="s">
        <v>45</v>
      </c>
      <c r="E70" t="s">
        <v>7</v>
      </c>
    </row>
    <row r="71" spans="1:7" x14ac:dyDescent="0.2">
      <c r="A71">
        <v>2022</v>
      </c>
      <c r="B71">
        <f>IF(ISBLANK(E71),"",VLOOKUP(E71,Code!B:C,2,FALSE))</f>
        <v>20</v>
      </c>
      <c r="C71">
        <v>104179</v>
      </c>
      <c r="D71" t="s">
        <v>45</v>
      </c>
      <c r="E71" t="s">
        <v>8</v>
      </c>
      <c r="F71" s="6">
        <v>1155</v>
      </c>
    </row>
    <row r="72" spans="1:7" x14ac:dyDescent="0.2">
      <c r="A72">
        <v>2022</v>
      </c>
      <c r="B72">
        <f>IF(ISBLANK(E72),"",VLOOKUP(E72,Code!B:C,2,FALSE))</f>
        <v>21</v>
      </c>
      <c r="C72">
        <v>104179</v>
      </c>
      <c r="D72" t="s">
        <v>45</v>
      </c>
      <c r="E72" t="s">
        <v>36</v>
      </c>
    </row>
    <row r="73" spans="1:7" x14ac:dyDescent="0.2">
      <c r="A73">
        <v>2022</v>
      </c>
      <c r="B73">
        <f>IF(ISBLANK(E73),"",VLOOKUP(E73,Code!B:C,2,FALSE))</f>
        <v>23</v>
      </c>
      <c r="C73">
        <v>104179</v>
      </c>
      <c r="D73" t="s">
        <v>45</v>
      </c>
      <c r="E73" t="s">
        <v>10</v>
      </c>
    </row>
    <row r="74" spans="1:7" x14ac:dyDescent="0.2">
      <c r="A74">
        <v>2023</v>
      </c>
      <c r="B74">
        <f>IF(ISBLANK(E74),"",VLOOKUP(E74,Code!B:C,2,FALSE))</f>
        <v>1</v>
      </c>
      <c r="C74">
        <v>104179</v>
      </c>
      <c r="D74" t="s">
        <v>45</v>
      </c>
      <c r="E74" t="s">
        <v>0</v>
      </c>
      <c r="F74" s="6">
        <v>11162</v>
      </c>
    </row>
    <row r="75" spans="1:7" x14ac:dyDescent="0.2">
      <c r="A75">
        <v>2023</v>
      </c>
      <c r="B75">
        <f>IF(ISBLANK(E75),"",VLOOKUP(E75,Code!B:C,2,FALSE))</f>
        <v>2</v>
      </c>
      <c r="C75">
        <v>104179</v>
      </c>
      <c r="D75" t="s">
        <v>45</v>
      </c>
      <c r="E75" t="s">
        <v>1</v>
      </c>
      <c r="F75">
        <v>86490</v>
      </c>
      <c r="G75" s="6">
        <v>65747</v>
      </c>
    </row>
    <row r="76" spans="1:7" x14ac:dyDescent="0.2">
      <c r="A76">
        <v>2023</v>
      </c>
      <c r="B76">
        <f>IF(ISBLANK(E76),"",VLOOKUP(E76,Code!B:C,2,FALSE))</f>
        <v>8</v>
      </c>
      <c r="C76">
        <v>104179</v>
      </c>
      <c r="D76" t="s">
        <v>45</v>
      </c>
      <c r="E76" t="s">
        <v>2</v>
      </c>
      <c r="F76" s="6">
        <v>564856</v>
      </c>
    </row>
    <row r="77" spans="1:7" x14ac:dyDescent="0.2">
      <c r="A77">
        <v>2023</v>
      </c>
      <c r="B77">
        <f>IF(ISBLANK(E77),"",VLOOKUP(E77,Code!B:C,2,FALSE))</f>
        <v>3</v>
      </c>
      <c r="C77">
        <v>104179</v>
      </c>
      <c r="D77" t="s">
        <v>45</v>
      </c>
      <c r="E77" t="s">
        <v>21</v>
      </c>
    </row>
    <row r="78" spans="1:7" x14ac:dyDescent="0.2">
      <c r="A78">
        <v>2023</v>
      </c>
      <c r="B78">
        <f>IF(ISBLANK(E78),"",VLOOKUP(E78,Code!B:C,2,FALSE))</f>
        <v>9</v>
      </c>
      <c r="C78">
        <v>104179</v>
      </c>
      <c r="D78" t="s">
        <v>45</v>
      </c>
      <c r="E78" t="s">
        <v>3</v>
      </c>
    </row>
    <row r="79" spans="1:7" x14ac:dyDescent="0.2">
      <c r="A79">
        <v>2023</v>
      </c>
      <c r="B79">
        <f>IF(ISBLANK(E79),"",VLOOKUP(E79,Code!B:C,2,FALSE))</f>
        <v>10</v>
      </c>
      <c r="C79">
        <v>104179</v>
      </c>
      <c r="D79" t="s">
        <v>45</v>
      </c>
      <c r="E79" t="s">
        <v>4</v>
      </c>
    </row>
    <row r="80" spans="1:7" x14ac:dyDescent="0.2">
      <c r="A80">
        <v>2023</v>
      </c>
      <c r="B80">
        <f>IF(ISBLANK(E80),"",VLOOKUP(E80,Code!B:C,2,FALSE))</f>
        <v>17</v>
      </c>
      <c r="C80">
        <v>104179</v>
      </c>
      <c r="D80" t="s">
        <v>45</v>
      </c>
      <c r="E80" t="s">
        <v>5</v>
      </c>
    </row>
    <row r="81" spans="1:7" x14ac:dyDescent="0.2">
      <c r="A81">
        <v>2023</v>
      </c>
      <c r="B81">
        <f>IF(ISBLANK(E81),"",VLOOKUP(E81,Code!B:C,2,FALSE))</f>
        <v>18</v>
      </c>
      <c r="C81">
        <v>104179</v>
      </c>
      <c r="D81" t="s">
        <v>45</v>
      </c>
      <c r="E81" t="s">
        <v>6</v>
      </c>
    </row>
    <row r="82" spans="1:7" x14ac:dyDescent="0.2">
      <c r="A82">
        <v>2023</v>
      </c>
      <c r="B82">
        <f>IF(ISBLANK(E82),"",VLOOKUP(E82,Code!B:C,2,FALSE))</f>
        <v>19</v>
      </c>
      <c r="C82">
        <v>104179</v>
      </c>
      <c r="D82" t="s">
        <v>45</v>
      </c>
      <c r="E82" t="s">
        <v>7</v>
      </c>
    </row>
    <row r="83" spans="1:7" x14ac:dyDescent="0.2">
      <c r="A83">
        <v>2023</v>
      </c>
      <c r="B83">
        <f>IF(ISBLANK(E83),"",VLOOKUP(E83,Code!B:C,2,FALSE))</f>
        <v>20</v>
      </c>
      <c r="C83">
        <v>104179</v>
      </c>
      <c r="D83" t="s">
        <v>45</v>
      </c>
      <c r="E83" t="s">
        <v>8</v>
      </c>
    </row>
    <row r="84" spans="1:7" x14ac:dyDescent="0.2">
      <c r="A84">
        <v>2023</v>
      </c>
      <c r="B84">
        <f>IF(ISBLANK(E84),"",VLOOKUP(E84,Code!B:C,2,FALSE))</f>
        <v>21</v>
      </c>
      <c r="C84">
        <v>104179</v>
      </c>
      <c r="D84" t="s">
        <v>45</v>
      </c>
      <c r="E84" t="s">
        <v>9</v>
      </c>
      <c r="F84">
        <v>1579</v>
      </c>
    </row>
    <row r="85" spans="1:7" x14ac:dyDescent="0.2">
      <c r="A85">
        <v>2023</v>
      </c>
      <c r="B85">
        <f>IF(ISBLANK(E85),"",VLOOKUP(E85,Code!B:C,2,FALSE))</f>
        <v>23</v>
      </c>
      <c r="C85">
        <v>104179</v>
      </c>
      <c r="D85" t="s">
        <v>45</v>
      </c>
      <c r="E85" t="s">
        <v>10</v>
      </c>
    </row>
    <row r="86" spans="1:7" x14ac:dyDescent="0.2">
      <c r="A86">
        <v>2017</v>
      </c>
      <c r="B86">
        <f>IF(ISBLANK(E86),"",VLOOKUP(E86,Code!B:C,2,FALSE))</f>
        <v>1</v>
      </c>
      <c r="C86">
        <v>110635</v>
      </c>
      <c r="D86" t="s">
        <v>63</v>
      </c>
      <c r="E86" t="s">
        <v>0</v>
      </c>
      <c r="F86" s="6">
        <v>7729</v>
      </c>
    </row>
    <row r="87" spans="1:7" x14ac:dyDescent="0.2">
      <c r="A87">
        <v>2017</v>
      </c>
      <c r="B87">
        <f>IF(ISBLANK(E87),"",VLOOKUP(E87,Code!B:C,2,FALSE))</f>
        <v>2</v>
      </c>
      <c r="C87">
        <v>110635</v>
      </c>
      <c r="D87" t="s">
        <v>63</v>
      </c>
      <c r="E87" t="s">
        <v>1</v>
      </c>
      <c r="F87" s="6">
        <v>1499</v>
      </c>
      <c r="G87">
        <v>671</v>
      </c>
    </row>
    <row r="88" spans="1:7" x14ac:dyDescent="0.2">
      <c r="A88">
        <v>2017</v>
      </c>
      <c r="B88">
        <f>IF(ISBLANK(E88),"",VLOOKUP(E88,Code!B:C,2,FALSE))</f>
        <v>8</v>
      </c>
      <c r="C88">
        <v>110635</v>
      </c>
      <c r="D88" t="s">
        <v>63</v>
      </c>
      <c r="E88" t="s">
        <v>2</v>
      </c>
      <c r="F88" s="6">
        <v>522852</v>
      </c>
    </row>
    <row r="89" spans="1:7" x14ac:dyDescent="0.2">
      <c r="A89">
        <v>2017</v>
      </c>
      <c r="B89">
        <f>IF(ISBLANK(E89),"",VLOOKUP(E89,Code!B:C,2,FALSE))</f>
        <v>3</v>
      </c>
      <c r="C89">
        <v>110635</v>
      </c>
      <c r="D89" t="s">
        <v>63</v>
      </c>
      <c r="E89" t="s">
        <v>21</v>
      </c>
    </row>
    <row r="90" spans="1:7" x14ac:dyDescent="0.2">
      <c r="A90">
        <v>2017</v>
      </c>
      <c r="B90">
        <f>IF(ISBLANK(E90),"",VLOOKUP(E90,Code!B:C,2,FALSE))</f>
        <v>7</v>
      </c>
      <c r="C90">
        <v>110635</v>
      </c>
      <c r="D90" t="s">
        <v>63</v>
      </c>
      <c r="E90" t="s">
        <v>25</v>
      </c>
    </row>
    <row r="91" spans="1:7" x14ac:dyDescent="0.2">
      <c r="A91">
        <v>2017</v>
      </c>
      <c r="B91">
        <f>IF(ISBLANK(E91),"",VLOOKUP(E91,Code!B:C,2,FALSE))</f>
        <v>9</v>
      </c>
      <c r="C91">
        <v>110635</v>
      </c>
      <c r="D91" t="s">
        <v>63</v>
      </c>
      <c r="E91" t="s">
        <v>3</v>
      </c>
    </row>
    <row r="92" spans="1:7" x14ac:dyDescent="0.2">
      <c r="A92">
        <v>2017</v>
      </c>
      <c r="B92">
        <f>IF(ISBLANK(E92),"",VLOOKUP(E92,Code!B:C,2,FALSE))</f>
        <v>10</v>
      </c>
      <c r="C92">
        <v>110635</v>
      </c>
      <c r="D92" t="s">
        <v>63</v>
      </c>
      <c r="E92" t="s">
        <v>4</v>
      </c>
    </row>
    <row r="93" spans="1:7" x14ac:dyDescent="0.2">
      <c r="A93">
        <v>2017</v>
      </c>
      <c r="B93">
        <f>IF(ISBLANK(E93),"",VLOOKUP(E93,Code!B:C,2,FALSE))</f>
        <v>12</v>
      </c>
      <c r="C93">
        <v>110635</v>
      </c>
      <c r="D93" t="s">
        <v>63</v>
      </c>
      <c r="E93" t="s">
        <v>27</v>
      </c>
    </row>
    <row r="94" spans="1:7" x14ac:dyDescent="0.2">
      <c r="A94">
        <v>2017</v>
      </c>
      <c r="B94">
        <f>IF(ISBLANK(E94),"",VLOOKUP(E94,Code!B:C,2,FALSE))</f>
        <v>14</v>
      </c>
      <c r="C94">
        <v>110635</v>
      </c>
      <c r="D94" t="s">
        <v>63</v>
      </c>
      <c r="E94" t="s">
        <v>29</v>
      </c>
    </row>
    <row r="95" spans="1:7" x14ac:dyDescent="0.2">
      <c r="A95">
        <v>2017</v>
      </c>
      <c r="B95">
        <f>IF(ISBLANK(E95),"",VLOOKUP(E95,Code!B:C,2,FALSE))</f>
        <v>17</v>
      </c>
      <c r="C95">
        <v>110635</v>
      </c>
      <c r="D95" t="s">
        <v>63</v>
      </c>
      <c r="E95" t="s">
        <v>5</v>
      </c>
      <c r="F95">
        <v>260</v>
      </c>
      <c r="G95">
        <v>255</v>
      </c>
    </row>
    <row r="96" spans="1:7" x14ac:dyDescent="0.2">
      <c r="A96">
        <v>2017</v>
      </c>
      <c r="B96">
        <f>IF(ISBLANK(E96),"",VLOOKUP(E96,Code!B:C,2,FALSE))</f>
        <v>18</v>
      </c>
      <c r="C96">
        <v>110635</v>
      </c>
      <c r="D96" t="s">
        <v>63</v>
      </c>
      <c r="E96" t="s">
        <v>6</v>
      </c>
    </row>
    <row r="97" spans="1:7" x14ac:dyDescent="0.2">
      <c r="A97">
        <v>2017</v>
      </c>
      <c r="B97">
        <f>IF(ISBLANK(E97),"",VLOOKUP(E97,Code!B:C,2,FALSE))</f>
        <v>19</v>
      </c>
      <c r="C97">
        <v>110635</v>
      </c>
      <c r="D97" t="s">
        <v>63</v>
      </c>
      <c r="E97" t="s">
        <v>7</v>
      </c>
    </row>
    <row r="98" spans="1:7" x14ac:dyDescent="0.2">
      <c r="A98">
        <v>2017</v>
      </c>
      <c r="B98">
        <f>IF(ISBLANK(E98),"",VLOOKUP(E98,Code!B:C,2,FALSE))</f>
        <v>20</v>
      </c>
      <c r="C98">
        <v>110635</v>
      </c>
      <c r="D98" t="s">
        <v>63</v>
      </c>
      <c r="E98" t="s">
        <v>8</v>
      </c>
    </row>
    <row r="99" spans="1:7" x14ac:dyDescent="0.2">
      <c r="A99">
        <v>2017</v>
      </c>
      <c r="B99">
        <f>IF(ISBLANK(E99),"",VLOOKUP(E99,Code!B:C,2,FALSE))</f>
        <v>21</v>
      </c>
      <c r="C99">
        <v>110635</v>
      </c>
      <c r="D99" t="s">
        <v>63</v>
      </c>
      <c r="E99" t="s">
        <v>36</v>
      </c>
    </row>
    <row r="100" spans="1:7" x14ac:dyDescent="0.2">
      <c r="A100">
        <v>2017</v>
      </c>
      <c r="B100">
        <f>IF(ISBLANK(E100),"",VLOOKUP(E100,Code!B:C,2,FALSE))</f>
        <v>23</v>
      </c>
      <c r="C100">
        <v>110635</v>
      </c>
      <c r="D100" t="s">
        <v>63</v>
      </c>
      <c r="E100" t="s">
        <v>10</v>
      </c>
      <c r="G100">
        <v>203</v>
      </c>
    </row>
    <row r="101" spans="1:7" x14ac:dyDescent="0.2">
      <c r="A101">
        <v>2017</v>
      </c>
      <c r="B101">
        <f>IF(ISBLANK(E101),"",VLOOKUP(E101,Code!B:C,2,FALSE))</f>
        <v>24</v>
      </c>
      <c r="C101">
        <v>110635</v>
      </c>
      <c r="D101" t="s">
        <v>63</v>
      </c>
      <c r="E101" t="s">
        <v>34</v>
      </c>
    </row>
    <row r="102" spans="1:7" x14ac:dyDescent="0.2">
      <c r="A102">
        <v>2018</v>
      </c>
      <c r="B102">
        <f>IF(ISBLANK(E102),"",VLOOKUP(E102,Code!B:C,2,FALSE))</f>
        <v>1</v>
      </c>
      <c r="C102">
        <v>110635</v>
      </c>
      <c r="D102" t="s">
        <v>63</v>
      </c>
      <c r="E102" t="s">
        <v>0</v>
      </c>
      <c r="F102" s="6">
        <v>3150</v>
      </c>
    </row>
    <row r="103" spans="1:7" x14ac:dyDescent="0.2">
      <c r="A103">
        <v>2018</v>
      </c>
      <c r="B103">
        <f>IF(ISBLANK(E103),"",VLOOKUP(E103,Code!B:C,2,FALSE))</f>
        <v>2</v>
      </c>
      <c r="C103">
        <v>110635</v>
      </c>
      <c r="D103" t="s">
        <v>63</v>
      </c>
      <c r="E103" t="s">
        <v>1</v>
      </c>
      <c r="F103">
        <v>629</v>
      </c>
      <c r="G103">
        <v>920</v>
      </c>
    </row>
    <row r="104" spans="1:7" x14ac:dyDescent="0.2">
      <c r="A104">
        <v>2018</v>
      </c>
      <c r="B104">
        <f>IF(ISBLANK(E104),"",VLOOKUP(E104,Code!B:C,2,FALSE))</f>
        <v>8</v>
      </c>
      <c r="C104">
        <v>110635</v>
      </c>
      <c r="D104" t="s">
        <v>63</v>
      </c>
      <c r="E104" t="s">
        <v>2</v>
      </c>
      <c r="F104" s="6">
        <v>467266</v>
      </c>
    </row>
    <row r="105" spans="1:7" x14ac:dyDescent="0.2">
      <c r="A105">
        <v>2018</v>
      </c>
      <c r="B105">
        <f>IF(ISBLANK(E105),"",VLOOKUP(E105,Code!B:C,2,FALSE))</f>
        <v>10</v>
      </c>
      <c r="C105">
        <v>110635</v>
      </c>
      <c r="D105" t="s">
        <v>63</v>
      </c>
      <c r="E105" t="s">
        <v>4</v>
      </c>
    </row>
    <row r="106" spans="1:7" x14ac:dyDescent="0.2">
      <c r="A106">
        <v>2018</v>
      </c>
      <c r="B106">
        <f>IF(ISBLANK(E106),"",VLOOKUP(E106,Code!B:C,2,FALSE))</f>
        <v>3</v>
      </c>
      <c r="C106">
        <v>110635</v>
      </c>
      <c r="D106" t="s">
        <v>63</v>
      </c>
      <c r="E106" t="s">
        <v>21</v>
      </c>
    </row>
    <row r="107" spans="1:7" x14ac:dyDescent="0.2">
      <c r="A107">
        <v>2018</v>
      </c>
      <c r="B107">
        <f>IF(ISBLANK(E107),"",VLOOKUP(E107,Code!B:C,2,FALSE))</f>
        <v>7</v>
      </c>
      <c r="C107">
        <v>110635</v>
      </c>
      <c r="D107" t="s">
        <v>63</v>
      </c>
      <c r="E107" t="s">
        <v>25</v>
      </c>
    </row>
    <row r="108" spans="1:7" x14ac:dyDescent="0.2">
      <c r="A108">
        <v>2018</v>
      </c>
      <c r="B108">
        <f>IF(ISBLANK(E108),"",VLOOKUP(E108,Code!B:C,2,FALSE))</f>
        <v>9</v>
      </c>
      <c r="C108">
        <v>110635</v>
      </c>
      <c r="D108" t="s">
        <v>63</v>
      </c>
      <c r="E108" t="s">
        <v>3</v>
      </c>
    </row>
    <row r="109" spans="1:7" x14ac:dyDescent="0.2">
      <c r="A109">
        <v>2018</v>
      </c>
      <c r="B109">
        <f>IF(ISBLANK(E109),"",VLOOKUP(E109,Code!B:C,2,FALSE))</f>
        <v>12</v>
      </c>
      <c r="C109">
        <v>110635</v>
      </c>
      <c r="D109" t="s">
        <v>63</v>
      </c>
      <c r="E109" t="s">
        <v>27</v>
      </c>
    </row>
    <row r="110" spans="1:7" x14ac:dyDescent="0.2">
      <c r="A110">
        <v>2018</v>
      </c>
      <c r="B110">
        <f>IF(ISBLANK(E110),"",VLOOKUP(E110,Code!B:C,2,FALSE))</f>
        <v>14</v>
      </c>
      <c r="C110">
        <v>110635</v>
      </c>
      <c r="D110" t="s">
        <v>63</v>
      </c>
      <c r="E110" t="s">
        <v>29</v>
      </c>
    </row>
    <row r="111" spans="1:7" x14ac:dyDescent="0.2">
      <c r="A111">
        <v>2018</v>
      </c>
      <c r="B111">
        <f>IF(ISBLANK(E111),"",VLOOKUP(E111,Code!B:C,2,FALSE))</f>
        <v>17</v>
      </c>
      <c r="C111">
        <v>110635</v>
      </c>
      <c r="D111" t="s">
        <v>63</v>
      </c>
      <c r="E111" t="s">
        <v>5</v>
      </c>
    </row>
    <row r="112" spans="1:7" x14ac:dyDescent="0.2">
      <c r="A112">
        <v>2018</v>
      </c>
      <c r="B112">
        <f>IF(ISBLANK(E112),"",VLOOKUP(E112,Code!B:C,2,FALSE))</f>
        <v>18</v>
      </c>
      <c r="C112">
        <v>110635</v>
      </c>
      <c r="D112" t="s">
        <v>63</v>
      </c>
      <c r="E112" t="s">
        <v>6</v>
      </c>
    </row>
    <row r="113" spans="1:7" x14ac:dyDescent="0.2">
      <c r="A113">
        <v>2018</v>
      </c>
      <c r="B113">
        <f>IF(ISBLANK(E113),"",VLOOKUP(E113,Code!B:C,2,FALSE))</f>
        <v>19</v>
      </c>
      <c r="C113">
        <v>110635</v>
      </c>
      <c r="D113" t="s">
        <v>63</v>
      </c>
      <c r="E113" t="s">
        <v>7</v>
      </c>
    </row>
    <row r="114" spans="1:7" x14ac:dyDescent="0.2">
      <c r="A114">
        <v>2018</v>
      </c>
      <c r="B114">
        <f>IF(ISBLANK(E114),"",VLOOKUP(E114,Code!B:C,2,FALSE))</f>
        <v>20</v>
      </c>
      <c r="C114">
        <v>110635</v>
      </c>
      <c r="D114" t="s">
        <v>63</v>
      </c>
      <c r="E114" t="s">
        <v>8</v>
      </c>
    </row>
    <row r="115" spans="1:7" x14ac:dyDescent="0.2">
      <c r="A115">
        <v>2018</v>
      </c>
      <c r="B115">
        <f>IF(ISBLANK(E115),"",VLOOKUP(E115,Code!B:C,2,FALSE))</f>
        <v>21</v>
      </c>
      <c r="C115">
        <v>110635</v>
      </c>
      <c r="D115" t="s">
        <v>63</v>
      </c>
      <c r="E115" t="s">
        <v>36</v>
      </c>
    </row>
    <row r="116" spans="1:7" x14ac:dyDescent="0.2">
      <c r="A116">
        <v>2018</v>
      </c>
      <c r="B116">
        <f>IF(ISBLANK(E116),"",VLOOKUP(E116,Code!B:C,2,FALSE))</f>
        <v>23</v>
      </c>
      <c r="C116">
        <v>110635</v>
      </c>
      <c r="D116" t="s">
        <v>63</v>
      </c>
      <c r="E116" t="s">
        <v>10</v>
      </c>
    </row>
    <row r="117" spans="1:7" x14ac:dyDescent="0.2">
      <c r="A117">
        <v>2018</v>
      </c>
      <c r="B117">
        <f>IF(ISBLANK(E117),"",VLOOKUP(E117,Code!B:C,2,FALSE))</f>
        <v>24</v>
      </c>
      <c r="C117">
        <v>110635</v>
      </c>
      <c r="D117" t="s">
        <v>63</v>
      </c>
      <c r="E117" t="s">
        <v>34</v>
      </c>
    </row>
    <row r="118" spans="1:7" x14ac:dyDescent="0.2">
      <c r="A118">
        <v>2019</v>
      </c>
      <c r="B118">
        <f>IF(ISBLANK(E118),"",VLOOKUP(E118,Code!B:C,2,FALSE))</f>
        <v>1</v>
      </c>
      <c r="C118">
        <v>110635</v>
      </c>
      <c r="D118" t="s">
        <v>63</v>
      </c>
      <c r="E118" t="s">
        <v>0</v>
      </c>
      <c r="F118" s="6">
        <v>2484</v>
      </c>
    </row>
    <row r="119" spans="1:7" x14ac:dyDescent="0.2">
      <c r="A119">
        <v>2019</v>
      </c>
      <c r="B119">
        <f>IF(ISBLANK(E119),"",VLOOKUP(E119,Code!B:C,2,FALSE))</f>
        <v>2</v>
      </c>
      <c r="C119">
        <v>110635</v>
      </c>
      <c r="D119" t="s">
        <v>63</v>
      </c>
      <c r="E119" t="s">
        <v>1</v>
      </c>
      <c r="F119" s="6">
        <v>-1140</v>
      </c>
      <c r="G119" s="6">
        <v>1505</v>
      </c>
    </row>
    <row r="120" spans="1:7" x14ac:dyDescent="0.2">
      <c r="A120">
        <v>2019</v>
      </c>
      <c r="B120">
        <f>IF(ISBLANK(E120),"",VLOOKUP(E120,Code!B:C,2,FALSE))</f>
        <v>8</v>
      </c>
      <c r="C120">
        <v>110635</v>
      </c>
      <c r="D120" t="s">
        <v>63</v>
      </c>
      <c r="E120" t="s">
        <v>2</v>
      </c>
    </row>
    <row r="121" spans="1:7" x14ac:dyDescent="0.2">
      <c r="A121">
        <v>2019</v>
      </c>
      <c r="B121">
        <f>IF(ISBLANK(E121),"",VLOOKUP(E121,Code!B:C,2,FALSE))</f>
        <v>3</v>
      </c>
      <c r="C121">
        <v>110635</v>
      </c>
      <c r="D121" t="s">
        <v>63</v>
      </c>
      <c r="E121" t="s">
        <v>21</v>
      </c>
    </row>
    <row r="122" spans="1:7" x14ac:dyDescent="0.2">
      <c r="A122">
        <v>2019</v>
      </c>
      <c r="B122">
        <f>IF(ISBLANK(E122),"",VLOOKUP(E122,Code!B:C,2,FALSE))</f>
        <v>7</v>
      </c>
      <c r="C122">
        <v>110635</v>
      </c>
      <c r="D122" t="s">
        <v>63</v>
      </c>
      <c r="E122" t="s">
        <v>25</v>
      </c>
    </row>
    <row r="123" spans="1:7" x14ac:dyDescent="0.2">
      <c r="A123">
        <v>2019</v>
      </c>
      <c r="B123">
        <f>IF(ISBLANK(E123),"",VLOOKUP(E123,Code!B:C,2,FALSE))</f>
        <v>9</v>
      </c>
      <c r="C123">
        <v>110635</v>
      </c>
      <c r="D123" t="s">
        <v>63</v>
      </c>
      <c r="E123" t="s">
        <v>3</v>
      </c>
    </row>
    <row r="124" spans="1:7" x14ac:dyDescent="0.2">
      <c r="A124">
        <v>2019</v>
      </c>
      <c r="B124">
        <f>IF(ISBLANK(E124),"",VLOOKUP(E124,Code!B:C,2,FALSE))</f>
        <v>10</v>
      </c>
      <c r="C124">
        <v>110635</v>
      </c>
      <c r="D124" t="s">
        <v>63</v>
      </c>
      <c r="E124" t="s">
        <v>4</v>
      </c>
    </row>
    <row r="125" spans="1:7" x14ac:dyDescent="0.2">
      <c r="A125">
        <v>2019</v>
      </c>
      <c r="B125">
        <f>IF(ISBLANK(E125),"",VLOOKUP(E125,Code!B:C,2,FALSE))</f>
        <v>12</v>
      </c>
      <c r="C125">
        <v>110635</v>
      </c>
      <c r="D125" t="s">
        <v>63</v>
      </c>
      <c r="E125" t="s">
        <v>27</v>
      </c>
    </row>
    <row r="126" spans="1:7" x14ac:dyDescent="0.2">
      <c r="A126">
        <v>2019</v>
      </c>
      <c r="B126">
        <f>IF(ISBLANK(E126),"",VLOOKUP(E126,Code!B:C,2,FALSE))</f>
        <v>14</v>
      </c>
      <c r="C126">
        <v>110635</v>
      </c>
      <c r="D126" t="s">
        <v>63</v>
      </c>
      <c r="E126" t="s">
        <v>29</v>
      </c>
    </row>
    <row r="127" spans="1:7" x14ac:dyDescent="0.2">
      <c r="A127">
        <v>2019</v>
      </c>
      <c r="B127">
        <f>IF(ISBLANK(E127),"",VLOOKUP(E127,Code!B:C,2,FALSE))</f>
        <v>17</v>
      </c>
      <c r="C127">
        <v>110635</v>
      </c>
      <c r="D127" t="s">
        <v>63</v>
      </c>
      <c r="E127" t="s">
        <v>5</v>
      </c>
    </row>
    <row r="128" spans="1:7" x14ac:dyDescent="0.2">
      <c r="A128">
        <v>2019</v>
      </c>
      <c r="B128">
        <f>IF(ISBLANK(E128),"",VLOOKUP(E128,Code!B:C,2,FALSE))</f>
        <v>18</v>
      </c>
      <c r="C128">
        <v>110635</v>
      </c>
      <c r="D128" t="s">
        <v>63</v>
      </c>
      <c r="E128" t="s">
        <v>6</v>
      </c>
    </row>
    <row r="129" spans="1:7" x14ac:dyDescent="0.2">
      <c r="A129">
        <v>2019</v>
      </c>
      <c r="B129">
        <f>IF(ISBLANK(E129),"",VLOOKUP(E129,Code!B:C,2,FALSE))</f>
        <v>19</v>
      </c>
      <c r="C129">
        <v>110635</v>
      </c>
      <c r="D129" t="s">
        <v>63</v>
      </c>
      <c r="E129" t="s">
        <v>7</v>
      </c>
    </row>
    <row r="130" spans="1:7" x14ac:dyDescent="0.2">
      <c r="A130">
        <v>2019</v>
      </c>
      <c r="B130">
        <f>IF(ISBLANK(E130),"",VLOOKUP(E130,Code!B:C,2,FALSE))</f>
        <v>20</v>
      </c>
      <c r="C130">
        <v>110635</v>
      </c>
      <c r="D130" t="s">
        <v>63</v>
      </c>
      <c r="E130" t="s">
        <v>8</v>
      </c>
    </row>
    <row r="131" spans="1:7" x14ac:dyDescent="0.2">
      <c r="A131">
        <v>2019</v>
      </c>
      <c r="B131">
        <f>IF(ISBLANK(E131),"",VLOOKUP(E131,Code!B:C,2,FALSE))</f>
        <v>21</v>
      </c>
      <c r="C131">
        <v>110635</v>
      </c>
      <c r="D131" t="s">
        <v>63</v>
      </c>
      <c r="E131" t="s">
        <v>36</v>
      </c>
    </row>
    <row r="132" spans="1:7" x14ac:dyDescent="0.2">
      <c r="A132">
        <v>2019</v>
      </c>
      <c r="B132">
        <f>IF(ISBLANK(E132),"",VLOOKUP(E132,Code!B:C,2,FALSE))</f>
        <v>23</v>
      </c>
      <c r="C132">
        <v>110635</v>
      </c>
      <c r="D132" t="s">
        <v>63</v>
      </c>
      <c r="E132" t="s">
        <v>10</v>
      </c>
    </row>
    <row r="133" spans="1:7" x14ac:dyDescent="0.2">
      <c r="A133">
        <v>2019</v>
      </c>
      <c r="B133">
        <f>IF(ISBLANK(E133),"",VLOOKUP(E133,Code!B:C,2,FALSE))</f>
        <v>24</v>
      </c>
      <c r="C133">
        <v>110635</v>
      </c>
      <c r="D133" t="s">
        <v>63</v>
      </c>
      <c r="E133" t="s">
        <v>34</v>
      </c>
    </row>
    <row r="134" spans="1:7" x14ac:dyDescent="0.2">
      <c r="A134">
        <v>2020</v>
      </c>
      <c r="B134">
        <f>IF(ISBLANK(E134),"",VLOOKUP(E134,Code!B:C,2,FALSE))</f>
        <v>1</v>
      </c>
      <c r="C134">
        <v>110635</v>
      </c>
      <c r="D134" t="s">
        <v>63</v>
      </c>
      <c r="E134" t="s">
        <v>0</v>
      </c>
    </row>
    <row r="135" spans="1:7" x14ac:dyDescent="0.2">
      <c r="A135">
        <v>2020</v>
      </c>
      <c r="B135">
        <f>IF(ISBLANK(E135),"",VLOOKUP(E135,Code!B:C,2,FALSE))</f>
        <v>2</v>
      </c>
      <c r="C135">
        <v>110635</v>
      </c>
      <c r="D135" t="s">
        <v>63</v>
      </c>
      <c r="E135" t="s">
        <v>1</v>
      </c>
      <c r="F135">
        <v>30</v>
      </c>
      <c r="G135">
        <v>235</v>
      </c>
    </row>
    <row r="136" spans="1:7" x14ac:dyDescent="0.2">
      <c r="A136">
        <v>2020</v>
      </c>
      <c r="B136">
        <f>IF(ISBLANK(E136),"",VLOOKUP(E136,Code!B:C,2,FALSE))</f>
        <v>8</v>
      </c>
      <c r="C136">
        <v>110635</v>
      </c>
      <c r="D136" t="s">
        <v>63</v>
      </c>
      <c r="E136" t="s">
        <v>2</v>
      </c>
      <c r="F136" s="6">
        <v>489825</v>
      </c>
    </row>
    <row r="137" spans="1:7" x14ac:dyDescent="0.2">
      <c r="A137">
        <v>2020</v>
      </c>
      <c r="B137">
        <f>IF(ISBLANK(E137),"",VLOOKUP(E137,Code!B:C,2,FALSE))</f>
        <v>10</v>
      </c>
      <c r="C137">
        <v>110635</v>
      </c>
      <c r="D137" t="s">
        <v>63</v>
      </c>
      <c r="E137" t="s">
        <v>4</v>
      </c>
    </row>
    <row r="138" spans="1:7" x14ac:dyDescent="0.2">
      <c r="A138">
        <v>2020</v>
      </c>
      <c r="B138">
        <f>IF(ISBLANK(E138),"",VLOOKUP(E138,Code!B:C,2,FALSE))</f>
        <v>3</v>
      </c>
      <c r="C138">
        <v>110635</v>
      </c>
      <c r="D138" t="s">
        <v>63</v>
      </c>
      <c r="E138" t="s">
        <v>21</v>
      </c>
    </row>
    <row r="139" spans="1:7" x14ac:dyDescent="0.2">
      <c r="A139">
        <v>2020</v>
      </c>
      <c r="B139">
        <f>IF(ISBLANK(E139),"",VLOOKUP(E139,Code!B:C,2,FALSE))</f>
        <v>7</v>
      </c>
      <c r="C139">
        <v>110635</v>
      </c>
      <c r="D139" t="s">
        <v>63</v>
      </c>
      <c r="E139" t="s">
        <v>25</v>
      </c>
    </row>
    <row r="140" spans="1:7" x14ac:dyDescent="0.2">
      <c r="A140">
        <v>2020</v>
      </c>
      <c r="B140">
        <f>IF(ISBLANK(E140),"",VLOOKUP(E140,Code!B:C,2,FALSE))</f>
        <v>9</v>
      </c>
      <c r="C140">
        <v>110635</v>
      </c>
      <c r="D140" t="s">
        <v>63</v>
      </c>
      <c r="E140" t="s">
        <v>3</v>
      </c>
    </row>
    <row r="141" spans="1:7" x14ac:dyDescent="0.2">
      <c r="A141">
        <v>2020</v>
      </c>
      <c r="B141">
        <f>IF(ISBLANK(E141),"",VLOOKUP(E141,Code!B:C,2,FALSE))</f>
        <v>12</v>
      </c>
      <c r="C141">
        <v>110635</v>
      </c>
      <c r="D141" t="s">
        <v>63</v>
      </c>
      <c r="E141" t="s">
        <v>27</v>
      </c>
    </row>
    <row r="142" spans="1:7" x14ac:dyDescent="0.2">
      <c r="A142">
        <v>2020</v>
      </c>
      <c r="B142">
        <f>IF(ISBLANK(E142),"",VLOOKUP(E142,Code!B:C,2,FALSE))</f>
        <v>14</v>
      </c>
      <c r="C142">
        <v>110635</v>
      </c>
      <c r="D142" t="s">
        <v>63</v>
      </c>
      <c r="E142" t="s">
        <v>29</v>
      </c>
    </row>
    <row r="143" spans="1:7" x14ac:dyDescent="0.2">
      <c r="A143">
        <v>2020</v>
      </c>
      <c r="B143">
        <f>IF(ISBLANK(E143),"",VLOOKUP(E143,Code!B:C,2,FALSE))</f>
        <v>17</v>
      </c>
      <c r="C143">
        <v>110635</v>
      </c>
      <c r="D143" t="s">
        <v>63</v>
      </c>
      <c r="E143" t="s">
        <v>5</v>
      </c>
    </row>
    <row r="144" spans="1:7" x14ac:dyDescent="0.2">
      <c r="A144">
        <v>2020</v>
      </c>
      <c r="B144">
        <f>IF(ISBLANK(E144),"",VLOOKUP(E144,Code!B:C,2,FALSE))</f>
        <v>18</v>
      </c>
      <c r="C144">
        <v>110635</v>
      </c>
      <c r="D144" t="s">
        <v>63</v>
      </c>
      <c r="E144" t="s">
        <v>6</v>
      </c>
    </row>
    <row r="145" spans="1:6" x14ac:dyDescent="0.2">
      <c r="A145">
        <v>2020</v>
      </c>
      <c r="B145">
        <f>IF(ISBLANK(E145),"",VLOOKUP(E145,Code!B:C,2,FALSE))</f>
        <v>19</v>
      </c>
      <c r="C145">
        <v>110635</v>
      </c>
      <c r="D145" t="s">
        <v>63</v>
      </c>
      <c r="E145" t="s">
        <v>7</v>
      </c>
    </row>
    <row r="146" spans="1:6" x14ac:dyDescent="0.2">
      <c r="A146">
        <v>2020</v>
      </c>
      <c r="B146">
        <f>IF(ISBLANK(E146),"",VLOOKUP(E146,Code!B:C,2,FALSE))</f>
        <v>20</v>
      </c>
      <c r="C146">
        <v>110635</v>
      </c>
      <c r="D146" t="s">
        <v>63</v>
      </c>
      <c r="E146" t="s">
        <v>8</v>
      </c>
    </row>
    <row r="147" spans="1:6" x14ac:dyDescent="0.2">
      <c r="A147">
        <v>2020</v>
      </c>
      <c r="B147">
        <f>IF(ISBLANK(E147),"",VLOOKUP(E147,Code!B:C,2,FALSE))</f>
        <v>21</v>
      </c>
      <c r="C147">
        <v>110635</v>
      </c>
      <c r="D147" t="s">
        <v>63</v>
      </c>
      <c r="E147" t="s">
        <v>36</v>
      </c>
    </row>
    <row r="148" spans="1:6" x14ac:dyDescent="0.2">
      <c r="A148">
        <v>2020</v>
      </c>
      <c r="B148">
        <f>IF(ISBLANK(E148),"",VLOOKUP(E148,Code!B:C,2,FALSE))</f>
        <v>23</v>
      </c>
      <c r="C148">
        <v>110635</v>
      </c>
      <c r="D148" t="s">
        <v>63</v>
      </c>
      <c r="E148" t="s">
        <v>10</v>
      </c>
    </row>
    <row r="149" spans="1:6" x14ac:dyDescent="0.2">
      <c r="A149">
        <v>2020</v>
      </c>
      <c r="B149">
        <f>IF(ISBLANK(E149),"",VLOOKUP(E149,Code!B:C,2,FALSE))</f>
        <v>24</v>
      </c>
      <c r="C149">
        <v>110635</v>
      </c>
      <c r="D149" t="s">
        <v>63</v>
      </c>
      <c r="E149" t="s">
        <v>34</v>
      </c>
    </row>
    <row r="150" spans="1:6" x14ac:dyDescent="0.2">
      <c r="A150">
        <v>2021</v>
      </c>
      <c r="B150">
        <f>IF(ISBLANK(E150),"",VLOOKUP(E150,Code!B:C,2,FALSE))</f>
        <v>1</v>
      </c>
      <c r="C150">
        <v>110635</v>
      </c>
      <c r="D150" t="s">
        <v>63</v>
      </c>
      <c r="E150" t="s">
        <v>0</v>
      </c>
    </row>
    <row r="151" spans="1:6" x14ac:dyDescent="0.2">
      <c r="A151">
        <v>2021</v>
      </c>
      <c r="B151">
        <f>IF(ISBLANK(E151),"",VLOOKUP(E151,Code!B:C,2,FALSE))</f>
        <v>2</v>
      </c>
      <c r="C151">
        <v>110635</v>
      </c>
      <c r="D151" t="s">
        <v>63</v>
      </c>
      <c r="E151" t="s">
        <v>1</v>
      </c>
      <c r="F151">
        <v>-295</v>
      </c>
    </row>
    <row r="152" spans="1:6" x14ac:dyDescent="0.2">
      <c r="A152">
        <v>2021</v>
      </c>
      <c r="B152">
        <f>IF(ISBLANK(E152),"",VLOOKUP(E152,Code!B:C,2,FALSE))</f>
        <v>8</v>
      </c>
      <c r="C152">
        <v>110635</v>
      </c>
      <c r="D152" t="s">
        <v>63</v>
      </c>
      <c r="E152" t="s">
        <v>2</v>
      </c>
    </row>
    <row r="153" spans="1:6" x14ac:dyDescent="0.2">
      <c r="A153">
        <v>2021</v>
      </c>
      <c r="B153">
        <f>IF(ISBLANK(E153),"",VLOOKUP(E153,Code!B:C,2,FALSE))</f>
        <v>3</v>
      </c>
      <c r="C153">
        <v>110635</v>
      </c>
      <c r="D153" t="s">
        <v>63</v>
      </c>
      <c r="E153" t="s">
        <v>21</v>
      </c>
    </row>
    <row r="154" spans="1:6" x14ac:dyDescent="0.2">
      <c r="A154">
        <v>2021</v>
      </c>
      <c r="B154">
        <f>IF(ISBLANK(E154),"",VLOOKUP(E154,Code!B:C,2,FALSE))</f>
        <v>7</v>
      </c>
      <c r="C154">
        <v>110635</v>
      </c>
      <c r="D154" t="s">
        <v>63</v>
      </c>
      <c r="E154" t="s">
        <v>25</v>
      </c>
    </row>
    <row r="155" spans="1:6" x14ac:dyDescent="0.2">
      <c r="A155">
        <v>2021</v>
      </c>
      <c r="B155">
        <f>IF(ISBLANK(E155),"",VLOOKUP(E155,Code!B:C,2,FALSE))</f>
        <v>9</v>
      </c>
      <c r="C155">
        <v>110635</v>
      </c>
      <c r="D155" t="s">
        <v>63</v>
      </c>
      <c r="E155" t="s">
        <v>3</v>
      </c>
    </row>
    <row r="156" spans="1:6" x14ac:dyDescent="0.2">
      <c r="A156">
        <v>2021</v>
      </c>
      <c r="B156">
        <f>IF(ISBLANK(E156),"",VLOOKUP(E156,Code!B:C,2,FALSE))</f>
        <v>10</v>
      </c>
      <c r="C156">
        <v>110635</v>
      </c>
      <c r="D156" t="s">
        <v>63</v>
      </c>
      <c r="E156" t="s">
        <v>4</v>
      </c>
    </row>
    <row r="157" spans="1:6" x14ac:dyDescent="0.2">
      <c r="A157">
        <v>2021</v>
      </c>
      <c r="B157">
        <f>IF(ISBLANK(E157),"",VLOOKUP(E157,Code!B:C,2,FALSE))</f>
        <v>12</v>
      </c>
      <c r="C157">
        <v>110635</v>
      </c>
      <c r="D157" t="s">
        <v>63</v>
      </c>
      <c r="E157" t="s">
        <v>27</v>
      </c>
    </row>
    <row r="158" spans="1:6" x14ac:dyDescent="0.2">
      <c r="A158">
        <v>2021</v>
      </c>
      <c r="B158">
        <f>IF(ISBLANK(E158),"",VLOOKUP(E158,Code!B:C,2,FALSE))</f>
        <v>14</v>
      </c>
      <c r="C158">
        <v>110635</v>
      </c>
      <c r="D158" t="s">
        <v>63</v>
      </c>
      <c r="E158" t="s">
        <v>29</v>
      </c>
    </row>
    <row r="159" spans="1:6" x14ac:dyDescent="0.2">
      <c r="A159">
        <v>2021</v>
      </c>
      <c r="B159">
        <f>IF(ISBLANK(E159),"",VLOOKUP(E159,Code!B:C,2,FALSE))</f>
        <v>17</v>
      </c>
      <c r="C159">
        <v>110635</v>
      </c>
      <c r="D159" t="s">
        <v>63</v>
      </c>
      <c r="E159" t="s">
        <v>5</v>
      </c>
    </row>
    <row r="160" spans="1:6" x14ac:dyDescent="0.2">
      <c r="A160">
        <v>2021</v>
      </c>
      <c r="B160">
        <f>IF(ISBLANK(E160),"",VLOOKUP(E160,Code!B:C,2,FALSE))</f>
        <v>18</v>
      </c>
      <c r="C160">
        <v>110635</v>
      </c>
      <c r="D160" t="s">
        <v>63</v>
      </c>
      <c r="E160" t="s">
        <v>6</v>
      </c>
    </row>
    <row r="161" spans="1:7" x14ac:dyDescent="0.2">
      <c r="A161">
        <v>2021</v>
      </c>
      <c r="B161">
        <f>IF(ISBLANK(E161),"",VLOOKUP(E161,Code!B:C,2,FALSE))</f>
        <v>19</v>
      </c>
      <c r="C161">
        <v>110635</v>
      </c>
      <c r="D161" t="s">
        <v>63</v>
      </c>
      <c r="E161" t="s">
        <v>7</v>
      </c>
    </row>
    <row r="162" spans="1:7" x14ac:dyDescent="0.2">
      <c r="A162">
        <v>2021</v>
      </c>
      <c r="B162">
        <f>IF(ISBLANK(E162),"",VLOOKUP(E162,Code!B:C,2,FALSE))</f>
        <v>20</v>
      </c>
      <c r="C162">
        <v>110635</v>
      </c>
      <c r="D162" t="s">
        <v>63</v>
      </c>
      <c r="E162" t="s">
        <v>8</v>
      </c>
    </row>
    <row r="163" spans="1:7" x14ac:dyDescent="0.2">
      <c r="A163">
        <v>2021</v>
      </c>
      <c r="B163">
        <f>IF(ISBLANK(E163),"",VLOOKUP(E163,Code!B:C,2,FALSE))</f>
        <v>21</v>
      </c>
      <c r="C163">
        <v>110635</v>
      </c>
      <c r="D163" t="s">
        <v>63</v>
      </c>
      <c r="E163" t="s">
        <v>36</v>
      </c>
    </row>
    <row r="164" spans="1:7" x14ac:dyDescent="0.2">
      <c r="A164">
        <v>2021</v>
      </c>
      <c r="B164">
        <f>IF(ISBLANK(E164),"",VLOOKUP(E164,Code!B:C,2,FALSE))</f>
        <v>23</v>
      </c>
      <c r="C164">
        <v>110635</v>
      </c>
      <c r="D164" t="s">
        <v>63</v>
      </c>
      <c r="E164" t="s">
        <v>10</v>
      </c>
    </row>
    <row r="165" spans="1:7" x14ac:dyDescent="0.2">
      <c r="A165">
        <v>2021</v>
      </c>
      <c r="B165">
        <f>IF(ISBLANK(E165),"",VLOOKUP(E165,Code!B:C,2,FALSE))</f>
        <v>24</v>
      </c>
      <c r="C165">
        <v>110635</v>
      </c>
      <c r="D165" t="s">
        <v>63</v>
      </c>
      <c r="E165" t="s">
        <v>34</v>
      </c>
    </row>
    <row r="166" spans="1:7" x14ac:dyDescent="0.2">
      <c r="A166">
        <v>2022</v>
      </c>
      <c r="B166">
        <f>IF(ISBLANK(E166),"",VLOOKUP(E166,Code!B:C,2,FALSE))</f>
        <v>1</v>
      </c>
      <c r="C166">
        <v>110635</v>
      </c>
      <c r="D166" t="s">
        <v>63</v>
      </c>
      <c r="E166" t="s">
        <v>0</v>
      </c>
      <c r="F166" s="6">
        <v>1008</v>
      </c>
    </row>
    <row r="167" spans="1:7" x14ac:dyDescent="0.2">
      <c r="A167">
        <v>2022</v>
      </c>
      <c r="B167">
        <f>IF(ISBLANK(E167),"",VLOOKUP(E167,Code!B:C,2,FALSE))</f>
        <v>2</v>
      </c>
      <c r="C167">
        <v>110635</v>
      </c>
      <c r="D167" t="s">
        <v>63</v>
      </c>
      <c r="E167" t="s">
        <v>1</v>
      </c>
      <c r="F167">
        <v>10</v>
      </c>
    </row>
    <row r="168" spans="1:7" x14ac:dyDescent="0.2">
      <c r="A168">
        <v>2022</v>
      </c>
      <c r="B168">
        <f>IF(ISBLANK(E168),"",VLOOKUP(E168,Code!B:C,2,FALSE))</f>
        <v>8</v>
      </c>
      <c r="C168">
        <v>110635</v>
      </c>
      <c r="D168" t="s">
        <v>63</v>
      </c>
      <c r="E168" t="s">
        <v>2</v>
      </c>
      <c r="F168" s="6">
        <v>456868</v>
      </c>
    </row>
    <row r="169" spans="1:7" x14ac:dyDescent="0.2">
      <c r="A169">
        <v>2022</v>
      </c>
      <c r="B169">
        <f>IF(ISBLANK(E169),"",VLOOKUP(E169,Code!B:C,2,FALSE))</f>
        <v>10</v>
      </c>
      <c r="C169">
        <v>110635</v>
      </c>
      <c r="D169" t="s">
        <v>63</v>
      </c>
      <c r="E169" t="s">
        <v>4</v>
      </c>
    </row>
    <row r="170" spans="1:7" x14ac:dyDescent="0.2">
      <c r="A170">
        <v>2022</v>
      </c>
      <c r="B170">
        <f>IF(ISBLANK(E170),"",VLOOKUP(E170,Code!B:C,2,FALSE))</f>
        <v>3</v>
      </c>
      <c r="C170">
        <v>110635</v>
      </c>
      <c r="D170" t="s">
        <v>63</v>
      </c>
      <c r="E170" t="s">
        <v>21</v>
      </c>
    </row>
    <row r="171" spans="1:7" x14ac:dyDescent="0.2">
      <c r="A171">
        <v>2022</v>
      </c>
      <c r="B171">
        <f>IF(ISBLANK(E171),"",VLOOKUP(E171,Code!B:C,2,FALSE))</f>
        <v>7</v>
      </c>
      <c r="C171">
        <v>110635</v>
      </c>
      <c r="D171" t="s">
        <v>63</v>
      </c>
      <c r="E171" t="s">
        <v>25</v>
      </c>
    </row>
    <row r="172" spans="1:7" x14ac:dyDescent="0.2">
      <c r="A172">
        <v>2022</v>
      </c>
      <c r="B172">
        <f>IF(ISBLANK(E172),"",VLOOKUP(E172,Code!B:C,2,FALSE))</f>
        <v>9</v>
      </c>
      <c r="C172">
        <v>110635</v>
      </c>
      <c r="D172" t="s">
        <v>63</v>
      </c>
      <c r="E172" t="s">
        <v>3</v>
      </c>
    </row>
    <row r="173" spans="1:7" x14ac:dyDescent="0.2">
      <c r="A173">
        <v>2022</v>
      </c>
      <c r="B173">
        <f>IF(ISBLANK(E173),"",VLOOKUP(E173,Code!B:C,2,FALSE))</f>
        <v>12</v>
      </c>
      <c r="C173">
        <v>110635</v>
      </c>
      <c r="D173" t="s">
        <v>63</v>
      </c>
      <c r="E173" t="s">
        <v>27</v>
      </c>
    </row>
    <row r="174" spans="1:7" x14ac:dyDescent="0.2">
      <c r="A174">
        <v>2022</v>
      </c>
      <c r="B174">
        <f>IF(ISBLANK(E174),"",VLOOKUP(E174,Code!B:C,2,FALSE))</f>
        <v>14</v>
      </c>
      <c r="C174">
        <v>110635</v>
      </c>
      <c r="D174" t="s">
        <v>63</v>
      </c>
      <c r="E174" t="s">
        <v>29</v>
      </c>
    </row>
    <row r="175" spans="1:7" x14ac:dyDescent="0.2">
      <c r="A175">
        <v>2022</v>
      </c>
      <c r="B175">
        <f>IF(ISBLANK(E175),"",VLOOKUP(E175,Code!B:C,2,FALSE))</f>
        <v>17</v>
      </c>
      <c r="C175">
        <v>110635</v>
      </c>
      <c r="D175" t="s">
        <v>63</v>
      </c>
      <c r="E175" t="s">
        <v>5</v>
      </c>
    </row>
    <row r="176" spans="1:7" x14ac:dyDescent="0.2">
      <c r="A176">
        <v>2022</v>
      </c>
      <c r="B176">
        <f>IF(ISBLANK(E176),"",VLOOKUP(E176,Code!B:C,2,FALSE))</f>
        <v>18</v>
      </c>
      <c r="C176">
        <v>110635</v>
      </c>
      <c r="D176" t="s">
        <v>63</v>
      </c>
      <c r="E176" t="s">
        <v>6</v>
      </c>
      <c r="G176" s="6">
        <v>3040</v>
      </c>
    </row>
    <row r="177" spans="1:7" x14ac:dyDescent="0.2">
      <c r="A177">
        <v>2022</v>
      </c>
      <c r="B177">
        <f>IF(ISBLANK(E177),"",VLOOKUP(E177,Code!B:C,2,FALSE))</f>
        <v>19</v>
      </c>
      <c r="C177">
        <v>110635</v>
      </c>
      <c r="D177" t="s">
        <v>63</v>
      </c>
      <c r="E177" t="s">
        <v>7</v>
      </c>
    </row>
    <row r="178" spans="1:7" x14ac:dyDescent="0.2">
      <c r="A178">
        <v>2022</v>
      </c>
      <c r="B178">
        <f>IF(ISBLANK(E178),"",VLOOKUP(E178,Code!B:C,2,FALSE))</f>
        <v>20</v>
      </c>
      <c r="C178">
        <v>110635</v>
      </c>
      <c r="D178" t="s">
        <v>63</v>
      </c>
      <c r="E178" t="s">
        <v>8</v>
      </c>
    </row>
    <row r="179" spans="1:7" x14ac:dyDescent="0.2">
      <c r="A179">
        <v>2022</v>
      </c>
      <c r="B179">
        <f>IF(ISBLANK(E179),"",VLOOKUP(E179,Code!B:C,2,FALSE))</f>
        <v>21</v>
      </c>
      <c r="C179">
        <v>110635</v>
      </c>
      <c r="D179" t="s">
        <v>63</v>
      </c>
      <c r="E179" t="s">
        <v>36</v>
      </c>
    </row>
    <row r="180" spans="1:7" x14ac:dyDescent="0.2">
      <c r="A180">
        <v>2022</v>
      </c>
      <c r="B180">
        <f>IF(ISBLANK(E180),"",VLOOKUP(E180,Code!B:C,2,FALSE))</f>
        <v>23</v>
      </c>
      <c r="C180">
        <v>110635</v>
      </c>
      <c r="D180" t="s">
        <v>63</v>
      </c>
      <c r="E180" t="s">
        <v>10</v>
      </c>
    </row>
    <row r="181" spans="1:7" x14ac:dyDescent="0.2">
      <c r="A181">
        <v>2022</v>
      </c>
      <c r="B181">
        <f>IF(ISBLANK(E181),"",VLOOKUP(E181,Code!B:C,2,FALSE))</f>
        <v>24</v>
      </c>
      <c r="C181">
        <v>110635</v>
      </c>
      <c r="D181" t="s">
        <v>63</v>
      </c>
      <c r="E181" t="s">
        <v>34</v>
      </c>
      <c r="G181" s="6">
        <v>1620</v>
      </c>
    </row>
    <row r="182" spans="1:7" x14ac:dyDescent="0.2">
      <c r="A182">
        <v>2023</v>
      </c>
      <c r="B182">
        <f>IF(ISBLANK(E182),"",VLOOKUP(E182,Code!B:C,2,FALSE))</f>
        <v>1</v>
      </c>
      <c r="C182">
        <v>110635</v>
      </c>
      <c r="D182" t="s">
        <v>63</v>
      </c>
      <c r="E182" t="s">
        <v>0</v>
      </c>
      <c r="F182">
        <v>357</v>
      </c>
    </row>
    <row r="183" spans="1:7" x14ac:dyDescent="0.2">
      <c r="A183">
        <v>2023</v>
      </c>
      <c r="B183">
        <f>IF(ISBLANK(E183),"",VLOOKUP(E183,Code!B:C,2,FALSE))</f>
        <v>2</v>
      </c>
      <c r="C183">
        <v>110635</v>
      </c>
      <c r="D183" t="s">
        <v>63</v>
      </c>
      <c r="E183" t="s">
        <v>1</v>
      </c>
      <c r="F183" s="6">
        <v>2110</v>
      </c>
      <c r="G183" s="6">
        <v>2250</v>
      </c>
    </row>
    <row r="184" spans="1:7" x14ac:dyDescent="0.2">
      <c r="A184">
        <v>2023</v>
      </c>
      <c r="B184">
        <f>IF(ISBLANK(E184),"",VLOOKUP(E184,Code!B:C,2,FALSE))</f>
        <v>8</v>
      </c>
      <c r="C184">
        <v>110635</v>
      </c>
      <c r="D184" t="s">
        <v>63</v>
      </c>
      <c r="E184" t="s">
        <v>2</v>
      </c>
      <c r="F184" s="6">
        <v>757083</v>
      </c>
    </row>
    <row r="185" spans="1:7" x14ac:dyDescent="0.2">
      <c r="A185">
        <v>2023</v>
      </c>
      <c r="B185">
        <f>IF(ISBLANK(E185),"",VLOOKUP(E185,Code!B:C,2,FALSE))</f>
        <v>3</v>
      </c>
      <c r="C185">
        <v>110635</v>
      </c>
      <c r="D185" t="s">
        <v>63</v>
      </c>
      <c r="E185" t="s">
        <v>21</v>
      </c>
    </row>
    <row r="186" spans="1:7" x14ac:dyDescent="0.2">
      <c r="A186">
        <v>2023</v>
      </c>
      <c r="B186">
        <f>IF(ISBLANK(E186),"",VLOOKUP(E186,Code!B:C,2,FALSE))</f>
        <v>7</v>
      </c>
      <c r="C186">
        <v>110635</v>
      </c>
      <c r="D186" t="s">
        <v>63</v>
      </c>
      <c r="E186" t="s">
        <v>25</v>
      </c>
    </row>
    <row r="187" spans="1:7" x14ac:dyDescent="0.2">
      <c r="A187">
        <v>2023</v>
      </c>
      <c r="B187">
        <f>IF(ISBLANK(E187),"",VLOOKUP(E187,Code!B:C,2,FALSE))</f>
        <v>9</v>
      </c>
      <c r="C187">
        <v>110635</v>
      </c>
      <c r="D187" t="s">
        <v>63</v>
      </c>
      <c r="E187" t="s">
        <v>3</v>
      </c>
    </row>
    <row r="188" spans="1:7" x14ac:dyDescent="0.2">
      <c r="A188">
        <v>2023</v>
      </c>
      <c r="B188">
        <f>IF(ISBLANK(E188),"",VLOOKUP(E188,Code!B:C,2,FALSE))</f>
        <v>10</v>
      </c>
      <c r="C188">
        <v>110635</v>
      </c>
      <c r="D188" t="s">
        <v>63</v>
      </c>
      <c r="E188" t="s">
        <v>4</v>
      </c>
    </row>
    <row r="189" spans="1:7" x14ac:dyDescent="0.2">
      <c r="A189">
        <v>2023</v>
      </c>
      <c r="B189">
        <f>IF(ISBLANK(E189),"",VLOOKUP(E189,Code!B:C,2,FALSE))</f>
        <v>12</v>
      </c>
      <c r="C189">
        <v>110635</v>
      </c>
      <c r="D189" t="s">
        <v>63</v>
      </c>
      <c r="E189" t="s">
        <v>27</v>
      </c>
    </row>
    <row r="190" spans="1:7" x14ac:dyDescent="0.2">
      <c r="A190">
        <v>2023</v>
      </c>
      <c r="B190">
        <f>IF(ISBLANK(E190),"",VLOOKUP(E190,Code!B:C,2,FALSE))</f>
        <v>14</v>
      </c>
      <c r="C190">
        <v>110635</v>
      </c>
      <c r="D190" t="s">
        <v>63</v>
      </c>
      <c r="E190" t="s">
        <v>29</v>
      </c>
    </row>
    <row r="191" spans="1:7" x14ac:dyDescent="0.2">
      <c r="A191">
        <v>2023</v>
      </c>
      <c r="B191">
        <f>IF(ISBLANK(E191),"",VLOOKUP(E191,Code!B:C,2,FALSE))</f>
        <v>17</v>
      </c>
      <c r="C191">
        <v>110635</v>
      </c>
      <c r="D191" t="s">
        <v>63</v>
      </c>
      <c r="E191" t="s">
        <v>5</v>
      </c>
    </row>
    <row r="192" spans="1:7" x14ac:dyDescent="0.2">
      <c r="A192">
        <v>2023</v>
      </c>
      <c r="B192">
        <f>IF(ISBLANK(E192),"",VLOOKUP(E192,Code!B:C,2,FALSE))</f>
        <v>18</v>
      </c>
      <c r="C192">
        <v>110635</v>
      </c>
      <c r="D192" t="s">
        <v>63</v>
      </c>
      <c r="E192" t="s">
        <v>6</v>
      </c>
      <c r="G192" s="6">
        <v>2282</v>
      </c>
    </row>
    <row r="193" spans="1:7" x14ac:dyDescent="0.2">
      <c r="A193">
        <v>2023</v>
      </c>
      <c r="B193">
        <f>IF(ISBLANK(E193),"",VLOOKUP(E193,Code!B:C,2,FALSE))</f>
        <v>19</v>
      </c>
      <c r="C193">
        <v>110635</v>
      </c>
      <c r="D193" t="s">
        <v>63</v>
      </c>
      <c r="E193" t="s">
        <v>7</v>
      </c>
    </row>
    <row r="194" spans="1:7" x14ac:dyDescent="0.2">
      <c r="A194">
        <v>2023</v>
      </c>
      <c r="B194">
        <f>IF(ISBLANK(E194),"",VLOOKUP(E194,Code!B:C,2,FALSE))</f>
        <v>20</v>
      </c>
      <c r="C194">
        <v>110635</v>
      </c>
      <c r="D194" t="s">
        <v>63</v>
      </c>
      <c r="E194" t="s">
        <v>8</v>
      </c>
    </row>
    <row r="195" spans="1:7" x14ac:dyDescent="0.2">
      <c r="A195">
        <v>2023</v>
      </c>
      <c r="B195">
        <f>IF(ISBLANK(E195),"",VLOOKUP(E195,Code!B:C,2,FALSE))</f>
        <v>21</v>
      </c>
      <c r="C195">
        <v>110635</v>
      </c>
      <c r="D195" t="s">
        <v>63</v>
      </c>
      <c r="E195" t="s">
        <v>9</v>
      </c>
    </row>
    <row r="196" spans="1:7" x14ac:dyDescent="0.2">
      <c r="A196">
        <v>2023</v>
      </c>
      <c r="B196">
        <f>IF(ISBLANK(E196),"",VLOOKUP(E196,Code!B:C,2,FALSE))</f>
        <v>23</v>
      </c>
      <c r="C196">
        <v>110635</v>
      </c>
      <c r="D196" t="s">
        <v>63</v>
      </c>
      <c r="E196" t="s">
        <v>10</v>
      </c>
      <c r="G196" s="6">
        <v>1740</v>
      </c>
    </row>
    <row r="197" spans="1:7" x14ac:dyDescent="0.2">
      <c r="A197">
        <v>2023</v>
      </c>
      <c r="B197">
        <f>IF(ISBLANK(E197),"",VLOOKUP(E197,Code!B:C,2,FALSE))</f>
        <v>24</v>
      </c>
      <c r="C197">
        <v>110635</v>
      </c>
      <c r="D197" t="s">
        <v>63</v>
      </c>
      <c r="E197" t="s">
        <v>34</v>
      </c>
    </row>
    <row r="198" spans="1:7" x14ac:dyDescent="0.2">
      <c r="A198">
        <v>2017</v>
      </c>
      <c r="B198">
        <f>IF(ISBLANK(E198),"",VLOOKUP(E198,Code!B:C,2,FALSE))</f>
        <v>2</v>
      </c>
      <c r="C198">
        <v>126614</v>
      </c>
      <c r="D198" t="s">
        <v>75</v>
      </c>
      <c r="E198" t="s">
        <v>1</v>
      </c>
      <c r="F198" s="6">
        <v>91275</v>
      </c>
      <c r="G198" s="6">
        <v>15337</v>
      </c>
    </row>
    <row r="199" spans="1:7" x14ac:dyDescent="0.2">
      <c r="A199">
        <v>2017</v>
      </c>
      <c r="B199">
        <f>IF(ISBLANK(E199),"",VLOOKUP(E199,Code!B:C,2,FALSE))</f>
        <v>8</v>
      </c>
      <c r="C199">
        <v>126614</v>
      </c>
      <c r="D199" t="s">
        <v>75</v>
      </c>
      <c r="E199" t="s">
        <v>2</v>
      </c>
      <c r="F199" s="6">
        <v>1073596</v>
      </c>
    </row>
    <row r="200" spans="1:7" x14ac:dyDescent="0.2">
      <c r="A200">
        <v>2017</v>
      </c>
      <c r="B200">
        <f>IF(ISBLANK(E200),"",VLOOKUP(E200,Code!B:C,2,FALSE))</f>
        <v>9</v>
      </c>
      <c r="C200">
        <v>126614</v>
      </c>
      <c r="D200" t="s">
        <v>75</v>
      </c>
      <c r="E200" t="s">
        <v>3</v>
      </c>
    </row>
    <row r="201" spans="1:7" x14ac:dyDescent="0.2">
      <c r="A201">
        <v>2017</v>
      </c>
      <c r="B201">
        <f>IF(ISBLANK(E201),"",VLOOKUP(E201,Code!B:C,2,FALSE))</f>
        <v>16</v>
      </c>
      <c r="C201">
        <v>126614</v>
      </c>
      <c r="D201" t="s">
        <v>75</v>
      </c>
      <c r="E201" t="s">
        <v>31</v>
      </c>
    </row>
    <row r="202" spans="1:7" x14ac:dyDescent="0.2">
      <c r="A202">
        <v>2017</v>
      </c>
      <c r="B202">
        <f>IF(ISBLANK(E202),"",VLOOKUP(E202,Code!B:C,2,FALSE))</f>
        <v>21</v>
      </c>
      <c r="C202">
        <v>126614</v>
      </c>
      <c r="D202" t="s">
        <v>75</v>
      </c>
      <c r="E202" t="s">
        <v>36</v>
      </c>
      <c r="F202">
        <v>46</v>
      </c>
      <c r="G202">
        <v>46</v>
      </c>
    </row>
    <row r="203" spans="1:7" x14ac:dyDescent="0.2">
      <c r="A203">
        <v>2017</v>
      </c>
      <c r="B203">
        <f>IF(ISBLANK(E203),"",VLOOKUP(E203,Code!B:C,2,FALSE))</f>
        <v>12</v>
      </c>
      <c r="C203">
        <v>126614</v>
      </c>
      <c r="D203" t="s">
        <v>75</v>
      </c>
      <c r="E203" t="s">
        <v>27</v>
      </c>
      <c r="G203">
        <v>339</v>
      </c>
    </row>
    <row r="204" spans="1:7" x14ac:dyDescent="0.2">
      <c r="A204">
        <v>2017</v>
      </c>
      <c r="B204">
        <f>IF(ISBLANK(E204),"",VLOOKUP(E204,Code!B:C,2,FALSE))</f>
        <v>17</v>
      </c>
      <c r="C204">
        <v>126614</v>
      </c>
      <c r="D204" t="s">
        <v>75</v>
      </c>
      <c r="E204" t="s">
        <v>5</v>
      </c>
      <c r="G204" s="6">
        <v>4679</v>
      </c>
    </row>
    <row r="205" spans="1:7" x14ac:dyDescent="0.2">
      <c r="A205">
        <v>2017</v>
      </c>
      <c r="B205">
        <f>IF(ISBLANK(E205),"",VLOOKUP(E205,Code!B:C,2,FALSE))</f>
        <v>20</v>
      </c>
      <c r="C205">
        <v>126614</v>
      </c>
      <c r="D205" t="s">
        <v>75</v>
      </c>
      <c r="E205" t="s">
        <v>8</v>
      </c>
    </row>
    <row r="206" spans="1:7" x14ac:dyDescent="0.2">
      <c r="A206">
        <v>2017</v>
      </c>
      <c r="B206">
        <f>IF(ISBLANK(E206),"",VLOOKUP(E206,Code!B:C,2,FALSE))</f>
        <v>23</v>
      </c>
      <c r="C206">
        <v>126614</v>
      </c>
      <c r="D206" t="s">
        <v>75</v>
      </c>
      <c r="E206" t="s">
        <v>10</v>
      </c>
      <c r="G206" s="6">
        <v>9603</v>
      </c>
    </row>
    <row r="207" spans="1:7" x14ac:dyDescent="0.2">
      <c r="A207">
        <v>2018</v>
      </c>
      <c r="B207">
        <f>IF(ISBLANK(E207),"",VLOOKUP(E207,Code!B:C,2,FALSE))</f>
        <v>2</v>
      </c>
      <c r="C207">
        <v>126614</v>
      </c>
      <c r="D207" t="s">
        <v>75</v>
      </c>
      <c r="E207" t="s">
        <v>1</v>
      </c>
      <c r="F207" s="6">
        <v>141277</v>
      </c>
      <c r="G207" s="6">
        <v>17470</v>
      </c>
    </row>
    <row r="208" spans="1:7" x14ac:dyDescent="0.2">
      <c r="A208">
        <v>2018</v>
      </c>
      <c r="B208">
        <f>IF(ISBLANK(E208),"",VLOOKUP(E208,Code!B:C,2,FALSE))</f>
        <v>8</v>
      </c>
      <c r="C208">
        <v>126614</v>
      </c>
      <c r="D208" t="s">
        <v>75</v>
      </c>
      <c r="E208" t="s">
        <v>2</v>
      </c>
      <c r="F208" s="6">
        <v>1011845</v>
      </c>
    </row>
    <row r="209" spans="1:7" x14ac:dyDescent="0.2">
      <c r="A209">
        <v>2018</v>
      </c>
      <c r="B209">
        <f>IF(ISBLANK(E209),"",VLOOKUP(E209,Code!B:C,2,FALSE))</f>
        <v>9</v>
      </c>
      <c r="C209">
        <v>126614</v>
      </c>
      <c r="D209" t="s">
        <v>75</v>
      </c>
      <c r="E209" t="s">
        <v>3</v>
      </c>
    </row>
    <row r="210" spans="1:7" x14ac:dyDescent="0.2">
      <c r="A210">
        <v>2018</v>
      </c>
      <c r="B210">
        <f>IF(ISBLANK(E210),"",VLOOKUP(E210,Code!B:C,2,FALSE))</f>
        <v>16</v>
      </c>
      <c r="C210">
        <v>126614</v>
      </c>
      <c r="D210" t="s">
        <v>75</v>
      </c>
      <c r="E210" t="s">
        <v>31</v>
      </c>
    </row>
    <row r="211" spans="1:7" x14ac:dyDescent="0.2">
      <c r="A211">
        <v>2018</v>
      </c>
      <c r="B211">
        <f>IF(ISBLANK(E211),"",VLOOKUP(E211,Code!B:C,2,FALSE))</f>
        <v>9</v>
      </c>
      <c r="C211">
        <v>126614</v>
      </c>
      <c r="D211" t="s">
        <v>75</v>
      </c>
      <c r="E211" t="s">
        <v>3</v>
      </c>
    </row>
    <row r="212" spans="1:7" x14ac:dyDescent="0.2">
      <c r="A212">
        <v>2018</v>
      </c>
      <c r="B212">
        <f>IF(ISBLANK(E212),"",VLOOKUP(E212,Code!B:C,2,FALSE))</f>
        <v>12</v>
      </c>
      <c r="C212">
        <v>126614</v>
      </c>
      <c r="D212" t="s">
        <v>75</v>
      </c>
      <c r="E212" t="s">
        <v>27</v>
      </c>
      <c r="G212" s="6">
        <v>3377</v>
      </c>
    </row>
    <row r="213" spans="1:7" x14ac:dyDescent="0.2">
      <c r="A213">
        <v>2018</v>
      </c>
      <c r="B213">
        <f>IF(ISBLANK(E213),"",VLOOKUP(E213,Code!B:C,2,FALSE))</f>
        <v>17</v>
      </c>
      <c r="C213">
        <v>126614</v>
      </c>
      <c r="D213" t="s">
        <v>75</v>
      </c>
      <c r="E213" t="s">
        <v>5</v>
      </c>
      <c r="G213" s="6">
        <v>5047</v>
      </c>
    </row>
    <row r="214" spans="1:7" x14ac:dyDescent="0.2">
      <c r="A214">
        <v>2018</v>
      </c>
      <c r="B214">
        <f>IF(ISBLANK(E214),"",VLOOKUP(E214,Code!B:C,2,FALSE))</f>
        <v>20</v>
      </c>
      <c r="C214">
        <v>126614</v>
      </c>
      <c r="D214" t="s">
        <v>75</v>
      </c>
      <c r="E214" t="s">
        <v>8</v>
      </c>
    </row>
    <row r="215" spans="1:7" x14ac:dyDescent="0.2">
      <c r="A215">
        <v>2018</v>
      </c>
      <c r="B215">
        <f>IF(ISBLANK(E215),"",VLOOKUP(E215,Code!B:C,2,FALSE))</f>
        <v>21</v>
      </c>
      <c r="C215">
        <v>126614</v>
      </c>
      <c r="D215" t="s">
        <v>75</v>
      </c>
      <c r="E215" t="s">
        <v>36</v>
      </c>
      <c r="F215">
        <v>61</v>
      </c>
      <c r="G215">
        <v>61</v>
      </c>
    </row>
    <row r="216" spans="1:7" x14ac:dyDescent="0.2">
      <c r="A216">
        <v>2018</v>
      </c>
      <c r="B216">
        <f>IF(ISBLANK(E216),"",VLOOKUP(E216,Code!B:C,2,FALSE))</f>
        <v>23</v>
      </c>
      <c r="C216">
        <v>126614</v>
      </c>
      <c r="D216" t="s">
        <v>75</v>
      </c>
      <c r="E216" t="s">
        <v>10</v>
      </c>
      <c r="G216" s="6">
        <v>9021</v>
      </c>
    </row>
    <row r="217" spans="1:7" x14ac:dyDescent="0.2">
      <c r="A217">
        <v>2019</v>
      </c>
      <c r="B217">
        <f>IF(ISBLANK(E217),"",VLOOKUP(E217,Code!B:C,2,FALSE))</f>
        <v>2</v>
      </c>
      <c r="C217">
        <v>126614</v>
      </c>
      <c r="D217" t="s">
        <v>75</v>
      </c>
      <c r="E217" t="s">
        <v>1</v>
      </c>
      <c r="F217" s="6">
        <v>194609</v>
      </c>
      <c r="G217" s="6">
        <v>22477</v>
      </c>
    </row>
    <row r="218" spans="1:7" x14ac:dyDescent="0.2">
      <c r="A218">
        <v>2019</v>
      </c>
      <c r="B218">
        <f>IF(ISBLANK(E218),"",VLOOKUP(E218,Code!B:C,2,FALSE))</f>
        <v>8</v>
      </c>
      <c r="C218">
        <v>126614</v>
      </c>
      <c r="D218" t="s">
        <v>75</v>
      </c>
      <c r="E218" t="s">
        <v>2</v>
      </c>
      <c r="F218" s="6">
        <v>1143245</v>
      </c>
    </row>
    <row r="219" spans="1:7" x14ac:dyDescent="0.2">
      <c r="A219">
        <v>2019</v>
      </c>
      <c r="B219">
        <f>IF(ISBLANK(E219),"",VLOOKUP(E219,Code!B:C,2,FALSE))</f>
        <v>9</v>
      </c>
      <c r="C219">
        <v>126614</v>
      </c>
      <c r="D219" t="s">
        <v>75</v>
      </c>
      <c r="E219" t="s">
        <v>3</v>
      </c>
    </row>
    <row r="220" spans="1:7" x14ac:dyDescent="0.2">
      <c r="A220">
        <v>2019</v>
      </c>
      <c r="B220">
        <f>IF(ISBLANK(E220),"",VLOOKUP(E220,Code!B:C,2,FALSE))</f>
        <v>16</v>
      </c>
      <c r="C220">
        <v>126614</v>
      </c>
      <c r="D220" t="s">
        <v>75</v>
      </c>
      <c r="E220" t="s">
        <v>31</v>
      </c>
    </row>
    <row r="221" spans="1:7" x14ac:dyDescent="0.2">
      <c r="A221">
        <v>2019</v>
      </c>
      <c r="B221">
        <f>IF(ISBLANK(E221),"",VLOOKUP(E221,Code!B:C,2,FALSE))</f>
        <v>21</v>
      </c>
      <c r="C221">
        <v>126614</v>
      </c>
      <c r="D221" t="s">
        <v>75</v>
      </c>
      <c r="E221" t="s">
        <v>36</v>
      </c>
    </row>
    <row r="222" spans="1:7" x14ac:dyDescent="0.2">
      <c r="A222">
        <v>2019</v>
      </c>
      <c r="B222">
        <f>IF(ISBLANK(E222),"",VLOOKUP(E222,Code!B:C,2,FALSE))</f>
        <v>12</v>
      </c>
      <c r="C222">
        <v>126614</v>
      </c>
      <c r="D222" t="s">
        <v>75</v>
      </c>
      <c r="E222" t="s">
        <v>27</v>
      </c>
      <c r="G222">
        <v>246</v>
      </c>
    </row>
    <row r="223" spans="1:7" x14ac:dyDescent="0.2">
      <c r="A223">
        <v>2019</v>
      </c>
      <c r="B223">
        <f>IF(ISBLANK(E223),"",VLOOKUP(E223,Code!B:C,2,FALSE))</f>
        <v>17</v>
      </c>
      <c r="C223">
        <v>126614</v>
      </c>
      <c r="D223" t="s">
        <v>75</v>
      </c>
      <c r="E223" t="s">
        <v>5</v>
      </c>
      <c r="G223" s="6">
        <v>6310</v>
      </c>
    </row>
    <row r="224" spans="1:7" x14ac:dyDescent="0.2">
      <c r="A224">
        <v>2019</v>
      </c>
      <c r="B224">
        <f>IF(ISBLANK(E224),"",VLOOKUP(E224,Code!B:C,2,FALSE))</f>
        <v>20</v>
      </c>
      <c r="C224">
        <v>126614</v>
      </c>
      <c r="D224" t="s">
        <v>75</v>
      </c>
      <c r="E224" t="s">
        <v>8</v>
      </c>
    </row>
    <row r="225" spans="1:7" x14ac:dyDescent="0.2">
      <c r="A225">
        <v>2019</v>
      </c>
      <c r="B225">
        <f>IF(ISBLANK(E225),"",VLOOKUP(E225,Code!B:C,2,FALSE))</f>
        <v>23</v>
      </c>
      <c r="C225">
        <v>126614</v>
      </c>
      <c r="D225" t="s">
        <v>75</v>
      </c>
      <c r="E225" t="s">
        <v>10</v>
      </c>
      <c r="G225" s="6">
        <v>12994</v>
      </c>
    </row>
    <row r="226" spans="1:7" x14ac:dyDescent="0.2">
      <c r="A226">
        <v>2020</v>
      </c>
      <c r="B226">
        <f>IF(ISBLANK(E226),"",VLOOKUP(E226,Code!B:C,2,FALSE))</f>
        <v>2</v>
      </c>
      <c r="C226">
        <v>126614</v>
      </c>
      <c r="D226" t="s">
        <v>75</v>
      </c>
      <c r="E226" t="s">
        <v>1</v>
      </c>
      <c r="F226" s="6">
        <v>213993</v>
      </c>
      <c r="G226" s="6">
        <v>21652</v>
      </c>
    </row>
    <row r="227" spans="1:7" x14ac:dyDescent="0.2">
      <c r="A227">
        <v>2020</v>
      </c>
      <c r="B227">
        <f>IF(ISBLANK(E227),"",VLOOKUP(E227,Code!B:C,2,FALSE))</f>
        <v>8</v>
      </c>
      <c r="C227">
        <v>126614</v>
      </c>
      <c r="D227" t="s">
        <v>75</v>
      </c>
      <c r="E227" t="s">
        <v>2</v>
      </c>
      <c r="F227" s="6">
        <v>1524050</v>
      </c>
    </row>
    <row r="228" spans="1:7" x14ac:dyDescent="0.2">
      <c r="A228">
        <v>2020</v>
      </c>
      <c r="B228">
        <f>IF(ISBLANK(E228),"",VLOOKUP(E228,Code!B:C,2,FALSE))</f>
        <v>9</v>
      </c>
      <c r="C228">
        <v>126614</v>
      </c>
      <c r="D228" t="s">
        <v>75</v>
      </c>
      <c r="E228" t="s">
        <v>3</v>
      </c>
    </row>
    <row r="229" spans="1:7" x14ac:dyDescent="0.2">
      <c r="A229">
        <v>2020</v>
      </c>
      <c r="B229">
        <f>IF(ISBLANK(E229),"",VLOOKUP(E229,Code!B:C,2,FALSE))</f>
        <v>16</v>
      </c>
      <c r="C229">
        <v>126614</v>
      </c>
      <c r="D229" t="s">
        <v>75</v>
      </c>
      <c r="E229" t="s">
        <v>31</v>
      </c>
    </row>
    <row r="230" spans="1:7" x14ac:dyDescent="0.2">
      <c r="A230">
        <v>2020</v>
      </c>
      <c r="B230">
        <f>IF(ISBLANK(E230),"",VLOOKUP(E230,Code!B:C,2,FALSE))</f>
        <v>12</v>
      </c>
      <c r="C230">
        <v>126614</v>
      </c>
      <c r="D230" t="s">
        <v>75</v>
      </c>
      <c r="E230" t="s">
        <v>27</v>
      </c>
      <c r="G230">
        <v>286</v>
      </c>
    </row>
    <row r="231" spans="1:7" x14ac:dyDescent="0.2">
      <c r="A231">
        <v>2020</v>
      </c>
      <c r="B231">
        <f>IF(ISBLANK(E231),"",VLOOKUP(E231,Code!B:C,2,FALSE))</f>
        <v>17</v>
      </c>
      <c r="C231">
        <v>126614</v>
      </c>
      <c r="D231" t="s">
        <v>75</v>
      </c>
      <c r="E231" t="s">
        <v>5</v>
      </c>
      <c r="G231" s="6">
        <v>5531</v>
      </c>
    </row>
    <row r="232" spans="1:7" x14ac:dyDescent="0.2">
      <c r="A232">
        <v>2020</v>
      </c>
      <c r="B232">
        <f>IF(ISBLANK(E232),"",VLOOKUP(E232,Code!B:C,2,FALSE))</f>
        <v>20</v>
      </c>
      <c r="C232">
        <v>126614</v>
      </c>
      <c r="D232" t="s">
        <v>75</v>
      </c>
      <c r="E232" t="s">
        <v>8</v>
      </c>
    </row>
    <row r="233" spans="1:7" x14ac:dyDescent="0.2">
      <c r="A233">
        <v>2020</v>
      </c>
      <c r="B233">
        <f>IF(ISBLANK(E233),"",VLOOKUP(E233,Code!B:C,2,FALSE))</f>
        <v>21</v>
      </c>
      <c r="C233">
        <v>126614</v>
      </c>
      <c r="D233" t="s">
        <v>75</v>
      </c>
      <c r="E233" t="s">
        <v>36</v>
      </c>
    </row>
    <row r="234" spans="1:7" x14ac:dyDescent="0.2">
      <c r="A234">
        <v>2020</v>
      </c>
      <c r="B234">
        <f>IF(ISBLANK(E234),"",VLOOKUP(E234,Code!B:C,2,FALSE))</f>
        <v>23</v>
      </c>
      <c r="C234">
        <v>126614</v>
      </c>
      <c r="D234" t="s">
        <v>75</v>
      </c>
      <c r="E234" t="s">
        <v>10</v>
      </c>
      <c r="G234" s="6">
        <v>9476</v>
      </c>
    </row>
    <row r="235" spans="1:7" x14ac:dyDescent="0.2">
      <c r="A235">
        <v>2021</v>
      </c>
      <c r="B235">
        <f>IF(ISBLANK(E235),"",VLOOKUP(E235,Code!B:C,2,FALSE))</f>
        <v>2</v>
      </c>
      <c r="C235">
        <v>126614</v>
      </c>
      <c r="D235" t="s">
        <v>75</v>
      </c>
      <c r="E235" t="s">
        <v>1</v>
      </c>
      <c r="F235" s="6">
        <v>26369</v>
      </c>
    </row>
    <row r="236" spans="1:7" x14ac:dyDescent="0.2">
      <c r="A236">
        <v>2021</v>
      </c>
      <c r="B236">
        <f>IF(ISBLANK(E236),"",VLOOKUP(E236,Code!B:C,2,FALSE))</f>
        <v>8</v>
      </c>
      <c r="C236">
        <v>126614</v>
      </c>
      <c r="D236" t="s">
        <v>75</v>
      </c>
      <c r="E236" t="s">
        <v>2</v>
      </c>
      <c r="F236" s="6">
        <v>24175</v>
      </c>
    </row>
    <row r="237" spans="1:7" x14ac:dyDescent="0.2">
      <c r="A237">
        <v>2021</v>
      </c>
      <c r="B237">
        <f>IF(ISBLANK(E237),"",VLOOKUP(E237,Code!B:C,2,FALSE))</f>
        <v>9</v>
      </c>
      <c r="C237">
        <v>126614</v>
      </c>
      <c r="D237" t="s">
        <v>75</v>
      </c>
      <c r="E237" t="s">
        <v>3</v>
      </c>
    </row>
    <row r="238" spans="1:7" x14ac:dyDescent="0.2">
      <c r="A238">
        <v>2021</v>
      </c>
      <c r="B238">
        <f>IF(ISBLANK(E238),"",VLOOKUP(E238,Code!B:C,2,FALSE))</f>
        <v>12</v>
      </c>
      <c r="C238">
        <v>126614</v>
      </c>
      <c r="D238" t="s">
        <v>75</v>
      </c>
      <c r="E238" t="s">
        <v>27</v>
      </c>
    </row>
    <row r="239" spans="1:7" x14ac:dyDescent="0.2">
      <c r="A239">
        <v>2021</v>
      </c>
      <c r="B239">
        <f>IF(ISBLANK(E239),"",VLOOKUP(E239,Code!B:C,2,FALSE))</f>
        <v>16</v>
      </c>
      <c r="C239">
        <v>126614</v>
      </c>
      <c r="D239" t="s">
        <v>75</v>
      </c>
      <c r="E239" t="s">
        <v>31</v>
      </c>
    </row>
    <row r="240" spans="1:7" x14ac:dyDescent="0.2">
      <c r="A240">
        <v>2021</v>
      </c>
      <c r="B240">
        <f>IF(ISBLANK(E240),"",VLOOKUP(E240,Code!B:C,2,FALSE))</f>
        <v>17</v>
      </c>
      <c r="C240">
        <v>126614</v>
      </c>
      <c r="D240" t="s">
        <v>75</v>
      </c>
      <c r="E240" t="s">
        <v>5</v>
      </c>
    </row>
    <row r="241" spans="1:7" x14ac:dyDescent="0.2">
      <c r="A241">
        <v>2021</v>
      </c>
      <c r="B241">
        <f>IF(ISBLANK(E241),"",VLOOKUP(E241,Code!B:C,2,FALSE))</f>
        <v>20</v>
      </c>
      <c r="C241">
        <v>126614</v>
      </c>
      <c r="D241" t="s">
        <v>75</v>
      </c>
      <c r="E241" t="s">
        <v>8</v>
      </c>
    </row>
    <row r="242" spans="1:7" x14ac:dyDescent="0.2">
      <c r="A242">
        <v>2021</v>
      </c>
      <c r="B242">
        <f>IF(ISBLANK(E242),"",VLOOKUP(E242,Code!B:C,2,FALSE))</f>
        <v>21</v>
      </c>
      <c r="C242">
        <v>126614</v>
      </c>
      <c r="D242" t="s">
        <v>75</v>
      </c>
      <c r="E242" t="s">
        <v>36</v>
      </c>
    </row>
    <row r="243" spans="1:7" x14ac:dyDescent="0.2">
      <c r="A243">
        <v>2021</v>
      </c>
      <c r="B243">
        <f>IF(ISBLANK(E243),"",VLOOKUP(E243,Code!B:C,2,FALSE))</f>
        <v>23</v>
      </c>
      <c r="C243">
        <v>126614</v>
      </c>
      <c r="D243" t="s">
        <v>75</v>
      </c>
      <c r="E243" t="s">
        <v>10</v>
      </c>
    </row>
    <row r="244" spans="1:7" x14ac:dyDescent="0.2">
      <c r="A244">
        <v>2022</v>
      </c>
      <c r="B244">
        <f>IF(ISBLANK(E244),"",VLOOKUP(E244,Code!B:C,2,FALSE))</f>
        <v>2</v>
      </c>
      <c r="C244">
        <v>126614</v>
      </c>
      <c r="D244" t="s">
        <v>75</v>
      </c>
      <c r="E244" t="s">
        <v>1</v>
      </c>
      <c r="F244" s="6">
        <v>261032</v>
      </c>
      <c r="G244" s="6">
        <v>21447</v>
      </c>
    </row>
    <row r="245" spans="1:7" x14ac:dyDescent="0.2">
      <c r="A245">
        <v>2022</v>
      </c>
      <c r="B245">
        <f>IF(ISBLANK(E245),"",VLOOKUP(E245,Code!B:C,2,FALSE))</f>
        <v>8</v>
      </c>
      <c r="C245">
        <v>126614</v>
      </c>
      <c r="D245" t="s">
        <v>75</v>
      </c>
      <c r="E245" t="s">
        <v>2</v>
      </c>
      <c r="F245" s="6">
        <v>1454619</v>
      </c>
    </row>
    <row r="246" spans="1:7" x14ac:dyDescent="0.2">
      <c r="A246">
        <v>2022</v>
      </c>
      <c r="B246">
        <f>IF(ISBLANK(E246),"",VLOOKUP(E246,Code!B:C,2,FALSE))</f>
        <v>9</v>
      </c>
      <c r="C246">
        <v>126614</v>
      </c>
      <c r="D246" t="s">
        <v>75</v>
      </c>
      <c r="E246" t="s">
        <v>3</v>
      </c>
    </row>
    <row r="247" spans="1:7" x14ac:dyDescent="0.2">
      <c r="A247">
        <v>2022</v>
      </c>
      <c r="B247">
        <f>IF(ISBLANK(E247),"",VLOOKUP(E247,Code!B:C,2,FALSE))</f>
        <v>12</v>
      </c>
      <c r="C247">
        <v>126614</v>
      </c>
      <c r="D247" t="s">
        <v>75</v>
      </c>
      <c r="E247" t="s">
        <v>27</v>
      </c>
      <c r="G247">
        <v>352</v>
      </c>
    </row>
    <row r="248" spans="1:7" x14ac:dyDescent="0.2">
      <c r="A248">
        <v>2022</v>
      </c>
      <c r="B248">
        <f>IF(ISBLANK(E248),"",VLOOKUP(E248,Code!B:C,2,FALSE))</f>
        <v>16</v>
      </c>
      <c r="C248">
        <v>126614</v>
      </c>
      <c r="D248" t="s">
        <v>75</v>
      </c>
      <c r="E248" t="s">
        <v>31</v>
      </c>
    </row>
    <row r="249" spans="1:7" x14ac:dyDescent="0.2">
      <c r="A249">
        <v>2022</v>
      </c>
      <c r="B249">
        <f>IF(ISBLANK(E249),"",VLOOKUP(E249,Code!B:C,2,FALSE))</f>
        <v>17</v>
      </c>
      <c r="C249">
        <v>126614</v>
      </c>
      <c r="D249" t="s">
        <v>75</v>
      </c>
      <c r="E249" t="s">
        <v>5</v>
      </c>
      <c r="G249" s="6">
        <v>5626</v>
      </c>
    </row>
    <row r="250" spans="1:7" x14ac:dyDescent="0.2">
      <c r="A250">
        <v>2022</v>
      </c>
      <c r="B250">
        <f>IF(ISBLANK(E250),"",VLOOKUP(E250,Code!B:C,2,FALSE))</f>
        <v>20</v>
      </c>
      <c r="C250">
        <v>126614</v>
      </c>
      <c r="D250" t="s">
        <v>75</v>
      </c>
      <c r="E250" t="s">
        <v>8</v>
      </c>
    </row>
    <row r="251" spans="1:7" x14ac:dyDescent="0.2">
      <c r="A251">
        <v>2022</v>
      </c>
      <c r="B251">
        <f>IF(ISBLANK(E251),"",VLOOKUP(E251,Code!B:C,2,FALSE))</f>
        <v>21</v>
      </c>
      <c r="C251">
        <v>126614</v>
      </c>
      <c r="D251" t="s">
        <v>75</v>
      </c>
      <c r="E251" t="s">
        <v>36</v>
      </c>
    </row>
    <row r="252" spans="1:7" x14ac:dyDescent="0.2">
      <c r="A252">
        <v>2022</v>
      </c>
      <c r="B252">
        <f>IF(ISBLANK(E252),"",VLOOKUP(E252,Code!B:C,2,FALSE))</f>
        <v>23</v>
      </c>
      <c r="C252">
        <v>126614</v>
      </c>
      <c r="D252" t="s">
        <v>75</v>
      </c>
      <c r="E252" t="s">
        <v>10</v>
      </c>
      <c r="G252" s="6">
        <v>13427</v>
      </c>
    </row>
    <row r="253" spans="1:7" x14ac:dyDescent="0.2">
      <c r="A253">
        <v>2023</v>
      </c>
      <c r="B253">
        <f>IF(ISBLANK(E253),"",VLOOKUP(E253,Code!B:C,2,FALSE))</f>
        <v>2</v>
      </c>
      <c r="C253">
        <v>126614</v>
      </c>
      <c r="D253" t="s">
        <v>75</v>
      </c>
      <c r="E253" t="s">
        <v>1</v>
      </c>
      <c r="F253" s="6">
        <v>254363</v>
      </c>
      <c r="G253" s="6">
        <v>25705</v>
      </c>
    </row>
    <row r="254" spans="1:7" x14ac:dyDescent="0.2">
      <c r="A254">
        <v>2023</v>
      </c>
      <c r="B254">
        <f>IF(ISBLANK(E254),"",VLOOKUP(E254,Code!B:C,2,FALSE))</f>
        <v>8</v>
      </c>
      <c r="C254">
        <v>126614</v>
      </c>
      <c r="D254" t="s">
        <v>75</v>
      </c>
      <c r="E254" t="s">
        <v>2</v>
      </c>
      <c r="F254" s="6">
        <v>1506249</v>
      </c>
    </row>
    <row r="255" spans="1:7" x14ac:dyDescent="0.2">
      <c r="A255">
        <v>2023</v>
      </c>
      <c r="B255">
        <f>IF(ISBLANK(E255),"",VLOOKUP(E255,Code!B:C,2,FALSE))</f>
        <v>9</v>
      </c>
      <c r="C255">
        <v>126614</v>
      </c>
      <c r="D255" t="s">
        <v>75</v>
      </c>
      <c r="E255" t="s">
        <v>3</v>
      </c>
    </row>
    <row r="256" spans="1:7" x14ac:dyDescent="0.2">
      <c r="A256">
        <v>2023</v>
      </c>
      <c r="B256">
        <f>IF(ISBLANK(E256),"",VLOOKUP(E256,Code!B:C,2,FALSE))</f>
        <v>12</v>
      </c>
      <c r="C256">
        <v>126614</v>
      </c>
      <c r="D256" t="s">
        <v>75</v>
      </c>
      <c r="E256" t="s">
        <v>27</v>
      </c>
      <c r="G256">
        <v>270</v>
      </c>
    </row>
    <row r="257" spans="1:7" x14ac:dyDescent="0.2">
      <c r="A257">
        <v>2023</v>
      </c>
      <c r="B257">
        <f>IF(ISBLANK(E257),"",VLOOKUP(E257,Code!B:C,2,FALSE))</f>
        <v>16</v>
      </c>
      <c r="C257">
        <v>126614</v>
      </c>
      <c r="D257" t="s">
        <v>75</v>
      </c>
      <c r="E257" t="s">
        <v>31</v>
      </c>
    </row>
    <row r="258" spans="1:7" x14ac:dyDescent="0.2">
      <c r="A258">
        <v>2023</v>
      </c>
      <c r="B258">
        <f>IF(ISBLANK(E258),"",VLOOKUP(E258,Code!B:C,2,FALSE))</f>
        <v>17</v>
      </c>
      <c r="C258">
        <v>126614</v>
      </c>
      <c r="D258" t="s">
        <v>75</v>
      </c>
      <c r="E258" t="s">
        <v>5</v>
      </c>
      <c r="G258" s="6">
        <v>9090</v>
      </c>
    </row>
    <row r="259" spans="1:7" x14ac:dyDescent="0.2">
      <c r="A259">
        <v>2023</v>
      </c>
      <c r="B259">
        <f>IF(ISBLANK(E259),"",VLOOKUP(E259,Code!B:C,2,FALSE))</f>
        <v>20</v>
      </c>
      <c r="C259">
        <v>126614</v>
      </c>
      <c r="D259" t="s">
        <v>75</v>
      </c>
      <c r="E259" t="s">
        <v>8</v>
      </c>
    </row>
    <row r="260" spans="1:7" x14ac:dyDescent="0.2">
      <c r="A260">
        <v>2023</v>
      </c>
      <c r="B260">
        <f>IF(ISBLANK(E260),"",VLOOKUP(E260,Code!B:C,2,FALSE))</f>
        <v>21</v>
      </c>
      <c r="C260">
        <v>126614</v>
      </c>
      <c r="D260" t="s">
        <v>75</v>
      </c>
      <c r="E260" t="s">
        <v>9</v>
      </c>
    </row>
    <row r="261" spans="1:7" x14ac:dyDescent="0.2">
      <c r="A261">
        <v>2023</v>
      </c>
      <c r="B261">
        <f>IF(ISBLANK(E261),"",VLOOKUP(E261,Code!B:C,2,FALSE))</f>
        <v>23</v>
      </c>
      <c r="C261">
        <v>126614</v>
      </c>
      <c r="D261" t="s">
        <v>75</v>
      </c>
      <c r="E261" t="s">
        <v>10</v>
      </c>
      <c r="G261" s="6">
        <v>21278</v>
      </c>
    </row>
    <row r="262" spans="1:7" x14ac:dyDescent="0.2">
      <c r="A262">
        <v>2017</v>
      </c>
      <c r="B262">
        <f>IF(ISBLANK(E262),"",VLOOKUP(E262,Code!B:C,2,FALSE))</f>
        <v>1</v>
      </c>
      <c r="C262">
        <v>163268</v>
      </c>
      <c r="D262" t="s">
        <v>127</v>
      </c>
      <c r="E262" t="s">
        <v>0</v>
      </c>
    </row>
    <row r="263" spans="1:7" x14ac:dyDescent="0.2">
      <c r="A263">
        <v>2017</v>
      </c>
      <c r="B263">
        <f>IF(ISBLANK(E263),"",VLOOKUP(E263,Code!B:C,2,FALSE))</f>
        <v>2</v>
      </c>
      <c r="C263">
        <v>163268</v>
      </c>
      <c r="D263" t="s">
        <v>127</v>
      </c>
      <c r="E263" t="s">
        <v>1</v>
      </c>
    </row>
    <row r="264" spans="1:7" x14ac:dyDescent="0.2">
      <c r="A264">
        <v>2017</v>
      </c>
      <c r="B264">
        <f>IF(ISBLANK(E264),"",VLOOKUP(E264,Code!B:C,2,FALSE))</f>
        <v>12</v>
      </c>
      <c r="C264">
        <v>163268</v>
      </c>
      <c r="D264" t="s">
        <v>127</v>
      </c>
      <c r="E264" t="s">
        <v>27</v>
      </c>
    </row>
    <row r="265" spans="1:7" x14ac:dyDescent="0.2">
      <c r="A265">
        <v>2017</v>
      </c>
      <c r="B265">
        <f>IF(ISBLANK(E265),"",VLOOKUP(E265,Code!B:C,2,FALSE))</f>
        <v>17</v>
      </c>
      <c r="C265">
        <v>163268</v>
      </c>
      <c r="D265" t="s">
        <v>127</v>
      </c>
      <c r="E265" t="s">
        <v>5</v>
      </c>
    </row>
    <row r="266" spans="1:7" x14ac:dyDescent="0.2">
      <c r="A266">
        <v>2017</v>
      </c>
      <c r="B266">
        <f>IF(ISBLANK(E266),"",VLOOKUP(E266,Code!B:C,2,FALSE))</f>
        <v>19</v>
      </c>
      <c r="C266">
        <v>163268</v>
      </c>
      <c r="D266" t="s">
        <v>127</v>
      </c>
      <c r="E266" t="s">
        <v>7</v>
      </c>
    </row>
    <row r="267" spans="1:7" x14ac:dyDescent="0.2">
      <c r="A267">
        <v>2017</v>
      </c>
      <c r="B267">
        <f>IF(ISBLANK(E267),"",VLOOKUP(E267,Code!B:C,2,FALSE))</f>
        <v>18</v>
      </c>
      <c r="C267">
        <v>163268</v>
      </c>
      <c r="D267" t="s">
        <v>127</v>
      </c>
      <c r="E267" t="s">
        <v>6</v>
      </c>
    </row>
    <row r="268" spans="1:7" x14ac:dyDescent="0.2">
      <c r="A268">
        <v>2017</v>
      </c>
      <c r="B268">
        <f>IF(ISBLANK(E268),"",VLOOKUP(E268,Code!B:C,2,FALSE))</f>
        <v>23</v>
      </c>
      <c r="C268">
        <v>163268</v>
      </c>
      <c r="D268" t="s">
        <v>127</v>
      </c>
      <c r="E268" t="s">
        <v>10</v>
      </c>
    </row>
    <row r="269" spans="1:7" x14ac:dyDescent="0.2">
      <c r="A269">
        <v>2018</v>
      </c>
      <c r="B269">
        <f>IF(ISBLANK(E269),"",VLOOKUP(E269,Code!B:C,2,FALSE))</f>
        <v>1</v>
      </c>
      <c r="C269">
        <v>163268</v>
      </c>
      <c r="D269" t="s">
        <v>127</v>
      </c>
      <c r="E269" t="s">
        <v>0</v>
      </c>
    </row>
    <row r="270" spans="1:7" x14ac:dyDescent="0.2">
      <c r="A270">
        <v>2018</v>
      </c>
      <c r="B270">
        <f>IF(ISBLANK(E270),"",VLOOKUP(E270,Code!B:C,2,FALSE))</f>
        <v>2</v>
      </c>
      <c r="C270">
        <v>163268</v>
      </c>
      <c r="D270" t="s">
        <v>127</v>
      </c>
      <c r="E270" t="s">
        <v>1</v>
      </c>
    </row>
    <row r="271" spans="1:7" x14ac:dyDescent="0.2">
      <c r="A271">
        <v>2018</v>
      </c>
      <c r="B271">
        <f>IF(ISBLANK(E271),"",VLOOKUP(E271,Code!B:C,2,FALSE))</f>
        <v>12</v>
      </c>
      <c r="C271">
        <v>163268</v>
      </c>
      <c r="D271" t="s">
        <v>127</v>
      </c>
      <c r="E271" t="s">
        <v>27</v>
      </c>
    </row>
    <row r="272" spans="1:7" x14ac:dyDescent="0.2">
      <c r="A272">
        <v>2018</v>
      </c>
      <c r="B272">
        <f>IF(ISBLANK(E272),"",VLOOKUP(E272,Code!B:C,2,FALSE))</f>
        <v>17</v>
      </c>
      <c r="C272">
        <v>163268</v>
      </c>
      <c r="D272" t="s">
        <v>127</v>
      </c>
      <c r="E272" t="s">
        <v>5</v>
      </c>
    </row>
    <row r="273" spans="1:5" x14ac:dyDescent="0.2">
      <c r="A273">
        <v>2018</v>
      </c>
      <c r="B273">
        <f>IF(ISBLANK(E273),"",VLOOKUP(E273,Code!B:C,2,FALSE))</f>
        <v>19</v>
      </c>
      <c r="C273">
        <v>163268</v>
      </c>
      <c r="D273" t="s">
        <v>127</v>
      </c>
      <c r="E273" t="s">
        <v>7</v>
      </c>
    </row>
    <row r="274" spans="1:5" x14ac:dyDescent="0.2">
      <c r="A274">
        <v>2018</v>
      </c>
      <c r="B274">
        <f>IF(ISBLANK(E274),"",VLOOKUP(E274,Code!B:C,2,FALSE))</f>
        <v>21</v>
      </c>
      <c r="C274">
        <v>163268</v>
      </c>
      <c r="D274" t="s">
        <v>127</v>
      </c>
      <c r="E274" t="s">
        <v>36</v>
      </c>
    </row>
    <row r="275" spans="1:5" x14ac:dyDescent="0.2">
      <c r="A275">
        <v>2018</v>
      </c>
      <c r="B275">
        <f>IF(ISBLANK(E275),"",VLOOKUP(E275,Code!B:C,2,FALSE))</f>
        <v>18</v>
      </c>
      <c r="C275">
        <v>163268</v>
      </c>
      <c r="D275" t="s">
        <v>127</v>
      </c>
      <c r="E275" t="s">
        <v>6</v>
      </c>
    </row>
    <row r="276" spans="1:5" x14ac:dyDescent="0.2">
      <c r="A276">
        <v>2018</v>
      </c>
      <c r="B276">
        <f>IF(ISBLANK(E276),"",VLOOKUP(E276,Code!B:C,2,FALSE))</f>
        <v>23</v>
      </c>
      <c r="C276">
        <v>163268</v>
      </c>
      <c r="D276" t="s">
        <v>127</v>
      </c>
      <c r="E276" t="s">
        <v>10</v>
      </c>
    </row>
    <row r="277" spans="1:5" x14ac:dyDescent="0.2">
      <c r="A277">
        <v>2019</v>
      </c>
      <c r="B277">
        <f>IF(ISBLANK(E277),"",VLOOKUP(E277,Code!B:C,2,FALSE))</f>
        <v>1</v>
      </c>
      <c r="C277">
        <v>163268</v>
      </c>
      <c r="D277" t="s">
        <v>127</v>
      </c>
      <c r="E277" t="s">
        <v>0</v>
      </c>
    </row>
    <row r="278" spans="1:5" x14ac:dyDescent="0.2">
      <c r="A278">
        <v>2019</v>
      </c>
      <c r="B278">
        <f>IF(ISBLANK(E278),"",VLOOKUP(E278,Code!B:C,2,FALSE))</f>
        <v>2</v>
      </c>
      <c r="C278">
        <v>163268</v>
      </c>
      <c r="D278" t="s">
        <v>127</v>
      </c>
      <c r="E278" t="s">
        <v>1</v>
      </c>
    </row>
    <row r="279" spans="1:5" x14ac:dyDescent="0.2">
      <c r="A279">
        <v>2019</v>
      </c>
      <c r="B279">
        <f>IF(ISBLANK(E279),"",VLOOKUP(E279,Code!B:C,2,FALSE))</f>
        <v>12</v>
      </c>
      <c r="C279">
        <v>163268</v>
      </c>
      <c r="D279" t="s">
        <v>127</v>
      </c>
      <c r="E279" t="s">
        <v>27</v>
      </c>
    </row>
    <row r="280" spans="1:5" x14ac:dyDescent="0.2">
      <c r="A280">
        <v>2019</v>
      </c>
      <c r="B280">
        <f>IF(ISBLANK(E280),"",VLOOKUP(E280,Code!B:C,2,FALSE))</f>
        <v>17</v>
      </c>
      <c r="C280">
        <v>163268</v>
      </c>
      <c r="D280" t="s">
        <v>127</v>
      </c>
      <c r="E280" t="s">
        <v>5</v>
      </c>
    </row>
    <row r="281" spans="1:5" x14ac:dyDescent="0.2">
      <c r="A281">
        <v>2019</v>
      </c>
      <c r="B281">
        <f>IF(ISBLANK(E281),"",VLOOKUP(E281,Code!B:C,2,FALSE))</f>
        <v>19</v>
      </c>
      <c r="C281">
        <v>163268</v>
      </c>
      <c r="D281" t="s">
        <v>127</v>
      </c>
      <c r="E281" t="s">
        <v>7</v>
      </c>
    </row>
    <row r="282" spans="1:5" x14ac:dyDescent="0.2">
      <c r="A282">
        <v>2019</v>
      </c>
      <c r="B282">
        <f>IF(ISBLANK(E282),"",VLOOKUP(E282,Code!B:C,2,FALSE))</f>
        <v>21</v>
      </c>
      <c r="C282">
        <v>163268</v>
      </c>
      <c r="D282" t="s">
        <v>127</v>
      </c>
      <c r="E282" t="s">
        <v>36</v>
      </c>
    </row>
    <row r="283" spans="1:5" x14ac:dyDescent="0.2">
      <c r="A283">
        <v>2019</v>
      </c>
      <c r="B283">
        <f>IF(ISBLANK(E283),"",VLOOKUP(E283,Code!B:C,2,FALSE))</f>
        <v>18</v>
      </c>
      <c r="C283">
        <v>163268</v>
      </c>
      <c r="D283" t="s">
        <v>127</v>
      </c>
      <c r="E283" t="s">
        <v>6</v>
      </c>
    </row>
    <row r="284" spans="1:5" x14ac:dyDescent="0.2">
      <c r="A284">
        <v>2019</v>
      </c>
      <c r="B284">
        <f>IF(ISBLANK(E284),"",VLOOKUP(E284,Code!B:C,2,FALSE))</f>
        <v>23</v>
      </c>
      <c r="C284">
        <v>163268</v>
      </c>
      <c r="D284" t="s">
        <v>127</v>
      </c>
      <c r="E284" t="s">
        <v>10</v>
      </c>
    </row>
    <row r="285" spans="1:5" x14ac:dyDescent="0.2">
      <c r="A285">
        <v>2020</v>
      </c>
      <c r="B285">
        <f>IF(ISBLANK(E285),"",VLOOKUP(E285,Code!B:C,2,FALSE))</f>
        <v>1</v>
      </c>
      <c r="C285">
        <v>163268</v>
      </c>
      <c r="D285" t="s">
        <v>127</v>
      </c>
      <c r="E285" t="s">
        <v>0</v>
      </c>
    </row>
    <row r="286" spans="1:5" x14ac:dyDescent="0.2">
      <c r="A286">
        <v>2020</v>
      </c>
      <c r="B286">
        <f>IF(ISBLANK(E286),"",VLOOKUP(E286,Code!B:C,2,FALSE))</f>
        <v>2</v>
      </c>
      <c r="C286">
        <v>163268</v>
      </c>
      <c r="D286" t="s">
        <v>127</v>
      </c>
      <c r="E286" t="s">
        <v>1</v>
      </c>
    </row>
    <row r="287" spans="1:5" x14ac:dyDescent="0.2">
      <c r="A287">
        <v>2020</v>
      </c>
      <c r="B287">
        <f>IF(ISBLANK(E287),"",VLOOKUP(E287,Code!B:C,2,FALSE))</f>
        <v>12</v>
      </c>
      <c r="C287">
        <v>163268</v>
      </c>
      <c r="D287" t="s">
        <v>127</v>
      </c>
      <c r="E287" t="s">
        <v>27</v>
      </c>
    </row>
    <row r="288" spans="1:5" x14ac:dyDescent="0.2">
      <c r="A288">
        <v>2020</v>
      </c>
      <c r="B288">
        <f>IF(ISBLANK(E288),"",VLOOKUP(E288,Code!B:C,2,FALSE))</f>
        <v>17</v>
      </c>
      <c r="C288">
        <v>163268</v>
      </c>
      <c r="D288" t="s">
        <v>127</v>
      </c>
      <c r="E288" t="s">
        <v>5</v>
      </c>
    </row>
    <row r="289" spans="1:6" x14ac:dyDescent="0.2">
      <c r="A289">
        <v>2020</v>
      </c>
      <c r="B289">
        <f>IF(ISBLANK(E289),"",VLOOKUP(E289,Code!B:C,2,FALSE))</f>
        <v>19</v>
      </c>
      <c r="C289">
        <v>163268</v>
      </c>
      <c r="D289" t="s">
        <v>127</v>
      </c>
      <c r="E289" t="s">
        <v>7</v>
      </c>
    </row>
    <row r="290" spans="1:6" x14ac:dyDescent="0.2">
      <c r="A290">
        <v>2020</v>
      </c>
      <c r="B290">
        <f>IF(ISBLANK(E290),"",VLOOKUP(E290,Code!B:C,2,FALSE))</f>
        <v>21</v>
      </c>
      <c r="C290">
        <v>163268</v>
      </c>
      <c r="D290" t="s">
        <v>127</v>
      </c>
      <c r="E290" t="s">
        <v>36</v>
      </c>
      <c r="F290" s="6"/>
    </row>
    <row r="291" spans="1:6" x14ac:dyDescent="0.2">
      <c r="A291">
        <v>2020</v>
      </c>
      <c r="B291">
        <f>IF(ISBLANK(E291),"",VLOOKUP(E291,Code!B:C,2,FALSE))</f>
        <v>18</v>
      </c>
      <c r="C291">
        <v>163268</v>
      </c>
      <c r="D291" t="s">
        <v>127</v>
      </c>
      <c r="E291" t="s">
        <v>6</v>
      </c>
    </row>
    <row r="292" spans="1:6" x14ac:dyDescent="0.2">
      <c r="A292">
        <v>2020</v>
      </c>
      <c r="B292">
        <f>IF(ISBLANK(E292),"",VLOOKUP(E292,Code!B:C,2,FALSE))</f>
        <v>23</v>
      </c>
      <c r="C292">
        <v>163268</v>
      </c>
      <c r="D292" t="s">
        <v>127</v>
      </c>
      <c r="E292" t="s">
        <v>10</v>
      </c>
    </row>
    <row r="293" spans="1:6" x14ac:dyDescent="0.2">
      <c r="A293">
        <v>2021</v>
      </c>
      <c r="B293">
        <f>IF(ISBLANK(E293),"",VLOOKUP(E293,Code!B:C,2,FALSE))</f>
        <v>1</v>
      </c>
      <c r="C293">
        <v>163268</v>
      </c>
      <c r="D293" t="s">
        <v>127</v>
      </c>
      <c r="E293" t="s">
        <v>0</v>
      </c>
    </row>
    <row r="294" spans="1:6" x14ac:dyDescent="0.2">
      <c r="A294">
        <v>2021</v>
      </c>
      <c r="B294">
        <f>IF(ISBLANK(E294),"",VLOOKUP(E294,Code!B:C,2,FALSE))</f>
        <v>2</v>
      </c>
      <c r="C294">
        <v>163268</v>
      </c>
      <c r="D294" t="s">
        <v>127</v>
      </c>
      <c r="E294" t="s">
        <v>1</v>
      </c>
    </row>
    <row r="295" spans="1:6" x14ac:dyDescent="0.2">
      <c r="A295">
        <v>2021</v>
      </c>
      <c r="B295">
        <f>IF(ISBLANK(E295),"",VLOOKUP(E295,Code!B:C,2,FALSE))</f>
        <v>12</v>
      </c>
      <c r="C295">
        <v>163268</v>
      </c>
      <c r="D295" t="s">
        <v>127</v>
      </c>
      <c r="E295" t="s">
        <v>27</v>
      </c>
    </row>
    <row r="296" spans="1:6" x14ac:dyDescent="0.2">
      <c r="A296">
        <v>2021</v>
      </c>
      <c r="B296">
        <f>IF(ISBLANK(E296),"",VLOOKUP(E296,Code!B:C,2,FALSE))</f>
        <v>17</v>
      </c>
      <c r="C296">
        <v>163268</v>
      </c>
      <c r="D296" t="s">
        <v>127</v>
      </c>
      <c r="E296" t="s">
        <v>5</v>
      </c>
    </row>
    <row r="297" spans="1:6" x14ac:dyDescent="0.2">
      <c r="A297">
        <v>2021</v>
      </c>
      <c r="B297">
        <f>IF(ISBLANK(E297),"",VLOOKUP(E297,Code!B:C,2,FALSE))</f>
        <v>19</v>
      </c>
      <c r="C297">
        <v>163268</v>
      </c>
      <c r="D297" t="s">
        <v>127</v>
      </c>
      <c r="E297" t="s">
        <v>7</v>
      </c>
    </row>
    <row r="298" spans="1:6" x14ac:dyDescent="0.2">
      <c r="A298">
        <v>2021</v>
      </c>
      <c r="B298">
        <f>IF(ISBLANK(E298),"",VLOOKUP(E298,Code!B:C,2,FALSE))</f>
        <v>21</v>
      </c>
      <c r="C298">
        <v>163268</v>
      </c>
      <c r="D298" t="s">
        <v>127</v>
      </c>
      <c r="E298" t="s">
        <v>36</v>
      </c>
    </row>
    <row r="299" spans="1:6" x14ac:dyDescent="0.2">
      <c r="A299">
        <v>2021</v>
      </c>
      <c r="B299">
        <f>IF(ISBLANK(E299),"",VLOOKUP(E299,Code!B:C,2,FALSE))</f>
        <v>18</v>
      </c>
      <c r="C299">
        <v>163268</v>
      </c>
      <c r="D299" t="s">
        <v>127</v>
      </c>
      <c r="E299" t="s">
        <v>6</v>
      </c>
    </row>
    <row r="300" spans="1:6" x14ac:dyDescent="0.2">
      <c r="A300">
        <v>2021</v>
      </c>
      <c r="B300">
        <f>IF(ISBLANK(E300),"",VLOOKUP(E300,Code!B:C,2,FALSE))</f>
        <v>23</v>
      </c>
      <c r="C300">
        <v>163268</v>
      </c>
      <c r="D300" t="s">
        <v>127</v>
      </c>
      <c r="E300" t="s">
        <v>10</v>
      </c>
    </row>
    <row r="301" spans="1:6" x14ac:dyDescent="0.2">
      <c r="A301">
        <v>2022</v>
      </c>
      <c r="B301">
        <f>IF(ISBLANK(E301),"",VLOOKUP(E301,Code!B:C,2,FALSE))</f>
        <v>1</v>
      </c>
      <c r="C301">
        <v>163268</v>
      </c>
      <c r="D301" t="s">
        <v>127</v>
      </c>
      <c r="E301" t="s">
        <v>0</v>
      </c>
    </row>
    <row r="302" spans="1:6" x14ac:dyDescent="0.2">
      <c r="A302">
        <v>2022</v>
      </c>
      <c r="B302">
        <f>IF(ISBLANK(E302),"",VLOOKUP(E302,Code!B:C,2,FALSE))</f>
        <v>2</v>
      </c>
      <c r="C302">
        <v>163268</v>
      </c>
      <c r="D302" t="s">
        <v>127</v>
      </c>
      <c r="E302" t="s">
        <v>1</v>
      </c>
    </row>
    <row r="303" spans="1:6" x14ac:dyDescent="0.2">
      <c r="A303">
        <v>2022</v>
      </c>
      <c r="B303">
        <f>IF(ISBLANK(E303),"",VLOOKUP(E303,Code!B:C,2,FALSE))</f>
        <v>12</v>
      </c>
      <c r="C303">
        <v>163268</v>
      </c>
      <c r="D303" t="s">
        <v>127</v>
      </c>
      <c r="E303" t="s">
        <v>27</v>
      </c>
    </row>
    <row r="304" spans="1:6" x14ac:dyDescent="0.2">
      <c r="A304">
        <v>2022</v>
      </c>
      <c r="B304">
        <f>IF(ISBLANK(E304),"",VLOOKUP(E304,Code!B:C,2,FALSE))</f>
        <v>17</v>
      </c>
      <c r="C304">
        <v>163268</v>
      </c>
      <c r="D304" t="s">
        <v>127</v>
      </c>
      <c r="E304" t="s">
        <v>5</v>
      </c>
    </row>
    <row r="305" spans="1:5" x14ac:dyDescent="0.2">
      <c r="A305">
        <v>2022</v>
      </c>
      <c r="B305">
        <f>IF(ISBLANK(E305),"",VLOOKUP(E305,Code!B:C,2,FALSE))</f>
        <v>19</v>
      </c>
      <c r="C305">
        <v>163268</v>
      </c>
      <c r="D305" t="s">
        <v>127</v>
      </c>
      <c r="E305" t="s">
        <v>7</v>
      </c>
    </row>
    <row r="306" spans="1:5" x14ac:dyDescent="0.2">
      <c r="A306">
        <v>2022</v>
      </c>
      <c r="B306">
        <f>IF(ISBLANK(E306),"",VLOOKUP(E306,Code!B:C,2,FALSE))</f>
        <v>21</v>
      </c>
      <c r="C306">
        <v>163268</v>
      </c>
      <c r="D306" t="s">
        <v>127</v>
      </c>
      <c r="E306" t="s">
        <v>36</v>
      </c>
    </row>
    <row r="307" spans="1:5" x14ac:dyDescent="0.2">
      <c r="A307">
        <v>2022</v>
      </c>
      <c r="B307">
        <f>IF(ISBLANK(E307),"",VLOOKUP(E307,Code!B:C,2,FALSE))</f>
        <v>18</v>
      </c>
      <c r="C307">
        <v>163268</v>
      </c>
      <c r="D307" t="s">
        <v>127</v>
      </c>
      <c r="E307" t="s">
        <v>6</v>
      </c>
    </row>
    <row r="308" spans="1:5" x14ac:dyDescent="0.2">
      <c r="A308">
        <v>2022</v>
      </c>
      <c r="B308">
        <f>IF(ISBLANK(E308),"",VLOOKUP(E308,Code!B:C,2,FALSE))</f>
        <v>23</v>
      </c>
      <c r="C308">
        <v>163268</v>
      </c>
      <c r="D308" t="s">
        <v>127</v>
      </c>
      <c r="E308" t="s">
        <v>10</v>
      </c>
    </row>
    <row r="309" spans="1:5" x14ac:dyDescent="0.2">
      <c r="A309">
        <v>2023</v>
      </c>
      <c r="B309">
        <f>IF(ISBLANK(E309),"",VLOOKUP(E309,Code!B:C,2,FALSE))</f>
        <v>1</v>
      </c>
      <c r="C309">
        <v>163268</v>
      </c>
      <c r="D309" t="s">
        <v>127</v>
      </c>
      <c r="E309" t="s">
        <v>0</v>
      </c>
    </row>
    <row r="310" spans="1:5" x14ac:dyDescent="0.2">
      <c r="A310">
        <v>2023</v>
      </c>
      <c r="B310">
        <f>IF(ISBLANK(E310),"",VLOOKUP(E310,Code!B:C,2,FALSE))</f>
        <v>2</v>
      </c>
      <c r="C310">
        <v>163268</v>
      </c>
      <c r="D310" t="s">
        <v>127</v>
      </c>
      <c r="E310" t="s">
        <v>1</v>
      </c>
    </row>
    <row r="311" spans="1:5" x14ac:dyDescent="0.2">
      <c r="A311">
        <v>2023</v>
      </c>
      <c r="B311">
        <f>IF(ISBLANK(E311),"",VLOOKUP(E311,Code!B:C,2,FALSE))</f>
        <v>12</v>
      </c>
      <c r="C311">
        <v>163268</v>
      </c>
      <c r="D311" t="s">
        <v>127</v>
      </c>
      <c r="E311" t="s">
        <v>27</v>
      </c>
    </row>
    <row r="312" spans="1:5" x14ac:dyDescent="0.2">
      <c r="A312">
        <v>2023</v>
      </c>
      <c r="B312">
        <f>IF(ISBLANK(E312),"",VLOOKUP(E312,Code!B:C,2,FALSE))</f>
        <v>17</v>
      </c>
      <c r="C312">
        <v>163268</v>
      </c>
      <c r="D312" t="s">
        <v>127</v>
      </c>
      <c r="E312" t="s">
        <v>5</v>
      </c>
    </row>
    <row r="313" spans="1:5" x14ac:dyDescent="0.2">
      <c r="A313">
        <v>2023</v>
      </c>
      <c r="B313">
        <f>IF(ISBLANK(E313),"",VLOOKUP(E313,Code!B:C,2,FALSE))</f>
        <v>19</v>
      </c>
      <c r="C313">
        <v>163268</v>
      </c>
      <c r="D313" t="s">
        <v>127</v>
      </c>
      <c r="E313" t="s">
        <v>7</v>
      </c>
    </row>
    <row r="314" spans="1:5" x14ac:dyDescent="0.2">
      <c r="A314">
        <v>2023</v>
      </c>
      <c r="B314">
        <f>IF(ISBLANK(E314),"",VLOOKUP(E314,Code!B:C,2,FALSE))</f>
        <v>21</v>
      </c>
      <c r="C314">
        <v>163268</v>
      </c>
      <c r="D314" t="s">
        <v>127</v>
      </c>
      <c r="E314" t="s">
        <v>9</v>
      </c>
    </row>
    <row r="315" spans="1:5" x14ac:dyDescent="0.2">
      <c r="A315">
        <v>2023</v>
      </c>
      <c r="B315">
        <f>IF(ISBLANK(E315),"",VLOOKUP(E315,Code!B:C,2,FALSE))</f>
        <v>18</v>
      </c>
      <c r="C315">
        <v>163268</v>
      </c>
      <c r="D315" t="s">
        <v>127</v>
      </c>
      <c r="E315" t="s">
        <v>6</v>
      </c>
    </row>
    <row r="316" spans="1:5" x14ac:dyDescent="0.2">
      <c r="A316">
        <v>2023</v>
      </c>
      <c r="B316">
        <f>IF(ISBLANK(E316),"",VLOOKUP(E316,Code!B:C,2,FALSE))</f>
        <v>23</v>
      </c>
      <c r="C316">
        <v>163268</v>
      </c>
      <c r="D316" t="s">
        <v>127</v>
      </c>
      <c r="E316" t="s">
        <v>10</v>
      </c>
    </row>
    <row r="317" spans="1:5" x14ac:dyDescent="0.2">
      <c r="A317">
        <v>2017</v>
      </c>
      <c r="B317">
        <f>IF(ISBLANK(E317),"",VLOOKUP(E317,Code!B:C,2,FALSE))</f>
        <v>1</v>
      </c>
      <c r="C317">
        <v>199218</v>
      </c>
      <c r="D317" t="s">
        <v>166</v>
      </c>
      <c r="E317" t="s">
        <v>0</v>
      </c>
    </row>
    <row r="318" spans="1:5" x14ac:dyDescent="0.2">
      <c r="A318">
        <v>2017</v>
      </c>
      <c r="B318">
        <f>IF(ISBLANK(E318),"",VLOOKUP(E318,Code!B:C,2,FALSE))</f>
        <v>2</v>
      </c>
      <c r="C318">
        <v>199218</v>
      </c>
      <c r="D318" t="s">
        <v>166</v>
      </c>
      <c r="E318" t="s">
        <v>1</v>
      </c>
    </row>
    <row r="319" spans="1:5" x14ac:dyDescent="0.2">
      <c r="A319">
        <v>2017</v>
      </c>
      <c r="B319">
        <f>IF(ISBLANK(E319),"",VLOOKUP(E319,Code!B:C,2,FALSE))</f>
        <v>3</v>
      </c>
      <c r="C319">
        <v>199218</v>
      </c>
      <c r="D319" t="s">
        <v>166</v>
      </c>
      <c r="E319" t="s">
        <v>21</v>
      </c>
    </row>
    <row r="320" spans="1:5" x14ac:dyDescent="0.2">
      <c r="A320">
        <v>2017</v>
      </c>
      <c r="B320">
        <f>IF(ISBLANK(E320),"",VLOOKUP(E320,Code!B:C,2,FALSE))</f>
        <v>9</v>
      </c>
      <c r="C320">
        <v>199218</v>
      </c>
      <c r="D320" t="s">
        <v>166</v>
      </c>
      <c r="E320" t="s">
        <v>3</v>
      </c>
    </row>
    <row r="321" spans="1:5" x14ac:dyDescent="0.2">
      <c r="A321">
        <v>2017</v>
      </c>
      <c r="B321">
        <f>IF(ISBLANK(E321),"",VLOOKUP(E321,Code!B:C,2,FALSE))</f>
        <v>17</v>
      </c>
      <c r="C321">
        <v>199218</v>
      </c>
      <c r="D321" t="s">
        <v>166</v>
      </c>
      <c r="E321" t="s">
        <v>5</v>
      </c>
    </row>
    <row r="322" spans="1:5" x14ac:dyDescent="0.2">
      <c r="A322">
        <v>2017</v>
      </c>
      <c r="B322">
        <f>IF(ISBLANK(E322),"",VLOOKUP(E322,Code!B:C,2,FALSE))</f>
        <v>18</v>
      </c>
      <c r="C322">
        <v>199218</v>
      </c>
      <c r="D322" t="s">
        <v>166</v>
      </c>
      <c r="E322" t="s">
        <v>6</v>
      </c>
    </row>
    <row r="323" spans="1:5" x14ac:dyDescent="0.2">
      <c r="A323">
        <v>2017</v>
      </c>
      <c r="B323">
        <f>IF(ISBLANK(E323),"",VLOOKUP(E323,Code!B:C,2,FALSE))</f>
        <v>19</v>
      </c>
      <c r="C323">
        <v>199218</v>
      </c>
      <c r="D323" t="s">
        <v>166</v>
      </c>
      <c r="E323" t="s">
        <v>7</v>
      </c>
    </row>
    <row r="324" spans="1:5" x14ac:dyDescent="0.2">
      <c r="A324">
        <v>2017</v>
      </c>
      <c r="B324">
        <f>IF(ISBLANK(E324),"",VLOOKUP(E324,Code!B:C,2,FALSE))</f>
        <v>20</v>
      </c>
      <c r="C324">
        <v>199218</v>
      </c>
      <c r="D324" t="s">
        <v>166</v>
      </c>
      <c r="E324" t="s">
        <v>8</v>
      </c>
    </row>
    <row r="325" spans="1:5" x14ac:dyDescent="0.2">
      <c r="A325">
        <v>2017</v>
      </c>
      <c r="B325">
        <f>IF(ISBLANK(E325),"",VLOOKUP(E325,Code!B:C,2,FALSE))</f>
        <v>21</v>
      </c>
      <c r="C325">
        <v>199218</v>
      </c>
      <c r="D325" t="s">
        <v>166</v>
      </c>
      <c r="E325" t="s">
        <v>36</v>
      </c>
    </row>
    <row r="326" spans="1:5" x14ac:dyDescent="0.2">
      <c r="A326">
        <v>2017</v>
      </c>
      <c r="B326">
        <f>IF(ISBLANK(E326),"",VLOOKUP(E326,Code!B:C,2,FALSE))</f>
        <v>23</v>
      </c>
      <c r="C326">
        <v>199218</v>
      </c>
      <c r="D326" t="s">
        <v>166</v>
      </c>
      <c r="E326" t="s">
        <v>10</v>
      </c>
    </row>
    <row r="327" spans="1:5" x14ac:dyDescent="0.2">
      <c r="A327">
        <v>2018</v>
      </c>
      <c r="B327">
        <f>IF(ISBLANK(E327),"",VLOOKUP(E327,Code!B:C,2,FALSE))</f>
        <v>1</v>
      </c>
      <c r="C327">
        <v>199218</v>
      </c>
      <c r="D327" t="s">
        <v>166</v>
      </c>
      <c r="E327" t="s">
        <v>0</v>
      </c>
    </row>
    <row r="328" spans="1:5" x14ac:dyDescent="0.2">
      <c r="A328">
        <v>2018</v>
      </c>
      <c r="B328">
        <f>IF(ISBLANK(E328),"",VLOOKUP(E328,Code!B:C,2,FALSE))</f>
        <v>2</v>
      </c>
      <c r="C328">
        <v>199218</v>
      </c>
      <c r="D328" t="s">
        <v>166</v>
      </c>
      <c r="E328" t="s">
        <v>1</v>
      </c>
    </row>
    <row r="329" spans="1:5" x14ac:dyDescent="0.2">
      <c r="A329">
        <v>2018</v>
      </c>
      <c r="B329">
        <f>IF(ISBLANK(E329),"",VLOOKUP(E329,Code!B:C,2,FALSE))</f>
        <v>9</v>
      </c>
      <c r="C329">
        <v>199218</v>
      </c>
      <c r="D329" t="s">
        <v>166</v>
      </c>
      <c r="E329" t="s">
        <v>3</v>
      </c>
    </row>
    <row r="330" spans="1:5" x14ac:dyDescent="0.2">
      <c r="A330">
        <v>2018</v>
      </c>
      <c r="B330">
        <f>IF(ISBLANK(E330),"",VLOOKUP(E330,Code!B:C,2,FALSE))</f>
        <v>17</v>
      </c>
      <c r="C330">
        <v>199218</v>
      </c>
      <c r="D330" t="s">
        <v>166</v>
      </c>
      <c r="E330" t="s">
        <v>5</v>
      </c>
    </row>
    <row r="331" spans="1:5" x14ac:dyDescent="0.2">
      <c r="A331">
        <v>2018</v>
      </c>
      <c r="B331">
        <f>IF(ISBLANK(E331),"",VLOOKUP(E331,Code!B:C,2,FALSE))</f>
        <v>19</v>
      </c>
      <c r="C331">
        <v>199218</v>
      </c>
      <c r="D331" t="s">
        <v>166</v>
      </c>
      <c r="E331" t="s">
        <v>7</v>
      </c>
    </row>
    <row r="332" spans="1:5" x14ac:dyDescent="0.2">
      <c r="A332">
        <v>2018</v>
      </c>
      <c r="B332">
        <f>IF(ISBLANK(E332),"",VLOOKUP(E332,Code!B:C,2,FALSE))</f>
        <v>20</v>
      </c>
      <c r="C332">
        <v>199218</v>
      </c>
      <c r="D332" t="s">
        <v>166</v>
      </c>
      <c r="E332" t="s">
        <v>8</v>
      </c>
    </row>
    <row r="333" spans="1:5" x14ac:dyDescent="0.2">
      <c r="A333">
        <v>2018</v>
      </c>
      <c r="B333">
        <f>IF(ISBLANK(E333),"",VLOOKUP(E333,Code!B:C,2,FALSE))</f>
        <v>21</v>
      </c>
      <c r="C333">
        <v>199218</v>
      </c>
      <c r="D333" t="s">
        <v>166</v>
      </c>
      <c r="E333" t="s">
        <v>36</v>
      </c>
    </row>
    <row r="334" spans="1:5" x14ac:dyDescent="0.2">
      <c r="A334">
        <v>2018</v>
      </c>
      <c r="B334">
        <f>IF(ISBLANK(E334),"",VLOOKUP(E334,Code!B:C,2,FALSE))</f>
        <v>3</v>
      </c>
      <c r="C334">
        <v>199218</v>
      </c>
      <c r="D334" t="s">
        <v>166</v>
      </c>
      <c r="E334" t="s">
        <v>21</v>
      </c>
    </row>
    <row r="335" spans="1:5" x14ac:dyDescent="0.2">
      <c r="A335">
        <v>2018</v>
      </c>
      <c r="B335">
        <f>IF(ISBLANK(E335),"",VLOOKUP(E335,Code!B:C,2,FALSE))</f>
        <v>18</v>
      </c>
      <c r="C335">
        <v>199218</v>
      </c>
      <c r="D335" t="s">
        <v>166</v>
      </c>
      <c r="E335" t="s">
        <v>6</v>
      </c>
    </row>
    <row r="336" spans="1:5" x14ac:dyDescent="0.2">
      <c r="A336">
        <v>2018</v>
      </c>
      <c r="B336">
        <f>IF(ISBLANK(E336),"",VLOOKUP(E336,Code!B:C,2,FALSE))</f>
        <v>20</v>
      </c>
      <c r="C336">
        <v>199218</v>
      </c>
      <c r="D336" t="s">
        <v>166</v>
      </c>
      <c r="E336" t="s">
        <v>8</v>
      </c>
    </row>
    <row r="337" spans="1:5" x14ac:dyDescent="0.2">
      <c r="A337">
        <v>2018</v>
      </c>
      <c r="B337">
        <f>IF(ISBLANK(E337),"",VLOOKUP(E337,Code!B:C,2,FALSE))</f>
        <v>23</v>
      </c>
      <c r="C337">
        <v>199218</v>
      </c>
      <c r="D337" t="s">
        <v>166</v>
      </c>
      <c r="E337" t="s">
        <v>10</v>
      </c>
    </row>
    <row r="338" spans="1:5" x14ac:dyDescent="0.2">
      <c r="A338">
        <v>2019</v>
      </c>
      <c r="B338">
        <f>IF(ISBLANK(E338),"",VLOOKUP(E338,Code!B:C,2,FALSE))</f>
        <v>1</v>
      </c>
      <c r="C338">
        <v>199218</v>
      </c>
      <c r="D338" t="s">
        <v>166</v>
      </c>
      <c r="E338" t="s">
        <v>0</v>
      </c>
    </row>
    <row r="339" spans="1:5" x14ac:dyDescent="0.2">
      <c r="A339">
        <v>2019</v>
      </c>
      <c r="B339">
        <f>IF(ISBLANK(E339),"",VLOOKUP(E339,Code!B:C,2,FALSE))</f>
        <v>2</v>
      </c>
      <c r="C339">
        <v>199218</v>
      </c>
      <c r="D339" t="s">
        <v>166</v>
      </c>
      <c r="E339" t="s">
        <v>1</v>
      </c>
    </row>
    <row r="340" spans="1:5" x14ac:dyDescent="0.2">
      <c r="A340">
        <v>2019</v>
      </c>
      <c r="B340">
        <f>IF(ISBLANK(E340),"",VLOOKUP(E340,Code!B:C,2,FALSE))</f>
        <v>9</v>
      </c>
      <c r="C340">
        <v>199218</v>
      </c>
      <c r="D340" t="s">
        <v>166</v>
      </c>
      <c r="E340" t="s">
        <v>3</v>
      </c>
    </row>
    <row r="341" spans="1:5" x14ac:dyDescent="0.2">
      <c r="A341">
        <v>2019</v>
      </c>
      <c r="B341">
        <f>IF(ISBLANK(E341),"",VLOOKUP(E341,Code!B:C,2,FALSE))</f>
        <v>17</v>
      </c>
      <c r="C341">
        <v>199218</v>
      </c>
      <c r="D341" t="s">
        <v>166</v>
      </c>
      <c r="E341" t="s">
        <v>5</v>
      </c>
    </row>
    <row r="342" spans="1:5" x14ac:dyDescent="0.2">
      <c r="A342">
        <v>2019</v>
      </c>
      <c r="B342">
        <f>IF(ISBLANK(E342),"",VLOOKUP(E342,Code!B:C,2,FALSE))</f>
        <v>19</v>
      </c>
      <c r="C342">
        <v>199218</v>
      </c>
      <c r="D342" t="s">
        <v>166</v>
      </c>
      <c r="E342" t="s">
        <v>7</v>
      </c>
    </row>
    <row r="343" spans="1:5" x14ac:dyDescent="0.2">
      <c r="A343">
        <v>2019</v>
      </c>
      <c r="B343">
        <f>IF(ISBLANK(E343),"",VLOOKUP(E343,Code!B:C,2,FALSE))</f>
        <v>20</v>
      </c>
      <c r="C343">
        <v>199218</v>
      </c>
      <c r="D343" t="s">
        <v>166</v>
      </c>
      <c r="E343" t="s">
        <v>8</v>
      </c>
    </row>
    <row r="344" spans="1:5" x14ac:dyDescent="0.2">
      <c r="A344">
        <v>2019</v>
      </c>
      <c r="B344">
        <f>IF(ISBLANK(E344),"",VLOOKUP(E344,Code!B:C,2,FALSE))</f>
        <v>21</v>
      </c>
      <c r="C344">
        <v>199218</v>
      </c>
      <c r="D344" t="s">
        <v>166</v>
      </c>
      <c r="E344" t="s">
        <v>36</v>
      </c>
    </row>
    <row r="345" spans="1:5" x14ac:dyDescent="0.2">
      <c r="A345">
        <v>2019</v>
      </c>
      <c r="B345">
        <f>IF(ISBLANK(E345),"",VLOOKUP(E345,Code!B:C,2,FALSE))</f>
        <v>3</v>
      </c>
      <c r="C345">
        <v>199218</v>
      </c>
      <c r="D345" t="s">
        <v>166</v>
      </c>
      <c r="E345" t="s">
        <v>21</v>
      </c>
    </row>
    <row r="346" spans="1:5" x14ac:dyDescent="0.2">
      <c r="A346">
        <v>2019</v>
      </c>
      <c r="B346">
        <f>IF(ISBLANK(E346),"",VLOOKUP(E346,Code!B:C,2,FALSE))</f>
        <v>18</v>
      </c>
      <c r="C346">
        <v>199218</v>
      </c>
      <c r="D346" t="s">
        <v>166</v>
      </c>
      <c r="E346" t="s">
        <v>6</v>
      </c>
    </row>
    <row r="347" spans="1:5" x14ac:dyDescent="0.2">
      <c r="A347">
        <v>2019</v>
      </c>
      <c r="B347">
        <f>IF(ISBLANK(E347),"",VLOOKUP(E347,Code!B:C,2,FALSE))</f>
        <v>23</v>
      </c>
      <c r="C347">
        <v>199218</v>
      </c>
      <c r="D347" t="s">
        <v>166</v>
      </c>
      <c r="E347" t="s">
        <v>10</v>
      </c>
    </row>
    <row r="348" spans="1:5" x14ac:dyDescent="0.2">
      <c r="A348">
        <v>2020</v>
      </c>
      <c r="B348">
        <f>IF(ISBLANK(E348),"",VLOOKUP(E348,Code!B:C,2,FALSE))</f>
        <v>1</v>
      </c>
      <c r="C348">
        <v>199218</v>
      </c>
      <c r="D348" t="s">
        <v>166</v>
      </c>
      <c r="E348" t="s">
        <v>0</v>
      </c>
    </row>
    <row r="349" spans="1:5" x14ac:dyDescent="0.2">
      <c r="A349">
        <v>2020</v>
      </c>
      <c r="B349">
        <f>IF(ISBLANK(E349),"",VLOOKUP(E349,Code!B:C,2,FALSE))</f>
        <v>2</v>
      </c>
      <c r="C349">
        <v>199218</v>
      </c>
      <c r="D349" t="s">
        <v>166</v>
      </c>
      <c r="E349" t="s">
        <v>1</v>
      </c>
    </row>
    <row r="350" spans="1:5" x14ac:dyDescent="0.2">
      <c r="A350">
        <v>2020</v>
      </c>
      <c r="B350">
        <f>IF(ISBLANK(E350),"",VLOOKUP(E350,Code!B:C,2,FALSE))</f>
        <v>9</v>
      </c>
      <c r="C350">
        <v>199218</v>
      </c>
      <c r="D350" t="s">
        <v>166</v>
      </c>
      <c r="E350" t="s">
        <v>3</v>
      </c>
    </row>
    <row r="351" spans="1:5" x14ac:dyDescent="0.2">
      <c r="A351">
        <v>2020</v>
      </c>
      <c r="B351">
        <f>IF(ISBLANK(E351),"",VLOOKUP(E351,Code!B:C,2,FALSE))</f>
        <v>17</v>
      </c>
      <c r="C351">
        <v>199218</v>
      </c>
      <c r="D351" t="s">
        <v>166</v>
      </c>
      <c r="E351" t="s">
        <v>5</v>
      </c>
    </row>
    <row r="352" spans="1:5" x14ac:dyDescent="0.2">
      <c r="A352">
        <v>2020</v>
      </c>
      <c r="B352">
        <f>IF(ISBLANK(E352),"",VLOOKUP(E352,Code!B:C,2,FALSE))</f>
        <v>19</v>
      </c>
      <c r="C352">
        <v>199218</v>
      </c>
      <c r="D352" t="s">
        <v>166</v>
      </c>
      <c r="E352" t="s">
        <v>7</v>
      </c>
    </row>
    <row r="353" spans="1:5" x14ac:dyDescent="0.2">
      <c r="A353">
        <v>2020</v>
      </c>
      <c r="B353">
        <f>IF(ISBLANK(E353),"",VLOOKUP(E353,Code!B:C,2,FALSE))</f>
        <v>20</v>
      </c>
      <c r="C353">
        <v>199218</v>
      </c>
      <c r="D353" t="s">
        <v>166</v>
      </c>
      <c r="E353" t="s">
        <v>8</v>
      </c>
    </row>
    <row r="354" spans="1:5" x14ac:dyDescent="0.2">
      <c r="A354">
        <v>2020</v>
      </c>
      <c r="B354">
        <f>IF(ISBLANK(E354),"",VLOOKUP(E354,Code!B:C,2,FALSE))</f>
        <v>21</v>
      </c>
      <c r="C354">
        <v>199218</v>
      </c>
      <c r="D354" t="s">
        <v>166</v>
      </c>
      <c r="E354" t="s">
        <v>36</v>
      </c>
    </row>
    <row r="355" spans="1:5" x14ac:dyDescent="0.2">
      <c r="A355">
        <v>2020</v>
      </c>
      <c r="B355">
        <f>IF(ISBLANK(E355),"",VLOOKUP(E355,Code!B:C,2,FALSE))</f>
        <v>3</v>
      </c>
      <c r="C355">
        <v>199218</v>
      </c>
      <c r="D355" t="s">
        <v>166</v>
      </c>
      <c r="E355" t="s">
        <v>21</v>
      </c>
    </row>
    <row r="356" spans="1:5" x14ac:dyDescent="0.2">
      <c r="A356">
        <v>2020</v>
      </c>
      <c r="B356">
        <f>IF(ISBLANK(E356),"",VLOOKUP(E356,Code!B:C,2,FALSE))</f>
        <v>18</v>
      </c>
      <c r="C356">
        <v>199218</v>
      </c>
      <c r="D356" t="s">
        <v>166</v>
      </c>
      <c r="E356" t="s">
        <v>6</v>
      </c>
    </row>
    <row r="357" spans="1:5" x14ac:dyDescent="0.2">
      <c r="A357">
        <v>2020</v>
      </c>
      <c r="B357">
        <f>IF(ISBLANK(E357),"",VLOOKUP(E357,Code!B:C,2,FALSE))</f>
        <v>23</v>
      </c>
      <c r="C357">
        <v>199218</v>
      </c>
      <c r="D357" t="s">
        <v>166</v>
      </c>
      <c r="E357" t="s">
        <v>10</v>
      </c>
    </row>
    <row r="358" spans="1:5" x14ac:dyDescent="0.2">
      <c r="A358">
        <v>2021</v>
      </c>
      <c r="B358">
        <f>IF(ISBLANK(E358),"",VLOOKUP(E358,Code!B:C,2,FALSE))</f>
        <v>1</v>
      </c>
      <c r="C358">
        <v>199218</v>
      </c>
      <c r="D358" t="s">
        <v>166</v>
      </c>
      <c r="E358" t="s">
        <v>0</v>
      </c>
    </row>
    <row r="359" spans="1:5" x14ac:dyDescent="0.2">
      <c r="A359">
        <v>2021</v>
      </c>
      <c r="B359">
        <f>IF(ISBLANK(E359),"",VLOOKUP(E359,Code!B:C,2,FALSE))</f>
        <v>2</v>
      </c>
      <c r="C359">
        <v>199218</v>
      </c>
      <c r="D359" t="s">
        <v>166</v>
      </c>
      <c r="E359" t="s">
        <v>1</v>
      </c>
    </row>
    <row r="360" spans="1:5" x14ac:dyDescent="0.2">
      <c r="A360">
        <v>2021</v>
      </c>
      <c r="B360">
        <f>IF(ISBLANK(E360),"",VLOOKUP(E360,Code!B:C,2,FALSE))</f>
        <v>9</v>
      </c>
      <c r="C360">
        <v>199218</v>
      </c>
      <c r="D360" t="s">
        <v>166</v>
      </c>
      <c r="E360" t="s">
        <v>3</v>
      </c>
    </row>
    <row r="361" spans="1:5" x14ac:dyDescent="0.2">
      <c r="A361">
        <v>2021</v>
      </c>
      <c r="B361">
        <f>IF(ISBLANK(E361),"",VLOOKUP(E361,Code!B:C,2,FALSE))</f>
        <v>17</v>
      </c>
      <c r="C361">
        <v>199218</v>
      </c>
      <c r="D361" t="s">
        <v>166</v>
      </c>
      <c r="E361" t="s">
        <v>5</v>
      </c>
    </row>
    <row r="362" spans="1:5" x14ac:dyDescent="0.2">
      <c r="A362">
        <v>2021</v>
      </c>
      <c r="B362">
        <f>IF(ISBLANK(E362),"",VLOOKUP(E362,Code!B:C,2,FALSE))</f>
        <v>19</v>
      </c>
      <c r="C362">
        <v>199218</v>
      </c>
      <c r="D362" t="s">
        <v>166</v>
      </c>
      <c r="E362" t="s">
        <v>7</v>
      </c>
    </row>
    <row r="363" spans="1:5" x14ac:dyDescent="0.2">
      <c r="A363">
        <v>2021</v>
      </c>
      <c r="B363">
        <f>IF(ISBLANK(E363),"",VLOOKUP(E363,Code!B:C,2,FALSE))</f>
        <v>20</v>
      </c>
      <c r="C363">
        <v>199218</v>
      </c>
      <c r="D363" t="s">
        <v>166</v>
      </c>
      <c r="E363" t="s">
        <v>8</v>
      </c>
    </row>
    <row r="364" spans="1:5" x14ac:dyDescent="0.2">
      <c r="A364">
        <v>2021</v>
      </c>
      <c r="B364">
        <f>IF(ISBLANK(E364),"",VLOOKUP(E364,Code!B:C,2,FALSE))</f>
        <v>21</v>
      </c>
      <c r="C364">
        <v>199218</v>
      </c>
      <c r="D364" t="s">
        <v>166</v>
      </c>
      <c r="E364" t="s">
        <v>36</v>
      </c>
    </row>
    <row r="365" spans="1:5" x14ac:dyDescent="0.2">
      <c r="A365">
        <v>2021</v>
      </c>
      <c r="B365">
        <f>IF(ISBLANK(E365),"",VLOOKUP(E365,Code!B:C,2,FALSE))</f>
        <v>3</v>
      </c>
      <c r="C365">
        <v>199218</v>
      </c>
      <c r="D365" t="s">
        <v>166</v>
      </c>
      <c r="E365" t="s">
        <v>21</v>
      </c>
    </row>
    <row r="366" spans="1:5" x14ac:dyDescent="0.2">
      <c r="A366">
        <v>2021</v>
      </c>
      <c r="B366">
        <f>IF(ISBLANK(E366),"",VLOOKUP(E366,Code!B:C,2,FALSE))</f>
        <v>18</v>
      </c>
      <c r="C366">
        <v>199218</v>
      </c>
      <c r="D366" t="s">
        <v>166</v>
      </c>
      <c r="E366" t="s">
        <v>6</v>
      </c>
    </row>
    <row r="367" spans="1:5" x14ac:dyDescent="0.2">
      <c r="A367">
        <v>2021</v>
      </c>
      <c r="B367">
        <f>IF(ISBLANK(E367),"",VLOOKUP(E367,Code!B:C,2,FALSE))</f>
        <v>23</v>
      </c>
      <c r="C367">
        <v>199218</v>
      </c>
      <c r="D367" t="s">
        <v>166</v>
      </c>
      <c r="E367" t="s">
        <v>10</v>
      </c>
    </row>
    <row r="368" spans="1:5" x14ac:dyDescent="0.2">
      <c r="A368">
        <v>2022</v>
      </c>
      <c r="B368">
        <f>IF(ISBLANK(E368),"",VLOOKUP(E368,Code!B:C,2,FALSE))</f>
        <v>1</v>
      </c>
      <c r="C368">
        <v>199218</v>
      </c>
      <c r="D368" t="s">
        <v>166</v>
      </c>
      <c r="E368" t="s">
        <v>0</v>
      </c>
    </row>
    <row r="369" spans="1:5" x14ac:dyDescent="0.2">
      <c r="A369">
        <v>2022</v>
      </c>
      <c r="B369">
        <f>IF(ISBLANK(E369),"",VLOOKUP(E369,Code!B:C,2,FALSE))</f>
        <v>2</v>
      </c>
      <c r="C369">
        <v>199218</v>
      </c>
      <c r="D369" t="s">
        <v>166</v>
      </c>
      <c r="E369" t="s">
        <v>1</v>
      </c>
    </row>
    <row r="370" spans="1:5" x14ac:dyDescent="0.2">
      <c r="A370">
        <v>2022</v>
      </c>
      <c r="B370">
        <f>IF(ISBLANK(E370),"",VLOOKUP(E370,Code!B:C,2,FALSE))</f>
        <v>9</v>
      </c>
      <c r="C370">
        <v>199218</v>
      </c>
      <c r="D370" t="s">
        <v>166</v>
      </c>
      <c r="E370" t="s">
        <v>3</v>
      </c>
    </row>
    <row r="371" spans="1:5" x14ac:dyDescent="0.2">
      <c r="A371">
        <v>2022</v>
      </c>
      <c r="B371">
        <f>IF(ISBLANK(E371),"",VLOOKUP(E371,Code!B:C,2,FALSE))</f>
        <v>17</v>
      </c>
      <c r="C371">
        <v>199218</v>
      </c>
      <c r="D371" t="s">
        <v>166</v>
      </c>
      <c r="E371" t="s">
        <v>5</v>
      </c>
    </row>
    <row r="372" spans="1:5" x14ac:dyDescent="0.2">
      <c r="A372">
        <v>2022</v>
      </c>
      <c r="B372">
        <f>IF(ISBLANK(E372),"",VLOOKUP(E372,Code!B:C,2,FALSE))</f>
        <v>19</v>
      </c>
      <c r="C372">
        <v>199218</v>
      </c>
      <c r="D372" t="s">
        <v>166</v>
      </c>
      <c r="E372" t="s">
        <v>7</v>
      </c>
    </row>
    <row r="373" spans="1:5" x14ac:dyDescent="0.2">
      <c r="A373">
        <v>2022</v>
      </c>
      <c r="B373">
        <f>IF(ISBLANK(E373),"",VLOOKUP(E373,Code!B:C,2,FALSE))</f>
        <v>20</v>
      </c>
      <c r="C373">
        <v>199218</v>
      </c>
      <c r="D373" t="s">
        <v>166</v>
      </c>
      <c r="E373" t="s">
        <v>8</v>
      </c>
    </row>
    <row r="374" spans="1:5" x14ac:dyDescent="0.2">
      <c r="A374">
        <v>2022</v>
      </c>
      <c r="B374">
        <f>IF(ISBLANK(E374),"",VLOOKUP(E374,Code!B:C,2,FALSE))</f>
        <v>21</v>
      </c>
      <c r="C374">
        <v>199218</v>
      </c>
      <c r="D374" t="s">
        <v>166</v>
      </c>
      <c r="E374" t="s">
        <v>36</v>
      </c>
    </row>
    <row r="375" spans="1:5" x14ac:dyDescent="0.2">
      <c r="A375">
        <v>2022</v>
      </c>
      <c r="B375">
        <f>IF(ISBLANK(E375),"",VLOOKUP(E375,Code!B:C,2,FALSE))</f>
        <v>3</v>
      </c>
      <c r="C375">
        <v>199218</v>
      </c>
      <c r="D375" t="s">
        <v>166</v>
      </c>
      <c r="E375" t="s">
        <v>21</v>
      </c>
    </row>
    <row r="376" spans="1:5" x14ac:dyDescent="0.2">
      <c r="A376">
        <v>2022</v>
      </c>
      <c r="B376">
        <f>IF(ISBLANK(E376),"",VLOOKUP(E376,Code!B:C,2,FALSE))</f>
        <v>18</v>
      </c>
      <c r="C376">
        <v>199218</v>
      </c>
      <c r="D376" t="s">
        <v>166</v>
      </c>
      <c r="E376" t="s">
        <v>6</v>
      </c>
    </row>
    <row r="377" spans="1:5" x14ac:dyDescent="0.2">
      <c r="A377">
        <v>2022</v>
      </c>
      <c r="B377">
        <f>IF(ISBLANK(E377),"",VLOOKUP(E377,Code!B:C,2,FALSE))</f>
        <v>23</v>
      </c>
      <c r="C377">
        <v>199218</v>
      </c>
      <c r="D377" t="s">
        <v>166</v>
      </c>
      <c r="E377" t="s">
        <v>10</v>
      </c>
    </row>
    <row r="378" spans="1:5" x14ac:dyDescent="0.2">
      <c r="A378">
        <v>2023</v>
      </c>
      <c r="B378">
        <f>IF(ISBLANK(E378),"",VLOOKUP(E378,Code!B:C,2,FALSE))</f>
        <v>1</v>
      </c>
      <c r="C378">
        <v>199218</v>
      </c>
      <c r="D378" t="s">
        <v>166</v>
      </c>
      <c r="E378" t="s">
        <v>0</v>
      </c>
    </row>
    <row r="379" spans="1:5" x14ac:dyDescent="0.2">
      <c r="A379">
        <v>2023</v>
      </c>
      <c r="B379">
        <f>IF(ISBLANK(E379),"",VLOOKUP(E379,Code!B:C,2,FALSE))</f>
        <v>2</v>
      </c>
      <c r="C379">
        <v>199218</v>
      </c>
      <c r="D379" t="s">
        <v>166</v>
      </c>
      <c r="E379" t="s">
        <v>1</v>
      </c>
    </row>
    <row r="380" spans="1:5" x14ac:dyDescent="0.2">
      <c r="A380">
        <v>2023</v>
      </c>
      <c r="B380">
        <f>IF(ISBLANK(E380),"",VLOOKUP(E380,Code!B:C,2,FALSE))</f>
        <v>9</v>
      </c>
      <c r="C380">
        <v>199218</v>
      </c>
      <c r="D380" t="s">
        <v>166</v>
      </c>
      <c r="E380" t="s">
        <v>3</v>
      </c>
    </row>
    <row r="381" spans="1:5" x14ac:dyDescent="0.2">
      <c r="A381">
        <v>2023</v>
      </c>
      <c r="B381">
        <f>IF(ISBLANK(E381),"",VLOOKUP(E381,Code!B:C,2,FALSE))</f>
        <v>17</v>
      </c>
      <c r="C381">
        <v>199218</v>
      </c>
      <c r="D381" t="s">
        <v>166</v>
      </c>
      <c r="E381" t="s">
        <v>5</v>
      </c>
    </row>
    <row r="382" spans="1:5" x14ac:dyDescent="0.2">
      <c r="A382">
        <v>2023</v>
      </c>
      <c r="B382">
        <f>IF(ISBLANK(E382),"",VLOOKUP(E382,Code!B:C,2,FALSE))</f>
        <v>19</v>
      </c>
      <c r="C382">
        <v>199218</v>
      </c>
      <c r="D382" t="s">
        <v>166</v>
      </c>
      <c r="E382" t="s">
        <v>7</v>
      </c>
    </row>
    <row r="383" spans="1:5" x14ac:dyDescent="0.2">
      <c r="A383">
        <v>2023</v>
      </c>
      <c r="B383">
        <f>IF(ISBLANK(E383),"",VLOOKUP(E383,Code!B:C,2,FALSE))</f>
        <v>20</v>
      </c>
      <c r="C383">
        <v>199218</v>
      </c>
      <c r="D383" t="s">
        <v>166</v>
      </c>
      <c r="E383" t="s">
        <v>8</v>
      </c>
    </row>
    <row r="384" spans="1:5" x14ac:dyDescent="0.2">
      <c r="A384">
        <v>2023</v>
      </c>
      <c r="B384">
        <f>IF(ISBLANK(E384),"",VLOOKUP(E384,Code!B:C,2,FALSE))</f>
        <v>21</v>
      </c>
      <c r="C384">
        <v>199218</v>
      </c>
      <c r="D384" t="s">
        <v>166</v>
      </c>
      <c r="E384" t="s">
        <v>9</v>
      </c>
    </row>
    <row r="385" spans="1:7" x14ac:dyDescent="0.2">
      <c r="A385">
        <v>2023</v>
      </c>
      <c r="B385">
        <f>IF(ISBLANK(E385),"",VLOOKUP(E385,Code!B:C,2,FALSE))</f>
        <v>3</v>
      </c>
      <c r="C385">
        <v>199218</v>
      </c>
      <c r="D385" t="s">
        <v>166</v>
      </c>
      <c r="E385" t="s">
        <v>21</v>
      </c>
    </row>
    <row r="386" spans="1:7" x14ac:dyDescent="0.2">
      <c r="A386">
        <v>2023</v>
      </c>
      <c r="B386">
        <f>IF(ISBLANK(E386),"",VLOOKUP(E386,Code!B:C,2,FALSE))</f>
        <v>18</v>
      </c>
      <c r="C386">
        <v>199218</v>
      </c>
      <c r="D386" t="s">
        <v>166</v>
      </c>
      <c r="E386" t="s">
        <v>6</v>
      </c>
    </row>
    <row r="387" spans="1:7" x14ac:dyDescent="0.2">
      <c r="A387">
        <v>2023</v>
      </c>
      <c r="B387">
        <f>IF(ISBLANK(E387),"",VLOOKUP(E387,Code!B:C,2,FALSE))</f>
        <v>23</v>
      </c>
      <c r="C387">
        <v>199218</v>
      </c>
      <c r="D387" t="s">
        <v>166</v>
      </c>
      <c r="E387" t="s">
        <v>10</v>
      </c>
    </row>
    <row r="388" spans="1:7" x14ac:dyDescent="0.2">
      <c r="A388">
        <v>2017</v>
      </c>
      <c r="B388">
        <f>IF(ISBLANK(E388),"",VLOOKUP(E388,Code!B:C,2,FALSE))</f>
        <v>1</v>
      </c>
      <c r="C388">
        <v>209542</v>
      </c>
      <c r="D388" t="s">
        <v>183</v>
      </c>
      <c r="E388" t="s">
        <v>0</v>
      </c>
      <c r="F388" s="6">
        <v>8930</v>
      </c>
    </row>
    <row r="389" spans="1:7" x14ac:dyDescent="0.2">
      <c r="A389">
        <v>2017</v>
      </c>
      <c r="B389">
        <f>IF(ISBLANK(E389),"",VLOOKUP(E389,Code!B:C,2,FALSE))</f>
        <v>2</v>
      </c>
      <c r="C389">
        <v>209542</v>
      </c>
      <c r="D389" t="s">
        <v>183</v>
      </c>
      <c r="E389" t="s">
        <v>1</v>
      </c>
      <c r="G389" s="6">
        <v>1791</v>
      </c>
    </row>
    <row r="390" spans="1:7" x14ac:dyDescent="0.2">
      <c r="A390">
        <v>2017</v>
      </c>
      <c r="B390">
        <f>IF(ISBLANK(E390),"",VLOOKUP(E390,Code!B:C,2,FALSE))</f>
        <v>8</v>
      </c>
      <c r="C390">
        <v>209542</v>
      </c>
      <c r="D390" t="s">
        <v>183</v>
      </c>
      <c r="E390" t="s">
        <v>2</v>
      </c>
    </row>
    <row r="391" spans="1:7" x14ac:dyDescent="0.2">
      <c r="A391">
        <v>2017</v>
      </c>
      <c r="B391">
        <f>IF(ISBLANK(E391),"",VLOOKUP(E391,Code!B:C,2,FALSE))</f>
        <v>25</v>
      </c>
      <c r="C391">
        <v>209542</v>
      </c>
      <c r="D391" t="s">
        <v>183</v>
      </c>
      <c r="E391" t="s">
        <v>35</v>
      </c>
    </row>
    <row r="392" spans="1:7" x14ac:dyDescent="0.2">
      <c r="A392">
        <v>2017</v>
      </c>
      <c r="B392">
        <f>IF(ISBLANK(E392),"",VLOOKUP(E392,Code!B:C,2,FALSE))</f>
        <v>9</v>
      </c>
      <c r="C392">
        <v>209542</v>
      </c>
      <c r="D392" t="s">
        <v>183</v>
      </c>
      <c r="E392" t="s">
        <v>3</v>
      </c>
    </row>
    <row r="393" spans="1:7" x14ac:dyDescent="0.2">
      <c r="A393">
        <v>2017</v>
      </c>
      <c r="B393">
        <f>IF(ISBLANK(E393),"",VLOOKUP(E393,Code!B:C,2,FALSE))</f>
        <v>10</v>
      </c>
      <c r="C393">
        <v>209542</v>
      </c>
      <c r="D393" t="s">
        <v>183</v>
      </c>
      <c r="E393" t="s">
        <v>4</v>
      </c>
    </row>
    <row r="394" spans="1:7" x14ac:dyDescent="0.2">
      <c r="A394">
        <v>2017</v>
      </c>
      <c r="B394">
        <f>IF(ISBLANK(E394),"",VLOOKUP(E394,Code!B:C,2,FALSE))</f>
        <v>14</v>
      </c>
      <c r="C394">
        <v>209542</v>
      </c>
      <c r="D394" t="s">
        <v>183</v>
      </c>
      <c r="E394" t="s">
        <v>29</v>
      </c>
    </row>
    <row r="395" spans="1:7" x14ac:dyDescent="0.2">
      <c r="A395">
        <v>2017</v>
      </c>
      <c r="B395">
        <f>IF(ISBLANK(E395),"",VLOOKUP(E395,Code!B:C,2,FALSE))</f>
        <v>17</v>
      </c>
      <c r="C395">
        <v>209542</v>
      </c>
      <c r="D395" t="s">
        <v>183</v>
      </c>
      <c r="E395" t="s">
        <v>5</v>
      </c>
    </row>
    <row r="396" spans="1:7" x14ac:dyDescent="0.2">
      <c r="A396">
        <v>2017</v>
      </c>
      <c r="B396">
        <f>IF(ISBLANK(E396),"",VLOOKUP(E396,Code!B:C,2,FALSE))</f>
        <v>18</v>
      </c>
      <c r="C396">
        <v>209542</v>
      </c>
      <c r="D396" t="s">
        <v>183</v>
      </c>
      <c r="E396" t="s">
        <v>6</v>
      </c>
    </row>
    <row r="397" spans="1:7" x14ac:dyDescent="0.2">
      <c r="A397">
        <v>2017</v>
      </c>
      <c r="B397">
        <f>IF(ISBLANK(E397),"",VLOOKUP(E397,Code!B:C,2,FALSE))</f>
        <v>19</v>
      </c>
      <c r="C397">
        <v>209542</v>
      </c>
      <c r="D397" t="s">
        <v>183</v>
      </c>
      <c r="E397" t="s">
        <v>7</v>
      </c>
    </row>
    <row r="398" spans="1:7" x14ac:dyDescent="0.2">
      <c r="A398">
        <v>2017</v>
      </c>
      <c r="B398">
        <f>IF(ISBLANK(E398),"",VLOOKUP(E398,Code!B:C,2,FALSE))</f>
        <v>21</v>
      </c>
      <c r="C398">
        <v>209542</v>
      </c>
      <c r="D398" t="s">
        <v>183</v>
      </c>
      <c r="E398" t="s">
        <v>36</v>
      </c>
      <c r="G398">
        <v>430</v>
      </c>
    </row>
    <row r="399" spans="1:7" x14ac:dyDescent="0.2">
      <c r="A399">
        <v>2017</v>
      </c>
      <c r="B399">
        <f>IF(ISBLANK(E399),"",VLOOKUP(E399,Code!B:C,2,FALSE))</f>
        <v>23</v>
      </c>
      <c r="C399">
        <v>209542</v>
      </c>
      <c r="D399" t="s">
        <v>183</v>
      </c>
      <c r="E399" t="s">
        <v>10</v>
      </c>
    </row>
    <row r="400" spans="1:7" x14ac:dyDescent="0.2">
      <c r="A400">
        <v>2018</v>
      </c>
      <c r="B400">
        <f>IF(ISBLANK(E400),"",VLOOKUP(E400,Code!B:C,2,FALSE))</f>
        <v>1</v>
      </c>
      <c r="C400">
        <v>209542</v>
      </c>
      <c r="D400" t="s">
        <v>183</v>
      </c>
      <c r="E400" t="s">
        <v>0</v>
      </c>
      <c r="F400" s="6">
        <v>25499</v>
      </c>
    </row>
    <row r="401" spans="1:7" x14ac:dyDescent="0.2">
      <c r="A401">
        <v>2018</v>
      </c>
      <c r="B401">
        <f>IF(ISBLANK(E401),"",VLOOKUP(E401,Code!B:C,2,FALSE))</f>
        <v>2</v>
      </c>
      <c r="C401">
        <v>209542</v>
      </c>
      <c r="D401" t="s">
        <v>183</v>
      </c>
      <c r="E401" t="s">
        <v>1</v>
      </c>
    </row>
    <row r="402" spans="1:7" x14ac:dyDescent="0.2">
      <c r="A402">
        <v>2018</v>
      </c>
      <c r="B402">
        <f>IF(ISBLANK(E402),"",VLOOKUP(E402,Code!B:C,2,FALSE))</f>
        <v>8</v>
      </c>
      <c r="C402">
        <v>209542</v>
      </c>
      <c r="D402" t="s">
        <v>183</v>
      </c>
      <c r="E402" t="s">
        <v>2</v>
      </c>
    </row>
    <row r="403" spans="1:7" x14ac:dyDescent="0.2">
      <c r="A403">
        <v>2018</v>
      </c>
      <c r="B403">
        <f>IF(ISBLANK(E403),"",VLOOKUP(E403,Code!B:C,2,FALSE))</f>
        <v>25</v>
      </c>
      <c r="C403">
        <v>209542</v>
      </c>
      <c r="D403" t="s">
        <v>183</v>
      </c>
      <c r="E403" t="s">
        <v>35</v>
      </c>
    </row>
    <row r="404" spans="1:7" x14ac:dyDescent="0.2">
      <c r="A404">
        <v>2018</v>
      </c>
      <c r="B404">
        <f>IF(ISBLANK(E404),"",VLOOKUP(E404,Code!B:C,2,FALSE))</f>
        <v>9</v>
      </c>
      <c r="C404">
        <v>209542</v>
      </c>
      <c r="D404" t="s">
        <v>183</v>
      </c>
      <c r="E404" t="s">
        <v>3</v>
      </c>
    </row>
    <row r="405" spans="1:7" x14ac:dyDescent="0.2">
      <c r="A405">
        <v>2018</v>
      </c>
      <c r="B405">
        <f>IF(ISBLANK(E405),"",VLOOKUP(E405,Code!B:C,2,FALSE))</f>
        <v>10</v>
      </c>
      <c r="C405">
        <v>209542</v>
      </c>
      <c r="D405" t="s">
        <v>183</v>
      </c>
      <c r="E405" t="s">
        <v>4</v>
      </c>
    </row>
    <row r="406" spans="1:7" x14ac:dyDescent="0.2">
      <c r="A406">
        <v>2018</v>
      </c>
      <c r="B406">
        <f>IF(ISBLANK(E406),"",VLOOKUP(E406,Code!B:C,2,FALSE))</f>
        <v>14</v>
      </c>
      <c r="C406">
        <v>209542</v>
      </c>
      <c r="D406" t="s">
        <v>183</v>
      </c>
      <c r="E406" t="s">
        <v>29</v>
      </c>
    </row>
    <row r="407" spans="1:7" x14ac:dyDescent="0.2">
      <c r="A407">
        <v>2018</v>
      </c>
      <c r="B407">
        <f>IF(ISBLANK(E407),"",VLOOKUP(E407,Code!B:C,2,FALSE))</f>
        <v>17</v>
      </c>
      <c r="C407">
        <v>209542</v>
      </c>
      <c r="D407" t="s">
        <v>183</v>
      </c>
      <c r="E407" t="s">
        <v>5</v>
      </c>
    </row>
    <row r="408" spans="1:7" x14ac:dyDescent="0.2">
      <c r="A408">
        <v>2018</v>
      </c>
      <c r="B408">
        <f>IF(ISBLANK(E408),"",VLOOKUP(E408,Code!B:C,2,FALSE))</f>
        <v>18</v>
      </c>
      <c r="C408">
        <v>209542</v>
      </c>
      <c r="D408" t="s">
        <v>183</v>
      </c>
      <c r="E408" t="s">
        <v>6</v>
      </c>
    </row>
    <row r="409" spans="1:7" x14ac:dyDescent="0.2">
      <c r="A409">
        <v>2018</v>
      </c>
      <c r="B409">
        <f>IF(ISBLANK(E409),"",VLOOKUP(E409,Code!B:C,2,FALSE))</f>
        <v>19</v>
      </c>
      <c r="C409">
        <v>209542</v>
      </c>
      <c r="D409" t="s">
        <v>183</v>
      </c>
      <c r="E409" t="s">
        <v>7</v>
      </c>
    </row>
    <row r="410" spans="1:7" x14ac:dyDescent="0.2">
      <c r="A410">
        <v>2018</v>
      </c>
      <c r="B410">
        <f>IF(ISBLANK(E410),"",VLOOKUP(E410,Code!B:C,2,FALSE))</f>
        <v>21</v>
      </c>
      <c r="C410">
        <v>209542</v>
      </c>
      <c r="D410" t="s">
        <v>183</v>
      </c>
      <c r="E410" t="s">
        <v>36</v>
      </c>
    </row>
    <row r="411" spans="1:7" x14ac:dyDescent="0.2">
      <c r="A411">
        <v>2018</v>
      </c>
      <c r="B411">
        <f>IF(ISBLANK(E411),"",VLOOKUP(E411,Code!B:C,2,FALSE))</f>
        <v>23</v>
      </c>
      <c r="C411">
        <v>209542</v>
      </c>
      <c r="D411" t="s">
        <v>183</v>
      </c>
      <c r="E411" t="s">
        <v>10</v>
      </c>
    </row>
    <row r="412" spans="1:7" x14ac:dyDescent="0.2">
      <c r="A412">
        <v>2019</v>
      </c>
      <c r="B412">
        <f>IF(ISBLANK(E412),"",VLOOKUP(E412,Code!B:C,2,FALSE))</f>
        <v>1</v>
      </c>
      <c r="C412">
        <v>209542</v>
      </c>
      <c r="D412" t="s">
        <v>183</v>
      </c>
      <c r="E412" t="s">
        <v>0</v>
      </c>
      <c r="F412" s="6">
        <v>17097</v>
      </c>
    </row>
    <row r="413" spans="1:7" x14ac:dyDescent="0.2">
      <c r="A413">
        <v>2019</v>
      </c>
      <c r="B413">
        <f>IF(ISBLANK(E413),"",VLOOKUP(E413,Code!B:C,2,FALSE))</f>
        <v>2</v>
      </c>
      <c r="C413">
        <v>209542</v>
      </c>
      <c r="D413" t="s">
        <v>183</v>
      </c>
      <c r="E413" t="s">
        <v>1</v>
      </c>
      <c r="G413" s="6">
        <v>3261</v>
      </c>
    </row>
    <row r="414" spans="1:7" x14ac:dyDescent="0.2">
      <c r="A414">
        <v>2019</v>
      </c>
      <c r="B414">
        <f>IF(ISBLANK(E414),"",VLOOKUP(E414,Code!B:C,2,FALSE))</f>
        <v>8</v>
      </c>
      <c r="C414">
        <v>209542</v>
      </c>
      <c r="D414" t="s">
        <v>183</v>
      </c>
      <c r="E414" t="s">
        <v>2</v>
      </c>
    </row>
    <row r="415" spans="1:7" x14ac:dyDescent="0.2">
      <c r="A415">
        <v>2019</v>
      </c>
      <c r="B415">
        <f>IF(ISBLANK(E415),"",VLOOKUP(E415,Code!B:C,2,FALSE))</f>
        <v>9</v>
      </c>
      <c r="C415">
        <v>209542</v>
      </c>
      <c r="D415" t="s">
        <v>183</v>
      </c>
      <c r="E415" t="s">
        <v>3</v>
      </c>
    </row>
    <row r="416" spans="1:7" x14ac:dyDescent="0.2">
      <c r="A416">
        <v>2019</v>
      </c>
      <c r="B416">
        <f>IF(ISBLANK(E416),"",VLOOKUP(E416,Code!B:C,2,FALSE))</f>
        <v>17</v>
      </c>
      <c r="C416">
        <v>209542</v>
      </c>
      <c r="D416" t="s">
        <v>183</v>
      </c>
      <c r="E416" t="s">
        <v>5</v>
      </c>
    </row>
    <row r="417" spans="1:7" x14ac:dyDescent="0.2">
      <c r="A417">
        <v>2019</v>
      </c>
      <c r="B417">
        <f>IF(ISBLANK(E417),"",VLOOKUP(E417,Code!B:C,2,FALSE))</f>
        <v>25</v>
      </c>
      <c r="C417">
        <v>209542</v>
      </c>
      <c r="D417" t="s">
        <v>183</v>
      </c>
      <c r="E417" t="s">
        <v>35</v>
      </c>
    </row>
    <row r="418" spans="1:7" x14ac:dyDescent="0.2">
      <c r="A418">
        <v>2019</v>
      </c>
      <c r="B418">
        <f>IF(ISBLANK(E418),"",VLOOKUP(E418,Code!B:C,2,FALSE))</f>
        <v>10</v>
      </c>
      <c r="C418">
        <v>209542</v>
      </c>
      <c r="D418" t="s">
        <v>183</v>
      </c>
      <c r="E418" t="s">
        <v>4</v>
      </c>
      <c r="G418" s="6">
        <v>1666</v>
      </c>
    </row>
    <row r="419" spans="1:7" x14ac:dyDescent="0.2">
      <c r="A419">
        <v>2019</v>
      </c>
      <c r="B419">
        <f>IF(ISBLANK(E419),"",VLOOKUP(E419,Code!B:C,2,FALSE))</f>
        <v>14</v>
      </c>
      <c r="C419">
        <v>209542</v>
      </c>
      <c r="D419" t="s">
        <v>183</v>
      </c>
      <c r="E419" t="s">
        <v>29</v>
      </c>
    </row>
    <row r="420" spans="1:7" x14ac:dyDescent="0.2">
      <c r="A420">
        <v>2019</v>
      </c>
      <c r="B420">
        <f>IF(ISBLANK(E420),"",VLOOKUP(E420,Code!B:C,2,FALSE))</f>
        <v>17</v>
      </c>
      <c r="C420">
        <v>209542</v>
      </c>
      <c r="D420" t="s">
        <v>183</v>
      </c>
      <c r="E420" t="s">
        <v>5</v>
      </c>
      <c r="F420">
        <v>28</v>
      </c>
    </row>
    <row r="421" spans="1:7" x14ac:dyDescent="0.2">
      <c r="A421">
        <v>2019</v>
      </c>
      <c r="B421">
        <f>IF(ISBLANK(E421),"",VLOOKUP(E421,Code!B:C,2,FALSE))</f>
        <v>18</v>
      </c>
      <c r="C421">
        <v>209542</v>
      </c>
      <c r="D421" t="s">
        <v>183</v>
      </c>
      <c r="E421" t="s">
        <v>6</v>
      </c>
    </row>
    <row r="422" spans="1:7" x14ac:dyDescent="0.2">
      <c r="A422">
        <v>2019</v>
      </c>
      <c r="B422">
        <f>IF(ISBLANK(E422),"",VLOOKUP(E422,Code!B:C,2,FALSE))</f>
        <v>19</v>
      </c>
      <c r="C422">
        <v>209542</v>
      </c>
      <c r="D422" t="s">
        <v>183</v>
      </c>
      <c r="E422" t="s">
        <v>7</v>
      </c>
    </row>
    <row r="423" spans="1:7" x14ac:dyDescent="0.2">
      <c r="A423">
        <v>2019</v>
      </c>
      <c r="B423">
        <f>IF(ISBLANK(E423),"",VLOOKUP(E423,Code!B:C,2,FALSE))</f>
        <v>21</v>
      </c>
      <c r="C423">
        <v>209542</v>
      </c>
      <c r="D423" t="s">
        <v>183</v>
      </c>
      <c r="E423" t="s">
        <v>36</v>
      </c>
    </row>
    <row r="424" spans="1:7" x14ac:dyDescent="0.2">
      <c r="A424">
        <v>2019</v>
      </c>
      <c r="B424">
        <f>IF(ISBLANK(E424),"",VLOOKUP(E424,Code!B:C,2,FALSE))</f>
        <v>23</v>
      </c>
      <c r="C424">
        <v>209542</v>
      </c>
      <c r="D424" t="s">
        <v>183</v>
      </c>
      <c r="E424" t="s">
        <v>10</v>
      </c>
    </row>
    <row r="425" spans="1:7" x14ac:dyDescent="0.2">
      <c r="A425">
        <v>2020</v>
      </c>
      <c r="B425">
        <f>IF(ISBLANK(E425),"",VLOOKUP(E425,Code!B:C,2,FALSE))</f>
        <v>1</v>
      </c>
      <c r="C425">
        <v>209542</v>
      </c>
      <c r="D425" t="s">
        <v>183</v>
      </c>
      <c r="E425" t="s">
        <v>0</v>
      </c>
      <c r="F425" s="6">
        <v>2720</v>
      </c>
    </row>
    <row r="426" spans="1:7" x14ac:dyDescent="0.2">
      <c r="A426">
        <v>2020</v>
      </c>
      <c r="B426">
        <f>IF(ISBLANK(E426),"",VLOOKUP(E426,Code!B:C,2,FALSE))</f>
        <v>2</v>
      </c>
      <c r="C426">
        <v>209542</v>
      </c>
      <c r="D426" t="s">
        <v>183</v>
      </c>
      <c r="E426" t="s">
        <v>1</v>
      </c>
      <c r="G426">
        <v>875</v>
      </c>
    </row>
    <row r="427" spans="1:7" x14ac:dyDescent="0.2">
      <c r="A427">
        <v>2020</v>
      </c>
      <c r="B427">
        <f>IF(ISBLANK(E427),"",VLOOKUP(E427,Code!B:C,2,FALSE))</f>
        <v>8</v>
      </c>
      <c r="C427">
        <v>209542</v>
      </c>
      <c r="D427" t="s">
        <v>183</v>
      </c>
      <c r="E427" t="s">
        <v>2</v>
      </c>
    </row>
    <row r="428" spans="1:7" x14ac:dyDescent="0.2">
      <c r="A428">
        <v>2020</v>
      </c>
      <c r="B428">
        <f>IF(ISBLANK(E428),"",VLOOKUP(E428,Code!B:C,2,FALSE))</f>
        <v>25</v>
      </c>
      <c r="C428">
        <v>209542</v>
      </c>
      <c r="D428" t="s">
        <v>183</v>
      </c>
      <c r="E428" t="s">
        <v>35</v>
      </c>
    </row>
    <row r="429" spans="1:7" x14ac:dyDescent="0.2">
      <c r="A429">
        <v>2020</v>
      </c>
      <c r="B429">
        <f>IF(ISBLANK(E429),"",VLOOKUP(E429,Code!B:C,2,FALSE))</f>
        <v>9</v>
      </c>
      <c r="C429">
        <v>209542</v>
      </c>
      <c r="D429" t="s">
        <v>183</v>
      </c>
      <c r="E429" t="s">
        <v>3</v>
      </c>
    </row>
    <row r="430" spans="1:7" x14ac:dyDescent="0.2">
      <c r="A430">
        <v>2020</v>
      </c>
      <c r="B430">
        <f>IF(ISBLANK(E430),"",VLOOKUP(E430,Code!B:C,2,FALSE))</f>
        <v>10</v>
      </c>
      <c r="C430">
        <v>209542</v>
      </c>
      <c r="D430" t="s">
        <v>183</v>
      </c>
      <c r="E430" t="s">
        <v>4</v>
      </c>
    </row>
    <row r="431" spans="1:7" x14ac:dyDescent="0.2">
      <c r="A431">
        <v>2020</v>
      </c>
      <c r="B431">
        <f>IF(ISBLANK(E431),"",VLOOKUP(E431,Code!B:C,2,FALSE))</f>
        <v>14</v>
      </c>
      <c r="C431">
        <v>209542</v>
      </c>
      <c r="D431" t="s">
        <v>183</v>
      </c>
      <c r="E431" t="s">
        <v>29</v>
      </c>
    </row>
    <row r="432" spans="1:7" x14ac:dyDescent="0.2">
      <c r="A432">
        <v>2020</v>
      </c>
      <c r="B432">
        <f>IF(ISBLANK(E432),"",VLOOKUP(E432,Code!B:C,2,FALSE))</f>
        <v>17</v>
      </c>
      <c r="C432">
        <v>209542</v>
      </c>
      <c r="D432" t="s">
        <v>183</v>
      </c>
      <c r="E432" t="s">
        <v>5</v>
      </c>
    </row>
    <row r="433" spans="1:7" x14ac:dyDescent="0.2">
      <c r="A433">
        <v>2020</v>
      </c>
      <c r="B433">
        <f>IF(ISBLANK(E433),"",VLOOKUP(E433,Code!B:C,2,FALSE))</f>
        <v>18</v>
      </c>
      <c r="C433">
        <v>209542</v>
      </c>
      <c r="D433" t="s">
        <v>183</v>
      </c>
      <c r="E433" t="s">
        <v>6</v>
      </c>
    </row>
    <row r="434" spans="1:7" x14ac:dyDescent="0.2">
      <c r="A434">
        <v>2020</v>
      </c>
      <c r="B434">
        <f>IF(ISBLANK(E434),"",VLOOKUP(E434,Code!B:C,2,FALSE))</f>
        <v>21</v>
      </c>
      <c r="C434">
        <v>209542</v>
      </c>
      <c r="D434" t="s">
        <v>183</v>
      </c>
      <c r="E434" t="s">
        <v>36</v>
      </c>
      <c r="G434">
        <v>364</v>
      </c>
    </row>
    <row r="435" spans="1:7" x14ac:dyDescent="0.2">
      <c r="A435">
        <v>2020</v>
      </c>
      <c r="B435">
        <f>IF(ISBLANK(E435),"",VLOOKUP(E435,Code!B:C,2,FALSE))</f>
        <v>23</v>
      </c>
      <c r="C435">
        <v>209542</v>
      </c>
      <c r="D435" t="s">
        <v>183</v>
      </c>
      <c r="E435" t="s">
        <v>10</v>
      </c>
    </row>
    <row r="436" spans="1:7" x14ac:dyDescent="0.2">
      <c r="A436">
        <v>2021</v>
      </c>
      <c r="B436">
        <f>IF(ISBLANK(E436),"",VLOOKUP(E436,Code!B:C,2,FALSE))</f>
        <v>1</v>
      </c>
      <c r="C436">
        <v>209542</v>
      </c>
      <c r="D436" t="s">
        <v>183</v>
      </c>
      <c r="E436" t="s">
        <v>0</v>
      </c>
    </row>
    <row r="437" spans="1:7" x14ac:dyDescent="0.2">
      <c r="A437">
        <v>2021</v>
      </c>
      <c r="B437">
        <f>IF(ISBLANK(E437),"",VLOOKUP(E437,Code!B:C,2,FALSE))</f>
        <v>2</v>
      </c>
      <c r="C437">
        <v>209542</v>
      </c>
      <c r="D437" t="s">
        <v>183</v>
      </c>
      <c r="E437" t="s">
        <v>1</v>
      </c>
    </row>
    <row r="438" spans="1:7" x14ac:dyDescent="0.2">
      <c r="A438">
        <v>2021</v>
      </c>
      <c r="B438">
        <f>IF(ISBLANK(E438),"",VLOOKUP(E438,Code!B:C,2,FALSE))</f>
        <v>8</v>
      </c>
      <c r="C438">
        <v>209542</v>
      </c>
      <c r="D438" t="s">
        <v>183</v>
      </c>
      <c r="E438" t="s">
        <v>2</v>
      </c>
    </row>
    <row r="439" spans="1:7" x14ac:dyDescent="0.2">
      <c r="A439">
        <v>2021</v>
      </c>
      <c r="B439">
        <f>IF(ISBLANK(E439),"",VLOOKUP(E439,Code!B:C,2,FALSE))</f>
        <v>25</v>
      </c>
      <c r="C439">
        <v>209542</v>
      </c>
      <c r="D439" t="s">
        <v>183</v>
      </c>
      <c r="E439" t="s">
        <v>35</v>
      </c>
    </row>
    <row r="440" spans="1:7" x14ac:dyDescent="0.2">
      <c r="A440">
        <v>2021</v>
      </c>
      <c r="B440">
        <f>IF(ISBLANK(E440),"",VLOOKUP(E440,Code!B:C,2,FALSE))</f>
        <v>9</v>
      </c>
      <c r="C440">
        <v>209542</v>
      </c>
      <c r="D440" t="s">
        <v>183</v>
      </c>
      <c r="E440" t="s">
        <v>3</v>
      </c>
    </row>
    <row r="441" spans="1:7" x14ac:dyDescent="0.2">
      <c r="A441">
        <v>2021</v>
      </c>
      <c r="B441">
        <f>IF(ISBLANK(E441),"",VLOOKUP(E441,Code!B:C,2,FALSE))</f>
        <v>10</v>
      </c>
      <c r="C441">
        <v>209542</v>
      </c>
      <c r="D441" t="s">
        <v>183</v>
      </c>
      <c r="E441" t="s">
        <v>4</v>
      </c>
    </row>
    <row r="442" spans="1:7" x14ac:dyDescent="0.2">
      <c r="A442">
        <v>2021</v>
      </c>
      <c r="B442">
        <f>IF(ISBLANK(E442),"",VLOOKUP(E442,Code!B:C,2,FALSE))</f>
        <v>14</v>
      </c>
      <c r="C442">
        <v>209542</v>
      </c>
      <c r="D442" t="s">
        <v>183</v>
      </c>
      <c r="E442" t="s">
        <v>29</v>
      </c>
    </row>
    <row r="443" spans="1:7" x14ac:dyDescent="0.2">
      <c r="A443">
        <v>2021</v>
      </c>
      <c r="B443">
        <f>IF(ISBLANK(E443),"",VLOOKUP(E443,Code!B:C,2,FALSE))</f>
        <v>17</v>
      </c>
      <c r="C443">
        <v>209542</v>
      </c>
      <c r="D443" t="s">
        <v>183</v>
      </c>
      <c r="E443" t="s">
        <v>5</v>
      </c>
    </row>
    <row r="444" spans="1:7" x14ac:dyDescent="0.2">
      <c r="A444">
        <v>2021</v>
      </c>
      <c r="B444">
        <f>IF(ISBLANK(E444),"",VLOOKUP(E444,Code!B:C,2,FALSE))</f>
        <v>18</v>
      </c>
      <c r="C444">
        <v>209542</v>
      </c>
      <c r="D444" t="s">
        <v>183</v>
      </c>
      <c r="E444" t="s">
        <v>6</v>
      </c>
    </row>
    <row r="445" spans="1:7" x14ac:dyDescent="0.2">
      <c r="A445">
        <v>2021</v>
      </c>
      <c r="B445">
        <f>IF(ISBLANK(E445),"",VLOOKUP(E445,Code!B:C,2,FALSE))</f>
        <v>21</v>
      </c>
      <c r="C445">
        <v>209542</v>
      </c>
      <c r="D445" t="s">
        <v>183</v>
      </c>
      <c r="E445" t="s">
        <v>36</v>
      </c>
    </row>
    <row r="446" spans="1:7" x14ac:dyDescent="0.2">
      <c r="A446">
        <v>2021</v>
      </c>
      <c r="B446">
        <f>IF(ISBLANK(E446),"",VLOOKUP(E446,Code!B:C,2,FALSE))</f>
        <v>23</v>
      </c>
      <c r="C446">
        <v>209542</v>
      </c>
      <c r="D446" t="s">
        <v>183</v>
      </c>
      <c r="E446" t="s">
        <v>10</v>
      </c>
    </row>
    <row r="447" spans="1:7" x14ac:dyDescent="0.2">
      <c r="A447">
        <v>2022</v>
      </c>
      <c r="B447">
        <f>IF(ISBLANK(E447),"",VLOOKUP(E447,Code!B:C,2,FALSE))</f>
        <v>1</v>
      </c>
      <c r="C447">
        <v>209542</v>
      </c>
      <c r="D447" t="s">
        <v>183</v>
      </c>
      <c r="E447" t="s">
        <v>0</v>
      </c>
      <c r="F447" s="6">
        <v>3463</v>
      </c>
    </row>
    <row r="448" spans="1:7" x14ac:dyDescent="0.2">
      <c r="A448">
        <v>2022</v>
      </c>
      <c r="B448">
        <f>IF(ISBLANK(E448),"",VLOOKUP(E448,Code!B:C,2,FALSE))</f>
        <v>2</v>
      </c>
      <c r="C448">
        <v>209542</v>
      </c>
      <c r="D448" t="s">
        <v>183</v>
      </c>
      <c r="E448" t="s">
        <v>1</v>
      </c>
    </row>
    <row r="449" spans="1:7" x14ac:dyDescent="0.2">
      <c r="A449">
        <v>2022</v>
      </c>
      <c r="B449">
        <f>IF(ISBLANK(E449),"",VLOOKUP(E449,Code!B:C,2,FALSE))</f>
        <v>8</v>
      </c>
      <c r="C449">
        <v>209542</v>
      </c>
      <c r="D449" t="s">
        <v>183</v>
      </c>
      <c r="E449" t="s">
        <v>2</v>
      </c>
      <c r="F449" s="6">
        <v>81705</v>
      </c>
    </row>
    <row r="450" spans="1:7" x14ac:dyDescent="0.2">
      <c r="A450">
        <v>2022</v>
      </c>
      <c r="B450">
        <f>IF(ISBLANK(E450),"",VLOOKUP(E450,Code!B:C,2,FALSE))</f>
        <v>9</v>
      </c>
      <c r="C450">
        <v>209542</v>
      </c>
      <c r="D450" t="s">
        <v>183</v>
      </c>
      <c r="E450" t="s">
        <v>3</v>
      </c>
    </row>
    <row r="451" spans="1:7" x14ac:dyDescent="0.2">
      <c r="A451">
        <v>2022</v>
      </c>
      <c r="B451">
        <f>IF(ISBLANK(E451),"",VLOOKUP(E451,Code!B:C,2,FALSE))</f>
        <v>17</v>
      </c>
      <c r="C451">
        <v>209542</v>
      </c>
      <c r="D451" t="s">
        <v>183</v>
      </c>
      <c r="E451" t="s">
        <v>5</v>
      </c>
      <c r="F451">
        <v>157</v>
      </c>
    </row>
    <row r="452" spans="1:7" x14ac:dyDescent="0.2">
      <c r="A452">
        <v>2022</v>
      </c>
      <c r="B452">
        <f>IF(ISBLANK(E452),"",VLOOKUP(E452,Code!B:C,2,FALSE))</f>
        <v>25</v>
      </c>
      <c r="C452">
        <v>209542</v>
      </c>
      <c r="D452" t="s">
        <v>183</v>
      </c>
      <c r="E452" t="s">
        <v>35</v>
      </c>
    </row>
    <row r="453" spans="1:7" x14ac:dyDescent="0.2">
      <c r="A453">
        <v>2022</v>
      </c>
      <c r="B453">
        <f>IF(ISBLANK(E453),"",VLOOKUP(E453,Code!B:C,2,FALSE))</f>
        <v>10</v>
      </c>
      <c r="C453">
        <v>209542</v>
      </c>
      <c r="D453" t="s">
        <v>183</v>
      </c>
      <c r="E453" t="s">
        <v>4</v>
      </c>
    </row>
    <row r="454" spans="1:7" x14ac:dyDescent="0.2">
      <c r="A454">
        <v>2022</v>
      </c>
      <c r="B454">
        <f>IF(ISBLANK(E454),"",VLOOKUP(E454,Code!B:C,2,FALSE))</f>
        <v>14</v>
      </c>
      <c r="C454">
        <v>209542</v>
      </c>
      <c r="D454" t="s">
        <v>183</v>
      </c>
      <c r="E454" t="s">
        <v>29</v>
      </c>
    </row>
    <row r="455" spans="1:7" x14ac:dyDescent="0.2">
      <c r="A455">
        <v>2022</v>
      </c>
      <c r="B455">
        <f>IF(ISBLANK(E455),"",VLOOKUP(E455,Code!B:C,2,FALSE))</f>
        <v>18</v>
      </c>
      <c r="C455">
        <v>209542</v>
      </c>
      <c r="D455" t="s">
        <v>183</v>
      </c>
      <c r="E455" t="s">
        <v>6</v>
      </c>
    </row>
    <row r="456" spans="1:7" x14ac:dyDescent="0.2">
      <c r="A456">
        <v>2022</v>
      </c>
      <c r="B456">
        <f>IF(ISBLANK(E456),"",VLOOKUP(E456,Code!B:C,2,FALSE))</f>
        <v>21</v>
      </c>
      <c r="C456">
        <v>209542</v>
      </c>
      <c r="D456" t="s">
        <v>183</v>
      </c>
      <c r="E456" t="s">
        <v>36</v>
      </c>
    </row>
    <row r="457" spans="1:7" x14ac:dyDescent="0.2">
      <c r="A457">
        <v>2022</v>
      </c>
      <c r="B457">
        <f>IF(ISBLANK(E457),"",VLOOKUP(E457,Code!B:C,2,FALSE))</f>
        <v>23</v>
      </c>
      <c r="C457">
        <v>209542</v>
      </c>
      <c r="D457" t="s">
        <v>183</v>
      </c>
      <c r="E457" t="s">
        <v>10</v>
      </c>
    </row>
    <row r="458" spans="1:7" x14ac:dyDescent="0.2">
      <c r="A458">
        <v>2023</v>
      </c>
      <c r="B458">
        <f>IF(ISBLANK(E458),"",VLOOKUP(E458,Code!B:C,2,FALSE))</f>
        <v>1</v>
      </c>
      <c r="C458">
        <v>209542</v>
      </c>
      <c r="D458" t="s">
        <v>183</v>
      </c>
      <c r="E458" t="s">
        <v>0</v>
      </c>
      <c r="F458" s="6">
        <v>1122</v>
      </c>
    </row>
    <row r="459" spans="1:7" x14ac:dyDescent="0.2">
      <c r="A459">
        <v>2023</v>
      </c>
      <c r="B459">
        <f>IF(ISBLANK(E459),"",VLOOKUP(E459,Code!B:C,2,FALSE))</f>
        <v>2</v>
      </c>
      <c r="C459">
        <v>209542</v>
      </c>
      <c r="D459" t="s">
        <v>183</v>
      </c>
      <c r="E459" t="s">
        <v>1</v>
      </c>
      <c r="F459" s="6">
        <v>27770</v>
      </c>
      <c r="G459" s="6">
        <v>3975</v>
      </c>
    </row>
    <row r="460" spans="1:7" x14ac:dyDescent="0.2">
      <c r="A460">
        <v>2023</v>
      </c>
      <c r="B460">
        <f>IF(ISBLANK(E460),"",VLOOKUP(E460,Code!B:C,2,FALSE))</f>
        <v>8</v>
      </c>
      <c r="C460">
        <v>209542</v>
      </c>
      <c r="D460" t="s">
        <v>183</v>
      </c>
      <c r="E460" t="s">
        <v>2</v>
      </c>
      <c r="F460" s="6">
        <v>85410</v>
      </c>
    </row>
    <row r="461" spans="1:7" x14ac:dyDescent="0.2">
      <c r="A461">
        <v>2023</v>
      </c>
      <c r="B461">
        <f>IF(ISBLANK(E461),"",VLOOKUP(E461,Code!B:C,2,FALSE))</f>
        <v>25</v>
      </c>
      <c r="C461">
        <v>209542</v>
      </c>
      <c r="D461" t="s">
        <v>183</v>
      </c>
      <c r="E461" t="s">
        <v>35</v>
      </c>
    </row>
    <row r="462" spans="1:7" x14ac:dyDescent="0.2">
      <c r="A462">
        <v>2023</v>
      </c>
      <c r="B462">
        <f>IF(ISBLANK(E462),"",VLOOKUP(E462,Code!B:C,2,FALSE))</f>
        <v>9</v>
      </c>
      <c r="C462">
        <v>209542</v>
      </c>
      <c r="D462" t="s">
        <v>183</v>
      </c>
      <c r="E462" t="s">
        <v>3</v>
      </c>
    </row>
    <row r="463" spans="1:7" x14ac:dyDescent="0.2">
      <c r="A463">
        <v>2023</v>
      </c>
      <c r="B463">
        <f>IF(ISBLANK(E463),"",VLOOKUP(E463,Code!B:C,2,FALSE))</f>
        <v>10</v>
      </c>
      <c r="C463">
        <v>209542</v>
      </c>
      <c r="D463" t="s">
        <v>183</v>
      </c>
      <c r="E463" t="s">
        <v>4</v>
      </c>
    </row>
    <row r="464" spans="1:7" x14ac:dyDescent="0.2">
      <c r="A464">
        <v>2023</v>
      </c>
      <c r="B464">
        <f>IF(ISBLANK(E464),"",VLOOKUP(E464,Code!B:C,2,FALSE))</f>
        <v>14</v>
      </c>
      <c r="C464">
        <v>209542</v>
      </c>
      <c r="D464" t="s">
        <v>183</v>
      </c>
      <c r="E464" t="s">
        <v>29</v>
      </c>
    </row>
    <row r="465" spans="1:7" x14ac:dyDescent="0.2">
      <c r="A465">
        <v>2023</v>
      </c>
      <c r="B465">
        <f>IF(ISBLANK(E465),"",VLOOKUP(E465,Code!B:C,2,FALSE))</f>
        <v>17</v>
      </c>
      <c r="C465">
        <v>209542</v>
      </c>
      <c r="D465" t="s">
        <v>183</v>
      </c>
      <c r="E465" t="s">
        <v>5</v>
      </c>
      <c r="G465">
        <v>31</v>
      </c>
    </row>
    <row r="466" spans="1:7" x14ac:dyDescent="0.2">
      <c r="A466">
        <v>2023</v>
      </c>
      <c r="B466">
        <f>IF(ISBLANK(E466),"",VLOOKUP(E466,Code!B:C,2,FALSE))</f>
        <v>18</v>
      </c>
      <c r="C466">
        <v>209542</v>
      </c>
      <c r="D466" t="s">
        <v>183</v>
      </c>
      <c r="E466" t="s">
        <v>6</v>
      </c>
    </row>
    <row r="467" spans="1:7" x14ac:dyDescent="0.2">
      <c r="A467">
        <v>2023</v>
      </c>
      <c r="B467">
        <f>IF(ISBLANK(E467),"",VLOOKUP(E467,Code!B:C,2,FALSE))</f>
        <v>21</v>
      </c>
      <c r="C467">
        <v>209542</v>
      </c>
      <c r="D467" t="s">
        <v>183</v>
      </c>
      <c r="E467" t="s">
        <v>9</v>
      </c>
    </row>
    <row r="468" spans="1:7" x14ac:dyDescent="0.2">
      <c r="A468">
        <v>2023</v>
      </c>
      <c r="B468">
        <f>IF(ISBLANK(E468),"",VLOOKUP(E468,Code!B:C,2,FALSE))</f>
        <v>23</v>
      </c>
      <c r="C468">
        <v>209542</v>
      </c>
      <c r="D468" t="s">
        <v>183</v>
      </c>
      <c r="E468" t="s">
        <v>10</v>
      </c>
    </row>
    <row r="469" spans="1:7" x14ac:dyDescent="0.2">
      <c r="A469">
        <v>2017</v>
      </c>
      <c r="B469">
        <f>IF(ISBLANK(E469),"",VLOOKUP(E469,Code!B:C,2,FALSE))</f>
        <v>2</v>
      </c>
      <c r="C469">
        <v>209807</v>
      </c>
      <c r="D469" t="s">
        <v>185</v>
      </c>
      <c r="E469" t="s">
        <v>1</v>
      </c>
    </row>
    <row r="470" spans="1:7" x14ac:dyDescent="0.2">
      <c r="A470">
        <v>2017</v>
      </c>
      <c r="B470">
        <f>IF(ISBLANK(E470),"",VLOOKUP(E470,Code!B:C,2,FALSE))</f>
        <v>8</v>
      </c>
      <c r="C470">
        <v>209807</v>
      </c>
      <c r="D470" t="s">
        <v>185</v>
      </c>
      <c r="E470" t="s">
        <v>2</v>
      </c>
    </row>
    <row r="471" spans="1:7" x14ac:dyDescent="0.2">
      <c r="A471">
        <v>2017</v>
      </c>
      <c r="B471">
        <f>IF(ISBLANK(E471),"",VLOOKUP(E471,Code!B:C,2,FALSE))</f>
        <v>20</v>
      </c>
      <c r="C471">
        <v>209807</v>
      </c>
      <c r="D471" t="s">
        <v>185</v>
      </c>
      <c r="E471" t="s">
        <v>8</v>
      </c>
    </row>
    <row r="472" spans="1:7" x14ac:dyDescent="0.2">
      <c r="A472">
        <v>2017</v>
      </c>
      <c r="B472">
        <f>IF(ISBLANK(E472),"",VLOOKUP(E472,Code!B:C,2,FALSE))</f>
        <v>21</v>
      </c>
      <c r="C472">
        <v>209807</v>
      </c>
      <c r="D472" t="s">
        <v>185</v>
      </c>
      <c r="E472" t="s">
        <v>36</v>
      </c>
    </row>
    <row r="473" spans="1:7" x14ac:dyDescent="0.2">
      <c r="A473">
        <v>2017</v>
      </c>
      <c r="B473">
        <f>IF(ISBLANK(E473),"",VLOOKUP(E473,Code!B:C,2,FALSE))</f>
        <v>2</v>
      </c>
      <c r="C473">
        <v>209807</v>
      </c>
      <c r="D473" t="s">
        <v>185</v>
      </c>
      <c r="E473" t="s">
        <v>1</v>
      </c>
    </row>
    <row r="474" spans="1:7" x14ac:dyDescent="0.2">
      <c r="A474">
        <v>2017</v>
      </c>
      <c r="B474">
        <f>IF(ISBLANK(E474),"",VLOOKUP(E474,Code!B:C,2,FALSE))</f>
        <v>9</v>
      </c>
      <c r="C474">
        <v>209807</v>
      </c>
      <c r="D474" t="s">
        <v>185</v>
      </c>
      <c r="E474" t="s">
        <v>3</v>
      </c>
    </row>
    <row r="475" spans="1:7" x14ac:dyDescent="0.2">
      <c r="A475">
        <v>2017</v>
      </c>
      <c r="B475">
        <f>IF(ISBLANK(E475),"",VLOOKUP(E475,Code!B:C,2,FALSE))</f>
        <v>17</v>
      </c>
      <c r="C475">
        <v>209807</v>
      </c>
      <c r="D475" t="s">
        <v>185</v>
      </c>
      <c r="E475" t="s">
        <v>5</v>
      </c>
    </row>
    <row r="476" spans="1:7" x14ac:dyDescent="0.2">
      <c r="A476">
        <v>2017</v>
      </c>
      <c r="B476">
        <f>IF(ISBLANK(E476),"",VLOOKUP(E476,Code!B:C,2,FALSE))</f>
        <v>18</v>
      </c>
      <c r="C476">
        <v>209807</v>
      </c>
      <c r="D476" t="s">
        <v>185</v>
      </c>
      <c r="E476" t="s">
        <v>6</v>
      </c>
    </row>
    <row r="477" spans="1:7" x14ac:dyDescent="0.2">
      <c r="A477">
        <v>2017</v>
      </c>
      <c r="B477">
        <f>IF(ISBLANK(E477),"",VLOOKUP(E477,Code!B:C,2,FALSE))</f>
        <v>20</v>
      </c>
      <c r="C477">
        <v>209807</v>
      </c>
      <c r="D477" t="s">
        <v>185</v>
      </c>
      <c r="E477" t="s">
        <v>8</v>
      </c>
    </row>
    <row r="478" spans="1:7" x14ac:dyDescent="0.2">
      <c r="A478">
        <v>2017</v>
      </c>
      <c r="B478">
        <f>IF(ISBLANK(E478),"",VLOOKUP(E478,Code!B:C,2,FALSE))</f>
        <v>21</v>
      </c>
      <c r="C478">
        <v>209807</v>
      </c>
      <c r="D478" t="s">
        <v>185</v>
      </c>
      <c r="E478" t="s">
        <v>36</v>
      </c>
    </row>
    <row r="479" spans="1:7" x14ac:dyDescent="0.2">
      <c r="A479">
        <v>2017</v>
      </c>
      <c r="B479">
        <f>IF(ISBLANK(E479),"",VLOOKUP(E479,Code!B:C,2,FALSE))</f>
        <v>23</v>
      </c>
      <c r="C479">
        <v>209807</v>
      </c>
      <c r="D479" t="s">
        <v>185</v>
      </c>
      <c r="E479" t="s">
        <v>10</v>
      </c>
    </row>
    <row r="480" spans="1:7" x14ac:dyDescent="0.2">
      <c r="A480">
        <v>2018</v>
      </c>
      <c r="B480">
        <f>IF(ISBLANK(E480),"",VLOOKUP(E480,Code!B:C,2,FALSE))</f>
        <v>2</v>
      </c>
      <c r="C480">
        <v>209807</v>
      </c>
      <c r="D480" t="s">
        <v>185</v>
      </c>
      <c r="E480" t="s">
        <v>1</v>
      </c>
    </row>
    <row r="481" spans="1:5" x14ac:dyDescent="0.2">
      <c r="A481">
        <v>2018</v>
      </c>
      <c r="B481">
        <f>IF(ISBLANK(E481),"",VLOOKUP(E481,Code!B:C,2,FALSE))</f>
        <v>8</v>
      </c>
      <c r="C481">
        <v>209807</v>
      </c>
      <c r="D481" t="s">
        <v>185</v>
      </c>
      <c r="E481" t="s">
        <v>2</v>
      </c>
    </row>
    <row r="482" spans="1:5" x14ac:dyDescent="0.2">
      <c r="A482">
        <v>2018</v>
      </c>
      <c r="B482">
        <f>IF(ISBLANK(E482),"",VLOOKUP(E482,Code!B:C,2,FALSE))</f>
        <v>20</v>
      </c>
      <c r="C482">
        <v>209807</v>
      </c>
      <c r="D482" t="s">
        <v>185</v>
      </c>
      <c r="E482" t="s">
        <v>8</v>
      </c>
    </row>
    <row r="483" spans="1:5" x14ac:dyDescent="0.2">
      <c r="A483">
        <v>2018</v>
      </c>
      <c r="B483">
        <f>IF(ISBLANK(E483),"",VLOOKUP(E483,Code!B:C,2,FALSE))</f>
        <v>21</v>
      </c>
      <c r="C483">
        <v>209807</v>
      </c>
      <c r="D483" t="s">
        <v>185</v>
      </c>
      <c r="E483" t="s">
        <v>36</v>
      </c>
    </row>
    <row r="484" spans="1:5" x14ac:dyDescent="0.2">
      <c r="A484">
        <v>2018</v>
      </c>
      <c r="B484">
        <f>IF(ISBLANK(E484),"",VLOOKUP(E484,Code!B:C,2,FALSE))</f>
        <v>2</v>
      </c>
      <c r="C484">
        <v>209807</v>
      </c>
      <c r="D484" t="s">
        <v>185</v>
      </c>
      <c r="E484" t="s">
        <v>1</v>
      </c>
    </row>
    <row r="485" spans="1:5" x14ac:dyDescent="0.2">
      <c r="A485">
        <v>2018</v>
      </c>
      <c r="B485">
        <f>IF(ISBLANK(E485),"",VLOOKUP(E485,Code!B:C,2,FALSE))</f>
        <v>9</v>
      </c>
      <c r="C485">
        <v>209807</v>
      </c>
      <c r="D485" t="s">
        <v>185</v>
      </c>
      <c r="E485" t="s">
        <v>3</v>
      </c>
    </row>
    <row r="486" spans="1:5" x14ac:dyDescent="0.2">
      <c r="A486">
        <v>2018</v>
      </c>
      <c r="B486">
        <f>IF(ISBLANK(E486),"",VLOOKUP(E486,Code!B:C,2,FALSE))</f>
        <v>17</v>
      </c>
      <c r="C486">
        <v>209807</v>
      </c>
      <c r="D486" t="s">
        <v>185</v>
      </c>
      <c r="E486" t="s">
        <v>5</v>
      </c>
    </row>
    <row r="487" spans="1:5" x14ac:dyDescent="0.2">
      <c r="A487">
        <v>2018</v>
      </c>
      <c r="B487">
        <f>IF(ISBLANK(E487),"",VLOOKUP(E487,Code!B:C,2,FALSE))</f>
        <v>18</v>
      </c>
      <c r="C487">
        <v>209807</v>
      </c>
      <c r="D487" t="s">
        <v>185</v>
      </c>
      <c r="E487" t="s">
        <v>6</v>
      </c>
    </row>
    <row r="488" spans="1:5" x14ac:dyDescent="0.2">
      <c r="A488">
        <v>2018</v>
      </c>
      <c r="B488">
        <f>IF(ISBLANK(E488),"",VLOOKUP(E488,Code!B:C,2,FALSE))</f>
        <v>20</v>
      </c>
      <c r="C488">
        <v>209807</v>
      </c>
      <c r="D488" t="s">
        <v>185</v>
      </c>
      <c r="E488" t="s">
        <v>8</v>
      </c>
    </row>
    <row r="489" spans="1:5" x14ac:dyDescent="0.2">
      <c r="A489">
        <v>2018</v>
      </c>
      <c r="B489">
        <f>IF(ISBLANK(E489),"",VLOOKUP(E489,Code!B:C,2,FALSE))</f>
        <v>21</v>
      </c>
      <c r="C489">
        <v>209807</v>
      </c>
      <c r="D489" t="s">
        <v>185</v>
      </c>
      <c r="E489" t="s">
        <v>36</v>
      </c>
    </row>
    <row r="490" spans="1:5" x14ac:dyDescent="0.2">
      <c r="A490">
        <v>2018</v>
      </c>
      <c r="B490">
        <f>IF(ISBLANK(E490),"",VLOOKUP(E490,Code!B:C,2,FALSE))</f>
        <v>23</v>
      </c>
      <c r="C490">
        <v>209807</v>
      </c>
      <c r="D490" t="s">
        <v>185</v>
      </c>
      <c r="E490" t="s">
        <v>10</v>
      </c>
    </row>
    <row r="491" spans="1:5" x14ac:dyDescent="0.2">
      <c r="A491">
        <v>2019</v>
      </c>
      <c r="B491">
        <f>IF(ISBLANK(E491),"",VLOOKUP(E491,Code!B:C,2,FALSE))</f>
        <v>2</v>
      </c>
      <c r="C491">
        <v>209807</v>
      </c>
      <c r="D491" t="s">
        <v>185</v>
      </c>
      <c r="E491" t="s">
        <v>1</v>
      </c>
    </row>
    <row r="492" spans="1:5" x14ac:dyDescent="0.2">
      <c r="A492">
        <v>2019</v>
      </c>
      <c r="B492">
        <f>IF(ISBLANK(E492),"",VLOOKUP(E492,Code!B:C,2,FALSE))</f>
        <v>8</v>
      </c>
      <c r="C492">
        <v>209807</v>
      </c>
      <c r="D492" t="s">
        <v>185</v>
      </c>
      <c r="E492" t="s">
        <v>2</v>
      </c>
    </row>
    <row r="493" spans="1:5" x14ac:dyDescent="0.2">
      <c r="A493">
        <v>2019</v>
      </c>
      <c r="B493">
        <f>IF(ISBLANK(E493),"",VLOOKUP(E493,Code!B:C,2,FALSE))</f>
        <v>20</v>
      </c>
      <c r="C493">
        <v>209807</v>
      </c>
      <c r="D493" t="s">
        <v>185</v>
      </c>
      <c r="E493" t="s">
        <v>8</v>
      </c>
    </row>
    <row r="494" spans="1:5" x14ac:dyDescent="0.2">
      <c r="A494">
        <v>2019</v>
      </c>
      <c r="B494">
        <f>IF(ISBLANK(E494),"",VLOOKUP(E494,Code!B:C,2,FALSE))</f>
        <v>21</v>
      </c>
      <c r="C494">
        <v>209807</v>
      </c>
      <c r="D494" t="s">
        <v>185</v>
      </c>
      <c r="E494" t="s">
        <v>36</v>
      </c>
    </row>
    <row r="495" spans="1:5" x14ac:dyDescent="0.2">
      <c r="A495">
        <v>2019</v>
      </c>
      <c r="B495">
        <f>IF(ISBLANK(E495),"",VLOOKUP(E495,Code!B:C,2,FALSE))</f>
        <v>2</v>
      </c>
      <c r="C495">
        <v>209807</v>
      </c>
      <c r="D495" t="s">
        <v>185</v>
      </c>
      <c r="E495" t="s">
        <v>1</v>
      </c>
    </row>
    <row r="496" spans="1:5" x14ac:dyDescent="0.2">
      <c r="A496">
        <v>2019</v>
      </c>
      <c r="B496">
        <f>IF(ISBLANK(E496),"",VLOOKUP(E496,Code!B:C,2,FALSE))</f>
        <v>9</v>
      </c>
      <c r="C496">
        <v>209807</v>
      </c>
      <c r="D496" t="s">
        <v>185</v>
      </c>
      <c r="E496" t="s">
        <v>3</v>
      </c>
    </row>
    <row r="497" spans="1:5" x14ac:dyDescent="0.2">
      <c r="A497">
        <v>2019</v>
      </c>
      <c r="B497">
        <f>IF(ISBLANK(E497),"",VLOOKUP(E497,Code!B:C,2,FALSE))</f>
        <v>17</v>
      </c>
      <c r="C497">
        <v>209807</v>
      </c>
      <c r="D497" t="s">
        <v>185</v>
      </c>
      <c r="E497" t="s">
        <v>5</v>
      </c>
    </row>
    <row r="498" spans="1:5" x14ac:dyDescent="0.2">
      <c r="A498">
        <v>2019</v>
      </c>
      <c r="B498">
        <f>IF(ISBLANK(E498),"",VLOOKUP(E498,Code!B:C,2,FALSE))</f>
        <v>18</v>
      </c>
      <c r="C498">
        <v>209807</v>
      </c>
      <c r="D498" t="s">
        <v>185</v>
      </c>
      <c r="E498" t="s">
        <v>6</v>
      </c>
    </row>
    <row r="499" spans="1:5" x14ac:dyDescent="0.2">
      <c r="A499">
        <v>2019</v>
      </c>
      <c r="B499">
        <f>IF(ISBLANK(E499),"",VLOOKUP(E499,Code!B:C,2,FALSE))</f>
        <v>20</v>
      </c>
      <c r="C499">
        <v>209807</v>
      </c>
      <c r="D499" t="s">
        <v>185</v>
      </c>
      <c r="E499" t="s">
        <v>8</v>
      </c>
    </row>
    <row r="500" spans="1:5" x14ac:dyDescent="0.2">
      <c r="A500">
        <v>2019</v>
      </c>
      <c r="B500">
        <f>IF(ISBLANK(E500),"",VLOOKUP(E500,Code!B:C,2,FALSE))</f>
        <v>21</v>
      </c>
      <c r="C500">
        <v>209807</v>
      </c>
      <c r="D500" t="s">
        <v>185</v>
      </c>
      <c r="E500" t="s">
        <v>36</v>
      </c>
    </row>
    <row r="501" spans="1:5" x14ac:dyDescent="0.2">
      <c r="A501">
        <v>2019</v>
      </c>
      <c r="B501">
        <f>IF(ISBLANK(E501),"",VLOOKUP(E501,Code!B:C,2,FALSE))</f>
        <v>23</v>
      </c>
      <c r="C501">
        <v>209807</v>
      </c>
      <c r="D501" t="s">
        <v>185</v>
      </c>
      <c r="E501" t="s">
        <v>10</v>
      </c>
    </row>
    <row r="502" spans="1:5" x14ac:dyDescent="0.2">
      <c r="A502">
        <v>2020</v>
      </c>
      <c r="B502">
        <f>IF(ISBLANK(E502),"",VLOOKUP(E502,Code!B:C,2,FALSE))</f>
        <v>2</v>
      </c>
      <c r="C502">
        <v>209807</v>
      </c>
      <c r="D502" t="s">
        <v>185</v>
      </c>
      <c r="E502" t="s">
        <v>1</v>
      </c>
    </row>
    <row r="503" spans="1:5" x14ac:dyDescent="0.2">
      <c r="A503">
        <v>2020</v>
      </c>
      <c r="B503">
        <f>IF(ISBLANK(E503),"",VLOOKUP(E503,Code!B:C,2,FALSE))</f>
        <v>8</v>
      </c>
      <c r="C503">
        <v>209807</v>
      </c>
      <c r="D503" t="s">
        <v>185</v>
      </c>
      <c r="E503" t="s">
        <v>2</v>
      </c>
    </row>
    <row r="504" spans="1:5" x14ac:dyDescent="0.2">
      <c r="A504">
        <v>2020</v>
      </c>
      <c r="B504">
        <f>IF(ISBLANK(E504),"",VLOOKUP(E504,Code!B:C,2,FALSE))</f>
        <v>20</v>
      </c>
      <c r="C504">
        <v>209807</v>
      </c>
      <c r="D504" t="s">
        <v>185</v>
      </c>
      <c r="E504" t="s">
        <v>8</v>
      </c>
    </row>
    <row r="505" spans="1:5" x14ac:dyDescent="0.2">
      <c r="A505">
        <v>2020</v>
      </c>
      <c r="B505">
        <f>IF(ISBLANK(E505),"",VLOOKUP(E505,Code!B:C,2,FALSE))</f>
        <v>21</v>
      </c>
      <c r="C505">
        <v>209807</v>
      </c>
      <c r="D505" t="s">
        <v>185</v>
      </c>
      <c r="E505" t="s">
        <v>36</v>
      </c>
    </row>
    <row r="506" spans="1:5" x14ac:dyDescent="0.2">
      <c r="A506">
        <v>2020</v>
      </c>
      <c r="B506">
        <f>IF(ISBLANK(E506),"",VLOOKUP(E506,Code!B:C,2,FALSE))</f>
        <v>9</v>
      </c>
      <c r="C506">
        <v>209807</v>
      </c>
      <c r="D506" t="s">
        <v>185</v>
      </c>
      <c r="E506" t="s">
        <v>3</v>
      </c>
    </row>
    <row r="507" spans="1:5" x14ac:dyDescent="0.2">
      <c r="A507">
        <v>2020</v>
      </c>
      <c r="B507">
        <f>IF(ISBLANK(E507),"",VLOOKUP(E507,Code!B:C,2,FALSE))</f>
        <v>17</v>
      </c>
      <c r="C507">
        <v>209807</v>
      </c>
      <c r="D507" t="s">
        <v>185</v>
      </c>
      <c r="E507" t="s">
        <v>5</v>
      </c>
    </row>
    <row r="508" spans="1:5" x14ac:dyDescent="0.2">
      <c r="A508">
        <v>2020</v>
      </c>
      <c r="B508">
        <f>IF(ISBLANK(E508),"",VLOOKUP(E508,Code!B:C,2,FALSE))</f>
        <v>18</v>
      </c>
      <c r="C508">
        <v>209807</v>
      </c>
      <c r="D508" t="s">
        <v>185</v>
      </c>
      <c r="E508" t="s">
        <v>6</v>
      </c>
    </row>
    <row r="509" spans="1:5" x14ac:dyDescent="0.2">
      <c r="A509">
        <v>2020</v>
      </c>
      <c r="B509">
        <f>IF(ISBLANK(E509),"",VLOOKUP(E509,Code!B:C,2,FALSE))</f>
        <v>20</v>
      </c>
      <c r="C509">
        <v>209807</v>
      </c>
      <c r="D509" t="s">
        <v>185</v>
      </c>
      <c r="E509" t="s">
        <v>8</v>
      </c>
    </row>
    <row r="510" spans="1:5" x14ac:dyDescent="0.2">
      <c r="A510">
        <v>2020</v>
      </c>
      <c r="B510">
        <f>IF(ISBLANK(E510),"",VLOOKUP(E510,Code!B:C,2,FALSE))</f>
        <v>21</v>
      </c>
      <c r="C510">
        <v>209807</v>
      </c>
      <c r="D510" t="s">
        <v>185</v>
      </c>
      <c r="E510" t="s">
        <v>36</v>
      </c>
    </row>
    <row r="511" spans="1:5" x14ac:dyDescent="0.2">
      <c r="A511">
        <v>2020</v>
      </c>
      <c r="B511">
        <f>IF(ISBLANK(E511),"",VLOOKUP(E511,Code!B:C,2,FALSE))</f>
        <v>23</v>
      </c>
      <c r="C511">
        <v>209807</v>
      </c>
      <c r="D511" t="s">
        <v>185</v>
      </c>
      <c r="E511" t="s">
        <v>10</v>
      </c>
    </row>
    <row r="512" spans="1:5" x14ac:dyDescent="0.2">
      <c r="A512">
        <v>2021</v>
      </c>
      <c r="B512">
        <f>IF(ISBLANK(E512),"",VLOOKUP(E512,Code!B:C,2,FALSE))</f>
        <v>2</v>
      </c>
      <c r="C512">
        <v>209807</v>
      </c>
      <c r="D512" t="s">
        <v>185</v>
      </c>
      <c r="E512" t="s">
        <v>1</v>
      </c>
    </row>
    <row r="513" spans="1:5" x14ac:dyDescent="0.2">
      <c r="A513">
        <v>2021</v>
      </c>
      <c r="B513">
        <f>IF(ISBLANK(E513),"",VLOOKUP(E513,Code!B:C,2,FALSE))</f>
        <v>8</v>
      </c>
      <c r="C513">
        <v>209807</v>
      </c>
      <c r="D513" t="s">
        <v>185</v>
      </c>
      <c r="E513" t="s">
        <v>2</v>
      </c>
    </row>
    <row r="514" spans="1:5" x14ac:dyDescent="0.2">
      <c r="A514">
        <v>2021</v>
      </c>
      <c r="B514">
        <f>IF(ISBLANK(E514),"",VLOOKUP(E514,Code!B:C,2,FALSE))</f>
        <v>20</v>
      </c>
      <c r="C514">
        <v>209807</v>
      </c>
      <c r="D514" t="s">
        <v>185</v>
      </c>
      <c r="E514" t="s">
        <v>8</v>
      </c>
    </row>
    <row r="515" spans="1:5" x14ac:dyDescent="0.2">
      <c r="A515">
        <v>2021</v>
      </c>
      <c r="B515">
        <f>IF(ISBLANK(E515),"",VLOOKUP(E515,Code!B:C,2,FALSE))</f>
        <v>21</v>
      </c>
      <c r="C515">
        <v>209807</v>
      </c>
      <c r="D515" t="s">
        <v>185</v>
      </c>
      <c r="E515" t="s">
        <v>36</v>
      </c>
    </row>
    <row r="516" spans="1:5" x14ac:dyDescent="0.2">
      <c r="A516">
        <v>2021</v>
      </c>
      <c r="B516">
        <f>IF(ISBLANK(E516),"",VLOOKUP(E516,Code!B:C,2,FALSE))</f>
        <v>9</v>
      </c>
      <c r="C516">
        <v>209807</v>
      </c>
      <c r="D516" t="s">
        <v>185</v>
      </c>
      <c r="E516" t="s">
        <v>3</v>
      </c>
    </row>
    <row r="517" spans="1:5" x14ac:dyDescent="0.2">
      <c r="A517">
        <v>2021</v>
      </c>
      <c r="B517">
        <f>IF(ISBLANK(E517),"",VLOOKUP(E517,Code!B:C,2,FALSE))</f>
        <v>17</v>
      </c>
      <c r="C517">
        <v>209807</v>
      </c>
      <c r="D517" t="s">
        <v>185</v>
      </c>
      <c r="E517" t="s">
        <v>5</v>
      </c>
    </row>
    <row r="518" spans="1:5" x14ac:dyDescent="0.2">
      <c r="A518">
        <v>2021</v>
      </c>
      <c r="B518">
        <f>IF(ISBLANK(E518),"",VLOOKUP(E518,Code!B:C,2,FALSE))</f>
        <v>18</v>
      </c>
      <c r="C518">
        <v>209807</v>
      </c>
      <c r="D518" t="s">
        <v>185</v>
      </c>
      <c r="E518" t="s">
        <v>6</v>
      </c>
    </row>
    <row r="519" spans="1:5" x14ac:dyDescent="0.2">
      <c r="A519">
        <v>2021</v>
      </c>
      <c r="B519">
        <f>IF(ISBLANK(E519),"",VLOOKUP(E519,Code!B:C,2,FALSE))</f>
        <v>20</v>
      </c>
      <c r="C519">
        <v>209807</v>
      </c>
      <c r="D519" t="s">
        <v>185</v>
      </c>
      <c r="E519" t="s">
        <v>8</v>
      </c>
    </row>
    <row r="520" spans="1:5" x14ac:dyDescent="0.2">
      <c r="A520">
        <v>2021</v>
      </c>
      <c r="B520">
        <f>IF(ISBLANK(E520),"",VLOOKUP(E520,Code!B:C,2,FALSE))</f>
        <v>21</v>
      </c>
      <c r="C520">
        <v>209807</v>
      </c>
      <c r="D520" t="s">
        <v>185</v>
      </c>
      <c r="E520" t="s">
        <v>36</v>
      </c>
    </row>
    <row r="521" spans="1:5" x14ac:dyDescent="0.2">
      <c r="A521">
        <v>2021</v>
      </c>
      <c r="B521">
        <f>IF(ISBLANK(E521),"",VLOOKUP(E521,Code!B:C,2,FALSE))</f>
        <v>23</v>
      </c>
      <c r="C521">
        <v>209807</v>
      </c>
      <c r="D521" t="s">
        <v>185</v>
      </c>
      <c r="E521" t="s">
        <v>10</v>
      </c>
    </row>
    <row r="522" spans="1:5" x14ac:dyDescent="0.2">
      <c r="A522">
        <v>2022</v>
      </c>
      <c r="B522">
        <f>IF(ISBLANK(E522),"",VLOOKUP(E522,Code!B:C,2,FALSE))</f>
        <v>2</v>
      </c>
      <c r="C522">
        <v>209807</v>
      </c>
      <c r="D522" t="s">
        <v>185</v>
      </c>
      <c r="E522" t="s">
        <v>1</v>
      </c>
    </row>
    <row r="523" spans="1:5" x14ac:dyDescent="0.2">
      <c r="A523">
        <v>2022</v>
      </c>
      <c r="B523">
        <f>IF(ISBLANK(E523),"",VLOOKUP(E523,Code!B:C,2,FALSE))</f>
        <v>8</v>
      </c>
      <c r="C523">
        <v>209807</v>
      </c>
      <c r="D523" t="s">
        <v>185</v>
      </c>
      <c r="E523" t="s">
        <v>2</v>
      </c>
    </row>
    <row r="524" spans="1:5" x14ac:dyDescent="0.2">
      <c r="A524">
        <v>2022</v>
      </c>
      <c r="B524">
        <f>IF(ISBLANK(E524),"",VLOOKUP(E524,Code!B:C,2,FALSE))</f>
        <v>9</v>
      </c>
      <c r="C524">
        <v>209807</v>
      </c>
      <c r="D524" t="s">
        <v>185</v>
      </c>
      <c r="E524" t="s">
        <v>3</v>
      </c>
    </row>
    <row r="525" spans="1:5" x14ac:dyDescent="0.2">
      <c r="A525">
        <v>2022</v>
      </c>
      <c r="B525">
        <f>IF(ISBLANK(E525),"",VLOOKUP(E525,Code!B:C,2,FALSE))</f>
        <v>17</v>
      </c>
      <c r="C525">
        <v>209807</v>
      </c>
      <c r="D525" t="s">
        <v>185</v>
      </c>
      <c r="E525" t="s">
        <v>5</v>
      </c>
    </row>
    <row r="526" spans="1:5" x14ac:dyDescent="0.2">
      <c r="A526">
        <v>2022</v>
      </c>
      <c r="B526">
        <f>IF(ISBLANK(E526),"",VLOOKUP(E526,Code!B:C,2,FALSE))</f>
        <v>18</v>
      </c>
      <c r="C526">
        <v>209807</v>
      </c>
      <c r="D526" t="s">
        <v>185</v>
      </c>
      <c r="E526" t="s">
        <v>6</v>
      </c>
    </row>
    <row r="527" spans="1:5" x14ac:dyDescent="0.2">
      <c r="A527">
        <v>2022</v>
      </c>
      <c r="B527">
        <f>IF(ISBLANK(E527),"",VLOOKUP(E527,Code!B:C,2,FALSE))</f>
        <v>20</v>
      </c>
      <c r="C527">
        <v>209807</v>
      </c>
      <c r="D527" t="s">
        <v>185</v>
      </c>
      <c r="E527" t="s">
        <v>8</v>
      </c>
    </row>
    <row r="528" spans="1:5" x14ac:dyDescent="0.2">
      <c r="A528">
        <v>2022</v>
      </c>
      <c r="B528">
        <f>IF(ISBLANK(E528),"",VLOOKUP(E528,Code!B:C,2,FALSE))</f>
        <v>21</v>
      </c>
      <c r="C528">
        <v>209807</v>
      </c>
      <c r="D528" t="s">
        <v>185</v>
      </c>
      <c r="E528" t="s">
        <v>36</v>
      </c>
    </row>
    <row r="529" spans="1:7" x14ac:dyDescent="0.2">
      <c r="A529">
        <v>2022</v>
      </c>
      <c r="B529">
        <f>IF(ISBLANK(E529),"",VLOOKUP(E529,Code!B:C,2,FALSE))</f>
        <v>23</v>
      </c>
      <c r="C529">
        <v>209807</v>
      </c>
      <c r="D529" t="s">
        <v>185</v>
      </c>
      <c r="E529" t="s">
        <v>10</v>
      </c>
    </row>
    <row r="530" spans="1:7" x14ac:dyDescent="0.2">
      <c r="A530">
        <v>2023</v>
      </c>
      <c r="B530">
        <f>IF(ISBLANK(E530),"",VLOOKUP(E530,Code!B:C,2,FALSE))</f>
        <v>2</v>
      </c>
      <c r="C530">
        <v>209807</v>
      </c>
      <c r="D530" t="s">
        <v>185</v>
      </c>
      <c r="E530" t="s">
        <v>1</v>
      </c>
    </row>
    <row r="531" spans="1:7" x14ac:dyDescent="0.2">
      <c r="A531">
        <v>2023</v>
      </c>
      <c r="B531">
        <f>IF(ISBLANK(E531),"",VLOOKUP(E531,Code!B:C,2,FALSE))</f>
        <v>8</v>
      </c>
      <c r="C531">
        <v>209807</v>
      </c>
      <c r="D531" t="s">
        <v>185</v>
      </c>
      <c r="E531" t="s">
        <v>2</v>
      </c>
    </row>
    <row r="532" spans="1:7" x14ac:dyDescent="0.2">
      <c r="A532">
        <v>2023</v>
      </c>
      <c r="B532">
        <f>IF(ISBLANK(E532),"",VLOOKUP(E532,Code!B:C,2,FALSE))</f>
        <v>9</v>
      </c>
      <c r="C532">
        <v>209807</v>
      </c>
      <c r="D532" t="s">
        <v>185</v>
      </c>
      <c r="E532" t="s">
        <v>3</v>
      </c>
    </row>
    <row r="533" spans="1:7" x14ac:dyDescent="0.2">
      <c r="A533">
        <v>2023</v>
      </c>
      <c r="B533">
        <f>IF(ISBLANK(E533),"",VLOOKUP(E533,Code!B:C,2,FALSE))</f>
        <v>17</v>
      </c>
      <c r="C533">
        <v>209807</v>
      </c>
      <c r="D533" t="s">
        <v>185</v>
      </c>
      <c r="E533" t="s">
        <v>5</v>
      </c>
    </row>
    <row r="534" spans="1:7" x14ac:dyDescent="0.2">
      <c r="A534">
        <v>2023</v>
      </c>
      <c r="B534">
        <f>IF(ISBLANK(E534),"",VLOOKUP(E534,Code!B:C,2,FALSE))</f>
        <v>18</v>
      </c>
      <c r="C534">
        <v>209807</v>
      </c>
      <c r="D534" t="s">
        <v>185</v>
      </c>
      <c r="E534" t="s">
        <v>6</v>
      </c>
    </row>
    <row r="535" spans="1:7" x14ac:dyDescent="0.2">
      <c r="A535">
        <v>2023</v>
      </c>
      <c r="B535">
        <f>IF(ISBLANK(E535),"",VLOOKUP(E535,Code!B:C,2,FALSE))</f>
        <v>20</v>
      </c>
      <c r="C535">
        <v>209807</v>
      </c>
      <c r="D535" t="s">
        <v>185</v>
      </c>
      <c r="E535" t="s">
        <v>8</v>
      </c>
    </row>
    <row r="536" spans="1:7" x14ac:dyDescent="0.2">
      <c r="A536">
        <v>2023</v>
      </c>
      <c r="B536">
        <f>IF(ISBLANK(E536),"",VLOOKUP(E536,Code!B:C,2,FALSE))</f>
        <v>21</v>
      </c>
      <c r="C536">
        <v>209807</v>
      </c>
      <c r="D536" t="s">
        <v>185</v>
      </c>
      <c r="E536" t="s">
        <v>9</v>
      </c>
    </row>
    <row r="537" spans="1:7" x14ac:dyDescent="0.2">
      <c r="A537">
        <v>2023</v>
      </c>
      <c r="B537">
        <f>IF(ISBLANK(E537),"",VLOOKUP(E537,Code!B:C,2,FALSE))</f>
        <v>23</v>
      </c>
      <c r="C537">
        <v>209807</v>
      </c>
      <c r="D537" t="s">
        <v>185</v>
      </c>
      <c r="E537" t="s">
        <v>10</v>
      </c>
    </row>
    <row r="538" spans="1:7" x14ac:dyDescent="0.2">
      <c r="A538">
        <v>2017</v>
      </c>
      <c r="B538">
        <f>IF(ISBLANK(E538),"",VLOOKUP(E538,Code!B:C,2,FALSE))</f>
        <v>2</v>
      </c>
      <c r="C538">
        <v>230782</v>
      </c>
      <c r="D538" t="s">
        <v>246</v>
      </c>
      <c r="E538" t="s">
        <v>1</v>
      </c>
    </row>
    <row r="539" spans="1:7" x14ac:dyDescent="0.2">
      <c r="A539">
        <v>2017</v>
      </c>
      <c r="B539">
        <f>IF(ISBLANK(E539),"",VLOOKUP(E539,Code!B:C,2,FALSE))</f>
        <v>8</v>
      </c>
      <c r="C539">
        <v>230782</v>
      </c>
      <c r="D539" t="s">
        <v>246</v>
      </c>
      <c r="E539" t="s">
        <v>2</v>
      </c>
    </row>
    <row r="540" spans="1:7" x14ac:dyDescent="0.2">
      <c r="A540">
        <v>2017</v>
      </c>
      <c r="B540">
        <f>IF(ISBLANK(E540),"",VLOOKUP(E540,Code!B:C,2,FALSE))</f>
        <v>9</v>
      </c>
      <c r="C540">
        <v>230782</v>
      </c>
      <c r="D540" t="s">
        <v>246</v>
      </c>
      <c r="E540" t="s">
        <v>3</v>
      </c>
    </row>
    <row r="541" spans="1:7" x14ac:dyDescent="0.2">
      <c r="A541">
        <v>2017</v>
      </c>
      <c r="B541">
        <f>IF(ISBLANK(E541),"",VLOOKUP(E541,Code!B:C,2,FALSE))</f>
        <v>17</v>
      </c>
      <c r="C541">
        <v>230782</v>
      </c>
      <c r="D541" t="s">
        <v>246</v>
      </c>
      <c r="E541" t="s">
        <v>5</v>
      </c>
      <c r="G541">
        <v>839</v>
      </c>
    </row>
    <row r="542" spans="1:7" x14ac:dyDescent="0.2">
      <c r="A542">
        <v>2017</v>
      </c>
      <c r="B542">
        <f>IF(ISBLANK(E542),"",VLOOKUP(E542,Code!B:C,2,FALSE))</f>
        <v>18</v>
      </c>
      <c r="C542">
        <v>230782</v>
      </c>
      <c r="D542" t="s">
        <v>246</v>
      </c>
      <c r="E542" t="s">
        <v>6</v>
      </c>
      <c r="G542" s="6">
        <v>1484</v>
      </c>
    </row>
    <row r="543" spans="1:7" x14ac:dyDescent="0.2">
      <c r="A543">
        <v>2017</v>
      </c>
      <c r="B543">
        <f>IF(ISBLANK(E543),"",VLOOKUP(E543,Code!B:C,2,FALSE))</f>
        <v>20</v>
      </c>
      <c r="C543">
        <v>230782</v>
      </c>
      <c r="D543" t="s">
        <v>246</v>
      </c>
      <c r="E543" t="s">
        <v>8</v>
      </c>
    </row>
    <row r="544" spans="1:7" x14ac:dyDescent="0.2">
      <c r="A544">
        <v>2017</v>
      </c>
      <c r="B544">
        <f>IF(ISBLANK(E544),"",VLOOKUP(E544,Code!B:C,2,FALSE))</f>
        <v>21</v>
      </c>
      <c r="C544">
        <v>230782</v>
      </c>
      <c r="D544" t="s">
        <v>246</v>
      </c>
      <c r="E544" t="s">
        <v>36</v>
      </c>
    </row>
    <row r="545" spans="1:6" x14ac:dyDescent="0.2">
      <c r="A545">
        <v>2017</v>
      </c>
      <c r="B545">
        <f>IF(ISBLANK(E545),"",VLOOKUP(E545,Code!B:C,2,FALSE))</f>
        <v>23</v>
      </c>
      <c r="C545">
        <v>230782</v>
      </c>
      <c r="D545" t="s">
        <v>246</v>
      </c>
      <c r="E545" t="s">
        <v>10</v>
      </c>
    </row>
    <row r="546" spans="1:6" x14ac:dyDescent="0.2">
      <c r="A546">
        <v>2018</v>
      </c>
      <c r="B546">
        <f>IF(ISBLANK(E546),"",VLOOKUP(E546,Code!B:C,2,FALSE))</f>
        <v>2</v>
      </c>
      <c r="C546">
        <v>230782</v>
      </c>
      <c r="D546" t="s">
        <v>246</v>
      </c>
      <c r="E546" t="s">
        <v>1</v>
      </c>
    </row>
    <row r="547" spans="1:6" x14ac:dyDescent="0.2">
      <c r="A547">
        <v>2018</v>
      </c>
      <c r="B547">
        <f>IF(ISBLANK(E547),"",VLOOKUP(E547,Code!B:C,2,FALSE))</f>
        <v>8</v>
      </c>
      <c r="C547">
        <v>230782</v>
      </c>
      <c r="D547" t="s">
        <v>246</v>
      </c>
      <c r="E547" t="s">
        <v>2</v>
      </c>
      <c r="F547" s="6">
        <v>11215</v>
      </c>
    </row>
    <row r="548" spans="1:6" x14ac:dyDescent="0.2">
      <c r="A548">
        <v>2018</v>
      </c>
      <c r="B548">
        <f>IF(ISBLANK(E548),"",VLOOKUP(E548,Code!B:C,2,FALSE))</f>
        <v>9</v>
      </c>
      <c r="C548">
        <v>230782</v>
      </c>
      <c r="D548" t="s">
        <v>246</v>
      </c>
      <c r="E548" t="s">
        <v>3</v>
      </c>
    </row>
    <row r="549" spans="1:6" x14ac:dyDescent="0.2">
      <c r="A549">
        <v>2018</v>
      </c>
      <c r="B549">
        <f>IF(ISBLANK(E549),"",VLOOKUP(E549,Code!B:C,2,FALSE))</f>
        <v>20</v>
      </c>
      <c r="C549">
        <v>230782</v>
      </c>
      <c r="D549" t="s">
        <v>246</v>
      </c>
      <c r="E549" t="s">
        <v>8</v>
      </c>
    </row>
    <row r="550" spans="1:6" x14ac:dyDescent="0.2">
      <c r="A550">
        <v>2018</v>
      </c>
      <c r="B550">
        <f>IF(ISBLANK(E550),"",VLOOKUP(E550,Code!B:C,2,FALSE))</f>
        <v>17</v>
      </c>
      <c r="C550">
        <v>230782</v>
      </c>
      <c r="D550" t="s">
        <v>246</v>
      </c>
      <c r="E550" t="s">
        <v>5</v>
      </c>
    </row>
    <row r="551" spans="1:6" x14ac:dyDescent="0.2">
      <c r="A551">
        <v>2018</v>
      </c>
      <c r="B551">
        <f>IF(ISBLANK(E551),"",VLOOKUP(E551,Code!B:C,2,FALSE))</f>
        <v>18</v>
      </c>
      <c r="C551">
        <v>230782</v>
      </c>
      <c r="D551" t="s">
        <v>246</v>
      </c>
      <c r="E551" t="s">
        <v>6</v>
      </c>
    </row>
    <row r="552" spans="1:6" x14ac:dyDescent="0.2">
      <c r="A552">
        <v>2018</v>
      </c>
      <c r="B552">
        <f>IF(ISBLANK(E552),"",VLOOKUP(E552,Code!B:C,2,FALSE))</f>
        <v>20</v>
      </c>
      <c r="C552">
        <v>230782</v>
      </c>
      <c r="D552" t="s">
        <v>246</v>
      </c>
      <c r="E552" t="s">
        <v>8</v>
      </c>
    </row>
    <row r="553" spans="1:6" x14ac:dyDescent="0.2">
      <c r="A553">
        <v>2018</v>
      </c>
      <c r="B553">
        <f>IF(ISBLANK(E553),"",VLOOKUP(E553,Code!B:C,2,FALSE))</f>
        <v>21</v>
      </c>
      <c r="C553">
        <v>230782</v>
      </c>
      <c r="D553" t="s">
        <v>246</v>
      </c>
      <c r="E553" t="s">
        <v>36</v>
      </c>
    </row>
    <row r="554" spans="1:6" x14ac:dyDescent="0.2">
      <c r="A554">
        <v>2018</v>
      </c>
      <c r="B554">
        <f>IF(ISBLANK(E554),"",VLOOKUP(E554,Code!B:C,2,FALSE))</f>
        <v>23</v>
      </c>
      <c r="C554">
        <v>230782</v>
      </c>
      <c r="D554" t="s">
        <v>246</v>
      </c>
      <c r="E554" t="s">
        <v>10</v>
      </c>
    </row>
    <row r="555" spans="1:6" x14ac:dyDescent="0.2">
      <c r="A555">
        <v>2019</v>
      </c>
      <c r="B555">
        <f>IF(ISBLANK(E555),"",VLOOKUP(E555,Code!B:C,2,FALSE))</f>
        <v>2</v>
      </c>
      <c r="C555">
        <v>230782</v>
      </c>
      <c r="D555" t="s">
        <v>246</v>
      </c>
      <c r="E555" t="s">
        <v>1</v>
      </c>
    </row>
    <row r="556" spans="1:6" x14ac:dyDescent="0.2">
      <c r="A556">
        <v>2019</v>
      </c>
      <c r="B556">
        <f>IF(ISBLANK(E556),"",VLOOKUP(E556,Code!B:C,2,FALSE))</f>
        <v>8</v>
      </c>
      <c r="C556">
        <v>230782</v>
      </c>
      <c r="D556" t="s">
        <v>246</v>
      </c>
      <c r="E556" t="s">
        <v>2</v>
      </c>
      <c r="F556" s="6">
        <v>14023</v>
      </c>
    </row>
    <row r="557" spans="1:6" x14ac:dyDescent="0.2">
      <c r="A557">
        <v>2019</v>
      </c>
      <c r="B557">
        <f>IF(ISBLANK(E557),"",VLOOKUP(E557,Code!B:C,2,FALSE))</f>
        <v>9</v>
      </c>
      <c r="C557">
        <v>230782</v>
      </c>
      <c r="D557" t="s">
        <v>246</v>
      </c>
      <c r="E557" t="s">
        <v>3</v>
      </c>
    </row>
    <row r="558" spans="1:6" x14ac:dyDescent="0.2">
      <c r="A558">
        <v>2019</v>
      </c>
      <c r="B558">
        <f>IF(ISBLANK(E558),"",VLOOKUP(E558,Code!B:C,2,FALSE))</f>
        <v>9</v>
      </c>
      <c r="C558">
        <v>230782</v>
      </c>
      <c r="D558" t="s">
        <v>246</v>
      </c>
      <c r="E558" t="s">
        <v>3</v>
      </c>
    </row>
    <row r="559" spans="1:6" x14ac:dyDescent="0.2">
      <c r="A559">
        <v>2019</v>
      </c>
      <c r="B559">
        <f>IF(ISBLANK(E559),"",VLOOKUP(E559,Code!B:C,2,FALSE))</f>
        <v>17</v>
      </c>
      <c r="C559">
        <v>230782</v>
      </c>
      <c r="D559" t="s">
        <v>246</v>
      </c>
      <c r="E559" t="s">
        <v>5</v>
      </c>
    </row>
    <row r="560" spans="1:6" x14ac:dyDescent="0.2">
      <c r="A560">
        <v>2019</v>
      </c>
      <c r="B560">
        <f>IF(ISBLANK(E560),"",VLOOKUP(E560,Code!B:C,2,FALSE))</f>
        <v>18</v>
      </c>
      <c r="C560">
        <v>230782</v>
      </c>
      <c r="D560" t="s">
        <v>246</v>
      </c>
      <c r="E560" t="s">
        <v>6</v>
      </c>
    </row>
    <row r="561" spans="1:6" x14ac:dyDescent="0.2">
      <c r="A561">
        <v>2019</v>
      </c>
      <c r="B561">
        <f>IF(ISBLANK(E561),"",VLOOKUP(E561,Code!B:C,2,FALSE))</f>
        <v>20</v>
      </c>
      <c r="C561">
        <v>230782</v>
      </c>
      <c r="D561" t="s">
        <v>246</v>
      </c>
      <c r="E561" t="s">
        <v>8</v>
      </c>
    </row>
    <row r="562" spans="1:6" x14ac:dyDescent="0.2">
      <c r="A562">
        <v>2019</v>
      </c>
      <c r="B562">
        <f>IF(ISBLANK(E562),"",VLOOKUP(E562,Code!B:C,2,FALSE))</f>
        <v>21</v>
      </c>
      <c r="C562">
        <v>230782</v>
      </c>
      <c r="D562" t="s">
        <v>246</v>
      </c>
      <c r="E562" t="s">
        <v>36</v>
      </c>
    </row>
    <row r="563" spans="1:6" x14ac:dyDescent="0.2">
      <c r="A563">
        <v>2019</v>
      </c>
      <c r="B563">
        <f>IF(ISBLANK(E563),"",VLOOKUP(E563,Code!B:C,2,FALSE))</f>
        <v>23</v>
      </c>
      <c r="C563">
        <v>230782</v>
      </c>
      <c r="D563" t="s">
        <v>246</v>
      </c>
      <c r="E563" t="s">
        <v>10</v>
      </c>
    </row>
    <row r="564" spans="1:6" x14ac:dyDescent="0.2">
      <c r="A564">
        <v>2020</v>
      </c>
      <c r="B564">
        <f>IF(ISBLANK(E564),"",VLOOKUP(E564,Code!B:C,2,FALSE))</f>
        <v>2</v>
      </c>
      <c r="C564">
        <v>230782</v>
      </c>
      <c r="D564" t="s">
        <v>246</v>
      </c>
      <c r="E564" t="s">
        <v>1</v>
      </c>
    </row>
    <row r="565" spans="1:6" x14ac:dyDescent="0.2">
      <c r="A565">
        <v>2020</v>
      </c>
      <c r="B565">
        <f>IF(ISBLANK(E565),"",VLOOKUP(E565,Code!B:C,2,FALSE))</f>
        <v>8</v>
      </c>
      <c r="C565">
        <v>230782</v>
      </c>
      <c r="D565" t="s">
        <v>246</v>
      </c>
      <c r="E565" t="s">
        <v>2</v>
      </c>
      <c r="F565" s="6">
        <v>21160</v>
      </c>
    </row>
    <row r="566" spans="1:6" x14ac:dyDescent="0.2">
      <c r="A566">
        <v>2020</v>
      </c>
      <c r="B566">
        <f>IF(ISBLANK(E566),"",VLOOKUP(E566,Code!B:C,2,FALSE))</f>
        <v>9</v>
      </c>
      <c r="C566">
        <v>230782</v>
      </c>
      <c r="D566" t="s">
        <v>246</v>
      </c>
      <c r="E566" t="s">
        <v>3</v>
      </c>
    </row>
    <row r="567" spans="1:6" x14ac:dyDescent="0.2">
      <c r="A567">
        <v>2020</v>
      </c>
      <c r="B567">
        <f>IF(ISBLANK(E567),"",VLOOKUP(E567,Code!B:C,2,FALSE))</f>
        <v>9</v>
      </c>
      <c r="C567">
        <v>230782</v>
      </c>
      <c r="D567" t="s">
        <v>246</v>
      </c>
      <c r="E567" t="s">
        <v>3</v>
      </c>
    </row>
    <row r="568" spans="1:6" x14ac:dyDescent="0.2">
      <c r="A568">
        <v>2020</v>
      </c>
      <c r="B568">
        <f>IF(ISBLANK(E568),"",VLOOKUP(E568,Code!B:C,2,FALSE))</f>
        <v>17</v>
      </c>
      <c r="C568">
        <v>230782</v>
      </c>
      <c r="D568" t="s">
        <v>246</v>
      </c>
      <c r="E568" t="s">
        <v>5</v>
      </c>
    </row>
    <row r="569" spans="1:6" x14ac:dyDescent="0.2">
      <c r="A569">
        <v>2020</v>
      </c>
      <c r="B569">
        <f>IF(ISBLANK(E569),"",VLOOKUP(E569,Code!B:C,2,FALSE))</f>
        <v>18</v>
      </c>
      <c r="C569">
        <v>230782</v>
      </c>
      <c r="D569" t="s">
        <v>246</v>
      </c>
      <c r="E569" t="s">
        <v>6</v>
      </c>
    </row>
    <row r="570" spans="1:6" x14ac:dyDescent="0.2">
      <c r="A570">
        <v>2020</v>
      </c>
      <c r="B570">
        <f>IF(ISBLANK(E570),"",VLOOKUP(E570,Code!B:C,2,FALSE))</f>
        <v>20</v>
      </c>
      <c r="C570">
        <v>230782</v>
      </c>
      <c r="D570" t="s">
        <v>246</v>
      </c>
      <c r="E570" t="s">
        <v>8</v>
      </c>
    </row>
    <row r="571" spans="1:6" x14ac:dyDescent="0.2">
      <c r="A571">
        <v>2020</v>
      </c>
      <c r="B571">
        <f>IF(ISBLANK(E571),"",VLOOKUP(E571,Code!B:C,2,FALSE))</f>
        <v>21</v>
      </c>
      <c r="C571">
        <v>230782</v>
      </c>
      <c r="D571" t="s">
        <v>246</v>
      </c>
      <c r="E571" t="s">
        <v>36</v>
      </c>
    </row>
    <row r="572" spans="1:6" x14ac:dyDescent="0.2">
      <c r="A572">
        <v>2020</v>
      </c>
      <c r="B572">
        <f>IF(ISBLANK(E572),"",VLOOKUP(E572,Code!B:C,2,FALSE))</f>
        <v>23</v>
      </c>
      <c r="C572">
        <v>230782</v>
      </c>
      <c r="D572" t="s">
        <v>246</v>
      </c>
      <c r="E572" t="s">
        <v>10</v>
      </c>
    </row>
    <row r="573" spans="1:6" x14ac:dyDescent="0.2">
      <c r="A573">
        <v>2021</v>
      </c>
      <c r="B573">
        <f>IF(ISBLANK(E573),"",VLOOKUP(E573,Code!B:C,2,FALSE))</f>
        <v>2</v>
      </c>
      <c r="C573">
        <v>230782</v>
      </c>
      <c r="D573" t="s">
        <v>246</v>
      </c>
      <c r="E573" t="s">
        <v>1</v>
      </c>
    </row>
    <row r="574" spans="1:6" x14ac:dyDescent="0.2">
      <c r="A574">
        <v>2021</v>
      </c>
      <c r="B574">
        <f>IF(ISBLANK(E574),"",VLOOKUP(E574,Code!B:C,2,FALSE))</f>
        <v>8</v>
      </c>
      <c r="C574">
        <v>230782</v>
      </c>
      <c r="D574" t="s">
        <v>246</v>
      </c>
      <c r="E574" t="s">
        <v>2</v>
      </c>
      <c r="F574" s="6">
        <v>9626</v>
      </c>
    </row>
    <row r="575" spans="1:6" x14ac:dyDescent="0.2">
      <c r="A575">
        <v>2021</v>
      </c>
      <c r="B575">
        <f>IF(ISBLANK(E575),"",VLOOKUP(E575,Code!B:C,2,FALSE))</f>
        <v>9</v>
      </c>
      <c r="C575">
        <v>230782</v>
      </c>
      <c r="D575" t="s">
        <v>246</v>
      </c>
      <c r="E575" t="s">
        <v>3</v>
      </c>
    </row>
    <row r="576" spans="1:6" x14ac:dyDescent="0.2">
      <c r="A576">
        <v>2021</v>
      </c>
      <c r="B576">
        <f>IF(ISBLANK(E576),"",VLOOKUP(E576,Code!B:C,2,FALSE))</f>
        <v>9</v>
      </c>
      <c r="C576">
        <v>230782</v>
      </c>
      <c r="D576" t="s">
        <v>246</v>
      </c>
      <c r="E576" t="s">
        <v>3</v>
      </c>
    </row>
    <row r="577" spans="1:6" x14ac:dyDescent="0.2">
      <c r="A577">
        <v>2021</v>
      </c>
      <c r="B577">
        <f>IF(ISBLANK(E577),"",VLOOKUP(E577,Code!B:C,2,FALSE))</f>
        <v>17</v>
      </c>
      <c r="C577">
        <v>230782</v>
      </c>
      <c r="D577" t="s">
        <v>246</v>
      </c>
      <c r="E577" t="s">
        <v>5</v>
      </c>
    </row>
    <row r="578" spans="1:6" x14ac:dyDescent="0.2">
      <c r="A578">
        <v>2021</v>
      </c>
      <c r="B578">
        <f>IF(ISBLANK(E578),"",VLOOKUP(E578,Code!B:C,2,FALSE))</f>
        <v>18</v>
      </c>
      <c r="C578">
        <v>230782</v>
      </c>
      <c r="D578" t="s">
        <v>246</v>
      </c>
      <c r="E578" t="s">
        <v>6</v>
      </c>
    </row>
    <row r="579" spans="1:6" x14ac:dyDescent="0.2">
      <c r="A579">
        <v>2021</v>
      </c>
      <c r="B579">
        <f>IF(ISBLANK(E579),"",VLOOKUP(E579,Code!B:C,2,FALSE))</f>
        <v>20</v>
      </c>
      <c r="C579">
        <v>230782</v>
      </c>
      <c r="D579" t="s">
        <v>246</v>
      </c>
      <c r="E579" t="s">
        <v>8</v>
      </c>
    </row>
    <row r="580" spans="1:6" x14ac:dyDescent="0.2">
      <c r="A580">
        <v>2021</v>
      </c>
      <c r="B580">
        <f>IF(ISBLANK(E580),"",VLOOKUP(E580,Code!B:C,2,FALSE))</f>
        <v>21</v>
      </c>
      <c r="C580">
        <v>230782</v>
      </c>
      <c r="D580" t="s">
        <v>246</v>
      </c>
      <c r="E580" t="s">
        <v>36</v>
      </c>
    </row>
    <row r="581" spans="1:6" x14ac:dyDescent="0.2">
      <c r="A581">
        <v>2021</v>
      </c>
      <c r="B581">
        <f>IF(ISBLANK(E581),"",VLOOKUP(E581,Code!B:C,2,FALSE))</f>
        <v>23</v>
      </c>
      <c r="C581">
        <v>230782</v>
      </c>
      <c r="D581" t="s">
        <v>246</v>
      </c>
      <c r="E581" t="s">
        <v>10</v>
      </c>
    </row>
    <row r="582" spans="1:6" x14ac:dyDescent="0.2">
      <c r="A582">
        <v>2022</v>
      </c>
      <c r="B582">
        <f>IF(ISBLANK(E582),"",VLOOKUP(E582,Code!B:C,2,FALSE))</f>
        <v>2</v>
      </c>
      <c r="C582">
        <v>230782</v>
      </c>
      <c r="D582" t="s">
        <v>246</v>
      </c>
      <c r="E582" t="s">
        <v>1</v>
      </c>
    </row>
    <row r="583" spans="1:6" x14ac:dyDescent="0.2">
      <c r="A583">
        <v>2022</v>
      </c>
      <c r="B583">
        <f>IF(ISBLANK(E583),"",VLOOKUP(E583,Code!B:C,2,FALSE))</f>
        <v>8</v>
      </c>
      <c r="C583">
        <v>230782</v>
      </c>
      <c r="D583" t="s">
        <v>246</v>
      </c>
      <c r="E583" t="s">
        <v>2</v>
      </c>
      <c r="F583" s="6">
        <v>13481</v>
      </c>
    </row>
    <row r="584" spans="1:6" x14ac:dyDescent="0.2">
      <c r="A584">
        <v>2022</v>
      </c>
      <c r="B584">
        <f>IF(ISBLANK(E584),"",VLOOKUP(E584,Code!B:C,2,FALSE))</f>
        <v>9</v>
      </c>
      <c r="C584">
        <v>230782</v>
      </c>
      <c r="D584" t="s">
        <v>246</v>
      </c>
      <c r="E584" t="s">
        <v>3</v>
      </c>
    </row>
    <row r="585" spans="1:6" x14ac:dyDescent="0.2">
      <c r="A585">
        <v>2022</v>
      </c>
      <c r="B585">
        <f>IF(ISBLANK(E585),"",VLOOKUP(E585,Code!B:C,2,FALSE))</f>
        <v>9</v>
      </c>
      <c r="C585">
        <v>230782</v>
      </c>
      <c r="D585" t="s">
        <v>246</v>
      </c>
      <c r="E585" t="s">
        <v>3</v>
      </c>
    </row>
    <row r="586" spans="1:6" x14ac:dyDescent="0.2">
      <c r="A586">
        <v>2022</v>
      </c>
      <c r="B586">
        <f>IF(ISBLANK(E586),"",VLOOKUP(E586,Code!B:C,2,FALSE))</f>
        <v>17</v>
      </c>
      <c r="C586">
        <v>230782</v>
      </c>
      <c r="D586" t="s">
        <v>246</v>
      </c>
      <c r="E586" t="s">
        <v>5</v>
      </c>
    </row>
    <row r="587" spans="1:6" x14ac:dyDescent="0.2">
      <c r="A587">
        <v>2022</v>
      </c>
      <c r="B587">
        <f>IF(ISBLANK(E587),"",VLOOKUP(E587,Code!B:C,2,FALSE))</f>
        <v>18</v>
      </c>
      <c r="C587">
        <v>230782</v>
      </c>
      <c r="D587" t="s">
        <v>246</v>
      </c>
      <c r="E587" t="s">
        <v>6</v>
      </c>
    </row>
    <row r="588" spans="1:6" x14ac:dyDescent="0.2">
      <c r="A588">
        <v>2022</v>
      </c>
      <c r="B588">
        <f>IF(ISBLANK(E588),"",VLOOKUP(E588,Code!B:C,2,FALSE))</f>
        <v>20</v>
      </c>
      <c r="C588">
        <v>230782</v>
      </c>
      <c r="D588" t="s">
        <v>246</v>
      </c>
      <c r="E588" t="s">
        <v>8</v>
      </c>
    </row>
    <row r="589" spans="1:6" x14ac:dyDescent="0.2">
      <c r="A589">
        <v>2022</v>
      </c>
      <c r="B589">
        <f>IF(ISBLANK(E589),"",VLOOKUP(E589,Code!B:C,2,FALSE))</f>
        <v>21</v>
      </c>
      <c r="C589">
        <v>230782</v>
      </c>
      <c r="D589" t="s">
        <v>246</v>
      </c>
      <c r="E589" t="s">
        <v>36</v>
      </c>
    </row>
    <row r="590" spans="1:6" x14ac:dyDescent="0.2">
      <c r="A590">
        <v>2022</v>
      </c>
      <c r="B590">
        <f>IF(ISBLANK(E590),"",VLOOKUP(E590,Code!B:C,2,FALSE))</f>
        <v>23</v>
      </c>
      <c r="C590">
        <v>230782</v>
      </c>
      <c r="D590" t="s">
        <v>246</v>
      </c>
      <c r="E590" t="s">
        <v>10</v>
      </c>
    </row>
    <row r="591" spans="1:6" x14ac:dyDescent="0.2">
      <c r="A591">
        <v>2023</v>
      </c>
      <c r="B591">
        <f>IF(ISBLANK(E591),"",VLOOKUP(E591,Code!B:C,2,FALSE))</f>
        <v>2</v>
      </c>
      <c r="C591">
        <v>230782</v>
      </c>
      <c r="D591" t="s">
        <v>246</v>
      </c>
      <c r="E591" t="s">
        <v>1</v>
      </c>
    </row>
    <row r="592" spans="1:6" x14ac:dyDescent="0.2">
      <c r="A592">
        <v>2023</v>
      </c>
      <c r="B592">
        <f>IF(ISBLANK(E592),"",VLOOKUP(E592,Code!B:C,2,FALSE))</f>
        <v>8</v>
      </c>
      <c r="C592">
        <v>230782</v>
      </c>
      <c r="D592" t="s">
        <v>246</v>
      </c>
      <c r="E592" t="s">
        <v>2</v>
      </c>
      <c r="F592" s="6">
        <v>19175</v>
      </c>
    </row>
    <row r="593" spans="1:5" x14ac:dyDescent="0.2">
      <c r="A593">
        <v>2023</v>
      </c>
      <c r="B593">
        <f>IF(ISBLANK(E593),"",VLOOKUP(E593,Code!B:C,2,FALSE))</f>
        <v>9</v>
      </c>
      <c r="C593">
        <v>230782</v>
      </c>
      <c r="D593" t="s">
        <v>246</v>
      </c>
      <c r="E593" t="s">
        <v>3</v>
      </c>
    </row>
    <row r="594" spans="1:5" x14ac:dyDescent="0.2">
      <c r="A594">
        <v>2023</v>
      </c>
      <c r="B594">
        <f>IF(ISBLANK(E594),"",VLOOKUP(E594,Code!B:C,2,FALSE))</f>
        <v>9</v>
      </c>
      <c r="C594">
        <v>230782</v>
      </c>
      <c r="D594" t="s">
        <v>246</v>
      </c>
      <c r="E594" t="s">
        <v>3</v>
      </c>
    </row>
    <row r="595" spans="1:5" x14ac:dyDescent="0.2">
      <c r="A595">
        <v>2023</v>
      </c>
      <c r="B595">
        <f>IF(ISBLANK(E595),"",VLOOKUP(E595,Code!B:C,2,FALSE))</f>
        <v>17</v>
      </c>
      <c r="C595">
        <v>230782</v>
      </c>
      <c r="D595" t="s">
        <v>246</v>
      </c>
      <c r="E595" t="s">
        <v>5</v>
      </c>
    </row>
    <row r="596" spans="1:5" x14ac:dyDescent="0.2">
      <c r="A596">
        <v>2023</v>
      </c>
      <c r="B596">
        <f>IF(ISBLANK(E596),"",VLOOKUP(E596,Code!B:C,2,FALSE))</f>
        <v>18</v>
      </c>
      <c r="C596">
        <v>230782</v>
      </c>
      <c r="D596" t="s">
        <v>246</v>
      </c>
      <c r="E596" t="s">
        <v>6</v>
      </c>
    </row>
    <row r="597" spans="1:5" x14ac:dyDescent="0.2">
      <c r="A597">
        <v>2023</v>
      </c>
      <c r="B597">
        <f>IF(ISBLANK(E597),"",VLOOKUP(E597,Code!B:C,2,FALSE))</f>
        <v>20</v>
      </c>
      <c r="C597">
        <v>230782</v>
      </c>
      <c r="D597" t="s">
        <v>246</v>
      </c>
      <c r="E597" t="s">
        <v>8</v>
      </c>
    </row>
    <row r="598" spans="1:5" x14ac:dyDescent="0.2">
      <c r="A598">
        <v>2023</v>
      </c>
      <c r="B598">
        <f>IF(ISBLANK(E598),"",VLOOKUP(E598,Code!B:C,2,FALSE))</f>
        <v>21</v>
      </c>
      <c r="C598">
        <v>230782</v>
      </c>
      <c r="D598" t="s">
        <v>246</v>
      </c>
      <c r="E598" t="s">
        <v>9</v>
      </c>
    </row>
    <row r="599" spans="1:5" x14ac:dyDescent="0.2">
      <c r="A599">
        <v>2023</v>
      </c>
      <c r="B599">
        <f>IF(ISBLANK(E599),"",VLOOKUP(E599,Code!B:C,2,FALSE))</f>
        <v>23</v>
      </c>
      <c r="C599">
        <v>230782</v>
      </c>
      <c r="D599" t="s">
        <v>246</v>
      </c>
      <c r="E599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E6FD-3010-4DB5-BDD6-4ABE7D36374A}">
  <sheetPr>
    <tabColor theme="5"/>
  </sheetPr>
  <dimension ref="A1:H599"/>
  <sheetViews>
    <sheetView workbookViewId="0"/>
  </sheetViews>
  <sheetFormatPr baseColWidth="10" defaultColWidth="8.83203125" defaultRowHeight="15" x14ac:dyDescent="0.2"/>
  <cols>
    <col min="5" max="5" width="23.5" customWidth="1"/>
  </cols>
  <sheetData>
    <row r="1" spans="1:8" x14ac:dyDescent="0.2">
      <c r="A1" t="s">
        <v>16</v>
      </c>
      <c r="B1" t="s">
        <v>20</v>
      </c>
      <c r="C1" t="s">
        <v>15</v>
      </c>
      <c r="D1" t="s">
        <v>17</v>
      </c>
      <c r="E1" t="s">
        <v>19</v>
      </c>
      <c r="F1" t="s">
        <v>267</v>
      </c>
      <c r="G1" t="s">
        <v>268</v>
      </c>
      <c r="H1" t="s">
        <v>271</v>
      </c>
    </row>
    <row r="2" spans="1:8" x14ac:dyDescent="0.2">
      <c r="A2">
        <v>2017</v>
      </c>
      <c r="B2">
        <f>IF(ISBLANK(E2),"",VLOOKUP(E2,Code!B:C,2,FALSE))</f>
        <v>1</v>
      </c>
      <c r="C2">
        <v>104179</v>
      </c>
      <c r="D2" t="s">
        <v>45</v>
      </c>
      <c r="E2" t="s">
        <v>0</v>
      </c>
    </row>
    <row r="3" spans="1:8" x14ac:dyDescent="0.2">
      <c r="A3">
        <v>2017</v>
      </c>
      <c r="B3">
        <f>IF(ISBLANK(E3),"",VLOOKUP(E3,Code!B:C,2,FALSE))</f>
        <v>2</v>
      </c>
      <c r="C3">
        <v>104179</v>
      </c>
      <c r="D3" t="s">
        <v>45</v>
      </c>
      <c r="E3" t="s">
        <v>1</v>
      </c>
      <c r="F3" s="6">
        <v>4950066</v>
      </c>
    </row>
    <row r="4" spans="1:8" x14ac:dyDescent="0.2">
      <c r="A4">
        <v>2017</v>
      </c>
      <c r="B4">
        <f>IF(ISBLANK(E4),"",VLOOKUP(E4,Code!B:C,2,FALSE))</f>
        <v>3</v>
      </c>
      <c r="C4">
        <v>104179</v>
      </c>
      <c r="D4" t="s">
        <v>45</v>
      </c>
      <c r="E4" t="s">
        <v>21</v>
      </c>
    </row>
    <row r="5" spans="1:8" x14ac:dyDescent="0.2">
      <c r="A5">
        <v>2017</v>
      </c>
      <c r="B5">
        <v>8</v>
      </c>
      <c r="C5">
        <v>104179</v>
      </c>
      <c r="D5" t="s">
        <v>45</v>
      </c>
      <c r="E5" t="s">
        <v>296</v>
      </c>
      <c r="F5" s="6">
        <v>4950066</v>
      </c>
    </row>
    <row r="6" spans="1:8" x14ac:dyDescent="0.2">
      <c r="A6">
        <v>2017</v>
      </c>
      <c r="B6">
        <f>IF(ISBLANK(E6),"",VLOOKUP(E6,Code!B:C,2,FALSE))</f>
        <v>9</v>
      </c>
      <c r="C6">
        <v>104179</v>
      </c>
      <c r="D6" t="s">
        <v>45</v>
      </c>
      <c r="E6" t="s">
        <v>3</v>
      </c>
    </row>
    <row r="7" spans="1:8" x14ac:dyDescent="0.2">
      <c r="A7">
        <v>2017</v>
      </c>
      <c r="B7">
        <f>IF(ISBLANK(E7),"",VLOOKUP(E7,Code!B:C,2,FALSE))</f>
        <v>10</v>
      </c>
      <c r="C7">
        <v>104179</v>
      </c>
      <c r="D7" t="s">
        <v>45</v>
      </c>
      <c r="E7" t="s">
        <v>4</v>
      </c>
    </row>
    <row r="8" spans="1:8" x14ac:dyDescent="0.2">
      <c r="A8">
        <v>2017</v>
      </c>
      <c r="B8">
        <f>IF(ISBLANK(E8),"",VLOOKUP(E8,Code!B:C,2,FALSE))</f>
        <v>17</v>
      </c>
      <c r="C8">
        <v>104179</v>
      </c>
      <c r="D8" t="s">
        <v>45</v>
      </c>
      <c r="E8" t="s">
        <v>5</v>
      </c>
    </row>
    <row r="9" spans="1:8" x14ac:dyDescent="0.2">
      <c r="A9">
        <v>2017</v>
      </c>
      <c r="B9">
        <f>IF(ISBLANK(E9),"",VLOOKUP(E9,Code!B:C,2,FALSE))</f>
        <v>18</v>
      </c>
      <c r="C9">
        <v>104179</v>
      </c>
      <c r="D9" t="s">
        <v>45</v>
      </c>
      <c r="E9" t="s">
        <v>6</v>
      </c>
    </row>
    <row r="10" spans="1:8" x14ac:dyDescent="0.2">
      <c r="A10">
        <v>2017</v>
      </c>
      <c r="B10">
        <f>IF(ISBLANK(E10),"",VLOOKUP(E10,Code!B:C,2,FALSE))</f>
        <v>19</v>
      </c>
      <c r="C10">
        <v>104179</v>
      </c>
      <c r="D10" t="s">
        <v>45</v>
      </c>
      <c r="E10" t="s">
        <v>7</v>
      </c>
    </row>
    <row r="11" spans="1:8" x14ac:dyDescent="0.2">
      <c r="A11">
        <v>2017</v>
      </c>
      <c r="B11">
        <f>IF(ISBLANK(E11),"",VLOOKUP(E11,Code!B:C,2,FALSE))</f>
        <v>20</v>
      </c>
      <c r="C11">
        <v>104179</v>
      </c>
      <c r="D11" t="s">
        <v>45</v>
      </c>
      <c r="E11" t="s">
        <v>8</v>
      </c>
    </row>
    <row r="12" spans="1:8" x14ac:dyDescent="0.2">
      <c r="A12">
        <v>2017</v>
      </c>
      <c r="B12">
        <f>IF(ISBLANK(E12),"",VLOOKUP(E12,Code!B:C,2,FALSE))</f>
        <v>21</v>
      </c>
      <c r="C12">
        <v>104179</v>
      </c>
      <c r="D12" t="s">
        <v>45</v>
      </c>
      <c r="E12" t="s">
        <v>36</v>
      </c>
    </row>
    <row r="13" spans="1:8" x14ac:dyDescent="0.2">
      <c r="A13">
        <v>2017</v>
      </c>
      <c r="B13">
        <f>IF(ISBLANK(E13),"",VLOOKUP(E13,Code!B:C,2,FALSE))</f>
        <v>23</v>
      </c>
      <c r="C13">
        <v>104179</v>
      </c>
      <c r="D13" t="s">
        <v>45</v>
      </c>
      <c r="E13" t="s">
        <v>10</v>
      </c>
    </row>
    <row r="14" spans="1:8" x14ac:dyDescent="0.2">
      <c r="A14">
        <v>2018</v>
      </c>
      <c r="B14">
        <f>IF(ISBLANK(E14),"",VLOOKUP(E14,Code!B:C,2,FALSE))</f>
        <v>1</v>
      </c>
      <c r="C14">
        <v>104179</v>
      </c>
      <c r="D14" t="s">
        <v>45</v>
      </c>
      <c r="E14" t="s">
        <v>0</v>
      </c>
    </row>
    <row r="15" spans="1:8" x14ac:dyDescent="0.2">
      <c r="A15">
        <v>2018</v>
      </c>
      <c r="B15">
        <f>IF(ISBLANK(E15),"",VLOOKUP(E15,Code!B:C,2,FALSE))</f>
        <v>2</v>
      </c>
      <c r="C15">
        <v>104179</v>
      </c>
      <c r="D15" t="s">
        <v>45</v>
      </c>
      <c r="E15" t="s">
        <v>1</v>
      </c>
      <c r="F15" s="6">
        <v>4432881</v>
      </c>
    </row>
    <row r="16" spans="1:8" x14ac:dyDescent="0.2">
      <c r="A16">
        <v>2018</v>
      </c>
      <c r="B16">
        <f>IF(ISBLANK(E16),"",VLOOKUP(E16,Code!B:C,2,FALSE))</f>
        <v>8</v>
      </c>
      <c r="C16">
        <v>104179</v>
      </c>
      <c r="D16" t="s">
        <v>45</v>
      </c>
      <c r="E16" t="s">
        <v>2</v>
      </c>
      <c r="F16" s="6">
        <v>4432880</v>
      </c>
    </row>
    <row r="17" spans="1:6" x14ac:dyDescent="0.2">
      <c r="A17">
        <v>2018</v>
      </c>
      <c r="B17">
        <f>IF(ISBLANK(E17),"",VLOOKUP(E17,Code!B:C,2,FALSE))</f>
        <v>21</v>
      </c>
      <c r="C17">
        <v>104179</v>
      </c>
      <c r="D17" t="s">
        <v>45</v>
      </c>
      <c r="E17" t="s">
        <v>36</v>
      </c>
    </row>
    <row r="18" spans="1:6" x14ac:dyDescent="0.2">
      <c r="A18">
        <v>2018</v>
      </c>
      <c r="B18">
        <f>IF(ISBLANK(E18),"",VLOOKUP(E18,Code!B:C,2,FALSE))</f>
        <v>3</v>
      </c>
      <c r="C18">
        <v>104179</v>
      </c>
      <c r="D18" t="s">
        <v>45</v>
      </c>
      <c r="E18" t="s">
        <v>21</v>
      </c>
    </row>
    <row r="19" spans="1:6" x14ac:dyDescent="0.2">
      <c r="A19">
        <v>2018</v>
      </c>
      <c r="B19">
        <f>IF(ISBLANK(E19),"",VLOOKUP(E19,Code!B:C,2,FALSE))</f>
        <v>9</v>
      </c>
      <c r="C19">
        <v>104179</v>
      </c>
      <c r="D19" t="s">
        <v>45</v>
      </c>
      <c r="E19" t="s">
        <v>3</v>
      </c>
    </row>
    <row r="20" spans="1:6" x14ac:dyDescent="0.2">
      <c r="A20">
        <v>2018</v>
      </c>
      <c r="B20">
        <f>IF(ISBLANK(E20),"",VLOOKUP(E20,Code!B:C,2,FALSE))</f>
        <v>10</v>
      </c>
      <c r="C20">
        <v>104179</v>
      </c>
      <c r="D20" t="s">
        <v>45</v>
      </c>
      <c r="E20" t="s">
        <v>4</v>
      </c>
    </row>
    <row r="21" spans="1:6" x14ac:dyDescent="0.2">
      <c r="A21">
        <v>2018</v>
      </c>
      <c r="B21">
        <f>IF(ISBLANK(E21),"",VLOOKUP(E21,Code!B:C,2,FALSE))</f>
        <v>17</v>
      </c>
      <c r="C21">
        <v>104179</v>
      </c>
      <c r="D21" t="s">
        <v>45</v>
      </c>
      <c r="E21" t="s">
        <v>5</v>
      </c>
    </row>
    <row r="22" spans="1:6" x14ac:dyDescent="0.2">
      <c r="A22">
        <v>2018</v>
      </c>
      <c r="B22">
        <f>IF(ISBLANK(E22),"",VLOOKUP(E22,Code!B:C,2,FALSE))</f>
        <v>18</v>
      </c>
      <c r="C22">
        <v>104179</v>
      </c>
      <c r="D22" t="s">
        <v>45</v>
      </c>
      <c r="E22" t="s">
        <v>6</v>
      </c>
    </row>
    <row r="23" spans="1:6" x14ac:dyDescent="0.2">
      <c r="A23">
        <v>2018</v>
      </c>
      <c r="B23">
        <f>IF(ISBLANK(E23),"",VLOOKUP(E23,Code!B:C,2,FALSE))</f>
        <v>19</v>
      </c>
      <c r="C23">
        <v>104179</v>
      </c>
      <c r="D23" t="s">
        <v>45</v>
      </c>
      <c r="E23" t="s">
        <v>7</v>
      </c>
    </row>
    <row r="24" spans="1:6" x14ac:dyDescent="0.2">
      <c r="A24">
        <v>2018</v>
      </c>
      <c r="B24">
        <f>IF(ISBLANK(E24),"",VLOOKUP(E24,Code!B:C,2,FALSE))</f>
        <v>20</v>
      </c>
      <c r="C24">
        <v>104179</v>
      </c>
      <c r="D24" t="s">
        <v>45</v>
      </c>
      <c r="E24" t="s">
        <v>8</v>
      </c>
    </row>
    <row r="25" spans="1:6" x14ac:dyDescent="0.2">
      <c r="A25">
        <v>2018</v>
      </c>
      <c r="B25">
        <f>IF(ISBLANK(E25),"",VLOOKUP(E25,Code!B:C,2,FALSE))</f>
        <v>23</v>
      </c>
      <c r="C25">
        <v>104179</v>
      </c>
      <c r="D25" t="s">
        <v>45</v>
      </c>
      <c r="E25" t="s">
        <v>10</v>
      </c>
    </row>
    <row r="26" spans="1:6" x14ac:dyDescent="0.2">
      <c r="A26">
        <v>2019</v>
      </c>
      <c r="B26">
        <f>IF(ISBLANK(E26),"",VLOOKUP(E26,Code!B:C,2,FALSE))</f>
        <v>1</v>
      </c>
      <c r="C26">
        <v>104179</v>
      </c>
      <c r="D26" t="s">
        <v>45</v>
      </c>
      <c r="E26" t="s">
        <v>0</v>
      </c>
    </row>
    <row r="27" spans="1:6" x14ac:dyDescent="0.2">
      <c r="A27">
        <v>2019</v>
      </c>
      <c r="B27">
        <f>IF(ISBLANK(E27),"",VLOOKUP(E27,Code!B:C,2,FALSE))</f>
        <v>2</v>
      </c>
      <c r="C27">
        <v>104179</v>
      </c>
      <c r="D27" t="s">
        <v>45</v>
      </c>
      <c r="E27" t="s">
        <v>1</v>
      </c>
      <c r="F27" s="6">
        <v>4381518</v>
      </c>
    </row>
    <row r="28" spans="1:6" x14ac:dyDescent="0.2">
      <c r="A28">
        <v>2019</v>
      </c>
      <c r="B28">
        <f>IF(ISBLANK(E28),"",VLOOKUP(E28,Code!B:C,2,FALSE))</f>
        <v>8</v>
      </c>
      <c r="C28">
        <v>104179</v>
      </c>
      <c r="D28" t="s">
        <v>45</v>
      </c>
      <c r="E28" t="s">
        <v>2</v>
      </c>
      <c r="F28" s="6">
        <v>4381518</v>
      </c>
    </row>
    <row r="29" spans="1:6" x14ac:dyDescent="0.2">
      <c r="A29">
        <v>2019</v>
      </c>
      <c r="B29">
        <f>IF(ISBLANK(E29),"",VLOOKUP(E29,Code!B:C,2,FALSE))</f>
        <v>9</v>
      </c>
      <c r="C29">
        <v>104179</v>
      </c>
      <c r="D29" t="s">
        <v>45</v>
      </c>
      <c r="E29" t="s">
        <v>3</v>
      </c>
    </row>
    <row r="30" spans="1:6" x14ac:dyDescent="0.2">
      <c r="A30">
        <v>2019</v>
      </c>
      <c r="B30">
        <f>IF(ISBLANK(E30),"",VLOOKUP(E30,Code!B:C,2,FALSE))</f>
        <v>20</v>
      </c>
      <c r="C30">
        <v>104179</v>
      </c>
      <c r="D30" t="s">
        <v>45</v>
      </c>
      <c r="E30" t="s">
        <v>8</v>
      </c>
    </row>
    <row r="31" spans="1:6" x14ac:dyDescent="0.2">
      <c r="A31">
        <v>2019</v>
      </c>
      <c r="B31">
        <f>IF(ISBLANK(E31),"",VLOOKUP(E31,Code!B:C,2,FALSE))</f>
        <v>21</v>
      </c>
      <c r="C31">
        <v>104179</v>
      </c>
      <c r="D31" t="s">
        <v>45</v>
      </c>
      <c r="E31" t="s">
        <v>36</v>
      </c>
    </row>
    <row r="32" spans="1:6" x14ac:dyDescent="0.2">
      <c r="A32">
        <v>2019</v>
      </c>
      <c r="B32">
        <f>IF(ISBLANK(E32),"",VLOOKUP(E32,Code!B:C,2,FALSE))</f>
        <v>3</v>
      </c>
      <c r="C32">
        <v>104179</v>
      </c>
      <c r="D32" t="s">
        <v>45</v>
      </c>
      <c r="E32" t="s">
        <v>21</v>
      </c>
    </row>
    <row r="33" spans="1:6" x14ac:dyDescent="0.2">
      <c r="A33">
        <v>2019</v>
      </c>
      <c r="B33">
        <f>IF(ISBLANK(E33),"",VLOOKUP(E33,Code!B:C,2,FALSE))</f>
        <v>10</v>
      </c>
      <c r="C33">
        <v>104179</v>
      </c>
      <c r="D33" t="s">
        <v>45</v>
      </c>
      <c r="E33" t="s">
        <v>4</v>
      </c>
    </row>
    <row r="34" spans="1:6" x14ac:dyDescent="0.2">
      <c r="A34">
        <v>2019</v>
      </c>
      <c r="B34">
        <f>IF(ISBLANK(E34),"",VLOOKUP(E34,Code!B:C,2,FALSE))</f>
        <v>17</v>
      </c>
      <c r="C34">
        <v>104179</v>
      </c>
      <c r="D34" t="s">
        <v>45</v>
      </c>
      <c r="E34" t="s">
        <v>5</v>
      </c>
    </row>
    <row r="35" spans="1:6" x14ac:dyDescent="0.2">
      <c r="A35">
        <v>2019</v>
      </c>
      <c r="B35">
        <f>IF(ISBLANK(E35),"",VLOOKUP(E35,Code!B:C,2,FALSE))</f>
        <v>18</v>
      </c>
      <c r="C35">
        <v>104179</v>
      </c>
      <c r="D35" t="s">
        <v>45</v>
      </c>
      <c r="E35" t="s">
        <v>6</v>
      </c>
    </row>
    <row r="36" spans="1:6" x14ac:dyDescent="0.2">
      <c r="A36">
        <v>2019</v>
      </c>
      <c r="B36">
        <f>IF(ISBLANK(E36),"",VLOOKUP(E36,Code!B:C,2,FALSE))</f>
        <v>19</v>
      </c>
      <c r="C36">
        <v>104179</v>
      </c>
      <c r="D36" t="s">
        <v>45</v>
      </c>
      <c r="E36" t="s">
        <v>7</v>
      </c>
    </row>
    <row r="37" spans="1:6" x14ac:dyDescent="0.2">
      <c r="A37">
        <v>2019</v>
      </c>
      <c r="B37">
        <f>IF(ISBLANK(E37),"",VLOOKUP(E37,Code!B:C,2,FALSE))</f>
        <v>23</v>
      </c>
      <c r="C37">
        <v>104179</v>
      </c>
      <c r="D37" t="s">
        <v>45</v>
      </c>
      <c r="E37" t="s">
        <v>10</v>
      </c>
    </row>
    <row r="38" spans="1:6" x14ac:dyDescent="0.2">
      <c r="A38">
        <v>2020</v>
      </c>
      <c r="B38">
        <f>IF(ISBLANK(E38),"",VLOOKUP(E38,Code!B:C,2,FALSE))</f>
        <v>1</v>
      </c>
      <c r="C38">
        <v>104179</v>
      </c>
      <c r="D38" t="s">
        <v>45</v>
      </c>
      <c r="E38" t="s">
        <v>0</v>
      </c>
    </row>
    <row r="39" spans="1:6" x14ac:dyDescent="0.2">
      <c r="A39">
        <v>2020</v>
      </c>
      <c r="B39">
        <f>IF(ISBLANK(E39),"",VLOOKUP(E39,Code!B:C,2,FALSE))</f>
        <v>2</v>
      </c>
      <c r="C39">
        <v>104179</v>
      </c>
      <c r="D39" t="s">
        <v>45</v>
      </c>
      <c r="E39" t="s">
        <v>1</v>
      </c>
      <c r="F39" s="6">
        <v>4185479</v>
      </c>
    </row>
    <row r="40" spans="1:6" x14ac:dyDescent="0.2">
      <c r="A40">
        <v>2020</v>
      </c>
      <c r="B40">
        <f>IF(ISBLANK(E40),"",VLOOKUP(E40,Code!B:C,2,FALSE))</f>
        <v>8</v>
      </c>
      <c r="C40">
        <v>104179</v>
      </c>
      <c r="D40" t="s">
        <v>45</v>
      </c>
      <c r="E40" t="s">
        <v>2</v>
      </c>
      <c r="F40" s="6">
        <v>4185478</v>
      </c>
    </row>
    <row r="41" spans="1:6" x14ac:dyDescent="0.2">
      <c r="A41">
        <v>2020</v>
      </c>
      <c r="B41">
        <f>IF(ISBLANK(E41),"",VLOOKUP(E41,Code!B:C,2,FALSE))</f>
        <v>3</v>
      </c>
      <c r="C41">
        <v>104179</v>
      </c>
      <c r="D41" t="s">
        <v>45</v>
      </c>
      <c r="E41" t="s">
        <v>21</v>
      </c>
    </row>
    <row r="42" spans="1:6" x14ac:dyDescent="0.2">
      <c r="A42">
        <v>2020</v>
      </c>
      <c r="B42">
        <f>IF(ISBLANK(E42),"",VLOOKUP(E42,Code!B:C,2,FALSE))</f>
        <v>9</v>
      </c>
      <c r="C42">
        <v>104179</v>
      </c>
      <c r="D42" t="s">
        <v>45</v>
      </c>
      <c r="E42" t="s">
        <v>3</v>
      </c>
    </row>
    <row r="43" spans="1:6" x14ac:dyDescent="0.2">
      <c r="A43">
        <v>2020</v>
      </c>
      <c r="B43">
        <f>IF(ISBLANK(E43),"",VLOOKUP(E43,Code!B:C,2,FALSE))</f>
        <v>10</v>
      </c>
      <c r="C43">
        <v>104179</v>
      </c>
      <c r="D43" t="s">
        <v>45</v>
      </c>
      <c r="E43" t="s">
        <v>4</v>
      </c>
    </row>
    <row r="44" spans="1:6" x14ac:dyDescent="0.2">
      <c r="A44">
        <v>2020</v>
      </c>
      <c r="B44">
        <f>IF(ISBLANK(E44),"",VLOOKUP(E44,Code!B:C,2,FALSE))</f>
        <v>17</v>
      </c>
      <c r="C44">
        <v>104179</v>
      </c>
      <c r="D44" t="s">
        <v>45</v>
      </c>
      <c r="E44" t="s">
        <v>5</v>
      </c>
    </row>
    <row r="45" spans="1:6" x14ac:dyDescent="0.2">
      <c r="A45">
        <v>2020</v>
      </c>
      <c r="B45">
        <f>IF(ISBLANK(E45),"",VLOOKUP(E45,Code!B:C,2,FALSE))</f>
        <v>18</v>
      </c>
      <c r="C45">
        <v>104179</v>
      </c>
      <c r="D45" t="s">
        <v>45</v>
      </c>
      <c r="E45" t="s">
        <v>6</v>
      </c>
    </row>
    <row r="46" spans="1:6" x14ac:dyDescent="0.2">
      <c r="A46">
        <v>2020</v>
      </c>
      <c r="B46">
        <f>IF(ISBLANK(E46),"",VLOOKUP(E46,Code!B:C,2,FALSE))</f>
        <v>19</v>
      </c>
      <c r="C46">
        <v>104179</v>
      </c>
      <c r="D46" t="s">
        <v>45</v>
      </c>
      <c r="E46" t="s">
        <v>7</v>
      </c>
    </row>
    <row r="47" spans="1:6" x14ac:dyDescent="0.2">
      <c r="A47">
        <v>2020</v>
      </c>
      <c r="B47">
        <f>IF(ISBLANK(E47),"",VLOOKUP(E47,Code!B:C,2,FALSE))</f>
        <v>20</v>
      </c>
      <c r="C47">
        <v>104179</v>
      </c>
      <c r="D47" t="s">
        <v>45</v>
      </c>
      <c r="E47" t="s">
        <v>8</v>
      </c>
    </row>
    <row r="48" spans="1:6" x14ac:dyDescent="0.2">
      <c r="A48">
        <v>2020</v>
      </c>
      <c r="B48">
        <f>IF(ISBLANK(E48),"",VLOOKUP(E48,Code!B:C,2,FALSE))</f>
        <v>21</v>
      </c>
      <c r="C48">
        <v>104179</v>
      </c>
      <c r="D48" t="s">
        <v>45</v>
      </c>
      <c r="E48" t="s">
        <v>36</v>
      </c>
    </row>
    <row r="49" spans="1:6" x14ac:dyDescent="0.2">
      <c r="A49">
        <v>2020</v>
      </c>
      <c r="B49">
        <f>IF(ISBLANK(E49),"",VLOOKUP(E49,Code!B:C,2,FALSE))</f>
        <v>23</v>
      </c>
      <c r="C49">
        <v>104179</v>
      </c>
      <c r="D49" t="s">
        <v>45</v>
      </c>
      <c r="E49" t="s">
        <v>10</v>
      </c>
    </row>
    <row r="50" spans="1:6" x14ac:dyDescent="0.2">
      <c r="A50">
        <v>2021</v>
      </c>
      <c r="B50">
        <f>IF(ISBLANK(E50),"",VLOOKUP(E50,Code!B:C,2,FALSE))</f>
        <v>1</v>
      </c>
      <c r="C50">
        <v>104179</v>
      </c>
      <c r="D50" t="s">
        <v>45</v>
      </c>
      <c r="E50" t="s">
        <v>0</v>
      </c>
    </row>
    <row r="51" spans="1:6" x14ac:dyDescent="0.2">
      <c r="A51">
        <v>2021</v>
      </c>
      <c r="B51">
        <f>IF(ISBLANK(E51),"",VLOOKUP(E51,Code!B:C,2,FALSE))</f>
        <v>2</v>
      </c>
      <c r="C51">
        <v>104179</v>
      </c>
      <c r="D51" t="s">
        <v>45</v>
      </c>
      <c r="E51" t="s">
        <v>1</v>
      </c>
      <c r="F51" s="6">
        <v>3437220</v>
      </c>
    </row>
    <row r="52" spans="1:6" x14ac:dyDescent="0.2">
      <c r="A52">
        <v>2021</v>
      </c>
      <c r="B52">
        <f>IF(ISBLANK(E52),"",VLOOKUP(E52,Code!B:C,2,FALSE))</f>
        <v>8</v>
      </c>
      <c r="C52">
        <v>104179</v>
      </c>
      <c r="D52" t="s">
        <v>45</v>
      </c>
      <c r="E52" t="s">
        <v>2</v>
      </c>
      <c r="F52" s="6">
        <v>3437220</v>
      </c>
    </row>
    <row r="53" spans="1:6" x14ac:dyDescent="0.2">
      <c r="A53">
        <v>2021</v>
      </c>
      <c r="B53">
        <v>3</v>
      </c>
      <c r="C53">
        <v>104179</v>
      </c>
      <c r="D53" t="s">
        <v>45</v>
      </c>
      <c r="E53" t="s">
        <v>295</v>
      </c>
    </row>
    <row r="54" spans="1:6" x14ac:dyDescent="0.2">
      <c r="A54">
        <v>2021</v>
      </c>
      <c r="B54">
        <v>9</v>
      </c>
      <c r="C54">
        <v>104179</v>
      </c>
      <c r="D54" t="s">
        <v>45</v>
      </c>
      <c r="E54" t="s">
        <v>292</v>
      </c>
    </row>
    <row r="55" spans="1:6" x14ac:dyDescent="0.2">
      <c r="A55">
        <v>2021</v>
      </c>
      <c r="B55">
        <f>IF(ISBLANK(E55),"",VLOOKUP(E55,Code!B:C,2,FALSE))</f>
        <v>10</v>
      </c>
      <c r="C55">
        <v>104179</v>
      </c>
      <c r="D55" t="s">
        <v>45</v>
      </c>
      <c r="E55" t="s">
        <v>4</v>
      </c>
    </row>
    <row r="56" spans="1:6" x14ac:dyDescent="0.2">
      <c r="A56">
        <v>2021</v>
      </c>
      <c r="B56">
        <f>IF(ISBLANK(E56),"",VLOOKUP(E56,Code!B:C,2,FALSE))</f>
        <v>17</v>
      </c>
      <c r="C56">
        <v>104179</v>
      </c>
      <c r="D56" t="s">
        <v>45</v>
      </c>
      <c r="E56" t="s">
        <v>5</v>
      </c>
    </row>
    <row r="57" spans="1:6" x14ac:dyDescent="0.2">
      <c r="A57">
        <v>2021</v>
      </c>
      <c r="B57">
        <f>IF(ISBLANK(E57),"",VLOOKUP(E57,Code!B:C,2,FALSE))</f>
        <v>18</v>
      </c>
      <c r="C57">
        <v>104179</v>
      </c>
      <c r="D57" t="s">
        <v>45</v>
      </c>
      <c r="E57" t="s">
        <v>6</v>
      </c>
    </row>
    <row r="58" spans="1:6" x14ac:dyDescent="0.2">
      <c r="A58">
        <v>2021</v>
      </c>
      <c r="B58">
        <v>19</v>
      </c>
      <c r="C58">
        <v>104179</v>
      </c>
      <c r="D58" t="s">
        <v>45</v>
      </c>
      <c r="E58" t="s">
        <v>293</v>
      </c>
    </row>
    <row r="59" spans="1:6" x14ac:dyDescent="0.2">
      <c r="A59">
        <v>2021</v>
      </c>
      <c r="B59">
        <f>IF(ISBLANK(E59),"",VLOOKUP(E59,Code!B:C,2,FALSE))</f>
        <v>20</v>
      </c>
      <c r="C59">
        <v>104179</v>
      </c>
      <c r="D59" t="s">
        <v>45</v>
      </c>
      <c r="E59" t="s">
        <v>8</v>
      </c>
    </row>
    <row r="60" spans="1:6" x14ac:dyDescent="0.2">
      <c r="A60">
        <v>2021</v>
      </c>
      <c r="B60">
        <v>21</v>
      </c>
      <c r="C60">
        <v>104179</v>
      </c>
      <c r="D60" t="s">
        <v>45</v>
      </c>
      <c r="E60" t="s">
        <v>294</v>
      </c>
    </row>
    <row r="61" spans="1:6" x14ac:dyDescent="0.2">
      <c r="A61">
        <v>2021</v>
      </c>
      <c r="B61">
        <f>IF(ISBLANK(E61),"",VLOOKUP(E61,Code!B:C,2,FALSE))</f>
        <v>23</v>
      </c>
      <c r="C61">
        <v>104179</v>
      </c>
      <c r="D61" t="s">
        <v>45</v>
      </c>
      <c r="E61" t="s">
        <v>10</v>
      </c>
    </row>
    <row r="62" spans="1:6" x14ac:dyDescent="0.2">
      <c r="A62">
        <v>2022</v>
      </c>
      <c r="B62">
        <f>IF(ISBLANK(E62),"",VLOOKUP(E62,Code!B:C,2,FALSE))</f>
        <v>1</v>
      </c>
      <c r="C62">
        <v>104179</v>
      </c>
      <c r="D62" t="s">
        <v>45</v>
      </c>
      <c r="E62" t="s">
        <v>0</v>
      </c>
    </row>
    <row r="63" spans="1:6" x14ac:dyDescent="0.2">
      <c r="A63">
        <v>2022</v>
      </c>
      <c r="B63">
        <f>IF(ISBLANK(E63),"",VLOOKUP(E63,Code!B:C,2,FALSE))</f>
        <v>2</v>
      </c>
      <c r="C63">
        <v>104179</v>
      </c>
      <c r="D63" t="s">
        <v>45</v>
      </c>
      <c r="E63" t="s">
        <v>1</v>
      </c>
      <c r="F63" s="6">
        <v>4756131</v>
      </c>
    </row>
    <row r="64" spans="1:6" x14ac:dyDescent="0.2">
      <c r="A64">
        <v>2022</v>
      </c>
      <c r="B64">
        <f>IF(ISBLANK(E64),"",VLOOKUP(E64,Code!B:C,2,FALSE))</f>
        <v>8</v>
      </c>
      <c r="C64">
        <v>104179</v>
      </c>
      <c r="D64" t="s">
        <v>45</v>
      </c>
      <c r="E64" t="s">
        <v>2</v>
      </c>
      <c r="F64" s="6">
        <v>4756130</v>
      </c>
    </row>
    <row r="65" spans="1:6" x14ac:dyDescent="0.2">
      <c r="A65">
        <v>2022</v>
      </c>
      <c r="B65">
        <f>IF(ISBLANK(E65),"",VLOOKUP(E65,Code!B:C,2,FALSE))</f>
        <v>3</v>
      </c>
      <c r="C65">
        <v>104179</v>
      </c>
      <c r="D65" t="s">
        <v>45</v>
      </c>
      <c r="E65" t="s">
        <v>21</v>
      </c>
    </row>
    <row r="66" spans="1:6" x14ac:dyDescent="0.2">
      <c r="A66">
        <v>2022</v>
      </c>
      <c r="B66">
        <f>IF(ISBLANK(E66),"",VLOOKUP(E66,Code!B:C,2,FALSE))</f>
        <v>9</v>
      </c>
      <c r="C66">
        <v>104179</v>
      </c>
      <c r="D66" t="s">
        <v>45</v>
      </c>
      <c r="E66" t="s">
        <v>3</v>
      </c>
    </row>
    <row r="67" spans="1:6" x14ac:dyDescent="0.2">
      <c r="A67">
        <v>2022</v>
      </c>
      <c r="B67">
        <f>IF(ISBLANK(E67),"",VLOOKUP(E67,Code!B:C,2,FALSE))</f>
        <v>10</v>
      </c>
      <c r="C67">
        <v>104179</v>
      </c>
      <c r="D67" t="s">
        <v>45</v>
      </c>
      <c r="E67" t="s">
        <v>4</v>
      </c>
    </row>
    <row r="68" spans="1:6" x14ac:dyDescent="0.2">
      <c r="A68">
        <v>2022</v>
      </c>
      <c r="B68">
        <f>IF(ISBLANK(E68),"",VLOOKUP(E68,Code!B:C,2,FALSE))</f>
        <v>17</v>
      </c>
      <c r="C68">
        <v>104179</v>
      </c>
      <c r="D68" t="s">
        <v>45</v>
      </c>
      <c r="E68" t="s">
        <v>5</v>
      </c>
    </row>
    <row r="69" spans="1:6" x14ac:dyDescent="0.2">
      <c r="A69">
        <v>2022</v>
      </c>
      <c r="B69">
        <f>IF(ISBLANK(E69),"",VLOOKUP(E69,Code!B:C,2,FALSE))</f>
        <v>18</v>
      </c>
      <c r="C69">
        <v>104179</v>
      </c>
      <c r="D69" t="s">
        <v>45</v>
      </c>
      <c r="E69" t="s">
        <v>6</v>
      </c>
    </row>
    <row r="70" spans="1:6" x14ac:dyDescent="0.2">
      <c r="A70">
        <v>2022</v>
      </c>
      <c r="B70">
        <f>IF(ISBLANK(E70),"",VLOOKUP(E70,Code!B:C,2,FALSE))</f>
        <v>19</v>
      </c>
      <c r="C70">
        <v>104179</v>
      </c>
      <c r="D70" t="s">
        <v>45</v>
      </c>
      <c r="E70" t="s">
        <v>7</v>
      </c>
    </row>
    <row r="71" spans="1:6" x14ac:dyDescent="0.2">
      <c r="A71">
        <v>2022</v>
      </c>
      <c r="B71">
        <f>IF(ISBLANK(E71),"",VLOOKUP(E71,Code!B:C,2,FALSE))</f>
        <v>20</v>
      </c>
      <c r="C71">
        <v>104179</v>
      </c>
      <c r="D71" t="s">
        <v>45</v>
      </c>
      <c r="E71" t="s">
        <v>8</v>
      </c>
    </row>
    <row r="72" spans="1:6" x14ac:dyDescent="0.2">
      <c r="A72">
        <v>2022</v>
      </c>
      <c r="B72">
        <f>IF(ISBLANK(E72),"",VLOOKUP(E72,Code!B:C,2,FALSE))</f>
        <v>21</v>
      </c>
      <c r="C72">
        <v>104179</v>
      </c>
      <c r="D72" t="s">
        <v>45</v>
      </c>
      <c r="E72" t="s">
        <v>36</v>
      </c>
    </row>
    <row r="73" spans="1:6" x14ac:dyDescent="0.2">
      <c r="A73">
        <v>2022</v>
      </c>
      <c r="B73">
        <f>IF(ISBLANK(E73),"",VLOOKUP(E73,Code!B:C,2,FALSE))</f>
        <v>23</v>
      </c>
      <c r="C73">
        <v>104179</v>
      </c>
      <c r="D73" t="s">
        <v>45</v>
      </c>
      <c r="E73" t="s">
        <v>10</v>
      </c>
    </row>
    <row r="74" spans="1:6" x14ac:dyDescent="0.2">
      <c r="A74">
        <v>2023</v>
      </c>
      <c r="B74">
        <f>IF(ISBLANK(E74),"",VLOOKUP(E74,Code!B:C,2,FALSE))</f>
        <v>1</v>
      </c>
      <c r="C74">
        <v>104179</v>
      </c>
      <c r="D74" t="s">
        <v>45</v>
      </c>
      <c r="E74" t="s">
        <v>0</v>
      </c>
    </row>
    <row r="75" spans="1:6" x14ac:dyDescent="0.2">
      <c r="A75">
        <v>2023</v>
      </c>
      <c r="B75">
        <f>IF(ISBLANK(E75),"",VLOOKUP(E75,Code!B:C,2,FALSE))</f>
        <v>2</v>
      </c>
      <c r="C75">
        <v>104179</v>
      </c>
      <c r="D75" t="s">
        <v>45</v>
      </c>
      <c r="E75" t="s">
        <v>1</v>
      </c>
      <c r="F75" s="6">
        <v>6234414</v>
      </c>
    </row>
    <row r="76" spans="1:6" x14ac:dyDescent="0.2">
      <c r="A76">
        <v>2023</v>
      </c>
      <c r="B76">
        <f>IF(ISBLANK(E76),"",VLOOKUP(E76,Code!B:C,2,FALSE))</f>
        <v>8</v>
      </c>
      <c r="C76">
        <v>104179</v>
      </c>
      <c r="D76" t="s">
        <v>45</v>
      </c>
      <c r="E76" t="s">
        <v>2</v>
      </c>
      <c r="F76" s="6">
        <v>6234414</v>
      </c>
    </row>
    <row r="77" spans="1:6" x14ac:dyDescent="0.2">
      <c r="A77">
        <v>2023</v>
      </c>
      <c r="B77">
        <f>IF(ISBLANK(E77),"",VLOOKUP(E77,Code!B:C,2,FALSE))</f>
        <v>3</v>
      </c>
      <c r="C77">
        <v>104179</v>
      </c>
      <c r="D77" t="s">
        <v>45</v>
      </c>
      <c r="E77" t="s">
        <v>21</v>
      </c>
    </row>
    <row r="78" spans="1:6" x14ac:dyDescent="0.2">
      <c r="A78">
        <v>2023</v>
      </c>
      <c r="B78">
        <f>IF(ISBLANK(E78),"",VLOOKUP(E78,Code!B:C,2,FALSE))</f>
        <v>9</v>
      </c>
      <c r="C78">
        <v>104179</v>
      </c>
      <c r="D78" t="s">
        <v>45</v>
      </c>
      <c r="E78" t="s">
        <v>3</v>
      </c>
    </row>
    <row r="79" spans="1:6" x14ac:dyDescent="0.2">
      <c r="A79">
        <v>2023</v>
      </c>
      <c r="B79">
        <f>IF(ISBLANK(E79),"",VLOOKUP(E79,Code!B:C,2,FALSE))</f>
        <v>10</v>
      </c>
      <c r="C79">
        <v>104179</v>
      </c>
      <c r="D79" t="s">
        <v>45</v>
      </c>
      <c r="E79" t="s">
        <v>4</v>
      </c>
    </row>
    <row r="80" spans="1:6" x14ac:dyDescent="0.2">
      <c r="A80">
        <v>2023</v>
      </c>
      <c r="B80">
        <f>IF(ISBLANK(E80),"",VLOOKUP(E80,Code!B:C,2,FALSE))</f>
        <v>17</v>
      </c>
      <c r="C80">
        <v>104179</v>
      </c>
      <c r="D80" t="s">
        <v>45</v>
      </c>
      <c r="E80" t="s">
        <v>5</v>
      </c>
    </row>
    <row r="81" spans="1:7" x14ac:dyDescent="0.2">
      <c r="A81">
        <v>2023</v>
      </c>
      <c r="B81">
        <f>IF(ISBLANK(E81),"",VLOOKUP(E81,Code!B:C,2,FALSE))</f>
        <v>18</v>
      </c>
      <c r="C81">
        <v>104179</v>
      </c>
      <c r="D81" t="s">
        <v>45</v>
      </c>
      <c r="E81" t="s">
        <v>6</v>
      </c>
    </row>
    <row r="82" spans="1:7" x14ac:dyDescent="0.2">
      <c r="A82">
        <v>2023</v>
      </c>
      <c r="B82">
        <f>IF(ISBLANK(E82),"",VLOOKUP(E82,Code!B:C,2,FALSE))</f>
        <v>19</v>
      </c>
      <c r="C82">
        <v>104179</v>
      </c>
      <c r="D82" t="s">
        <v>45</v>
      </c>
      <c r="E82" t="s">
        <v>7</v>
      </c>
    </row>
    <row r="83" spans="1:7" x14ac:dyDescent="0.2">
      <c r="A83">
        <v>2023</v>
      </c>
      <c r="B83">
        <f>IF(ISBLANK(E83),"",VLOOKUP(E83,Code!B:C,2,FALSE))</f>
        <v>20</v>
      </c>
      <c r="C83">
        <v>104179</v>
      </c>
      <c r="D83" t="s">
        <v>45</v>
      </c>
      <c r="E83" t="s">
        <v>8</v>
      </c>
    </row>
    <row r="84" spans="1:7" x14ac:dyDescent="0.2">
      <c r="A84">
        <v>2023</v>
      </c>
      <c r="B84">
        <f>IF(ISBLANK(E84),"",VLOOKUP(E84,Code!B:C,2,FALSE))</f>
        <v>21</v>
      </c>
      <c r="C84">
        <v>104179</v>
      </c>
      <c r="D84" t="s">
        <v>45</v>
      </c>
      <c r="E84" t="s">
        <v>9</v>
      </c>
    </row>
    <row r="85" spans="1:7" x14ac:dyDescent="0.2">
      <c r="A85">
        <v>2023</v>
      </c>
      <c r="B85">
        <f>IF(ISBLANK(E85),"",VLOOKUP(E85,Code!B:C,2,FALSE))</f>
        <v>23</v>
      </c>
      <c r="C85">
        <v>104179</v>
      </c>
      <c r="D85" t="s">
        <v>45</v>
      </c>
      <c r="E85" t="s">
        <v>10</v>
      </c>
    </row>
    <row r="86" spans="1:7" x14ac:dyDescent="0.2">
      <c r="A86">
        <v>2017</v>
      </c>
      <c r="B86">
        <f>IF(ISBLANK(E86),"",VLOOKUP(E86,Code!B:C,2,FALSE))</f>
        <v>1</v>
      </c>
      <c r="C86">
        <v>110635</v>
      </c>
      <c r="D86" t="s">
        <v>63</v>
      </c>
      <c r="E86" t="s">
        <v>0</v>
      </c>
      <c r="F86" s="6">
        <v>55000</v>
      </c>
    </row>
    <row r="87" spans="1:7" x14ac:dyDescent="0.2">
      <c r="A87">
        <v>2017</v>
      </c>
      <c r="B87">
        <f>IF(ISBLANK(E87),"",VLOOKUP(E87,Code!B:C,2,FALSE))</f>
        <v>2</v>
      </c>
      <c r="C87">
        <v>110635</v>
      </c>
      <c r="D87" t="s">
        <v>63</v>
      </c>
      <c r="E87" t="s">
        <v>1</v>
      </c>
      <c r="F87">
        <v>465</v>
      </c>
    </row>
    <row r="88" spans="1:7" x14ac:dyDescent="0.2">
      <c r="A88">
        <v>2017</v>
      </c>
      <c r="B88">
        <f>IF(ISBLANK(E88),"",VLOOKUP(E88,Code!B:C,2,FALSE))</f>
        <v>8</v>
      </c>
      <c r="C88">
        <v>110635</v>
      </c>
      <c r="D88" t="s">
        <v>63</v>
      </c>
      <c r="E88" t="s">
        <v>2</v>
      </c>
      <c r="F88" s="6">
        <v>4501086</v>
      </c>
    </row>
    <row r="89" spans="1:7" x14ac:dyDescent="0.2">
      <c r="A89">
        <v>2017</v>
      </c>
      <c r="B89">
        <f>IF(ISBLANK(E89),"",VLOOKUP(E89,Code!B:C,2,FALSE))</f>
        <v>3</v>
      </c>
      <c r="C89">
        <v>110635</v>
      </c>
      <c r="D89" t="s">
        <v>63</v>
      </c>
      <c r="E89" t="s">
        <v>21</v>
      </c>
    </row>
    <row r="90" spans="1:7" x14ac:dyDescent="0.2">
      <c r="A90">
        <v>2017</v>
      </c>
      <c r="B90">
        <f>IF(ISBLANK(E90),"",VLOOKUP(E90,Code!B:C,2,FALSE))</f>
        <v>7</v>
      </c>
      <c r="C90">
        <v>110635</v>
      </c>
      <c r="D90" t="s">
        <v>63</v>
      </c>
      <c r="E90" t="s">
        <v>25</v>
      </c>
    </row>
    <row r="91" spans="1:7" x14ac:dyDescent="0.2">
      <c r="A91">
        <v>2017</v>
      </c>
      <c r="B91">
        <f>IF(ISBLANK(E91),"",VLOOKUP(E91,Code!B:C,2,FALSE))</f>
        <v>9</v>
      </c>
      <c r="C91">
        <v>110635</v>
      </c>
      <c r="D91" t="s">
        <v>63</v>
      </c>
      <c r="E91" t="s">
        <v>3</v>
      </c>
    </row>
    <row r="92" spans="1:7" x14ac:dyDescent="0.2">
      <c r="A92">
        <v>2017</v>
      </c>
      <c r="B92">
        <f>IF(ISBLANK(E92),"",VLOOKUP(E92,Code!B:C,2,FALSE))</f>
        <v>10</v>
      </c>
      <c r="C92">
        <v>110635</v>
      </c>
      <c r="D92" t="s">
        <v>63</v>
      </c>
      <c r="E92" t="s">
        <v>4</v>
      </c>
    </row>
    <row r="93" spans="1:7" x14ac:dyDescent="0.2">
      <c r="A93">
        <v>2017</v>
      </c>
      <c r="B93">
        <f>IF(ISBLANK(E93),"",VLOOKUP(E93,Code!B:C,2,FALSE))</f>
        <v>12</v>
      </c>
      <c r="C93">
        <v>110635</v>
      </c>
      <c r="D93" t="s">
        <v>63</v>
      </c>
      <c r="E93" t="s">
        <v>27</v>
      </c>
    </row>
    <row r="94" spans="1:7" x14ac:dyDescent="0.2">
      <c r="A94">
        <v>2017</v>
      </c>
      <c r="B94">
        <f>IF(ISBLANK(E94),"",VLOOKUP(E94,Code!B:C,2,FALSE))</f>
        <v>14</v>
      </c>
      <c r="C94">
        <v>110635</v>
      </c>
      <c r="D94" t="s">
        <v>63</v>
      </c>
      <c r="E94" t="s">
        <v>29</v>
      </c>
    </row>
    <row r="95" spans="1:7" x14ac:dyDescent="0.2">
      <c r="A95">
        <v>2017</v>
      </c>
      <c r="B95">
        <f>IF(ISBLANK(E95),"",VLOOKUP(E95,Code!B:C,2,FALSE))</f>
        <v>17</v>
      </c>
      <c r="C95">
        <v>110635</v>
      </c>
      <c r="D95" t="s">
        <v>63</v>
      </c>
      <c r="E95" t="s">
        <v>5</v>
      </c>
    </row>
    <row r="96" spans="1:7" x14ac:dyDescent="0.2">
      <c r="A96">
        <v>2017</v>
      </c>
      <c r="B96">
        <f>IF(ISBLANK(E96),"",VLOOKUP(E96,Code!B:C,2,FALSE))</f>
        <v>18</v>
      </c>
      <c r="C96">
        <v>110635</v>
      </c>
      <c r="D96" t="s">
        <v>63</v>
      </c>
      <c r="E96" t="s">
        <v>6</v>
      </c>
      <c r="G96" s="6">
        <v>30000</v>
      </c>
    </row>
    <row r="97" spans="1:7" x14ac:dyDescent="0.2">
      <c r="A97">
        <v>2017</v>
      </c>
      <c r="B97">
        <f>IF(ISBLANK(E97),"",VLOOKUP(E97,Code!B:C,2,FALSE))</f>
        <v>19</v>
      </c>
      <c r="C97">
        <v>110635</v>
      </c>
      <c r="D97" t="s">
        <v>63</v>
      </c>
      <c r="E97" t="s">
        <v>7</v>
      </c>
      <c r="F97" s="6">
        <v>24920</v>
      </c>
    </row>
    <row r="98" spans="1:7" x14ac:dyDescent="0.2">
      <c r="A98">
        <v>2017</v>
      </c>
      <c r="B98">
        <f>IF(ISBLANK(E98),"",VLOOKUP(E98,Code!B:C,2,FALSE))</f>
        <v>20</v>
      </c>
      <c r="C98">
        <v>110635</v>
      </c>
      <c r="D98" t="s">
        <v>63</v>
      </c>
      <c r="E98" t="s">
        <v>8</v>
      </c>
    </row>
    <row r="99" spans="1:7" x14ac:dyDescent="0.2">
      <c r="A99">
        <v>2017</v>
      </c>
      <c r="B99">
        <f>IF(ISBLANK(E99),"",VLOOKUP(E99,Code!B:C,2,FALSE))</f>
        <v>21</v>
      </c>
      <c r="C99">
        <v>110635</v>
      </c>
      <c r="D99" t="s">
        <v>63</v>
      </c>
      <c r="E99" t="s">
        <v>36</v>
      </c>
    </row>
    <row r="100" spans="1:7" x14ac:dyDescent="0.2">
      <c r="A100">
        <v>2017</v>
      </c>
      <c r="B100">
        <f>IF(ISBLANK(E100),"",VLOOKUP(E100,Code!B:C,2,FALSE))</f>
        <v>23</v>
      </c>
      <c r="C100">
        <v>110635</v>
      </c>
      <c r="D100" t="s">
        <v>63</v>
      </c>
      <c r="E100" t="s">
        <v>10</v>
      </c>
    </row>
    <row r="101" spans="1:7" x14ac:dyDescent="0.2">
      <c r="A101">
        <v>2017</v>
      </c>
      <c r="B101">
        <f>IF(ISBLANK(E101),"",VLOOKUP(E101,Code!B:C,2,FALSE))</f>
        <v>24</v>
      </c>
      <c r="C101">
        <v>110635</v>
      </c>
      <c r="D101" t="s">
        <v>63</v>
      </c>
      <c r="E101" t="s">
        <v>34</v>
      </c>
    </row>
    <row r="102" spans="1:7" x14ac:dyDescent="0.2">
      <c r="A102">
        <v>2018</v>
      </c>
      <c r="B102">
        <f>IF(ISBLANK(E102),"",VLOOKUP(E102,Code!B:C,2,FALSE))</f>
        <v>1</v>
      </c>
      <c r="C102">
        <v>110635</v>
      </c>
      <c r="D102" t="s">
        <v>63</v>
      </c>
      <c r="E102" t="s">
        <v>0</v>
      </c>
      <c r="F102" s="6">
        <v>30000</v>
      </c>
    </row>
    <row r="103" spans="1:7" x14ac:dyDescent="0.2">
      <c r="A103">
        <v>2018</v>
      </c>
      <c r="B103">
        <f>IF(ISBLANK(E103),"",VLOOKUP(E103,Code!B:C,2,FALSE))</f>
        <v>2</v>
      </c>
      <c r="C103">
        <v>110635</v>
      </c>
      <c r="D103" t="s">
        <v>63</v>
      </c>
      <c r="E103" t="s">
        <v>1</v>
      </c>
    </row>
    <row r="104" spans="1:7" x14ac:dyDescent="0.2">
      <c r="A104">
        <v>2018</v>
      </c>
      <c r="B104">
        <f>IF(ISBLANK(E104),"",VLOOKUP(E104,Code!B:C,2,FALSE))</f>
        <v>8</v>
      </c>
      <c r="C104">
        <v>110635</v>
      </c>
      <c r="D104" t="s">
        <v>63</v>
      </c>
      <c r="E104" t="s">
        <v>2</v>
      </c>
    </row>
    <row r="105" spans="1:7" x14ac:dyDescent="0.2">
      <c r="A105">
        <v>2018</v>
      </c>
      <c r="B105">
        <f>IF(ISBLANK(E105),"",VLOOKUP(E105,Code!B:C,2,FALSE))</f>
        <v>10</v>
      </c>
      <c r="C105">
        <v>110635</v>
      </c>
      <c r="D105" t="s">
        <v>63</v>
      </c>
      <c r="E105" t="s">
        <v>4</v>
      </c>
    </row>
    <row r="106" spans="1:7" x14ac:dyDescent="0.2">
      <c r="A106">
        <v>2018</v>
      </c>
      <c r="B106">
        <f>IF(ISBLANK(E106),"",VLOOKUP(E106,Code!B:C,2,FALSE))</f>
        <v>3</v>
      </c>
      <c r="C106">
        <v>110635</v>
      </c>
      <c r="D106" t="s">
        <v>63</v>
      </c>
      <c r="E106" t="s">
        <v>21</v>
      </c>
    </row>
    <row r="107" spans="1:7" x14ac:dyDescent="0.2">
      <c r="A107">
        <v>2018</v>
      </c>
      <c r="B107">
        <f>IF(ISBLANK(E107),"",VLOOKUP(E107,Code!B:C,2,FALSE))</f>
        <v>7</v>
      </c>
      <c r="C107">
        <v>110635</v>
      </c>
      <c r="D107" t="s">
        <v>63</v>
      </c>
      <c r="E107" t="s">
        <v>25</v>
      </c>
    </row>
    <row r="108" spans="1:7" x14ac:dyDescent="0.2">
      <c r="A108">
        <v>2018</v>
      </c>
      <c r="B108">
        <f>IF(ISBLANK(E108),"",VLOOKUP(E108,Code!B:C,2,FALSE))</f>
        <v>9</v>
      </c>
      <c r="C108">
        <v>110635</v>
      </c>
      <c r="D108" t="s">
        <v>63</v>
      </c>
      <c r="E108" t="s">
        <v>3</v>
      </c>
    </row>
    <row r="109" spans="1:7" x14ac:dyDescent="0.2">
      <c r="A109">
        <v>2018</v>
      </c>
      <c r="B109">
        <f>IF(ISBLANK(E109),"",VLOOKUP(E109,Code!B:C,2,FALSE))</f>
        <v>12</v>
      </c>
      <c r="C109">
        <v>110635</v>
      </c>
      <c r="D109" t="s">
        <v>63</v>
      </c>
      <c r="E109" t="s">
        <v>27</v>
      </c>
    </row>
    <row r="110" spans="1:7" x14ac:dyDescent="0.2">
      <c r="A110">
        <v>2018</v>
      </c>
      <c r="B110">
        <f>IF(ISBLANK(E110),"",VLOOKUP(E110,Code!B:C,2,FALSE))</f>
        <v>14</v>
      </c>
      <c r="C110">
        <v>110635</v>
      </c>
      <c r="D110" t="s">
        <v>63</v>
      </c>
      <c r="E110" t="s">
        <v>29</v>
      </c>
      <c r="G110" s="6">
        <v>35000</v>
      </c>
    </row>
    <row r="111" spans="1:7" x14ac:dyDescent="0.2">
      <c r="A111">
        <v>2018</v>
      </c>
      <c r="B111">
        <f>IF(ISBLANK(E111),"",VLOOKUP(E111,Code!B:C,2,FALSE))</f>
        <v>17</v>
      </c>
      <c r="C111">
        <v>110635</v>
      </c>
      <c r="D111" t="s">
        <v>63</v>
      </c>
      <c r="E111" t="s">
        <v>5</v>
      </c>
    </row>
    <row r="112" spans="1:7" x14ac:dyDescent="0.2">
      <c r="A112">
        <v>2018</v>
      </c>
      <c r="B112">
        <f>IF(ISBLANK(E112),"",VLOOKUP(E112,Code!B:C,2,FALSE))</f>
        <v>18</v>
      </c>
      <c r="C112">
        <v>110635</v>
      </c>
      <c r="D112" t="s">
        <v>63</v>
      </c>
      <c r="E112" t="s">
        <v>6</v>
      </c>
      <c r="G112" s="6">
        <v>-30000</v>
      </c>
    </row>
    <row r="113" spans="1:7" x14ac:dyDescent="0.2">
      <c r="A113">
        <v>2018</v>
      </c>
      <c r="B113">
        <f>IF(ISBLANK(E113),"",VLOOKUP(E113,Code!B:C,2,FALSE))</f>
        <v>19</v>
      </c>
      <c r="C113">
        <v>110635</v>
      </c>
      <c r="D113" t="s">
        <v>63</v>
      </c>
      <c r="E113" t="s">
        <v>7</v>
      </c>
      <c r="F113" s="6">
        <v>10000</v>
      </c>
    </row>
    <row r="114" spans="1:7" x14ac:dyDescent="0.2">
      <c r="A114">
        <v>2018</v>
      </c>
      <c r="B114">
        <f>IF(ISBLANK(E114),"",VLOOKUP(E114,Code!B:C,2,FALSE))</f>
        <v>20</v>
      </c>
      <c r="C114">
        <v>110635</v>
      </c>
      <c r="D114" t="s">
        <v>63</v>
      </c>
      <c r="E114" t="s">
        <v>8</v>
      </c>
    </row>
    <row r="115" spans="1:7" x14ac:dyDescent="0.2">
      <c r="A115">
        <v>2018</v>
      </c>
      <c r="B115">
        <f>IF(ISBLANK(E115),"",VLOOKUP(E115,Code!B:C,2,FALSE))</f>
        <v>21</v>
      </c>
      <c r="C115">
        <v>110635</v>
      </c>
      <c r="D115" t="s">
        <v>63</v>
      </c>
      <c r="E115" t="s">
        <v>36</v>
      </c>
    </row>
    <row r="116" spans="1:7" x14ac:dyDescent="0.2">
      <c r="A116">
        <v>2018</v>
      </c>
      <c r="B116">
        <f>IF(ISBLANK(E116),"",VLOOKUP(E116,Code!B:C,2,FALSE))</f>
        <v>23</v>
      </c>
      <c r="C116">
        <v>110635</v>
      </c>
      <c r="D116" t="s">
        <v>63</v>
      </c>
      <c r="E116" t="s">
        <v>10</v>
      </c>
    </row>
    <row r="117" spans="1:7" x14ac:dyDescent="0.2">
      <c r="A117">
        <v>2018</v>
      </c>
      <c r="B117">
        <f>IF(ISBLANK(E117),"",VLOOKUP(E117,Code!B:C,2,FALSE))</f>
        <v>24</v>
      </c>
      <c r="C117">
        <v>110635</v>
      </c>
      <c r="D117" t="s">
        <v>63</v>
      </c>
      <c r="E117" t="s">
        <v>34</v>
      </c>
    </row>
    <row r="118" spans="1:7" x14ac:dyDescent="0.2">
      <c r="A118">
        <v>2019</v>
      </c>
      <c r="B118">
        <f>IF(ISBLANK(E118),"",VLOOKUP(E118,Code!B:C,2,FALSE))</f>
        <v>1</v>
      </c>
      <c r="C118">
        <v>110635</v>
      </c>
      <c r="D118" t="s">
        <v>63</v>
      </c>
      <c r="E118" t="s">
        <v>0</v>
      </c>
      <c r="F118" s="6">
        <v>63000</v>
      </c>
    </row>
    <row r="119" spans="1:7" x14ac:dyDescent="0.2">
      <c r="A119">
        <v>2019</v>
      </c>
      <c r="B119">
        <f>IF(ISBLANK(E119),"",VLOOKUP(E119,Code!B:C,2,FALSE))</f>
        <v>2</v>
      </c>
      <c r="C119">
        <v>110635</v>
      </c>
      <c r="D119" t="s">
        <v>63</v>
      </c>
      <c r="E119" t="s">
        <v>1</v>
      </c>
      <c r="G119" s="6">
        <v>5000</v>
      </c>
    </row>
    <row r="120" spans="1:7" x14ac:dyDescent="0.2">
      <c r="A120">
        <v>2019</v>
      </c>
      <c r="B120">
        <f>IF(ISBLANK(E120),"",VLOOKUP(E120,Code!B:C,2,FALSE))</f>
        <v>8</v>
      </c>
      <c r="C120">
        <v>110635</v>
      </c>
      <c r="D120" t="s">
        <v>63</v>
      </c>
      <c r="E120" t="s">
        <v>2</v>
      </c>
    </row>
    <row r="121" spans="1:7" x14ac:dyDescent="0.2">
      <c r="A121">
        <v>2019</v>
      </c>
      <c r="B121">
        <f>IF(ISBLANK(E121),"",VLOOKUP(E121,Code!B:C,2,FALSE))</f>
        <v>3</v>
      </c>
      <c r="C121">
        <v>110635</v>
      </c>
      <c r="D121" t="s">
        <v>63</v>
      </c>
      <c r="E121" t="s">
        <v>21</v>
      </c>
    </row>
    <row r="122" spans="1:7" x14ac:dyDescent="0.2">
      <c r="A122">
        <v>2019</v>
      </c>
      <c r="B122">
        <f>IF(ISBLANK(E122),"",VLOOKUP(E122,Code!B:C,2,FALSE))</f>
        <v>7</v>
      </c>
      <c r="C122">
        <v>110635</v>
      </c>
      <c r="D122" t="s">
        <v>63</v>
      </c>
      <c r="E122" t="s">
        <v>25</v>
      </c>
    </row>
    <row r="123" spans="1:7" x14ac:dyDescent="0.2">
      <c r="A123">
        <v>2019</v>
      </c>
      <c r="B123">
        <f>IF(ISBLANK(E123),"",VLOOKUP(E123,Code!B:C,2,FALSE))</f>
        <v>9</v>
      </c>
      <c r="C123">
        <v>110635</v>
      </c>
      <c r="D123" t="s">
        <v>63</v>
      </c>
      <c r="E123" t="s">
        <v>3</v>
      </c>
    </row>
    <row r="124" spans="1:7" x14ac:dyDescent="0.2">
      <c r="A124">
        <v>2019</v>
      </c>
      <c r="B124">
        <f>IF(ISBLANK(E124),"",VLOOKUP(E124,Code!B:C,2,FALSE))</f>
        <v>10</v>
      </c>
      <c r="C124">
        <v>110635</v>
      </c>
      <c r="D124" t="s">
        <v>63</v>
      </c>
      <c r="E124" t="s">
        <v>4</v>
      </c>
    </row>
    <row r="125" spans="1:7" x14ac:dyDescent="0.2">
      <c r="A125">
        <v>2019</v>
      </c>
      <c r="B125">
        <f>IF(ISBLANK(E125),"",VLOOKUP(E125,Code!B:C,2,FALSE))</f>
        <v>12</v>
      </c>
      <c r="C125">
        <v>110635</v>
      </c>
      <c r="D125" t="s">
        <v>63</v>
      </c>
      <c r="E125" t="s">
        <v>27</v>
      </c>
    </row>
    <row r="126" spans="1:7" x14ac:dyDescent="0.2">
      <c r="A126">
        <v>2019</v>
      </c>
      <c r="B126">
        <f>IF(ISBLANK(E126),"",VLOOKUP(E126,Code!B:C,2,FALSE))</f>
        <v>14</v>
      </c>
      <c r="C126">
        <v>110635</v>
      </c>
      <c r="D126" t="s">
        <v>63</v>
      </c>
      <c r="E126" t="s">
        <v>29</v>
      </c>
      <c r="G126" s="6">
        <v>10000</v>
      </c>
    </row>
    <row r="127" spans="1:7" x14ac:dyDescent="0.2">
      <c r="A127">
        <v>2019</v>
      </c>
      <c r="B127">
        <f>IF(ISBLANK(E127),"",VLOOKUP(E127,Code!B:C,2,FALSE))</f>
        <v>17</v>
      </c>
      <c r="C127">
        <v>110635</v>
      </c>
      <c r="D127" t="s">
        <v>63</v>
      </c>
      <c r="E127" t="s">
        <v>5</v>
      </c>
    </row>
    <row r="128" spans="1:7" x14ac:dyDescent="0.2">
      <c r="A128">
        <v>2019</v>
      </c>
      <c r="B128">
        <f>IF(ISBLANK(E128),"",VLOOKUP(E128,Code!B:C,2,FALSE))</f>
        <v>18</v>
      </c>
      <c r="C128">
        <v>110635</v>
      </c>
      <c r="D128" t="s">
        <v>63</v>
      </c>
      <c r="E128" t="s">
        <v>6</v>
      </c>
    </row>
    <row r="129" spans="1:7" x14ac:dyDescent="0.2">
      <c r="A129">
        <v>2019</v>
      </c>
      <c r="B129">
        <f>IF(ISBLANK(E129),"",VLOOKUP(E129,Code!B:C,2,FALSE))</f>
        <v>19</v>
      </c>
      <c r="C129">
        <v>110635</v>
      </c>
      <c r="D129" t="s">
        <v>63</v>
      </c>
      <c r="E129" t="s">
        <v>7</v>
      </c>
      <c r="F129" s="6">
        <v>85000</v>
      </c>
      <c r="G129" s="6">
        <v>20000</v>
      </c>
    </row>
    <row r="130" spans="1:7" x14ac:dyDescent="0.2">
      <c r="A130">
        <v>2019</v>
      </c>
      <c r="B130">
        <f>IF(ISBLANK(E130),"",VLOOKUP(E130,Code!B:C,2,FALSE))</f>
        <v>20</v>
      </c>
      <c r="C130">
        <v>110635</v>
      </c>
      <c r="D130" t="s">
        <v>63</v>
      </c>
      <c r="E130" t="s">
        <v>8</v>
      </c>
    </row>
    <row r="131" spans="1:7" x14ac:dyDescent="0.2">
      <c r="A131">
        <v>2019</v>
      </c>
      <c r="B131">
        <f>IF(ISBLANK(E131),"",VLOOKUP(E131,Code!B:C,2,FALSE))</f>
        <v>21</v>
      </c>
      <c r="C131">
        <v>110635</v>
      </c>
      <c r="D131" t="s">
        <v>63</v>
      </c>
      <c r="E131" t="s">
        <v>36</v>
      </c>
    </row>
    <row r="132" spans="1:7" x14ac:dyDescent="0.2">
      <c r="A132">
        <v>2019</v>
      </c>
      <c r="B132">
        <f>IF(ISBLANK(E132),"",VLOOKUP(E132,Code!B:C,2,FALSE))</f>
        <v>23</v>
      </c>
      <c r="C132">
        <v>110635</v>
      </c>
      <c r="D132" t="s">
        <v>63</v>
      </c>
      <c r="E132" t="s">
        <v>10</v>
      </c>
    </row>
    <row r="133" spans="1:7" x14ac:dyDescent="0.2">
      <c r="A133">
        <v>2019</v>
      </c>
      <c r="B133">
        <f>IF(ISBLANK(E133),"",VLOOKUP(E133,Code!B:C,2,FALSE))</f>
        <v>24</v>
      </c>
      <c r="C133">
        <v>110635</v>
      </c>
      <c r="D133" t="s">
        <v>63</v>
      </c>
      <c r="E133" t="s">
        <v>34</v>
      </c>
    </row>
    <row r="134" spans="1:7" x14ac:dyDescent="0.2">
      <c r="A134">
        <v>2020</v>
      </c>
      <c r="B134">
        <f>IF(ISBLANK(E134),"",VLOOKUP(E134,Code!B:C,2,FALSE))</f>
        <v>1</v>
      </c>
      <c r="C134">
        <v>110635</v>
      </c>
      <c r="D134" t="s">
        <v>63</v>
      </c>
      <c r="E134" t="s">
        <v>0</v>
      </c>
      <c r="F134" s="6">
        <v>8750</v>
      </c>
    </row>
    <row r="135" spans="1:7" x14ac:dyDescent="0.2">
      <c r="A135">
        <v>2020</v>
      </c>
      <c r="B135">
        <f>IF(ISBLANK(E135),"",VLOOKUP(E135,Code!B:C,2,FALSE))</f>
        <v>2</v>
      </c>
      <c r="C135">
        <v>110635</v>
      </c>
      <c r="D135" t="s">
        <v>63</v>
      </c>
      <c r="E135" t="s">
        <v>1</v>
      </c>
    </row>
    <row r="136" spans="1:7" x14ac:dyDescent="0.2">
      <c r="A136">
        <v>2020</v>
      </c>
      <c r="B136">
        <f>IF(ISBLANK(E136),"",VLOOKUP(E136,Code!B:C,2,FALSE))</f>
        <v>8</v>
      </c>
      <c r="C136">
        <v>110635</v>
      </c>
      <c r="D136" t="s">
        <v>63</v>
      </c>
      <c r="E136" t="s">
        <v>2</v>
      </c>
      <c r="F136" s="6">
        <v>25000</v>
      </c>
    </row>
    <row r="137" spans="1:7" x14ac:dyDescent="0.2">
      <c r="A137">
        <v>2020</v>
      </c>
      <c r="B137">
        <f>IF(ISBLANK(E137),"",VLOOKUP(E137,Code!B:C,2,FALSE))</f>
        <v>10</v>
      </c>
      <c r="C137">
        <v>110635</v>
      </c>
      <c r="D137" t="s">
        <v>63</v>
      </c>
      <c r="E137" t="s">
        <v>4</v>
      </c>
    </row>
    <row r="138" spans="1:7" x14ac:dyDescent="0.2">
      <c r="A138">
        <v>2020</v>
      </c>
      <c r="B138">
        <f>IF(ISBLANK(E138),"",VLOOKUP(E138,Code!B:C,2,FALSE))</f>
        <v>3</v>
      </c>
      <c r="C138">
        <v>110635</v>
      </c>
      <c r="D138" t="s">
        <v>63</v>
      </c>
      <c r="E138" t="s">
        <v>21</v>
      </c>
    </row>
    <row r="139" spans="1:7" x14ac:dyDescent="0.2">
      <c r="A139">
        <v>2020</v>
      </c>
      <c r="B139">
        <f>IF(ISBLANK(E139),"",VLOOKUP(E139,Code!B:C,2,FALSE))</f>
        <v>7</v>
      </c>
      <c r="C139">
        <v>110635</v>
      </c>
      <c r="D139" t="s">
        <v>63</v>
      </c>
      <c r="E139" t="s">
        <v>25</v>
      </c>
    </row>
    <row r="140" spans="1:7" x14ac:dyDescent="0.2">
      <c r="A140">
        <v>2020</v>
      </c>
      <c r="B140">
        <f>IF(ISBLANK(E140),"",VLOOKUP(E140,Code!B:C,2,FALSE))</f>
        <v>9</v>
      </c>
      <c r="C140">
        <v>110635</v>
      </c>
      <c r="D140" t="s">
        <v>63</v>
      </c>
      <c r="E140" t="s">
        <v>3</v>
      </c>
    </row>
    <row r="141" spans="1:7" x14ac:dyDescent="0.2">
      <c r="A141">
        <v>2020</v>
      </c>
      <c r="B141">
        <f>IF(ISBLANK(E141),"",VLOOKUP(E141,Code!B:C,2,FALSE))</f>
        <v>12</v>
      </c>
      <c r="C141">
        <v>110635</v>
      </c>
      <c r="D141" t="s">
        <v>63</v>
      </c>
      <c r="E141" t="s">
        <v>27</v>
      </c>
    </row>
    <row r="142" spans="1:7" x14ac:dyDescent="0.2">
      <c r="A142">
        <v>2020</v>
      </c>
      <c r="B142">
        <f>IF(ISBLANK(E142),"",VLOOKUP(E142,Code!B:C,2,FALSE))</f>
        <v>14</v>
      </c>
      <c r="C142">
        <v>110635</v>
      </c>
      <c r="D142" t="s">
        <v>63</v>
      </c>
      <c r="E142" t="s">
        <v>29</v>
      </c>
    </row>
    <row r="143" spans="1:7" x14ac:dyDescent="0.2">
      <c r="A143">
        <v>2020</v>
      </c>
      <c r="B143">
        <f>IF(ISBLANK(E143),"",VLOOKUP(E143,Code!B:C,2,FALSE))</f>
        <v>17</v>
      </c>
      <c r="C143">
        <v>110635</v>
      </c>
      <c r="D143" t="s">
        <v>63</v>
      </c>
      <c r="E143" t="s">
        <v>5</v>
      </c>
    </row>
    <row r="144" spans="1:7" x14ac:dyDescent="0.2">
      <c r="A144">
        <v>2020</v>
      </c>
      <c r="B144">
        <f>IF(ISBLANK(E144),"",VLOOKUP(E144,Code!B:C,2,FALSE))</f>
        <v>18</v>
      </c>
      <c r="C144">
        <v>110635</v>
      </c>
      <c r="D144" t="s">
        <v>63</v>
      </c>
      <c r="E144" t="s">
        <v>6</v>
      </c>
    </row>
    <row r="145" spans="1:7" x14ac:dyDescent="0.2">
      <c r="A145">
        <v>2020</v>
      </c>
      <c r="B145">
        <f>IF(ISBLANK(E145),"",VLOOKUP(E145,Code!B:C,2,FALSE))</f>
        <v>19</v>
      </c>
      <c r="C145">
        <v>110635</v>
      </c>
      <c r="D145" t="s">
        <v>63</v>
      </c>
      <c r="E145" t="s">
        <v>7</v>
      </c>
      <c r="F145" s="6">
        <v>10000</v>
      </c>
      <c r="G145" s="6">
        <v>10000</v>
      </c>
    </row>
    <row r="146" spans="1:7" x14ac:dyDescent="0.2">
      <c r="A146">
        <v>2020</v>
      </c>
      <c r="B146">
        <f>IF(ISBLANK(E146),"",VLOOKUP(E146,Code!B:C,2,FALSE))</f>
        <v>20</v>
      </c>
      <c r="C146">
        <v>110635</v>
      </c>
      <c r="D146" t="s">
        <v>63</v>
      </c>
      <c r="E146" t="s">
        <v>8</v>
      </c>
    </row>
    <row r="147" spans="1:7" x14ac:dyDescent="0.2">
      <c r="A147">
        <v>2020</v>
      </c>
      <c r="B147">
        <f>IF(ISBLANK(E147),"",VLOOKUP(E147,Code!B:C,2,FALSE))</f>
        <v>21</v>
      </c>
      <c r="C147">
        <v>110635</v>
      </c>
      <c r="D147" t="s">
        <v>63</v>
      </c>
      <c r="E147" t="s">
        <v>36</v>
      </c>
    </row>
    <row r="148" spans="1:7" x14ac:dyDescent="0.2">
      <c r="A148">
        <v>2020</v>
      </c>
      <c r="B148">
        <f>IF(ISBLANK(E148),"",VLOOKUP(E148,Code!B:C,2,FALSE))</f>
        <v>23</v>
      </c>
      <c r="C148">
        <v>110635</v>
      </c>
      <c r="D148" t="s">
        <v>63</v>
      </c>
      <c r="E148" t="s">
        <v>10</v>
      </c>
    </row>
    <row r="149" spans="1:7" x14ac:dyDescent="0.2">
      <c r="A149">
        <v>2020</v>
      </c>
      <c r="B149">
        <f>IF(ISBLANK(E149),"",VLOOKUP(E149,Code!B:C,2,FALSE))</f>
        <v>24</v>
      </c>
      <c r="C149">
        <v>110635</v>
      </c>
      <c r="D149" t="s">
        <v>63</v>
      </c>
      <c r="E149" t="s">
        <v>34</v>
      </c>
    </row>
    <row r="150" spans="1:7" x14ac:dyDescent="0.2">
      <c r="A150">
        <v>2021</v>
      </c>
      <c r="B150">
        <f>IF(ISBLANK(E150),"",VLOOKUP(E150,Code!B:C,2,FALSE))</f>
        <v>1</v>
      </c>
      <c r="C150">
        <v>110635</v>
      </c>
      <c r="D150" t="s">
        <v>63</v>
      </c>
      <c r="E150" t="s">
        <v>0</v>
      </c>
    </row>
    <row r="151" spans="1:7" x14ac:dyDescent="0.2">
      <c r="A151">
        <v>2021</v>
      </c>
      <c r="B151">
        <f>IF(ISBLANK(E151),"",VLOOKUP(E151,Code!B:C,2,FALSE))</f>
        <v>2</v>
      </c>
      <c r="C151">
        <v>110635</v>
      </c>
      <c r="D151" t="s">
        <v>63</v>
      </c>
      <c r="E151" t="s">
        <v>1</v>
      </c>
    </row>
    <row r="152" spans="1:7" x14ac:dyDescent="0.2">
      <c r="A152">
        <v>2021</v>
      </c>
      <c r="B152">
        <f>IF(ISBLANK(E152),"",VLOOKUP(E152,Code!B:C,2,FALSE))</f>
        <v>8</v>
      </c>
      <c r="C152">
        <v>110635</v>
      </c>
      <c r="D152" t="s">
        <v>63</v>
      </c>
      <c r="E152" t="s">
        <v>2</v>
      </c>
    </row>
    <row r="153" spans="1:7" x14ac:dyDescent="0.2">
      <c r="A153">
        <v>2021</v>
      </c>
      <c r="B153">
        <f>IF(ISBLANK(E153),"",VLOOKUP(E153,Code!B:C,2,FALSE))</f>
        <v>3</v>
      </c>
      <c r="C153">
        <v>110635</v>
      </c>
      <c r="D153" t="s">
        <v>63</v>
      </c>
      <c r="E153" t="s">
        <v>21</v>
      </c>
    </row>
    <row r="154" spans="1:7" x14ac:dyDescent="0.2">
      <c r="A154">
        <v>2021</v>
      </c>
      <c r="B154">
        <f>IF(ISBLANK(E154),"",VLOOKUP(E154,Code!B:C,2,FALSE))</f>
        <v>7</v>
      </c>
      <c r="C154">
        <v>110635</v>
      </c>
      <c r="D154" t="s">
        <v>63</v>
      </c>
      <c r="E154" t="s">
        <v>25</v>
      </c>
    </row>
    <row r="155" spans="1:7" x14ac:dyDescent="0.2">
      <c r="A155">
        <v>2021</v>
      </c>
      <c r="B155">
        <f>IF(ISBLANK(E155),"",VLOOKUP(E155,Code!B:C,2,FALSE))</f>
        <v>9</v>
      </c>
      <c r="C155">
        <v>110635</v>
      </c>
      <c r="D155" t="s">
        <v>63</v>
      </c>
      <c r="E155" t="s">
        <v>3</v>
      </c>
    </row>
    <row r="156" spans="1:7" x14ac:dyDescent="0.2">
      <c r="A156">
        <v>2021</v>
      </c>
      <c r="B156">
        <f>IF(ISBLANK(E156),"",VLOOKUP(E156,Code!B:C,2,FALSE))</f>
        <v>10</v>
      </c>
      <c r="C156">
        <v>110635</v>
      </c>
      <c r="D156" t="s">
        <v>63</v>
      </c>
      <c r="E156" t="s">
        <v>4</v>
      </c>
    </row>
    <row r="157" spans="1:7" x14ac:dyDescent="0.2">
      <c r="A157">
        <v>2021</v>
      </c>
      <c r="B157">
        <f>IF(ISBLANK(E157),"",VLOOKUP(E157,Code!B:C,2,FALSE))</f>
        <v>12</v>
      </c>
      <c r="C157">
        <v>110635</v>
      </c>
      <c r="D157" t="s">
        <v>63</v>
      </c>
      <c r="E157" t="s">
        <v>27</v>
      </c>
    </row>
    <row r="158" spans="1:7" x14ac:dyDescent="0.2">
      <c r="A158">
        <v>2021</v>
      </c>
      <c r="B158">
        <f>IF(ISBLANK(E158),"",VLOOKUP(E158,Code!B:C,2,FALSE))</f>
        <v>14</v>
      </c>
      <c r="C158">
        <v>110635</v>
      </c>
      <c r="D158" t="s">
        <v>63</v>
      </c>
      <c r="E158" t="s">
        <v>29</v>
      </c>
    </row>
    <row r="159" spans="1:7" x14ac:dyDescent="0.2">
      <c r="A159">
        <v>2021</v>
      </c>
      <c r="B159">
        <f>IF(ISBLANK(E159),"",VLOOKUP(E159,Code!B:C,2,FALSE))</f>
        <v>17</v>
      </c>
      <c r="C159">
        <v>110635</v>
      </c>
      <c r="D159" t="s">
        <v>63</v>
      </c>
      <c r="E159" t="s">
        <v>5</v>
      </c>
    </row>
    <row r="160" spans="1:7" x14ac:dyDescent="0.2">
      <c r="A160">
        <v>2021</v>
      </c>
      <c r="B160">
        <f>IF(ISBLANK(E160),"",VLOOKUP(E160,Code!B:C,2,FALSE))</f>
        <v>18</v>
      </c>
      <c r="C160">
        <v>110635</v>
      </c>
      <c r="D160" t="s">
        <v>63</v>
      </c>
      <c r="E160" t="s">
        <v>6</v>
      </c>
    </row>
    <row r="161" spans="1:7" x14ac:dyDescent="0.2">
      <c r="A161">
        <v>2021</v>
      </c>
      <c r="B161">
        <f>IF(ISBLANK(E161),"",VLOOKUP(E161,Code!B:C,2,FALSE))</f>
        <v>19</v>
      </c>
      <c r="C161">
        <v>110635</v>
      </c>
      <c r="D161" t="s">
        <v>63</v>
      </c>
      <c r="E161" t="s">
        <v>7</v>
      </c>
      <c r="F161">
        <v>10000</v>
      </c>
      <c r="G161">
        <v>10000</v>
      </c>
    </row>
    <row r="162" spans="1:7" x14ac:dyDescent="0.2">
      <c r="A162">
        <v>2021</v>
      </c>
      <c r="B162">
        <f>IF(ISBLANK(E162),"",VLOOKUP(E162,Code!B:C,2,FALSE))</f>
        <v>20</v>
      </c>
      <c r="C162">
        <v>110635</v>
      </c>
      <c r="D162" t="s">
        <v>63</v>
      </c>
      <c r="E162" t="s">
        <v>8</v>
      </c>
    </row>
    <row r="163" spans="1:7" x14ac:dyDescent="0.2">
      <c r="A163">
        <v>2021</v>
      </c>
      <c r="B163">
        <f>IF(ISBLANK(E163),"",VLOOKUP(E163,Code!B:C,2,FALSE))</f>
        <v>21</v>
      </c>
      <c r="C163">
        <v>110635</v>
      </c>
      <c r="D163" t="s">
        <v>63</v>
      </c>
      <c r="E163" t="s">
        <v>36</v>
      </c>
    </row>
    <row r="164" spans="1:7" x14ac:dyDescent="0.2">
      <c r="A164">
        <v>2021</v>
      </c>
      <c r="B164">
        <f>IF(ISBLANK(E164),"",VLOOKUP(E164,Code!B:C,2,FALSE))</f>
        <v>23</v>
      </c>
      <c r="C164">
        <v>110635</v>
      </c>
      <c r="D164" t="s">
        <v>63</v>
      </c>
      <c r="E164" t="s">
        <v>10</v>
      </c>
    </row>
    <row r="165" spans="1:7" x14ac:dyDescent="0.2">
      <c r="A165">
        <v>2021</v>
      </c>
      <c r="B165">
        <f>IF(ISBLANK(E165),"",VLOOKUP(E165,Code!B:C,2,FALSE))</f>
        <v>24</v>
      </c>
      <c r="C165">
        <v>110635</v>
      </c>
      <c r="D165" t="s">
        <v>63</v>
      </c>
      <c r="E165" t="s">
        <v>34</v>
      </c>
    </row>
    <row r="166" spans="1:7" x14ac:dyDescent="0.2">
      <c r="A166">
        <v>2022</v>
      </c>
      <c r="B166">
        <f>IF(ISBLANK(E166),"",VLOOKUP(E166,Code!B:C,2,FALSE))</f>
        <v>1</v>
      </c>
      <c r="C166">
        <v>110635</v>
      </c>
      <c r="D166" t="s">
        <v>63</v>
      </c>
      <c r="E166" t="s">
        <v>0</v>
      </c>
    </row>
    <row r="167" spans="1:7" x14ac:dyDescent="0.2">
      <c r="A167">
        <v>2022</v>
      </c>
      <c r="B167">
        <f>IF(ISBLANK(E167),"",VLOOKUP(E167,Code!B:C,2,FALSE))</f>
        <v>2</v>
      </c>
      <c r="C167">
        <v>110635</v>
      </c>
      <c r="D167" t="s">
        <v>63</v>
      </c>
      <c r="E167" t="s">
        <v>1</v>
      </c>
    </row>
    <row r="168" spans="1:7" x14ac:dyDescent="0.2">
      <c r="A168">
        <v>2022</v>
      </c>
      <c r="B168">
        <f>IF(ISBLANK(E168),"",VLOOKUP(E168,Code!B:C,2,FALSE))</f>
        <v>8</v>
      </c>
      <c r="C168">
        <v>110635</v>
      </c>
      <c r="D168" t="s">
        <v>63</v>
      </c>
      <c r="E168" t="s">
        <v>2</v>
      </c>
    </row>
    <row r="169" spans="1:7" x14ac:dyDescent="0.2">
      <c r="A169">
        <v>2022</v>
      </c>
      <c r="B169">
        <f>IF(ISBLANK(E169),"",VLOOKUP(E169,Code!B:C,2,FALSE))</f>
        <v>10</v>
      </c>
      <c r="C169">
        <v>110635</v>
      </c>
      <c r="D169" t="s">
        <v>63</v>
      </c>
      <c r="E169" t="s">
        <v>4</v>
      </c>
    </row>
    <row r="170" spans="1:7" x14ac:dyDescent="0.2">
      <c r="A170">
        <v>2022</v>
      </c>
      <c r="B170">
        <f>IF(ISBLANK(E170),"",VLOOKUP(E170,Code!B:C,2,FALSE))</f>
        <v>3</v>
      </c>
      <c r="C170">
        <v>110635</v>
      </c>
      <c r="D170" t="s">
        <v>63</v>
      </c>
      <c r="E170" t="s">
        <v>21</v>
      </c>
    </row>
    <row r="171" spans="1:7" x14ac:dyDescent="0.2">
      <c r="A171">
        <v>2022</v>
      </c>
      <c r="B171">
        <f>IF(ISBLANK(E171),"",VLOOKUP(E171,Code!B:C,2,FALSE))</f>
        <v>7</v>
      </c>
      <c r="C171">
        <v>110635</v>
      </c>
      <c r="D171" t="s">
        <v>63</v>
      </c>
      <c r="E171" t="s">
        <v>25</v>
      </c>
    </row>
    <row r="172" spans="1:7" x14ac:dyDescent="0.2">
      <c r="A172">
        <v>2022</v>
      </c>
      <c r="B172">
        <f>IF(ISBLANK(E172),"",VLOOKUP(E172,Code!B:C,2,FALSE))</f>
        <v>9</v>
      </c>
      <c r="C172">
        <v>110635</v>
      </c>
      <c r="D172" t="s">
        <v>63</v>
      </c>
      <c r="E172" t="s">
        <v>3</v>
      </c>
    </row>
    <row r="173" spans="1:7" x14ac:dyDescent="0.2">
      <c r="A173">
        <v>2022</v>
      </c>
      <c r="B173">
        <f>IF(ISBLANK(E173),"",VLOOKUP(E173,Code!B:C,2,FALSE))</f>
        <v>12</v>
      </c>
      <c r="C173">
        <v>110635</v>
      </c>
      <c r="D173" t="s">
        <v>63</v>
      </c>
      <c r="E173" t="s">
        <v>27</v>
      </c>
    </row>
    <row r="174" spans="1:7" x14ac:dyDescent="0.2">
      <c r="A174">
        <v>2022</v>
      </c>
      <c r="B174">
        <f>IF(ISBLANK(E174),"",VLOOKUP(E174,Code!B:C,2,FALSE))</f>
        <v>14</v>
      </c>
      <c r="C174">
        <v>110635</v>
      </c>
      <c r="D174" t="s">
        <v>63</v>
      </c>
      <c r="E174" t="s">
        <v>29</v>
      </c>
    </row>
    <row r="175" spans="1:7" x14ac:dyDescent="0.2">
      <c r="A175">
        <v>2022</v>
      </c>
      <c r="B175">
        <f>IF(ISBLANK(E175),"",VLOOKUP(E175,Code!B:C,2,FALSE))</f>
        <v>17</v>
      </c>
      <c r="C175">
        <v>110635</v>
      </c>
      <c r="D175" t="s">
        <v>63</v>
      </c>
      <c r="E175" t="s">
        <v>5</v>
      </c>
    </row>
    <row r="176" spans="1:7" x14ac:dyDescent="0.2">
      <c r="A176">
        <v>2022</v>
      </c>
      <c r="B176">
        <f>IF(ISBLANK(E176),"",VLOOKUP(E176,Code!B:C,2,FALSE))</f>
        <v>18</v>
      </c>
      <c r="C176">
        <v>110635</v>
      </c>
      <c r="D176" t="s">
        <v>63</v>
      </c>
      <c r="E176" t="s">
        <v>6</v>
      </c>
    </row>
    <row r="177" spans="1:7" x14ac:dyDescent="0.2">
      <c r="A177">
        <v>2022</v>
      </c>
      <c r="B177">
        <f>IF(ISBLANK(E177),"",VLOOKUP(E177,Code!B:C,2,FALSE))</f>
        <v>19</v>
      </c>
      <c r="C177">
        <v>110635</v>
      </c>
      <c r="D177" t="s">
        <v>63</v>
      </c>
      <c r="E177" t="s">
        <v>7</v>
      </c>
      <c r="F177" s="6">
        <v>20000</v>
      </c>
      <c r="G177" s="6">
        <v>20000</v>
      </c>
    </row>
    <row r="178" spans="1:7" x14ac:dyDescent="0.2">
      <c r="A178">
        <v>2022</v>
      </c>
      <c r="B178">
        <f>IF(ISBLANK(E178),"",VLOOKUP(E178,Code!B:C,2,FALSE))</f>
        <v>20</v>
      </c>
      <c r="C178">
        <v>110635</v>
      </c>
      <c r="D178" t="s">
        <v>63</v>
      </c>
      <c r="E178" t="s">
        <v>8</v>
      </c>
    </row>
    <row r="179" spans="1:7" x14ac:dyDescent="0.2">
      <c r="A179">
        <v>2022</v>
      </c>
      <c r="B179">
        <f>IF(ISBLANK(E179),"",VLOOKUP(E179,Code!B:C,2,FALSE))</f>
        <v>21</v>
      </c>
      <c r="C179">
        <v>110635</v>
      </c>
      <c r="D179" t="s">
        <v>63</v>
      </c>
      <c r="E179" t="s">
        <v>36</v>
      </c>
    </row>
    <row r="180" spans="1:7" x14ac:dyDescent="0.2">
      <c r="A180">
        <v>2022</v>
      </c>
      <c r="B180">
        <f>IF(ISBLANK(E180),"",VLOOKUP(E180,Code!B:C,2,FALSE))</f>
        <v>23</v>
      </c>
      <c r="C180">
        <v>110635</v>
      </c>
      <c r="D180" t="s">
        <v>63</v>
      </c>
      <c r="E180" t="s">
        <v>10</v>
      </c>
    </row>
    <row r="181" spans="1:7" x14ac:dyDescent="0.2">
      <c r="A181">
        <v>2022</v>
      </c>
      <c r="B181">
        <f>IF(ISBLANK(E181),"",VLOOKUP(E181,Code!B:C,2,FALSE))</f>
        <v>24</v>
      </c>
      <c r="C181">
        <v>110635</v>
      </c>
      <c r="D181" t="s">
        <v>63</v>
      </c>
      <c r="E181" t="s">
        <v>34</v>
      </c>
    </row>
    <row r="182" spans="1:7" x14ac:dyDescent="0.2">
      <c r="A182">
        <v>2023</v>
      </c>
      <c r="B182">
        <f>IF(ISBLANK(E182),"",VLOOKUP(E182,Code!B:C,2,FALSE))</f>
        <v>1</v>
      </c>
      <c r="C182">
        <v>110635</v>
      </c>
      <c r="D182" t="s">
        <v>63</v>
      </c>
      <c r="E182" t="s">
        <v>0</v>
      </c>
    </row>
    <row r="183" spans="1:7" x14ac:dyDescent="0.2">
      <c r="A183">
        <v>2023</v>
      </c>
      <c r="B183">
        <f>IF(ISBLANK(E183),"",VLOOKUP(E183,Code!B:C,2,FALSE))</f>
        <v>2</v>
      </c>
      <c r="C183">
        <v>110635</v>
      </c>
      <c r="D183" t="s">
        <v>63</v>
      </c>
      <c r="E183" t="s">
        <v>1</v>
      </c>
    </row>
    <row r="184" spans="1:7" x14ac:dyDescent="0.2">
      <c r="A184">
        <v>2023</v>
      </c>
      <c r="B184">
        <f>IF(ISBLANK(E184),"",VLOOKUP(E184,Code!B:C,2,FALSE))</f>
        <v>8</v>
      </c>
      <c r="C184">
        <v>110635</v>
      </c>
      <c r="D184" t="s">
        <v>63</v>
      </c>
      <c r="E184" t="s">
        <v>2</v>
      </c>
      <c r="F184" s="6">
        <v>466980</v>
      </c>
    </row>
    <row r="185" spans="1:7" x14ac:dyDescent="0.2">
      <c r="A185">
        <v>2023</v>
      </c>
      <c r="B185">
        <f>IF(ISBLANK(E185),"",VLOOKUP(E185,Code!B:C,2,FALSE))</f>
        <v>3</v>
      </c>
      <c r="C185">
        <v>110635</v>
      </c>
      <c r="D185" t="s">
        <v>63</v>
      </c>
      <c r="E185" t="s">
        <v>21</v>
      </c>
    </row>
    <row r="186" spans="1:7" x14ac:dyDescent="0.2">
      <c r="A186">
        <v>2023</v>
      </c>
      <c r="B186">
        <f>IF(ISBLANK(E186),"",VLOOKUP(E186,Code!B:C,2,FALSE))</f>
        <v>7</v>
      </c>
      <c r="C186">
        <v>110635</v>
      </c>
      <c r="D186" t="s">
        <v>63</v>
      </c>
      <c r="E186" t="s">
        <v>25</v>
      </c>
    </row>
    <row r="187" spans="1:7" x14ac:dyDescent="0.2">
      <c r="A187">
        <v>2023</v>
      </c>
      <c r="B187">
        <f>IF(ISBLANK(E187),"",VLOOKUP(E187,Code!B:C,2,FALSE))</f>
        <v>9</v>
      </c>
      <c r="C187">
        <v>110635</v>
      </c>
      <c r="D187" t="s">
        <v>63</v>
      </c>
      <c r="E187" t="s">
        <v>3</v>
      </c>
    </row>
    <row r="188" spans="1:7" x14ac:dyDescent="0.2">
      <c r="A188">
        <v>2023</v>
      </c>
      <c r="B188">
        <f>IF(ISBLANK(E188),"",VLOOKUP(E188,Code!B:C,2,FALSE))</f>
        <v>10</v>
      </c>
      <c r="C188">
        <v>110635</v>
      </c>
      <c r="D188" t="s">
        <v>63</v>
      </c>
      <c r="E188" t="s">
        <v>4</v>
      </c>
    </row>
    <row r="189" spans="1:7" x14ac:dyDescent="0.2">
      <c r="A189">
        <v>2023</v>
      </c>
      <c r="B189">
        <f>IF(ISBLANK(E189),"",VLOOKUP(E189,Code!B:C,2,FALSE))</f>
        <v>12</v>
      </c>
      <c r="C189">
        <v>110635</v>
      </c>
      <c r="D189" t="s">
        <v>63</v>
      </c>
      <c r="E189" t="s">
        <v>27</v>
      </c>
    </row>
    <row r="190" spans="1:7" x14ac:dyDescent="0.2">
      <c r="A190">
        <v>2023</v>
      </c>
      <c r="B190">
        <f>IF(ISBLANK(E190),"",VLOOKUP(E190,Code!B:C,2,FALSE))</f>
        <v>14</v>
      </c>
      <c r="C190">
        <v>110635</v>
      </c>
      <c r="D190" t="s">
        <v>63</v>
      </c>
      <c r="E190" t="s">
        <v>29</v>
      </c>
    </row>
    <row r="191" spans="1:7" x14ac:dyDescent="0.2">
      <c r="A191">
        <v>2023</v>
      </c>
      <c r="B191">
        <f>IF(ISBLANK(E191),"",VLOOKUP(E191,Code!B:C,2,FALSE))</f>
        <v>17</v>
      </c>
      <c r="C191">
        <v>110635</v>
      </c>
      <c r="D191" t="s">
        <v>63</v>
      </c>
      <c r="E191" t="s">
        <v>5</v>
      </c>
    </row>
    <row r="192" spans="1:7" x14ac:dyDescent="0.2">
      <c r="A192">
        <v>2023</v>
      </c>
      <c r="B192">
        <f>IF(ISBLANK(E192),"",VLOOKUP(E192,Code!B:C,2,FALSE))</f>
        <v>18</v>
      </c>
      <c r="C192">
        <v>110635</v>
      </c>
      <c r="D192" t="s">
        <v>63</v>
      </c>
      <c r="E192" t="s">
        <v>6</v>
      </c>
    </row>
    <row r="193" spans="1:7" x14ac:dyDescent="0.2">
      <c r="A193">
        <v>2023</v>
      </c>
      <c r="B193">
        <f>IF(ISBLANK(E193),"",VLOOKUP(E193,Code!B:C,2,FALSE))</f>
        <v>19</v>
      </c>
      <c r="C193">
        <v>110635</v>
      </c>
      <c r="D193" t="s">
        <v>63</v>
      </c>
      <c r="E193" t="s">
        <v>7</v>
      </c>
      <c r="G193" s="6">
        <v>10000</v>
      </c>
    </row>
    <row r="194" spans="1:7" x14ac:dyDescent="0.2">
      <c r="A194">
        <v>2023</v>
      </c>
      <c r="B194">
        <f>IF(ISBLANK(E194),"",VLOOKUP(E194,Code!B:C,2,FALSE))</f>
        <v>20</v>
      </c>
      <c r="C194">
        <v>110635</v>
      </c>
      <c r="D194" t="s">
        <v>63</v>
      </c>
      <c r="E194" t="s">
        <v>8</v>
      </c>
    </row>
    <row r="195" spans="1:7" x14ac:dyDescent="0.2">
      <c r="A195">
        <v>2023</v>
      </c>
      <c r="B195">
        <f>IF(ISBLANK(E195),"",VLOOKUP(E195,Code!B:C,2,FALSE))</f>
        <v>21</v>
      </c>
      <c r="C195">
        <v>110635</v>
      </c>
      <c r="D195" t="s">
        <v>63</v>
      </c>
      <c r="E195" t="s">
        <v>9</v>
      </c>
    </row>
    <row r="196" spans="1:7" x14ac:dyDescent="0.2">
      <c r="A196">
        <v>2023</v>
      </c>
      <c r="B196">
        <f>IF(ISBLANK(E196),"",VLOOKUP(E196,Code!B:C,2,FALSE))</f>
        <v>23</v>
      </c>
      <c r="C196">
        <v>110635</v>
      </c>
      <c r="D196" t="s">
        <v>63</v>
      </c>
      <c r="E196" t="s">
        <v>10</v>
      </c>
    </row>
    <row r="197" spans="1:7" x14ac:dyDescent="0.2">
      <c r="A197">
        <v>2023</v>
      </c>
      <c r="B197">
        <f>IF(ISBLANK(E197),"",VLOOKUP(E197,Code!B:C,2,FALSE))</f>
        <v>24</v>
      </c>
      <c r="C197">
        <v>110635</v>
      </c>
      <c r="D197" t="s">
        <v>63</v>
      </c>
      <c r="E197" t="s">
        <v>34</v>
      </c>
    </row>
    <row r="198" spans="1:7" x14ac:dyDescent="0.2">
      <c r="A198">
        <v>2017</v>
      </c>
      <c r="B198">
        <f>IF(ISBLANK(E198),"",VLOOKUP(E198,Code!B:C,2,FALSE))</f>
        <v>2</v>
      </c>
      <c r="C198">
        <v>126614</v>
      </c>
      <c r="D198" t="s">
        <v>75</v>
      </c>
      <c r="E198" t="s">
        <v>1</v>
      </c>
    </row>
    <row r="199" spans="1:7" x14ac:dyDescent="0.2">
      <c r="A199">
        <v>2017</v>
      </c>
      <c r="B199">
        <f>IF(ISBLANK(E199),"",VLOOKUP(E199,Code!B:C,2,FALSE))</f>
        <v>8</v>
      </c>
      <c r="C199">
        <v>126614</v>
      </c>
      <c r="D199" t="s">
        <v>75</v>
      </c>
      <c r="E199" t="s">
        <v>2</v>
      </c>
      <c r="F199" s="6">
        <v>42557</v>
      </c>
    </row>
    <row r="200" spans="1:7" x14ac:dyDescent="0.2">
      <c r="A200">
        <v>2017</v>
      </c>
      <c r="B200">
        <f>IF(ISBLANK(E200),"",VLOOKUP(E200,Code!B:C,2,FALSE))</f>
        <v>9</v>
      </c>
      <c r="C200">
        <v>126614</v>
      </c>
      <c r="D200" t="s">
        <v>75</v>
      </c>
      <c r="E200" t="s">
        <v>3</v>
      </c>
      <c r="G200" s="6">
        <v>10496</v>
      </c>
    </row>
    <row r="201" spans="1:7" x14ac:dyDescent="0.2">
      <c r="A201">
        <v>2017</v>
      </c>
      <c r="B201">
        <f>IF(ISBLANK(E201),"",VLOOKUP(E201,Code!B:C,2,FALSE))</f>
        <v>16</v>
      </c>
      <c r="C201">
        <v>126614</v>
      </c>
      <c r="D201" t="s">
        <v>75</v>
      </c>
      <c r="E201" t="s">
        <v>31</v>
      </c>
    </row>
    <row r="202" spans="1:7" x14ac:dyDescent="0.2">
      <c r="A202">
        <v>2017</v>
      </c>
      <c r="B202">
        <f>IF(ISBLANK(E202),"",VLOOKUP(E202,Code!B:C,2,FALSE))</f>
        <v>21</v>
      </c>
      <c r="C202">
        <v>126614</v>
      </c>
      <c r="D202" t="s">
        <v>75</v>
      </c>
      <c r="E202" t="s">
        <v>36</v>
      </c>
    </row>
    <row r="203" spans="1:7" x14ac:dyDescent="0.2">
      <c r="A203">
        <v>2017</v>
      </c>
      <c r="B203">
        <f>IF(ISBLANK(E203),"",VLOOKUP(E203,Code!B:C,2,FALSE))</f>
        <v>12</v>
      </c>
      <c r="C203">
        <v>126614</v>
      </c>
      <c r="D203" t="s">
        <v>75</v>
      </c>
      <c r="E203" t="s">
        <v>27</v>
      </c>
    </row>
    <row r="204" spans="1:7" x14ac:dyDescent="0.2">
      <c r="A204">
        <v>2017</v>
      </c>
      <c r="B204">
        <f>IF(ISBLANK(E204),"",VLOOKUP(E204,Code!B:C,2,FALSE))</f>
        <v>17</v>
      </c>
      <c r="C204">
        <v>126614</v>
      </c>
      <c r="D204" t="s">
        <v>75</v>
      </c>
      <c r="E204" t="s">
        <v>5</v>
      </c>
    </row>
    <row r="205" spans="1:7" x14ac:dyDescent="0.2">
      <c r="A205">
        <v>2017</v>
      </c>
      <c r="B205">
        <f>IF(ISBLANK(E205),"",VLOOKUP(E205,Code!B:C,2,FALSE))</f>
        <v>20</v>
      </c>
      <c r="C205">
        <v>126614</v>
      </c>
      <c r="D205" t="s">
        <v>75</v>
      </c>
      <c r="E205" t="s">
        <v>8</v>
      </c>
    </row>
    <row r="206" spans="1:7" x14ac:dyDescent="0.2">
      <c r="A206">
        <v>2017</v>
      </c>
      <c r="B206">
        <f>IF(ISBLANK(E206),"",VLOOKUP(E206,Code!B:C,2,FALSE))</f>
        <v>23</v>
      </c>
      <c r="C206">
        <v>126614</v>
      </c>
      <c r="D206" t="s">
        <v>75</v>
      </c>
      <c r="E206" t="s">
        <v>10</v>
      </c>
    </row>
    <row r="207" spans="1:7" x14ac:dyDescent="0.2">
      <c r="A207">
        <v>2018</v>
      </c>
      <c r="B207">
        <f>IF(ISBLANK(E207),"",VLOOKUP(E207,Code!B:C,2,FALSE))</f>
        <v>2</v>
      </c>
      <c r="C207">
        <v>126614</v>
      </c>
      <c r="D207" t="s">
        <v>75</v>
      </c>
      <c r="E207" t="s">
        <v>1</v>
      </c>
    </row>
    <row r="208" spans="1:7" x14ac:dyDescent="0.2">
      <c r="A208">
        <v>2018</v>
      </c>
      <c r="B208">
        <f>IF(ISBLANK(E208),"",VLOOKUP(E208,Code!B:C,2,FALSE))</f>
        <v>8</v>
      </c>
      <c r="C208">
        <v>126614</v>
      </c>
      <c r="D208" t="s">
        <v>75</v>
      </c>
      <c r="E208" t="s">
        <v>2</v>
      </c>
      <c r="F208" s="6">
        <v>39776</v>
      </c>
    </row>
    <row r="209" spans="1:7" x14ac:dyDescent="0.2">
      <c r="A209">
        <v>2018</v>
      </c>
      <c r="B209">
        <f>IF(ISBLANK(E209),"",VLOOKUP(E209,Code!B:C,2,FALSE))</f>
        <v>9</v>
      </c>
      <c r="C209">
        <v>126614</v>
      </c>
      <c r="D209" t="s">
        <v>75</v>
      </c>
      <c r="E209" t="s">
        <v>3</v>
      </c>
    </row>
    <row r="210" spans="1:7" x14ac:dyDescent="0.2">
      <c r="A210">
        <v>2018</v>
      </c>
      <c r="B210">
        <f>IF(ISBLANK(E210),"",VLOOKUP(E210,Code!B:C,2,FALSE))</f>
        <v>16</v>
      </c>
      <c r="C210">
        <v>126614</v>
      </c>
      <c r="D210" t="s">
        <v>75</v>
      </c>
      <c r="E210" t="s">
        <v>31</v>
      </c>
    </row>
    <row r="211" spans="1:7" x14ac:dyDescent="0.2">
      <c r="A211">
        <v>2018</v>
      </c>
      <c r="B211">
        <f>IF(ISBLANK(E211),"",VLOOKUP(E211,Code!B:C,2,FALSE))</f>
        <v>9</v>
      </c>
      <c r="C211">
        <v>126614</v>
      </c>
      <c r="D211" t="s">
        <v>75</v>
      </c>
      <c r="E211" t="s">
        <v>3</v>
      </c>
    </row>
    <row r="212" spans="1:7" x14ac:dyDescent="0.2">
      <c r="A212">
        <v>2018</v>
      </c>
      <c r="B212">
        <f>IF(ISBLANK(E212),"",VLOOKUP(E212,Code!B:C,2,FALSE))</f>
        <v>12</v>
      </c>
      <c r="C212">
        <v>126614</v>
      </c>
      <c r="D212" t="s">
        <v>75</v>
      </c>
      <c r="E212" t="s">
        <v>27</v>
      </c>
    </row>
    <row r="213" spans="1:7" x14ac:dyDescent="0.2">
      <c r="A213">
        <v>2018</v>
      </c>
      <c r="B213">
        <f>IF(ISBLANK(E213),"",VLOOKUP(E213,Code!B:C,2,FALSE))</f>
        <v>17</v>
      </c>
      <c r="C213">
        <v>126614</v>
      </c>
      <c r="D213" t="s">
        <v>75</v>
      </c>
      <c r="E213" t="s">
        <v>5</v>
      </c>
    </row>
    <row r="214" spans="1:7" x14ac:dyDescent="0.2">
      <c r="A214">
        <v>2018</v>
      </c>
      <c r="B214">
        <f>IF(ISBLANK(E214),"",VLOOKUP(E214,Code!B:C,2,FALSE))</f>
        <v>20</v>
      </c>
      <c r="C214">
        <v>126614</v>
      </c>
      <c r="D214" t="s">
        <v>75</v>
      </c>
      <c r="E214" t="s">
        <v>8</v>
      </c>
    </row>
    <row r="215" spans="1:7" x14ac:dyDescent="0.2">
      <c r="A215">
        <v>2018</v>
      </c>
      <c r="B215">
        <f>IF(ISBLANK(E215),"",VLOOKUP(E215,Code!B:C,2,FALSE))</f>
        <v>21</v>
      </c>
      <c r="C215">
        <v>126614</v>
      </c>
      <c r="D215" t="s">
        <v>75</v>
      </c>
      <c r="E215" t="s">
        <v>36</v>
      </c>
    </row>
    <row r="216" spans="1:7" x14ac:dyDescent="0.2">
      <c r="A216">
        <v>2018</v>
      </c>
      <c r="B216">
        <f>IF(ISBLANK(E216),"",VLOOKUP(E216,Code!B:C,2,FALSE))</f>
        <v>23</v>
      </c>
      <c r="C216">
        <v>126614</v>
      </c>
      <c r="D216" t="s">
        <v>75</v>
      </c>
      <c r="E216" t="s">
        <v>10</v>
      </c>
    </row>
    <row r="217" spans="1:7" x14ac:dyDescent="0.2">
      <c r="A217">
        <v>2019</v>
      </c>
      <c r="B217">
        <f>IF(ISBLANK(E217),"",VLOOKUP(E217,Code!B:C,2,FALSE))</f>
        <v>2</v>
      </c>
      <c r="C217">
        <v>126614</v>
      </c>
      <c r="D217" t="s">
        <v>75</v>
      </c>
      <c r="E217" t="s">
        <v>1</v>
      </c>
    </row>
    <row r="218" spans="1:7" x14ac:dyDescent="0.2">
      <c r="A218">
        <v>2019</v>
      </c>
      <c r="B218">
        <f>IF(ISBLANK(E218),"",VLOOKUP(E218,Code!B:C,2,FALSE))</f>
        <v>8</v>
      </c>
      <c r="C218">
        <v>126614</v>
      </c>
      <c r="D218" t="s">
        <v>75</v>
      </c>
      <c r="E218" t="s">
        <v>2</v>
      </c>
      <c r="F218" s="6">
        <v>30375</v>
      </c>
    </row>
    <row r="219" spans="1:7" x14ac:dyDescent="0.2">
      <c r="A219">
        <v>2019</v>
      </c>
      <c r="B219">
        <f>IF(ISBLANK(E219),"",VLOOKUP(E219,Code!B:C,2,FALSE))</f>
        <v>9</v>
      </c>
      <c r="C219">
        <v>126614</v>
      </c>
      <c r="D219" t="s">
        <v>75</v>
      </c>
      <c r="E219" t="s">
        <v>3</v>
      </c>
      <c r="G219" s="6">
        <v>5000</v>
      </c>
    </row>
    <row r="220" spans="1:7" x14ac:dyDescent="0.2">
      <c r="A220">
        <v>2019</v>
      </c>
      <c r="B220">
        <f>IF(ISBLANK(E220),"",VLOOKUP(E220,Code!B:C,2,FALSE))</f>
        <v>16</v>
      </c>
      <c r="C220">
        <v>126614</v>
      </c>
      <c r="D220" t="s">
        <v>75</v>
      </c>
      <c r="E220" t="s">
        <v>31</v>
      </c>
    </row>
    <row r="221" spans="1:7" x14ac:dyDescent="0.2">
      <c r="A221">
        <v>2019</v>
      </c>
      <c r="B221">
        <f>IF(ISBLANK(E221),"",VLOOKUP(E221,Code!B:C,2,FALSE))</f>
        <v>21</v>
      </c>
      <c r="C221">
        <v>126614</v>
      </c>
      <c r="D221" t="s">
        <v>75</v>
      </c>
      <c r="E221" t="s">
        <v>36</v>
      </c>
    </row>
    <row r="222" spans="1:7" x14ac:dyDescent="0.2">
      <c r="A222">
        <v>2019</v>
      </c>
      <c r="B222">
        <f>IF(ISBLANK(E222),"",VLOOKUP(E222,Code!B:C,2,FALSE))</f>
        <v>12</v>
      </c>
      <c r="C222">
        <v>126614</v>
      </c>
      <c r="D222" t="s">
        <v>75</v>
      </c>
      <c r="E222" t="s">
        <v>27</v>
      </c>
    </row>
    <row r="223" spans="1:7" x14ac:dyDescent="0.2">
      <c r="A223">
        <v>2019</v>
      </c>
      <c r="B223">
        <f>IF(ISBLANK(E223),"",VLOOKUP(E223,Code!B:C,2,FALSE))</f>
        <v>17</v>
      </c>
      <c r="C223">
        <v>126614</v>
      </c>
      <c r="D223" t="s">
        <v>75</v>
      </c>
      <c r="E223" t="s">
        <v>5</v>
      </c>
    </row>
    <row r="224" spans="1:7" x14ac:dyDescent="0.2">
      <c r="A224">
        <v>2019</v>
      </c>
      <c r="B224">
        <f>IF(ISBLANK(E224),"",VLOOKUP(E224,Code!B:C,2,FALSE))</f>
        <v>20</v>
      </c>
      <c r="C224">
        <v>126614</v>
      </c>
      <c r="D224" t="s">
        <v>75</v>
      </c>
      <c r="E224" t="s">
        <v>8</v>
      </c>
    </row>
    <row r="225" spans="1:6" x14ac:dyDescent="0.2">
      <c r="A225">
        <v>2019</v>
      </c>
      <c r="B225">
        <f>IF(ISBLANK(E225),"",VLOOKUP(E225,Code!B:C,2,FALSE))</f>
        <v>23</v>
      </c>
      <c r="C225">
        <v>126614</v>
      </c>
      <c r="D225" t="s">
        <v>75</v>
      </c>
      <c r="E225" t="s">
        <v>10</v>
      </c>
    </row>
    <row r="226" spans="1:6" x14ac:dyDescent="0.2">
      <c r="A226">
        <v>2020</v>
      </c>
      <c r="B226">
        <f>IF(ISBLANK(E226),"",VLOOKUP(E226,Code!B:C,2,FALSE))</f>
        <v>2</v>
      </c>
      <c r="C226">
        <v>126614</v>
      </c>
      <c r="D226" t="s">
        <v>75</v>
      </c>
      <c r="E226" t="s">
        <v>1</v>
      </c>
    </row>
    <row r="227" spans="1:6" x14ac:dyDescent="0.2">
      <c r="A227">
        <v>2020</v>
      </c>
      <c r="B227">
        <f>IF(ISBLANK(E227),"",VLOOKUP(E227,Code!B:C,2,FALSE))</f>
        <v>8</v>
      </c>
      <c r="C227">
        <v>126614</v>
      </c>
      <c r="D227" t="s">
        <v>75</v>
      </c>
      <c r="E227" t="s">
        <v>2</v>
      </c>
      <c r="F227" s="6">
        <v>7776</v>
      </c>
    </row>
    <row r="228" spans="1:6" x14ac:dyDescent="0.2">
      <c r="A228">
        <v>2020</v>
      </c>
      <c r="B228">
        <f>IF(ISBLANK(E228),"",VLOOKUP(E228,Code!B:C,2,FALSE))</f>
        <v>9</v>
      </c>
      <c r="C228">
        <v>126614</v>
      </c>
      <c r="D228" t="s">
        <v>75</v>
      </c>
      <c r="E228" t="s">
        <v>3</v>
      </c>
    </row>
    <row r="229" spans="1:6" x14ac:dyDescent="0.2">
      <c r="A229">
        <v>2020</v>
      </c>
      <c r="B229">
        <f>IF(ISBLANK(E229),"",VLOOKUP(E229,Code!B:C,2,FALSE))</f>
        <v>16</v>
      </c>
      <c r="C229">
        <v>126614</v>
      </c>
      <c r="D229" t="s">
        <v>75</v>
      </c>
      <c r="E229" t="s">
        <v>31</v>
      </c>
    </row>
    <row r="230" spans="1:6" x14ac:dyDescent="0.2">
      <c r="A230">
        <v>2020</v>
      </c>
      <c r="B230">
        <f>IF(ISBLANK(E230),"",VLOOKUP(E230,Code!B:C,2,FALSE))</f>
        <v>12</v>
      </c>
      <c r="C230">
        <v>126614</v>
      </c>
      <c r="D230" t="s">
        <v>75</v>
      </c>
      <c r="E230" t="s">
        <v>27</v>
      </c>
    </row>
    <row r="231" spans="1:6" x14ac:dyDescent="0.2">
      <c r="A231">
        <v>2020</v>
      </c>
      <c r="B231">
        <f>IF(ISBLANK(E231),"",VLOOKUP(E231,Code!B:C,2,FALSE))</f>
        <v>17</v>
      </c>
      <c r="C231">
        <v>126614</v>
      </c>
      <c r="D231" t="s">
        <v>75</v>
      </c>
      <c r="E231" t="s">
        <v>5</v>
      </c>
    </row>
    <row r="232" spans="1:6" x14ac:dyDescent="0.2">
      <c r="A232">
        <v>2020</v>
      </c>
      <c r="B232">
        <f>IF(ISBLANK(E232),"",VLOOKUP(E232,Code!B:C,2,FALSE))</f>
        <v>20</v>
      </c>
      <c r="C232">
        <v>126614</v>
      </c>
      <c r="D232" t="s">
        <v>75</v>
      </c>
      <c r="E232" t="s">
        <v>8</v>
      </c>
    </row>
    <row r="233" spans="1:6" x14ac:dyDescent="0.2">
      <c r="A233">
        <v>2020</v>
      </c>
      <c r="B233">
        <f>IF(ISBLANK(E233),"",VLOOKUP(E233,Code!B:C,2,FALSE))</f>
        <v>21</v>
      </c>
      <c r="C233">
        <v>126614</v>
      </c>
      <c r="D233" t="s">
        <v>75</v>
      </c>
      <c r="E233" t="s">
        <v>36</v>
      </c>
    </row>
    <row r="234" spans="1:6" x14ac:dyDescent="0.2">
      <c r="A234">
        <v>2020</v>
      </c>
      <c r="B234">
        <f>IF(ISBLANK(E234),"",VLOOKUP(E234,Code!B:C,2,FALSE))</f>
        <v>23</v>
      </c>
      <c r="C234">
        <v>126614</v>
      </c>
      <c r="D234" t="s">
        <v>75</v>
      </c>
      <c r="E234" t="s">
        <v>10</v>
      </c>
    </row>
    <row r="235" spans="1:6" x14ac:dyDescent="0.2">
      <c r="A235">
        <v>2021</v>
      </c>
      <c r="B235">
        <f>IF(ISBLANK(E235),"",VLOOKUP(E235,Code!B:C,2,FALSE))</f>
        <v>2</v>
      </c>
      <c r="C235">
        <v>126614</v>
      </c>
      <c r="D235" t="s">
        <v>75</v>
      </c>
      <c r="E235" t="s">
        <v>1</v>
      </c>
    </row>
    <row r="236" spans="1:6" x14ac:dyDescent="0.2">
      <c r="A236">
        <v>2021</v>
      </c>
      <c r="B236">
        <f>IF(ISBLANK(E236),"",VLOOKUP(E236,Code!B:C,2,FALSE))</f>
        <v>8</v>
      </c>
      <c r="C236">
        <v>126614</v>
      </c>
      <c r="D236" t="s">
        <v>75</v>
      </c>
      <c r="E236" t="s">
        <v>2</v>
      </c>
      <c r="F236" s="6">
        <v>10000</v>
      </c>
    </row>
    <row r="237" spans="1:6" x14ac:dyDescent="0.2">
      <c r="A237">
        <v>2021</v>
      </c>
      <c r="B237">
        <f>IF(ISBLANK(E237),"",VLOOKUP(E237,Code!B:C,2,FALSE))</f>
        <v>9</v>
      </c>
      <c r="C237">
        <v>126614</v>
      </c>
      <c r="D237" t="s">
        <v>75</v>
      </c>
      <c r="E237" t="s">
        <v>3</v>
      </c>
    </row>
    <row r="238" spans="1:6" x14ac:dyDescent="0.2">
      <c r="A238">
        <v>2021</v>
      </c>
      <c r="B238">
        <f>IF(ISBLANK(E238),"",VLOOKUP(E238,Code!B:C,2,FALSE))</f>
        <v>12</v>
      </c>
      <c r="C238">
        <v>126614</v>
      </c>
      <c r="D238" t="s">
        <v>75</v>
      </c>
      <c r="E238" t="s">
        <v>27</v>
      </c>
    </row>
    <row r="239" spans="1:6" x14ac:dyDescent="0.2">
      <c r="A239">
        <v>2021</v>
      </c>
      <c r="B239">
        <f>IF(ISBLANK(E239),"",VLOOKUP(E239,Code!B:C,2,FALSE))</f>
        <v>16</v>
      </c>
      <c r="C239">
        <v>126614</v>
      </c>
      <c r="D239" t="s">
        <v>75</v>
      </c>
      <c r="E239" t="s">
        <v>31</v>
      </c>
    </row>
    <row r="240" spans="1:6" x14ac:dyDescent="0.2">
      <c r="A240">
        <v>2021</v>
      </c>
      <c r="B240">
        <f>IF(ISBLANK(E240),"",VLOOKUP(E240,Code!B:C,2,FALSE))</f>
        <v>17</v>
      </c>
      <c r="C240">
        <v>126614</v>
      </c>
      <c r="D240" t="s">
        <v>75</v>
      </c>
      <c r="E240" t="s">
        <v>5</v>
      </c>
    </row>
    <row r="241" spans="1:5" x14ac:dyDescent="0.2">
      <c r="A241">
        <v>2021</v>
      </c>
      <c r="B241">
        <f>IF(ISBLANK(E241),"",VLOOKUP(E241,Code!B:C,2,FALSE))</f>
        <v>20</v>
      </c>
      <c r="C241">
        <v>126614</v>
      </c>
      <c r="D241" t="s">
        <v>75</v>
      </c>
      <c r="E241" t="s">
        <v>8</v>
      </c>
    </row>
    <row r="242" spans="1:5" x14ac:dyDescent="0.2">
      <c r="A242">
        <v>2021</v>
      </c>
      <c r="B242">
        <f>IF(ISBLANK(E242),"",VLOOKUP(E242,Code!B:C,2,FALSE))</f>
        <v>21</v>
      </c>
      <c r="C242">
        <v>126614</v>
      </c>
      <c r="D242" t="s">
        <v>75</v>
      </c>
      <c r="E242" t="s">
        <v>36</v>
      </c>
    </row>
    <row r="243" spans="1:5" x14ac:dyDescent="0.2">
      <c r="A243">
        <v>2021</v>
      </c>
      <c r="B243">
        <f>IF(ISBLANK(E243),"",VLOOKUP(E243,Code!B:C,2,FALSE))</f>
        <v>23</v>
      </c>
      <c r="C243">
        <v>126614</v>
      </c>
      <c r="D243" t="s">
        <v>75</v>
      </c>
      <c r="E243" t="s">
        <v>10</v>
      </c>
    </row>
    <row r="244" spans="1:5" x14ac:dyDescent="0.2">
      <c r="A244">
        <v>2022</v>
      </c>
      <c r="B244">
        <f>IF(ISBLANK(E244),"",VLOOKUP(E244,Code!B:C,2,FALSE))</f>
        <v>2</v>
      </c>
      <c r="C244">
        <v>126614</v>
      </c>
      <c r="D244" t="s">
        <v>75</v>
      </c>
      <c r="E244" t="s">
        <v>1</v>
      </c>
    </row>
    <row r="245" spans="1:5" x14ac:dyDescent="0.2">
      <c r="A245">
        <v>2022</v>
      </c>
      <c r="B245">
        <f>IF(ISBLANK(E245),"",VLOOKUP(E245,Code!B:C,2,FALSE))</f>
        <v>8</v>
      </c>
      <c r="C245">
        <v>126614</v>
      </c>
      <c r="D245" t="s">
        <v>75</v>
      </c>
      <c r="E245" t="s">
        <v>2</v>
      </c>
    </row>
    <row r="246" spans="1:5" x14ac:dyDescent="0.2">
      <c r="A246">
        <v>2022</v>
      </c>
      <c r="B246">
        <f>IF(ISBLANK(E246),"",VLOOKUP(E246,Code!B:C,2,FALSE))</f>
        <v>9</v>
      </c>
      <c r="C246">
        <v>126614</v>
      </c>
      <c r="D246" t="s">
        <v>75</v>
      </c>
      <c r="E246" t="s">
        <v>3</v>
      </c>
    </row>
    <row r="247" spans="1:5" x14ac:dyDescent="0.2">
      <c r="A247">
        <v>2022</v>
      </c>
      <c r="B247">
        <f>IF(ISBLANK(E247),"",VLOOKUP(E247,Code!B:C,2,FALSE))</f>
        <v>12</v>
      </c>
      <c r="C247">
        <v>126614</v>
      </c>
      <c r="D247" t="s">
        <v>75</v>
      </c>
      <c r="E247" t="s">
        <v>27</v>
      </c>
    </row>
    <row r="248" spans="1:5" x14ac:dyDescent="0.2">
      <c r="A248">
        <v>2022</v>
      </c>
      <c r="B248">
        <f>IF(ISBLANK(E248),"",VLOOKUP(E248,Code!B:C,2,FALSE))</f>
        <v>16</v>
      </c>
      <c r="C248">
        <v>126614</v>
      </c>
      <c r="D248" t="s">
        <v>75</v>
      </c>
      <c r="E248" t="s">
        <v>31</v>
      </c>
    </row>
    <row r="249" spans="1:5" x14ac:dyDescent="0.2">
      <c r="A249">
        <v>2022</v>
      </c>
      <c r="B249">
        <f>IF(ISBLANK(E249),"",VLOOKUP(E249,Code!B:C,2,FALSE))</f>
        <v>17</v>
      </c>
      <c r="C249">
        <v>126614</v>
      </c>
      <c r="D249" t="s">
        <v>75</v>
      </c>
      <c r="E249" t="s">
        <v>5</v>
      </c>
    </row>
    <row r="250" spans="1:5" x14ac:dyDescent="0.2">
      <c r="A250">
        <v>2022</v>
      </c>
      <c r="B250">
        <f>IF(ISBLANK(E250),"",VLOOKUP(E250,Code!B:C,2,FALSE))</f>
        <v>20</v>
      </c>
      <c r="C250">
        <v>126614</v>
      </c>
      <c r="D250" t="s">
        <v>75</v>
      </c>
      <c r="E250" t="s">
        <v>8</v>
      </c>
    </row>
    <row r="251" spans="1:5" x14ac:dyDescent="0.2">
      <c r="A251">
        <v>2022</v>
      </c>
      <c r="B251">
        <f>IF(ISBLANK(E251),"",VLOOKUP(E251,Code!B:C,2,FALSE))</f>
        <v>21</v>
      </c>
      <c r="C251">
        <v>126614</v>
      </c>
      <c r="D251" t="s">
        <v>75</v>
      </c>
      <c r="E251" t="s">
        <v>36</v>
      </c>
    </row>
    <row r="252" spans="1:5" x14ac:dyDescent="0.2">
      <c r="A252">
        <v>2022</v>
      </c>
      <c r="B252">
        <f>IF(ISBLANK(E252),"",VLOOKUP(E252,Code!B:C,2,FALSE))</f>
        <v>23</v>
      </c>
      <c r="C252">
        <v>126614</v>
      </c>
      <c r="D252" t="s">
        <v>75</v>
      </c>
      <c r="E252" t="s">
        <v>10</v>
      </c>
    </row>
    <row r="253" spans="1:5" x14ac:dyDescent="0.2">
      <c r="A253">
        <v>2023</v>
      </c>
      <c r="B253">
        <f>IF(ISBLANK(E253),"",VLOOKUP(E253,Code!B:C,2,FALSE))</f>
        <v>2</v>
      </c>
      <c r="C253">
        <v>126614</v>
      </c>
      <c r="D253" t="s">
        <v>75</v>
      </c>
      <c r="E253" t="s">
        <v>1</v>
      </c>
    </row>
    <row r="254" spans="1:5" x14ac:dyDescent="0.2">
      <c r="A254">
        <v>2023</v>
      </c>
      <c r="B254">
        <f>IF(ISBLANK(E254),"",VLOOKUP(E254,Code!B:C,2,FALSE))</f>
        <v>8</v>
      </c>
      <c r="C254">
        <v>126614</v>
      </c>
      <c r="D254" t="s">
        <v>75</v>
      </c>
      <c r="E254" t="s">
        <v>2</v>
      </c>
    </row>
    <row r="255" spans="1:5" x14ac:dyDescent="0.2">
      <c r="A255">
        <v>2023</v>
      </c>
      <c r="B255">
        <f>IF(ISBLANK(E255),"",VLOOKUP(E255,Code!B:C,2,FALSE))</f>
        <v>9</v>
      </c>
      <c r="C255">
        <v>126614</v>
      </c>
      <c r="D255" t="s">
        <v>75</v>
      </c>
      <c r="E255" t="s">
        <v>3</v>
      </c>
    </row>
    <row r="256" spans="1:5" x14ac:dyDescent="0.2">
      <c r="A256">
        <v>2023</v>
      </c>
      <c r="B256">
        <f>IF(ISBLANK(E256),"",VLOOKUP(E256,Code!B:C,2,FALSE))</f>
        <v>12</v>
      </c>
      <c r="C256">
        <v>126614</v>
      </c>
      <c r="D256" t="s">
        <v>75</v>
      </c>
      <c r="E256" t="s">
        <v>27</v>
      </c>
    </row>
    <row r="257" spans="1:6" x14ac:dyDescent="0.2">
      <c r="A257">
        <v>2023</v>
      </c>
      <c r="B257">
        <f>IF(ISBLANK(E257),"",VLOOKUP(E257,Code!B:C,2,FALSE))</f>
        <v>16</v>
      </c>
      <c r="C257">
        <v>126614</v>
      </c>
      <c r="D257" t="s">
        <v>75</v>
      </c>
      <c r="E257" t="s">
        <v>31</v>
      </c>
    </row>
    <row r="258" spans="1:6" x14ac:dyDescent="0.2">
      <c r="A258">
        <v>2023</v>
      </c>
      <c r="B258">
        <f>IF(ISBLANK(E258),"",VLOOKUP(E258,Code!B:C,2,FALSE))</f>
        <v>17</v>
      </c>
      <c r="C258">
        <v>126614</v>
      </c>
      <c r="D258" t="s">
        <v>75</v>
      </c>
      <c r="E258" t="s">
        <v>5</v>
      </c>
    </row>
    <row r="259" spans="1:6" x14ac:dyDescent="0.2">
      <c r="A259">
        <v>2023</v>
      </c>
      <c r="B259">
        <f>IF(ISBLANK(E259),"",VLOOKUP(E259,Code!B:C,2,FALSE))</f>
        <v>20</v>
      </c>
      <c r="C259">
        <v>126614</v>
      </c>
      <c r="D259" t="s">
        <v>75</v>
      </c>
      <c r="E259" t="s">
        <v>8</v>
      </c>
    </row>
    <row r="260" spans="1:6" x14ac:dyDescent="0.2">
      <c r="A260">
        <v>2023</v>
      </c>
      <c r="B260">
        <f>IF(ISBLANK(E260),"",VLOOKUP(E260,Code!B:C,2,FALSE))</f>
        <v>21</v>
      </c>
      <c r="C260">
        <v>126614</v>
      </c>
      <c r="D260" t="s">
        <v>75</v>
      </c>
      <c r="E260" t="s">
        <v>9</v>
      </c>
    </row>
    <row r="261" spans="1:6" x14ac:dyDescent="0.2">
      <c r="A261">
        <v>2023</v>
      </c>
      <c r="B261">
        <f>IF(ISBLANK(E261),"",VLOOKUP(E261,Code!B:C,2,FALSE))</f>
        <v>23</v>
      </c>
      <c r="C261">
        <v>126614</v>
      </c>
      <c r="D261" t="s">
        <v>75</v>
      </c>
      <c r="E261" t="s">
        <v>10</v>
      </c>
    </row>
    <row r="262" spans="1:6" x14ac:dyDescent="0.2">
      <c r="A262">
        <v>2017</v>
      </c>
      <c r="B262">
        <f>IF(ISBLANK(E262),"",VLOOKUP(E262,Code!B:C,2,FALSE))</f>
        <v>1</v>
      </c>
      <c r="C262">
        <v>163268</v>
      </c>
      <c r="D262" t="s">
        <v>127</v>
      </c>
      <c r="E262" t="s">
        <v>0</v>
      </c>
    </row>
    <row r="263" spans="1:6" x14ac:dyDescent="0.2">
      <c r="A263">
        <v>2017</v>
      </c>
      <c r="B263">
        <f>IF(ISBLANK(E263),"",VLOOKUP(E263,Code!B:C,2,FALSE))</f>
        <v>2</v>
      </c>
      <c r="C263">
        <v>163268</v>
      </c>
      <c r="D263" t="s">
        <v>127</v>
      </c>
      <c r="E263" t="s">
        <v>1</v>
      </c>
    </row>
    <row r="264" spans="1:6" x14ac:dyDescent="0.2">
      <c r="A264">
        <v>2017</v>
      </c>
      <c r="B264">
        <f>IF(ISBLANK(E264),"",VLOOKUP(E264,Code!B:C,2,FALSE))</f>
        <v>12</v>
      </c>
      <c r="C264">
        <v>163268</v>
      </c>
      <c r="D264" t="s">
        <v>127</v>
      </c>
      <c r="E264" t="s">
        <v>27</v>
      </c>
    </row>
    <row r="265" spans="1:6" x14ac:dyDescent="0.2">
      <c r="A265">
        <v>2017</v>
      </c>
      <c r="B265">
        <f>IF(ISBLANK(E265),"",VLOOKUP(E265,Code!B:C,2,FALSE))</f>
        <v>17</v>
      </c>
      <c r="C265">
        <v>163268</v>
      </c>
      <c r="D265" t="s">
        <v>127</v>
      </c>
      <c r="E265" t="s">
        <v>5</v>
      </c>
      <c r="F265" s="6">
        <v>3500</v>
      </c>
    </row>
    <row r="266" spans="1:6" x14ac:dyDescent="0.2">
      <c r="A266">
        <v>2017</v>
      </c>
      <c r="B266">
        <f>IF(ISBLANK(E266),"",VLOOKUP(E266,Code!B:C,2,FALSE))</f>
        <v>19</v>
      </c>
      <c r="C266">
        <v>163268</v>
      </c>
      <c r="D266" t="s">
        <v>127</v>
      </c>
      <c r="E266" t="s">
        <v>7</v>
      </c>
    </row>
    <row r="267" spans="1:6" x14ac:dyDescent="0.2">
      <c r="A267">
        <v>2017</v>
      </c>
      <c r="B267">
        <f>IF(ISBLANK(E267),"",VLOOKUP(E267,Code!B:C,2,FALSE))</f>
        <v>18</v>
      </c>
      <c r="C267">
        <v>163268</v>
      </c>
      <c r="D267" t="s">
        <v>127</v>
      </c>
      <c r="E267" t="s">
        <v>6</v>
      </c>
    </row>
    <row r="268" spans="1:6" x14ac:dyDescent="0.2">
      <c r="A268">
        <v>2017</v>
      </c>
      <c r="B268">
        <f>IF(ISBLANK(E268),"",VLOOKUP(E268,Code!B:C,2,FALSE))</f>
        <v>23</v>
      </c>
      <c r="C268">
        <v>163268</v>
      </c>
      <c r="D268" t="s">
        <v>127</v>
      </c>
      <c r="E268" t="s">
        <v>10</v>
      </c>
    </row>
    <row r="269" spans="1:6" x14ac:dyDescent="0.2">
      <c r="A269">
        <v>2018</v>
      </c>
      <c r="B269">
        <f>IF(ISBLANK(E269),"",VLOOKUP(E269,Code!B:C,2,FALSE))</f>
        <v>1</v>
      </c>
      <c r="C269">
        <v>163268</v>
      </c>
      <c r="D269" t="s">
        <v>127</v>
      </c>
      <c r="E269" t="s">
        <v>0</v>
      </c>
    </row>
    <row r="270" spans="1:6" x14ac:dyDescent="0.2">
      <c r="A270">
        <v>2018</v>
      </c>
      <c r="B270">
        <f>IF(ISBLANK(E270),"",VLOOKUP(E270,Code!B:C,2,FALSE))</f>
        <v>2</v>
      </c>
      <c r="C270">
        <v>163268</v>
      </c>
      <c r="D270" t="s">
        <v>127</v>
      </c>
      <c r="E270" t="s">
        <v>1</v>
      </c>
    </row>
    <row r="271" spans="1:6" x14ac:dyDescent="0.2">
      <c r="A271">
        <v>2018</v>
      </c>
      <c r="B271">
        <f>IF(ISBLANK(E271),"",VLOOKUP(E271,Code!B:C,2,FALSE))</f>
        <v>12</v>
      </c>
      <c r="C271">
        <v>163268</v>
      </c>
      <c r="D271" t="s">
        <v>127</v>
      </c>
      <c r="E271" t="s">
        <v>27</v>
      </c>
    </row>
    <row r="272" spans="1:6" x14ac:dyDescent="0.2">
      <c r="A272">
        <v>2018</v>
      </c>
      <c r="B272">
        <f>IF(ISBLANK(E272),"",VLOOKUP(E272,Code!B:C,2,FALSE))</f>
        <v>17</v>
      </c>
      <c r="C272">
        <v>163268</v>
      </c>
      <c r="D272" t="s">
        <v>127</v>
      </c>
      <c r="E272" t="s">
        <v>5</v>
      </c>
    </row>
    <row r="273" spans="1:5" x14ac:dyDescent="0.2">
      <c r="A273">
        <v>2018</v>
      </c>
      <c r="B273">
        <f>IF(ISBLANK(E273),"",VLOOKUP(E273,Code!B:C,2,FALSE))</f>
        <v>19</v>
      </c>
      <c r="C273">
        <v>163268</v>
      </c>
      <c r="D273" t="s">
        <v>127</v>
      </c>
      <c r="E273" t="s">
        <v>7</v>
      </c>
    </row>
    <row r="274" spans="1:5" x14ac:dyDescent="0.2">
      <c r="A274">
        <v>2018</v>
      </c>
      <c r="B274">
        <f>IF(ISBLANK(E274),"",VLOOKUP(E274,Code!B:C,2,FALSE))</f>
        <v>21</v>
      </c>
      <c r="C274">
        <v>163268</v>
      </c>
      <c r="D274" t="s">
        <v>127</v>
      </c>
      <c r="E274" t="s">
        <v>36</v>
      </c>
    </row>
    <row r="275" spans="1:5" x14ac:dyDescent="0.2">
      <c r="A275">
        <v>2018</v>
      </c>
      <c r="B275">
        <f>IF(ISBLANK(E275),"",VLOOKUP(E275,Code!B:C,2,FALSE))</f>
        <v>18</v>
      </c>
      <c r="C275">
        <v>163268</v>
      </c>
      <c r="D275" t="s">
        <v>127</v>
      </c>
      <c r="E275" t="s">
        <v>6</v>
      </c>
    </row>
    <row r="276" spans="1:5" x14ac:dyDescent="0.2">
      <c r="A276">
        <v>2018</v>
      </c>
      <c r="B276">
        <f>IF(ISBLANK(E276),"",VLOOKUP(E276,Code!B:C,2,FALSE))</f>
        <v>23</v>
      </c>
      <c r="C276">
        <v>163268</v>
      </c>
      <c r="D276" t="s">
        <v>127</v>
      </c>
      <c r="E276" t="s">
        <v>10</v>
      </c>
    </row>
    <row r="277" spans="1:5" x14ac:dyDescent="0.2">
      <c r="A277">
        <v>2019</v>
      </c>
      <c r="B277">
        <f>IF(ISBLANK(E277),"",VLOOKUP(E277,Code!B:C,2,FALSE))</f>
        <v>1</v>
      </c>
      <c r="C277">
        <v>163268</v>
      </c>
      <c r="D277" t="s">
        <v>127</v>
      </c>
      <c r="E277" t="s">
        <v>0</v>
      </c>
    </row>
    <row r="278" spans="1:5" x14ac:dyDescent="0.2">
      <c r="A278">
        <v>2019</v>
      </c>
      <c r="B278">
        <f>IF(ISBLANK(E278),"",VLOOKUP(E278,Code!B:C,2,FALSE))</f>
        <v>2</v>
      </c>
      <c r="C278">
        <v>163268</v>
      </c>
      <c r="D278" t="s">
        <v>127</v>
      </c>
      <c r="E278" t="s">
        <v>1</v>
      </c>
    </row>
    <row r="279" spans="1:5" x14ac:dyDescent="0.2">
      <c r="A279">
        <v>2019</v>
      </c>
      <c r="B279">
        <f>IF(ISBLANK(E279),"",VLOOKUP(E279,Code!B:C,2,FALSE))</f>
        <v>12</v>
      </c>
      <c r="C279">
        <v>163268</v>
      </c>
      <c r="D279" t="s">
        <v>127</v>
      </c>
      <c r="E279" t="s">
        <v>27</v>
      </c>
    </row>
    <row r="280" spans="1:5" x14ac:dyDescent="0.2">
      <c r="A280">
        <v>2019</v>
      </c>
      <c r="B280">
        <f>IF(ISBLANK(E280),"",VLOOKUP(E280,Code!B:C,2,FALSE))</f>
        <v>17</v>
      </c>
      <c r="C280">
        <v>163268</v>
      </c>
      <c r="D280" t="s">
        <v>127</v>
      </c>
      <c r="E280" t="s">
        <v>5</v>
      </c>
    </row>
    <row r="281" spans="1:5" x14ac:dyDescent="0.2">
      <c r="A281">
        <v>2019</v>
      </c>
      <c r="B281">
        <f>IF(ISBLANK(E281),"",VLOOKUP(E281,Code!B:C,2,FALSE))</f>
        <v>19</v>
      </c>
      <c r="C281">
        <v>163268</v>
      </c>
      <c r="D281" t="s">
        <v>127</v>
      </c>
      <c r="E281" t="s">
        <v>7</v>
      </c>
    </row>
    <row r="282" spans="1:5" x14ac:dyDescent="0.2">
      <c r="A282">
        <v>2019</v>
      </c>
      <c r="B282">
        <f>IF(ISBLANK(E282),"",VLOOKUP(E282,Code!B:C,2,FALSE))</f>
        <v>21</v>
      </c>
      <c r="C282">
        <v>163268</v>
      </c>
      <c r="D282" t="s">
        <v>127</v>
      </c>
      <c r="E282" t="s">
        <v>36</v>
      </c>
    </row>
    <row r="283" spans="1:5" x14ac:dyDescent="0.2">
      <c r="A283">
        <v>2019</v>
      </c>
      <c r="B283">
        <f>IF(ISBLANK(E283),"",VLOOKUP(E283,Code!B:C,2,FALSE))</f>
        <v>18</v>
      </c>
      <c r="C283">
        <v>163268</v>
      </c>
      <c r="D283" t="s">
        <v>127</v>
      </c>
      <c r="E283" t="s">
        <v>6</v>
      </c>
    </row>
    <row r="284" spans="1:5" x14ac:dyDescent="0.2">
      <c r="A284">
        <v>2019</v>
      </c>
      <c r="B284">
        <f>IF(ISBLANK(E284),"",VLOOKUP(E284,Code!B:C,2,FALSE))</f>
        <v>23</v>
      </c>
      <c r="C284">
        <v>163268</v>
      </c>
      <c r="D284" t="s">
        <v>127</v>
      </c>
      <c r="E284" t="s">
        <v>10</v>
      </c>
    </row>
    <row r="285" spans="1:5" x14ac:dyDescent="0.2">
      <c r="A285">
        <v>2020</v>
      </c>
      <c r="B285">
        <f>IF(ISBLANK(E285),"",VLOOKUP(E285,Code!B:C,2,FALSE))</f>
        <v>1</v>
      </c>
      <c r="C285">
        <v>163268</v>
      </c>
      <c r="D285" t="s">
        <v>127</v>
      </c>
      <c r="E285" t="s">
        <v>0</v>
      </c>
    </row>
    <row r="286" spans="1:5" x14ac:dyDescent="0.2">
      <c r="A286">
        <v>2020</v>
      </c>
      <c r="B286">
        <f>IF(ISBLANK(E286),"",VLOOKUP(E286,Code!B:C,2,FALSE))</f>
        <v>2</v>
      </c>
      <c r="C286">
        <v>163268</v>
      </c>
      <c r="D286" t="s">
        <v>127</v>
      </c>
      <c r="E286" t="s">
        <v>1</v>
      </c>
    </row>
    <row r="287" spans="1:5" x14ac:dyDescent="0.2">
      <c r="A287">
        <v>2020</v>
      </c>
      <c r="B287">
        <f>IF(ISBLANK(E287),"",VLOOKUP(E287,Code!B:C,2,FALSE))</f>
        <v>12</v>
      </c>
      <c r="C287">
        <v>163268</v>
      </c>
      <c r="D287" t="s">
        <v>127</v>
      </c>
      <c r="E287" t="s">
        <v>27</v>
      </c>
    </row>
    <row r="288" spans="1:5" x14ac:dyDescent="0.2">
      <c r="A288">
        <v>2020</v>
      </c>
      <c r="B288">
        <f>IF(ISBLANK(E288),"",VLOOKUP(E288,Code!B:C,2,FALSE))</f>
        <v>17</v>
      </c>
      <c r="C288">
        <v>163268</v>
      </c>
      <c r="D288" t="s">
        <v>127</v>
      </c>
      <c r="E288" t="s">
        <v>5</v>
      </c>
    </row>
    <row r="289" spans="1:5" x14ac:dyDescent="0.2">
      <c r="A289">
        <v>2020</v>
      </c>
      <c r="B289">
        <f>IF(ISBLANK(E289),"",VLOOKUP(E289,Code!B:C,2,FALSE))</f>
        <v>19</v>
      </c>
      <c r="C289">
        <v>163268</v>
      </c>
      <c r="D289" t="s">
        <v>127</v>
      </c>
      <c r="E289" t="s">
        <v>7</v>
      </c>
    </row>
    <row r="290" spans="1:5" x14ac:dyDescent="0.2">
      <c r="A290">
        <v>2020</v>
      </c>
      <c r="B290">
        <f>IF(ISBLANK(E290),"",VLOOKUP(E290,Code!B:C,2,FALSE))</f>
        <v>21</v>
      </c>
      <c r="C290">
        <v>163268</v>
      </c>
      <c r="D290" t="s">
        <v>127</v>
      </c>
      <c r="E290" t="s">
        <v>36</v>
      </c>
    </row>
    <row r="291" spans="1:5" x14ac:dyDescent="0.2">
      <c r="A291">
        <v>2020</v>
      </c>
      <c r="B291">
        <f>IF(ISBLANK(E291),"",VLOOKUP(E291,Code!B:C,2,FALSE))</f>
        <v>18</v>
      </c>
      <c r="C291">
        <v>163268</v>
      </c>
      <c r="D291" t="s">
        <v>127</v>
      </c>
      <c r="E291" t="s">
        <v>6</v>
      </c>
    </row>
    <row r="292" spans="1:5" x14ac:dyDescent="0.2">
      <c r="A292">
        <v>2020</v>
      </c>
      <c r="B292">
        <f>IF(ISBLANK(E292),"",VLOOKUP(E292,Code!B:C,2,FALSE))</f>
        <v>23</v>
      </c>
      <c r="C292">
        <v>163268</v>
      </c>
      <c r="D292" t="s">
        <v>127</v>
      </c>
      <c r="E292" t="s">
        <v>10</v>
      </c>
    </row>
    <row r="293" spans="1:5" x14ac:dyDescent="0.2">
      <c r="A293">
        <v>2021</v>
      </c>
      <c r="B293">
        <f>IF(ISBLANK(E293),"",VLOOKUP(E293,Code!B:C,2,FALSE))</f>
        <v>1</v>
      </c>
      <c r="C293">
        <v>163268</v>
      </c>
      <c r="D293" t="s">
        <v>127</v>
      </c>
      <c r="E293" t="s">
        <v>0</v>
      </c>
    </row>
    <row r="294" spans="1:5" x14ac:dyDescent="0.2">
      <c r="A294">
        <v>2021</v>
      </c>
      <c r="B294">
        <f>IF(ISBLANK(E294),"",VLOOKUP(E294,Code!B:C,2,FALSE))</f>
        <v>2</v>
      </c>
      <c r="C294">
        <v>163268</v>
      </c>
      <c r="D294" t="s">
        <v>127</v>
      </c>
      <c r="E294" t="s">
        <v>1</v>
      </c>
    </row>
    <row r="295" spans="1:5" x14ac:dyDescent="0.2">
      <c r="A295">
        <v>2021</v>
      </c>
      <c r="B295">
        <f>IF(ISBLANK(E295),"",VLOOKUP(E295,Code!B:C,2,FALSE))</f>
        <v>12</v>
      </c>
      <c r="C295">
        <v>163268</v>
      </c>
      <c r="D295" t="s">
        <v>127</v>
      </c>
      <c r="E295" t="s">
        <v>27</v>
      </c>
    </row>
    <row r="296" spans="1:5" x14ac:dyDescent="0.2">
      <c r="A296">
        <v>2021</v>
      </c>
      <c r="B296">
        <f>IF(ISBLANK(E296),"",VLOOKUP(E296,Code!B:C,2,FALSE))</f>
        <v>17</v>
      </c>
      <c r="C296">
        <v>163268</v>
      </c>
      <c r="D296" t="s">
        <v>127</v>
      </c>
      <c r="E296" t="s">
        <v>5</v>
      </c>
    </row>
    <row r="297" spans="1:5" x14ac:dyDescent="0.2">
      <c r="A297">
        <v>2021</v>
      </c>
      <c r="B297">
        <f>IF(ISBLANK(E297),"",VLOOKUP(E297,Code!B:C,2,FALSE))</f>
        <v>19</v>
      </c>
      <c r="C297">
        <v>163268</v>
      </c>
      <c r="D297" t="s">
        <v>127</v>
      </c>
      <c r="E297" t="s">
        <v>7</v>
      </c>
    </row>
    <row r="298" spans="1:5" x14ac:dyDescent="0.2">
      <c r="A298">
        <v>2021</v>
      </c>
      <c r="B298">
        <f>IF(ISBLANK(E298),"",VLOOKUP(E298,Code!B:C,2,FALSE))</f>
        <v>21</v>
      </c>
      <c r="C298">
        <v>163268</v>
      </c>
      <c r="D298" t="s">
        <v>127</v>
      </c>
      <c r="E298" t="s">
        <v>36</v>
      </c>
    </row>
    <row r="299" spans="1:5" x14ac:dyDescent="0.2">
      <c r="A299">
        <v>2021</v>
      </c>
      <c r="B299">
        <f>IF(ISBLANK(E299),"",VLOOKUP(E299,Code!B:C,2,FALSE))</f>
        <v>18</v>
      </c>
      <c r="C299">
        <v>163268</v>
      </c>
      <c r="D299" t="s">
        <v>127</v>
      </c>
      <c r="E299" t="s">
        <v>6</v>
      </c>
    </row>
    <row r="300" spans="1:5" x14ac:dyDescent="0.2">
      <c r="A300">
        <v>2021</v>
      </c>
      <c r="B300">
        <f>IF(ISBLANK(E300),"",VLOOKUP(E300,Code!B:C,2,FALSE))</f>
        <v>23</v>
      </c>
      <c r="C300">
        <v>163268</v>
      </c>
      <c r="D300" t="s">
        <v>127</v>
      </c>
      <c r="E300" t="s">
        <v>10</v>
      </c>
    </row>
    <row r="301" spans="1:5" x14ac:dyDescent="0.2">
      <c r="A301">
        <v>2022</v>
      </c>
      <c r="B301">
        <f>IF(ISBLANK(E301),"",VLOOKUP(E301,Code!B:C,2,FALSE))</f>
        <v>1</v>
      </c>
      <c r="C301">
        <v>163268</v>
      </c>
      <c r="D301" t="s">
        <v>127</v>
      </c>
      <c r="E301" t="s">
        <v>0</v>
      </c>
    </row>
    <row r="302" spans="1:5" x14ac:dyDescent="0.2">
      <c r="A302">
        <v>2022</v>
      </c>
      <c r="B302">
        <f>IF(ISBLANK(E302),"",VLOOKUP(E302,Code!B:C,2,FALSE))</f>
        <v>2</v>
      </c>
      <c r="C302">
        <v>163268</v>
      </c>
      <c r="D302" t="s">
        <v>127</v>
      </c>
      <c r="E302" t="s">
        <v>1</v>
      </c>
    </row>
    <row r="303" spans="1:5" x14ac:dyDescent="0.2">
      <c r="A303">
        <v>2022</v>
      </c>
      <c r="B303">
        <f>IF(ISBLANK(E303),"",VLOOKUP(E303,Code!B:C,2,FALSE))</f>
        <v>12</v>
      </c>
      <c r="C303">
        <v>163268</v>
      </c>
      <c r="D303" t="s">
        <v>127</v>
      </c>
      <c r="E303" t="s">
        <v>27</v>
      </c>
    </row>
    <row r="304" spans="1:5" x14ac:dyDescent="0.2">
      <c r="A304">
        <v>2022</v>
      </c>
      <c r="B304">
        <f>IF(ISBLANK(E304),"",VLOOKUP(E304,Code!B:C,2,FALSE))</f>
        <v>17</v>
      </c>
      <c r="C304">
        <v>163268</v>
      </c>
      <c r="D304" t="s">
        <v>127</v>
      </c>
      <c r="E304" t="s">
        <v>5</v>
      </c>
    </row>
    <row r="305" spans="1:6" x14ac:dyDescent="0.2">
      <c r="A305">
        <v>2022</v>
      </c>
      <c r="B305">
        <f>IF(ISBLANK(E305),"",VLOOKUP(E305,Code!B:C,2,FALSE))</f>
        <v>19</v>
      </c>
      <c r="C305">
        <v>163268</v>
      </c>
      <c r="D305" t="s">
        <v>127</v>
      </c>
      <c r="E305" t="s">
        <v>7</v>
      </c>
    </row>
    <row r="306" spans="1:6" x14ac:dyDescent="0.2">
      <c r="A306">
        <v>2022</v>
      </c>
      <c r="B306">
        <f>IF(ISBLANK(E306),"",VLOOKUP(E306,Code!B:C,2,FALSE))</f>
        <v>21</v>
      </c>
      <c r="C306">
        <v>163268</v>
      </c>
      <c r="D306" t="s">
        <v>127</v>
      </c>
      <c r="E306" t="s">
        <v>36</v>
      </c>
    </row>
    <row r="307" spans="1:6" x14ac:dyDescent="0.2">
      <c r="A307">
        <v>2022</v>
      </c>
      <c r="B307">
        <f>IF(ISBLANK(E307),"",VLOOKUP(E307,Code!B:C,2,FALSE))</f>
        <v>18</v>
      </c>
      <c r="C307">
        <v>163268</v>
      </c>
      <c r="D307" t="s">
        <v>127</v>
      </c>
      <c r="E307" t="s">
        <v>6</v>
      </c>
    </row>
    <row r="308" spans="1:6" x14ac:dyDescent="0.2">
      <c r="A308">
        <v>2022</v>
      </c>
      <c r="B308">
        <f>IF(ISBLANK(E308),"",VLOOKUP(E308,Code!B:C,2,FALSE))</f>
        <v>23</v>
      </c>
      <c r="C308">
        <v>163268</v>
      </c>
      <c r="D308" t="s">
        <v>127</v>
      </c>
      <c r="E308" t="s">
        <v>10</v>
      </c>
    </row>
    <row r="309" spans="1:6" x14ac:dyDescent="0.2">
      <c r="A309">
        <v>2023</v>
      </c>
      <c r="B309">
        <f>IF(ISBLANK(E309),"",VLOOKUP(E309,Code!B:C,2,FALSE))</f>
        <v>1</v>
      </c>
      <c r="C309">
        <v>163268</v>
      </c>
      <c r="D309" t="s">
        <v>127</v>
      </c>
      <c r="E309" t="s">
        <v>0</v>
      </c>
    </row>
    <row r="310" spans="1:6" x14ac:dyDescent="0.2">
      <c r="A310">
        <v>2023</v>
      </c>
      <c r="B310">
        <f>IF(ISBLANK(E310),"",VLOOKUP(E310,Code!B:C,2,FALSE))</f>
        <v>2</v>
      </c>
      <c r="C310">
        <v>163268</v>
      </c>
      <c r="D310" t="s">
        <v>127</v>
      </c>
      <c r="E310" t="s">
        <v>1</v>
      </c>
    </row>
    <row r="311" spans="1:6" x14ac:dyDescent="0.2">
      <c r="A311">
        <v>2023</v>
      </c>
      <c r="B311">
        <f>IF(ISBLANK(E311),"",VLOOKUP(E311,Code!B:C,2,FALSE))</f>
        <v>12</v>
      </c>
      <c r="C311">
        <v>163268</v>
      </c>
      <c r="D311" t="s">
        <v>127</v>
      </c>
      <c r="E311" t="s">
        <v>27</v>
      </c>
    </row>
    <row r="312" spans="1:6" x14ac:dyDescent="0.2">
      <c r="A312">
        <v>2023</v>
      </c>
      <c r="B312">
        <f>IF(ISBLANK(E312),"",VLOOKUP(E312,Code!B:C,2,FALSE))</f>
        <v>17</v>
      </c>
      <c r="C312">
        <v>163268</v>
      </c>
      <c r="D312" t="s">
        <v>127</v>
      </c>
      <c r="E312" t="s">
        <v>5</v>
      </c>
    </row>
    <row r="313" spans="1:6" x14ac:dyDescent="0.2">
      <c r="A313">
        <v>2023</v>
      </c>
      <c r="B313">
        <f>IF(ISBLANK(E313),"",VLOOKUP(E313,Code!B:C,2,FALSE))</f>
        <v>19</v>
      </c>
      <c r="C313">
        <v>163268</v>
      </c>
      <c r="D313" t="s">
        <v>127</v>
      </c>
      <c r="E313" t="s">
        <v>7</v>
      </c>
    </row>
    <row r="314" spans="1:6" x14ac:dyDescent="0.2">
      <c r="A314">
        <v>2023</v>
      </c>
      <c r="B314">
        <f>IF(ISBLANK(E314),"",VLOOKUP(E314,Code!B:C,2,FALSE))</f>
        <v>21</v>
      </c>
      <c r="C314">
        <v>163268</v>
      </c>
      <c r="D314" t="s">
        <v>127</v>
      </c>
      <c r="E314" t="s">
        <v>9</v>
      </c>
    </row>
    <row r="315" spans="1:6" x14ac:dyDescent="0.2">
      <c r="A315">
        <v>2023</v>
      </c>
      <c r="B315">
        <f>IF(ISBLANK(E315),"",VLOOKUP(E315,Code!B:C,2,FALSE))</f>
        <v>18</v>
      </c>
      <c r="C315">
        <v>163268</v>
      </c>
      <c r="D315" t="s">
        <v>127</v>
      </c>
      <c r="E315" t="s">
        <v>6</v>
      </c>
    </row>
    <row r="316" spans="1:6" x14ac:dyDescent="0.2">
      <c r="A316">
        <v>2023</v>
      </c>
      <c r="B316">
        <f>IF(ISBLANK(E316),"",VLOOKUP(E316,Code!B:C,2,FALSE))</f>
        <v>23</v>
      </c>
      <c r="C316">
        <v>163268</v>
      </c>
      <c r="D316" t="s">
        <v>127</v>
      </c>
      <c r="E316" t="s">
        <v>10</v>
      </c>
    </row>
    <row r="317" spans="1:6" x14ac:dyDescent="0.2">
      <c r="A317">
        <v>2017</v>
      </c>
      <c r="B317">
        <f>IF(ISBLANK(E317),"",VLOOKUP(E317,Code!B:C,2,FALSE))</f>
        <v>1</v>
      </c>
      <c r="C317">
        <v>199218</v>
      </c>
      <c r="D317" t="s">
        <v>166</v>
      </c>
      <c r="E317" t="s">
        <v>0</v>
      </c>
      <c r="F317" s="6">
        <v>12000</v>
      </c>
    </row>
    <row r="318" spans="1:6" x14ac:dyDescent="0.2">
      <c r="A318">
        <v>2017</v>
      </c>
      <c r="B318">
        <f>IF(ISBLANK(E318),"",VLOOKUP(E318,Code!B:C,2,FALSE))</f>
        <v>2</v>
      </c>
      <c r="C318">
        <v>199218</v>
      </c>
      <c r="D318" t="s">
        <v>166</v>
      </c>
      <c r="E318" t="s">
        <v>1</v>
      </c>
    </row>
    <row r="319" spans="1:6" x14ac:dyDescent="0.2">
      <c r="A319">
        <v>2017</v>
      </c>
      <c r="B319">
        <f>IF(ISBLANK(E319),"",VLOOKUP(E319,Code!B:C,2,FALSE))</f>
        <v>3</v>
      </c>
      <c r="C319">
        <v>199218</v>
      </c>
      <c r="D319" t="s">
        <v>166</v>
      </c>
      <c r="E319" t="s">
        <v>21</v>
      </c>
    </row>
    <row r="320" spans="1:6" x14ac:dyDescent="0.2">
      <c r="A320">
        <v>2017</v>
      </c>
      <c r="B320">
        <f>IF(ISBLANK(E320),"",VLOOKUP(E320,Code!B:C,2,FALSE))</f>
        <v>9</v>
      </c>
      <c r="C320">
        <v>199218</v>
      </c>
      <c r="D320" t="s">
        <v>166</v>
      </c>
      <c r="E320" t="s">
        <v>3</v>
      </c>
    </row>
    <row r="321" spans="1:6" x14ac:dyDescent="0.2">
      <c r="A321">
        <v>2017</v>
      </c>
      <c r="B321">
        <f>IF(ISBLANK(E321),"",VLOOKUP(E321,Code!B:C,2,FALSE))</f>
        <v>17</v>
      </c>
      <c r="C321">
        <v>199218</v>
      </c>
      <c r="D321" t="s">
        <v>166</v>
      </c>
      <c r="E321" t="s">
        <v>5</v>
      </c>
    </row>
    <row r="322" spans="1:6" x14ac:dyDescent="0.2">
      <c r="A322">
        <v>2017</v>
      </c>
      <c r="B322">
        <f>IF(ISBLANK(E322),"",VLOOKUP(E322,Code!B:C,2,FALSE))</f>
        <v>18</v>
      </c>
      <c r="C322">
        <v>199218</v>
      </c>
      <c r="D322" t="s">
        <v>166</v>
      </c>
      <c r="E322" t="s">
        <v>6</v>
      </c>
    </row>
    <row r="323" spans="1:6" x14ac:dyDescent="0.2">
      <c r="A323">
        <v>2017</v>
      </c>
      <c r="B323">
        <f>IF(ISBLANK(E323),"",VLOOKUP(E323,Code!B:C,2,FALSE))</f>
        <v>19</v>
      </c>
      <c r="C323">
        <v>199218</v>
      </c>
      <c r="D323" t="s">
        <v>166</v>
      </c>
      <c r="E323" t="s">
        <v>7</v>
      </c>
    </row>
    <row r="324" spans="1:6" x14ac:dyDescent="0.2">
      <c r="A324">
        <v>2017</v>
      </c>
      <c r="B324">
        <f>IF(ISBLANK(E324),"",VLOOKUP(E324,Code!B:C,2,FALSE))</f>
        <v>20</v>
      </c>
      <c r="C324">
        <v>199218</v>
      </c>
      <c r="D324" t="s">
        <v>166</v>
      </c>
      <c r="E324" t="s">
        <v>8</v>
      </c>
    </row>
    <row r="325" spans="1:6" x14ac:dyDescent="0.2">
      <c r="A325">
        <v>2017</v>
      </c>
      <c r="B325">
        <f>IF(ISBLANK(E325),"",VLOOKUP(E325,Code!B:C,2,FALSE))</f>
        <v>21</v>
      </c>
      <c r="C325">
        <v>199218</v>
      </c>
      <c r="D325" t="s">
        <v>166</v>
      </c>
      <c r="E325" t="s">
        <v>36</v>
      </c>
    </row>
    <row r="326" spans="1:6" x14ac:dyDescent="0.2">
      <c r="A326">
        <v>2017</v>
      </c>
      <c r="B326">
        <f>IF(ISBLANK(E326),"",VLOOKUP(E326,Code!B:C,2,FALSE))</f>
        <v>23</v>
      </c>
      <c r="C326">
        <v>199218</v>
      </c>
      <c r="D326" t="s">
        <v>166</v>
      </c>
      <c r="E326" t="s">
        <v>10</v>
      </c>
    </row>
    <row r="327" spans="1:6" x14ac:dyDescent="0.2">
      <c r="A327">
        <v>2018</v>
      </c>
      <c r="B327">
        <f>IF(ISBLANK(E327),"",VLOOKUP(E327,Code!B:C,2,FALSE))</f>
        <v>1</v>
      </c>
      <c r="C327">
        <v>199218</v>
      </c>
      <c r="D327" t="s">
        <v>166</v>
      </c>
      <c r="E327" t="s">
        <v>0</v>
      </c>
    </row>
    <row r="328" spans="1:6" x14ac:dyDescent="0.2">
      <c r="A328">
        <v>2018</v>
      </c>
      <c r="B328">
        <f>IF(ISBLANK(E328),"",VLOOKUP(E328,Code!B:C,2,FALSE))</f>
        <v>2</v>
      </c>
      <c r="C328">
        <v>199218</v>
      </c>
      <c r="D328" t="s">
        <v>166</v>
      </c>
      <c r="E328" t="s">
        <v>1</v>
      </c>
    </row>
    <row r="329" spans="1:6" x14ac:dyDescent="0.2">
      <c r="A329">
        <v>2018</v>
      </c>
      <c r="B329">
        <f>IF(ISBLANK(E329),"",VLOOKUP(E329,Code!B:C,2,FALSE))</f>
        <v>9</v>
      </c>
      <c r="C329">
        <v>199218</v>
      </c>
      <c r="D329" t="s">
        <v>166</v>
      </c>
      <c r="E329" t="s">
        <v>3</v>
      </c>
    </row>
    <row r="330" spans="1:6" x14ac:dyDescent="0.2">
      <c r="A330">
        <v>2018</v>
      </c>
      <c r="B330">
        <f>IF(ISBLANK(E330),"",VLOOKUP(E330,Code!B:C,2,FALSE))</f>
        <v>17</v>
      </c>
      <c r="C330">
        <v>199218</v>
      </c>
      <c r="D330" t="s">
        <v>166</v>
      </c>
      <c r="E330" t="s">
        <v>5</v>
      </c>
    </row>
    <row r="331" spans="1:6" x14ac:dyDescent="0.2">
      <c r="A331">
        <v>2018</v>
      </c>
      <c r="B331">
        <f>IF(ISBLANK(E331),"",VLOOKUP(E331,Code!B:C,2,FALSE))</f>
        <v>19</v>
      </c>
      <c r="C331">
        <v>199218</v>
      </c>
      <c r="D331" t="s">
        <v>166</v>
      </c>
      <c r="E331" t="s">
        <v>7</v>
      </c>
    </row>
    <row r="332" spans="1:6" x14ac:dyDescent="0.2">
      <c r="A332">
        <v>2018</v>
      </c>
      <c r="B332">
        <f>IF(ISBLANK(E332),"",VLOOKUP(E332,Code!B:C,2,FALSE))</f>
        <v>20</v>
      </c>
      <c r="C332">
        <v>199218</v>
      </c>
      <c r="D332" t="s">
        <v>166</v>
      </c>
      <c r="E332" t="s">
        <v>8</v>
      </c>
    </row>
    <row r="333" spans="1:6" x14ac:dyDescent="0.2">
      <c r="A333">
        <v>2018</v>
      </c>
      <c r="B333">
        <f>IF(ISBLANK(E333),"",VLOOKUP(E333,Code!B:C,2,FALSE))</f>
        <v>21</v>
      </c>
      <c r="C333">
        <v>199218</v>
      </c>
      <c r="D333" t="s">
        <v>166</v>
      </c>
      <c r="E333" t="s">
        <v>36</v>
      </c>
      <c r="F333" s="6">
        <v>12000</v>
      </c>
    </row>
    <row r="334" spans="1:6" x14ac:dyDescent="0.2">
      <c r="A334">
        <v>2018</v>
      </c>
      <c r="B334">
        <f>IF(ISBLANK(E334),"",VLOOKUP(E334,Code!B:C,2,FALSE))</f>
        <v>3</v>
      </c>
      <c r="C334">
        <v>199218</v>
      </c>
      <c r="D334" t="s">
        <v>166</v>
      </c>
      <c r="E334" t="s">
        <v>21</v>
      </c>
    </row>
    <row r="335" spans="1:6" x14ac:dyDescent="0.2">
      <c r="A335">
        <v>2018</v>
      </c>
      <c r="B335">
        <f>IF(ISBLANK(E335),"",VLOOKUP(E335,Code!B:C,2,FALSE))</f>
        <v>18</v>
      </c>
      <c r="C335">
        <v>199218</v>
      </c>
      <c r="D335" t="s">
        <v>166</v>
      </c>
      <c r="E335" t="s">
        <v>6</v>
      </c>
    </row>
    <row r="336" spans="1:6" x14ac:dyDescent="0.2">
      <c r="A336">
        <v>2018</v>
      </c>
      <c r="B336">
        <f>IF(ISBLANK(E336),"",VLOOKUP(E336,Code!B:C,2,FALSE))</f>
        <v>20</v>
      </c>
      <c r="C336">
        <v>199218</v>
      </c>
      <c r="D336" t="s">
        <v>166</v>
      </c>
      <c r="E336" t="s">
        <v>8</v>
      </c>
    </row>
    <row r="337" spans="1:7" x14ac:dyDescent="0.2">
      <c r="A337">
        <v>2018</v>
      </c>
      <c r="B337">
        <f>IF(ISBLANK(E337),"",VLOOKUP(E337,Code!B:C,2,FALSE))</f>
        <v>23</v>
      </c>
      <c r="C337">
        <v>199218</v>
      </c>
      <c r="D337" t="s">
        <v>166</v>
      </c>
      <c r="E337" t="s">
        <v>10</v>
      </c>
    </row>
    <row r="338" spans="1:7" x14ac:dyDescent="0.2">
      <c r="A338">
        <v>2019</v>
      </c>
      <c r="B338">
        <f>IF(ISBLANK(E338),"",VLOOKUP(E338,Code!B:C,2,FALSE))</f>
        <v>1</v>
      </c>
      <c r="C338">
        <v>199218</v>
      </c>
      <c r="D338" t="s">
        <v>166</v>
      </c>
      <c r="E338" t="s">
        <v>0</v>
      </c>
    </row>
    <row r="339" spans="1:7" x14ac:dyDescent="0.2">
      <c r="A339">
        <v>2019</v>
      </c>
      <c r="B339">
        <f>IF(ISBLANK(E339),"",VLOOKUP(E339,Code!B:C,2,FALSE))</f>
        <v>2</v>
      </c>
      <c r="C339">
        <v>199218</v>
      </c>
      <c r="D339" t="s">
        <v>166</v>
      </c>
      <c r="E339" t="s">
        <v>1</v>
      </c>
    </row>
    <row r="340" spans="1:7" x14ac:dyDescent="0.2">
      <c r="A340">
        <v>2019</v>
      </c>
      <c r="B340">
        <f>IF(ISBLANK(E340),"",VLOOKUP(E340,Code!B:C,2,FALSE))</f>
        <v>9</v>
      </c>
      <c r="C340">
        <v>199218</v>
      </c>
      <c r="D340" t="s">
        <v>166</v>
      </c>
      <c r="E340" t="s">
        <v>3</v>
      </c>
    </row>
    <row r="341" spans="1:7" x14ac:dyDescent="0.2">
      <c r="A341">
        <v>2019</v>
      </c>
      <c r="B341">
        <f>IF(ISBLANK(E341),"",VLOOKUP(E341,Code!B:C,2,FALSE))</f>
        <v>17</v>
      </c>
      <c r="C341">
        <v>199218</v>
      </c>
      <c r="D341" t="s">
        <v>166</v>
      </c>
      <c r="E341" t="s">
        <v>5</v>
      </c>
    </row>
    <row r="342" spans="1:7" x14ac:dyDescent="0.2">
      <c r="A342">
        <v>2019</v>
      </c>
      <c r="B342">
        <f>IF(ISBLANK(E342),"",VLOOKUP(E342,Code!B:C,2,FALSE))</f>
        <v>19</v>
      </c>
      <c r="C342">
        <v>199218</v>
      </c>
      <c r="D342" t="s">
        <v>166</v>
      </c>
      <c r="E342" t="s">
        <v>7</v>
      </c>
    </row>
    <row r="343" spans="1:7" x14ac:dyDescent="0.2">
      <c r="A343">
        <v>2019</v>
      </c>
      <c r="B343">
        <f>IF(ISBLANK(E343),"",VLOOKUP(E343,Code!B:C,2,FALSE))</f>
        <v>20</v>
      </c>
      <c r="C343">
        <v>199218</v>
      </c>
      <c r="D343" t="s">
        <v>166</v>
      </c>
      <c r="E343" t="s">
        <v>8</v>
      </c>
    </row>
    <row r="344" spans="1:7" x14ac:dyDescent="0.2">
      <c r="A344">
        <v>2019</v>
      </c>
      <c r="B344">
        <f>IF(ISBLANK(E344),"",VLOOKUP(E344,Code!B:C,2,FALSE))</f>
        <v>21</v>
      </c>
      <c r="C344">
        <v>199218</v>
      </c>
      <c r="D344" t="s">
        <v>166</v>
      </c>
      <c r="E344" t="s">
        <v>36</v>
      </c>
      <c r="F344" s="6">
        <v>6000</v>
      </c>
      <c r="G344" s="6">
        <v>6000</v>
      </c>
    </row>
    <row r="345" spans="1:7" x14ac:dyDescent="0.2">
      <c r="A345">
        <v>2019</v>
      </c>
      <c r="B345">
        <f>IF(ISBLANK(E345),"",VLOOKUP(E345,Code!B:C,2,FALSE))</f>
        <v>3</v>
      </c>
      <c r="C345">
        <v>199218</v>
      </c>
      <c r="D345" t="s">
        <v>166</v>
      </c>
      <c r="E345" t="s">
        <v>21</v>
      </c>
    </row>
    <row r="346" spans="1:7" x14ac:dyDescent="0.2">
      <c r="A346">
        <v>2019</v>
      </c>
      <c r="B346">
        <f>IF(ISBLANK(E346),"",VLOOKUP(E346,Code!B:C,2,FALSE))</f>
        <v>18</v>
      </c>
      <c r="C346">
        <v>199218</v>
      </c>
      <c r="D346" t="s">
        <v>166</v>
      </c>
      <c r="E346" t="s">
        <v>6</v>
      </c>
    </row>
    <row r="347" spans="1:7" x14ac:dyDescent="0.2">
      <c r="A347">
        <v>2019</v>
      </c>
      <c r="B347">
        <f>IF(ISBLANK(E347),"",VLOOKUP(E347,Code!B:C,2,FALSE))</f>
        <v>23</v>
      </c>
      <c r="C347">
        <v>199218</v>
      </c>
      <c r="D347" t="s">
        <v>166</v>
      </c>
      <c r="E347" t="s">
        <v>10</v>
      </c>
    </row>
    <row r="348" spans="1:7" x14ac:dyDescent="0.2">
      <c r="A348">
        <v>2020</v>
      </c>
      <c r="B348">
        <f>IF(ISBLANK(E348),"",VLOOKUP(E348,Code!B:C,2,FALSE))</f>
        <v>1</v>
      </c>
      <c r="C348">
        <v>199218</v>
      </c>
      <c r="D348" t="s">
        <v>166</v>
      </c>
      <c r="E348" t="s">
        <v>0</v>
      </c>
    </row>
    <row r="349" spans="1:7" x14ac:dyDescent="0.2">
      <c r="A349">
        <v>2020</v>
      </c>
      <c r="B349">
        <f>IF(ISBLANK(E349),"",VLOOKUP(E349,Code!B:C,2,FALSE))</f>
        <v>2</v>
      </c>
      <c r="C349">
        <v>199218</v>
      </c>
      <c r="D349" t="s">
        <v>166</v>
      </c>
      <c r="E349" t="s">
        <v>1</v>
      </c>
    </row>
    <row r="350" spans="1:7" x14ac:dyDescent="0.2">
      <c r="A350">
        <v>2020</v>
      </c>
      <c r="B350">
        <f>IF(ISBLANK(E350),"",VLOOKUP(E350,Code!B:C,2,FALSE))</f>
        <v>9</v>
      </c>
      <c r="C350">
        <v>199218</v>
      </c>
      <c r="D350" t="s">
        <v>166</v>
      </c>
      <c r="E350" t="s">
        <v>3</v>
      </c>
    </row>
    <row r="351" spans="1:7" x14ac:dyDescent="0.2">
      <c r="A351">
        <v>2020</v>
      </c>
      <c r="B351">
        <f>IF(ISBLANK(E351),"",VLOOKUP(E351,Code!B:C,2,FALSE))</f>
        <v>17</v>
      </c>
      <c r="C351">
        <v>199218</v>
      </c>
      <c r="D351" t="s">
        <v>166</v>
      </c>
      <c r="E351" t="s">
        <v>5</v>
      </c>
    </row>
    <row r="352" spans="1:7" x14ac:dyDescent="0.2">
      <c r="A352">
        <v>2020</v>
      </c>
      <c r="B352">
        <f>IF(ISBLANK(E352),"",VLOOKUP(E352,Code!B:C,2,FALSE))</f>
        <v>19</v>
      </c>
      <c r="C352">
        <v>199218</v>
      </c>
      <c r="D352" t="s">
        <v>166</v>
      </c>
      <c r="E352" t="s">
        <v>7</v>
      </c>
    </row>
    <row r="353" spans="1:5" x14ac:dyDescent="0.2">
      <c r="A353">
        <v>2020</v>
      </c>
      <c r="B353">
        <f>IF(ISBLANK(E353),"",VLOOKUP(E353,Code!B:C,2,FALSE))</f>
        <v>20</v>
      </c>
      <c r="C353">
        <v>199218</v>
      </c>
      <c r="D353" t="s">
        <v>166</v>
      </c>
      <c r="E353" t="s">
        <v>8</v>
      </c>
    </row>
    <row r="354" spans="1:5" x14ac:dyDescent="0.2">
      <c r="A354">
        <v>2020</v>
      </c>
      <c r="B354">
        <f>IF(ISBLANK(E354),"",VLOOKUP(E354,Code!B:C,2,FALSE))</f>
        <v>21</v>
      </c>
      <c r="C354">
        <v>199218</v>
      </c>
      <c r="D354" t="s">
        <v>166</v>
      </c>
      <c r="E354" t="s">
        <v>36</v>
      </c>
    </row>
    <row r="355" spans="1:5" x14ac:dyDescent="0.2">
      <c r="A355">
        <v>2020</v>
      </c>
      <c r="B355">
        <f>IF(ISBLANK(E355),"",VLOOKUP(E355,Code!B:C,2,FALSE))</f>
        <v>3</v>
      </c>
      <c r="C355">
        <v>199218</v>
      </c>
      <c r="D355" t="s">
        <v>166</v>
      </c>
      <c r="E355" t="s">
        <v>21</v>
      </c>
    </row>
    <row r="356" spans="1:5" x14ac:dyDescent="0.2">
      <c r="A356">
        <v>2020</v>
      </c>
      <c r="B356">
        <f>IF(ISBLANK(E356),"",VLOOKUP(E356,Code!B:C,2,FALSE))</f>
        <v>18</v>
      </c>
      <c r="C356">
        <v>199218</v>
      </c>
      <c r="D356" t="s">
        <v>166</v>
      </c>
      <c r="E356" t="s">
        <v>6</v>
      </c>
    </row>
    <row r="357" spans="1:5" x14ac:dyDescent="0.2">
      <c r="A357">
        <v>2020</v>
      </c>
      <c r="B357">
        <f>IF(ISBLANK(E357),"",VLOOKUP(E357,Code!B:C,2,FALSE))</f>
        <v>23</v>
      </c>
      <c r="C357">
        <v>199218</v>
      </c>
      <c r="D357" t="s">
        <v>166</v>
      </c>
      <c r="E357" t="s">
        <v>10</v>
      </c>
    </row>
    <row r="358" spans="1:5" x14ac:dyDescent="0.2">
      <c r="A358">
        <v>2021</v>
      </c>
      <c r="B358">
        <f>IF(ISBLANK(E358),"",VLOOKUP(E358,Code!B:C,2,FALSE))</f>
        <v>1</v>
      </c>
      <c r="C358">
        <v>199218</v>
      </c>
      <c r="D358" t="s">
        <v>166</v>
      </c>
      <c r="E358" t="s">
        <v>0</v>
      </c>
    </row>
    <row r="359" spans="1:5" x14ac:dyDescent="0.2">
      <c r="A359">
        <v>2021</v>
      </c>
      <c r="B359">
        <f>IF(ISBLANK(E359),"",VLOOKUP(E359,Code!B:C,2,FALSE))</f>
        <v>2</v>
      </c>
      <c r="C359">
        <v>199218</v>
      </c>
      <c r="D359" t="s">
        <v>166</v>
      </c>
      <c r="E359" t="s">
        <v>1</v>
      </c>
    </row>
    <row r="360" spans="1:5" x14ac:dyDescent="0.2">
      <c r="A360">
        <v>2021</v>
      </c>
      <c r="B360">
        <f>IF(ISBLANK(E360),"",VLOOKUP(E360,Code!B:C,2,FALSE))</f>
        <v>9</v>
      </c>
      <c r="C360">
        <v>199218</v>
      </c>
      <c r="D360" t="s">
        <v>166</v>
      </c>
      <c r="E360" t="s">
        <v>3</v>
      </c>
    </row>
    <row r="361" spans="1:5" x14ac:dyDescent="0.2">
      <c r="A361">
        <v>2021</v>
      </c>
      <c r="B361">
        <f>IF(ISBLANK(E361),"",VLOOKUP(E361,Code!B:C,2,FALSE))</f>
        <v>17</v>
      </c>
      <c r="C361">
        <v>199218</v>
      </c>
      <c r="D361" t="s">
        <v>166</v>
      </c>
      <c r="E361" t="s">
        <v>5</v>
      </c>
    </row>
    <row r="362" spans="1:5" x14ac:dyDescent="0.2">
      <c r="A362">
        <v>2021</v>
      </c>
      <c r="B362">
        <f>IF(ISBLANK(E362),"",VLOOKUP(E362,Code!B:C,2,FALSE))</f>
        <v>19</v>
      </c>
      <c r="C362">
        <v>199218</v>
      </c>
      <c r="D362" t="s">
        <v>166</v>
      </c>
      <c r="E362" t="s">
        <v>7</v>
      </c>
    </row>
    <row r="363" spans="1:5" x14ac:dyDescent="0.2">
      <c r="A363">
        <v>2021</v>
      </c>
      <c r="B363">
        <f>IF(ISBLANK(E363),"",VLOOKUP(E363,Code!B:C,2,FALSE))</f>
        <v>20</v>
      </c>
      <c r="C363">
        <v>199218</v>
      </c>
      <c r="D363" t="s">
        <v>166</v>
      </c>
      <c r="E363" t="s">
        <v>8</v>
      </c>
    </row>
    <row r="364" spans="1:5" x14ac:dyDescent="0.2">
      <c r="A364">
        <v>2021</v>
      </c>
      <c r="B364">
        <f>IF(ISBLANK(E364),"",VLOOKUP(E364,Code!B:C,2,FALSE))</f>
        <v>21</v>
      </c>
      <c r="C364">
        <v>199218</v>
      </c>
      <c r="D364" t="s">
        <v>166</v>
      </c>
      <c r="E364" t="s">
        <v>36</v>
      </c>
    </row>
    <row r="365" spans="1:5" x14ac:dyDescent="0.2">
      <c r="A365">
        <v>2021</v>
      </c>
      <c r="B365">
        <f>IF(ISBLANK(E365),"",VLOOKUP(E365,Code!B:C,2,FALSE))</f>
        <v>3</v>
      </c>
      <c r="C365">
        <v>199218</v>
      </c>
      <c r="D365" t="s">
        <v>166</v>
      </c>
      <c r="E365" t="s">
        <v>21</v>
      </c>
    </row>
    <row r="366" spans="1:5" x14ac:dyDescent="0.2">
      <c r="A366">
        <v>2021</v>
      </c>
      <c r="B366">
        <f>IF(ISBLANK(E366),"",VLOOKUP(E366,Code!B:C,2,FALSE))</f>
        <v>18</v>
      </c>
      <c r="C366">
        <v>199218</v>
      </c>
      <c r="D366" t="s">
        <v>166</v>
      </c>
      <c r="E366" t="s">
        <v>6</v>
      </c>
    </row>
    <row r="367" spans="1:5" x14ac:dyDescent="0.2">
      <c r="A367">
        <v>2021</v>
      </c>
      <c r="B367">
        <f>IF(ISBLANK(E367),"",VLOOKUP(E367,Code!B:C,2,FALSE))</f>
        <v>23</v>
      </c>
      <c r="C367">
        <v>199218</v>
      </c>
      <c r="D367" t="s">
        <v>166</v>
      </c>
      <c r="E367" t="s">
        <v>10</v>
      </c>
    </row>
    <row r="368" spans="1:5" x14ac:dyDescent="0.2">
      <c r="A368">
        <v>2022</v>
      </c>
      <c r="B368">
        <f>IF(ISBLANK(E368),"",VLOOKUP(E368,Code!B:C,2,FALSE))</f>
        <v>1</v>
      </c>
      <c r="C368">
        <v>199218</v>
      </c>
      <c r="D368" t="s">
        <v>166</v>
      </c>
      <c r="E368" t="s">
        <v>0</v>
      </c>
    </row>
    <row r="369" spans="1:6" x14ac:dyDescent="0.2">
      <c r="A369">
        <v>2022</v>
      </c>
      <c r="B369">
        <f>IF(ISBLANK(E369),"",VLOOKUP(E369,Code!B:C,2,FALSE))</f>
        <v>2</v>
      </c>
      <c r="C369">
        <v>199218</v>
      </c>
      <c r="D369" t="s">
        <v>166</v>
      </c>
      <c r="E369" t="s">
        <v>1</v>
      </c>
    </row>
    <row r="370" spans="1:6" x14ac:dyDescent="0.2">
      <c r="A370">
        <v>2022</v>
      </c>
      <c r="B370">
        <f>IF(ISBLANK(E370),"",VLOOKUP(E370,Code!B:C,2,FALSE))</f>
        <v>9</v>
      </c>
      <c r="C370">
        <v>199218</v>
      </c>
      <c r="D370" t="s">
        <v>166</v>
      </c>
      <c r="E370" t="s">
        <v>3</v>
      </c>
    </row>
    <row r="371" spans="1:6" x14ac:dyDescent="0.2">
      <c r="A371">
        <v>2022</v>
      </c>
      <c r="B371">
        <f>IF(ISBLANK(E371),"",VLOOKUP(E371,Code!B:C,2,FALSE))</f>
        <v>17</v>
      </c>
      <c r="C371">
        <v>199218</v>
      </c>
      <c r="D371" t="s">
        <v>166</v>
      </c>
      <c r="E371" t="s">
        <v>5</v>
      </c>
    </row>
    <row r="372" spans="1:6" x14ac:dyDescent="0.2">
      <c r="A372">
        <v>2022</v>
      </c>
      <c r="B372">
        <f>IF(ISBLANK(E372),"",VLOOKUP(E372,Code!B:C,2,FALSE))</f>
        <v>19</v>
      </c>
      <c r="C372">
        <v>199218</v>
      </c>
      <c r="D372" t="s">
        <v>166</v>
      </c>
      <c r="E372" t="s">
        <v>7</v>
      </c>
    </row>
    <row r="373" spans="1:6" x14ac:dyDescent="0.2">
      <c r="A373">
        <v>2022</v>
      </c>
      <c r="B373">
        <f>IF(ISBLANK(E373),"",VLOOKUP(E373,Code!B:C,2,FALSE))</f>
        <v>20</v>
      </c>
      <c r="C373">
        <v>199218</v>
      </c>
      <c r="D373" t="s">
        <v>166</v>
      </c>
      <c r="E373" t="s">
        <v>8</v>
      </c>
    </row>
    <row r="374" spans="1:6" x14ac:dyDescent="0.2">
      <c r="A374">
        <v>2022</v>
      </c>
      <c r="B374">
        <f>IF(ISBLANK(E374),"",VLOOKUP(E374,Code!B:C,2,FALSE))</f>
        <v>21</v>
      </c>
      <c r="C374">
        <v>199218</v>
      </c>
      <c r="D374" t="s">
        <v>166</v>
      </c>
      <c r="E374" t="s">
        <v>36</v>
      </c>
    </row>
    <row r="375" spans="1:6" x14ac:dyDescent="0.2">
      <c r="A375">
        <v>2022</v>
      </c>
      <c r="B375">
        <f>IF(ISBLANK(E375),"",VLOOKUP(E375,Code!B:C,2,FALSE))</f>
        <v>3</v>
      </c>
      <c r="C375">
        <v>199218</v>
      </c>
      <c r="D375" t="s">
        <v>166</v>
      </c>
      <c r="E375" t="s">
        <v>21</v>
      </c>
    </row>
    <row r="376" spans="1:6" x14ac:dyDescent="0.2">
      <c r="A376">
        <v>2022</v>
      </c>
      <c r="B376">
        <f>IF(ISBLANK(E376),"",VLOOKUP(E376,Code!B:C,2,FALSE))</f>
        <v>18</v>
      </c>
      <c r="C376">
        <v>199218</v>
      </c>
      <c r="D376" t="s">
        <v>166</v>
      </c>
      <c r="E376" t="s">
        <v>6</v>
      </c>
    </row>
    <row r="377" spans="1:6" x14ac:dyDescent="0.2">
      <c r="A377">
        <v>2022</v>
      </c>
      <c r="B377">
        <f>IF(ISBLANK(E377),"",VLOOKUP(E377,Code!B:C,2,FALSE))</f>
        <v>23</v>
      </c>
      <c r="C377">
        <v>199218</v>
      </c>
      <c r="D377" t="s">
        <v>166</v>
      </c>
      <c r="E377" t="s">
        <v>10</v>
      </c>
    </row>
    <row r="378" spans="1:6" x14ac:dyDescent="0.2">
      <c r="A378">
        <v>2023</v>
      </c>
      <c r="B378">
        <f>IF(ISBLANK(E378),"",VLOOKUP(E378,Code!B:C,2,FALSE))</f>
        <v>1</v>
      </c>
      <c r="C378">
        <v>199218</v>
      </c>
      <c r="D378" t="s">
        <v>166</v>
      </c>
      <c r="E378" t="s">
        <v>0</v>
      </c>
    </row>
    <row r="379" spans="1:6" x14ac:dyDescent="0.2">
      <c r="A379">
        <v>2023</v>
      </c>
      <c r="B379">
        <f>IF(ISBLANK(E379),"",VLOOKUP(E379,Code!B:C,2,FALSE))</f>
        <v>2</v>
      </c>
      <c r="C379">
        <v>199218</v>
      </c>
      <c r="D379" t="s">
        <v>166</v>
      </c>
      <c r="E379" t="s">
        <v>1</v>
      </c>
    </row>
    <row r="380" spans="1:6" x14ac:dyDescent="0.2">
      <c r="A380">
        <v>2023</v>
      </c>
      <c r="B380">
        <f>IF(ISBLANK(E380),"",VLOOKUP(E380,Code!B:C,2,FALSE))</f>
        <v>9</v>
      </c>
      <c r="C380">
        <v>199218</v>
      </c>
      <c r="D380" t="s">
        <v>166</v>
      </c>
      <c r="E380" t="s">
        <v>3</v>
      </c>
    </row>
    <row r="381" spans="1:6" x14ac:dyDescent="0.2">
      <c r="A381">
        <v>2023</v>
      </c>
      <c r="B381">
        <f>IF(ISBLANK(E381),"",VLOOKUP(E381,Code!B:C,2,FALSE))</f>
        <v>17</v>
      </c>
      <c r="C381">
        <v>199218</v>
      </c>
      <c r="D381" t="s">
        <v>166</v>
      </c>
      <c r="E381" t="s">
        <v>5</v>
      </c>
    </row>
    <row r="382" spans="1:6" x14ac:dyDescent="0.2">
      <c r="A382">
        <v>2023</v>
      </c>
      <c r="B382">
        <f>IF(ISBLANK(E382),"",VLOOKUP(E382,Code!B:C,2,FALSE))</f>
        <v>19</v>
      </c>
      <c r="C382">
        <v>199218</v>
      </c>
      <c r="D382" t="s">
        <v>166</v>
      </c>
      <c r="E382" t="s">
        <v>7</v>
      </c>
    </row>
    <row r="383" spans="1:6" x14ac:dyDescent="0.2">
      <c r="A383">
        <v>2023</v>
      </c>
      <c r="B383">
        <f>IF(ISBLANK(E383),"",VLOOKUP(E383,Code!B:C,2,FALSE))</f>
        <v>20</v>
      </c>
      <c r="C383">
        <v>199218</v>
      </c>
      <c r="D383" t="s">
        <v>166</v>
      </c>
      <c r="E383" t="s">
        <v>8</v>
      </c>
    </row>
    <row r="384" spans="1:6" x14ac:dyDescent="0.2">
      <c r="A384">
        <v>2023</v>
      </c>
      <c r="B384">
        <f>IF(ISBLANK(E384),"",VLOOKUP(E384,Code!B:C,2,FALSE))</f>
        <v>21</v>
      </c>
      <c r="C384">
        <v>199218</v>
      </c>
      <c r="D384" t="s">
        <v>166</v>
      </c>
      <c r="E384" t="s">
        <v>9</v>
      </c>
      <c r="F384" s="6">
        <v>2850</v>
      </c>
    </row>
    <row r="385" spans="1:5" x14ac:dyDescent="0.2">
      <c r="A385">
        <v>2023</v>
      </c>
      <c r="B385">
        <f>IF(ISBLANK(E385),"",VLOOKUP(E385,Code!B:C,2,FALSE))</f>
        <v>3</v>
      </c>
      <c r="C385">
        <v>199218</v>
      </c>
      <c r="D385" t="s">
        <v>166</v>
      </c>
      <c r="E385" t="s">
        <v>21</v>
      </c>
    </row>
    <row r="386" spans="1:5" x14ac:dyDescent="0.2">
      <c r="A386">
        <v>2023</v>
      </c>
      <c r="B386">
        <f>IF(ISBLANK(E386),"",VLOOKUP(E386,Code!B:C,2,FALSE))</f>
        <v>18</v>
      </c>
      <c r="C386">
        <v>199218</v>
      </c>
      <c r="D386" t="s">
        <v>166</v>
      </c>
      <c r="E386" t="s">
        <v>6</v>
      </c>
    </row>
    <row r="387" spans="1:5" x14ac:dyDescent="0.2">
      <c r="A387">
        <v>2023</v>
      </c>
      <c r="B387">
        <f>IF(ISBLANK(E387),"",VLOOKUP(E387,Code!B:C,2,FALSE))</f>
        <v>23</v>
      </c>
      <c r="C387">
        <v>199218</v>
      </c>
      <c r="D387" t="s">
        <v>166</v>
      </c>
      <c r="E387" t="s">
        <v>10</v>
      </c>
    </row>
    <row r="388" spans="1:5" x14ac:dyDescent="0.2">
      <c r="A388">
        <v>2017</v>
      </c>
      <c r="B388">
        <f>IF(ISBLANK(E388),"",VLOOKUP(E388,Code!B:C,2,FALSE))</f>
        <v>1</v>
      </c>
      <c r="C388">
        <v>209542</v>
      </c>
      <c r="D388" t="s">
        <v>183</v>
      </c>
      <c r="E388" t="s">
        <v>0</v>
      </c>
    </row>
    <row r="389" spans="1:5" x14ac:dyDescent="0.2">
      <c r="A389">
        <v>2017</v>
      </c>
      <c r="B389">
        <f>IF(ISBLANK(E389),"",VLOOKUP(E389,Code!B:C,2,FALSE))</f>
        <v>2</v>
      </c>
      <c r="C389">
        <v>209542</v>
      </c>
      <c r="D389" t="s">
        <v>183</v>
      </c>
      <c r="E389" t="s">
        <v>1</v>
      </c>
    </row>
    <row r="390" spans="1:5" x14ac:dyDescent="0.2">
      <c r="A390">
        <v>2017</v>
      </c>
      <c r="B390">
        <f>IF(ISBLANK(E390),"",VLOOKUP(E390,Code!B:C,2,FALSE))</f>
        <v>8</v>
      </c>
      <c r="C390">
        <v>209542</v>
      </c>
      <c r="D390" t="s">
        <v>183</v>
      </c>
      <c r="E390" t="s">
        <v>2</v>
      </c>
    </row>
    <row r="391" spans="1:5" x14ac:dyDescent="0.2">
      <c r="A391">
        <v>2017</v>
      </c>
      <c r="B391">
        <f>IF(ISBLANK(E391),"",VLOOKUP(E391,Code!B:C,2,FALSE))</f>
        <v>25</v>
      </c>
      <c r="C391">
        <v>209542</v>
      </c>
      <c r="D391" t="s">
        <v>183</v>
      </c>
      <c r="E391" t="s">
        <v>35</v>
      </c>
    </row>
    <row r="392" spans="1:5" x14ac:dyDescent="0.2">
      <c r="A392">
        <v>2017</v>
      </c>
      <c r="B392">
        <f>IF(ISBLANK(E392),"",VLOOKUP(E392,Code!B:C,2,FALSE))</f>
        <v>9</v>
      </c>
      <c r="C392">
        <v>209542</v>
      </c>
      <c r="D392" t="s">
        <v>183</v>
      </c>
      <c r="E392" t="s">
        <v>3</v>
      </c>
    </row>
    <row r="393" spans="1:5" x14ac:dyDescent="0.2">
      <c r="A393">
        <v>2017</v>
      </c>
      <c r="B393">
        <f>IF(ISBLANK(E393),"",VLOOKUP(E393,Code!B:C,2,FALSE))</f>
        <v>10</v>
      </c>
      <c r="C393">
        <v>209542</v>
      </c>
      <c r="D393" t="s">
        <v>183</v>
      </c>
      <c r="E393" t="s">
        <v>4</v>
      </c>
    </row>
    <row r="394" spans="1:5" x14ac:dyDescent="0.2">
      <c r="A394">
        <v>2017</v>
      </c>
      <c r="B394">
        <f>IF(ISBLANK(E394),"",VLOOKUP(E394,Code!B:C,2,FALSE))</f>
        <v>14</v>
      </c>
      <c r="C394">
        <v>209542</v>
      </c>
      <c r="D394" t="s">
        <v>183</v>
      </c>
      <c r="E394" t="s">
        <v>29</v>
      </c>
    </row>
    <row r="395" spans="1:5" x14ac:dyDescent="0.2">
      <c r="A395">
        <v>2017</v>
      </c>
      <c r="B395">
        <f>IF(ISBLANK(E395),"",VLOOKUP(E395,Code!B:C,2,FALSE))</f>
        <v>17</v>
      </c>
      <c r="C395">
        <v>209542</v>
      </c>
      <c r="D395" t="s">
        <v>183</v>
      </c>
      <c r="E395" t="s">
        <v>5</v>
      </c>
    </row>
    <row r="396" spans="1:5" x14ac:dyDescent="0.2">
      <c r="A396">
        <v>2017</v>
      </c>
      <c r="B396">
        <f>IF(ISBLANK(E396),"",VLOOKUP(E396,Code!B:C,2,FALSE))</f>
        <v>18</v>
      </c>
      <c r="C396">
        <v>209542</v>
      </c>
      <c r="D396" t="s">
        <v>183</v>
      </c>
      <c r="E396" t="s">
        <v>6</v>
      </c>
    </row>
    <row r="397" spans="1:5" x14ac:dyDescent="0.2">
      <c r="A397">
        <v>2017</v>
      </c>
      <c r="B397">
        <f>IF(ISBLANK(E397),"",VLOOKUP(E397,Code!B:C,2,FALSE))</f>
        <v>19</v>
      </c>
      <c r="C397">
        <v>209542</v>
      </c>
      <c r="D397" t="s">
        <v>183</v>
      </c>
      <c r="E397" t="s">
        <v>7</v>
      </c>
    </row>
    <row r="398" spans="1:5" x14ac:dyDescent="0.2">
      <c r="A398">
        <v>2017</v>
      </c>
      <c r="B398">
        <f>IF(ISBLANK(E398),"",VLOOKUP(E398,Code!B:C,2,FALSE))</f>
        <v>21</v>
      </c>
      <c r="C398">
        <v>209542</v>
      </c>
      <c r="D398" t="s">
        <v>183</v>
      </c>
      <c r="E398" t="s">
        <v>36</v>
      </c>
    </row>
    <row r="399" spans="1:5" x14ac:dyDescent="0.2">
      <c r="A399">
        <v>2017</v>
      </c>
      <c r="B399">
        <f>IF(ISBLANK(E399),"",VLOOKUP(E399,Code!B:C,2,FALSE))</f>
        <v>23</v>
      </c>
      <c r="C399">
        <v>209542</v>
      </c>
      <c r="D399" t="s">
        <v>183</v>
      </c>
      <c r="E399" t="s">
        <v>10</v>
      </c>
    </row>
    <row r="400" spans="1:5" x14ac:dyDescent="0.2">
      <c r="A400">
        <v>2018</v>
      </c>
      <c r="B400">
        <f>IF(ISBLANK(E400),"",VLOOKUP(E400,Code!B:C,2,FALSE))</f>
        <v>1</v>
      </c>
      <c r="C400">
        <v>209542</v>
      </c>
      <c r="D400" t="s">
        <v>183</v>
      </c>
      <c r="E400" t="s">
        <v>0</v>
      </c>
    </row>
    <row r="401" spans="1:5" x14ac:dyDescent="0.2">
      <c r="A401">
        <v>2018</v>
      </c>
      <c r="B401">
        <f>IF(ISBLANK(E401),"",VLOOKUP(E401,Code!B:C,2,FALSE))</f>
        <v>2</v>
      </c>
      <c r="C401">
        <v>209542</v>
      </c>
      <c r="D401" t="s">
        <v>183</v>
      </c>
      <c r="E401" t="s">
        <v>1</v>
      </c>
    </row>
    <row r="402" spans="1:5" x14ac:dyDescent="0.2">
      <c r="A402">
        <v>2018</v>
      </c>
      <c r="B402">
        <f>IF(ISBLANK(E402),"",VLOOKUP(E402,Code!B:C,2,FALSE))</f>
        <v>8</v>
      </c>
      <c r="C402">
        <v>209542</v>
      </c>
      <c r="D402" t="s">
        <v>183</v>
      </c>
      <c r="E402" t="s">
        <v>2</v>
      </c>
    </row>
    <row r="403" spans="1:5" x14ac:dyDescent="0.2">
      <c r="A403">
        <v>2018</v>
      </c>
      <c r="B403">
        <f>IF(ISBLANK(E403),"",VLOOKUP(E403,Code!B:C,2,FALSE))</f>
        <v>25</v>
      </c>
      <c r="C403">
        <v>209542</v>
      </c>
      <c r="D403" t="s">
        <v>183</v>
      </c>
      <c r="E403" t="s">
        <v>35</v>
      </c>
    </row>
    <row r="404" spans="1:5" x14ac:dyDescent="0.2">
      <c r="A404">
        <v>2018</v>
      </c>
      <c r="B404">
        <f>IF(ISBLANK(E404),"",VLOOKUP(E404,Code!B:C,2,FALSE))</f>
        <v>9</v>
      </c>
      <c r="C404">
        <v>209542</v>
      </c>
      <c r="D404" t="s">
        <v>183</v>
      </c>
      <c r="E404" t="s">
        <v>3</v>
      </c>
    </row>
    <row r="405" spans="1:5" x14ac:dyDescent="0.2">
      <c r="A405">
        <v>2018</v>
      </c>
      <c r="B405">
        <f>IF(ISBLANK(E405),"",VLOOKUP(E405,Code!B:C,2,FALSE))</f>
        <v>10</v>
      </c>
      <c r="C405">
        <v>209542</v>
      </c>
      <c r="D405" t="s">
        <v>183</v>
      </c>
      <c r="E405" t="s">
        <v>4</v>
      </c>
    </row>
    <row r="406" spans="1:5" x14ac:dyDescent="0.2">
      <c r="A406">
        <v>2018</v>
      </c>
      <c r="B406">
        <f>IF(ISBLANK(E406),"",VLOOKUP(E406,Code!B:C,2,FALSE))</f>
        <v>14</v>
      </c>
      <c r="C406">
        <v>209542</v>
      </c>
      <c r="D406" t="s">
        <v>183</v>
      </c>
      <c r="E406" t="s">
        <v>29</v>
      </c>
    </row>
    <row r="407" spans="1:5" x14ac:dyDescent="0.2">
      <c r="A407">
        <v>2018</v>
      </c>
      <c r="B407">
        <f>IF(ISBLANK(E407),"",VLOOKUP(E407,Code!B:C,2,FALSE))</f>
        <v>17</v>
      </c>
      <c r="C407">
        <v>209542</v>
      </c>
      <c r="D407" t="s">
        <v>183</v>
      </c>
      <c r="E407" t="s">
        <v>5</v>
      </c>
    </row>
    <row r="408" spans="1:5" x14ac:dyDescent="0.2">
      <c r="A408">
        <v>2018</v>
      </c>
      <c r="B408">
        <f>IF(ISBLANK(E408),"",VLOOKUP(E408,Code!B:C,2,FALSE))</f>
        <v>18</v>
      </c>
      <c r="C408">
        <v>209542</v>
      </c>
      <c r="D408" t="s">
        <v>183</v>
      </c>
      <c r="E408" t="s">
        <v>6</v>
      </c>
    </row>
    <row r="409" spans="1:5" x14ac:dyDescent="0.2">
      <c r="A409">
        <v>2018</v>
      </c>
      <c r="B409">
        <f>IF(ISBLANK(E409),"",VLOOKUP(E409,Code!B:C,2,FALSE))</f>
        <v>19</v>
      </c>
      <c r="C409">
        <v>209542</v>
      </c>
      <c r="D409" t="s">
        <v>183</v>
      </c>
      <c r="E409" t="s">
        <v>7</v>
      </c>
    </row>
    <row r="410" spans="1:5" x14ac:dyDescent="0.2">
      <c r="A410">
        <v>2018</v>
      </c>
      <c r="B410">
        <f>IF(ISBLANK(E410),"",VLOOKUP(E410,Code!B:C,2,FALSE))</f>
        <v>21</v>
      </c>
      <c r="C410">
        <v>209542</v>
      </c>
      <c r="D410" t="s">
        <v>183</v>
      </c>
      <c r="E410" t="s">
        <v>36</v>
      </c>
    </row>
    <row r="411" spans="1:5" x14ac:dyDescent="0.2">
      <c r="A411">
        <v>2018</v>
      </c>
      <c r="B411">
        <f>IF(ISBLANK(E411),"",VLOOKUP(E411,Code!B:C,2,FALSE))</f>
        <v>23</v>
      </c>
      <c r="C411">
        <v>209542</v>
      </c>
      <c r="D411" t="s">
        <v>183</v>
      </c>
      <c r="E411" t="s">
        <v>10</v>
      </c>
    </row>
    <row r="412" spans="1:5" x14ac:dyDescent="0.2">
      <c r="A412">
        <v>2019</v>
      </c>
      <c r="B412">
        <f>IF(ISBLANK(E412),"",VLOOKUP(E412,Code!B:C,2,FALSE))</f>
        <v>1</v>
      </c>
      <c r="C412">
        <v>209542</v>
      </c>
      <c r="D412" t="s">
        <v>183</v>
      </c>
      <c r="E412" t="s">
        <v>0</v>
      </c>
    </row>
    <row r="413" spans="1:5" x14ac:dyDescent="0.2">
      <c r="A413">
        <v>2019</v>
      </c>
      <c r="B413">
        <f>IF(ISBLANK(E413),"",VLOOKUP(E413,Code!B:C,2,FALSE))</f>
        <v>2</v>
      </c>
      <c r="C413">
        <v>209542</v>
      </c>
      <c r="D413" t="s">
        <v>183</v>
      </c>
      <c r="E413" t="s">
        <v>1</v>
      </c>
    </row>
    <row r="414" spans="1:5" x14ac:dyDescent="0.2">
      <c r="A414">
        <v>2019</v>
      </c>
      <c r="B414">
        <f>IF(ISBLANK(E414),"",VLOOKUP(E414,Code!B:C,2,FALSE))</f>
        <v>8</v>
      </c>
      <c r="C414">
        <v>209542</v>
      </c>
      <c r="D414" t="s">
        <v>183</v>
      </c>
      <c r="E414" t="s">
        <v>2</v>
      </c>
    </row>
    <row r="415" spans="1:5" x14ac:dyDescent="0.2">
      <c r="A415">
        <v>2019</v>
      </c>
      <c r="B415">
        <f>IF(ISBLANK(E415),"",VLOOKUP(E415,Code!B:C,2,FALSE))</f>
        <v>9</v>
      </c>
      <c r="C415">
        <v>209542</v>
      </c>
      <c r="D415" t="s">
        <v>183</v>
      </c>
      <c r="E415" t="s">
        <v>3</v>
      </c>
    </row>
    <row r="416" spans="1:5" x14ac:dyDescent="0.2">
      <c r="A416">
        <v>2019</v>
      </c>
      <c r="B416">
        <f>IF(ISBLANK(E416),"",VLOOKUP(E416,Code!B:C,2,FALSE))</f>
        <v>17</v>
      </c>
      <c r="C416">
        <v>209542</v>
      </c>
      <c r="D416" t="s">
        <v>183</v>
      </c>
      <c r="E416" t="s">
        <v>5</v>
      </c>
    </row>
    <row r="417" spans="1:5" x14ac:dyDescent="0.2">
      <c r="A417">
        <v>2019</v>
      </c>
      <c r="B417">
        <f>IF(ISBLANK(E417),"",VLOOKUP(E417,Code!B:C,2,FALSE))</f>
        <v>25</v>
      </c>
      <c r="C417">
        <v>209542</v>
      </c>
      <c r="D417" t="s">
        <v>183</v>
      </c>
      <c r="E417" t="s">
        <v>35</v>
      </c>
    </row>
    <row r="418" spans="1:5" x14ac:dyDescent="0.2">
      <c r="A418">
        <v>2019</v>
      </c>
      <c r="B418">
        <f>IF(ISBLANK(E418),"",VLOOKUP(E418,Code!B:C,2,FALSE))</f>
        <v>10</v>
      </c>
      <c r="C418">
        <v>209542</v>
      </c>
      <c r="D418" t="s">
        <v>183</v>
      </c>
      <c r="E418" t="s">
        <v>4</v>
      </c>
    </row>
    <row r="419" spans="1:5" x14ac:dyDescent="0.2">
      <c r="A419">
        <v>2019</v>
      </c>
      <c r="B419">
        <f>IF(ISBLANK(E419),"",VLOOKUP(E419,Code!B:C,2,FALSE))</f>
        <v>14</v>
      </c>
      <c r="C419">
        <v>209542</v>
      </c>
      <c r="D419" t="s">
        <v>183</v>
      </c>
      <c r="E419" t="s">
        <v>29</v>
      </c>
    </row>
    <row r="420" spans="1:5" x14ac:dyDescent="0.2">
      <c r="A420">
        <v>2019</v>
      </c>
      <c r="B420">
        <f>IF(ISBLANK(E420),"",VLOOKUP(E420,Code!B:C,2,FALSE))</f>
        <v>17</v>
      </c>
      <c r="C420">
        <v>209542</v>
      </c>
      <c r="D420" t="s">
        <v>183</v>
      </c>
      <c r="E420" t="s">
        <v>5</v>
      </c>
    </row>
    <row r="421" spans="1:5" x14ac:dyDescent="0.2">
      <c r="A421">
        <v>2019</v>
      </c>
      <c r="B421">
        <f>IF(ISBLANK(E421),"",VLOOKUP(E421,Code!B:C,2,FALSE))</f>
        <v>18</v>
      </c>
      <c r="C421">
        <v>209542</v>
      </c>
      <c r="D421" t="s">
        <v>183</v>
      </c>
      <c r="E421" t="s">
        <v>6</v>
      </c>
    </row>
    <row r="422" spans="1:5" x14ac:dyDescent="0.2">
      <c r="A422">
        <v>2019</v>
      </c>
      <c r="B422">
        <f>IF(ISBLANK(E422),"",VLOOKUP(E422,Code!B:C,2,FALSE))</f>
        <v>19</v>
      </c>
      <c r="C422">
        <v>209542</v>
      </c>
      <c r="D422" t="s">
        <v>183</v>
      </c>
      <c r="E422" t="s">
        <v>7</v>
      </c>
    </row>
    <row r="423" spans="1:5" x14ac:dyDescent="0.2">
      <c r="A423">
        <v>2019</v>
      </c>
      <c r="B423">
        <f>IF(ISBLANK(E423),"",VLOOKUP(E423,Code!B:C,2,FALSE))</f>
        <v>21</v>
      </c>
      <c r="C423">
        <v>209542</v>
      </c>
      <c r="D423" t="s">
        <v>183</v>
      </c>
      <c r="E423" t="s">
        <v>36</v>
      </c>
    </row>
    <row r="424" spans="1:5" x14ac:dyDescent="0.2">
      <c r="A424">
        <v>2019</v>
      </c>
      <c r="B424">
        <f>IF(ISBLANK(E424),"",VLOOKUP(E424,Code!B:C,2,FALSE))</f>
        <v>23</v>
      </c>
      <c r="C424">
        <v>209542</v>
      </c>
      <c r="D424" t="s">
        <v>183</v>
      </c>
      <c r="E424" t="s">
        <v>10</v>
      </c>
    </row>
    <row r="425" spans="1:5" x14ac:dyDescent="0.2">
      <c r="A425">
        <v>2020</v>
      </c>
      <c r="B425">
        <f>IF(ISBLANK(E425),"",VLOOKUP(E425,Code!B:C,2,FALSE))</f>
        <v>1</v>
      </c>
      <c r="C425">
        <v>209542</v>
      </c>
      <c r="D425" t="s">
        <v>183</v>
      </c>
      <c r="E425" t="s">
        <v>0</v>
      </c>
    </row>
    <row r="426" spans="1:5" x14ac:dyDescent="0.2">
      <c r="A426">
        <v>2020</v>
      </c>
      <c r="B426">
        <f>IF(ISBLANK(E426),"",VLOOKUP(E426,Code!B:C,2,FALSE))</f>
        <v>2</v>
      </c>
      <c r="C426">
        <v>209542</v>
      </c>
      <c r="D426" t="s">
        <v>183</v>
      </c>
      <c r="E426" t="s">
        <v>1</v>
      </c>
    </row>
    <row r="427" spans="1:5" x14ac:dyDescent="0.2">
      <c r="A427">
        <v>2020</v>
      </c>
      <c r="B427">
        <f>IF(ISBLANK(E427),"",VLOOKUP(E427,Code!B:C,2,FALSE))</f>
        <v>8</v>
      </c>
      <c r="C427">
        <v>209542</v>
      </c>
      <c r="D427" t="s">
        <v>183</v>
      </c>
      <c r="E427" t="s">
        <v>2</v>
      </c>
    </row>
    <row r="428" spans="1:5" x14ac:dyDescent="0.2">
      <c r="A428">
        <v>2020</v>
      </c>
      <c r="B428">
        <f>IF(ISBLANK(E428),"",VLOOKUP(E428,Code!B:C,2,FALSE))</f>
        <v>25</v>
      </c>
      <c r="C428">
        <v>209542</v>
      </c>
      <c r="D428" t="s">
        <v>183</v>
      </c>
      <c r="E428" t="s">
        <v>35</v>
      </c>
    </row>
    <row r="429" spans="1:5" x14ac:dyDescent="0.2">
      <c r="A429">
        <v>2020</v>
      </c>
      <c r="B429">
        <f>IF(ISBLANK(E429),"",VLOOKUP(E429,Code!B:C,2,FALSE))</f>
        <v>9</v>
      </c>
      <c r="C429">
        <v>209542</v>
      </c>
      <c r="D429" t="s">
        <v>183</v>
      </c>
      <c r="E429" t="s">
        <v>3</v>
      </c>
    </row>
    <row r="430" spans="1:5" x14ac:dyDescent="0.2">
      <c r="A430">
        <v>2020</v>
      </c>
      <c r="B430">
        <f>IF(ISBLANK(E430),"",VLOOKUP(E430,Code!B:C,2,FALSE))</f>
        <v>10</v>
      </c>
      <c r="C430">
        <v>209542</v>
      </c>
      <c r="D430" t="s">
        <v>183</v>
      </c>
      <c r="E430" t="s">
        <v>4</v>
      </c>
    </row>
    <row r="431" spans="1:5" x14ac:dyDescent="0.2">
      <c r="A431">
        <v>2020</v>
      </c>
      <c r="B431">
        <f>IF(ISBLANK(E431),"",VLOOKUP(E431,Code!B:C,2,FALSE))</f>
        <v>14</v>
      </c>
      <c r="C431">
        <v>209542</v>
      </c>
      <c r="D431" t="s">
        <v>183</v>
      </c>
      <c r="E431" t="s">
        <v>29</v>
      </c>
    </row>
    <row r="432" spans="1:5" x14ac:dyDescent="0.2">
      <c r="A432">
        <v>2020</v>
      </c>
      <c r="B432">
        <f>IF(ISBLANK(E432),"",VLOOKUP(E432,Code!B:C,2,FALSE))</f>
        <v>17</v>
      </c>
      <c r="C432">
        <v>209542</v>
      </c>
      <c r="D432" t="s">
        <v>183</v>
      </c>
      <c r="E432" t="s">
        <v>5</v>
      </c>
    </row>
    <row r="433" spans="1:5" x14ac:dyDescent="0.2">
      <c r="A433">
        <v>2020</v>
      </c>
      <c r="B433">
        <f>IF(ISBLANK(E433),"",VLOOKUP(E433,Code!B:C,2,FALSE))</f>
        <v>18</v>
      </c>
      <c r="C433">
        <v>209542</v>
      </c>
      <c r="D433" t="s">
        <v>183</v>
      </c>
      <c r="E433" t="s">
        <v>6</v>
      </c>
    </row>
    <row r="434" spans="1:5" x14ac:dyDescent="0.2">
      <c r="A434">
        <v>2020</v>
      </c>
      <c r="B434">
        <f>IF(ISBLANK(E434),"",VLOOKUP(E434,Code!B:C,2,FALSE))</f>
        <v>21</v>
      </c>
      <c r="C434">
        <v>209542</v>
      </c>
      <c r="D434" t="s">
        <v>183</v>
      </c>
      <c r="E434" t="s">
        <v>36</v>
      </c>
    </row>
    <row r="435" spans="1:5" x14ac:dyDescent="0.2">
      <c r="A435">
        <v>2020</v>
      </c>
      <c r="B435">
        <f>IF(ISBLANK(E435),"",VLOOKUP(E435,Code!B:C,2,FALSE))</f>
        <v>23</v>
      </c>
      <c r="C435">
        <v>209542</v>
      </c>
      <c r="D435" t="s">
        <v>183</v>
      </c>
      <c r="E435" t="s">
        <v>10</v>
      </c>
    </row>
    <row r="436" spans="1:5" x14ac:dyDescent="0.2">
      <c r="A436">
        <v>2021</v>
      </c>
      <c r="B436">
        <f>IF(ISBLANK(E436),"",VLOOKUP(E436,Code!B:C,2,FALSE))</f>
        <v>1</v>
      </c>
      <c r="C436">
        <v>209542</v>
      </c>
      <c r="D436" t="s">
        <v>183</v>
      </c>
      <c r="E436" t="s">
        <v>0</v>
      </c>
    </row>
    <row r="437" spans="1:5" x14ac:dyDescent="0.2">
      <c r="A437">
        <v>2021</v>
      </c>
      <c r="B437">
        <f>IF(ISBLANK(E437),"",VLOOKUP(E437,Code!B:C,2,FALSE))</f>
        <v>2</v>
      </c>
      <c r="C437">
        <v>209542</v>
      </c>
      <c r="D437" t="s">
        <v>183</v>
      </c>
      <c r="E437" t="s">
        <v>1</v>
      </c>
    </row>
    <row r="438" spans="1:5" x14ac:dyDescent="0.2">
      <c r="A438">
        <v>2021</v>
      </c>
      <c r="B438">
        <f>IF(ISBLANK(E438),"",VLOOKUP(E438,Code!B:C,2,FALSE))</f>
        <v>8</v>
      </c>
      <c r="C438">
        <v>209542</v>
      </c>
      <c r="D438" t="s">
        <v>183</v>
      </c>
      <c r="E438" t="s">
        <v>2</v>
      </c>
    </row>
    <row r="439" spans="1:5" x14ac:dyDescent="0.2">
      <c r="A439">
        <v>2021</v>
      </c>
      <c r="B439">
        <f>IF(ISBLANK(E439),"",VLOOKUP(E439,Code!B:C,2,FALSE))</f>
        <v>25</v>
      </c>
      <c r="C439">
        <v>209542</v>
      </c>
      <c r="D439" t="s">
        <v>183</v>
      </c>
      <c r="E439" t="s">
        <v>35</v>
      </c>
    </row>
    <row r="440" spans="1:5" x14ac:dyDescent="0.2">
      <c r="A440">
        <v>2021</v>
      </c>
      <c r="B440">
        <f>IF(ISBLANK(E440),"",VLOOKUP(E440,Code!B:C,2,FALSE))</f>
        <v>9</v>
      </c>
      <c r="C440">
        <v>209542</v>
      </c>
      <c r="D440" t="s">
        <v>183</v>
      </c>
      <c r="E440" t="s">
        <v>3</v>
      </c>
    </row>
    <row r="441" spans="1:5" x14ac:dyDescent="0.2">
      <c r="A441">
        <v>2021</v>
      </c>
      <c r="B441">
        <f>IF(ISBLANK(E441),"",VLOOKUP(E441,Code!B:C,2,FALSE))</f>
        <v>10</v>
      </c>
      <c r="C441">
        <v>209542</v>
      </c>
      <c r="D441" t="s">
        <v>183</v>
      </c>
      <c r="E441" t="s">
        <v>4</v>
      </c>
    </row>
    <row r="442" spans="1:5" x14ac:dyDescent="0.2">
      <c r="A442">
        <v>2021</v>
      </c>
      <c r="B442">
        <f>IF(ISBLANK(E442),"",VLOOKUP(E442,Code!B:C,2,FALSE))</f>
        <v>14</v>
      </c>
      <c r="C442">
        <v>209542</v>
      </c>
      <c r="D442" t="s">
        <v>183</v>
      </c>
      <c r="E442" t="s">
        <v>29</v>
      </c>
    </row>
    <row r="443" spans="1:5" x14ac:dyDescent="0.2">
      <c r="A443">
        <v>2021</v>
      </c>
      <c r="B443">
        <f>IF(ISBLANK(E443),"",VLOOKUP(E443,Code!B:C,2,FALSE))</f>
        <v>17</v>
      </c>
      <c r="C443">
        <v>209542</v>
      </c>
      <c r="D443" t="s">
        <v>183</v>
      </c>
      <c r="E443" t="s">
        <v>5</v>
      </c>
    </row>
    <row r="444" spans="1:5" x14ac:dyDescent="0.2">
      <c r="A444">
        <v>2021</v>
      </c>
      <c r="B444">
        <f>IF(ISBLANK(E444),"",VLOOKUP(E444,Code!B:C,2,FALSE))</f>
        <v>18</v>
      </c>
      <c r="C444">
        <v>209542</v>
      </c>
      <c r="D444" t="s">
        <v>183</v>
      </c>
      <c r="E444" t="s">
        <v>6</v>
      </c>
    </row>
    <row r="445" spans="1:5" x14ac:dyDescent="0.2">
      <c r="A445">
        <v>2021</v>
      </c>
      <c r="B445">
        <f>IF(ISBLANK(E445),"",VLOOKUP(E445,Code!B:C,2,FALSE))</f>
        <v>21</v>
      </c>
      <c r="C445">
        <v>209542</v>
      </c>
      <c r="D445" t="s">
        <v>183</v>
      </c>
      <c r="E445" t="s">
        <v>36</v>
      </c>
    </row>
    <row r="446" spans="1:5" x14ac:dyDescent="0.2">
      <c r="A446">
        <v>2021</v>
      </c>
      <c r="B446">
        <f>IF(ISBLANK(E446),"",VLOOKUP(E446,Code!B:C,2,FALSE))</f>
        <v>23</v>
      </c>
      <c r="C446">
        <v>209542</v>
      </c>
      <c r="D446" t="s">
        <v>183</v>
      </c>
      <c r="E446" t="s">
        <v>10</v>
      </c>
    </row>
    <row r="447" spans="1:5" x14ac:dyDescent="0.2">
      <c r="A447">
        <v>2022</v>
      </c>
      <c r="B447">
        <f>IF(ISBLANK(E447),"",VLOOKUP(E447,Code!B:C,2,FALSE))</f>
        <v>1</v>
      </c>
      <c r="C447">
        <v>209542</v>
      </c>
      <c r="D447" t="s">
        <v>183</v>
      </c>
      <c r="E447" t="s">
        <v>0</v>
      </c>
    </row>
    <row r="448" spans="1:5" x14ac:dyDescent="0.2">
      <c r="A448">
        <v>2022</v>
      </c>
      <c r="B448">
        <f>IF(ISBLANK(E448),"",VLOOKUP(E448,Code!B:C,2,FALSE))</f>
        <v>2</v>
      </c>
      <c r="C448">
        <v>209542</v>
      </c>
      <c r="D448" t="s">
        <v>183</v>
      </c>
      <c r="E448" t="s">
        <v>1</v>
      </c>
    </row>
    <row r="449" spans="1:5" x14ac:dyDescent="0.2">
      <c r="A449">
        <v>2022</v>
      </c>
      <c r="B449">
        <f>IF(ISBLANK(E449),"",VLOOKUP(E449,Code!B:C,2,FALSE))</f>
        <v>8</v>
      </c>
      <c r="C449">
        <v>209542</v>
      </c>
      <c r="D449" t="s">
        <v>183</v>
      </c>
      <c r="E449" t="s">
        <v>2</v>
      </c>
    </row>
    <row r="450" spans="1:5" x14ac:dyDescent="0.2">
      <c r="A450">
        <v>2022</v>
      </c>
      <c r="B450">
        <f>IF(ISBLANK(E450),"",VLOOKUP(E450,Code!B:C,2,FALSE))</f>
        <v>9</v>
      </c>
      <c r="C450">
        <v>209542</v>
      </c>
      <c r="D450" t="s">
        <v>183</v>
      </c>
      <c r="E450" t="s">
        <v>3</v>
      </c>
    </row>
    <row r="451" spans="1:5" x14ac:dyDescent="0.2">
      <c r="A451">
        <v>2022</v>
      </c>
      <c r="B451">
        <f>IF(ISBLANK(E451),"",VLOOKUP(E451,Code!B:C,2,FALSE))</f>
        <v>17</v>
      </c>
      <c r="C451">
        <v>209542</v>
      </c>
      <c r="D451" t="s">
        <v>183</v>
      </c>
      <c r="E451" t="s">
        <v>5</v>
      </c>
    </row>
    <row r="452" spans="1:5" x14ac:dyDescent="0.2">
      <c r="A452">
        <v>2022</v>
      </c>
      <c r="B452">
        <f>IF(ISBLANK(E452),"",VLOOKUP(E452,Code!B:C,2,FALSE))</f>
        <v>25</v>
      </c>
      <c r="C452">
        <v>209542</v>
      </c>
      <c r="D452" t="s">
        <v>183</v>
      </c>
      <c r="E452" t="s">
        <v>35</v>
      </c>
    </row>
    <row r="453" spans="1:5" x14ac:dyDescent="0.2">
      <c r="A453">
        <v>2022</v>
      </c>
      <c r="B453">
        <f>IF(ISBLANK(E453),"",VLOOKUP(E453,Code!B:C,2,FALSE))</f>
        <v>10</v>
      </c>
      <c r="C453">
        <v>209542</v>
      </c>
      <c r="D453" t="s">
        <v>183</v>
      </c>
      <c r="E453" t="s">
        <v>4</v>
      </c>
    </row>
    <row r="454" spans="1:5" x14ac:dyDescent="0.2">
      <c r="A454">
        <v>2022</v>
      </c>
      <c r="B454">
        <f>IF(ISBLANK(E454),"",VLOOKUP(E454,Code!B:C,2,FALSE))</f>
        <v>14</v>
      </c>
      <c r="C454">
        <v>209542</v>
      </c>
      <c r="D454" t="s">
        <v>183</v>
      </c>
      <c r="E454" t="s">
        <v>29</v>
      </c>
    </row>
    <row r="455" spans="1:5" x14ac:dyDescent="0.2">
      <c r="A455">
        <v>2022</v>
      </c>
      <c r="B455">
        <f>IF(ISBLANK(E455),"",VLOOKUP(E455,Code!B:C,2,FALSE))</f>
        <v>18</v>
      </c>
      <c r="C455">
        <v>209542</v>
      </c>
      <c r="D455" t="s">
        <v>183</v>
      </c>
      <c r="E455" t="s">
        <v>6</v>
      </c>
    </row>
    <row r="456" spans="1:5" x14ac:dyDescent="0.2">
      <c r="A456">
        <v>2022</v>
      </c>
      <c r="B456">
        <f>IF(ISBLANK(E456),"",VLOOKUP(E456,Code!B:C,2,FALSE))</f>
        <v>21</v>
      </c>
      <c r="C456">
        <v>209542</v>
      </c>
      <c r="D456" t="s">
        <v>183</v>
      </c>
      <c r="E456" t="s">
        <v>36</v>
      </c>
    </row>
    <row r="457" spans="1:5" x14ac:dyDescent="0.2">
      <c r="A457">
        <v>2022</v>
      </c>
      <c r="B457">
        <f>IF(ISBLANK(E457),"",VLOOKUP(E457,Code!B:C,2,FALSE))</f>
        <v>23</v>
      </c>
      <c r="C457">
        <v>209542</v>
      </c>
      <c r="D457" t="s">
        <v>183</v>
      </c>
      <c r="E457" t="s">
        <v>10</v>
      </c>
    </row>
    <row r="458" spans="1:5" x14ac:dyDescent="0.2">
      <c r="A458">
        <v>2023</v>
      </c>
      <c r="B458">
        <f>IF(ISBLANK(E458),"",VLOOKUP(E458,Code!B:C,2,FALSE))</f>
        <v>1</v>
      </c>
      <c r="C458">
        <v>209542</v>
      </c>
      <c r="D458" t="s">
        <v>183</v>
      </c>
      <c r="E458" t="s">
        <v>0</v>
      </c>
    </row>
    <row r="459" spans="1:5" x14ac:dyDescent="0.2">
      <c r="A459">
        <v>2023</v>
      </c>
      <c r="B459">
        <f>IF(ISBLANK(E459),"",VLOOKUP(E459,Code!B:C,2,FALSE))</f>
        <v>2</v>
      </c>
      <c r="C459">
        <v>209542</v>
      </c>
      <c r="D459" t="s">
        <v>183</v>
      </c>
      <c r="E459" t="s">
        <v>1</v>
      </c>
    </row>
    <row r="460" spans="1:5" x14ac:dyDescent="0.2">
      <c r="A460">
        <v>2023</v>
      </c>
      <c r="B460">
        <f>IF(ISBLANK(E460),"",VLOOKUP(E460,Code!B:C,2,FALSE))</f>
        <v>8</v>
      </c>
      <c r="C460">
        <v>209542</v>
      </c>
      <c r="D460" t="s">
        <v>183</v>
      </c>
      <c r="E460" t="s">
        <v>2</v>
      </c>
    </row>
    <row r="461" spans="1:5" x14ac:dyDescent="0.2">
      <c r="A461">
        <v>2023</v>
      </c>
      <c r="B461">
        <f>IF(ISBLANK(E461),"",VLOOKUP(E461,Code!B:C,2,FALSE))</f>
        <v>25</v>
      </c>
      <c r="C461">
        <v>209542</v>
      </c>
      <c r="D461" t="s">
        <v>183</v>
      </c>
      <c r="E461" t="s">
        <v>35</v>
      </c>
    </row>
    <row r="462" spans="1:5" x14ac:dyDescent="0.2">
      <c r="A462">
        <v>2023</v>
      </c>
      <c r="B462">
        <f>IF(ISBLANK(E462),"",VLOOKUP(E462,Code!B:C,2,FALSE))</f>
        <v>9</v>
      </c>
      <c r="C462">
        <v>209542</v>
      </c>
      <c r="D462" t="s">
        <v>183</v>
      </c>
      <c r="E462" t="s">
        <v>3</v>
      </c>
    </row>
    <row r="463" spans="1:5" x14ac:dyDescent="0.2">
      <c r="A463">
        <v>2023</v>
      </c>
      <c r="B463">
        <f>IF(ISBLANK(E463),"",VLOOKUP(E463,Code!B:C,2,FALSE))</f>
        <v>10</v>
      </c>
      <c r="C463">
        <v>209542</v>
      </c>
      <c r="D463" t="s">
        <v>183</v>
      </c>
      <c r="E463" t="s">
        <v>4</v>
      </c>
    </row>
    <row r="464" spans="1:5" x14ac:dyDescent="0.2">
      <c r="A464">
        <v>2023</v>
      </c>
      <c r="B464">
        <f>IF(ISBLANK(E464),"",VLOOKUP(E464,Code!B:C,2,FALSE))</f>
        <v>14</v>
      </c>
      <c r="C464">
        <v>209542</v>
      </c>
      <c r="D464" t="s">
        <v>183</v>
      </c>
      <c r="E464" t="s">
        <v>29</v>
      </c>
    </row>
    <row r="465" spans="1:5" x14ac:dyDescent="0.2">
      <c r="A465">
        <v>2023</v>
      </c>
      <c r="B465">
        <f>IF(ISBLANK(E465),"",VLOOKUP(E465,Code!B:C,2,FALSE))</f>
        <v>17</v>
      </c>
      <c r="C465">
        <v>209542</v>
      </c>
      <c r="D465" t="s">
        <v>183</v>
      </c>
      <c r="E465" t="s">
        <v>5</v>
      </c>
    </row>
    <row r="466" spans="1:5" x14ac:dyDescent="0.2">
      <c r="A466">
        <v>2023</v>
      </c>
      <c r="B466">
        <f>IF(ISBLANK(E466),"",VLOOKUP(E466,Code!B:C,2,FALSE))</f>
        <v>18</v>
      </c>
      <c r="C466">
        <v>209542</v>
      </c>
      <c r="D466" t="s">
        <v>183</v>
      </c>
      <c r="E466" t="s">
        <v>6</v>
      </c>
    </row>
    <row r="467" spans="1:5" x14ac:dyDescent="0.2">
      <c r="A467">
        <v>2023</v>
      </c>
      <c r="B467">
        <f>IF(ISBLANK(E467),"",VLOOKUP(E467,Code!B:C,2,FALSE))</f>
        <v>21</v>
      </c>
      <c r="C467">
        <v>209542</v>
      </c>
      <c r="D467" t="s">
        <v>183</v>
      </c>
      <c r="E467" t="s">
        <v>9</v>
      </c>
    </row>
    <row r="468" spans="1:5" x14ac:dyDescent="0.2">
      <c r="A468">
        <v>2023</v>
      </c>
      <c r="B468">
        <f>IF(ISBLANK(E468),"",VLOOKUP(E468,Code!B:C,2,FALSE))</f>
        <v>23</v>
      </c>
      <c r="C468">
        <v>209542</v>
      </c>
      <c r="D468" t="s">
        <v>183</v>
      </c>
      <c r="E468" t="s">
        <v>10</v>
      </c>
    </row>
    <row r="469" spans="1:5" x14ac:dyDescent="0.2">
      <c r="A469">
        <v>2017</v>
      </c>
      <c r="B469">
        <f>IF(ISBLANK(E469),"",VLOOKUP(E469,Code!B:C,2,FALSE))</f>
        <v>2</v>
      </c>
      <c r="C469">
        <v>209807</v>
      </c>
      <c r="D469" t="s">
        <v>185</v>
      </c>
      <c r="E469" t="s">
        <v>1</v>
      </c>
    </row>
    <row r="470" spans="1:5" x14ac:dyDescent="0.2">
      <c r="A470">
        <v>2017</v>
      </c>
      <c r="B470">
        <f>IF(ISBLANK(E470),"",VLOOKUP(E470,Code!B:C,2,FALSE))</f>
        <v>8</v>
      </c>
      <c r="C470">
        <v>209807</v>
      </c>
      <c r="D470" t="s">
        <v>185</v>
      </c>
      <c r="E470" t="s">
        <v>2</v>
      </c>
    </row>
    <row r="471" spans="1:5" x14ac:dyDescent="0.2">
      <c r="A471">
        <v>2017</v>
      </c>
      <c r="B471">
        <f>IF(ISBLANK(E471),"",VLOOKUP(E471,Code!B:C,2,FALSE))</f>
        <v>20</v>
      </c>
      <c r="C471">
        <v>209807</v>
      </c>
      <c r="D471" t="s">
        <v>185</v>
      </c>
      <c r="E471" t="s">
        <v>8</v>
      </c>
    </row>
    <row r="472" spans="1:5" x14ac:dyDescent="0.2">
      <c r="A472">
        <v>2017</v>
      </c>
      <c r="B472">
        <f>IF(ISBLANK(E472),"",VLOOKUP(E472,Code!B:C,2,FALSE))</f>
        <v>21</v>
      </c>
      <c r="C472">
        <v>209807</v>
      </c>
      <c r="D472" t="s">
        <v>185</v>
      </c>
      <c r="E472" t="s">
        <v>36</v>
      </c>
    </row>
    <row r="473" spans="1:5" x14ac:dyDescent="0.2">
      <c r="A473">
        <v>2017</v>
      </c>
      <c r="B473">
        <f>IF(ISBLANK(E473),"",VLOOKUP(E473,Code!B:C,2,FALSE))</f>
        <v>2</v>
      </c>
      <c r="C473">
        <v>209807</v>
      </c>
      <c r="D473" t="s">
        <v>185</v>
      </c>
      <c r="E473" t="s">
        <v>1</v>
      </c>
    </row>
    <row r="474" spans="1:5" x14ac:dyDescent="0.2">
      <c r="A474">
        <v>2017</v>
      </c>
      <c r="B474">
        <f>IF(ISBLANK(E474),"",VLOOKUP(E474,Code!B:C,2,FALSE))</f>
        <v>9</v>
      </c>
      <c r="C474">
        <v>209807</v>
      </c>
      <c r="D474" t="s">
        <v>185</v>
      </c>
      <c r="E474" t="s">
        <v>3</v>
      </c>
    </row>
    <row r="475" spans="1:5" x14ac:dyDescent="0.2">
      <c r="A475">
        <v>2017</v>
      </c>
      <c r="B475">
        <f>IF(ISBLANK(E475),"",VLOOKUP(E475,Code!B:C,2,FALSE))</f>
        <v>17</v>
      </c>
      <c r="C475">
        <v>209807</v>
      </c>
      <c r="D475" t="s">
        <v>185</v>
      </c>
      <c r="E475" t="s">
        <v>5</v>
      </c>
    </row>
    <row r="476" spans="1:5" x14ac:dyDescent="0.2">
      <c r="A476">
        <v>2017</v>
      </c>
      <c r="B476">
        <f>IF(ISBLANK(E476),"",VLOOKUP(E476,Code!B:C,2,FALSE))</f>
        <v>18</v>
      </c>
      <c r="C476">
        <v>209807</v>
      </c>
      <c r="D476" t="s">
        <v>185</v>
      </c>
      <c r="E476" t="s">
        <v>6</v>
      </c>
    </row>
    <row r="477" spans="1:5" x14ac:dyDescent="0.2">
      <c r="A477">
        <v>2017</v>
      </c>
      <c r="B477">
        <f>IF(ISBLANK(E477),"",VLOOKUP(E477,Code!B:C,2,FALSE))</f>
        <v>20</v>
      </c>
      <c r="C477">
        <v>209807</v>
      </c>
      <c r="D477" t="s">
        <v>185</v>
      </c>
      <c r="E477" t="s">
        <v>8</v>
      </c>
    </row>
    <row r="478" spans="1:5" x14ac:dyDescent="0.2">
      <c r="A478">
        <v>2017</v>
      </c>
      <c r="B478">
        <f>IF(ISBLANK(E478),"",VLOOKUP(E478,Code!B:C,2,FALSE))</f>
        <v>21</v>
      </c>
      <c r="C478">
        <v>209807</v>
      </c>
      <c r="D478" t="s">
        <v>185</v>
      </c>
      <c r="E478" t="s">
        <v>36</v>
      </c>
    </row>
    <row r="479" spans="1:5" x14ac:dyDescent="0.2">
      <c r="A479">
        <v>2017</v>
      </c>
      <c r="B479">
        <f>IF(ISBLANK(E479),"",VLOOKUP(E479,Code!B:C,2,FALSE))</f>
        <v>23</v>
      </c>
      <c r="C479">
        <v>209807</v>
      </c>
      <c r="D479" t="s">
        <v>185</v>
      </c>
      <c r="E479" t="s">
        <v>10</v>
      </c>
    </row>
    <row r="480" spans="1:5" x14ac:dyDescent="0.2">
      <c r="A480">
        <v>2018</v>
      </c>
      <c r="B480">
        <f>IF(ISBLANK(E480),"",VLOOKUP(E480,Code!B:C,2,FALSE))</f>
        <v>2</v>
      </c>
      <c r="C480">
        <v>209807</v>
      </c>
      <c r="D480" t="s">
        <v>185</v>
      </c>
      <c r="E480" t="s">
        <v>1</v>
      </c>
    </row>
    <row r="481" spans="1:5" x14ac:dyDescent="0.2">
      <c r="A481">
        <v>2018</v>
      </c>
      <c r="B481">
        <f>IF(ISBLANK(E481),"",VLOOKUP(E481,Code!B:C,2,FALSE))</f>
        <v>8</v>
      </c>
      <c r="C481">
        <v>209807</v>
      </c>
      <c r="D481" t="s">
        <v>185</v>
      </c>
      <c r="E481" t="s">
        <v>2</v>
      </c>
    </row>
    <row r="482" spans="1:5" x14ac:dyDescent="0.2">
      <c r="A482">
        <v>2018</v>
      </c>
      <c r="B482">
        <f>IF(ISBLANK(E482),"",VLOOKUP(E482,Code!B:C,2,FALSE))</f>
        <v>20</v>
      </c>
      <c r="C482">
        <v>209807</v>
      </c>
      <c r="D482" t="s">
        <v>185</v>
      </c>
      <c r="E482" t="s">
        <v>8</v>
      </c>
    </row>
    <row r="483" spans="1:5" x14ac:dyDescent="0.2">
      <c r="A483">
        <v>2018</v>
      </c>
      <c r="B483">
        <f>IF(ISBLANK(E483),"",VLOOKUP(E483,Code!B:C,2,FALSE))</f>
        <v>21</v>
      </c>
      <c r="C483">
        <v>209807</v>
      </c>
      <c r="D483" t="s">
        <v>185</v>
      </c>
      <c r="E483" t="s">
        <v>36</v>
      </c>
    </row>
    <row r="484" spans="1:5" x14ac:dyDescent="0.2">
      <c r="A484">
        <v>2018</v>
      </c>
      <c r="B484">
        <f>IF(ISBLANK(E484),"",VLOOKUP(E484,Code!B:C,2,FALSE))</f>
        <v>2</v>
      </c>
      <c r="C484">
        <v>209807</v>
      </c>
      <c r="D484" t="s">
        <v>185</v>
      </c>
      <c r="E484" t="s">
        <v>1</v>
      </c>
    </row>
    <row r="485" spans="1:5" x14ac:dyDescent="0.2">
      <c r="A485">
        <v>2018</v>
      </c>
      <c r="B485">
        <f>IF(ISBLANK(E485),"",VLOOKUP(E485,Code!B:C,2,FALSE))</f>
        <v>9</v>
      </c>
      <c r="C485">
        <v>209807</v>
      </c>
      <c r="D485" t="s">
        <v>185</v>
      </c>
      <c r="E485" t="s">
        <v>3</v>
      </c>
    </row>
    <row r="486" spans="1:5" x14ac:dyDescent="0.2">
      <c r="A486">
        <v>2018</v>
      </c>
      <c r="B486">
        <f>IF(ISBLANK(E486),"",VLOOKUP(E486,Code!B:C,2,FALSE))</f>
        <v>17</v>
      </c>
      <c r="C486">
        <v>209807</v>
      </c>
      <c r="D486" t="s">
        <v>185</v>
      </c>
      <c r="E486" t="s">
        <v>5</v>
      </c>
    </row>
    <row r="487" spans="1:5" x14ac:dyDescent="0.2">
      <c r="A487">
        <v>2018</v>
      </c>
      <c r="B487">
        <f>IF(ISBLANK(E487),"",VLOOKUP(E487,Code!B:C,2,FALSE))</f>
        <v>18</v>
      </c>
      <c r="C487">
        <v>209807</v>
      </c>
      <c r="D487" t="s">
        <v>185</v>
      </c>
      <c r="E487" t="s">
        <v>6</v>
      </c>
    </row>
    <row r="488" spans="1:5" x14ac:dyDescent="0.2">
      <c r="A488">
        <v>2018</v>
      </c>
      <c r="B488">
        <f>IF(ISBLANK(E488),"",VLOOKUP(E488,Code!B:C,2,FALSE))</f>
        <v>20</v>
      </c>
      <c r="C488">
        <v>209807</v>
      </c>
      <c r="D488" t="s">
        <v>185</v>
      </c>
      <c r="E488" t="s">
        <v>8</v>
      </c>
    </row>
    <row r="489" spans="1:5" x14ac:dyDescent="0.2">
      <c r="A489">
        <v>2018</v>
      </c>
      <c r="B489">
        <f>IF(ISBLANK(E489),"",VLOOKUP(E489,Code!B:C,2,FALSE))</f>
        <v>21</v>
      </c>
      <c r="C489">
        <v>209807</v>
      </c>
      <c r="D489" t="s">
        <v>185</v>
      </c>
      <c r="E489" t="s">
        <v>36</v>
      </c>
    </row>
    <row r="490" spans="1:5" x14ac:dyDescent="0.2">
      <c r="A490">
        <v>2018</v>
      </c>
      <c r="B490">
        <f>IF(ISBLANK(E490),"",VLOOKUP(E490,Code!B:C,2,FALSE))</f>
        <v>23</v>
      </c>
      <c r="C490">
        <v>209807</v>
      </c>
      <c r="D490" t="s">
        <v>185</v>
      </c>
      <c r="E490" t="s">
        <v>10</v>
      </c>
    </row>
    <row r="491" spans="1:5" x14ac:dyDescent="0.2">
      <c r="A491">
        <v>2019</v>
      </c>
      <c r="B491">
        <f>IF(ISBLANK(E491),"",VLOOKUP(E491,Code!B:C,2,FALSE))</f>
        <v>2</v>
      </c>
      <c r="C491">
        <v>209807</v>
      </c>
      <c r="D491" t="s">
        <v>185</v>
      </c>
      <c r="E491" t="s">
        <v>1</v>
      </c>
    </row>
    <row r="492" spans="1:5" x14ac:dyDescent="0.2">
      <c r="A492">
        <v>2019</v>
      </c>
      <c r="B492">
        <f>IF(ISBLANK(E492),"",VLOOKUP(E492,Code!B:C,2,FALSE))</f>
        <v>8</v>
      </c>
      <c r="C492">
        <v>209807</v>
      </c>
      <c r="D492" t="s">
        <v>185</v>
      </c>
      <c r="E492" t="s">
        <v>2</v>
      </c>
    </row>
    <row r="493" spans="1:5" x14ac:dyDescent="0.2">
      <c r="A493">
        <v>2019</v>
      </c>
      <c r="B493">
        <f>IF(ISBLANK(E493),"",VLOOKUP(E493,Code!B:C,2,FALSE))</f>
        <v>20</v>
      </c>
      <c r="C493">
        <v>209807</v>
      </c>
      <c r="D493" t="s">
        <v>185</v>
      </c>
      <c r="E493" t="s">
        <v>8</v>
      </c>
    </row>
    <row r="494" spans="1:5" x14ac:dyDescent="0.2">
      <c r="A494">
        <v>2019</v>
      </c>
      <c r="B494">
        <f>IF(ISBLANK(E494),"",VLOOKUP(E494,Code!B:C,2,FALSE))</f>
        <v>21</v>
      </c>
      <c r="C494">
        <v>209807</v>
      </c>
      <c r="D494" t="s">
        <v>185</v>
      </c>
      <c r="E494" t="s">
        <v>36</v>
      </c>
    </row>
    <row r="495" spans="1:5" x14ac:dyDescent="0.2">
      <c r="A495">
        <v>2019</v>
      </c>
      <c r="B495">
        <f>IF(ISBLANK(E495),"",VLOOKUP(E495,Code!B:C,2,FALSE))</f>
        <v>2</v>
      </c>
      <c r="C495">
        <v>209807</v>
      </c>
      <c r="D495" t="s">
        <v>185</v>
      </c>
      <c r="E495" t="s">
        <v>1</v>
      </c>
    </row>
    <row r="496" spans="1:5" x14ac:dyDescent="0.2">
      <c r="A496">
        <v>2019</v>
      </c>
      <c r="B496">
        <f>IF(ISBLANK(E496),"",VLOOKUP(E496,Code!B:C,2,FALSE))</f>
        <v>9</v>
      </c>
      <c r="C496">
        <v>209807</v>
      </c>
      <c r="D496" t="s">
        <v>185</v>
      </c>
      <c r="E496" t="s">
        <v>3</v>
      </c>
    </row>
    <row r="497" spans="1:5" x14ac:dyDescent="0.2">
      <c r="A497">
        <v>2019</v>
      </c>
      <c r="B497">
        <f>IF(ISBLANK(E497),"",VLOOKUP(E497,Code!B:C,2,FALSE))</f>
        <v>17</v>
      </c>
      <c r="C497">
        <v>209807</v>
      </c>
      <c r="D497" t="s">
        <v>185</v>
      </c>
      <c r="E497" t="s">
        <v>5</v>
      </c>
    </row>
    <row r="498" spans="1:5" x14ac:dyDescent="0.2">
      <c r="A498">
        <v>2019</v>
      </c>
      <c r="B498">
        <f>IF(ISBLANK(E498),"",VLOOKUP(E498,Code!B:C,2,FALSE))</f>
        <v>18</v>
      </c>
      <c r="C498">
        <v>209807</v>
      </c>
      <c r="D498" t="s">
        <v>185</v>
      </c>
      <c r="E498" t="s">
        <v>6</v>
      </c>
    </row>
    <row r="499" spans="1:5" x14ac:dyDescent="0.2">
      <c r="A499">
        <v>2019</v>
      </c>
      <c r="B499">
        <f>IF(ISBLANK(E499),"",VLOOKUP(E499,Code!B:C,2,FALSE))</f>
        <v>20</v>
      </c>
      <c r="C499">
        <v>209807</v>
      </c>
      <c r="D499" t="s">
        <v>185</v>
      </c>
      <c r="E499" t="s">
        <v>8</v>
      </c>
    </row>
    <row r="500" spans="1:5" x14ac:dyDescent="0.2">
      <c r="A500">
        <v>2019</v>
      </c>
      <c r="B500">
        <f>IF(ISBLANK(E500),"",VLOOKUP(E500,Code!B:C,2,FALSE))</f>
        <v>21</v>
      </c>
      <c r="C500">
        <v>209807</v>
      </c>
      <c r="D500" t="s">
        <v>185</v>
      </c>
      <c r="E500" t="s">
        <v>36</v>
      </c>
    </row>
    <row r="501" spans="1:5" x14ac:dyDescent="0.2">
      <c r="A501">
        <v>2019</v>
      </c>
      <c r="B501">
        <f>IF(ISBLANK(E501),"",VLOOKUP(E501,Code!B:C,2,FALSE))</f>
        <v>23</v>
      </c>
      <c r="C501">
        <v>209807</v>
      </c>
      <c r="D501" t="s">
        <v>185</v>
      </c>
      <c r="E501" t="s">
        <v>10</v>
      </c>
    </row>
    <row r="502" spans="1:5" x14ac:dyDescent="0.2">
      <c r="A502">
        <v>2020</v>
      </c>
      <c r="B502">
        <f>IF(ISBLANK(E502),"",VLOOKUP(E502,Code!B:C,2,FALSE))</f>
        <v>2</v>
      </c>
      <c r="C502">
        <v>209807</v>
      </c>
      <c r="D502" t="s">
        <v>185</v>
      </c>
      <c r="E502" t="s">
        <v>1</v>
      </c>
    </row>
    <row r="503" spans="1:5" x14ac:dyDescent="0.2">
      <c r="A503">
        <v>2020</v>
      </c>
      <c r="B503">
        <f>IF(ISBLANK(E503),"",VLOOKUP(E503,Code!B:C,2,FALSE))</f>
        <v>8</v>
      </c>
      <c r="C503">
        <v>209807</v>
      </c>
      <c r="D503" t="s">
        <v>185</v>
      </c>
      <c r="E503" t="s">
        <v>2</v>
      </c>
    </row>
    <row r="504" spans="1:5" x14ac:dyDescent="0.2">
      <c r="A504">
        <v>2020</v>
      </c>
      <c r="B504">
        <f>IF(ISBLANK(E504),"",VLOOKUP(E504,Code!B:C,2,FALSE))</f>
        <v>20</v>
      </c>
      <c r="C504">
        <v>209807</v>
      </c>
      <c r="D504" t="s">
        <v>185</v>
      </c>
      <c r="E504" t="s">
        <v>8</v>
      </c>
    </row>
    <row r="505" spans="1:5" x14ac:dyDescent="0.2">
      <c r="A505">
        <v>2020</v>
      </c>
      <c r="B505">
        <f>IF(ISBLANK(E505),"",VLOOKUP(E505,Code!B:C,2,FALSE))</f>
        <v>21</v>
      </c>
      <c r="C505">
        <v>209807</v>
      </c>
      <c r="D505" t="s">
        <v>185</v>
      </c>
      <c r="E505" t="s">
        <v>36</v>
      </c>
    </row>
    <row r="506" spans="1:5" x14ac:dyDescent="0.2">
      <c r="A506">
        <v>2020</v>
      </c>
      <c r="B506">
        <f>IF(ISBLANK(E506),"",VLOOKUP(E506,Code!B:C,2,FALSE))</f>
        <v>9</v>
      </c>
      <c r="C506">
        <v>209807</v>
      </c>
      <c r="D506" t="s">
        <v>185</v>
      </c>
      <c r="E506" t="s">
        <v>3</v>
      </c>
    </row>
    <row r="507" spans="1:5" x14ac:dyDescent="0.2">
      <c r="A507">
        <v>2020</v>
      </c>
      <c r="B507">
        <f>IF(ISBLANK(E507),"",VLOOKUP(E507,Code!B:C,2,FALSE))</f>
        <v>17</v>
      </c>
      <c r="C507">
        <v>209807</v>
      </c>
      <c r="D507" t="s">
        <v>185</v>
      </c>
      <c r="E507" t="s">
        <v>5</v>
      </c>
    </row>
    <row r="508" spans="1:5" x14ac:dyDescent="0.2">
      <c r="A508">
        <v>2020</v>
      </c>
      <c r="B508">
        <f>IF(ISBLANK(E508),"",VLOOKUP(E508,Code!B:C,2,FALSE))</f>
        <v>18</v>
      </c>
      <c r="C508">
        <v>209807</v>
      </c>
      <c r="D508" t="s">
        <v>185</v>
      </c>
      <c r="E508" t="s">
        <v>6</v>
      </c>
    </row>
    <row r="509" spans="1:5" x14ac:dyDescent="0.2">
      <c r="A509">
        <v>2020</v>
      </c>
      <c r="B509">
        <f>IF(ISBLANK(E509),"",VLOOKUP(E509,Code!B:C,2,FALSE))</f>
        <v>20</v>
      </c>
      <c r="C509">
        <v>209807</v>
      </c>
      <c r="D509" t="s">
        <v>185</v>
      </c>
      <c r="E509" t="s">
        <v>8</v>
      </c>
    </row>
    <row r="510" spans="1:5" x14ac:dyDescent="0.2">
      <c r="A510">
        <v>2020</v>
      </c>
      <c r="B510">
        <f>IF(ISBLANK(E510),"",VLOOKUP(E510,Code!B:C,2,FALSE))</f>
        <v>21</v>
      </c>
      <c r="C510">
        <v>209807</v>
      </c>
      <c r="D510" t="s">
        <v>185</v>
      </c>
      <c r="E510" t="s">
        <v>36</v>
      </c>
    </row>
    <row r="511" spans="1:5" x14ac:dyDescent="0.2">
      <c r="A511">
        <v>2020</v>
      </c>
      <c r="B511">
        <f>IF(ISBLANK(E511),"",VLOOKUP(E511,Code!B:C,2,FALSE))</f>
        <v>23</v>
      </c>
      <c r="C511">
        <v>209807</v>
      </c>
      <c r="D511" t="s">
        <v>185</v>
      </c>
      <c r="E511" t="s">
        <v>10</v>
      </c>
    </row>
    <row r="512" spans="1:5" x14ac:dyDescent="0.2">
      <c r="A512">
        <v>2021</v>
      </c>
      <c r="B512">
        <f>IF(ISBLANK(E512),"",VLOOKUP(E512,Code!B:C,2,FALSE))</f>
        <v>2</v>
      </c>
      <c r="C512">
        <v>209807</v>
      </c>
      <c r="D512" t="s">
        <v>185</v>
      </c>
      <c r="E512" t="s">
        <v>1</v>
      </c>
    </row>
    <row r="513" spans="1:5" x14ac:dyDescent="0.2">
      <c r="A513">
        <v>2021</v>
      </c>
      <c r="B513">
        <f>IF(ISBLANK(E513),"",VLOOKUP(E513,Code!B:C,2,FALSE))</f>
        <v>8</v>
      </c>
      <c r="C513">
        <v>209807</v>
      </c>
      <c r="D513" t="s">
        <v>185</v>
      </c>
      <c r="E513" t="s">
        <v>2</v>
      </c>
    </row>
    <row r="514" spans="1:5" x14ac:dyDescent="0.2">
      <c r="A514">
        <v>2021</v>
      </c>
      <c r="B514">
        <f>IF(ISBLANK(E514),"",VLOOKUP(E514,Code!B:C,2,FALSE))</f>
        <v>20</v>
      </c>
      <c r="C514">
        <v>209807</v>
      </c>
      <c r="D514" t="s">
        <v>185</v>
      </c>
      <c r="E514" t="s">
        <v>8</v>
      </c>
    </row>
    <row r="515" spans="1:5" x14ac:dyDescent="0.2">
      <c r="A515">
        <v>2021</v>
      </c>
      <c r="B515">
        <f>IF(ISBLANK(E515),"",VLOOKUP(E515,Code!B:C,2,FALSE))</f>
        <v>21</v>
      </c>
      <c r="C515">
        <v>209807</v>
      </c>
      <c r="D515" t="s">
        <v>185</v>
      </c>
      <c r="E515" t="s">
        <v>36</v>
      </c>
    </row>
    <row r="516" spans="1:5" x14ac:dyDescent="0.2">
      <c r="A516">
        <v>2021</v>
      </c>
      <c r="B516">
        <f>IF(ISBLANK(E516),"",VLOOKUP(E516,Code!B:C,2,FALSE))</f>
        <v>9</v>
      </c>
      <c r="C516">
        <v>209807</v>
      </c>
      <c r="D516" t="s">
        <v>185</v>
      </c>
      <c r="E516" t="s">
        <v>3</v>
      </c>
    </row>
    <row r="517" spans="1:5" x14ac:dyDescent="0.2">
      <c r="A517">
        <v>2021</v>
      </c>
      <c r="B517">
        <f>IF(ISBLANK(E517),"",VLOOKUP(E517,Code!B:C,2,FALSE))</f>
        <v>17</v>
      </c>
      <c r="C517">
        <v>209807</v>
      </c>
      <c r="D517" t="s">
        <v>185</v>
      </c>
      <c r="E517" t="s">
        <v>5</v>
      </c>
    </row>
    <row r="518" spans="1:5" x14ac:dyDescent="0.2">
      <c r="A518">
        <v>2021</v>
      </c>
      <c r="B518">
        <f>IF(ISBLANK(E518),"",VLOOKUP(E518,Code!B:C,2,FALSE))</f>
        <v>18</v>
      </c>
      <c r="C518">
        <v>209807</v>
      </c>
      <c r="D518" t="s">
        <v>185</v>
      </c>
      <c r="E518" t="s">
        <v>6</v>
      </c>
    </row>
    <row r="519" spans="1:5" x14ac:dyDescent="0.2">
      <c r="A519">
        <v>2021</v>
      </c>
      <c r="B519">
        <f>IF(ISBLANK(E519),"",VLOOKUP(E519,Code!B:C,2,FALSE))</f>
        <v>20</v>
      </c>
      <c r="C519">
        <v>209807</v>
      </c>
      <c r="D519" t="s">
        <v>185</v>
      </c>
      <c r="E519" t="s">
        <v>8</v>
      </c>
    </row>
    <row r="520" spans="1:5" x14ac:dyDescent="0.2">
      <c r="A520">
        <v>2021</v>
      </c>
      <c r="B520">
        <f>IF(ISBLANK(E520),"",VLOOKUP(E520,Code!B:C,2,FALSE))</f>
        <v>21</v>
      </c>
      <c r="C520">
        <v>209807</v>
      </c>
      <c r="D520" t="s">
        <v>185</v>
      </c>
      <c r="E520" t="s">
        <v>36</v>
      </c>
    </row>
    <row r="521" spans="1:5" x14ac:dyDescent="0.2">
      <c r="A521">
        <v>2021</v>
      </c>
      <c r="B521">
        <f>IF(ISBLANK(E521),"",VLOOKUP(E521,Code!B:C,2,FALSE))</f>
        <v>23</v>
      </c>
      <c r="C521">
        <v>209807</v>
      </c>
      <c r="D521" t="s">
        <v>185</v>
      </c>
      <c r="E521" t="s">
        <v>10</v>
      </c>
    </row>
    <row r="522" spans="1:5" x14ac:dyDescent="0.2">
      <c r="A522">
        <v>2022</v>
      </c>
      <c r="B522">
        <f>IF(ISBLANK(E522),"",VLOOKUP(E522,Code!B:C,2,FALSE))</f>
        <v>2</v>
      </c>
      <c r="C522">
        <v>209807</v>
      </c>
      <c r="D522" t="s">
        <v>185</v>
      </c>
      <c r="E522" t="s">
        <v>1</v>
      </c>
    </row>
    <row r="523" spans="1:5" x14ac:dyDescent="0.2">
      <c r="A523">
        <v>2022</v>
      </c>
      <c r="B523">
        <f>IF(ISBLANK(E523),"",VLOOKUP(E523,Code!B:C,2,FALSE))</f>
        <v>8</v>
      </c>
      <c r="C523">
        <v>209807</v>
      </c>
      <c r="D523" t="s">
        <v>185</v>
      </c>
      <c r="E523" t="s">
        <v>2</v>
      </c>
    </row>
    <row r="524" spans="1:5" x14ac:dyDescent="0.2">
      <c r="A524">
        <v>2022</v>
      </c>
      <c r="B524">
        <f>IF(ISBLANK(E524),"",VLOOKUP(E524,Code!B:C,2,FALSE))</f>
        <v>9</v>
      </c>
      <c r="C524">
        <v>209807</v>
      </c>
      <c r="D524" t="s">
        <v>185</v>
      </c>
      <c r="E524" t="s">
        <v>3</v>
      </c>
    </row>
    <row r="525" spans="1:5" x14ac:dyDescent="0.2">
      <c r="A525">
        <v>2022</v>
      </c>
      <c r="B525">
        <f>IF(ISBLANK(E525),"",VLOOKUP(E525,Code!B:C,2,FALSE))</f>
        <v>17</v>
      </c>
      <c r="C525">
        <v>209807</v>
      </c>
      <c r="D525" t="s">
        <v>185</v>
      </c>
      <c r="E525" t="s">
        <v>5</v>
      </c>
    </row>
    <row r="526" spans="1:5" x14ac:dyDescent="0.2">
      <c r="A526">
        <v>2022</v>
      </c>
      <c r="B526">
        <f>IF(ISBLANK(E526),"",VLOOKUP(E526,Code!B:C,2,FALSE))</f>
        <v>18</v>
      </c>
      <c r="C526">
        <v>209807</v>
      </c>
      <c r="D526" t="s">
        <v>185</v>
      </c>
      <c r="E526" t="s">
        <v>6</v>
      </c>
    </row>
    <row r="527" spans="1:5" x14ac:dyDescent="0.2">
      <c r="A527">
        <v>2022</v>
      </c>
      <c r="B527">
        <f>IF(ISBLANK(E527),"",VLOOKUP(E527,Code!B:C,2,FALSE))</f>
        <v>20</v>
      </c>
      <c r="C527">
        <v>209807</v>
      </c>
      <c r="D527" t="s">
        <v>185</v>
      </c>
      <c r="E527" t="s">
        <v>8</v>
      </c>
    </row>
    <row r="528" spans="1:5" x14ac:dyDescent="0.2">
      <c r="A528">
        <v>2022</v>
      </c>
      <c r="B528">
        <f>IF(ISBLANK(E528),"",VLOOKUP(E528,Code!B:C,2,FALSE))</f>
        <v>21</v>
      </c>
      <c r="C528">
        <v>209807</v>
      </c>
      <c r="D528" t="s">
        <v>185</v>
      </c>
      <c r="E528" t="s">
        <v>36</v>
      </c>
    </row>
    <row r="529" spans="1:6" x14ac:dyDescent="0.2">
      <c r="A529">
        <v>2022</v>
      </c>
      <c r="B529">
        <f>IF(ISBLANK(E529),"",VLOOKUP(E529,Code!B:C,2,FALSE))</f>
        <v>23</v>
      </c>
      <c r="C529">
        <v>209807</v>
      </c>
      <c r="D529" t="s">
        <v>185</v>
      </c>
      <c r="E529" t="s">
        <v>10</v>
      </c>
    </row>
    <row r="530" spans="1:6" x14ac:dyDescent="0.2">
      <c r="A530">
        <v>2023</v>
      </c>
      <c r="B530">
        <f>IF(ISBLANK(E530),"",VLOOKUP(E530,Code!B:C,2,FALSE))</f>
        <v>2</v>
      </c>
      <c r="C530">
        <v>209807</v>
      </c>
      <c r="D530" t="s">
        <v>185</v>
      </c>
      <c r="E530" t="s">
        <v>1</v>
      </c>
    </row>
    <row r="531" spans="1:6" x14ac:dyDescent="0.2">
      <c r="A531">
        <v>2023</v>
      </c>
      <c r="B531">
        <f>IF(ISBLANK(E531),"",VLOOKUP(E531,Code!B:C,2,FALSE))</f>
        <v>8</v>
      </c>
      <c r="C531">
        <v>209807</v>
      </c>
      <c r="D531" t="s">
        <v>185</v>
      </c>
      <c r="E531" t="s">
        <v>2</v>
      </c>
    </row>
    <row r="532" spans="1:6" x14ac:dyDescent="0.2">
      <c r="A532">
        <v>2023</v>
      </c>
      <c r="B532">
        <f>IF(ISBLANK(E532),"",VLOOKUP(E532,Code!B:C,2,FALSE))</f>
        <v>9</v>
      </c>
      <c r="C532">
        <v>209807</v>
      </c>
      <c r="D532" t="s">
        <v>185</v>
      </c>
      <c r="E532" t="s">
        <v>3</v>
      </c>
    </row>
    <row r="533" spans="1:6" x14ac:dyDescent="0.2">
      <c r="A533">
        <v>2023</v>
      </c>
      <c r="B533">
        <f>IF(ISBLANK(E533),"",VLOOKUP(E533,Code!B:C,2,FALSE))</f>
        <v>17</v>
      </c>
      <c r="C533">
        <v>209807</v>
      </c>
      <c r="D533" t="s">
        <v>185</v>
      </c>
      <c r="E533" t="s">
        <v>5</v>
      </c>
    </row>
    <row r="534" spans="1:6" x14ac:dyDescent="0.2">
      <c r="A534">
        <v>2023</v>
      </c>
      <c r="B534">
        <f>IF(ISBLANK(E534),"",VLOOKUP(E534,Code!B:C,2,FALSE))</f>
        <v>18</v>
      </c>
      <c r="C534">
        <v>209807</v>
      </c>
      <c r="D534" t="s">
        <v>185</v>
      </c>
      <c r="E534" t="s">
        <v>6</v>
      </c>
    </row>
    <row r="535" spans="1:6" x14ac:dyDescent="0.2">
      <c r="A535">
        <v>2023</v>
      </c>
      <c r="B535">
        <f>IF(ISBLANK(E535),"",VLOOKUP(E535,Code!B:C,2,FALSE))</f>
        <v>20</v>
      </c>
      <c r="C535">
        <v>209807</v>
      </c>
      <c r="D535" t="s">
        <v>185</v>
      </c>
      <c r="E535" t="s">
        <v>8</v>
      </c>
    </row>
    <row r="536" spans="1:6" x14ac:dyDescent="0.2">
      <c r="A536">
        <v>2023</v>
      </c>
      <c r="B536">
        <f>IF(ISBLANK(E536),"",VLOOKUP(E536,Code!B:C,2,FALSE))</f>
        <v>21</v>
      </c>
      <c r="C536">
        <v>209807</v>
      </c>
      <c r="D536" t="s">
        <v>185</v>
      </c>
      <c r="E536" t="s">
        <v>9</v>
      </c>
    </row>
    <row r="537" spans="1:6" x14ac:dyDescent="0.2">
      <c r="A537">
        <v>2023</v>
      </c>
      <c r="B537">
        <f>IF(ISBLANK(E537),"",VLOOKUP(E537,Code!B:C,2,FALSE))</f>
        <v>23</v>
      </c>
      <c r="C537">
        <v>209807</v>
      </c>
      <c r="D537" t="s">
        <v>185</v>
      </c>
      <c r="E537" t="s">
        <v>10</v>
      </c>
    </row>
    <row r="538" spans="1:6" x14ac:dyDescent="0.2">
      <c r="A538">
        <v>2017</v>
      </c>
      <c r="B538">
        <f>IF(ISBLANK(E538),"",VLOOKUP(E538,Code!B:C,2,FALSE))</f>
        <v>2</v>
      </c>
      <c r="C538">
        <v>230782</v>
      </c>
      <c r="D538" t="s">
        <v>246</v>
      </c>
      <c r="E538" t="s">
        <v>1</v>
      </c>
      <c r="F538" s="6">
        <v>373203</v>
      </c>
    </row>
    <row r="539" spans="1:6" x14ac:dyDescent="0.2">
      <c r="A539">
        <v>2017</v>
      </c>
      <c r="B539">
        <f>IF(ISBLANK(E539),"",VLOOKUP(E539,Code!B:C,2,FALSE))</f>
        <v>8</v>
      </c>
      <c r="C539">
        <v>230782</v>
      </c>
      <c r="D539" t="s">
        <v>246</v>
      </c>
      <c r="E539" t="s">
        <v>2</v>
      </c>
      <c r="F539" s="6">
        <v>305348</v>
      </c>
    </row>
    <row r="540" spans="1:6" x14ac:dyDescent="0.2">
      <c r="A540">
        <v>2017</v>
      </c>
      <c r="B540">
        <f>IF(ISBLANK(E540),"",VLOOKUP(E540,Code!B:C,2,FALSE))</f>
        <v>9</v>
      </c>
      <c r="C540">
        <v>230782</v>
      </c>
      <c r="D540" t="s">
        <v>246</v>
      </c>
      <c r="E540" t="s">
        <v>3</v>
      </c>
    </row>
    <row r="541" spans="1:6" x14ac:dyDescent="0.2">
      <c r="A541">
        <v>2017</v>
      </c>
      <c r="B541">
        <f>IF(ISBLANK(E541),"",VLOOKUP(E541,Code!B:C,2,FALSE))</f>
        <v>17</v>
      </c>
      <c r="C541">
        <v>230782</v>
      </c>
      <c r="D541" t="s">
        <v>246</v>
      </c>
      <c r="E541" t="s">
        <v>5</v>
      </c>
    </row>
    <row r="542" spans="1:6" x14ac:dyDescent="0.2">
      <c r="A542">
        <v>2017</v>
      </c>
      <c r="B542">
        <f>IF(ISBLANK(E542),"",VLOOKUP(E542,Code!B:C,2,FALSE))</f>
        <v>18</v>
      </c>
      <c r="C542">
        <v>230782</v>
      </c>
      <c r="D542" t="s">
        <v>246</v>
      </c>
      <c r="E542" t="s">
        <v>6</v>
      </c>
    </row>
    <row r="543" spans="1:6" x14ac:dyDescent="0.2">
      <c r="A543">
        <v>2017</v>
      </c>
      <c r="B543">
        <f>IF(ISBLANK(E543),"",VLOOKUP(E543,Code!B:C,2,FALSE))</f>
        <v>20</v>
      </c>
      <c r="C543">
        <v>230782</v>
      </c>
      <c r="D543" t="s">
        <v>246</v>
      </c>
      <c r="E543" t="s">
        <v>8</v>
      </c>
    </row>
    <row r="544" spans="1:6" x14ac:dyDescent="0.2">
      <c r="A544">
        <v>2017</v>
      </c>
      <c r="B544">
        <f>IF(ISBLANK(E544),"",VLOOKUP(E544,Code!B:C,2,FALSE))</f>
        <v>21</v>
      </c>
      <c r="C544">
        <v>230782</v>
      </c>
      <c r="D544" t="s">
        <v>246</v>
      </c>
      <c r="E544" t="s">
        <v>36</v>
      </c>
    </row>
    <row r="545" spans="1:6" x14ac:dyDescent="0.2">
      <c r="A545">
        <v>2017</v>
      </c>
      <c r="B545">
        <f>IF(ISBLANK(E545),"",VLOOKUP(E545,Code!B:C,2,FALSE))</f>
        <v>23</v>
      </c>
      <c r="C545">
        <v>230782</v>
      </c>
      <c r="D545" t="s">
        <v>246</v>
      </c>
      <c r="E545" t="s">
        <v>10</v>
      </c>
    </row>
    <row r="546" spans="1:6" x14ac:dyDescent="0.2">
      <c r="A546">
        <v>2018</v>
      </c>
      <c r="B546">
        <f>IF(ISBLANK(E546),"",VLOOKUP(E546,Code!B:C,2,FALSE))</f>
        <v>2</v>
      </c>
      <c r="C546">
        <v>230782</v>
      </c>
      <c r="D546" t="s">
        <v>246</v>
      </c>
      <c r="E546" t="s">
        <v>1</v>
      </c>
      <c r="F546" s="6">
        <v>467286</v>
      </c>
    </row>
    <row r="547" spans="1:6" x14ac:dyDescent="0.2">
      <c r="A547">
        <v>2018</v>
      </c>
      <c r="B547">
        <f>IF(ISBLANK(E547),"",VLOOKUP(E547,Code!B:C,2,FALSE))</f>
        <v>8</v>
      </c>
      <c r="C547">
        <v>230782</v>
      </c>
      <c r="D547" t="s">
        <v>246</v>
      </c>
      <c r="E547" t="s">
        <v>2</v>
      </c>
      <c r="F547" s="6">
        <v>382325</v>
      </c>
    </row>
    <row r="548" spans="1:6" x14ac:dyDescent="0.2">
      <c r="A548">
        <v>2018</v>
      </c>
      <c r="B548">
        <f>IF(ISBLANK(E548),"",VLOOKUP(E548,Code!B:C,2,FALSE))</f>
        <v>9</v>
      </c>
      <c r="C548">
        <v>230782</v>
      </c>
      <c r="D548" t="s">
        <v>246</v>
      </c>
      <c r="E548" t="s">
        <v>3</v>
      </c>
    </row>
    <row r="549" spans="1:6" x14ac:dyDescent="0.2">
      <c r="A549">
        <v>2018</v>
      </c>
      <c r="B549">
        <f>IF(ISBLANK(E549),"",VLOOKUP(E549,Code!B:C,2,FALSE))</f>
        <v>20</v>
      </c>
      <c r="C549">
        <v>230782</v>
      </c>
      <c r="D549" t="s">
        <v>246</v>
      </c>
      <c r="E549" t="s">
        <v>8</v>
      </c>
    </row>
    <row r="550" spans="1:6" x14ac:dyDescent="0.2">
      <c r="A550">
        <v>2018</v>
      </c>
      <c r="B550">
        <f>IF(ISBLANK(E550),"",VLOOKUP(E550,Code!B:C,2,FALSE))</f>
        <v>17</v>
      </c>
      <c r="C550">
        <v>230782</v>
      </c>
      <c r="D550" t="s">
        <v>246</v>
      </c>
      <c r="E550" t="s">
        <v>5</v>
      </c>
    </row>
    <row r="551" spans="1:6" x14ac:dyDescent="0.2">
      <c r="A551">
        <v>2018</v>
      </c>
      <c r="B551">
        <f>IF(ISBLANK(E551),"",VLOOKUP(E551,Code!B:C,2,FALSE))</f>
        <v>18</v>
      </c>
      <c r="C551">
        <v>230782</v>
      </c>
      <c r="D551" t="s">
        <v>246</v>
      </c>
      <c r="E551" t="s">
        <v>6</v>
      </c>
    </row>
    <row r="552" spans="1:6" x14ac:dyDescent="0.2">
      <c r="A552">
        <v>2018</v>
      </c>
      <c r="B552">
        <f>IF(ISBLANK(E552),"",VLOOKUP(E552,Code!B:C,2,FALSE))</f>
        <v>20</v>
      </c>
      <c r="C552">
        <v>230782</v>
      </c>
      <c r="D552" t="s">
        <v>246</v>
      </c>
      <c r="E552" t="s">
        <v>8</v>
      </c>
    </row>
    <row r="553" spans="1:6" x14ac:dyDescent="0.2">
      <c r="A553">
        <v>2018</v>
      </c>
      <c r="B553">
        <f>IF(ISBLANK(E553),"",VLOOKUP(E553,Code!B:C,2,FALSE))</f>
        <v>21</v>
      </c>
      <c r="C553">
        <v>230782</v>
      </c>
      <c r="D553" t="s">
        <v>246</v>
      </c>
      <c r="E553" t="s">
        <v>36</v>
      </c>
    </row>
    <row r="554" spans="1:6" x14ac:dyDescent="0.2">
      <c r="A554">
        <v>2018</v>
      </c>
      <c r="B554">
        <f>IF(ISBLANK(E554),"",VLOOKUP(E554,Code!B:C,2,FALSE))</f>
        <v>23</v>
      </c>
      <c r="C554">
        <v>230782</v>
      </c>
      <c r="D554" t="s">
        <v>246</v>
      </c>
      <c r="E554" t="s">
        <v>10</v>
      </c>
    </row>
    <row r="555" spans="1:6" x14ac:dyDescent="0.2">
      <c r="A555">
        <v>2019</v>
      </c>
      <c r="B555">
        <f>IF(ISBLANK(E555),"",VLOOKUP(E555,Code!B:C,2,FALSE))</f>
        <v>2</v>
      </c>
      <c r="C555">
        <v>230782</v>
      </c>
      <c r="D555" t="s">
        <v>246</v>
      </c>
      <c r="E555" t="s">
        <v>1</v>
      </c>
      <c r="F555" s="6">
        <v>280949</v>
      </c>
    </row>
    <row r="556" spans="1:6" x14ac:dyDescent="0.2">
      <c r="A556">
        <v>2019</v>
      </c>
      <c r="B556">
        <f>IF(ISBLANK(E556),"",VLOOKUP(E556,Code!B:C,2,FALSE))</f>
        <v>8</v>
      </c>
      <c r="C556">
        <v>230782</v>
      </c>
      <c r="D556" t="s">
        <v>246</v>
      </c>
      <c r="E556" t="s">
        <v>2</v>
      </c>
      <c r="F556" s="6">
        <v>229868</v>
      </c>
    </row>
    <row r="557" spans="1:6" x14ac:dyDescent="0.2">
      <c r="A557">
        <v>2019</v>
      </c>
      <c r="B557">
        <f>IF(ISBLANK(E557),"",VLOOKUP(E557,Code!B:C,2,FALSE))</f>
        <v>9</v>
      </c>
      <c r="C557">
        <v>230782</v>
      </c>
      <c r="D557" t="s">
        <v>246</v>
      </c>
      <c r="E557" t="s">
        <v>3</v>
      </c>
    </row>
    <row r="558" spans="1:6" x14ac:dyDescent="0.2">
      <c r="A558">
        <v>2019</v>
      </c>
      <c r="B558">
        <f>IF(ISBLANK(E558),"",VLOOKUP(E558,Code!B:C,2,FALSE))</f>
        <v>9</v>
      </c>
      <c r="C558">
        <v>230782</v>
      </c>
      <c r="D558" t="s">
        <v>246</v>
      </c>
      <c r="E558" t="s">
        <v>3</v>
      </c>
    </row>
    <row r="559" spans="1:6" x14ac:dyDescent="0.2">
      <c r="A559">
        <v>2019</v>
      </c>
      <c r="B559">
        <f>IF(ISBLANK(E559),"",VLOOKUP(E559,Code!B:C,2,FALSE))</f>
        <v>17</v>
      </c>
      <c r="C559">
        <v>230782</v>
      </c>
      <c r="D559" t="s">
        <v>246</v>
      </c>
      <c r="E559" t="s">
        <v>5</v>
      </c>
    </row>
    <row r="560" spans="1:6" x14ac:dyDescent="0.2">
      <c r="A560">
        <v>2019</v>
      </c>
      <c r="B560">
        <f>IF(ISBLANK(E560),"",VLOOKUP(E560,Code!B:C,2,FALSE))</f>
        <v>18</v>
      </c>
      <c r="C560">
        <v>230782</v>
      </c>
      <c r="D560" t="s">
        <v>246</v>
      </c>
      <c r="E560" t="s">
        <v>6</v>
      </c>
    </row>
    <row r="561" spans="1:6" x14ac:dyDescent="0.2">
      <c r="A561">
        <v>2019</v>
      </c>
      <c r="B561">
        <f>IF(ISBLANK(E561),"",VLOOKUP(E561,Code!B:C,2,FALSE))</f>
        <v>20</v>
      </c>
      <c r="C561">
        <v>230782</v>
      </c>
      <c r="D561" t="s">
        <v>246</v>
      </c>
      <c r="E561" t="s">
        <v>8</v>
      </c>
    </row>
    <row r="562" spans="1:6" x14ac:dyDescent="0.2">
      <c r="A562">
        <v>2019</v>
      </c>
      <c r="B562">
        <f>IF(ISBLANK(E562),"",VLOOKUP(E562,Code!B:C,2,FALSE))</f>
        <v>21</v>
      </c>
      <c r="C562">
        <v>230782</v>
      </c>
      <c r="D562" t="s">
        <v>246</v>
      </c>
      <c r="E562" t="s">
        <v>36</v>
      </c>
    </row>
    <row r="563" spans="1:6" x14ac:dyDescent="0.2">
      <c r="A563">
        <v>2019</v>
      </c>
      <c r="B563">
        <f>IF(ISBLANK(E563),"",VLOOKUP(E563,Code!B:C,2,FALSE))</f>
        <v>23</v>
      </c>
      <c r="C563">
        <v>230782</v>
      </c>
      <c r="D563" t="s">
        <v>246</v>
      </c>
      <c r="E563" t="s">
        <v>10</v>
      </c>
    </row>
    <row r="564" spans="1:6" x14ac:dyDescent="0.2">
      <c r="A564">
        <v>2020</v>
      </c>
      <c r="B564">
        <f>IF(ISBLANK(E564),"",VLOOKUP(E564,Code!B:C,2,FALSE))</f>
        <v>2</v>
      </c>
      <c r="C564">
        <v>230782</v>
      </c>
      <c r="D564" t="s">
        <v>246</v>
      </c>
      <c r="E564" t="s">
        <v>1</v>
      </c>
      <c r="F564" s="6">
        <v>262056</v>
      </c>
    </row>
    <row r="565" spans="1:6" x14ac:dyDescent="0.2">
      <c r="A565">
        <v>2020</v>
      </c>
      <c r="B565">
        <f>IF(ISBLANK(E565),"",VLOOKUP(E565,Code!B:C,2,FALSE))</f>
        <v>8</v>
      </c>
      <c r="C565">
        <v>230782</v>
      </c>
      <c r="D565" t="s">
        <v>246</v>
      </c>
      <c r="E565" t="s">
        <v>2</v>
      </c>
      <c r="F565" s="6">
        <v>214410</v>
      </c>
    </row>
    <row r="566" spans="1:6" x14ac:dyDescent="0.2">
      <c r="A566">
        <v>2020</v>
      </c>
      <c r="B566">
        <f>IF(ISBLANK(E566),"",VLOOKUP(E566,Code!B:C,2,FALSE))</f>
        <v>9</v>
      </c>
      <c r="C566">
        <v>230782</v>
      </c>
      <c r="D566" t="s">
        <v>246</v>
      </c>
      <c r="E566" t="s">
        <v>3</v>
      </c>
    </row>
    <row r="567" spans="1:6" x14ac:dyDescent="0.2">
      <c r="A567">
        <v>2020</v>
      </c>
      <c r="B567">
        <f>IF(ISBLANK(E567),"",VLOOKUP(E567,Code!B:C,2,FALSE))</f>
        <v>9</v>
      </c>
      <c r="C567">
        <v>230782</v>
      </c>
      <c r="D567" t="s">
        <v>246</v>
      </c>
      <c r="E567" t="s">
        <v>3</v>
      </c>
    </row>
    <row r="568" spans="1:6" x14ac:dyDescent="0.2">
      <c r="A568">
        <v>2020</v>
      </c>
      <c r="B568">
        <f>IF(ISBLANK(E568),"",VLOOKUP(E568,Code!B:C,2,FALSE))</f>
        <v>17</v>
      </c>
      <c r="C568">
        <v>230782</v>
      </c>
      <c r="D568" t="s">
        <v>246</v>
      </c>
      <c r="E568" t="s">
        <v>5</v>
      </c>
    </row>
    <row r="569" spans="1:6" x14ac:dyDescent="0.2">
      <c r="A569">
        <v>2020</v>
      </c>
      <c r="B569">
        <f>IF(ISBLANK(E569),"",VLOOKUP(E569,Code!B:C,2,FALSE))</f>
        <v>18</v>
      </c>
      <c r="C569">
        <v>230782</v>
      </c>
      <c r="D569" t="s">
        <v>246</v>
      </c>
      <c r="E569" t="s">
        <v>6</v>
      </c>
    </row>
    <row r="570" spans="1:6" x14ac:dyDescent="0.2">
      <c r="A570">
        <v>2020</v>
      </c>
      <c r="B570">
        <f>IF(ISBLANK(E570),"",VLOOKUP(E570,Code!B:C,2,FALSE))</f>
        <v>20</v>
      </c>
      <c r="C570">
        <v>230782</v>
      </c>
      <c r="D570" t="s">
        <v>246</v>
      </c>
      <c r="E570" t="s">
        <v>8</v>
      </c>
    </row>
    <row r="571" spans="1:6" x14ac:dyDescent="0.2">
      <c r="A571">
        <v>2020</v>
      </c>
      <c r="B571">
        <f>IF(ISBLANK(E571),"",VLOOKUP(E571,Code!B:C,2,FALSE))</f>
        <v>21</v>
      </c>
      <c r="C571">
        <v>230782</v>
      </c>
      <c r="D571" t="s">
        <v>246</v>
      </c>
      <c r="E571" t="s">
        <v>36</v>
      </c>
    </row>
    <row r="572" spans="1:6" x14ac:dyDescent="0.2">
      <c r="A572">
        <v>2020</v>
      </c>
      <c r="B572">
        <f>IF(ISBLANK(E572),"",VLOOKUP(E572,Code!B:C,2,FALSE))</f>
        <v>23</v>
      </c>
      <c r="C572">
        <v>230782</v>
      </c>
      <c r="D572" t="s">
        <v>246</v>
      </c>
      <c r="E572" t="s">
        <v>10</v>
      </c>
    </row>
    <row r="573" spans="1:6" x14ac:dyDescent="0.2">
      <c r="A573">
        <v>2021</v>
      </c>
      <c r="B573">
        <f>IF(ISBLANK(E573),"",VLOOKUP(E573,Code!B:C,2,FALSE))</f>
        <v>2</v>
      </c>
      <c r="C573">
        <v>230782</v>
      </c>
      <c r="D573" t="s">
        <v>246</v>
      </c>
      <c r="E573" t="s">
        <v>1</v>
      </c>
      <c r="F573" s="6">
        <v>88013</v>
      </c>
    </row>
    <row r="574" spans="1:6" x14ac:dyDescent="0.2">
      <c r="A574">
        <v>2021</v>
      </c>
      <c r="B574">
        <f>IF(ISBLANK(E574),"",VLOOKUP(E574,Code!B:C,2,FALSE))</f>
        <v>8</v>
      </c>
      <c r="C574">
        <v>230782</v>
      </c>
      <c r="D574" t="s">
        <v>246</v>
      </c>
      <c r="E574" t="s">
        <v>2</v>
      </c>
      <c r="F574" s="6">
        <v>72010</v>
      </c>
    </row>
    <row r="575" spans="1:6" x14ac:dyDescent="0.2">
      <c r="A575">
        <v>2021</v>
      </c>
      <c r="B575">
        <f>IF(ISBLANK(E575),"",VLOOKUP(E575,Code!B:C,2,FALSE))</f>
        <v>9</v>
      </c>
      <c r="C575">
        <v>230782</v>
      </c>
      <c r="D575" t="s">
        <v>246</v>
      </c>
      <c r="E575" t="s">
        <v>3</v>
      </c>
    </row>
    <row r="576" spans="1:6" x14ac:dyDescent="0.2">
      <c r="A576">
        <v>2021</v>
      </c>
      <c r="B576">
        <f>IF(ISBLANK(E576),"",VLOOKUP(E576,Code!B:C,2,FALSE))</f>
        <v>9</v>
      </c>
      <c r="C576">
        <v>230782</v>
      </c>
      <c r="D576" t="s">
        <v>246</v>
      </c>
      <c r="E576" t="s">
        <v>3</v>
      </c>
    </row>
    <row r="577" spans="1:6" x14ac:dyDescent="0.2">
      <c r="A577">
        <v>2021</v>
      </c>
      <c r="B577">
        <f>IF(ISBLANK(E577),"",VLOOKUP(E577,Code!B:C,2,FALSE))</f>
        <v>17</v>
      </c>
      <c r="C577">
        <v>230782</v>
      </c>
      <c r="D577" t="s">
        <v>246</v>
      </c>
      <c r="E577" t="s">
        <v>5</v>
      </c>
    </row>
    <row r="578" spans="1:6" x14ac:dyDescent="0.2">
      <c r="A578">
        <v>2021</v>
      </c>
      <c r="B578">
        <f>IF(ISBLANK(E578),"",VLOOKUP(E578,Code!B:C,2,FALSE))</f>
        <v>18</v>
      </c>
      <c r="C578">
        <v>230782</v>
      </c>
      <c r="D578" t="s">
        <v>246</v>
      </c>
      <c r="E578" t="s">
        <v>6</v>
      </c>
    </row>
    <row r="579" spans="1:6" x14ac:dyDescent="0.2">
      <c r="A579">
        <v>2021</v>
      </c>
      <c r="B579">
        <f>IF(ISBLANK(E579),"",VLOOKUP(E579,Code!B:C,2,FALSE))</f>
        <v>20</v>
      </c>
      <c r="C579">
        <v>230782</v>
      </c>
      <c r="D579" t="s">
        <v>246</v>
      </c>
      <c r="E579" t="s">
        <v>8</v>
      </c>
    </row>
    <row r="580" spans="1:6" x14ac:dyDescent="0.2">
      <c r="A580">
        <v>2021</v>
      </c>
      <c r="B580">
        <f>IF(ISBLANK(E580),"",VLOOKUP(E580,Code!B:C,2,FALSE))</f>
        <v>21</v>
      </c>
      <c r="C580">
        <v>230782</v>
      </c>
      <c r="D580" t="s">
        <v>246</v>
      </c>
      <c r="E580" t="s">
        <v>36</v>
      </c>
    </row>
    <row r="581" spans="1:6" x14ac:dyDescent="0.2">
      <c r="A581">
        <v>2021</v>
      </c>
      <c r="B581">
        <f>IF(ISBLANK(E581),"",VLOOKUP(E581,Code!B:C,2,FALSE))</f>
        <v>23</v>
      </c>
      <c r="C581">
        <v>230782</v>
      </c>
      <c r="D581" t="s">
        <v>246</v>
      </c>
      <c r="E581" t="s">
        <v>10</v>
      </c>
    </row>
    <row r="582" spans="1:6" x14ac:dyDescent="0.2">
      <c r="A582">
        <v>2022</v>
      </c>
      <c r="B582">
        <f>IF(ISBLANK(E582),"",VLOOKUP(E582,Code!B:C,2,FALSE))</f>
        <v>2</v>
      </c>
      <c r="C582">
        <v>230782</v>
      </c>
      <c r="D582" t="s">
        <v>246</v>
      </c>
      <c r="E582" t="s">
        <v>1</v>
      </c>
      <c r="F582" s="6">
        <v>301153</v>
      </c>
    </row>
    <row r="583" spans="1:6" x14ac:dyDescent="0.2">
      <c r="A583">
        <v>2022</v>
      </c>
      <c r="B583">
        <f>IF(ISBLANK(E583),"",VLOOKUP(E583,Code!B:C,2,FALSE))</f>
        <v>8</v>
      </c>
      <c r="C583">
        <v>230782</v>
      </c>
      <c r="D583" t="s">
        <v>246</v>
      </c>
      <c r="E583" t="s">
        <v>2</v>
      </c>
      <c r="F583" s="6">
        <v>246397</v>
      </c>
    </row>
    <row r="584" spans="1:6" x14ac:dyDescent="0.2">
      <c r="A584">
        <v>2022</v>
      </c>
      <c r="B584">
        <f>IF(ISBLANK(E584),"",VLOOKUP(E584,Code!B:C,2,FALSE))</f>
        <v>9</v>
      </c>
      <c r="C584">
        <v>230782</v>
      </c>
      <c r="D584" t="s">
        <v>246</v>
      </c>
      <c r="E584" t="s">
        <v>3</v>
      </c>
    </row>
    <row r="585" spans="1:6" x14ac:dyDescent="0.2">
      <c r="A585">
        <v>2022</v>
      </c>
      <c r="B585">
        <f>IF(ISBLANK(E585),"",VLOOKUP(E585,Code!B:C,2,FALSE))</f>
        <v>9</v>
      </c>
      <c r="C585">
        <v>230782</v>
      </c>
      <c r="D585" t="s">
        <v>246</v>
      </c>
      <c r="E585" t="s">
        <v>3</v>
      </c>
    </row>
    <row r="586" spans="1:6" x14ac:dyDescent="0.2">
      <c r="A586">
        <v>2022</v>
      </c>
      <c r="B586">
        <f>IF(ISBLANK(E586),"",VLOOKUP(E586,Code!B:C,2,FALSE))</f>
        <v>17</v>
      </c>
      <c r="C586">
        <v>230782</v>
      </c>
      <c r="D586" t="s">
        <v>246</v>
      </c>
      <c r="E586" t="s">
        <v>5</v>
      </c>
    </row>
    <row r="587" spans="1:6" x14ac:dyDescent="0.2">
      <c r="A587">
        <v>2022</v>
      </c>
      <c r="B587">
        <f>IF(ISBLANK(E587),"",VLOOKUP(E587,Code!B:C,2,FALSE))</f>
        <v>18</v>
      </c>
      <c r="C587">
        <v>230782</v>
      </c>
      <c r="D587" t="s">
        <v>246</v>
      </c>
      <c r="E587" t="s">
        <v>6</v>
      </c>
    </row>
    <row r="588" spans="1:6" x14ac:dyDescent="0.2">
      <c r="A588">
        <v>2022</v>
      </c>
      <c r="B588">
        <f>IF(ISBLANK(E588),"",VLOOKUP(E588,Code!B:C,2,FALSE))</f>
        <v>20</v>
      </c>
      <c r="C588">
        <v>230782</v>
      </c>
      <c r="D588" t="s">
        <v>246</v>
      </c>
      <c r="E588" t="s">
        <v>8</v>
      </c>
    </row>
    <row r="589" spans="1:6" x14ac:dyDescent="0.2">
      <c r="A589">
        <v>2022</v>
      </c>
      <c r="B589">
        <f>IF(ISBLANK(E589),"",VLOOKUP(E589,Code!B:C,2,FALSE))</f>
        <v>21</v>
      </c>
      <c r="C589">
        <v>230782</v>
      </c>
      <c r="D589" t="s">
        <v>246</v>
      </c>
      <c r="E589" t="s">
        <v>36</v>
      </c>
    </row>
    <row r="590" spans="1:6" x14ac:dyDescent="0.2">
      <c r="A590">
        <v>2022</v>
      </c>
      <c r="B590">
        <f>IF(ISBLANK(E590),"",VLOOKUP(E590,Code!B:C,2,FALSE))</f>
        <v>23</v>
      </c>
      <c r="C590">
        <v>230782</v>
      </c>
      <c r="D590" t="s">
        <v>246</v>
      </c>
      <c r="E590" t="s">
        <v>10</v>
      </c>
    </row>
    <row r="591" spans="1:6" x14ac:dyDescent="0.2">
      <c r="A591">
        <v>2023</v>
      </c>
      <c r="B591">
        <f>IF(ISBLANK(E591),"",VLOOKUP(E591,Code!B:C,2,FALSE))</f>
        <v>2</v>
      </c>
      <c r="C591">
        <v>230782</v>
      </c>
      <c r="D591" t="s">
        <v>246</v>
      </c>
      <c r="E591" t="s">
        <v>1</v>
      </c>
      <c r="F591" s="6">
        <v>490514</v>
      </c>
    </row>
    <row r="592" spans="1:6" x14ac:dyDescent="0.2">
      <c r="A592">
        <v>2023</v>
      </c>
      <c r="B592">
        <f>IF(ISBLANK(E592),"",VLOOKUP(E592,Code!B:C,2,FALSE))</f>
        <v>8</v>
      </c>
      <c r="C592">
        <v>230782</v>
      </c>
      <c r="D592" t="s">
        <v>246</v>
      </c>
      <c r="E592" t="s">
        <v>2</v>
      </c>
      <c r="F592" s="6">
        <v>401330</v>
      </c>
    </row>
    <row r="593" spans="1:5" x14ac:dyDescent="0.2">
      <c r="A593">
        <v>2023</v>
      </c>
      <c r="B593">
        <f>IF(ISBLANK(E593),"",VLOOKUP(E593,Code!B:C,2,FALSE))</f>
        <v>9</v>
      </c>
      <c r="C593">
        <v>230782</v>
      </c>
      <c r="D593" t="s">
        <v>246</v>
      </c>
      <c r="E593" t="s">
        <v>3</v>
      </c>
    </row>
    <row r="594" spans="1:5" x14ac:dyDescent="0.2">
      <c r="A594">
        <v>2023</v>
      </c>
      <c r="B594">
        <f>IF(ISBLANK(E594),"",VLOOKUP(E594,Code!B:C,2,FALSE))</f>
        <v>9</v>
      </c>
      <c r="C594">
        <v>230782</v>
      </c>
      <c r="D594" t="s">
        <v>246</v>
      </c>
      <c r="E594" t="s">
        <v>3</v>
      </c>
    </row>
    <row r="595" spans="1:5" x14ac:dyDescent="0.2">
      <c r="A595">
        <v>2023</v>
      </c>
      <c r="B595">
        <f>IF(ISBLANK(E595),"",VLOOKUP(E595,Code!B:C,2,FALSE))</f>
        <v>17</v>
      </c>
      <c r="C595">
        <v>230782</v>
      </c>
      <c r="D595" t="s">
        <v>246</v>
      </c>
      <c r="E595" t="s">
        <v>5</v>
      </c>
    </row>
    <row r="596" spans="1:5" x14ac:dyDescent="0.2">
      <c r="A596">
        <v>2023</v>
      </c>
      <c r="B596">
        <f>IF(ISBLANK(E596),"",VLOOKUP(E596,Code!B:C,2,FALSE))</f>
        <v>18</v>
      </c>
      <c r="C596">
        <v>230782</v>
      </c>
      <c r="D596" t="s">
        <v>246</v>
      </c>
      <c r="E596" t="s">
        <v>6</v>
      </c>
    </row>
    <row r="597" spans="1:5" x14ac:dyDescent="0.2">
      <c r="A597">
        <v>2023</v>
      </c>
      <c r="B597">
        <f>IF(ISBLANK(E597),"",VLOOKUP(E597,Code!B:C,2,FALSE))</f>
        <v>20</v>
      </c>
      <c r="C597">
        <v>230782</v>
      </c>
      <c r="D597" t="s">
        <v>246</v>
      </c>
      <c r="E597" t="s">
        <v>8</v>
      </c>
    </row>
    <row r="598" spans="1:5" x14ac:dyDescent="0.2">
      <c r="A598">
        <v>2023</v>
      </c>
      <c r="B598">
        <f>IF(ISBLANK(E598),"",VLOOKUP(E598,Code!B:C,2,FALSE))</f>
        <v>21</v>
      </c>
      <c r="C598">
        <v>230782</v>
      </c>
      <c r="D598" t="s">
        <v>246</v>
      </c>
      <c r="E598" t="s">
        <v>9</v>
      </c>
    </row>
    <row r="599" spans="1:5" x14ac:dyDescent="0.2">
      <c r="A599">
        <v>2023</v>
      </c>
      <c r="B599">
        <f>IF(ISBLANK(E599),"",VLOOKUP(E599,Code!B:C,2,FALSE))</f>
        <v>23</v>
      </c>
      <c r="C599">
        <v>230782</v>
      </c>
      <c r="D599" t="s">
        <v>246</v>
      </c>
      <c r="E59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61BB-E5F7-4D9B-A4B8-297439FA4C54}">
  <sheetPr>
    <tabColor theme="5"/>
  </sheetPr>
  <dimension ref="A1:H596"/>
  <sheetViews>
    <sheetView workbookViewId="0"/>
  </sheetViews>
  <sheetFormatPr baseColWidth="10" defaultColWidth="8.83203125" defaultRowHeight="15" x14ac:dyDescent="0.2"/>
  <cols>
    <col min="1" max="2" width="5" customWidth="1"/>
    <col min="3" max="3" width="8.5" customWidth="1"/>
    <col min="4" max="4" width="9.5" bestFit="1" customWidth="1"/>
    <col min="5" max="5" width="37.1640625" bestFit="1" customWidth="1"/>
    <col min="6" max="7" width="10.1640625" bestFit="1" customWidth="1"/>
    <col min="8" max="8" width="8.5" bestFit="1" customWidth="1"/>
  </cols>
  <sheetData>
    <row r="1" spans="1:8" x14ac:dyDescent="0.2">
      <c r="A1" t="s">
        <v>16</v>
      </c>
      <c r="B1" t="s">
        <v>20</v>
      </c>
      <c r="C1" t="s">
        <v>15</v>
      </c>
      <c r="D1" t="s">
        <v>17</v>
      </c>
      <c r="E1" t="s">
        <v>19</v>
      </c>
      <c r="F1" t="s">
        <v>267</v>
      </c>
      <c r="G1" t="s">
        <v>268</v>
      </c>
      <c r="H1" t="s">
        <v>271</v>
      </c>
    </row>
    <row r="2" spans="1:8" x14ac:dyDescent="0.2">
      <c r="A2">
        <v>2017</v>
      </c>
      <c r="B2">
        <f>IF(ISBLANK(E2),"",VLOOKUP(E2,Code!B:C,2,FALSE))</f>
        <v>1</v>
      </c>
      <c r="C2">
        <v>104179</v>
      </c>
      <c r="D2" t="s">
        <v>45</v>
      </c>
      <c r="E2" t="s">
        <v>0</v>
      </c>
    </row>
    <row r="3" spans="1:8" x14ac:dyDescent="0.2">
      <c r="A3">
        <v>2017</v>
      </c>
      <c r="B3">
        <f>IF(ISBLANK(E3),"",VLOOKUP(E3,Code!B:C,2,FALSE))</f>
        <v>3</v>
      </c>
      <c r="C3">
        <v>104179</v>
      </c>
      <c r="D3" t="s">
        <v>45</v>
      </c>
      <c r="E3" t="s">
        <v>21</v>
      </c>
    </row>
    <row r="4" spans="1:8" x14ac:dyDescent="0.2">
      <c r="A4">
        <v>2017</v>
      </c>
      <c r="B4">
        <v>8</v>
      </c>
      <c r="C4">
        <v>104179</v>
      </c>
      <c r="D4" t="s">
        <v>45</v>
      </c>
      <c r="E4" t="s">
        <v>296</v>
      </c>
    </row>
    <row r="5" spans="1:8" x14ac:dyDescent="0.2">
      <c r="A5">
        <v>2017</v>
      </c>
      <c r="B5">
        <f>IF(ISBLANK(E5),"",VLOOKUP(E5,Code!B:C,2,FALSE))</f>
        <v>9</v>
      </c>
      <c r="C5">
        <v>104179</v>
      </c>
      <c r="D5" t="s">
        <v>45</v>
      </c>
      <c r="E5" t="s">
        <v>3</v>
      </c>
    </row>
    <row r="6" spans="1:8" x14ac:dyDescent="0.2">
      <c r="A6">
        <v>2017</v>
      </c>
      <c r="B6">
        <f>IF(ISBLANK(E6),"",VLOOKUP(E6,Code!B:C,2,FALSE))</f>
        <v>10</v>
      </c>
      <c r="C6">
        <v>104179</v>
      </c>
      <c r="D6" t="s">
        <v>45</v>
      </c>
      <c r="E6" t="s">
        <v>4</v>
      </c>
    </row>
    <row r="7" spans="1:8" x14ac:dyDescent="0.2">
      <c r="A7">
        <v>2017</v>
      </c>
      <c r="B7">
        <f>IF(ISBLANK(E7),"",VLOOKUP(E7,Code!B:C,2,FALSE))</f>
        <v>17</v>
      </c>
      <c r="C7">
        <v>104179</v>
      </c>
      <c r="D7" t="s">
        <v>45</v>
      </c>
      <c r="E7" t="s">
        <v>5</v>
      </c>
    </row>
    <row r="8" spans="1:8" x14ac:dyDescent="0.2">
      <c r="A8">
        <v>2017</v>
      </c>
      <c r="B8">
        <f>IF(ISBLANK(E8),"",VLOOKUP(E8,Code!B:C,2,FALSE))</f>
        <v>18</v>
      </c>
      <c r="C8">
        <v>104179</v>
      </c>
      <c r="D8" t="s">
        <v>45</v>
      </c>
      <c r="E8" t="s">
        <v>6</v>
      </c>
    </row>
    <row r="9" spans="1:8" x14ac:dyDescent="0.2">
      <c r="A9">
        <v>2017</v>
      </c>
      <c r="B9">
        <f>IF(ISBLANK(E9),"",VLOOKUP(E9,Code!B:C,2,FALSE))</f>
        <v>19</v>
      </c>
      <c r="C9">
        <v>104179</v>
      </c>
      <c r="D9" t="s">
        <v>45</v>
      </c>
      <c r="E9" t="s">
        <v>7</v>
      </c>
    </row>
    <row r="10" spans="1:8" x14ac:dyDescent="0.2">
      <c r="A10">
        <v>2017</v>
      </c>
      <c r="B10">
        <f>IF(ISBLANK(E10),"",VLOOKUP(E10,Code!B:C,2,FALSE))</f>
        <v>20</v>
      </c>
      <c r="C10">
        <v>104179</v>
      </c>
      <c r="D10" t="s">
        <v>45</v>
      </c>
      <c r="E10" t="s">
        <v>8</v>
      </c>
    </row>
    <row r="11" spans="1:8" x14ac:dyDescent="0.2">
      <c r="A11">
        <v>2017</v>
      </c>
      <c r="B11">
        <f>IF(ISBLANK(E11),"",VLOOKUP(E11,Code!B:C,2,FALSE))</f>
        <v>21</v>
      </c>
      <c r="C11">
        <v>104179</v>
      </c>
      <c r="D11" t="s">
        <v>45</v>
      </c>
      <c r="E11" t="s">
        <v>36</v>
      </c>
    </row>
    <row r="12" spans="1:8" x14ac:dyDescent="0.2">
      <c r="A12">
        <v>2017</v>
      </c>
      <c r="B12">
        <f>IF(ISBLANK(E12),"",VLOOKUP(E12,Code!B:C,2,FALSE))</f>
        <v>23</v>
      </c>
      <c r="C12">
        <v>104179</v>
      </c>
      <c r="D12" t="s">
        <v>45</v>
      </c>
      <c r="E12" t="s">
        <v>10</v>
      </c>
    </row>
    <row r="13" spans="1:8" x14ac:dyDescent="0.2">
      <c r="A13">
        <v>2018</v>
      </c>
      <c r="B13">
        <f>IF(ISBLANK(E13),"",VLOOKUP(E13,Code!B:C,2,FALSE))</f>
        <v>1</v>
      </c>
      <c r="C13">
        <v>104179</v>
      </c>
      <c r="D13" t="s">
        <v>45</v>
      </c>
      <c r="E13" t="s">
        <v>0</v>
      </c>
    </row>
    <row r="14" spans="1:8" x14ac:dyDescent="0.2">
      <c r="A14">
        <v>2018</v>
      </c>
      <c r="B14">
        <f>IF(ISBLANK(E14),"",VLOOKUP(E14,Code!B:C,2,FALSE))</f>
        <v>2</v>
      </c>
      <c r="C14">
        <v>104179</v>
      </c>
      <c r="D14" t="s">
        <v>45</v>
      </c>
      <c r="E14" t="s">
        <v>1</v>
      </c>
    </row>
    <row r="15" spans="1:8" x14ac:dyDescent="0.2">
      <c r="A15">
        <v>2018</v>
      </c>
      <c r="B15">
        <f>IF(ISBLANK(E15),"",VLOOKUP(E15,Code!B:C,2,FALSE))</f>
        <v>8</v>
      </c>
      <c r="C15">
        <v>104179</v>
      </c>
      <c r="D15" t="s">
        <v>45</v>
      </c>
      <c r="E15" t="s">
        <v>2</v>
      </c>
    </row>
    <row r="16" spans="1:8" x14ac:dyDescent="0.2">
      <c r="A16">
        <v>2018</v>
      </c>
      <c r="B16">
        <f>IF(ISBLANK(E16),"",VLOOKUP(E16,Code!B:C,2,FALSE))</f>
        <v>21</v>
      </c>
      <c r="C16">
        <v>104179</v>
      </c>
      <c r="D16" t="s">
        <v>45</v>
      </c>
      <c r="E16" t="s">
        <v>36</v>
      </c>
    </row>
    <row r="17" spans="1:5" x14ac:dyDescent="0.2">
      <c r="A17">
        <v>2018</v>
      </c>
      <c r="B17">
        <f>IF(ISBLANK(E17),"",VLOOKUP(E17,Code!B:C,2,FALSE))</f>
        <v>3</v>
      </c>
      <c r="C17">
        <v>104179</v>
      </c>
      <c r="D17" t="s">
        <v>45</v>
      </c>
      <c r="E17" t="s">
        <v>21</v>
      </c>
    </row>
    <row r="18" spans="1:5" x14ac:dyDescent="0.2">
      <c r="A18">
        <v>2018</v>
      </c>
      <c r="B18">
        <f>IF(ISBLANK(E18),"",VLOOKUP(E18,Code!B:C,2,FALSE))</f>
        <v>9</v>
      </c>
      <c r="C18">
        <v>104179</v>
      </c>
      <c r="D18" t="s">
        <v>45</v>
      </c>
      <c r="E18" t="s">
        <v>3</v>
      </c>
    </row>
    <row r="19" spans="1:5" x14ac:dyDescent="0.2">
      <c r="A19">
        <v>2018</v>
      </c>
      <c r="B19">
        <f>IF(ISBLANK(E19),"",VLOOKUP(E19,Code!B:C,2,FALSE))</f>
        <v>10</v>
      </c>
      <c r="C19">
        <v>104179</v>
      </c>
      <c r="D19" t="s">
        <v>45</v>
      </c>
      <c r="E19" t="s">
        <v>4</v>
      </c>
    </row>
    <row r="20" spans="1:5" x14ac:dyDescent="0.2">
      <c r="A20">
        <v>2018</v>
      </c>
      <c r="B20">
        <f>IF(ISBLANK(E20),"",VLOOKUP(E20,Code!B:C,2,FALSE))</f>
        <v>17</v>
      </c>
      <c r="C20">
        <v>104179</v>
      </c>
      <c r="D20" t="s">
        <v>45</v>
      </c>
      <c r="E20" t="s">
        <v>5</v>
      </c>
    </row>
    <row r="21" spans="1:5" x14ac:dyDescent="0.2">
      <c r="A21">
        <v>2018</v>
      </c>
      <c r="B21">
        <f>IF(ISBLANK(E21),"",VLOOKUP(E21,Code!B:C,2,FALSE))</f>
        <v>18</v>
      </c>
      <c r="C21">
        <v>104179</v>
      </c>
      <c r="D21" t="s">
        <v>45</v>
      </c>
      <c r="E21" t="s">
        <v>6</v>
      </c>
    </row>
    <row r="22" spans="1:5" x14ac:dyDescent="0.2">
      <c r="A22">
        <v>2018</v>
      </c>
      <c r="B22">
        <f>IF(ISBLANK(E22),"",VLOOKUP(E22,Code!B:C,2,FALSE))</f>
        <v>19</v>
      </c>
      <c r="C22">
        <v>104179</v>
      </c>
      <c r="D22" t="s">
        <v>45</v>
      </c>
      <c r="E22" t="s">
        <v>7</v>
      </c>
    </row>
    <row r="23" spans="1:5" x14ac:dyDescent="0.2">
      <c r="A23">
        <v>2018</v>
      </c>
      <c r="B23">
        <f>IF(ISBLANK(E23),"",VLOOKUP(E23,Code!B:C,2,FALSE))</f>
        <v>20</v>
      </c>
      <c r="C23">
        <v>104179</v>
      </c>
      <c r="D23" t="s">
        <v>45</v>
      </c>
      <c r="E23" t="s">
        <v>8</v>
      </c>
    </row>
    <row r="24" spans="1:5" x14ac:dyDescent="0.2">
      <c r="A24">
        <v>2018</v>
      </c>
      <c r="B24">
        <f>IF(ISBLANK(E24),"",VLOOKUP(E24,Code!B:C,2,FALSE))</f>
        <v>23</v>
      </c>
      <c r="C24">
        <v>104179</v>
      </c>
      <c r="D24" t="s">
        <v>45</v>
      </c>
      <c r="E24" t="s">
        <v>10</v>
      </c>
    </row>
    <row r="25" spans="1:5" x14ac:dyDescent="0.2">
      <c r="A25">
        <v>2019</v>
      </c>
      <c r="B25">
        <f>IF(ISBLANK(E25),"",VLOOKUP(E25,Code!B:C,2,FALSE))</f>
        <v>1</v>
      </c>
      <c r="C25">
        <v>104179</v>
      </c>
      <c r="D25" t="s">
        <v>45</v>
      </c>
      <c r="E25" t="s">
        <v>0</v>
      </c>
    </row>
    <row r="26" spans="1:5" x14ac:dyDescent="0.2">
      <c r="A26">
        <v>2019</v>
      </c>
      <c r="B26">
        <f>IF(ISBLANK(E26),"",VLOOKUP(E26,Code!B:C,2,FALSE))</f>
        <v>2</v>
      </c>
      <c r="C26">
        <v>104179</v>
      </c>
      <c r="D26" t="s">
        <v>45</v>
      </c>
      <c r="E26" t="s">
        <v>1</v>
      </c>
    </row>
    <row r="27" spans="1:5" x14ac:dyDescent="0.2">
      <c r="A27">
        <v>2019</v>
      </c>
      <c r="B27">
        <f>IF(ISBLANK(E27),"",VLOOKUP(E27,Code!B:C,2,FALSE))</f>
        <v>8</v>
      </c>
      <c r="C27">
        <v>104179</v>
      </c>
      <c r="D27" t="s">
        <v>45</v>
      </c>
      <c r="E27" t="s">
        <v>2</v>
      </c>
    </row>
    <row r="28" spans="1:5" x14ac:dyDescent="0.2">
      <c r="A28">
        <v>2019</v>
      </c>
      <c r="B28">
        <f>IF(ISBLANK(E28),"",VLOOKUP(E28,Code!B:C,2,FALSE))</f>
        <v>9</v>
      </c>
      <c r="C28">
        <v>104179</v>
      </c>
      <c r="D28" t="s">
        <v>45</v>
      </c>
      <c r="E28" t="s">
        <v>3</v>
      </c>
    </row>
    <row r="29" spans="1:5" x14ac:dyDescent="0.2">
      <c r="A29">
        <v>2019</v>
      </c>
      <c r="B29">
        <f>IF(ISBLANK(E29),"",VLOOKUP(E29,Code!B:C,2,FALSE))</f>
        <v>20</v>
      </c>
      <c r="C29">
        <v>104179</v>
      </c>
      <c r="D29" t="s">
        <v>45</v>
      </c>
      <c r="E29" t="s">
        <v>8</v>
      </c>
    </row>
    <row r="30" spans="1:5" x14ac:dyDescent="0.2">
      <c r="A30">
        <v>2019</v>
      </c>
      <c r="B30">
        <f>IF(ISBLANK(E30),"",VLOOKUP(E30,Code!B:C,2,FALSE))</f>
        <v>21</v>
      </c>
      <c r="C30">
        <v>104179</v>
      </c>
      <c r="D30" t="s">
        <v>45</v>
      </c>
      <c r="E30" t="s">
        <v>36</v>
      </c>
    </row>
    <row r="31" spans="1:5" x14ac:dyDescent="0.2">
      <c r="A31">
        <v>2019</v>
      </c>
      <c r="B31">
        <f>IF(ISBLANK(E31),"",VLOOKUP(E31,Code!B:C,2,FALSE))</f>
        <v>3</v>
      </c>
      <c r="C31">
        <v>104179</v>
      </c>
      <c r="D31" t="s">
        <v>45</v>
      </c>
      <c r="E31" t="s">
        <v>21</v>
      </c>
    </row>
    <row r="32" spans="1:5" x14ac:dyDescent="0.2">
      <c r="A32">
        <v>2019</v>
      </c>
      <c r="B32">
        <f>IF(ISBLANK(E32),"",VLOOKUP(E32,Code!B:C,2,FALSE))</f>
        <v>10</v>
      </c>
      <c r="C32">
        <v>104179</v>
      </c>
      <c r="D32" t="s">
        <v>45</v>
      </c>
      <c r="E32" t="s">
        <v>4</v>
      </c>
    </row>
    <row r="33" spans="1:5" x14ac:dyDescent="0.2">
      <c r="A33">
        <v>2019</v>
      </c>
      <c r="B33">
        <f>IF(ISBLANK(E33),"",VLOOKUP(E33,Code!B:C,2,FALSE))</f>
        <v>17</v>
      </c>
      <c r="C33">
        <v>104179</v>
      </c>
      <c r="D33" t="s">
        <v>45</v>
      </c>
      <c r="E33" t="s">
        <v>5</v>
      </c>
    </row>
    <row r="34" spans="1:5" x14ac:dyDescent="0.2">
      <c r="A34">
        <v>2019</v>
      </c>
      <c r="B34">
        <f>IF(ISBLANK(E34),"",VLOOKUP(E34,Code!B:C,2,FALSE))</f>
        <v>18</v>
      </c>
      <c r="C34">
        <v>104179</v>
      </c>
      <c r="D34" t="s">
        <v>45</v>
      </c>
      <c r="E34" t="s">
        <v>6</v>
      </c>
    </row>
    <row r="35" spans="1:5" x14ac:dyDescent="0.2">
      <c r="A35">
        <v>2019</v>
      </c>
      <c r="B35">
        <f>IF(ISBLANK(E35),"",VLOOKUP(E35,Code!B:C,2,FALSE))</f>
        <v>19</v>
      </c>
      <c r="C35">
        <v>104179</v>
      </c>
      <c r="D35" t="s">
        <v>45</v>
      </c>
      <c r="E35" t="s">
        <v>7</v>
      </c>
    </row>
    <row r="36" spans="1:5" x14ac:dyDescent="0.2">
      <c r="A36">
        <v>2019</v>
      </c>
      <c r="B36">
        <f>IF(ISBLANK(E36),"",VLOOKUP(E36,Code!B:C,2,FALSE))</f>
        <v>23</v>
      </c>
      <c r="C36">
        <v>104179</v>
      </c>
      <c r="D36" t="s">
        <v>45</v>
      </c>
      <c r="E36" t="s">
        <v>10</v>
      </c>
    </row>
    <row r="37" spans="1:5" x14ac:dyDescent="0.2">
      <c r="A37">
        <v>2020</v>
      </c>
      <c r="B37">
        <f>IF(ISBLANK(E37),"",VLOOKUP(E37,Code!B:C,2,FALSE))</f>
        <v>1</v>
      </c>
      <c r="C37">
        <v>104179</v>
      </c>
      <c r="D37" t="s">
        <v>45</v>
      </c>
      <c r="E37" t="s">
        <v>0</v>
      </c>
    </row>
    <row r="38" spans="1:5" x14ac:dyDescent="0.2">
      <c r="A38">
        <v>2020</v>
      </c>
      <c r="B38">
        <f>IF(ISBLANK(E38),"",VLOOKUP(E38,Code!B:C,2,FALSE))</f>
        <v>2</v>
      </c>
      <c r="C38">
        <v>104179</v>
      </c>
      <c r="D38" t="s">
        <v>45</v>
      </c>
      <c r="E38" t="s">
        <v>1</v>
      </c>
    </row>
    <row r="39" spans="1:5" x14ac:dyDescent="0.2">
      <c r="A39">
        <v>2020</v>
      </c>
      <c r="B39">
        <f>IF(ISBLANK(E39),"",VLOOKUP(E39,Code!B:C,2,FALSE))</f>
        <v>8</v>
      </c>
      <c r="C39">
        <v>104179</v>
      </c>
      <c r="D39" t="s">
        <v>45</v>
      </c>
      <c r="E39" t="s">
        <v>2</v>
      </c>
    </row>
    <row r="40" spans="1:5" x14ac:dyDescent="0.2">
      <c r="A40">
        <v>2020</v>
      </c>
      <c r="B40">
        <f>IF(ISBLANK(E40),"",VLOOKUP(E40,Code!B:C,2,FALSE))</f>
        <v>3</v>
      </c>
      <c r="C40">
        <v>104179</v>
      </c>
      <c r="D40" t="s">
        <v>45</v>
      </c>
      <c r="E40" t="s">
        <v>21</v>
      </c>
    </row>
    <row r="41" spans="1:5" x14ac:dyDescent="0.2">
      <c r="A41">
        <v>2020</v>
      </c>
      <c r="B41">
        <f>IF(ISBLANK(E41),"",VLOOKUP(E41,Code!B:C,2,FALSE))</f>
        <v>9</v>
      </c>
      <c r="C41">
        <v>104179</v>
      </c>
      <c r="D41" t="s">
        <v>45</v>
      </c>
      <c r="E41" t="s">
        <v>3</v>
      </c>
    </row>
    <row r="42" spans="1:5" x14ac:dyDescent="0.2">
      <c r="A42">
        <v>2020</v>
      </c>
      <c r="B42">
        <f>IF(ISBLANK(E42),"",VLOOKUP(E42,Code!B:C,2,FALSE))</f>
        <v>10</v>
      </c>
      <c r="C42">
        <v>104179</v>
      </c>
      <c r="D42" t="s">
        <v>45</v>
      </c>
      <c r="E42" t="s">
        <v>4</v>
      </c>
    </row>
    <row r="43" spans="1:5" x14ac:dyDescent="0.2">
      <c r="A43">
        <v>2020</v>
      </c>
      <c r="B43">
        <f>IF(ISBLANK(E43),"",VLOOKUP(E43,Code!B:C,2,FALSE))</f>
        <v>17</v>
      </c>
      <c r="C43">
        <v>104179</v>
      </c>
      <c r="D43" t="s">
        <v>45</v>
      </c>
      <c r="E43" t="s">
        <v>5</v>
      </c>
    </row>
    <row r="44" spans="1:5" x14ac:dyDescent="0.2">
      <c r="A44">
        <v>2020</v>
      </c>
      <c r="B44">
        <f>IF(ISBLANK(E44),"",VLOOKUP(E44,Code!B:C,2,FALSE))</f>
        <v>18</v>
      </c>
      <c r="C44">
        <v>104179</v>
      </c>
      <c r="D44" t="s">
        <v>45</v>
      </c>
      <c r="E44" t="s">
        <v>6</v>
      </c>
    </row>
    <row r="45" spans="1:5" x14ac:dyDescent="0.2">
      <c r="A45">
        <v>2020</v>
      </c>
      <c r="B45">
        <f>IF(ISBLANK(E45),"",VLOOKUP(E45,Code!B:C,2,FALSE))</f>
        <v>19</v>
      </c>
      <c r="C45">
        <v>104179</v>
      </c>
      <c r="D45" t="s">
        <v>45</v>
      </c>
      <c r="E45" t="s">
        <v>7</v>
      </c>
    </row>
    <row r="46" spans="1:5" x14ac:dyDescent="0.2">
      <c r="A46">
        <v>2020</v>
      </c>
      <c r="B46">
        <f>IF(ISBLANK(E46),"",VLOOKUP(E46,Code!B:C,2,FALSE))</f>
        <v>20</v>
      </c>
      <c r="C46">
        <v>104179</v>
      </c>
      <c r="D46" t="s">
        <v>45</v>
      </c>
      <c r="E46" t="s">
        <v>8</v>
      </c>
    </row>
    <row r="47" spans="1:5" x14ac:dyDescent="0.2">
      <c r="A47">
        <v>2020</v>
      </c>
      <c r="B47">
        <f>IF(ISBLANK(E47),"",VLOOKUP(E47,Code!B:C,2,FALSE))</f>
        <v>21</v>
      </c>
      <c r="C47">
        <v>104179</v>
      </c>
      <c r="D47" t="s">
        <v>45</v>
      </c>
      <c r="E47" t="s">
        <v>36</v>
      </c>
    </row>
    <row r="48" spans="1:5" x14ac:dyDescent="0.2">
      <c r="A48">
        <v>2020</v>
      </c>
      <c r="B48">
        <f>IF(ISBLANK(E48),"",VLOOKUP(E48,Code!B:C,2,FALSE))</f>
        <v>23</v>
      </c>
      <c r="C48">
        <v>104179</v>
      </c>
      <c r="D48" t="s">
        <v>45</v>
      </c>
      <c r="E48" t="s">
        <v>10</v>
      </c>
    </row>
    <row r="49" spans="1:5" x14ac:dyDescent="0.2">
      <c r="A49">
        <v>2021</v>
      </c>
      <c r="B49">
        <f>IF(ISBLANK(E49),"",VLOOKUP(E49,Code!B:C,2,FALSE))</f>
        <v>1</v>
      </c>
      <c r="C49">
        <v>104179</v>
      </c>
      <c r="D49" t="s">
        <v>45</v>
      </c>
      <c r="E49" t="s">
        <v>0</v>
      </c>
    </row>
    <row r="50" spans="1:5" x14ac:dyDescent="0.2">
      <c r="A50">
        <v>2021</v>
      </c>
      <c r="B50">
        <f>IF(ISBLANK(E50),"",VLOOKUP(E50,Code!B:C,2,FALSE))</f>
        <v>2</v>
      </c>
      <c r="C50">
        <v>104179</v>
      </c>
      <c r="D50" t="s">
        <v>45</v>
      </c>
      <c r="E50" t="s">
        <v>1</v>
      </c>
    </row>
    <row r="51" spans="1:5" x14ac:dyDescent="0.2">
      <c r="A51">
        <v>2021</v>
      </c>
      <c r="B51">
        <f>IF(ISBLANK(E51),"",VLOOKUP(E51,Code!B:C,2,FALSE))</f>
        <v>8</v>
      </c>
      <c r="C51">
        <v>104179</v>
      </c>
      <c r="D51" t="s">
        <v>45</v>
      </c>
      <c r="E51" t="s">
        <v>2</v>
      </c>
    </row>
    <row r="52" spans="1:5" x14ac:dyDescent="0.2">
      <c r="A52">
        <v>2021</v>
      </c>
      <c r="B52">
        <v>3</v>
      </c>
      <c r="C52">
        <v>104179</v>
      </c>
      <c r="D52" t="s">
        <v>45</v>
      </c>
      <c r="E52" t="s">
        <v>295</v>
      </c>
    </row>
    <row r="53" spans="1:5" x14ac:dyDescent="0.2">
      <c r="A53">
        <v>2021</v>
      </c>
      <c r="B53">
        <v>9</v>
      </c>
      <c r="C53">
        <v>104179</v>
      </c>
      <c r="D53" t="s">
        <v>45</v>
      </c>
      <c r="E53" t="s">
        <v>292</v>
      </c>
    </row>
    <row r="54" spans="1:5" x14ac:dyDescent="0.2">
      <c r="A54">
        <v>2021</v>
      </c>
      <c r="B54">
        <f>IF(ISBLANK(E54),"",VLOOKUP(E54,Code!B:C,2,FALSE))</f>
        <v>10</v>
      </c>
      <c r="C54">
        <v>104179</v>
      </c>
      <c r="D54" t="s">
        <v>45</v>
      </c>
      <c r="E54" t="s">
        <v>4</v>
      </c>
    </row>
    <row r="55" spans="1:5" x14ac:dyDescent="0.2">
      <c r="A55">
        <v>2021</v>
      </c>
      <c r="B55">
        <f>IF(ISBLANK(E55),"",VLOOKUP(E55,Code!B:C,2,FALSE))</f>
        <v>17</v>
      </c>
      <c r="C55">
        <v>104179</v>
      </c>
      <c r="D55" t="s">
        <v>45</v>
      </c>
      <c r="E55" t="s">
        <v>5</v>
      </c>
    </row>
    <row r="56" spans="1:5" x14ac:dyDescent="0.2">
      <c r="A56">
        <v>2021</v>
      </c>
      <c r="B56">
        <f>IF(ISBLANK(E56),"",VLOOKUP(E56,Code!B:C,2,FALSE))</f>
        <v>18</v>
      </c>
      <c r="C56">
        <v>104179</v>
      </c>
      <c r="D56" t="s">
        <v>45</v>
      </c>
      <c r="E56" t="s">
        <v>6</v>
      </c>
    </row>
    <row r="57" spans="1:5" x14ac:dyDescent="0.2">
      <c r="A57">
        <v>2021</v>
      </c>
      <c r="B57">
        <v>19</v>
      </c>
      <c r="C57">
        <v>104179</v>
      </c>
      <c r="D57" t="s">
        <v>45</v>
      </c>
      <c r="E57" t="s">
        <v>293</v>
      </c>
    </row>
    <row r="58" spans="1:5" x14ac:dyDescent="0.2">
      <c r="A58">
        <v>2021</v>
      </c>
      <c r="B58">
        <f>IF(ISBLANK(E58),"",VLOOKUP(E58,Code!B:C,2,FALSE))</f>
        <v>20</v>
      </c>
      <c r="C58">
        <v>104179</v>
      </c>
      <c r="D58" t="s">
        <v>45</v>
      </c>
      <c r="E58" t="s">
        <v>8</v>
      </c>
    </row>
    <row r="59" spans="1:5" x14ac:dyDescent="0.2">
      <c r="A59">
        <v>2021</v>
      </c>
      <c r="B59">
        <v>21</v>
      </c>
      <c r="C59">
        <v>104179</v>
      </c>
      <c r="D59" t="s">
        <v>45</v>
      </c>
      <c r="E59" t="s">
        <v>294</v>
      </c>
    </row>
    <row r="60" spans="1:5" x14ac:dyDescent="0.2">
      <c r="A60">
        <v>2021</v>
      </c>
      <c r="B60">
        <f>IF(ISBLANK(E60),"",VLOOKUP(E60,Code!B:C,2,FALSE))</f>
        <v>23</v>
      </c>
      <c r="C60">
        <v>104179</v>
      </c>
      <c r="D60" t="s">
        <v>45</v>
      </c>
      <c r="E60" t="s">
        <v>10</v>
      </c>
    </row>
    <row r="61" spans="1:5" x14ac:dyDescent="0.2">
      <c r="A61">
        <v>2022</v>
      </c>
      <c r="B61">
        <f>IF(ISBLANK(E61),"",VLOOKUP(E61,Code!B:C,2,FALSE))</f>
        <v>1</v>
      </c>
      <c r="C61">
        <v>104179</v>
      </c>
      <c r="D61" t="s">
        <v>45</v>
      </c>
      <c r="E61" t="s">
        <v>0</v>
      </c>
    </row>
    <row r="62" spans="1:5" x14ac:dyDescent="0.2">
      <c r="A62">
        <v>2022</v>
      </c>
      <c r="B62">
        <f>IF(ISBLANK(E62),"",VLOOKUP(E62,Code!B:C,2,FALSE))</f>
        <v>2</v>
      </c>
      <c r="C62">
        <v>104179</v>
      </c>
      <c r="D62" t="s">
        <v>45</v>
      </c>
      <c r="E62" t="s">
        <v>1</v>
      </c>
    </row>
    <row r="63" spans="1:5" x14ac:dyDescent="0.2">
      <c r="A63">
        <v>2022</v>
      </c>
      <c r="B63">
        <f>IF(ISBLANK(E63),"",VLOOKUP(E63,Code!B:C,2,FALSE))</f>
        <v>8</v>
      </c>
      <c r="C63">
        <v>104179</v>
      </c>
      <c r="D63" t="s">
        <v>45</v>
      </c>
      <c r="E63" t="s">
        <v>2</v>
      </c>
    </row>
    <row r="64" spans="1:5" x14ac:dyDescent="0.2">
      <c r="A64">
        <v>2022</v>
      </c>
      <c r="B64">
        <f>IF(ISBLANK(E64),"",VLOOKUP(E64,Code!B:C,2,FALSE))</f>
        <v>3</v>
      </c>
      <c r="C64">
        <v>104179</v>
      </c>
      <c r="D64" t="s">
        <v>45</v>
      </c>
      <c r="E64" t="s">
        <v>21</v>
      </c>
    </row>
    <row r="65" spans="1:5" x14ac:dyDescent="0.2">
      <c r="A65">
        <v>2022</v>
      </c>
      <c r="B65">
        <f>IF(ISBLANK(E65),"",VLOOKUP(E65,Code!B:C,2,FALSE))</f>
        <v>9</v>
      </c>
      <c r="C65">
        <v>104179</v>
      </c>
      <c r="D65" t="s">
        <v>45</v>
      </c>
      <c r="E65" t="s">
        <v>3</v>
      </c>
    </row>
    <row r="66" spans="1:5" x14ac:dyDescent="0.2">
      <c r="A66">
        <v>2022</v>
      </c>
      <c r="B66">
        <f>IF(ISBLANK(E66),"",VLOOKUP(E66,Code!B:C,2,FALSE))</f>
        <v>10</v>
      </c>
      <c r="C66">
        <v>104179</v>
      </c>
      <c r="D66" t="s">
        <v>45</v>
      </c>
      <c r="E66" t="s">
        <v>4</v>
      </c>
    </row>
    <row r="67" spans="1:5" x14ac:dyDescent="0.2">
      <c r="A67">
        <v>2022</v>
      </c>
      <c r="B67">
        <f>IF(ISBLANK(E67),"",VLOOKUP(E67,Code!B:C,2,FALSE))</f>
        <v>17</v>
      </c>
      <c r="C67">
        <v>104179</v>
      </c>
      <c r="D67" t="s">
        <v>45</v>
      </c>
      <c r="E67" t="s">
        <v>5</v>
      </c>
    </row>
    <row r="68" spans="1:5" x14ac:dyDescent="0.2">
      <c r="A68">
        <v>2022</v>
      </c>
      <c r="B68">
        <f>IF(ISBLANK(E68),"",VLOOKUP(E68,Code!B:C,2,FALSE))</f>
        <v>18</v>
      </c>
      <c r="C68">
        <v>104179</v>
      </c>
      <c r="D68" t="s">
        <v>45</v>
      </c>
      <c r="E68" t="s">
        <v>6</v>
      </c>
    </row>
    <row r="69" spans="1:5" x14ac:dyDescent="0.2">
      <c r="A69">
        <v>2022</v>
      </c>
      <c r="B69">
        <f>IF(ISBLANK(E69),"",VLOOKUP(E69,Code!B:C,2,FALSE))</f>
        <v>19</v>
      </c>
      <c r="C69">
        <v>104179</v>
      </c>
      <c r="D69" t="s">
        <v>45</v>
      </c>
      <c r="E69" t="s">
        <v>7</v>
      </c>
    </row>
    <row r="70" spans="1:5" x14ac:dyDescent="0.2">
      <c r="A70">
        <v>2022</v>
      </c>
      <c r="B70">
        <f>IF(ISBLANK(E70),"",VLOOKUP(E70,Code!B:C,2,FALSE))</f>
        <v>20</v>
      </c>
      <c r="C70">
        <v>104179</v>
      </c>
      <c r="D70" t="s">
        <v>45</v>
      </c>
      <c r="E70" t="s">
        <v>8</v>
      </c>
    </row>
    <row r="71" spans="1:5" x14ac:dyDescent="0.2">
      <c r="A71">
        <v>2022</v>
      </c>
      <c r="B71">
        <f>IF(ISBLANK(E71),"",VLOOKUP(E71,Code!B:C,2,FALSE))</f>
        <v>21</v>
      </c>
      <c r="C71">
        <v>104179</v>
      </c>
      <c r="D71" t="s">
        <v>45</v>
      </c>
      <c r="E71" t="s">
        <v>36</v>
      </c>
    </row>
    <row r="72" spans="1:5" x14ac:dyDescent="0.2">
      <c r="A72">
        <v>2022</v>
      </c>
      <c r="B72">
        <f>IF(ISBLANK(E72),"",VLOOKUP(E72,Code!B:C,2,FALSE))</f>
        <v>23</v>
      </c>
      <c r="C72">
        <v>104179</v>
      </c>
      <c r="D72" t="s">
        <v>45</v>
      </c>
      <c r="E72" t="s">
        <v>10</v>
      </c>
    </row>
    <row r="73" spans="1:5" x14ac:dyDescent="0.2">
      <c r="A73">
        <v>2023</v>
      </c>
      <c r="B73">
        <f>IF(ISBLANK(E73),"",VLOOKUP(E73,Code!B:C,2,FALSE))</f>
        <v>1</v>
      </c>
      <c r="C73">
        <v>104179</v>
      </c>
      <c r="D73" t="s">
        <v>45</v>
      </c>
      <c r="E73" t="s">
        <v>0</v>
      </c>
    </row>
    <row r="74" spans="1:5" x14ac:dyDescent="0.2">
      <c r="A74">
        <v>2023</v>
      </c>
      <c r="B74">
        <f>IF(ISBLANK(E74),"",VLOOKUP(E74,Code!B:C,2,FALSE))</f>
        <v>2</v>
      </c>
      <c r="C74">
        <v>104179</v>
      </c>
      <c r="D74" t="s">
        <v>45</v>
      </c>
      <c r="E74" t="s">
        <v>1</v>
      </c>
    </row>
    <row r="75" spans="1:5" x14ac:dyDescent="0.2">
      <c r="A75">
        <v>2023</v>
      </c>
      <c r="B75">
        <f>IF(ISBLANK(E75),"",VLOOKUP(E75,Code!B:C,2,FALSE))</f>
        <v>8</v>
      </c>
      <c r="C75">
        <v>104179</v>
      </c>
      <c r="D75" t="s">
        <v>45</v>
      </c>
      <c r="E75" t="s">
        <v>2</v>
      </c>
    </row>
    <row r="76" spans="1:5" x14ac:dyDescent="0.2">
      <c r="A76">
        <v>2023</v>
      </c>
      <c r="B76">
        <f>IF(ISBLANK(E76),"",VLOOKUP(E76,Code!B:C,2,FALSE))</f>
        <v>3</v>
      </c>
      <c r="C76">
        <v>104179</v>
      </c>
      <c r="D76" t="s">
        <v>45</v>
      </c>
      <c r="E76" t="s">
        <v>21</v>
      </c>
    </row>
    <row r="77" spans="1:5" x14ac:dyDescent="0.2">
      <c r="A77">
        <v>2023</v>
      </c>
      <c r="B77">
        <f>IF(ISBLANK(E77),"",VLOOKUP(E77,Code!B:C,2,FALSE))</f>
        <v>9</v>
      </c>
      <c r="C77">
        <v>104179</v>
      </c>
      <c r="D77" t="s">
        <v>45</v>
      </c>
      <c r="E77" t="s">
        <v>3</v>
      </c>
    </row>
    <row r="78" spans="1:5" x14ac:dyDescent="0.2">
      <c r="A78">
        <v>2023</v>
      </c>
      <c r="B78">
        <f>IF(ISBLANK(E78),"",VLOOKUP(E78,Code!B:C,2,FALSE))</f>
        <v>10</v>
      </c>
      <c r="C78">
        <v>104179</v>
      </c>
      <c r="D78" t="s">
        <v>45</v>
      </c>
      <c r="E78" t="s">
        <v>4</v>
      </c>
    </row>
    <row r="79" spans="1:5" x14ac:dyDescent="0.2">
      <c r="A79">
        <v>2023</v>
      </c>
      <c r="B79">
        <f>IF(ISBLANK(E79),"",VLOOKUP(E79,Code!B:C,2,FALSE))</f>
        <v>17</v>
      </c>
      <c r="C79">
        <v>104179</v>
      </c>
      <c r="D79" t="s">
        <v>45</v>
      </c>
      <c r="E79" t="s">
        <v>5</v>
      </c>
    </row>
    <row r="80" spans="1:5" x14ac:dyDescent="0.2">
      <c r="A80">
        <v>2023</v>
      </c>
      <c r="B80">
        <f>IF(ISBLANK(E80),"",VLOOKUP(E80,Code!B:C,2,FALSE))</f>
        <v>18</v>
      </c>
      <c r="C80">
        <v>104179</v>
      </c>
      <c r="D80" t="s">
        <v>45</v>
      </c>
      <c r="E80" t="s">
        <v>6</v>
      </c>
    </row>
    <row r="81" spans="1:7" x14ac:dyDescent="0.2">
      <c r="A81">
        <v>2023</v>
      </c>
      <c r="B81">
        <f>IF(ISBLANK(E81),"",VLOOKUP(E81,Code!B:C,2,FALSE))</f>
        <v>19</v>
      </c>
      <c r="C81">
        <v>104179</v>
      </c>
      <c r="D81" t="s">
        <v>45</v>
      </c>
      <c r="E81" t="s">
        <v>7</v>
      </c>
    </row>
    <row r="82" spans="1:7" x14ac:dyDescent="0.2">
      <c r="A82">
        <v>2023</v>
      </c>
      <c r="B82">
        <f>IF(ISBLANK(E82),"",VLOOKUP(E82,Code!B:C,2,FALSE))</f>
        <v>20</v>
      </c>
      <c r="C82">
        <v>104179</v>
      </c>
      <c r="D82" t="s">
        <v>45</v>
      </c>
      <c r="E82" t="s">
        <v>8</v>
      </c>
    </row>
    <row r="83" spans="1:7" x14ac:dyDescent="0.2">
      <c r="A83">
        <v>2023</v>
      </c>
      <c r="B83">
        <f>IF(ISBLANK(E83),"",VLOOKUP(E83,Code!B:C,2,FALSE))</f>
        <v>21</v>
      </c>
      <c r="C83">
        <v>104179</v>
      </c>
      <c r="D83" t="s">
        <v>45</v>
      </c>
      <c r="E83" t="s">
        <v>9</v>
      </c>
    </row>
    <row r="84" spans="1:7" x14ac:dyDescent="0.2">
      <c r="A84">
        <v>2023</v>
      </c>
      <c r="B84">
        <f>IF(ISBLANK(E84),"",VLOOKUP(E84,Code!B:C,2,FALSE))</f>
        <v>23</v>
      </c>
      <c r="C84">
        <v>104179</v>
      </c>
      <c r="D84" t="s">
        <v>45</v>
      </c>
      <c r="E84" t="s">
        <v>10</v>
      </c>
    </row>
    <row r="85" spans="1:7" x14ac:dyDescent="0.2">
      <c r="A85">
        <v>2017</v>
      </c>
      <c r="B85">
        <f>IF(ISBLANK(E85),"",VLOOKUP(E85,Code!B:C,2,FALSE))</f>
        <v>1</v>
      </c>
      <c r="C85">
        <v>110635</v>
      </c>
      <c r="D85" t="s">
        <v>63</v>
      </c>
      <c r="E85" t="s">
        <v>0</v>
      </c>
      <c r="F85" s="6">
        <v>10253</v>
      </c>
    </row>
    <row r="86" spans="1:7" x14ac:dyDescent="0.2">
      <c r="A86">
        <v>2017</v>
      </c>
      <c r="B86">
        <f>IF(ISBLANK(E86),"",VLOOKUP(E86,Code!B:C,2,FALSE))</f>
        <v>2</v>
      </c>
      <c r="C86">
        <v>110635</v>
      </c>
      <c r="D86" t="s">
        <v>63</v>
      </c>
      <c r="E86" t="s">
        <v>1</v>
      </c>
      <c r="F86" s="6">
        <v>368417</v>
      </c>
      <c r="G86" s="6">
        <v>101742</v>
      </c>
    </row>
    <row r="87" spans="1:7" x14ac:dyDescent="0.2">
      <c r="A87">
        <v>2017</v>
      </c>
      <c r="B87">
        <f>IF(ISBLANK(E87),"",VLOOKUP(E87,Code!B:C,2,FALSE))</f>
        <v>8</v>
      </c>
      <c r="C87">
        <v>110635</v>
      </c>
      <c r="D87" t="s">
        <v>63</v>
      </c>
      <c r="E87" t="s">
        <v>2</v>
      </c>
      <c r="F87" s="6">
        <v>924701</v>
      </c>
    </row>
    <row r="88" spans="1:7" x14ac:dyDescent="0.2">
      <c r="A88">
        <v>2017</v>
      </c>
      <c r="B88">
        <f>IF(ISBLANK(E88),"",VLOOKUP(E88,Code!B:C,2,FALSE))</f>
        <v>3</v>
      </c>
      <c r="C88">
        <v>110635</v>
      </c>
      <c r="D88" t="s">
        <v>63</v>
      </c>
      <c r="E88" t="s">
        <v>21</v>
      </c>
      <c r="G88" s="6">
        <v>1735</v>
      </c>
    </row>
    <row r="89" spans="1:7" x14ac:dyDescent="0.2">
      <c r="A89">
        <v>2017</v>
      </c>
      <c r="B89">
        <f>IF(ISBLANK(E89),"",VLOOKUP(E89,Code!B:C,2,FALSE))</f>
        <v>7</v>
      </c>
      <c r="C89">
        <v>110635</v>
      </c>
      <c r="D89" t="s">
        <v>63</v>
      </c>
      <c r="E89" t="s">
        <v>25</v>
      </c>
      <c r="G89" s="6">
        <v>9448</v>
      </c>
    </row>
    <row r="90" spans="1:7" x14ac:dyDescent="0.2">
      <c r="A90">
        <v>2017</v>
      </c>
      <c r="B90">
        <f>IF(ISBLANK(E90),"",VLOOKUP(E90,Code!B:C,2,FALSE))</f>
        <v>9</v>
      </c>
      <c r="C90">
        <v>110635</v>
      </c>
      <c r="D90" t="s">
        <v>63</v>
      </c>
      <c r="E90" t="s">
        <v>3</v>
      </c>
      <c r="F90" s="6">
        <v>84044</v>
      </c>
      <c r="G90" s="6">
        <v>6661</v>
      </c>
    </row>
    <row r="91" spans="1:7" x14ac:dyDescent="0.2">
      <c r="A91">
        <v>2017</v>
      </c>
      <c r="B91">
        <f>IF(ISBLANK(E91),"",VLOOKUP(E91,Code!B:C,2,FALSE))</f>
        <v>10</v>
      </c>
      <c r="C91">
        <v>110635</v>
      </c>
      <c r="D91" t="s">
        <v>63</v>
      </c>
      <c r="E91" t="s">
        <v>4</v>
      </c>
      <c r="F91" s="6">
        <v>2419</v>
      </c>
      <c r="G91" s="6">
        <v>4814</v>
      </c>
    </row>
    <row r="92" spans="1:7" x14ac:dyDescent="0.2">
      <c r="A92">
        <v>2017</v>
      </c>
      <c r="B92">
        <f>IF(ISBLANK(E92),"",VLOOKUP(E92,Code!B:C,2,FALSE))</f>
        <v>12</v>
      </c>
      <c r="C92">
        <v>110635</v>
      </c>
      <c r="D92" t="s">
        <v>63</v>
      </c>
      <c r="E92" t="s">
        <v>27</v>
      </c>
      <c r="G92" s="6">
        <v>2364</v>
      </c>
    </row>
    <row r="93" spans="1:7" x14ac:dyDescent="0.2">
      <c r="A93">
        <v>2017</v>
      </c>
      <c r="B93">
        <f>IF(ISBLANK(E93),"",VLOOKUP(E93,Code!B:C,2,FALSE))</f>
        <v>14</v>
      </c>
      <c r="C93">
        <v>110635</v>
      </c>
      <c r="D93" t="s">
        <v>63</v>
      </c>
      <c r="E93" t="s">
        <v>29</v>
      </c>
      <c r="G93" s="6">
        <v>12452</v>
      </c>
    </row>
    <row r="94" spans="1:7" x14ac:dyDescent="0.2">
      <c r="A94">
        <v>2017</v>
      </c>
      <c r="B94">
        <f>IF(ISBLANK(E94),"",VLOOKUP(E94,Code!B:C,2,FALSE))</f>
        <v>17</v>
      </c>
      <c r="C94">
        <v>110635</v>
      </c>
      <c r="D94" t="s">
        <v>63</v>
      </c>
      <c r="E94" t="s">
        <v>5</v>
      </c>
      <c r="F94" s="6">
        <v>14360</v>
      </c>
      <c r="G94" s="6">
        <v>16976</v>
      </c>
    </row>
    <row r="95" spans="1:7" x14ac:dyDescent="0.2">
      <c r="A95">
        <v>2017</v>
      </c>
      <c r="B95">
        <f>IF(ISBLANK(E95),"",VLOOKUP(E95,Code!B:C,2,FALSE))</f>
        <v>18</v>
      </c>
      <c r="C95">
        <v>110635</v>
      </c>
      <c r="D95" t="s">
        <v>63</v>
      </c>
      <c r="E95" t="s">
        <v>6</v>
      </c>
      <c r="G95" s="6">
        <v>8643</v>
      </c>
    </row>
    <row r="96" spans="1:7" x14ac:dyDescent="0.2">
      <c r="A96">
        <v>2017</v>
      </c>
      <c r="B96">
        <f>IF(ISBLANK(E96),"",VLOOKUP(E96,Code!B:C,2,FALSE))</f>
        <v>19</v>
      </c>
      <c r="C96">
        <v>110635</v>
      </c>
      <c r="D96" t="s">
        <v>63</v>
      </c>
      <c r="E96" t="s">
        <v>7</v>
      </c>
      <c r="F96" s="6">
        <v>26761</v>
      </c>
      <c r="G96" s="6">
        <v>24725</v>
      </c>
    </row>
    <row r="97" spans="1:7" x14ac:dyDescent="0.2">
      <c r="A97">
        <v>2017</v>
      </c>
      <c r="B97">
        <f>IF(ISBLANK(E97),"",VLOOKUP(E97,Code!B:C,2,FALSE))</f>
        <v>20</v>
      </c>
      <c r="C97">
        <v>110635</v>
      </c>
      <c r="D97" t="s">
        <v>63</v>
      </c>
      <c r="E97" t="s">
        <v>8</v>
      </c>
      <c r="F97" s="6">
        <v>13666</v>
      </c>
      <c r="G97" s="6">
        <v>10364</v>
      </c>
    </row>
    <row r="98" spans="1:7" x14ac:dyDescent="0.2">
      <c r="A98">
        <v>2017</v>
      </c>
      <c r="B98">
        <f>IF(ISBLANK(E98),"",VLOOKUP(E98,Code!B:C,2,FALSE))</f>
        <v>21</v>
      </c>
      <c r="C98">
        <v>110635</v>
      </c>
      <c r="D98" t="s">
        <v>63</v>
      </c>
      <c r="E98" t="s">
        <v>36</v>
      </c>
      <c r="F98" s="6">
        <v>3093</v>
      </c>
      <c r="G98" s="6">
        <v>3183</v>
      </c>
    </row>
    <row r="99" spans="1:7" x14ac:dyDescent="0.2">
      <c r="A99">
        <v>2017</v>
      </c>
      <c r="B99">
        <f>IF(ISBLANK(E99),"",VLOOKUP(E99,Code!B:C,2,FALSE))</f>
        <v>23</v>
      </c>
      <c r="C99">
        <v>110635</v>
      </c>
      <c r="D99" t="s">
        <v>63</v>
      </c>
      <c r="E99" t="s">
        <v>10</v>
      </c>
      <c r="G99" s="6">
        <v>18691</v>
      </c>
    </row>
    <row r="100" spans="1:7" x14ac:dyDescent="0.2">
      <c r="A100">
        <v>2017</v>
      </c>
      <c r="B100">
        <f>IF(ISBLANK(E100),"",VLOOKUP(E100,Code!B:C,2,FALSE))</f>
        <v>24</v>
      </c>
      <c r="C100">
        <v>110635</v>
      </c>
      <c r="D100" t="s">
        <v>63</v>
      </c>
      <c r="E100" t="s">
        <v>34</v>
      </c>
      <c r="F100" s="6">
        <v>19151</v>
      </c>
      <c r="G100" s="6">
        <v>16268</v>
      </c>
    </row>
    <row r="101" spans="1:7" x14ac:dyDescent="0.2">
      <c r="A101">
        <v>2018</v>
      </c>
      <c r="B101">
        <f>IF(ISBLANK(E101),"",VLOOKUP(E101,Code!B:C,2,FALSE))</f>
        <v>1</v>
      </c>
      <c r="C101">
        <v>110635</v>
      </c>
      <c r="D101" t="s">
        <v>63</v>
      </c>
      <c r="E101" t="s">
        <v>0</v>
      </c>
      <c r="F101" s="6">
        <v>9036</v>
      </c>
    </row>
    <row r="102" spans="1:7" x14ac:dyDescent="0.2">
      <c r="A102">
        <v>2018</v>
      </c>
      <c r="B102">
        <f>IF(ISBLANK(E102),"",VLOOKUP(E102,Code!B:C,2,FALSE))</f>
        <v>2</v>
      </c>
      <c r="C102">
        <v>110635</v>
      </c>
      <c r="D102" t="s">
        <v>63</v>
      </c>
      <c r="E102" t="s">
        <v>1</v>
      </c>
      <c r="F102" s="6">
        <v>253154</v>
      </c>
      <c r="G102" s="6">
        <v>54470</v>
      </c>
    </row>
    <row r="103" spans="1:7" x14ac:dyDescent="0.2">
      <c r="A103">
        <v>2018</v>
      </c>
      <c r="B103">
        <f>IF(ISBLANK(E103),"",VLOOKUP(E103,Code!B:C,2,FALSE))</f>
        <v>8</v>
      </c>
      <c r="C103">
        <v>110635</v>
      </c>
      <c r="D103" t="s">
        <v>63</v>
      </c>
      <c r="E103" t="s">
        <v>2</v>
      </c>
      <c r="F103" s="6">
        <v>896192</v>
      </c>
    </row>
    <row r="104" spans="1:7" x14ac:dyDescent="0.2">
      <c r="A104">
        <v>2018</v>
      </c>
      <c r="B104">
        <f>IF(ISBLANK(E104),"",VLOOKUP(E104,Code!B:C,2,FALSE))</f>
        <v>10</v>
      </c>
      <c r="C104">
        <v>110635</v>
      </c>
      <c r="D104" t="s">
        <v>63</v>
      </c>
      <c r="E104" t="s">
        <v>4</v>
      </c>
      <c r="F104" s="6">
        <v>1827</v>
      </c>
      <c r="G104" s="6">
        <v>1864</v>
      </c>
    </row>
    <row r="105" spans="1:7" x14ac:dyDescent="0.2">
      <c r="A105">
        <v>2018</v>
      </c>
      <c r="B105">
        <f>IF(ISBLANK(E105),"",VLOOKUP(E105,Code!B:C,2,FALSE))</f>
        <v>3</v>
      </c>
      <c r="C105">
        <v>110635</v>
      </c>
      <c r="D105" t="s">
        <v>63</v>
      </c>
      <c r="E105" t="s">
        <v>21</v>
      </c>
      <c r="G105" s="6">
        <v>5756</v>
      </c>
    </row>
    <row r="106" spans="1:7" x14ac:dyDescent="0.2">
      <c r="A106">
        <v>2018</v>
      </c>
      <c r="B106">
        <f>IF(ISBLANK(E106),"",VLOOKUP(E106,Code!B:C,2,FALSE))</f>
        <v>7</v>
      </c>
      <c r="C106">
        <v>110635</v>
      </c>
      <c r="D106" t="s">
        <v>63</v>
      </c>
      <c r="E106" t="s">
        <v>25</v>
      </c>
      <c r="G106" s="6">
        <v>10539</v>
      </c>
    </row>
    <row r="107" spans="1:7" x14ac:dyDescent="0.2">
      <c r="A107">
        <v>2018</v>
      </c>
      <c r="B107">
        <f>IF(ISBLANK(E107),"",VLOOKUP(E107,Code!B:C,2,FALSE))</f>
        <v>9</v>
      </c>
      <c r="C107">
        <v>110635</v>
      </c>
      <c r="D107" t="s">
        <v>63</v>
      </c>
      <c r="E107" t="s">
        <v>3</v>
      </c>
      <c r="F107" s="6">
        <v>118733</v>
      </c>
      <c r="G107" s="6">
        <v>13441</v>
      </c>
    </row>
    <row r="108" spans="1:7" x14ac:dyDescent="0.2">
      <c r="A108">
        <v>2018</v>
      </c>
      <c r="B108">
        <f>IF(ISBLANK(E108),"",VLOOKUP(E108,Code!B:C,2,FALSE))</f>
        <v>12</v>
      </c>
      <c r="C108">
        <v>110635</v>
      </c>
      <c r="D108" t="s">
        <v>63</v>
      </c>
      <c r="E108" t="s">
        <v>27</v>
      </c>
      <c r="G108" s="6">
        <v>11881</v>
      </c>
    </row>
    <row r="109" spans="1:7" x14ac:dyDescent="0.2">
      <c r="A109">
        <v>2018</v>
      </c>
      <c r="B109">
        <f>IF(ISBLANK(E109),"",VLOOKUP(E109,Code!B:C,2,FALSE))</f>
        <v>14</v>
      </c>
      <c r="C109">
        <v>110635</v>
      </c>
      <c r="D109" t="s">
        <v>63</v>
      </c>
      <c r="E109" t="s">
        <v>29</v>
      </c>
      <c r="G109" s="6">
        <v>8032</v>
      </c>
    </row>
    <row r="110" spans="1:7" x14ac:dyDescent="0.2">
      <c r="A110">
        <v>2018</v>
      </c>
      <c r="B110">
        <f>IF(ISBLANK(E110),"",VLOOKUP(E110,Code!B:C,2,FALSE))</f>
        <v>17</v>
      </c>
      <c r="C110">
        <v>110635</v>
      </c>
      <c r="D110" t="s">
        <v>63</v>
      </c>
      <c r="E110" t="s">
        <v>5</v>
      </c>
      <c r="F110" s="6">
        <v>12020</v>
      </c>
      <c r="G110" s="6">
        <v>9093</v>
      </c>
    </row>
    <row r="111" spans="1:7" x14ac:dyDescent="0.2">
      <c r="A111">
        <v>2018</v>
      </c>
      <c r="B111">
        <f>IF(ISBLANK(E111),"",VLOOKUP(E111,Code!B:C,2,FALSE))</f>
        <v>18</v>
      </c>
      <c r="C111">
        <v>110635</v>
      </c>
      <c r="D111" t="s">
        <v>63</v>
      </c>
      <c r="E111" t="s">
        <v>6</v>
      </c>
      <c r="G111" s="6">
        <v>14459</v>
      </c>
    </row>
    <row r="112" spans="1:7" x14ac:dyDescent="0.2">
      <c r="A112">
        <v>2018</v>
      </c>
      <c r="B112">
        <f>IF(ISBLANK(E112),"",VLOOKUP(E112,Code!B:C,2,FALSE))</f>
        <v>19</v>
      </c>
      <c r="C112">
        <v>110635</v>
      </c>
      <c r="D112" t="s">
        <v>63</v>
      </c>
      <c r="E112" t="s">
        <v>7</v>
      </c>
      <c r="F112" s="6">
        <v>12770</v>
      </c>
      <c r="G112" s="6">
        <v>16581</v>
      </c>
    </row>
    <row r="113" spans="1:7" x14ac:dyDescent="0.2">
      <c r="A113">
        <v>2018</v>
      </c>
      <c r="B113">
        <f>IF(ISBLANK(E113),"",VLOOKUP(E113,Code!B:C,2,FALSE))</f>
        <v>20</v>
      </c>
      <c r="C113">
        <v>110635</v>
      </c>
      <c r="D113" t="s">
        <v>63</v>
      </c>
      <c r="E113" t="s">
        <v>8</v>
      </c>
      <c r="F113" s="6">
        <v>10206</v>
      </c>
      <c r="G113" s="6">
        <v>3390</v>
      </c>
    </row>
    <row r="114" spans="1:7" x14ac:dyDescent="0.2">
      <c r="A114">
        <v>2018</v>
      </c>
      <c r="B114">
        <f>IF(ISBLANK(E114),"",VLOOKUP(E114,Code!B:C,2,FALSE))</f>
        <v>21</v>
      </c>
      <c r="C114">
        <v>110635</v>
      </c>
      <c r="D114" t="s">
        <v>63</v>
      </c>
      <c r="E114" t="s">
        <v>36</v>
      </c>
      <c r="F114" s="6">
        <v>3692</v>
      </c>
      <c r="G114" s="6">
        <v>3692</v>
      </c>
    </row>
    <row r="115" spans="1:7" x14ac:dyDescent="0.2">
      <c r="A115">
        <v>2018</v>
      </c>
      <c r="B115">
        <f>IF(ISBLANK(E115),"",VLOOKUP(E115,Code!B:C,2,FALSE))</f>
        <v>23</v>
      </c>
      <c r="C115">
        <v>110635</v>
      </c>
      <c r="D115" t="s">
        <v>63</v>
      </c>
      <c r="E115" t="s">
        <v>10</v>
      </c>
      <c r="G115" s="6">
        <v>9334</v>
      </c>
    </row>
    <row r="116" spans="1:7" x14ac:dyDescent="0.2">
      <c r="A116">
        <v>2018</v>
      </c>
      <c r="B116">
        <f>IF(ISBLANK(E116),"",VLOOKUP(E116,Code!B:C,2,FALSE))</f>
        <v>24</v>
      </c>
      <c r="C116">
        <v>110635</v>
      </c>
      <c r="D116" t="s">
        <v>63</v>
      </c>
      <c r="E116" t="s">
        <v>34</v>
      </c>
      <c r="F116" s="6">
        <v>5216</v>
      </c>
      <c r="G116" s="6">
        <v>3919</v>
      </c>
    </row>
    <row r="117" spans="1:7" x14ac:dyDescent="0.2">
      <c r="A117">
        <v>2019</v>
      </c>
      <c r="B117">
        <f>IF(ISBLANK(E117),"",VLOOKUP(E117,Code!B:C,2,FALSE))</f>
        <v>1</v>
      </c>
      <c r="C117">
        <v>110635</v>
      </c>
      <c r="D117" t="s">
        <v>63</v>
      </c>
      <c r="E117" t="s">
        <v>0</v>
      </c>
      <c r="F117" s="6">
        <v>7440</v>
      </c>
    </row>
    <row r="118" spans="1:7" x14ac:dyDescent="0.2">
      <c r="A118">
        <v>2019</v>
      </c>
      <c r="B118">
        <f>IF(ISBLANK(E118),"",VLOOKUP(E118,Code!B:C,2,FALSE))</f>
        <v>2</v>
      </c>
      <c r="C118">
        <v>110635</v>
      </c>
      <c r="D118" t="s">
        <v>63</v>
      </c>
      <c r="E118" t="s">
        <v>1</v>
      </c>
      <c r="F118" s="6">
        <v>160129</v>
      </c>
      <c r="G118" s="6">
        <v>82801</v>
      </c>
    </row>
    <row r="119" spans="1:7" x14ac:dyDescent="0.2">
      <c r="A119">
        <v>2019</v>
      </c>
      <c r="B119">
        <f>IF(ISBLANK(E119),"",VLOOKUP(E119,Code!B:C,2,FALSE))</f>
        <v>8</v>
      </c>
      <c r="C119">
        <v>110635</v>
      </c>
      <c r="D119" t="s">
        <v>63</v>
      </c>
      <c r="E119" t="s">
        <v>2</v>
      </c>
      <c r="F119" s="6">
        <v>973548</v>
      </c>
    </row>
    <row r="120" spans="1:7" x14ac:dyDescent="0.2">
      <c r="A120">
        <v>2019</v>
      </c>
      <c r="B120">
        <f>IF(ISBLANK(E120),"",VLOOKUP(E120,Code!B:C,2,FALSE))</f>
        <v>3</v>
      </c>
      <c r="C120">
        <v>110635</v>
      </c>
      <c r="D120" t="s">
        <v>63</v>
      </c>
      <c r="E120" t="s">
        <v>21</v>
      </c>
      <c r="G120" s="6">
        <v>2118</v>
      </c>
    </row>
    <row r="121" spans="1:7" x14ac:dyDescent="0.2">
      <c r="A121">
        <v>2019</v>
      </c>
      <c r="B121">
        <f>IF(ISBLANK(E121),"",VLOOKUP(E121,Code!B:C,2,FALSE))</f>
        <v>7</v>
      </c>
      <c r="C121">
        <v>110635</v>
      </c>
      <c r="D121" t="s">
        <v>63</v>
      </c>
      <c r="E121" t="s">
        <v>25</v>
      </c>
      <c r="G121" s="6">
        <v>8261</v>
      </c>
    </row>
    <row r="122" spans="1:7" x14ac:dyDescent="0.2">
      <c r="A122">
        <v>2019</v>
      </c>
      <c r="B122">
        <f>IF(ISBLANK(E122),"",VLOOKUP(E122,Code!B:C,2,FALSE))</f>
        <v>9</v>
      </c>
      <c r="C122">
        <v>110635</v>
      </c>
      <c r="D122" t="s">
        <v>63</v>
      </c>
      <c r="E122" t="s">
        <v>3</v>
      </c>
      <c r="F122" s="6">
        <v>83627</v>
      </c>
      <c r="G122" s="6">
        <v>7919</v>
      </c>
    </row>
    <row r="123" spans="1:7" x14ac:dyDescent="0.2">
      <c r="A123">
        <v>2019</v>
      </c>
      <c r="B123">
        <f>IF(ISBLANK(E123),"",VLOOKUP(E123,Code!B:C,2,FALSE))</f>
        <v>10</v>
      </c>
      <c r="C123">
        <v>110635</v>
      </c>
      <c r="D123" t="s">
        <v>63</v>
      </c>
      <c r="E123" t="s">
        <v>4</v>
      </c>
      <c r="F123" s="6">
        <v>5602</v>
      </c>
      <c r="G123" s="6">
        <v>40391</v>
      </c>
    </row>
    <row r="124" spans="1:7" x14ac:dyDescent="0.2">
      <c r="A124">
        <v>2019</v>
      </c>
      <c r="B124">
        <f>IF(ISBLANK(E124),"",VLOOKUP(E124,Code!B:C,2,FALSE))</f>
        <v>12</v>
      </c>
      <c r="C124">
        <v>110635</v>
      </c>
      <c r="D124" t="s">
        <v>63</v>
      </c>
      <c r="E124" t="s">
        <v>27</v>
      </c>
      <c r="G124" s="6">
        <v>13034</v>
      </c>
    </row>
    <row r="125" spans="1:7" x14ac:dyDescent="0.2">
      <c r="A125">
        <v>2019</v>
      </c>
      <c r="B125">
        <f>IF(ISBLANK(E125),"",VLOOKUP(E125,Code!B:C,2,FALSE))</f>
        <v>14</v>
      </c>
      <c r="C125">
        <v>110635</v>
      </c>
      <c r="D125" t="s">
        <v>63</v>
      </c>
      <c r="E125" t="s">
        <v>29</v>
      </c>
      <c r="G125" s="6">
        <v>5914</v>
      </c>
    </row>
    <row r="126" spans="1:7" x14ac:dyDescent="0.2">
      <c r="A126">
        <v>2019</v>
      </c>
      <c r="B126">
        <f>IF(ISBLANK(E126),"",VLOOKUP(E126,Code!B:C,2,FALSE))</f>
        <v>17</v>
      </c>
      <c r="C126">
        <v>110635</v>
      </c>
      <c r="D126" t="s">
        <v>63</v>
      </c>
      <c r="E126" t="s">
        <v>5</v>
      </c>
      <c r="F126" s="6">
        <v>26627</v>
      </c>
      <c r="G126" s="6">
        <v>4327</v>
      </c>
    </row>
    <row r="127" spans="1:7" x14ac:dyDescent="0.2">
      <c r="A127">
        <v>2019</v>
      </c>
      <c r="B127">
        <f>IF(ISBLANK(E127),"",VLOOKUP(E127,Code!B:C,2,FALSE))</f>
        <v>18</v>
      </c>
      <c r="C127">
        <v>110635</v>
      </c>
      <c r="D127" t="s">
        <v>63</v>
      </c>
      <c r="E127" t="s">
        <v>6</v>
      </c>
      <c r="G127" s="6">
        <v>18746</v>
      </c>
    </row>
    <row r="128" spans="1:7" x14ac:dyDescent="0.2">
      <c r="A128">
        <v>2019</v>
      </c>
      <c r="B128">
        <f>IF(ISBLANK(E128),"",VLOOKUP(E128,Code!B:C,2,FALSE))</f>
        <v>19</v>
      </c>
      <c r="C128">
        <v>110635</v>
      </c>
      <c r="D128" t="s">
        <v>63</v>
      </c>
      <c r="E128" t="s">
        <v>7</v>
      </c>
      <c r="F128" s="6">
        <v>120970</v>
      </c>
      <c r="G128" s="6">
        <v>11789</v>
      </c>
    </row>
    <row r="129" spans="1:7" x14ac:dyDescent="0.2">
      <c r="A129">
        <v>2019</v>
      </c>
      <c r="B129">
        <f>IF(ISBLANK(E129),"",VLOOKUP(E129,Code!B:C,2,FALSE))</f>
        <v>20</v>
      </c>
      <c r="C129">
        <v>110635</v>
      </c>
      <c r="D129" t="s">
        <v>63</v>
      </c>
      <c r="E129" t="s">
        <v>8</v>
      </c>
      <c r="F129" s="6">
        <v>30702</v>
      </c>
      <c r="G129" s="6">
        <v>2510</v>
      </c>
    </row>
    <row r="130" spans="1:7" x14ac:dyDescent="0.2">
      <c r="A130">
        <v>2019</v>
      </c>
      <c r="B130">
        <f>IF(ISBLANK(E130),"",VLOOKUP(E130,Code!B:C,2,FALSE))</f>
        <v>21</v>
      </c>
      <c r="C130">
        <v>110635</v>
      </c>
      <c r="D130" t="s">
        <v>63</v>
      </c>
      <c r="E130" t="s">
        <v>36</v>
      </c>
      <c r="F130" s="6">
        <v>4995</v>
      </c>
      <c r="G130" s="6">
        <v>4995</v>
      </c>
    </row>
    <row r="131" spans="1:7" x14ac:dyDescent="0.2">
      <c r="A131">
        <v>2019</v>
      </c>
      <c r="B131">
        <f>IF(ISBLANK(E131),"",VLOOKUP(E131,Code!B:C,2,FALSE))</f>
        <v>23</v>
      </c>
      <c r="C131">
        <v>110635</v>
      </c>
      <c r="D131" t="s">
        <v>63</v>
      </c>
      <c r="E131" t="s">
        <v>10</v>
      </c>
      <c r="G131" s="6">
        <v>15549</v>
      </c>
    </row>
    <row r="132" spans="1:7" x14ac:dyDescent="0.2">
      <c r="A132">
        <v>2019</v>
      </c>
      <c r="B132">
        <f>IF(ISBLANK(E132),"",VLOOKUP(E132,Code!B:C,2,FALSE))</f>
        <v>24</v>
      </c>
      <c r="C132">
        <v>110635</v>
      </c>
      <c r="D132" t="s">
        <v>63</v>
      </c>
      <c r="E132" t="s">
        <v>34</v>
      </c>
      <c r="F132" s="6">
        <v>5250</v>
      </c>
      <c r="G132" s="6">
        <v>4212</v>
      </c>
    </row>
    <row r="133" spans="1:7" x14ac:dyDescent="0.2">
      <c r="A133">
        <v>2020</v>
      </c>
      <c r="B133">
        <f>IF(ISBLANK(E133),"",VLOOKUP(E133,Code!B:C,2,FALSE))</f>
        <v>1</v>
      </c>
      <c r="C133">
        <v>110635</v>
      </c>
      <c r="D133" t="s">
        <v>63</v>
      </c>
      <c r="E133" t="s">
        <v>0</v>
      </c>
      <c r="F133" s="6">
        <v>5990</v>
      </c>
    </row>
    <row r="134" spans="1:7" x14ac:dyDescent="0.2">
      <c r="A134">
        <v>2020</v>
      </c>
      <c r="B134">
        <f>IF(ISBLANK(E134),"",VLOOKUP(E134,Code!B:C,2,FALSE))</f>
        <v>2</v>
      </c>
      <c r="C134">
        <v>110635</v>
      </c>
      <c r="D134" t="s">
        <v>63</v>
      </c>
      <c r="E134" t="s">
        <v>1</v>
      </c>
      <c r="F134" s="6">
        <v>122682</v>
      </c>
      <c r="G134" s="6">
        <v>44667</v>
      </c>
    </row>
    <row r="135" spans="1:7" x14ac:dyDescent="0.2">
      <c r="A135">
        <v>2020</v>
      </c>
      <c r="B135">
        <f>IF(ISBLANK(E135),"",VLOOKUP(E135,Code!B:C,2,FALSE))</f>
        <v>8</v>
      </c>
      <c r="C135">
        <v>110635</v>
      </c>
      <c r="D135" t="s">
        <v>63</v>
      </c>
      <c r="E135" t="s">
        <v>2</v>
      </c>
      <c r="F135" s="6">
        <v>752901</v>
      </c>
    </row>
    <row r="136" spans="1:7" x14ac:dyDescent="0.2">
      <c r="A136">
        <v>2020</v>
      </c>
      <c r="B136">
        <f>IF(ISBLANK(E136),"",VLOOKUP(E136,Code!B:C,2,FALSE))</f>
        <v>10</v>
      </c>
      <c r="C136">
        <v>110635</v>
      </c>
      <c r="D136" t="s">
        <v>63</v>
      </c>
      <c r="E136" t="s">
        <v>4</v>
      </c>
      <c r="F136" s="6">
        <v>3859</v>
      </c>
      <c r="G136" s="6">
        <v>24600</v>
      </c>
    </row>
    <row r="137" spans="1:7" x14ac:dyDescent="0.2">
      <c r="A137">
        <v>2020</v>
      </c>
      <c r="B137">
        <f>IF(ISBLANK(E137),"",VLOOKUP(E137,Code!B:C,2,FALSE))</f>
        <v>3</v>
      </c>
      <c r="C137">
        <v>110635</v>
      </c>
      <c r="D137" t="s">
        <v>63</v>
      </c>
      <c r="E137" t="s">
        <v>21</v>
      </c>
      <c r="G137" s="6">
        <v>1481</v>
      </c>
    </row>
    <row r="138" spans="1:7" x14ac:dyDescent="0.2">
      <c r="A138">
        <v>2020</v>
      </c>
      <c r="B138">
        <f>IF(ISBLANK(E138),"",VLOOKUP(E138,Code!B:C,2,FALSE))</f>
        <v>7</v>
      </c>
      <c r="C138">
        <v>110635</v>
      </c>
      <c r="D138" t="s">
        <v>63</v>
      </c>
      <c r="E138" t="s">
        <v>25</v>
      </c>
      <c r="G138" s="6">
        <v>7240</v>
      </c>
    </row>
    <row r="139" spans="1:7" x14ac:dyDescent="0.2">
      <c r="A139">
        <v>2020</v>
      </c>
      <c r="B139">
        <f>IF(ISBLANK(E139),"",VLOOKUP(E139,Code!B:C,2,FALSE))</f>
        <v>9</v>
      </c>
      <c r="C139">
        <v>110635</v>
      </c>
      <c r="D139" t="s">
        <v>63</v>
      </c>
      <c r="E139" t="s">
        <v>3</v>
      </c>
      <c r="F139" s="6">
        <v>68775</v>
      </c>
      <c r="G139" s="6">
        <v>6620</v>
      </c>
    </row>
    <row r="140" spans="1:7" x14ac:dyDescent="0.2">
      <c r="A140">
        <v>2020</v>
      </c>
      <c r="B140">
        <f>IF(ISBLANK(E140),"",VLOOKUP(E140,Code!B:C,2,FALSE))</f>
        <v>12</v>
      </c>
      <c r="C140">
        <v>110635</v>
      </c>
      <c r="D140" t="s">
        <v>63</v>
      </c>
      <c r="E140" t="s">
        <v>27</v>
      </c>
      <c r="G140" s="6">
        <v>17333</v>
      </c>
    </row>
    <row r="141" spans="1:7" x14ac:dyDescent="0.2">
      <c r="A141">
        <v>2020</v>
      </c>
      <c r="B141">
        <f>IF(ISBLANK(E141),"",VLOOKUP(E141,Code!B:C,2,FALSE))</f>
        <v>14</v>
      </c>
      <c r="C141">
        <v>110635</v>
      </c>
      <c r="D141" t="s">
        <v>63</v>
      </c>
      <c r="E141" t="s">
        <v>29</v>
      </c>
      <c r="G141" s="6">
        <v>1204</v>
      </c>
    </row>
    <row r="142" spans="1:7" x14ac:dyDescent="0.2">
      <c r="A142">
        <v>2020</v>
      </c>
      <c r="B142">
        <f>IF(ISBLANK(E142),"",VLOOKUP(E142,Code!B:C,2,FALSE))</f>
        <v>17</v>
      </c>
      <c r="C142">
        <v>110635</v>
      </c>
      <c r="D142" t="s">
        <v>63</v>
      </c>
      <c r="E142" t="s">
        <v>5</v>
      </c>
      <c r="F142" s="6">
        <v>11076</v>
      </c>
      <c r="G142" s="6">
        <v>5749</v>
      </c>
    </row>
    <row r="143" spans="1:7" x14ac:dyDescent="0.2">
      <c r="A143">
        <v>2020</v>
      </c>
      <c r="B143">
        <f>IF(ISBLANK(E143),"",VLOOKUP(E143,Code!B:C,2,FALSE))</f>
        <v>18</v>
      </c>
      <c r="C143">
        <v>110635</v>
      </c>
      <c r="D143" t="s">
        <v>63</v>
      </c>
      <c r="E143" t="s">
        <v>6</v>
      </c>
      <c r="G143" s="6">
        <v>1810</v>
      </c>
    </row>
    <row r="144" spans="1:7" x14ac:dyDescent="0.2">
      <c r="A144">
        <v>2020</v>
      </c>
      <c r="B144">
        <f>IF(ISBLANK(E144),"",VLOOKUP(E144,Code!B:C,2,FALSE))</f>
        <v>19</v>
      </c>
      <c r="C144">
        <v>110635</v>
      </c>
      <c r="D144" t="s">
        <v>63</v>
      </c>
      <c r="E144" t="s">
        <v>7</v>
      </c>
      <c r="F144" s="6">
        <v>42179</v>
      </c>
      <c r="G144" s="6">
        <v>5973</v>
      </c>
    </row>
    <row r="145" spans="1:7" x14ac:dyDescent="0.2">
      <c r="A145">
        <v>2020</v>
      </c>
      <c r="B145">
        <f>IF(ISBLANK(E145),"",VLOOKUP(E145,Code!B:C,2,FALSE))</f>
        <v>20</v>
      </c>
      <c r="C145">
        <v>110635</v>
      </c>
      <c r="D145" t="s">
        <v>63</v>
      </c>
      <c r="E145" t="s">
        <v>8</v>
      </c>
      <c r="F145" s="6">
        <v>18021</v>
      </c>
    </row>
    <row r="146" spans="1:7" x14ac:dyDescent="0.2">
      <c r="A146">
        <v>2020</v>
      </c>
      <c r="B146">
        <f>IF(ISBLANK(E146),"",VLOOKUP(E146,Code!B:C,2,FALSE))</f>
        <v>21</v>
      </c>
      <c r="C146">
        <v>110635</v>
      </c>
      <c r="D146" t="s">
        <v>63</v>
      </c>
      <c r="E146" t="s">
        <v>36</v>
      </c>
      <c r="F146" s="6">
        <v>1566</v>
      </c>
      <c r="G146" s="6">
        <v>2253</v>
      </c>
    </row>
    <row r="147" spans="1:7" x14ac:dyDescent="0.2">
      <c r="A147">
        <v>2020</v>
      </c>
      <c r="B147">
        <f>IF(ISBLANK(E147),"",VLOOKUP(E147,Code!B:C,2,FALSE))</f>
        <v>23</v>
      </c>
      <c r="C147">
        <v>110635</v>
      </c>
      <c r="D147" t="s">
        <v>63</v>
      </c>
      <c r="E147" t="s">
        <v>10</v>
      </c>
      <c r="G147" s="6">
        <v>15074</v>
      </c>
    </row>
    <row r="148" spans="1:7" x14ac:dyDescent="0.2">
      <c r="A148">
        <v>2020</v>
      </c>
      <c r="B148">
        <f>IF(ISBLANK(E148),"",VLOOKUP(E148,Code!B:C,2,FALSE))</f>
        <v>24</v>
      </c>
      <c r="C148">
        <v>110635</v>
      </c>
      <c r="D148" t="s">
        <v>63</v>
      </c>
      <c r="E148" t="s">
        <v>34</v>
      </c>
      <c r="F148" s="6">
        <v>3372</v>
      </c>
      <c r="G148">
        <v>657</v>
      </c>
    </row>
    <row r="149" spans="1:7" x14ac:dyDescent="0.2">
      <c r="A149">
        <v>2021</v>
      </c>
      <c r="B149">
        <f>IF(ISBLANK(E149),"",VLOOKUP(E149,Code!B:C,2,FALSE))</f>
        <v>1</v>
      </c>
      <c r="C149">
        <v>110635</v>
      </c>
      <c r="D149" t="s">
        <v>63</v>
      </c>
      <c r="E149" t="s">
        <v>0</v>
      </c>
      <c r="F149" s="6">
        <v>131932</v>
      </c>
    </row>
    <row r="150" spans="1:7" x14ac:dyDescent="0.2">
      <c r="A150">
        <v>2021</v>
      </c>
      <c r="B150">
        <f>IF(ISBLANK(E150),"",VLOOKUP(E150,Code!B:C,2,FALSE))</f>
        <v>2</v>
      </c>
      <c r="C150">
        <v>110635</v>
      </c>
      <c r="D150" t="s">
        <v>63</v>
      </c>
      <c r="E150" t="s">
        <v>1</v>
      </c>
      <c r="F150" s="6">
        <v>10980</v>
      </c>
    </row>
    <row r="151" spans="1:7" x14ac:dyDescent="0.2">
      <c r="A151">
        <v>2021</v>
      </c>
      <c r="B151">
        <f>IF(ISBLANK(E151),"",VLOOKUP(E151,Code!B:C,2,FALSE))</f>
        <v>8</v>
      </c>
      <c r="C151">
        <v>110635</v>
      </c>
      <c r="D151" t="s">
        <v>63</v>
      </c>
      <c r="E151" t="s">
        <v>2</v>
      </c>
      <c r="F151" s="6">
        <v>20026</v>
      </c>
    </row>
    <row r="152" spans="1:7" x14ac:dyDescent="0.2">
      <c r="A152">
        <v>2021</v>
      </c>
      <c r="B152">
        <f>IF(ISBLANK(E152),"",VLOOKUP(E152,Code!B:C,2,FALSE))</f>
        <v>3</v>
      </c>
      <c r="C152">
        <v>110635</v>
      </c>
      <c r="D152" t="s">
        <v>63</v>
      </c>
      <c r="E152" t="s">
        <v>21</v>
      </c>
    </row>
    <row r="153" spans="1:7" x14ac:dyDescent="0.2">
      <c r="A153">
        <v>2021</v>
      </c>
      <c r="B153">
        <f>IF(ISBLANK(E153),"",VLOOKUP(E153,Code!B:C,2,FALSE))</f>
        <v>7</v>
      </c>
      <c r="C153">
        <v>110635</v>
      </c>
      <c r="D153" t="s">
        <v>63</v>
      </c>
      <c r="E153" t="s">
        <v>25</v>
      </c>
    </row>
    <row r="154" spans="1:7" x14ac:dyDescent="0.2">
      <c r="A154">
        <v>2021</v>
      </c>
      <c r="B154">
        <f>IF(ISBLANK(E154),"",VLOOKUP(E154,Code!B:C,2,FALSE))</f>
        <v>9</v>
      </c>
      <c r="C154">
        <v>110635</v>
      </c>
      <c r="D154" t="s">
        <v>63</v>
      </c>
      <c r="E154" t="s">
        <v>3</v>
      </c>
      <c r="F154" s="6">
        <v>188400</v>
      </c>
      <c r="G154">
        <v>107</v>
      </c>
    </row>
    <row r="155" spans="1:7" x14ac:dyDescent="0.2">
      <c r="A155">
        <v>2021</v>
      </c>
      <c r="B155">
        <f>IF(ISBLANK(E155),"",VLOOKUP(E155,Code!B:C,2,FALSE))</f>
        <v>10</v>
      </c>
      <c r="C155">
        <v>110635</v>
      </c>
      <c r="D155" t="s">
        <v>63</v>
      </c>
      <c r="E155" t="s">
        <v>4</v>
      </c>
      <c r="F155" s="6">
        <v>1000</v>
      </c>
    </row>
    <row r="156" spans="1:7" x14ac:dyDescent="0.2">
      <c r="A156">
        <v>2021</v>
      </c>
      <c r="B156">
        <f>IF(ISBLANK(E156),"",VLOOKUP(E156,Code!B:C,2,FALSE))</f>
        <v>12</v>
      </c>
      <c r="C156">
        <v>110635</v>
      </c>
      <c r="D156" t="s">
        <v>63</v>
      </c>
      <c r="E156" t="s">
        <v>27</v>
      </c>
    </row>
    <row r="157" spans="1:7" x14ac:dyDescent="0.2">
      <c r="A157">
        <v>2021</v>
      </c>
      <c r="B157">
        <f>IF(ISBLANK(E157),"",VLOOKUP(E157,Code!B:C,2,FALSE))</f>
        <v>14</v>
      </c>
      <c r="C157">
        <v>110635</v>
      </c>
      <c r="D157" t="s">
        <v>63</v>
      </c>
      <c r="E157" t="s">
        <v>29</v>
      </c>
      <c r="G157" s="6">
        <v>1000</v>
      </c>
    </row>
    <row r="158" spans="1:7" x14ac:dyDescent="0.2">
      <c r="A158">
        <v>2021</v>
      </c>
      <c r="B158">
        <f>IF(ISBLANK(E158),"",VLOOKUP(E158,Code!B:C,2,FALSE))</f>
        <v>17</v>
      </c>
      <c r="C158">
        <v>110635</v>
      </c>
      <c r="D158" t="s">
        <v>63</v>
      </c>
      <c r="E158" t="s">
        <v>5</v>
      </c>
    </row>
    <row r="159" spans="1:7" x14ac:dyDescent="0.2">
      <c r="A159">
        <v>2021</v>
      </c>
      <c r="B159">
        <f>IF(ISBLANK(E159),"",VLOOKUP(E159,Code!B:C,2,FALSE))</f>
        <v>18</v>
      </c>
      <c r="C159">
        <v>110635</v>
      </c>
      <c r="D159" t="s">
        <v>63</v>
      </c>
      <c r="E159" t="s">
        <v>6</v>
      </c>
    </row>
    <row r="160" spans="1:7" x14ac:dyDescent="0.2">
      <c r="A160">
        <v>2021</v>
      </c>
      <c r="B160">
        <f>IF(ISBLANK(E160),"",VLOOKUP(E160,Code!B:C,2,FALSE))</f>
        <v>19</v>
      </c>
      <c r="C160">
        <v>110635</v>
      </c>
      <c r="D160" t="s">
        <v>63</v>
      </c>
      <c r="E160" t="s">
        <v>7</v>
      </c>
      <c r="G160">
        <v>418</v>
      </c>
    </row>
    <row r="161" spans="1:7" x14ac:dyDescent="0.2">
      <c r="A161">
        <v>2021</v>
      </c>
      <c r="B161">
        <f>IF(ISBLANK(E161),"",VLOOKUP(E161,Code!B:C,2,FALSE))</f>
        <v>20</v>
      </c>
      <c r="C161">
        <v>110635</v>
      </c>
      <c r="D161" t="s">
        <v>63</v>
      </c>
      <c r="E161" t="s">
        <v>8</v>
      </c>
    </row>
    <row r="162" spans="1:7" x14ac:dyDescent="0.2">
      <c r="A162">
        <v>2021</v>
      </c>
      <c r="B162">
        <f>IF(ISBLANK(E162),"",VLOOKUP(E162,Code!B:C,2,FALSE))</f>
        <v>21</v>
      </c>
      <c r="C162">
        <v>110635</v>
      </c>
      <c r="D162" t="s">
        <v>63</v>
      </c>
      <c r="E162" t="s">
        <v>36</v>
      </c>
    </row>
    <row r="163" spans="1:7" x14ac:dyDescent="0.2">
      <c r="A163">
        <v>2021</v>
      </c>
      <c r="B163">
        <f>IF(ISBLANK(E163),"",VLOOKUP(E163,Code!B:C,2,FALSE))</f>
        <v>23</v>
      </c>
      <c r="C163">
        <v>110635</v>
      </c>
      <c r="D163" t="s">
        <v>63</v>
      </c>
      <c r="E163" t="s">
        <v>10</v>
      </c>
      <c r="G163">
        <v>160</v>
      </c>
    </row>
    <row r="164" spans="1:7" x14ac:dyDescent="0.2">
      <c r="A164">
        <v>2021</v>
      </c>
      <c r="B164">
        <f>IF(ISBLANK(E164),"",VLOOKUP(E164,Code!B:C,2,FALSE))</f>
        <v>24</v>
      </c>
      <c r="C164">
        <v>110635</v>
      </c>
      <c r="D164" t="s">
        <v>63</v>
      </c>
      <c r="E164" t="s">
        <v>34</v>
      </c>
    </row>
    <row r="165" spans="1:7" x14ac:dyDescent="0.2">
      <c r="A165">
        <v>2022</v>
      </c>
      <c r="B165">
        <f>IF(ISBLANK(E165),"",VLOOKUP(E165,Code!B:C,2,FALSE))</f>
        <v>1</v>
      </c>
      <c r="C165">
        <v>110635</v>
      </c>
      <c r="D165" t="s">
        <v>63</v>
      </c>
      <c r="E165" t="s">
        <v>0</v>
      </c>
      <c r="F165" s="6">
        <v>34364</v>
      </c>
    </row>
    <row r="166" spans="1:7" x14ac:dyDescent="0.2">
      <c r="A166">
        <v>2022</v>
      </c>
      <c r="B166">
        <f>IF(ISBLANK(E166),"",VLOOKUP(E166,Code!B:C,2,FALSE))</f>
        <v>2</v>
      </c>
      <c r="C166">
        <v>110635</v>
      </c>
      <c r="D166" t="s">
        <v>63</v>
      </c>
      <c r="E166" t="s">
        <v>1</v>
      </c>
      <c r="F166" s="6">
        <v>23042</v>
      </c>
      <c r="G166" s="6">
        <v>12088</v>
      </c>
    </row>
    <row r="167" spans="1:7" x14ac:dyDescent="0.2">
      <c r="A167">
        <v>2022</v>
      </c>
      <c r="B167">
        <f>IF(ISBLANK(E167),"",VLOOKUP(E167,Code!B:C,2,FALSE))</f>
        <v>8</v>
      </c>
      <c r="C167">
        <v>110635</v>
      </c>
      <c r="D167" t="s">
        <v>63</v>
      </c>
      <c r="E167" t="s">
        <v>2</v>
      </c>
      <c r="F167" s="6">
        <v>822391</v>
      </c>
    </row>
    <row r="168" spans="1:7" x14ac:dyDescent="0.2">
      <c r="A168">
        <v>2022</v>
      </c>
      <c r="B168">
        <f>IF(ISBLANK(E168),"",VLOOKUP(E168,Code!B:C,2,FALSE))</f>
        <v>10</v>
      </c>
      <c r="C168">
        <v>110635</v>
      </c>
      <c r="D168" t="s">
        <v>63</v>
      </c>
      <c r="E168" t="s">
        <v>4</v>
      </c>
      <c r="F168">
        <v>459</v>
      </c>
      <c r="G168" s="6">
        <v>2141</v>
      </c>
    </row>
    <row r="169" spans="1:7" x14ac:dyDescent="0.2">
      <c r="A169">
        <v>2022</v>
      </c>
      <c r="B169">
        <f>IF(ISBLANK(E169),"",VLOOKUP(E169,Code!B:C,2,FALSE))</f>
        <v>3</v>
      </c>
      <c r="C169">
        <v>110635</v>
      </c>
      <c r="D169" t="s">
        <v>63</v>
      </c>
      <c r="E169" t="s">
        <v>21</v>
      </c>
      <c r="G169" s="6">
        <v>7171</v>
      </c>
    </row>
    <row r="170" spans="1:7" x14ac:dyDescent="0.2">
      <c r="A170">
        <v>2022</v>
      </c>
      <c r="B170">
        <f>IF(ISBLANK(E170),"",VLOOKUP(E170,Code!B:C,2,FALSE))</f>
        <v>7</v>
      </c>
      <c r="C170">
        <v>110635</v>
      </c>
      <c r="D170" t="s">
        <v>63</v>
      </c>
      <c r="E170" t="s">
        <v>25</v>
      </c>
    </row>
    <row r="171" spans="1:7" x14ac:dyDescent="0.2">
      <c r="A171">
        <v>2022</v>
      </c>
      <c r="B171">
        <f>IF(ISBLANK(E171),"",VLOOKUP(E171,Code!B:C,2,FALSE))</f>
        <v>9</v>
      </c>
      <c r="C171">
        <v>110635</v>
      </c>
      <c r="D171" t="s">
        <v>63</v>
      </c>
      <c r="E171" t="s">
        <v>3</v>
      </c>
      <c r="F171" s="6">
        <v>65780</v>
      </c>
      <c r="G171" s="6">
        <v>30085</v>
      </c>
    </row>
    <row r="172" spans="1:7" x14ac:dyDescent="0.2">
      <c r="A172">
        <v>2022</v>
      </c>
      <c r="B172">
        <f>IF(ISBLANK(E172),"",VLOOKUP(E172,Code!B:C,2,FALSE))</f>
        <v>12</v>
      </c>
      <c r="C172">
        <v>110635</v>
      </c>
      <c r="D172" t="s">
        <v>63</v>
      </c>
      <c r="E172" t="s">
        <v>27</v>
      </c>
      <c r="G172" s="6">
        <v>11398</v>
      </c>
    </row>
    <row r="173" spans="1:7" x14ac:dyDescent="0.2">
      <c r="A173">
        <v>2022</v>
      </c>
      <c r="B173">
        <f>IF(ISBLANK(E173),"",VLOOKUP(E173,Code!B:C,2,FALSE))</f>
        <v>14</v>
      </c>
      <c r="C173">
        <v>110635</v>
      </c>
      <c r="D173" t="s">
        <v>63</v>
      </c>
      <c r="E173" t="s">
        <v>29</v>
      </c>
      <c r="G173" s="6">
        <v>1861</v>
      </c>
    </row>
    <row r="174" spans="1:7" x14ac:dyDescent="0.2">
      <c r="A174">
        <v>2022</v>
      </c>
      <c r="B174">
        <f>IF(ISBLANK(E174),"",VLOOKUP(E174,Code!B:C,2,FALSE))</f>
        <v>17</v>
      </c>
      <c r="C174">
        <v>110635</v>
      </c>
      <c r="D174" t="s">
        <v>63</v>
      </c>
      <c r="E174" t="s">
        <v>5</v>
      </c>
    </row>
    <row r="175" spans="1:7" x14ac:dyDescent="0.2">
      <c r="A175">
        <v>2022</v>
      </c>
      <c r="B175">
        <f>IF(ISBLANK(E175),"",VLOOKUP(E175,Code!B:C,2,FALSE))</f>
        <v>18</v>
      </c>
      <c r="C175">
        <v>110635</v>
      </c>
      <c r="D175" t="s">
        <v>63</v>
      </c>
      <c r="E175" t="s">
        <v>6</v>
      </c>
      <c r="G175" s="6">
        <v>19284</v>
      </c>
    </row>
    <row r="176" spans="1:7" x14ac:dyDescent="0.2">
      <c r="A176">
        <v>2022</v>
      </c>
      <c r="B176">
        <f>IF(ISBLANK(E176),"",VLOOKUP(E176,Code!B:C,2,FALSE))</f>
        <v>19</v>
      </c>
      <c r="C176">
        <v>110635</v>
      </c>
      <c r="D176" t="s">
        <v>63</v>
      </c>
      <c r="E176" t="s">
        <v>7</v>
      </c>
      <c r="F176" s="6">
        <v>14741</v>
      </c>
      <c r="G176" s="6">
        <v>12415</v>
      </c>
    </row>
    <row r="177" spans="1:7" x14ac:dyDescent="0.2">
      <c r="A177">
        <v>2022</v>
      </c>
      <c r="B177">
        <f>IF(ISBLANK(E177),"",VLOOKUP(E177,Code!B:C,2,FALSE))</f>
        <v>20</v>
      </c>
      <c r="C177">
        <v>110635</v>
      </c>
      <c r="D177" t="s">
        <v>63</v>
      </c>
      <c r="E177" t="s">
        <v>8</v>
      </c>
    </row>
    <row r="178" spans="1:7" x14ac:dyDescent="0.2">
      <c r="A178">
        <v>2022</v>
      </c>
      <c r="B178">
        <f>IF(ISBLANK(E178),"",VLOOKUP(E178,Code!B:C,2,FALSE))</f>
        <v>21</v>
      </c>
      <c r="C178">
        <v>110635</v>
      </c>
      <c r="D178" t="s">
        <v>63</v>
      </c>
      <c r="E178" t="s">
        <v>36</v>
      </c>
      <c r="F178" s="6">
        <v>1295</v>
      </c>
      <c r="G178" s="6">
        <v>1243</v>
      </c>
    </row>
    <row r="179" spans="1:7" x14ac:dyDescent="0.2">
      <c r="A179">
        <v>2022</v>
      </c>
      <c r="B179">
        <f>IF(ISBLANK(E179),"",VLOOKUP(E179,Code!B:C,2,FALSE))</f>
        <v>23</v>
      </c>
      <c r="C179">
        <v>110635</v>
      </c>
      <c r="D179" t="s">
        <v>63</v>
      </c>
      <c r="E179" t="s">
        <v>10</v>
      </c>
      <c r="G179">
        <v>804</v>
      </c>
    </row>
    <row r="180" spans="1:7" x14ac:dyDescent="0.2">
      <c r="A180">
        <v>2022</v>
      </c>
      <c r="B180">
        <f>IF(ISBLANK(E180),"",VLOOKUP(E180,Code!B:C,2,FALSE))</f>
        <v>24</v>
      </c>
      <c r="C180">
        <v>110635</v>
      </c>
      <c r="D180" t="s">
        <v>63</v>
      </c>
      <c r="E180" t="s">
        <v>34</v>
      </c>
      <c r="F180" s="6">
        <v>20776</v>
      </c>
      <c r="G180">
        <v>144</v>
      </c>
    </row>
    <row r="181" spans="1:7" x14ac:dyDescent="0.2">
      <c r="A181">
        <v>2023</v>
      </c>
      <c r="B181">
        <f>IF(ISBLANK(E181),"",VLOOKUP(E181,Code!B:C,2,FALSE))</f>
        <v>1</v>
      </c>
      <c r="C181">
        <v>110635</v>
      </c>
      <c r="D181" t="s">
        <v>63</v>
      </c>
      <c r="E181" t="s">
        <v>0</v>
      </c>
      <c r="F181" s="6">
        <v>84522</v>
      </c>
    </row>
    <row r="182" spans="1:7" x14ac:dyDescent="0.2">
      <c r="A182">
        <v>2023</v>
      </c>
      <c r="B182">
        <f>IF(ISBLANK(E182),"",VLOOKUP(E182,Code!B:C,2,FALSE))</f>
        <v>2</v>
      </c>
      <c r="C182">
        <v>110635</v>
      </c>
      <c r="D182" t="s">
        <v>63</v>
      </c>
      <c r="E182" t="s">
        <v>1</v>
      </c>
      <c r="F182" s="6">
        <v>79708</v>
      </c>
      <c r="G182" s="6">
        <v>36413</v>
      </c>
    </row>
    <row r="183" spans="1:7" x14ac:dyDescent="0.2">
      <c r="A183">
        <v>2023</v>
      </c>
      <c r="B183">
        <f>IF(ISBLANK(E183),"",VLOOKUP(E183,Code!B:C,2,FALSE))</f>
        <v>8</v>
      </c>
      <c r="C183">
        <v>110635</v>
      </c>
      <c r="D183" t="s">
        <v>63</v>
      </c>
      <c r="E183" t="s">
        <v>2</v>
      </c>
      <c r="F183" s="6">
        <v>1232936</v>
      </c>
    </row>
    <row r="184" spans="1:7" x14ac:dyDescent="0.2">
      <c r="A184">
        <v>2023</v>
      </c>
      <c r="B184">
        <f>IF(ISBLANK(E184),"",VLOOKUP(E184,Code!B:C,2,FALSE))</f>
        <v>3</v>
      </c>
      <c r="C184">
        <v>110635</v>
      </c>
      <c r="D184" t="s">
        <v>63</v>
      </c>
      <c r="E184" t="s">
        <v>21</v>
      </c>
      <c r="G184" s="6">
        <v>6455</v>
      </c>
    </row>
    <row r="185" spans="1:7" x14ac:dyDescent="0.2">
      <c r="A185">
        <v>2023</v>
      </c>
      <c r="B185">
        <f>IF(ISBLANK(E185),"",VLOOKUP(E185,Code!B:C,2,FALSE))</f>
        <v>7</v>
      </c>
      <c r="C185">
        <v>110635</v>
      </c>
      <c r="D185" t="s">
        <v>63</v>
      </c>
      <c r="E185" t="s">
        <v>25</v>
      </c>
      <c r="G185" s="6">
        <v>2739</v>
      </c>
    </row>
    <row r="186" spans="1:7" x14ac:dyDescent="0.2">
      <c r="A186">
        <v>2023</v>
      </c>
      <c r="B186">
        <f>IF(ISBLANK(E186),"",VLOOKUP(E186,Code!B:C,2,FALSE))</f>
        <v>9</v>
      </c>
      <c r="C186">
        <v>110635</v>
      </c>
      <c r="D186" t="s">
        <v>63</v>
      </c>
      <c r="E186" t="s">
        <v>3</v>
      </c>
      <c r="F186" s="6">
        <v>138189</v>
      </c>
      <c r="G186" s="6">
        <v>7289</v>
      </c>
    </row>
    <row r="187" spans="1:7" x14ac:dyDescent="0.2">
      <c r="A187">
        <v>2023</v>
      </c>
      <c r="B187">
        <f>IF(ISBLANK(E187),"",VLOOKUP(E187,Code!B:C,2,FALSE))</f>
        <v>10</v>
      </c>
      <c r="C187">
        <v>110635</v>
      </c>
      <c r="D187" t="s">
        <v>63</v>
      </c>
      <c r="E187" t="s">
        <v>4</v>
      </c>
      <c r="F187">
        <v>133</v>
      </c>
      <c r="G187" s="6">
        <v>19419</v>
      </c>
    </row>
    <row r="188" spans="1:7" x14ac:dyDescent="0.2">
      <c r="A188">
        <v>2023</v>
      </c>
      <c r="B188">
        <f>IF(ISBLANK(E188),"",VLOOKUP(E188,Code!B:C,2,FALSE))</f>
        <v>12</v>
      </c>
      <c r="C188">
        <v>110635</v>
      </c>
      <c r="D188" t="s">
        <v>63</v>
      </c>
      <c r="E188" t="s">
        <v>27</v>
      </c>
      <c r="G188" s="6">
        <v>10868</v>
      </c>
    </row>
    <row r="189" spans="1:7" x14ac:dyDescent="0.2">
      <c r="A189">
        <v>2023</v>
      </c>
      <c r="B189">
        <f>IF(ISBLANK(E189),"",VLOOKUP(E189,Code!B:C,2,FALSE))</f>
        <v>14</v>
      </c>
      <c r="C189">
        <v>110635</v>
      </c>
      <c r="D189" t="s">
        <v>63</v>
      </c>
      <c r="E189" t="s">
        <v>29</v>
      </c>
    </row>
    <row r="190" spans="1:7" x14ac:dyDescent="0.2">
      <c r="A190">
        <v>2023</v>
      </c>
      <c r="B190">
        <f>IF(ISBLANK(E190),"",VLOOKUP(E190,Code!B:C,2,FALSE))</f>
        <v>17</v>
      </c>
      <c r="C190">
        <v>110635</v>
      </c>
      <c r="D190" t="s">
        <v>63</v>
      </c>
      <c r="E190" t="s">
        <v>5</v>
      </c>
      <c r="F190" s="6">
        <v>23625</v>
      </c>
      <c r="G190" s="6">
        <v>8805</v>
      </c>
    </row>
    <row r="191" spans="1:7" x14ac:dyDescent="0.2">
      <c r="A191">
        <v>2023</v>
      </c>
      <c r="B191">
        <f>IF(ISBLANK(E191),"",VLOOKUP(E191,Code!B:C,2,FALSE))</f>
        <v>18</v>
      </c>
      <c r="C191">
        <v>110635</v>
      </c>
      <c r="D191" t="s">
        <v>63</v>
      </c>
      <c r="E191" t="s">
        <v>6</v>
      </c>
      <c r="G191" s="6">
        <v>12996</v>
      </c>
    </row>
    <row r="192" spans="1:7" x14ac:dyDescent="0.2">
      <c r="A192">
        <v>2023</v>
      </c>
      <c r="B192">
        <f>IF(ISBLANK(E192),"",VLOOKUP(E192,Code!B:C,2,FALSE))</f>
        <v>19</v>
      </c>
      <c r="C192">
        <v>110635</v>
      </c>
      <c r="D192" t="s">
        <v>63</v>
      </c>
      <c r="E192" t="s">
        <v>7</v>
      </c>
      <c r="F192" s="6">
        <v>71692</v>
      </c>
      <c r="G192" s="6">
        <v>8798</v>
      </c>
    </row>
    <row r="193" spans="1:7" x14ac:dyDescent="0.2">
      <c r="A193">
        <v>2023</v>
      </c>
      <c r="B193">
        <f>IF(ISBLANK(E193),"",VLOOKUP(E193,Code!B:C,2,FALSE))</f>
        <v>20</v>
      </c>
      <c r="C193">
        <v>110635</v>
      </c>
      <c r="D193" t="s">
        <v>63</v>
      </c>
      <c r="E193" t="s">
        <v>8</v>
      </c>
      <c r="F193" s="6">
        <v>1200</v>
      </c>
    </row>
    <row r="194" spans="1:7" x14ac:dyDescent="0.2">
      <c r="A194">
        <v>2023</v>
      </c>
      <c r="B194">
        <f>IF(ISBLANK(E194),"",VLOOKUP(E194,Code!B:C,2,FALSE))</f>
        <v>21</v>
      </c>
      <c r="C194">
        <v>110635</v>
      </c>
      <c r="D194" t="s">
        <v>63</v>
      </c>
      <c r="E194" t="s">
        <v>9</v>
      </c>
      <c r="F194" s="6">
        <v>6120</v>
      </c>
      <c r="G194" s="6">
        <v>5650</v>
      </c>
    </row>
    <row r="195" spans="1:7" x14ac:dyDescent="0.2">
      <c r="A195">
        <v>2023</v>
      </c>
      <c r="B195">
        <f>IF(ISBLANK(E195),"",VLOOKUP(E195,Code!B:C,2,FALSE))</f>
        <v>23</v>
      </c>
      <c r="C195">
        <v>110635</v>
      </c>
      <c r="D195" t="s">
        <v>63</v>
      </c>
      <c r="E195" t="s">
        <v>10</v>
      </c>
      <c r="G195" s="6">
        <v>4822</v>
      </c>
    </row>
    <row r="196" spans="1:7" x14ac:dyDescent="0.2">
      <c r="A196">
        <v>2023</v>
      </c>
      <c r="B196">
        <f>IF(ISBLANK(E196),"",VLOOKUP(E196,Code!B:C,2,FALSE))</f>
        <v>24</v>
      </c>
      <c r="C196">
        <v>110635</v>
      </c>
      <c r="D196" t="s">
        <v>63</v>
      </c>
      <c r="E196" t="s">
        <v>34</v>
      </c>
      <c r="F196" s="6">
        <v>13002</v>
      </c>
    </row>
    <row r="197" spans="1:7" x14ac:dyDescent="0.2">
      <c r="A197">
        <v>2017</v>
      </c>
      <c r="B197">
        <f>IF(ISBLANK(E197),"",VLOOKUP(E197,Code!B:C,2,FALSE))</f>
        <v>2</v>
      </c>
      <c r="C197">
        <v>126614</v>
      </c>
      <c r="D197" t="s">
        <v>75</v>
      </c>
      <c r="E197" t="s">
        <v>1</v>
      </c>
    </row>
    <row r="198" spans="1:7" x14ac:dyDescent="0.2">
      <c r="A198">
        <v>2017</v>
      </c>
      <c r="B198">
        <f>IF(ISBLANK(E198),"",VLOOKUP(E198,Code!B:C,2,FALSE))</f>
        <v>8</v>
      </c>
      <c r="C198">
        <v>126614</v>
      </c>
      <c r="D198" t="s">
        <v>75</v>
      </c>
      <c r="E198" t="s">
        <v>2</v>
      </c>
    </row>
    <row r="199" spans="1:7" x14ac:dyDescent="0.2">
      <c r="A199">
        <v>2017</v>
      </c>
      <c r="B199">
        <f>IF(ISBLANK(E199),"",VLOOKUP(E199,Code!B:C,2,FALSE))</f>
        <v>9</v>
      </c>
      <c r="C199">
        <v>126614</v>
      </c>
      <c r="D199" t="s">
        <v>75</v>
      </c>
      <c r="E199" t="s">
        <v>3</v>
      </c>
      <c r="F199" s="6">
        <v>15338</v>
      </c>
      <c r="G199" s="6">
        <v>5548</v>
      </c>
    </row>
    <row r="200" spans="1:7" x14ac:dyDescent="0.2">
      <c r="A200">
        <v>2017</v>
      </c>
      <c r="B200">
        <f>IF(ISBLANK(E200),"",VLOOKUP(E200,Code!B:C,2,FALSE))</f>
        <v>16</v>
      </c>
      <c r="C200">
        <v>126614</v>
      </c>
      <c r="D200" t="s">
        <v>75</v>
      </c>
      <c r="E200" t="s">
        <v>31</v>
      </c>
      <c r="F200" s="6">
        <v>35206</v>
      </c>
      <c r="G200" s="6">
        <v>35206</v>
      </c>
    </row>
    <row r="201" spans="1:7" x14ac:dyDescent="0.2">
      <c r="A201">
        <v>2017</v>
      </c>
      <c r="B201">
        <f>IF(ISBLANK(E201),"",VLOOKUP(E201,Code!B:C,2,FALSE))</f>
        <v>21</v>
      </c>
      <c r="C201">
        <v>126614</v>
      </c>
      <c r="D201" t="s">
        <v>75</v>
      </c>
      <c r="E201" t="s">
        <v>36</v>
      </c>
    </row>
    <row r="202" spans="1:7" x14ac:dyDescent="0.2">
      <c r="A202">
        <v>2017</v>
      </c>
      <c r="B202">
        <f>IF(ISBLANK(E202),"",VLOOKUP(E202,Code!B:C,2,FALSE))</f>
        <v>12</v>
      </c>
      <c r="C202">
        <v>126614</v>
      </c>
      <c r="D202" t="s">
        <v>75</v>
      </c>
      <c r="E202" t="s">
        <v>27</v>
      </c>
    </row>
    <row r="203" spans="1:7" x14ac:dyDescent="0.2">
      <c r="A203">
        <v>2017</v>
      </c>
      <c r="B203">
        <f>IF(ISBLANK(E203),"",VLOOKUP(E203,Code!B:C,2,FALSE))</f>
        <v>17</v>
      </c>
      <c r="C203">
        <v>126614</v>
      </c>
      <c r="D203" t="s">
        <v>75</v>
      </c>
      <c r="E203" t="s">
        <v>5</v>
      </c>
    </row>
    <row r="204" spans="1:7" x14ac:dyDescent="0.2">
      <c r="A204">
        <v>2017</v>
      </c>
      <c r="B204">
        <f>IF(ISBLANK(E204),"",VLOOKUP(E204,Code!B:C,2,FALSE))</f>
        <v>20</v>
      </c>
      <c r="C204">
        <v>126614</v>
      </c>
      <c r="D204" t="s">
        <v>75</v>
      </c>
      <c r="E204" t="s">
        <v>8</v>
      </c>
    </row>
    <row r="205" spans="1:7" x14ac:dyDescent="0.2">
      <c r="A205">
        <v>2017</v>
      </c>
      <c r="B205">
        <f>IF(ISBLANK(E205),"",VLOOKUP(E205,Code!B:C,2,FALSE))</f>
        <v>23</v>
      </c>
      <c r="C205">
        <v>126614</v>
      </c>
      <c r="D205" t="s">
        <v>75</v>
      </c>
      <c r="E205" t="s">
        <v>10</v>
      </c>
    </row>
    <row r="206" spans="1:7" x14ac:dyDescent="0.2">
      <c r="A206">
        <v>2018</v>
      </c>
      <c r="B206">
        <f>IF(ISBLANK(E206),"",VLOOKUP(E206,Code!B:C,2,FALSE))</f>
        <v>2</v>
      </c>
      <c r="C206">
        <v>126614</v>
      </c>
      <c r="D206" t="s">
        <v>75</v>
      </c>
      <c r="E206" t="s">
        <v>1</v>
      </c>
    </row>
    <row r="207" spans="1:7" x14ac:dyDescent="0.2">
      <c r="A207">
        <v>2018</v>
      </c>
      <c r="B207">
        <f>IF(ISBLANK(E207),"",VLOOKUP(E207,Code!B:C,2,FALSE))</f>
        <v>8</v>
      </c>
      <c r="C207">
        <v>126614</v>
      </c>
      <c r="D207" t="s">
        <v>75</v>
      </c>
      <c r="E207" t="s">
        <v>2</v>
      </c>
      <c r="F207">
        <v>703</v>
      </c>
    </row>
    <row r="208" spans="1:7" x14ac:dyDescent="0.2">
      <c r="A208">
        <v>2018</v>
      </c>
      <c r="B208">
        <f>IF(ISBLANK(E208),"",VLOOKUP(E208,Code!B:C,2,FALSE))</f>
        <v>9</v>
      </c>
      <c r="C208">
        <v>126614</v>
      </c>
      <c r="D208" t="s">
        <v>75</v>
      </c>
      <c r="E208" t="s">
        <v>3</v>
      </c>
      <c r="F208" s="6">
        <v>20269</v>
      </c>
      <c r="G208" s="6">
        <v>4040</v>
      </c>
    </row>
    <row r="209" spans="1:7" x14ac:dyDescent="0.2">
      <c r="A209">
        <v>2018</v>
      </c>
      <c r="B209">
        <f>IF(ISBLANK(E209),"",VLOOKUP(E209,Code!B:C,2,FALSE))</f>
        <v>16</v>
      </c>
      <c r="C209">
        <v>126614</v>
      </c>
      <c r="D209" t="s">
        <v>75</v>
      </c>
      <c r="E209" t="s">
        <v>31</v>
      </c>
      <c r="F209" s="6">
        <v>37533</v>
      </c>
      <c r="G209" s="6">
        <v>37533</v>
      </c>
    </row>
    <row r="210" spans="1:7" x14ac:dyDescent="0.2">
      <c r="A210">
        <v>2018</v>
      </c>
      <c r="B210">
        <f>IF(ISBLANK(E210),"",VLOOKUP(E210,Code!B:C,2,FALSE))</f>
        <v>9</v>
      </c>
      <c r="C210">
        <v>126614</v>
      </c>
      <c r="D210" t="s">
        <v>75</v>
      </c>
      <c r="E210" t="s">
        <v>3</v>
      </c>
    </row>
    <row r="211" spans="1:7" x14ac:dyDescent="0.2">
      <c r="A211">
        <v>2018</v>
      </c>
      <c r="B211">
        <f>IF(ISBLANK(E211),"",VLOOKUP(E211,Code!B:C,2,FALSE))</f>
        <v>12</v>
      </c>
      <c r="C211">
        <v>126614</v>
      </c>
      <c r="D211" t="s">
        <v>75</v>
      </c>
      <c r="E211" t="s">
        <v>27</v>
      </c>
    </row>
    <row r="212" spans="1:7" x14ac:dyDescent="0.2">
      <c r="A212">
        <v>2018</v>
      </c>
      <c r="B212">
        <f>IF(ISBLANK(E212),"",VLOOKUP(E212,Code!B:C,2,FALSE))</f>
        <v>17</v>
      </c>
      <c r="C212">
        <v>126614</v>
      </c>
      <c r="D212" t="s">
        <v>75</v>
      </c>
      <c r="E212" t="s">
        <v>5</v>
      </c>
    </row>
    <row r="213" spans="1:7" x14ac:dyDescent="0.2">
      <c r="A213">
        <v>2018</v>
      </c>
      <c r="B213">
        <f>IF(ISBLANK(E213),"",VLOOKUP(E213,Code!B:C,2,FALSE))</f>
        <v>20</v>
      </c>
      <c r="C213">
        <v>126614</v>
      </c>
      <c r="D213" t="s">
        <v>75</v>
      </c>
      <c r="E213" t="s">
        <v>8</v>
      </c>
    </row>
    <row r="214" spans="1:7" x14ac:dyDescent="0.2">
      <c r="A214">
        <v>2018</v>
      </c>
      <c r="B214">
        <f>IF(ISBLANK(E214),"",VLOOKUP(E214,Code!B:C,2,FALSE))</f>
        <v>21</v>
      </c>
      <c r="C214">
        <v>126614</v>
      </c>
      <c r="D214" t="s">
        <v>75</v>
      </c>
      <c r="E214" t="s">
        <v>36</v>
      </c>
    </row>
    <row r="215" spans="1:7" x14ac:dyDescent="0.2">
      <c r="A215">
        <v>2018</v>
      </c>
      <c r="B215">
        <f>IF(ISBLANK(E215),"",VLOOKUP(E215,Code!B:C,2,FALSE))</f>
        <v>23</v>
      </c>
      <c r="C215">
        <v>126614</v>
      </c>
      <c r="D215" t="s">
        <v>75</v>
      </c>
      <c r="E215" t="s">
        <v>10</v>
      </c>
    </row>
    <row r="216" spans="1:7" x14ac:dyDescent="0.2">
      <c r="A216">
        <v>2019</v>
      </c>
      <c r="B216">
        <f>IF(ISBLANK(E216),"",VLOOKUP(E216,Code!B:C,2,FALSE))</f>
        <v>2</v>
      </c>
      <c r="C216">
        <v>126614</v>
      </c>
      <c r="D216" t="s">
        <v>75</v>
      </c>
      <c r="E216" t="s">
        <v>1</v>
      </c>
      <c r="G216">
        <v>294</v>
      </c>
    </row>
    <row r="217" spans="1:7" x14ac:dyDescent="0.2">
      <c r="A217">
        <v>2019</v>
      </c>
      <c r="B217">
        <f>IF(ISBLANK(E217),"",VLOOKUP(E217,Code!B:C,2,FALSE))</f>
        <v>8</v>
      </c>
      <c r="C217">
        <v>126614</v>
      </c>
      <c r="D217" t="s">
        <v>75</v>
      </c>
      <c r="E217" t="s">
        <v>2</v>
      </c>
      <c r="F217">
        <v>279</v>
      </c>
    </row>
    <row r="218" spans="1:7" x14ac:dyDescent="0.2">
      <c r="A218">
        <v>2019</v>
      </c>
      <c r="B218">
        <f>IF(ISBLANK(E218),"",VLOOKUP(E218,Code!B:C,2,FALSE))</f>
        <v>9</v>
      </c>
      <c r="C218">
        <v>126614</v>
      </c>
      <c r="D218" t="s">
        <v>75</v>
      </c>
      <c r="E218" t="s">
        <v>3</v>
      </c>
      <c r="F218" s="6">
        <v>16800</v>
      </c>
      <c r="G218" s="6">
        <v>5386</v>
      </c>
    </row>
    <row r="219" spans="1:7" x14ac:dyDescent="0.2">
      <c r="A219">
        <v>2019</v>
      </c>
      <c r="B219">
        <f>IF(ISBLANK(E219),"",VLOOKUP(E219,Code!B:C,2,FALSE))</f>
        <v>16</v>
      </c>
      <c r="C219">
        <v>126614</v>
      </c>
      <c r="D219" t="s">
        <v>75</v>
      </c>
      <c r="E219" t="s">
        <v>31</v>
      </c>
      <c r="F219" s="6">
        <v>37956</v>
      </c>
      <c r="G219" s="6">
        <v>37956</v>
      </c>
    </row>
    <row r="220" spans="1:7" x14ac:dyDescent="0.2">
      <c r="A220">
        <v>2019</v>
      </c>
      <c r="B220">
        <f>IF(ISBLANK(E220),"",VLOOKUP(E220,Code!B:C,2,FALSE))</f>
        <v>21</v>
      </c>
      <c r="C220">
        <v>126614</v>
      </c>
      <c r="D220" t="s">
        <v>75</v>
      </c>
      <c r="E220" t="s">
        <v>36</v>
      </c>
    </row>
    <row r="221" spans="1:7" x14ac:dyDescent="0.2">
      <c r="A221">
        <v>2019</v>
      </c>
      <c r="B221">
        <f>IF(ISBLANK(E221),"",VLOOKUP(E221,Code!B:C,2,FALSE))</f>
        <v>12</v>
      </c>
      <c r="C221">
        <v>126614</v>
      </c>
      <c r="D221" t="s">
        <v>75</v>
      </c>
      <c r="E221" t="s">
        <v>27</v>
      </c>
    </row>
    <row r="222" spans="1:7" x14ac:dyDescent="0.2">
      <c r="A222">
        <v>2019</v>
      </c>
      <c r="B222">
        <f>IF(ISBLANK(E222),"",VLOOKUP(E222,Code!B:C,2,FALSE))</f>
        <v>17</v>
      </c>
      <c r="C222">
        <v>126614</v>
      </c>
      <c r="D222" t="s">
        <v>75</v>
      </c>
      <c r="E222" t="s">
        <v>5</v>
      </c>
    </row>
    <row r="223" spans="1:7" x14ac:dyDescent="0.2">
      <c r="A223">
        <v>2019</v>
      </c>
      <c r="B223">
        <f>IF(ISBLANK(E223),"",VLOOKUP(E223,Code!B:C,2,FALSE))</f>
        <v>20</v>
      </c>
      <c r="C223">
        <v>126614</v>
      </c>
      <c r="D223" t="s">
        <v>75</v>
      </c>
      <c r="E223" t="s">
        <v>8</v>
      </c>
    </row>
    <row r="224" spans="1:7" x14ac:dyDescent="0.2">
      <c r="A224">
        <v>2019</v>
      </c>
      <c r="B224">
        <f>IF(ISBLANK(E224),"",VLOOKUP(E224,Code!B:C,2,FALSE))</f>
        <v>23</v>
      </c>
      <c r="C224">
        <v>126614</v>
      </c>
      <c r="D224" t="s">
        <v>75</v>
      </c>
      <c r="E224" t="s">
        <v>10</v>
      </c>
    </row>
    <row r="225" spans="1:7" x14ac:dyDescent="0.2">
      <c r="A225">
        <v>2020</v>
      </c>
      <c r="B225">
        <f>IF(ISBLANK(E225),"",VLOOKUP(E225,Code!B:C,2,FALSE))</f>
        <v>2</v>
      </c>
      <c r="C225">
        <v>126614</v>
      </c>
      <c r="D225" t="s">
        <v>75</v>
      </c>
      <c r="E225" t="s">
        <v>1</v>
      </c>
    </row>
    <row r="226" spans="1:7" x14ac:dyDescent="0.2">
      <c r="A226">
        <v>2020</v>
      </c>
      <c r="B226">
        <f>IF(ISBLANK(E226),"",VLOOKUP(E226,Code!B:C,2,FALSE))</f>
        <v>8</v>
      </c>
      <c r="C226">
        <v>126614</v>
      </c>
      <c r="D226" t="s">
        <v>75</v>
      </c>
      <c r="E226" t="s">
        <v>2</v>
      </c>
    </row>
    <row r="227" spans="1:7" x14ac:dyDescent="0.2">
      <c r="A227">
        <v>2020</v>
      </c>
      <c r="B227">
        <f>IF(ISBLANK(E227),"",VLOOKUP(E227,Code!B:C,2,FALSE))</f>
        <v>9</v>
      </c>
      <c r="C227">
        <v>126614</v>
      </c>
      <c r="D227" t="s">
        <v>75</v>
      </c>
      <c r="E227" t="s">
        <v>3</v>
      </c>
      <c r="F227" s="6">
        <v>18576</v>
      </c>
    </row>
    <row r="228" spans="1:7" x14ac:dyDescent="0.2">
      <c r="A228">
        <v>2020</v>
      </c>
      <c r="B228">
        <f>IF(ISBLANK(E228),"",VLOOKUP(E228,Code!B:C,2,FALSE))</f>
        <v>16</v>
      </c>
      <c r="C228">
        <v>126614</v>
      </c>
      <c r="D228" t="s">
        <v>75</v>
      </c>
      <c r="E228" t="s">
        <v>31</v>
      </c>
      <c r="F228" s="6">
        <v>38528</v>
      </c>
      <c r="G228" s="6">
        <v>38528</v>
      </c>
    </row>
    <row r="229" spans="1:7" x14ac:dyDescent="0.2">
      <c r="A229">
        <v>2020</v>
      </c>
      <c r="B229">
        <f>IF(ISBLANK(E229),"",VLOOKUP(E229,Code!B:C,2,FALSE))</f>
        <v>12</v>
      </c>
      <c r="C229">
        <v>126614</v>
      </c>
      <c r="D229" t="s">
        <v>75</v>
      </c>
      <c r="E229" t="s">
        <v>27</v>
      </c>
    </row>
    <row r="230" spans="1:7" x14ac:dyDescent="0.2">
      <c r="A230">
        <v>2020</v>
      </c>
      <c r="B230">
        <f>IF(ISBLANK(E230),"",VLOOKUP(E230,Code!B:C,2,FALSE))</f>
        <v>17</v>
      </c>
      <c r="C230">
        <v>126614</v>
      </c>
      <c r="D230" t="s">
        <v>75</v>
      </c>
      <c r="E230" t="s">
        <v>5</v>
      </c>
    </row>
    <row r="231" spans="1:7" x14ac:dyDescent="0.2">
      <c r="A231">
        <v>2020</v>
      </c>
      <c r="B231">
        <f>IF(ISBLANK(E231),"",VLOOKUP(E231,Code!B:C,2,FALSE))</f>
        <v>20</v>
      </c>
      <c r="C231">
        <v>126614</v>
      </c>
      <c r="D231" t="s">
        <v>75</v>
      </c>
      <c r="E231" t="s">
        <v>8</v>
      </c>
    </row>
    <row r="232" spans="1:7" x14ac:dyDescent="0.2">
      <c r="A232">
        <v>2020</v>
      </c>
      <c r="B232">
        <f>IF(ISBLANK(E232),"",VLOOKUP(E232,Code!B:C,2,FALSE))</f>
        <v>21</v>
      </c>
      <c r="C232">
        <v>126614</v>
      </c>
      <c r="D232" t="s">
        <v>75</v>
      </c>
      <c r="E232" t="s">
        <v>36</v>
      </c>
    </row>
    <row r="233" spans="1:7" x14ac:dyDescent="0.2">
      <c r="A233">
        <v>2020</v>
      </c>
      <c r="B233">
        <f>IF(ISBLANK(E233),"",VLOOKUP(E233,Code!B:C,2,FALSE))</f>
        <v>23</v>
      </c>
      <c r="C233">
        <v>126614</v>
      </c>
      <c r="D233" t="s">
        <v>75</v>
      </c>
      <c r="E233" t="s">
        <v>10</v>
      </c>
    </row>
    <row r="234" spans="1:7" x14ac:dyDescent="0.2">
      <c r="A234">
        <v>2021</v>
      </c>
      <c r="B234">
        <f>IF(ISBLANK(E234),"",VLOOKUP(E234,Code!B:C,2,FALSE))</f>
        <v>2</v>
      </c>
      <c r="C234">
        <v>126614</v>
      </c>
      <c r="D234" t="s">
        <v>75</v>
      </c>
      <c r="E234" t="s">
        <v>1</v>
      </c>
      <c r="F234" s="6">
        <v>4830</v>
      </c>
    </row>
    <row r="235" spans="1:7" x14ac:dyDescent="0.2">
      <c r="A235">
        <v>2021</v>
      </c>
      <c r="B235">
        <f>IF(ISBLANK(E235),"",VLOOKUP(E235,Code!B:C,2,FALSE))</f>
        <v>8</v>
      </c>
      <c r="C235">
        <v>126614</v>
      </c>
      <c r="D235" t="s">
        <v>75</v>
      </c>
      <c r="E235" t="s">
        <v>2</v>
      </c>
      <c r="F235" s="6">
        <v>4456</v>
      </c>
    </row>
    <row r="236" spans="1:7" x14ac:dyDescent="0.2">
      <c r="A236">
        <v>2021</v>
      </c>
      <c r="B236">
        <f>IF(ISBLANK(E236),"",VLOOKUP(E236,Code!B:C,2,FALSE))</f>
        <v>9</v>
      </c>
      <c r="C236">
        <v>126614</v>
      </c>
      <c r="D236" t="s">
        <v>75</v>
      </c>
      <c r="E236" t="s">
        <v>3</v>
      </c>
    </row>
    <row r="237" spans="1:7" x14ac:dyDescent="0.2">
      <c r="A237">
        <v>2021</v>
      </c>
      <c r="B237">
        <f>IF(ISBLANK(E237),"",VLOOKUP(E237,Code!B:C,2,FALSE))</f>
        <v>12</v>
      </c>
      <c r="C237">
        <v>126614</v>
      </c>
      <c r="D237" t="s">
        <v>75</v>
      </c>
      <c r="E237" t="s">
        <v>27</v>
      </c>
    </row>
    <row r="238" spans="1:7" x14ac:dyDescent="0.2">
      <c r="A238">
        <v>2021</v>
      </c>
      <c r="B238">
        <f>IF(ISBLANK(E238),"",VLOOKUP(E238,Code!B:C,2,FALSE))</f>
        <v>16</v>
      </c>
      <c r="C238">
        <v>126614</v>
      </c>
      <c r="D238" t="s">
        <v>75</v>
      </c>
      <c r="E238" t="s">
        <v>31</v>
      </c>
    </row>
    <row r="239" spans="1:7" x14ac:dyDescent="0.2">
      <c r="A239">
        <v>2021</v>
      </c>
      <c r="B239">
        <f>IF(ISBLANK(E239),"",VLOOKUP(E239,Code!B:C,2,FALSE))</f>
        <v>17</v>
      </c>
      <c r="C239">
        <v>126614</v>
      </c>
      <c r="D239" t="s">
        <v>75</v>
      </c>
      <c r="E239" t="s">
        <v>5</v>
      </c>
    </row>
    <row r="240" spans="1:7" x14ac:dyDescent="0.2">
      <c r="A240">
        <v>2021</v>
      </c>
      <c r="B240">
        <f>IF(ISBLANK(E240),"",VLOOKUP(E240,Code!B:C,2,FALSE))</f>
        <v>20</v>
      </c>
      <c r="C240">
        <v>126614</v>
      </c>
      <c r="D240" t="s">
        <v>75</v>
      </c>
      <c r="E240" t="s">
        <v>8</v>
      </c>
    </row>
    <row r="241" spans="1:7" x14ac:dyDescent="0.2">
      <c r="A241">
        <v>2021</v>
      </c>
      <c r="B241">
        <f>IF(ISBLANK(E241),"",VLOOKUP(E241,Code!B:C,2,FALSE))</f>
        <v>21</v>
      </c>
      <c r="C241">
        <v>126614</v>
      </c>
      <c r="D241" t="s">
        <v>75</v>
      </c>
      <c r="E241" t="s">
        <v>36</v>
      </c>
    </row>
    <row r="242" spans="1:7" x14ac:dyDescent="0.2">
      <c r="A242">
        <v>2021</v>
      </c>
      <c r="B242">
        <f>IF(ISBLANK(E242),"",VLOOKUP(E242,Code!B:C,2,FALSE))</f>
        <v>23</v>
      </c>
      <c r="C242">
        <v>126614</v>
      </c>
      <c r="D242" t="s">
        <v>75</v>
      </c>
      <c r="E242" t="s">
        <v>10</v>
      </c>
    </row>
    <row r="243" spans="1:7" x14ac:dyDescent="0.2">
      <c r="A243">
        <v>2022</v>
      </c>
      <c r="B243">
        <f>IF(ISBLANK(E243),"",VLOOKUP(E243,Code!B:C,2,FALSE))</f>
        <v>2</v>
      </c>
      <c r="C243">
        <v>126614</v>
      </c>
      <c r="D243" t="s">
        <v>75</v>
      </c>
      <c r="E243" t="s">
        <v>1</v>
      </c>
      <c r="F243" s="6">
        <v>6513</v>
      </c>
    </row>
    <row r="244" spans="1:7" x14ac:dyDescent="0.2">
      <c r="A244">
        <v>2022</v>
      </c>
      <c r="B244">
        <f>IF(ISBLANK(E244),"",VLOOKUP(E244,Code!B:C,2,FALSE))</f>
        <v>8</v>
      </c>
      <c r="C244">
        <v>126614</v>
      </c>
      <c r="D244" t="s">
        <v>75</v>
      </c>
      <c r="E244" t="s">
        <v>2</v>
      </c>
      <c r="F244" s="6">
        <v>2668</v>
      </c>
    </row>
    <row r="245" spans="1:7" x14ac:dyDescent="0.2">
      <c r="A245">
        <v>2022</v>
      </c>
      <c r="B245">
        <f>IF(ISBLANK(E245),"",VLOOKUP(E245,Code!B:C,2,FALSE))</f>
        <v>9</v>
      </c>
      <c r="C245">
        <v>126614</v>
      </c>
      <c r="D245" t="s">
        <v>75</v>
      </c>
      <c r="E245" t="s">
        <v>3</v>
      </c>
    </row>
    <row r="246" spans="1:7" x14ac:dyDescent="0.2">
      <c r="A246">
        <v>2022</v>
      </c>
      <c r="B246">
        <f>IF(ISBLANK(E246),"",VLOOKUP(E246,Code!B:C,2,FALSE))</f>
        <v>12</v>
      </c>
      <c r="C246">
        <v>126614</v>
      </c>
      <c r="D246" t="s">
        <v>75</v>
      </c>
      <c r="E246" t="s">
        <v>27</v>
      </c>
    </row>
    <row r="247" spans="1:7" x14ac:dyDescent="0.2">
      <c r="A247">
        <v>2022</v>
      </c>
      <c r="B247">
        <f>IF(ISBLANK(E247),"",VLOOKUP(E247,Code!B:C,2,FALSE))</f>
        <v>16</v>
      </c>
      <c r="C247">
        <v>126614</v>
      </c>
      <c r="D247" t="s">
        <v>75</v>
      </c>
      <c r="E247" t="s">
        <v>31</v>
      </c>
    </row>
    <row r="248" spans="1:7" x14ac:dyDescent="0.2">
      <c r="A248">
        <v>2022</v>
      </c>
      <c r="B248">
        <f>IF(ISBLANK(E248),"",VLOOKUP(E248,Code!B:C,2,FALSE))</f>
        <v>17</v>
      </c>
      <c r="C248">
        <v>126614</v>
      </c>
      <c r="D248" t="s">
        <v>75</v>
      </c>
      <c r="E248" t="s">
        <v>5</v>
      </c>
    </row>
    <row r="249" spans="1:7" x14ac:dyDescent="0.2">
      <c r="A249">
        <v>2022</v>
      </c>
      <c r="B249">
        <f>IF(ISBLANK(E249),"",VLOOKUP(E249,Code!B:C,2,FALSE))</f>
        <v>20</v>
      </c>
      <c r="C249">
        <v>126614</v>
      </c>
      <c r="D249" t="s">
        <v>75</v>
      </c>
      <c r="E249" t="s">
        <v>8</v>
      </c>
    </row>
    <row r="250" spans="1:7" x14ac:dyDescent="0.2">
      <c r="A250">
        <v>2022</v>
      </c>
      <c r="B250">
        <f>IF(ISBLANK(E250),"",VLOOKUP(E250,Code!B:C,2,FALSE))</f>
        <v>21</v>
      </c>
      <c r="C250">
        <v>126614</v>
      </c>
      <c r="D250" t="s">
        <v>75</v>
      </c>
      <c r="E250" t="s">
        <v>36</v>
      </c>
    </row>
    <row r="251" spans="1:7" x14ac:dyDescent="0.2">
      <c r="A251">
        <v>2022</v>
      </c>
      <c r="B251">
        <f>IF(ISBLANK(E251),"",VLOOKUP(E251,Code!B:C,2,FALSE))</f>
        <v>23</v>
      </c>
      <c r="C251">
        <v>126614</v>
      </c>
      <c r="D251" t="s">
        <v>75</v>
      </c>
      <c r="E251" t="s">
        <v>10</v>
      </c>
    </row>
    <row r="252" spans="1:7" x14ac:dyDescent="0.2">
      <c r="A252">
        <v>2023</v>
      </c>
      <c r="B252">
        <f>IF(ISBLANK(E252),"",VLOOKUP(E252,Code!B:C,2,FALSE))</f>
        <v>2</v>
      </c>
      <c r="C252">
        <v>126614</v>
      </c>
      <c r="D252" t="s">
        <v>75</v>
      </c>
      <c r="E252" t="s">
        <v>1</v>
      </c>
      <c r="F252" s="6">
        <v>6889</v>
      </c>
      <c r="G252">
        <v>940</v>
      </c>
    </row>
    <row r="253" spans="1:7" x14ac:dyDescent="0.2">
      <c r="A253">
        <v>2023</v>
      </c>
      <c r="B253">
        <f>IF(ISBLANK(E253),"",VLOOKUP(E253,Code!B:C,2,FALSE))</f>
        <v>8</v>
      </c>
      <c r="C253">
        <v>126614</v>
      </c>
      <c r="D253" t="s">
        <v>75</v>
      </c>
      <c r="E253" t="s">
        <v>2</v>
      </c>
    </row>
    <row r="254" spans="1:7" x14ac:dyDescent="0.2">
      <c r="A254">
        <v>2023</v>
      </c>
      <c r="B254">
        <f>IF(ISBLANK(E254),"",VLOOKUP(E254,Code!B:C,2,FALSE))</f>
        <v>9</v>
      </c>
      <c r="C254">
        <v>126614</v>
      </c>
      <c r="D254" t="s">
        <v>75</v>
      </c>
      <c r="E254" t="s">
        <v>3</v>
      </c>
    </row>
    <row r="255" spans="1:7" x14ac:dyDescent="0.2">
      <c r="A255">
        <v>2023</v>
      </c>
      <c r="B255">
        <f>IF(ISBLANK(E255),"",VLOOKUP(E255,Code!B:C,2,FALSE))</f>
        <v>12</v>
      </c>
      <c r="C255">
        <v>126614</v>
      </c>
      <c r="D255" t="s">
        <v>75</v>
      </c>
      <c r="E255" t="s">
        <v>27</v>
      </c>
    </row>
    <row r="256" spans="1:7" x14ac:dyDescent="0.2">
      <c r="A256">
        <v>2023</v>
      </c>
      <c r="B256">
        <f>IF(ISBLANK(E256),"",VLOOKUP(E256,Code!B:C,2,FALSE))</f>
        <v>16</v>
      </c>
      <c r="C256">
        <v>126614</v>
      </c>
      <c r="D256" t="s">
        <v>75</v>
      </c>
      <c r="E256" t="s">
        <v>31</v>
      </c>
    </row>
    <row r="257" spans="1:5" x14ac:dyDescent="0.2">
      <c r="A257">
        <v>2023</v>
      </c>
      <c r="B257">
        <f>IF(ISBLANK(E257),"",VLOOKUP(E257,Code!B:C,2,FALSE))</f>
        <v>17</v>
      </c>
      <c r="C257">
        <v>126614</v>
      </c>
      <c r="D257" t="s">
        <v>75</v>
      </c>
      <c r="E257" t="s">
        <v>5</v>
      </c>
    </row>
    <row r="258" spans="1:5" x14ac:dyDescent="0.2">
      <c r="A258">
        <v>2023</v>
      </c>
      <c r="B258">
        <f>IF(ISBLANK(E258),"",VLOOKUP(E258,Code!B:C,2,FALSE))</f>
        <v>20</v>
      </c>
      <c r="C258">
        <v>126614</v>
      </c>
      <c r="D258" t="s">
        <v>75</v>
      </c>
      <c r="E258" t="s">
        <v>8</v>
      </c>
    </row>
    <row r="259" spans="1:5" x14ac:dyDescent="0.2">
      <c r="A259">
        <v>2023</v>
      </c>
      <c r="B259">
        <f>IF(ISBLANK(E259),"",VLOOKUP(E259,Code!B:C,2,FALSE))</f>
        <v>21</v>
      </c>
      <c r="C259">
        <v>126614</v>
      </c>
      <c r="D259" t="s">
        <v>75</v>
      </c>
      <c r="E259" t="s">
        <v>9</v>
      </c>
    </row>
    <row r="260" spans="1:5" x14ac:dyDescent="0.2">
      <c r="A260">
        <v>2023</v>
      </c>
      <c r="B260">
        <f>IF(ISBLANK(E260),"",VLOOKUP(E260,Code!B:C,2,FALSE))</f>
        <v>23</v>
      </c>
      <c r="C260">
        <v>126614</v>
      </c>
      <c r="D260" t="s">
        <v>75</v>
      </c>
      <c r="E260" t="s">
        <v>10</v>
      </c>
    </row>
    <row r="261" spans="1:5" x14ac:dyDescent="0.2">
      <c r="A261">
        <v>2017</v>
      </c>
      <c r="B261">
        <f>IF(ISBLANK(E261),"",VLOOKUP(E261,Code!B:C,2,FALSE))</f>
        <v>1</v>
      </c>
      <c r="C261">
        <v>163268</v>
      </c>
      <c r="D261" t="s">
        <v>127</v>
      </c>
      <c r="E261" t="s">
        <v>0</v>
      </c>
    </row>
    <row r="262" spans="1:5" x14ac:dyDescent="0.2">
      <c r="A262">
        <v>2017</v>
      </c>
      <c r="B262">
        <f>IF(ISBLANK(E262),"",VLOOKUP(E262,Code!B:C,2,FALSE))</f>
        <v>2</v>
      </c>
      <c r="C262">
        <v>163268</v>
      </c>
      <c r="D262" t="s">
        <v>127</v>
      </c>
      <c r="E262" t="s">
        <v>1</v>
      </c>
    </row>
    <row r="263" spans="1:5" x14ac:dyDescent="0.2">
      <c r="A263">
        <v>2017</v>
      </c>
      <c r="B263">
        <f>IF(ISBLANK(E263),"",VLOOKUP(E263,Code!B:C,2,FALSE))</f>
        <v>12</v>
      </c>
      <c r="C263">
        <v>163268</v>
      </c>
      <c r="D263" t="s">
        <v>127</v>
      </c>
      <c r="E263" t="s">
        <v>27</v>
      </c>
    </row>
    <row r="264" spans="1:5" x14ac:dyDescent="0.2">
      <c r="A264">
        <v>2017</v>
      </c>
      <c r="B264">
        <f>IF(ISBLANK(E264),"",VLOOKUP(E264,Code!B:C,2,FALSE))</f>
        <v>17</v>
      </c>
      <c r="C264">
        <v>163268</v>
      </c>
      <c r="D264" t="s">
        <v>127</v>
      </c>
      <c r="E264" t="s">
        <v>5</v>
      </c>
    </row>
    <row r="265" spans="1:5" x14ac:dyDescent="0.2">
      <c r="A265">
        <v>2017</v>
      </c>
      <c r="B265">
        <f>IF(ISBLANK(E265),"",VLOOKUP(E265,Code!B:C,2,FALSE))</f>
        <v>19</v>
      </c>
      <c r="C265">
        <v>163268</v>
      </c>
      <c r="D265" t="s">
        <v>127</v>
      </c>
      <c r="E265" t="s">
        <v>7</v>
      </c>
    </row>
    <row r="266" spans="1:5" x14ac:dyDescent="0.2">
      <c r="A266">
        <v>2017</v>
      </c>
      <c r="B266">
        <f>IF(ISBLANK(E266),"",VLOOKUP(E266,Code!B:C,2,FALSE))</f>
        <v>18</v>
      </c>
      <c r="C266">
        <v>163268</v>
      </c>
      <c r="D266" t="s">
        <v>127</v>
      </c>
      <c r="E266" t="s">
        <v>6</v>
      </c>
    </row>
    <row r="267" spans="1:5" x14ac:dyDescent="0.2">
      <c r="A267">
        <v>2017</v>
      </c>
      <c r="B267">
        <f>IF(ISBLANK(E267),"",VLOOKUP(E267,Code!B:C,2,FALSE))</f>
        <v>23</v>
      </c>
      <c r="C267">
        <v>163268</v>
      </c>
      <c r="D267" t="s">
        <v>127</v>
      </c>
      <c r="E267" t="s">
        <v>10</v>
      </c>
    </row>
    <row r="268" spans="1:5" x14ac:dyDescent="0.2">
      <c r="A268">
        <v>2018</v>
      </c>
      <c r="B268">
        <f>IF(ISBLANK(E268),"",VLOOKUP(E268,Code!B:C,2,FALSE))</f>
        <v>1</v>
      </c>
      <c r="C268">
        <v>163268</v>
      </c>
      <c r="D268" t="s">
        <v>127</v>
      </c>
      <c r="E268" t="s">
        <v>0</v>
      </c>
    </row>
    <row r="269" spans="1:5" x14ac:dyDescent="0.2">
      <c r="A269">
        <v>2018</v>
      </c>
      <c r="B269">
        <f>IF(ISBLANK(E269),"",VLOOKUP(E269,Code!B:C,2,FALSE))</f>
        <v>2</v>
      </c>
      <c r="C269">
        <v>163268</v>
      </c>
      <c r="D269" t="s">
        <v>127</v>
      </c>
      <c r="E269" t="s">
        <v>1</v>
      </c>
    </row>
    <row r="270" spans="1:5" x14ac:dyDescent="0.2">
      <c r="A270">
        <v>2018</v>
      </c>
      <c r="B270">
        <f>IF(ISBLANK(E270),"",VLOOKUP(E270,Code!B:C,2,FALSE))</f>
        <v>12</v>
      </c>
      <c r="C270">
        <v>163268</v>
      </c>
      <c r="D270" t="s">
        <v>127</v>
      </c>
      <c r="E270" t="s">
        <v>27</v>
      </c>
    </row>
    <row r="271" spans="1:5" x14ac:dyDescent="0.2">
      <c r="A271">
        <v>2018</v>
      </c>
      <c r="B271">
        <f>IF(ISBLANK(E271),"",VLOOKUP(E271,Code!B:C,2,FALSE))</f>
        <v>17</v>
      </c>
      <c r="C271">
        <v>163268</v>
      </c>
      <c r="D271" t="s">
        <v>127</v>
      </c>
      <c r="E271" t="s">
        <v>5</v>
      </c>
    </row>
    <row r="272" spans="1:5" x14ac:dyDescent="0.2">
      <c r="A272">
        <v>2018</v>
      </c>
      <c r="B272">
        <f>IF(ISBLANK(E272),"",VLOOKUP(E272,Code!B:C,2,FALSE))</f>
        <v>19</v>
      </c>
      <c r="C272">
        <v>163268</v>
      </c>
      <c r="D272" t="s">
        <v>127</v>
      </c>
      <c r="E272" t="s">
        <v>7</v>
      </c>
    </row>
    <row r="273" spans="1:5" x14ac:dyDescent="0.2">
      <c r="A273">
        <v>2018</v>
      </c>
      <c r="B273">
        <f>IF(ISBLANK(E273),"",VLOOKUP(E273,Code!B:C,2,FALSE))</f>
        <v>21</v>
      </c>
      <c r="C273">
        <v>163268</v>
      </c>
      <c r="D273" t="s">
        <v>127</v>
      </c>
      <c r="E273" t="s">
        <v>36</v>
      </c>
    </row>
    <row r="274" spans="1:5" x14ac:dyDescent="0.2">
      <c r="A274">
        <v>2018</v>
      </c>
      <c r="B274">
        <f>IF(ISBLANK(E274),"",VLOOKUP(E274,Code!B:C,2,FALSE))</f>
        <v>18</v>
      </c>
      <c r="C274">
        <v>163268</v>
      </c>
      <c r="D274" t="s">
        <v>127</v>
      </c>
      <c r="E274" t="s">
        <v>6</v>
      </c>
    </row>
    <row r="275" spans="1:5" x14ac:dyDescent="0.2">
      <c r="A275">
        <v>2018</v>
      </c>
      <c r="B275">
        <f>IF(ISBLANK(E275),"",VLOOKUP(E275,Code!B:C,2,FALSE))</f>
        <v>23</v>
      </c>
      <c r="C275">
        <v>163268</v>
      </c>
      <c r="D275" t="s">
        <v>127</v>
      </c>
      <c r="E275" t="s">
        <v>10</v>
      </c>
    </row>
    <row r="276" spans="1:5" x14ac:dyDescent="0.2">
      <c r="A276">
        <v>2019</v>
      </c>
      <c r="B276">
        <f>IF(ISBLANK(E276),"",VLOOKUP(E276,Code!B:C,2,FALSE))</f>
        <v>1</v>
      </c>
      <c r="C276">
        <v>163268</v>
      </c>
      <c r="D276" t="s">
        <v>127</v>
      </c>
      <c r="E276" t="s">
        <v>0</v>
      </c>
    </row>
    <row r="277" spans="1:5" x14ac:dyDescent="0.2">
      <c r="A277">
        <v>2019</v>
      </c>
      <c r="B277">
        <f>IF(ISBLANK(E277),"",VLOOKUP(E277,Code!B:C,2,FALSE))</f>
        <v>2</v>
      </c>
      <c r="C277">
        <v>163268</v>
      </c>
      <c r="D277" t="s">
        <v>127</v>
      </c>
      <c r="E277" t="s">
        <v>1</v>
      </c>
    </row>
    <row r="278" spans="1:5" x14ac:dyDescent="0.2">
      <c r="A278">
        <v>2019</v>
      </c>
      <c r="B278">
        <f>IF(ISBLANK(E278),"",VLOOKUP(E278,Code!B:C,2,FALSE))</f>
        <v>12</v>
      </c>
      <c r="C278">
        <v>163268</v>
      </c>
      <c r="D278" t="s">
        <v>127</v>
      </c>
      <c r="E278" t="s">
        <v>27</v>
      </c>
    </row>
    <row r="279" spans="1:5" x14ac:dyDescent="0.2">
      <c r="A279">
        <v>2019</v>
      </c>
      <c r="B279">
        <f>IF(ISBLANK(E279),"",VLOOKUP(E279,Code!B:C,2,FALSE))</f>
        <v>17</v>
      </c>
      <c r="C279">
        <v>163268</v>
      </c>
      <c r="D279" t="s">
        <v>127</v>
      </c>
      <c r="E279" t="s">
        <v>5</v>
      </c>
    </row>
    <row r="280" spans="1:5" x14ac:dyDescent="0.2">
      <c r="A280">
        <v>2019</v>
      </c>
      <c r="B280">
        <f>IF(ISBLANK(E280),"",VLOOKUP(E280,Code!B:C,2,FALSE))</f>
        <v>19</v>
      </c>
      <c r="C280">
        <v>163268</v>
      </c>
      <c r="D280" t="s">
        <v>127</v>
      </c>
      <c r="E280" t="s">
        <v>7</v>
      </c>
    </row>
    <row r="281" spans="1:5" x14ac:dyDescent="0.2">
      <c r="A281">
        <v>2019</v>
      </c>
      <c r="B281">
        <f>IF(ISBLANK(E281),"",VLOOKUP(E281,Code!B:C,2,FALSE))</f>
        <v>21</v>
      </c>
      <c r="C281">
        <v>163268</v>
      </c>
      <c r="D281" t="s">
        <v>127</v>
      </c>
      <c r="E281" t="s">
        <v>36</v>
      </c>
    </row>
    <row r="282" spans="1:5" x14ac:dyDescent="0.2">
      <c r="A282">
        <v>2019</v>
      </c>
      <c r="B282">
        <f>IF(ISBLANK(E282),"",VLOOKUP(E282,Code!B:C,2,FALSE))</f>
        <v>18</v>
      </c>
      <c r="C282">
        <v>163268</v>
      </c>
      <c r="D282" t="s">
        <v>127</v>
      </c>
      <c r="E282" t="s">
        <v>6</v>
      </c>
    </row>
    <row r="283" spans="1:5" x14ac:dyDescent="0.2">
      <c r="A283">
        <v>2019</v>
      </c>
      <c r="B283">
        <f>IF(ISBLANK(E283),"",VLOOKUP(E283,Code!B:C,2,FALSE))</f>
        <v>23</v>
      </c>
      <c r="C283">
        <v>163268</v>
      </c>
      <c r="D283" t="s">
        <v>127</v>
      </c>
      <c r="E283" t="s">
        <v>10</v>
      </c>
    </row>
    <row r="284" spans="1:5" x14ac:dyDescent="0.2">
      <c r="A284">
        <v>2020</v>
      </c>
      <c r="B284">
        <f>IF(ISBLANK(E284),"",VLOOKUP(E284,Code!B:C,2,FALSE))</f>
        <v>1</v>
      </c>
      <c r="C284">
        <v>163268</v>
      </c>
      <c r="D284" t="s">
        <v>127</v>
      </c>
      <c r="E284" t="s">
        <v>0</v>
      </c>
    </row>
    <row r="285" spans="1:5" x14ac:dyDescent="0.2">
      <c r="A285">
        <v>2020</v>
      </c>
      <c r="B285">
        <f>IF(ISBLANK(E285),"",VLOOKUP(E285,Code!B:C,2,FALSE))</f>
        <v>2</v>
      </c>
      <c r="C285">
        <v>163268</v>
      </c>
      <c r="D285" t="s">
        <v>127</v>
      </c>
      <c r="E285" t="s">
        <v>1</v>
      </c>
    </row>
    <row r="286" spans="1:5" x14ac:dyDescent="0.2">
      <c r="A286">
        <v>2020</v>
      </c>
      <c r="B286">
        <f>IF(ISBLANK(E286),"",VLOOKUP(E286,Code!B:C,2,FALSE))</f>
        <v>12</v>
      </c>
      <c r="C286">
        <v>163268</v>
      </c>
      <c r="D286" t="s">
        <v>127</v>
      </c>
      <c r="E286" t="s">
        <v>27</v>
      </c>
    </row>
    <row r="287" spans="1:5" x14ac:dyDescent="0.2">
      <c r="A287">
        <v>2020</v>
      </c>
      <c r="B287">
        <f>IF(ISBLANK(E287),"",VLOOKUP(E287,Code!B:C,2,FALSE))</f>
        <v>17</v>
      </c>
      <c r="C287">
        <v>163268</v>
      </c>
      <c r="D287" t="s">
        <v>127</v>
      </c>
      <c r="E287" t="s">
        <v>5</v>
      </c>
    </row>
    <row r="288" spans="1:5" x14ac:dyDescent="0.2">
      <c r="A288">
        <v>2020</v>
      </c>
      <c r="B288">
        <f>IF(ISBLANK(E288),"",VLOOKUP(E288,Code!B:C,2,FALSE))</f>
        <v>19</v>
      </c>
      <c r="C288">
        <v>163268</v>
      </c>
      <c r="D288" t="s">
        <v>127</v>
      </c>
      <c r="E288" t="s">
        <v>7</v>
      </c>
    </row>
    <row r="289" spans="1:5" x14ac:dyDescent="0.2">
      <c r="A289">
        <v>2020</v>
      </c>
      <c r="B289">
        <f>IF(ISBLANK(E289),"",VLOOKUP(E289,Code!B:C,2,FALSE))</f>
        <v>21</v>
      </c>
      <c r="C289">
        <v>163268</v>
      </c>
      <c r="D289" t="s">
        <v>127</v>
      </c>
      <c r="E289" t="s">
        <v>36</v>
      </c>
    </row>
    <row r="290" spans="1:5" x14ac:dyDescent="0.2">
      <c r="A290">
        <v>2020</v>
      </c>
      <c r="B290">
        <f>IF(ISBLANK(E290),"",VLOOKUP(E290,Code!B:C,2,FALSE))</f>
        <v>18</v>
      </c>
      <c r="C290">
        <v>163268</v>
      </c>
      <c r="D290" t="s">
        <v>127</v>
      </c>
      <c r="E290" t="s">
        <v>6</v>
      </c>
    </row>
    <row r="291" spans="1:5" x14ac:dyDescent="0.2">
      <c r="A291">
        <v>2020</v>
      </c>
      <c r="B291">
        <f>IF(ISBLANK(E291),"",VLOOKUP(E291,Code!B:C,2,FALSE))</f>
        <v>23</v>
      </c>
      <c r="C291">
        <v>163268</v>
      </c>
      <c r="D291" t="s">
        <v>127</v>
      </c>
      <c r="E291" t="s">
        <v>10</v>
      </c>
    </row>
    <row r="292" spans="1:5" x14ac:dyDescent="0.2">
      <c r="A292">
        <v>2021</v>
      </c>
      <c r="B292">
        <f>IF(ISBLANK(E292),"",VLOOKUP(E292,Code!B:C,2,FALSE))</f>
        <v>1</v>
      </c>
      <c r="C292">
        <v>163268</v>
      </c>
      <c r="D292" t="s">
        <v>127</v>
      </c>
      <c r="E292" t="s">
        <v>0</v>
      </c>
    </row>
    <row r="293" spans="1:5" x14ac:dyDescent="0.2">
      <c r="A293">
        <v>2021</v>
      </c>
      <c r="B293">
        <f>IF(ISBLANK(E293),"",VLOOKUP(E293,Code!B:C,2,FALSE))</f>
        <v>2</v>
      </c>
      <c r="C293">
        <v>163268</v>
      </c>
      <c r="D293" t="s">
        <v>127</v>
      </c>
      <c r="E293" t="s">
        <v>1</v>
      </c>
    </row>
    <row r="294" spans="1:5" x14ac:dyDescent="0.2">
      <c r="A294">
        <v>2021</v>
      </c>
      <c r="B294">
        <f>IF(ISBLANK(E294),"",VLOOKUP(E294,Code!B:C,2,FALSE))</f>
        <v>12</v>
      </c>
      <c r="C294">
        <v>163268</v>
      </c>
      <c r="D294" t="s">
        <v>127</v>
      </c>
      <c r="E294" t="s">
        <v>27</v>
      </c>
    </row>
    <row r="295" spans="1:5" x14ac:dyDescent="0.2">
      <c r="A295">
        <v>2021</v>
      </c>
      <c r="B295">
        <f>IF(ISBLANK(E295),"",VLOOKUP(E295,Code!B:C,2,FALSE))</f>
        <v>17</v>
      </c>
      <c r="C295">
        <v>163268</v>
      </c>
      <c r="D295" t="s">
        <v>127</v>
      </c>
      <c r="E295" t="s">
        <v>5</v>
      </c>
    </row>
    <row r="296" spans="1:5" x14ac:dyDescent="0.2">
      <c r="A296">
        <v>2021</v>
      </c>
      <c r="B296">
        <f>IF(ISBLANK(E296),"",VLOOKUP(E296,Code!B:C,2,FALSE))</f>
        <v>19</v>
      </c>
      <c r="C296">
        <v>163268</v>
      </c>
      <c r="D296" t="s">
        <v>127</v>
      </c>
      <c r="E296" t="s">
        <v>7</v>
      </c>
    </row>
    <row r="297" spans="1:5" x14ac:dyDescent="0.2">
      <c r="A297">
        <v>2021</v>
      </c>
      <c r="B297">
        <f>IF(ISBLANK(E297),"",VLOOKUP(E297,Code!B:C,2,FALSE))</f>
        <v>21</v>
      </c>
      <c r="C297">
        <v>163268</v>
      </c>
      <c r="D297" t="s">
        <v>127</v>
      </c>
      <c r="E297" t="s">
        <v>36</v>
      </c>
    </row>
    <row r="298" spans="1:5" x14ac:dyDescent="0.2">
      <c r="A298">
        <v>2021</v>
      </c>
      <c r="B298">
        <f>IF(ISBLANK(E298),"",VLOOKUP(E298,Code!B:C,2,FALSE))</f>
        <v>18</v>
      </c>
      <c r="C298">
        <v>163268</v>
      </c>
      <c r="D298" t="s">
        <v>127</v>
      </c>
      <c r="E298" t="s">
        <v>6</v>
      </c>
    </row>
    <row r="299" spans="1:5" x14ac:dyDescent="0.2">
      <c r="A299">
        <v>2021</v>
      </c>
      <c r="B299">
        <f>IF(ISBLANK(E299),"",VLOOKUP(E299,Code!B:C,2,FALSE))</f>
        <v>23</v>
      </c>
      <c r="C299">
        <v>163268</v>
      </c>
      <c r="D299" t="s">
        <v>127</v>
      </c>
      <c r="E299" t="s">
        <v>10</v>
      </c>
    </row>
    <row r="300" spans="1:5" x14ac:dyDescent="0.2">
      <c r="A300">
        <v>2022</v>
      </c>
      <c r="B300">
        <f>IF(ISBLANK(E300),"",VLOOKUP(E300,Code!B:C,2,FALSE))</f>
        <v>1</v>
      </c>
      <c r="C300">
        <v>163268</v>
      </c>
      <c r="D300" t="s">
        <v>127</v>
      </c>
      <c r="E300" t="s">
        <v>0</v>
      </c>
    </row>
    <row r="301" spans="1:5" x14ac:dyDescent="0.2">
      <c r="A301">
        <v>2022</v>
      </c>
      <c r="B301">
        <f>IF(ISBLANK(E301),"",VLOOKUP(E301,Code!B:C,2,FALSE))</f>
        <v>2</v>
      </c>
      <c r="C301">
        <v>163268</v>
      </c>
      <c r="D301" t="s">
        <v>127</v>
      </c>
      <c r="E301" t="s">
        <v>1</v>
      </c>
    </row>
    <row r="302" spans="1:5" x14ac:dyDescent="0.2">
      <c r="A302">
        <v>2022</v>
      </c>
      <c r="B302">
        <f>IF(ISBLANK(E302),"",VLOOKUP(E302,Code!B:C,2,FALSE))</f>
        <v>12</v>
      </c>
      <c r="C302">
        <v>163268</v>
      </c>
      <c r="D302" t="s">
        <v>127</v>
      </c>
      <c r="E302" t="s">
        <v>27</v>
      </c>
    </row>
    <row r="303" spans="1:5" x14ac:dyDescent="0.2">
      <c r="A303">
        <v>2022</v>
      </c>
      <c r="B303">
        <f>IF(ISBLANK(E303),"",VLOOKUP(E303,Code!B:C,2,FALSE))</f>
        <v>17</v>
      </c>
      <c r="C303">
        <v>163268</v>
      </c>
      <c r="D303" t="s">
        <v>127</v>
      </c>
      <c r="E303" t="s">
        <v>5</v>
      </c>
    </row>
    <row r="304" spans="1:5" x14ac:dyDescent="0.2">
      <c r="A304">
        <v>2022</v>
      </c>
      <c r="B304">
        <f>IF(ISBLANK(E304),"",VLOOKUP(E304,Code!B:C,2,FALSE))</f>
        <v>19</v>
      </c>
      <c r="C304">
        <v>163268</v>
      </c>
      <c r="D304" t="s">
        <v>127</v>
      </c>
      <c r="E304" t="s">
        <v>7</v>
      </c>
    </row>
    <row r="305" spans="1:6" x14ac:dyDescent="0.2">
      <c r="A305">
        <v>2022</v>
      </c>
      <c r="B305">
        <f>IF(ISBLANK(E305),"",VLOOKUP(E305,Code!B:C,2,FALSE))</f>
        <v>21</v>
      </c>
      <c r="C305">
        <v>163268</v>
      </c>
      <c r="D305" t="s">
        <v>127</v>
      </c>
      <c r="E305" t="s">
        <v>36</v>
      </c>
    </row>
    <row r="306" spans="1:6" x14ac:dyDescent="0.2">
      <c r="A306">
        <v>2022</v>
      </c>
      <c r="B306">
        <f>IF(ISBLANK(E306),"",VLOOKUP(E306,Code!B:C,2,FALSE))</f>
        <v>18</v>
      </c>
      <c r="C306">
        <v>163268</v>
      </c>
      <c r="D306" t="s">
        <v>127</v>
      </c>
      <c r="E306" t="s">
        <v>6</v>
      </c>
    </row>
    <row r="307" spans="1:6" x14ac:dyDescent="0.2">
      <c r="A307">
        <v>2022</v>
      </c>
      <c r="B307">
        <f>IF(ISBLANK(E307),"",VLOOKUP(E307,Code!B:C,2,FALSE))</f>
        <v>23</v>
      </c>
      <c r="C307">
        <v>163268</v>
      </c>
      <c r="D307" t="s">
        <v>127</v>
      </c>
      <c r="E307" t="s">
        <v>10</v>
      </c>
    </row>
    <row r="308" spans="1:6" x14ac:dyDescent="0.2">
      <c r="A308">
        <v>2023</v>
      </c>
      <c r="B308">
        <f>IF(ISBLANK(E308),"",VLOOKUP(E308,Code!B:C,2,FALSE))</f>
        <v>1</v>
      </c>
      <c r="C308">
        <v>163268</v>
      </c>
      <c r="D308" t="s">
        <v>127</v>
      </c>
      <c r="E308" t="s">
        <v>0</v>
      </c>
    </row>
    <row r="309" spans="1:6" x14ac:dyDescent="0.2">
      <c r="A309">
        <v>2023</v>
      </c>
      <c r="B309">
        <f>IF(ISBLANK(E309),"",VLOOKUP(E309,Code!B:C,2,FALSE))</f>
        <v>2</v>
      </c>
      <c r="C309">
        <v>163268</v>
      </c>
      <c r="D309" t="s">
        <v>127</v>
      </c>
      <c r="E309" t="s">
        <v>1</v>
      </c>
    </row>
    <row r="310" spans="1:6" x14ac:dyDescent="0.2">
      <c r="A310">
        <v>2023</v>
      </c>
      <c r="B310">
        <f>IF(ISBLANK(E310),"",VLOOKUP(E310,Code!B:C,2,FALSE))</f>
        <v>12</v>
      </c>
      <c r="C310">
        <v>163268</v>
      </c>
      <c r="D310" t="s">
        <v>127</v>
      </c>
      <c r="E310" t="s">
        <v>27</v>
      </c>
    </row>
    <row r="311" spans="1:6" x14ac:dyDescent="0.2">
      <c r="A311">
        <v>2023</v>
      </c>
      <c r="B311">
        <f>IF(ISBLANK(E311),"",VLOOKUP(E311,Code!B:C,2,FALSE))</f>
        <v>17</v>
      </c>
      <c r="C311">
        <v>163268</v>
      </c>
      <c r="D311" t="s">
        <v>127</v>
      </c>
      <c r="E311" t="s">
        <v>5</v>
      </c>
    </row>
    <row r="312" spans="1:6" x14ac:dyDescent="0.2">
      <c r="A312">
        <v>2023</v>
      </c>
      <c r="B312">
        <f>IF(ISBLANK(E312),"",VLOOKUP(E312,Code!B:C,2,FALSE))</f>
        <v>19</v>
      </c>
      <c r="C312">
        <v>163268</v>
      </c>
      <c r="D312" t="s">
        <v>127</v>
      </c>
      <c r="E312" t="s">
        <v>7</v>
      </c>
    </row>
    <row r="313" spans="1:6" x14ac:dyDescent="0.2">
      <c r="A313">
        <v>2023</v>
      </c>
      <c r="B313">
        <f>IF(ISBLANK(E313),"",VLOOKUP(E313,Code!B:C,2,FALSE))</f>
        <v>21</v>
      </c>
      <c r="C313">
        <v>163268</v>
      </c>
      <c r="D313" t="s">
        <v>127</v>
      </c>
      <c r="E313" t="s">
        <v>9</v>
      </c>
    </row>
    <row r="314" spans="1:6" x14ac:dyDescent="0.2">
      <c r="A314">
        <v>2023</v>
      </c>
      <c r="B314">
        <f>IF(ISBLANK(E314),"",VLOOKUP(E314,Code!B:C,2,FALSE))</f>
        <v>18</v>
      </c>
      <c r="C314">
        <v>163268</v>
      </c>
      <c r="D314" t="s">
        <v>127</v>
      </c>
      <c r="E314" t="s">
        <v>6</v>
      </c>
    </row>
    <row r="315" spans="1:6" x14ac:dyDescent="0.2">
      <c r="A315">
        <v>2023</v>
      </c>
      <c r="B315">
        <f>IF(ISBLANK(E315),"",VLOOKUP(E315,Code!B:C,2,FALSE))</f>
        <v>23</v>
      </c>
      <c r="C315">
        <v>163268</v>
      </c>
      <c r="D315" t="s">
        <v>127</v>
      </c>
      <c r="E315" t="s">
        <v>10</v>
      </c>
    </row>
    <row r="316" spans="1:6" x14ac:dyDescent="0.2">
      <c r="A316">
        <v>2017</v>
      </c>
      <c r="B316">
        <f>IF(ISBLANK(E316),"",VLOOKUP(E316,Code!B:C,2,FALSE))</f>
        <v>1</v>
      </c>
      <c r="C316">
        <v>199218</v>
      </c>
      <c r="D316" t="s">
        <v>166</v>
      </c>
      <c r="E316" t="s">
        <v>0</v>
      </c>
      <c r="F316" s="6">
        <v>1491</v>
      </c>
    </row>
    <row r="317" spans="1:6" x14ac:dyDescent="0.2">
      <c r="A317">
        <v>2017</v>
      </c>
      <c r="B317">
        <f>IF(ISBLANK(E317),"",VLOOKUP(E317,Code!B:C,2,FALSE))</f>
        <v>2</v>
      </c>
      <c r="C317">
        <v>199218</v>
      </c>
      <c r="D317" t="s">
        <v>166</v>
      </c>
      <c r="E317" t="s">
        <v>1</v>
      </c>
    </row>
    <row r="318" spans="1:6" x14ac:dyDescent="0.2">
      <c r="A318">
        <v>2017</v>
      </c>
      <c r="B318">
        <f>IF(ISBLANK(E318),"",VLOOKUP(E318,Code!B:C,2,FALSE))</f>
        <v>3</v>
      </c>
      <c r="C318">
        <v>199218</v>
      </c>
      <c r="D318" t="s">
        <v>166</v>
      </c>
      <c r="E318" t="s">
        <v>21</v>
      </c>
    </row>
    <row r="319" spans="1:6" x14ac:dyDescent="0.2">
      <c r="A319">
        <v>2017</v>
      </c>
      <c r="B319">
        <f>IF(ISBLANK(E319),"",VLOOKUP(E319,Code!B:C,2,FALSE))</f>
        <v>9</v>
      </c>
      <c r="C319">
        <v>199218</v>
      </c>
      <c r="D319" t="s">
        <v>166</v>
      </c>
      <c r="E319" t="s">
        <v>3</v>
      </c>
    </row>
    <row r="320" spans="1:6" x14ac:dyDescent="0.2">
      <c r="A320">
        <v>2017</v>
      </c>
      <c r="B320">
        <f>IF(ISBLANK(E320),"",VLOOKUP(E320,Code!B:C,2,FALSE))</f>
        <v>17</v>
      </c>
      <c r="C320">
        <v>199218</v>
      </c>
      <c r="D320" t="s">
        <v>166</v>
      </c>
      <c r="E320" t="s">
        <v>5</v>
      </c>
    </row>
    <row r="321" spans="1:7" x14ac:dyDescent="0.2">
      <c r="A321">
        <v>2017</v>
      </c>
      <c r="B321">
        <f>IF(ISBLANK(E321),"",VLOOKUP(E321,Code!B:C,2,FALSE))</f>
        <v>18</v>
      </c>
      <c r="C321">
        <v>199218</v>
      </c>
      <c r="D321" t="s">
        <v>166</v>
      </c>
      <c r="E321" t="s">
        <v>6</v>
      </c>
    </row>
    <row r="322" spans="1:7" x14ac:dyDescent="0.2">
      <c r="A322">
        <v>2017</v>
      </c>
      <c r="B322">
        <f>IF(ISBLANK(E322),"",VLOOKUP(E322,Code!B:C,2,FALSE))</f>
        <v>19</v>
      </c>
      <c r="C322">
        <v>199218</v>
      </c>
      <c r="D322" t="s">
        <v>166</v>
      </c>
      <c r="E322" t="s">
        <v>7</v>
      </c>
    </row>
    <row r="323" spans="1:7" x14ac:dyDescent="0.2">
      <c r="A323">
        <v>2017</v>
      </c>
      <c r="B323">
        <f>IF(ISBLANK(E323),"",VLOOKUP(E323,Code!B:C,2,FALSE))</f>
        <v>20</v>
      </c>
      <c r="C323">
        <v>199218</v>
      </c>
      <c r="D323" t="s">
        <v>166</v>
      </c>
      <c r="E323" t="s">
        <v>8</v>
      </c>
    </row>
    <row r="324" spans="1:7" x14ac:dyDescent="0.2">
      <c r="A324">
        <v>2017</v>
      </c>
      <c r="B324">
        <f>IF(ISBLANK(E324),"",VLOOKUP(E324,Code!B:C,2,FALSE))</f>
        <v>21</v>
      </c>
      <c r="C324">
        <v>199218</v>
      </c>
      <c r="D324" t="s">
        <v>166</v>
      </c>
      <c r="E324" t="s">
        <v>36</v>
      </c>
      <c r="F324">
        <v>82</v>
      </c>
      <c r="G324">
        <v>82</v>
      </c>
    </row>
    <row r="325" spans="1:7" x14ac:dyDescent="0.2">
      <c r="A325">
        <v>2017</v>
      </c>
      <c r="B325">
        <f>IF(ISBLANK(E325),"",VLOOKUP(E325,Code!B:C,2,FALSE))</f>
        <v>23</v>
      </c>
      <c r="C325">
        <v>199218</v>
      </c>
      <c r="D325" t="s">
        <v>166</v>
      </c>
      <c r="E325" t="s">
        <v>10</v>
      </c>
    </row>
    <row r="326" spans="1:7" x14ac:dyDescent="0.2">
      <c r="A326">
        <v>2018</v>
      </c>
      <c r="B326">
        <f>IF(ISBLANK(E326),"",VLOOKUP(E326,Code!B:C,2,FALSE))</f>
        <v>1</v>
      </c>
      <c r="C326">
        <v>199218</v>
      </c>
      <c r="D326" t="s">
        <v>166</v>
      </c>
      <c r="E326" t="s">
        <v>0</v>
      </c>
    </row>
    <row r="327" spans="1:7" x14ac:dyDescent="0.2">
      <c r="A327">
        <v>2018</v>
      </c>
      <c r="B327">
        <f>IF(ISBLANK(E327),"",VLOOKUP(E327,Code!B:C,2,FALSE))</f>
        <v>2</v>
      </c>
      <c r="C327">
        <v>199218</v>
      </c>
      <c r="D327" t="s">
        <v>166</v>
      </c>
      <c r="E327" t="s">
        <v>1</v>
      </c>
    </row>
    <row r="328" spans="1:7" x14ac:dyDescent="0.2">
      <c r="A328">
        <v>2018</v>
      </c>
      <c r="B328">
        <f>IF(ISBLANK(E328),"",VLOOKUP(E328,Code!B:C,2,FALSE))</f>
        <v>9</v>
      </c>
      <c r="C328">
        <v>199218</v>
      </c>
      <c r="D328" t="s">
        <v>166</v>
      </c>
      <c r="E328" t="s">
        <v>3</v>
      </c>
    </row>
    <row r="329" spans="1:7" x14ac:dyDescent="0.2">
      <c r="A329">
        <v>2018</v>
      </c>
      <c r="B329">
        <f>IF(ISBLANK(E329),"",VLOOKUP(E329,Code!B:C,2,FALSE))</f>
        <v>17</v>
      </c>
      <c r="C329">
        <v>199218</v>
      </c>
      <c r="D329" t="s">
        <v>166</v>
      </c>
      <c r="E329" t="s">
        <v>5</v>
      </c>
    </row>
    <row r="330" spans="1:7" x14ac:dyDescent="0.2">
      <c r="A330">
        <v>2018</v>
      </c>
      <c r="B330">
        <f>IF(ISBLANK(E330),"",VLOOKUP(E330,Code!B:C,2,FALSE))</f>
        <v>19</v>
      </c>
      <c r="C330">
        <v>199218</v>
      </c>
      <c r="D330" t="s">
        <v>166</v>
      </c>
      <c r="E330" t="s">
        <v>7</v>
      </c>
    </row>
    <row r="331" spans="1:7" x14ac:dyDescent="0.2">
      <c r="A331">
        <v>2018</v>
      </c>
      <c r="B331">
        <f>IF(ISBLANK(E331),"",VLOOKUP(E331,Code!B:C,2,FALSE))</f>
        <v>20</v>
      </c>
      <c r="C331">
        <v>199218</v>
      </c>
      <c r="D331" t="s">
        <v>166</v>
      </c>
      <c r="E331" t="s">
        <v>8</v>
      </c>
    </row>
    <row r="332" spans="1:7" x14ac:dyDescent="0.2">
      <c r="A332">
        <v>2018</v>
      </c>
      <c r="B332">
        <f>IF(ISBLANK(E332),"",VLOOKUP(E332,Code!B:C,2,FALSE))</f>
        <v>21</v>
      </c>
      <c r="C332">
        <v>199218</v>
      </c>
      <c r="D332" t="s">
        <v>166</v>
      </c>
      <c r="E332" t="s">
        <v>36</v>
      </c>
      <c r="F332">
        <v>79</v>
      </c>
    </row>
    <row r="333" spans="1:7" x14ac:dyDescent="0.2">
      <c r="A333">
        <v>2018</v>
      </c>
      <c r="B333">
        <f>IF(ISBLANK(E333),"",VLOOKUP(E333,Code!B:C,2,FALSE))</f>
        <v>3</v>
      </c>
      <c r="C333">
        <v>199218</v>
      </c>
      <c r="D333" t="s">
        <v>166</v>
      </c>
      <c r="E333" t="s">
        <v>21</v>
      </c>
    </row>
    <row r="334" spans="1:7" x14ac:dyDescent="0.2">
      <c r="A334">
        <v>2018</v>
      </c>
      <c r="B334">
        <f>IF(ISBLANK(E334),"",VLOOKUP(E334,Code!B:C,2,FALSE))</f>
        <v>18</v>
      </c>
      <c r="C334">
        <v>199218</v>
      </c>
      <c r="D334" t="s">
        <v>166</v>
      </c>
      <c r="E334" t="s">
        <v>6</v>
      </c>
    </row>
    <row r="335" spans="1:7" x14ac:dyDescent="0.2">
      <c r="A335">
        <v>2018</v>
      </c>
      <c r="B335">
        <f>IF(ISBLANK(E335),"",VLOOKUP(E335,Code!B:C,2,FALSE))</f>
        <v>20</v>
      </c>
      <c r="C335">
        <v>199218</v>
      </c>
      <c r="D335" t="s">
        <v>166</v>
      </c>
      <c r="E335" t="s">
        <v>8</v>
      </c>
    </row>
    <row r="336" spans="1:7" x14ac:dyDescent="0.2">
      <c r="A336">
        <v>2018</v>
      </c>
      <c r="B336">
        <f>IF(ISBLANK(E336),"",VLOOKUP(E336,Code!B:C,2,FALSE))</f>
        <v>23</v>
      </c>
      <c r="C336">
        <v>199218</v>
      </c>
      <c r="D336" t="s">
        <v>166</v>
      </c>
      <c r="E336" t="s">
        <v>10</v>
      </c>
    </row>
    <row r="337" spans="1:5" x14ac:dyDescent="0.2">
      <c r="A337">
        <v>2019</v>
      </c>
      <c r="B337">
        <f>IF(ISBLANK(E337),"",VLOOKUP(E337,Code!B:C,2,FALSE))</f>
        <v>1</v>
      </c>
      <c r="C337">
        <v>199218</v>
      </c>
      <c r="D337" t="s">
        <v>166</v>
      </c>
      <c r="E337" t="s">
        <v>0</v>
      </c>
    </row>
    <row r="338" spans="1:5" x14ac:dyDescent="0.2">
      <c r="A338">
        <v>2019</v>
      </c>
      <c r="B338">
        <f>IF(ISBLANK(E338),"",VLOOKUP(E338,Code!B:C,2,FALSE))</f>
        <v>2</v>
      </c>
      <c r="C338">
        <v>199218</v>
      </c>
      <c r="D338" t="s">
        <v>166</v>
      </c>
      <c r="E338" t="s">
        <v>1</v>
      </c>
    </row>
    <row r="339" spans="1:5" x14ac:dyDescent="0.2">
      <c r="A339">
        <v>2019</v>
      </c>
      <c r="B339">
        <f>IF(ISBLANK(E339),"",VLOOKUP(E339,Code!B:C,2,FALSE))</f>
        <v>9</v>
      </c>
      <c r="C339">
        <v>199218</v>
      </c>
      <c r="D339" t="s">
        <v>166</v>
      </c>
      <c r="E339" t="s">
        <v>3</v>
      </c>
    </row>
    <row r="340" spans="1:5" x14ac:dyDescent="0.2">
      <c r="A340">
        <v>2019</v>
      </c>
      <c r="B340">
        <f>IF(ISBLANK(E340),"",VLOOKUP(E340,Code!B:C,2,FALSE))</f>
        <v>17</v>
      </c>
      <c r="C340">
        <v>199218</v>
      </c>
      <c r="D340" t="s">
        <v>166</v>
      </c>
      <c r="E340" t="s">
        <v>5</v>
      </c>
    </row>
    <row r="341" spans="1:5" x14ac:dyDescent="0.2">
      <c r="A341">
        <v>2019</v>
      </c>
      <c r="B341">
        <f>IF(ISBLANK(E341),"",VLOOKUP(E341,Code!B:C,2,FALSE))</f>
        <v>19</v>
      </c>
      <c r="C341">
        <v>199218</v>
      </c>
      <c r="D341" t="s">
        <v>166</v>
      </c>
      <c r="E341" t="s">
        <v>7</v>
      </c>
    </row>
    <row r="342" spans="1:5" x14ac:dyDescent="0.2">
      <c r="A342">
        <v>2019</v>
      </c>
      <c r="B342">
        <f>IF(ISBLANK(E342),"",VLOOKUP(E342,Code!B:C,2,FALSE))</f>
        <v>20</v>
      </c>
      <c r="C342">
        <v>199218</v>
      </c>
      <c r="D342" t="s">
        <v>166</v>
      </c>
      <c r="E342" t="s">
        <v>8</v>
      </c>
    </row>
    <row r="343" spans="1:5" x14ac:dyDescent="0.2">
      <c r="A343">
        <v>2019</v>
      </c>
      <c r="B343">
        <f>IF(ISBLANK(E343),"",VLOOKUP(E343,Code!B:C,2,FALSE))</f>
        <v>21</v>
      </c>
      <c r="C343">
        <v>199218</v>
      </c>
      <c r="D343" t="s">
        <v>166</v>
      </c>
      <c r="E343" t="s">
        <v>36</v>
      </c>
    </row>
    <row r="344" spans="1:5" x14ac:dyDescent="0.2">
      <c r="A344">
        <v>2019</v>
      </c>
      <c r="B344">
        <f>IF(ISBLANK(E344),"",VLOOKUP(E344,Code!B:C,2,FALSE))</f>
        <v>3</v>
      </c>
      <c r="C344">
        <v>199218</v>
      </c>
      <c r="D344" t="s">
        <v>166</v>
      </c>
      <c r="E344" t="s">
        <v>21</v>
      </c>
    </row>
    <row r="345" spans="1:5" x14ac:dyDescent="0.2">
      <c r="A345">
        <v>2019</v>
      </c>
      <c r="B345">
        <f>IF(ISBLANK(E345),"",VLOOKUP(E345,Code!B:C,2,FALSE))</f>
        <v>18</v>
      </c>
      <c r="C345">
        <v>199218</v>
      </c>
      <c r="D345" t="s">
        <v>166</v>
      </c>
      <c r="E345" t="s">
        <v>6</v>
      </c>
    </row>
    <row r="346" spans="1:5" x14ac:dyDescent="0.2">
      <c r="A346">
        <v>2019</v>
      </c>
      <c r="B346">
        <f>IF(ISBLANK(E346),"",VLOOKUP(E346,Code!B:C,2,FALSE))</f>
        <v>23</v>
      </c>
      <c r="C346">
        <v>199218</v>
      </c>
      <c r="D346" t="s">
        <v>166</v>
      </c>
      <c r="E346" t="s">
        <v>10</v>
      </c>
    </row>
    <row r="347" spans="1:5" x14ac:dyDescent="0.2">
      <c r="A347">
        <v>2020</v>
      </c>
      <c r="B347">
        <f>IF(ISBLANK(E347),"",VLOOKUP(E347,Code!B:C,2,FALSE))</f>
        <v>1</v>
      </c>
      <c r="C347">
        <v>199218</v>
      </c>
      <c r="D347" t="s">
        <v>166</v>
      </c>
      <c r="E347" t="s">
        <v>0</v>
      </c>
    </row>
    <row r="348" spans="1:5" x14ac:dyDescent="0.2">
      <c r="A348">
        <v>2020</v>
      </c>
      <c r="B348">
        <f>IF(ISBLANK(E348),"",VLOOKUP(E348,Code!B:C,2,FALSE))</f>
        <v>2</v>
      </c>
      <c r="C348">
        <v>199218</v>
      </c>
      <c r="D348" t="s">
        <v>166</v>
      </c>
      <c r="E348" t="s">
        <v>1</v>
      </c>
    </row>
    <row r="349" spans="1:5" x14ac:dyDescent="0.2">
      <c r="A349">
        <v>2020</v>
      </c>
      <c r="B349">
        <f>IF(ISBLANK(E349),"",VLOOKUP(E349,Code!B:C,2,FALSE))</f>
        <v>9</v>
      </c>
      <c r="C349">
        <v>199218</v>
      </c>
      <c r="D349" t="s">
        <v>166</v>
      </c>
      <c r="E349" t="s">
        <v>3</v>
      </c>
    </row>
    <row r="350" spans="1:5" x14ac:dyDescent="0.2">
      <c r="A350">
        <v>2020</v>
      </c>
      <c r="B350">
        <f>IF(ISBLANK(E350),"",VLOOKUP(E350,Code!B:C,2,FALSE))</f>
        <v>17</v>
      </c>
      <c r="C350">
        <v>199218</v>
      </c>
      <c r="D350" t="s">
        <v>166</v>
      </c>
      <c r="E350" t="s">
        <v>5</v>
      </c>
    </row>
    <row r="351" spans="1:5" x14ac:dyDescent="0.2">
      <c r="A351">
        <v>2020</v>
      </c>
      <c r="B351">
        <f>IF(ISBLANK(E351),"",VLOOKUP(E351,Code!B:C,2,FALSE))</f>
        <v>19</v>
      </c>
      <c r="C351">
        <v>199218</v>
      </c>
      <c r="D351" t="s">
        <v>166</v>
      </c>
      <c r="E351" t="s">
        <v>7</v>
      </c>
    </row>
    <row r="352" spans="1:5" x14ac:dyDescent="0.2">
      <c r="A352">
        <v>2020</v>
      </c>
      <c r="B352">
        <f>IF(ISBLANK(E352),"",VLOOKUP(E352,Code!B:C,2,FALSE))</f>
        <v>20</v>
      </c>
      <c r="C352">
        <v>199218</v>
      </c>
      <c r="D352" t="s">
        <v>166</v>
      </c>
      <c r="E352" t="s">
        <v>8</v>
      </c>
    </row>
    <row r="353" spans="1:6" x14ac:dyDescent="0.2">
      <c r="A353">
        <v>2020</v>
      </c>
      <c r="B353">
        <f>IF(ISBLANK(E353),"",VLOOKUP(E353,Code!B:C,2,FALSE))</f>
        <v>21</v>
      </c>
      <c r="C353">
        <v>199218</v>
      </c>
      <c r="D353" t="s">
        <v>166</v>
      </c>
      <c r="E353" t="s">
        <v>36</v>
      </c>
    </row>
    <row r="354" spans="1:6" x14ac:dyDescent="0.2">
      <c r="A354">
        <v>2020</v>
      </c>
      <c r="B354">
        <f>IF(ISBLANK(E354),"",VLOOKUP(E354,Code!B:C,2,FALSE))</f>
        <v>3</v>
      </c>
      <c r="C354">
        <v>199218</v>
      </c>
      <c r="D354" t="s">
        <v>166</v>
      </c>
      <c r="E354" t="s">
        <v>21</v>
      </c>
    </row>
    <row r="355" spans="1:6" x14ac:dyDescent="0.2">
      <c r="A355">
        <v>2020</v>
      </c>
      <c r="B355">
        <f>IF(ISBLANK(E355),"",VLOOKUP(E355,Code!B:C,2,FALSE))</f>
        <v>18</v>
      </c>
      <c r="C355">
        <v>199218</v>
      </c>
      <c r="D355" t="s">
        <v>166</v>
      </c>
      <c r="E355" t="s">
        <v>6</v>
      </c>
    </row>
    <row r="356" spans="1:6" x14ac:dyDescent="0.2">
      <c r="A356">
        <v>2020</v>
      </c>
      <c r="B356">
        <f>IF(ISBLANK(E356),"",VLOOKUP(E356,Code!B:C,2,FALSE))</f>
        <v>23</v>
      </c>
      <c r="C356">
        <v>199218</v>
      </c>
      <c r="D356" t="s">
        <v>166</v>
      </c>
      <c r="E356" t="s">
        <v>10</v>
      </c>
    </row>
    <row r="357" spans="1:6" x14ac:dyDescent="0.2">
      <c r="A357">
        <v>2021</v>
      </c>
      <c r="B357">
        <f>IF(ISBLANK(E357),"",VLOOKUP(E357,Code!B:C,2,FALSE))</f>
        <v>1</v>
      </c>
      <c r="C357">
        <v>199218</v>
      </c>
      <c r="D357" t="s">
        <v>166</v>
      </c>
      <c r="E357" t="s">
        <v>0</v>
      </c>
    </row>
    <row r="358" spans="1:6" x14ac:dyDescent="0.2">
      <c r="A358">
        <v>2021</v>
      </c>
      <c r="B358">
        <f>IF(ISBLANK(E358),"",VLOOKUP(E358,Code!B:C,2,FALSE))</f>
        <v>2</v>
      </c>
      <c r="C358">
        <v>199218</v>
      </c>
      <c r="D358" t="s">
        <v>166</v>
      </c>
      <c r="E358" t="s">
        <v>1</v>
      </c>
    </row>
    <row r="359" spans="1:6" x14ac:dyDescent="0.2">
      <c r="A359">
        <v>2021</v>
      </c>
      <c r="B359">
        <f>IF(ISBLANK(E359),"",VLOOKUP(E359,Code!B:C,2,FALSE))</f>
        <v>9</v>
      </c>
      <c r="C359">
        <v>199218</v>
      </c>
      <c r="D359" t="s">
        <v>166</v>
      </c>
      <c r="E359" t="s">
        <v>3</v>
      </c>
    </row>
    <row r="360" spans="1:6" x14ac:dyDescent="0.2">
      <c r="A360">
        <v>2021</v>
      </c>
      <c r="B360">
        <f>IF(ISBLANK(E360),"",VLOOKUP(E360,Code!B:C,2,FALSE))</f>
        <v>17</v>
      </c>
      <c r="C360">
        <v>199218</v>
      </c>
      <c r="D360" t="s">
        <v>166</v>
      </c>
      <c r="E360" t="s">
        <v>5</v>
      </c>
    </row>
    <row r="361" spans="1:6" x14ac:dyDescent="0.2">
      <c r="A361">
        <v>2021</v>
      </c>
      <c r="B361">
        <f>IF(ISBLANK(E361),"",VLOOKUP(E361,Code!B:C,2,FALSE))</f>
        <v>19</v>
      </c>
      <c r="C361">
        <v>199218</v>
      </c>
      <c r="D361" t="s">
        <v>166</v>
      </c>
      <c r="E361" t="s">
        <v>7</v>
      </c>
    </row>
    <row r="362" spans="1:6" x14ac:dyDescent="0.2">
      <c r="A362">
        <v>2021</v>
      </c>
      <c r="B362">
        <f>IF(ISBLANK(E362),"",VLOOKUP(E362,Code!B:C,2,FALSE))</f>
        <v>20</v>
      </c>
      <c r="C362">
        <v>199218</v>
      </c>
      <c r="D362" t="s">
        <v>166</v>
      </c>
      <c r="E362" t="s">
        <v>8</v>
      </c>
    </row>
    <row r="363" spans="1:6" x14ac:dyDescent="0.2">
      <c r="A363">
        <v>2021</v>
      </c>
      <c r="B363">
        <f>IF(ISBLANK(E363),"",VLOOKUP(E363,Code!B:C,2,FALSE))</f>
        <v>21</v>
      </c>
      <c r="C363">
        <v>199218</v>
      </c>
      <c r="D363" t="s">
        <v>166</v>
      </c>
      <c r="E363" t="s">
        <v>36</v>
      </c>
    </row>
    <row r="364" spans="1:6" x14ac:dyDescent="0.2">
      <c r="A364">
        <v>2021</v>
      </c>
      <c r="B364">
        <f>IF(ISBLANK(E364),"",VLOOKUP(E364,Code!B:C,2,FALSE))</f>
        <v>3</v>
      </c>
      <c r="C364">
        <v>199218</v>
      </c>
      <c r="D364" t="s">
        <v>166</v>
      </c>
      <c r="E364" t="s">
        <v>21</v>
      </c>
    </row>
    <row r="365" spans="1:6" x14ac:dyDescent="0.2">
      <c r="A365">
        <v>2021</v>
      </c>
      <c r="B365">
        <f>IF(ISBLANK(E365),"",VLOOKUP(E365,Code!B:C,2,FALSE))</f>
        <v>18</v>
      </c>
      <c r="C365">
        <v>199218</v>
      </c>
      <c r="D365" t="s">
        <v>166</v>
      </c>
      <c r="E365" t="s">
        <v>6</v>
      </c>
    </row>
    <row r="366" spans="1:6" x14ac:dyDescent="0.2">
      <c r="A366">
        <v>2021</v>
      </c>
      <c r="B366">
        <f>IF(ISBLANK(E366),"",VLOOKUP(E366,Code!B:C,2,FALSE))</f>
        <v>23</v>
      </c>
      <c r="C366">
        <v>199218</v>
      </c>
      <c r="D366" t="s">
        <v>166</v>
      </c>
      <c r="E366" t="s">
        <v>10</v>
      </c>
    </row>
    <row r="367" spans="1:6" x14ac:dyDescent="0.2">
      <c r="A367">
        <v>2022</v>
      </c>
      <c r="B367">
        <f>IF(ISBLANK(E367),"",VLOOKUP(E367,Code!B:C,2,FALSE))</f>
        <v>1</v>
      </c>
      <c r="C367">
        <v>199218</v>
      </c>
      <c r="D367" t="s">
        <v>166</v>
      </c>
      <c r="E367" t="s">
        <v>0</v>
      </c>
      <c r="F367" s="6">
        <v>2080</v>
      </c>
    </row>
    <row r="368" spans="1:6" x14ac:dyDescent="0.2">
      <c r="A368">
        <v>2022</v>
      </c>
      <c r="B368">
        <f>IF(ISBLANK(E368),"",VLOOKUP(E368,Code!B:C,2,FALSE))</f>
        <v>2</v>
      </c>
      <c r="C368">
        <v>199218</v>
      </c>
      <c r="D368" t="s">
        <v>166</v>
      </c>
      <c r="E368" t="s">
        <v>1</v>
      </c>
      <c r="F368" s="6">
        <v>1285</v>
      </c>
    </row>
    <row r="369" spans="1:7" x14ac:dyDescent="0.2">
      <c r="A369">
        <v>2022</v>
      </c>
      <c r="B369">
        <f>IF(ISBLANK(E369),"",VLOOKUP(E369,Code!B:C,2,FALSE))</f>
        <v>9</v>
      </c>
      <c r="C369">
        <v>199218</v>
      </c>
      <c r="D369" t="s">
        <v>166</v>
      </c>
      <c r="E369" t="s">
        <v>3</v>
      </c>
      <c r="F369" s="6">
        <v>4587</v>
      </c>
      <c r="G369">
        <v>114</v>
      </c>
    </row>
    <row r="370" spans="1:7" x14ac:dyDescent="0.2">
      <c r="A370">
        <v>2022</v>
      </c>
      <c r="B370">
        <f>IF(ISBLANK(E370),"",VLOOKUP(E370,Code!B:C,2,FALSE))</f>
        <v>17</v>
      </c>
      <c r="C370">
        <v>199218</v>
      </c>
      <c r="D370" t="s">
        <v>166</v>
      </c>
      <c r="E370" t="s">
        <v>5</v>
      </c>
    </row>
    <row r="371" spans="1:7" x14ac:dyDescent="0.2">
      <c r="A371">
        <v>2022</v>
      </c>
      <c r="B371">
        <f>IF(ISBLANK(E371),"",VLOOKUP(E371,Code!B:C,2,FALSE))</f>
        <v>19</v>
      </c>
      <c r="C371">
        <v>199218</v>
      </c>
      <c r="D371" t="s">
        <v>166</v>
      </c>
      <c r="E371" t="s">
        <v>7</v>
      </c>
    </row>
    <row r="372" spans="1:7" x14ac:dyDescent="0.2">
      <c r="A372">
        <v>2022</v>
      </c>
      <c r="B372">
        <f>IF(ISBLANK(E372),"",VLOOKUP(E372,Code!B:C,2,FALSE))</f>
        <v>20</v>
      </c>
      <c r="C372">
        <v>199218</v>
      </c>
      <c r="D372" t="s">
        <v>166</v>
      </c>
      <c r="E372" t="s">
        <v>8</v>
      </c>
      <c r="F372">
        <v>63</v>
      </c>
      <c r="G372">
        <v>233</v>
      </c>
    </row>
    <row r="373" spans="1:7" x14ac:dyDescent="0.2">
      <c r="A373">
        <v>2022</v>
      </c>
      <c r="B373">
        <f>IF(ISBLANK(E373),"",VLOOKUP(E373,Code!B:C,2,FALSE))</f>
        <v>21</v>
      </c>
      <c r="C373">
        <v>199218</v>
      </c>
      <c r="D373" t="s">
        <v>166</v>
      </c>
      <c r="E373" t="s">
        <v>36</v>
      </c>
    </row>
    <row r="374" spans="1:7" x14ac:dyDescent="0.2">
      <c r="A374">
        <v>2022</v>
      </c>
      <c r="B374">
        <f>IF(ISBLANK(E374),"",VLOOKUP(E374,Code!B:C,2,FALSE))</f>
        <v>3</v>
      </c>
      <c r="C374">
        <v>199218</v>
      </c>
      <c r="D374" t="s">
        <v>166</v>
      </c>
      <c r="E374" t="s">
        <v>21</v>
      </c>
    </row>
    <row r="375" spans="1:7" x14ac:dyDescent="0.2">
      <c r="A375">
        <v>2022</v>
      </c>
      <c r="B375">
        <f>IF(ISBLANK(E375),"",VLOOKUP(E375,Code!B:C,2,FALSE))</f>
        <v>18</v>
      </c>
      <c r="C375">
        <v>199218</v>
      </c>
      <c r="D375" t="s">
        <v>166</v>
      </c>
      <c r="E375" t="s">
        <v>6</v>
      </c>
    </row>
    <row r="376" spans="1:7" x14ac:dyDescent="0.2">
      <c r="A376">
        <v>2022</v>
      </c>
      <c r="B376">
        <f>IF(ISBLANK(E376),"",VLOOKUP(E376,Code!B:C,2,FALSE))</f>
        <v>23</v>
      </c>
      <c r="C376">
        <v>199218</v>
      </c>
      <c r="D376" t="s">
        <v>166</v>
      </c>
      <c r="E376" t="s">
        <v>10</v>
      </c>
      <c r="G376" s="6">
        <v>1541</v>
      </c>
    </row>
    <row r="377" spans="1:7" x14ac:dyDescent="0.2">
      <c r="A377">
        <v>2023</v>
      </c>
      <c r="B377">
        <f>IF(ISBLANK(E377),"",VLOOKUP(E377,Code!B:C,2,FALSE))</f>
        <v>1</v>
      </c>
      <c r="C377">
        <v>199218</v>
      </c>
      <c r="D377" t="s">
        <v>166</v>
      </c>
      <c r="E377" t="s">
        <v>0</v>
      </c>
    </row>
    <row r="378" spans="1:7" x14ac:dyDescent="0.2">
      <c r="A378">
        <v>2023</v>
      </c>
      <c r="B378">
        <f>IF(ISBLANK(E378),"",VLOOKUP(E378,Code!B:C,2,FALSE))</f>
        <v>2</v>
      </c>
      <c r="C378">
        <v>199218</v>
      </c>
      <c r="D378" t="s">
        <v>166</v>
      </c>
      <c r="E378" t="s">
        <v>1</v>
      </c>
      <c r="F378" s="6">
        <v>1727</v>
      </c>
    </row>
    <row r="379" spans="1:7" x14ac:dyDescent="0.2">
      <c r="A379">
        <v>2023</v>
      </c>
      <c r="B379">
        <f>IF(ISBLANK(E379),"",VLOOKUP(E379,Code!B:C,2,FALSE))</f>
        <v>9</v>
      </c>
      <c r="C379">
        <v>199218</v>
      </c>
      <c r="D379" t="s">
        <v>166</v>
      </c>
      <c r="E379" t="s">
        <v>3</v>
      </c>
      <c r="G379">
        <v>573</v>
      </c>
    </row>
    <row r="380" spans="1:7" x14ac:dyDescent="0.2">
      <c r="A380">
        <v>2023</v>
      </c>
      <c r="B380">
        <f>IF(ISBLANK(E380),"",VLOOKUP(E380,Code!B:C,2,FALSE))</f>
        <v>17</v>
      </c>
      <c r="C380">
        <v>199218</v>
      </c>
      <c r="D380" t="s">
        <v>166</v>
      </c>
      <c r="E380" t="s">
        <v>5</v>
      </c>
    </row>
    <row r="381" spans="1:7" x14ac:dyDescent="0.2">
      <c r="A381">
        <v>2023</v>
      </c>
      <c r="B381">
        <f>IF(ISBLANK(E381),"",VLOOKUP(E381,Code!B:C,2,FALSE))</f>
        <v>19</v>
      </c>
      <c r="C381">
        <v>199218</v>
      </c>
      <c r="D381" t="s">
        <v>166</v>
      </c>
      <c r="E381" t="s">
        <v>7</v>
      </c>
    </row>
    <row r="382" spans="1:7" x14ac:dyDescent="0.2">
      <c r="A382">
        <v>2023</v>
      </c>
      <c r="B382">
        <f>IF(ISBLANK(E382),"",VLOOKUP(E382,Code!B:C,2,FALSE))</f>
        <v>20</v>
      </c>
      <c r="C382">
        <v>199218</v>
      </c>
      <c r="D382" t="s">
        <v>166</v>
      </c>
      <c r="E382" t="s">
        <v>8</v>
      </c>
    </row>
    <row r="383" spans="1:7" x14ac:dyDescent="0.2">
      <c r="A383">
        <v>2023</v>
      </c>
      <c r="B383">
        <f>IF(ISBLANK(E383),"",VLOOKUP(E383,Code!B:C,2,FALSE))</f>
        <v>21</v>
      </c>
      <c r="C383">
        <v>199218</v>
      </c>
      <c r="D383" t="s">
        <v>166</v>
      </c>
      <c r="E383" t="s">
        <v>9</v>
      </c>
      <c r="G383">
        <v>260</v>
      </c>
    </row>
    <row r="384" spans="1:7" x14ac:dyDescent="0.2">
      <c r="A384">
        <v>2023</v>
      </c>
      <c r="B384">
        <f>IF(ISBLANK(E384),"",VLOOKUP(E384,Code!B:C,2,FALSE))</f>
        <v>3</v>
      </c>
      <c r="C384">
        <v>199218</v>
      </c>
      <c r="D384" t="s">
        <v>166</v>
      </c>
      <c r="E384" t="s">
        <v>21</v>
      </c>
    </row>
    <row r="385" spans="1:7" x14ac:dyDescent="0.2">
      <c r="A385">
        <v>2023</v>
      </c>
      <c r="B385">
        <f>IF(ISBLANK(E385),"",VLOOKUP(E385,Code!B:C,2,FALSE))</f>
        <v>18</v>
      </c>
      <c r="C385">
        <v>199218</v>
      </c>
      <c r="D385" t="s">
        <v>166</v>
      </c>
      <c r="E385" t="s">
        <v>6</v>
      </c>
    </row>
    <row r="386" spans="1:7" x14ac:dyDescent="0.2">
      <c r="A386">
        <v>2023</v>
      </c>
      <c r="B386">
        <f>IF(ISBLANK(E386),"",VLOOKUP(E386,Code!B:C,2,FALSE))</f>
        <v>23</v>
      </c>
      <c r="C386">
        <v>199218</v>
      </c>
      <c r="D386" t="s">
        <v>166</v>
      </c>
      <c r="E386" t="s">
        <v>10</v>
      </c>
      <c r="G386">
        <v>198</v>
      </c>
    </row>
    <row r="387" spans="1:7" x14ac:dyDescent="0.2">
      <c r="A387">
        <v>2017</v>
      </c>
      <c r="B387">
        <f>IF(ISBLANK(E387),"",VLOOKUP(E387,Code!B:C,2,FALSE))</f>
        <v>1</v>
      </c>
      <c r="C387">
        <v>209542</v>
      </c>
      <c r="D387" t="s">
        <v>183</v>
      </c>
      <c r="E387" t="s">
        <v>0</v>
      </c>
      <c r="F387" s="6">
        <v>9579</v>
      </c>
    </row>
    <row r="388" spans="1:7" x14ac:dyDescent="0.2">
      <c r="A388">
        <v>2017</v>
      </c>
      <c r="B388">
        <f>IF(ISBLANK(E388),"",VLOOKUP(E388,Code!B:C,2,FALSE))</f>
        <v>2</v>
      </c>
      <c r="C388">
        <v>209542</v>
      </c>
      <c r="D388" t="s">
        <v>183</v>
      </c>
      <c r="E388" t="s">
        <v>1</v>
      </c>
      <c r="F388" s="6">
        <v>13834</v>
      </c>
      <c r="G388" s="6">
        <v>17085</v>
      </c>
    </row>
    <row r="389" spans="1:7" x14ac:dyDescent="0.2">
      <c r="A389">
        <v>2017</v>
      </c>
      <c r="B389">
        <f>IF(ISBLANK(E389),"",VLOOKUP(E389,Code!B:C,2,FALSE))</f>
        <v>8</v>
      </c>
      <c r="C389">
        <v>209542</v>
      </c>
      <c r="D389" t="s">
        <v>183</v>
      </c>
      <c r="E389" t="s">
        <v>2</v>
      </c>
      <c r="F389" s="6">
        <v>71323</v>
      </c>
    </row>
    <row r="390" spans="1:7" x14ac:dyDescent="0.2">
      <c r="A390">
        <v>2017</v>
      </c>
      <c r="B390">
        <f>IF(ISBLANK(E390),"",VLOOKUP(E390,Code!B:C,2,FALSE))</f>
        <v>25</v>
      </c>
      <c r="C390">
        <v>209542</v>
      </c>
      <c r="D390" t="s">
        <v>183</v>
      </c>
      <c r="E390" t="s">
        <v>35</v>
      </c>
    </row>
    <row r="391" spans="1:7" x14ac:dyDescent="0.2">
      <c r="A391">
        <v>2017</v>
      </c>
      <c r="B391">
        <f>IF(ISBLANK(E391),"",VLOOKUP(E391,Code!B:C,2,FALSE))</f>
        <v>9</v>
      </c>
      <c r="C391">
        <v>209542</v>
      </c>
      <c r="D391" t="s">
        <v>183</v>
      </c>
      <c r="E391" t="s">
        <v>3</v>
      </c>
      <c r="F391" s="6">
        <v>3013</v>
      </c>
      <c r="G391" s="6">
        <v>1468</v>
      </c>
    </row>
    <row r="392" spans="1:7" x14ac:dyDescent="0.2">
      <c r="A392">
        <v>2017</v>
      </c>
      <c r="B392">
        <f>IF(ISBLANK(E392),"",VLOOKUP(E392,Code!B:C,2,FALSE))</f>
        <v>10</v>
      </c>
      <c r="C392">
        <v>209542</v>
      </c>
      <c r="D392" t="s">
        <v>183</v>
      </c>
      <c r="E392" t="s">
        <v>4</v>
      </c>
      <c r="G392" s="6">
        <v>1698</v>
      </c>
    </row>
    <row r="393" spans="1:7" x14ac:dyDescent="0.2">
      <c r="A393">
        <v>2017</v>
      </c>
      <c r="B393">
        <f>IF(ISBLANK(E393),"",VLOOKUP(E393,Code!B:C,2,FALSE))</f>
        <v>14</v>
      </c>
      <c r="C393">
        <v>209542</v>
      </c>
      <c r="D393" t="s">
        <v>183</v>
      </c>
      <c r="E393" t="s">
        <v>29</v>
      </c>
      <c r="G393" s="6">
        <v>4145</v>
      </c>
    </row>
    <row r="394" spans="1:7" x14ac:dyDescent="0.2">
      <c r="A394">
        <v>2017</v>
      </c>
      <c r="B394">
        <f>IF(ISBLANK(E394),"",VLOOKUP(E394,Code!B:C,2,FALSE))</f>
        <v>17</v>
      </c>
      <c r="C394">
        <v>209542</v>
      </c>
      <c r="D394" t="s">
        <v>183</v>
      </c>
      <c r="E394" t="s">
        <v>5</v>
      </c>
      <c r="F394">
        <v>296</v>
      </c>
      <c r="G394" s="6">
        <v>5844</v>
      </c>
    </row>
    <row r="395" spans="1:7" x14ac:dyDescent="0.2">
      <c r="A395">
        <v>2017</v>
      </c>
      <c r="B395">
        <f>IF(ISBLANK(E395),"",VLOOKUP(E395,Code!B:C,2,FALSE))</f>
        <v>18</v>
      </c>
      <c r="C395">
        <v>209542</v>
      </c>
      <c r="D395" t="s">
        <v>183</v>
      </c>
      <c r="E395" t="s">
        <v>6</v>
      </c>
      <c r="G395" s="6">
        <v>1076</v>
      </c>
    </row>
    <row r="396" spans="1:7" x14ac:dyDescent="0.2">
      <c r="A396">
        <v>2017</v>
      </c>
      <c r="B396">
        <f>IF(ISBLANK(E396),"",VLOOKUP(E396,Code!B:C,2,FALSE))</f>
        <v>19</v>
      </c>
      <c r="C396">
        <v>209542</v>
      </c>
      <c r="D396" t="s">
        <v>183</v>
      </c>
      <c r="E396" t="s">
        <v>7</v>
      </c>
      <c r="G396" s="6">
        <v>1976</v>
      </c>
    </row>
    <row r="397" spans="1:7" x14ac:dyDescent="0.2">
      <c r="A397">
        <v>2017</v>
      </c>
      <c r="B397">
        <f>IF(ISBLANK(E397),"",VLOOKUP(E397,Code!B:C,2,FALSE))</f>
        <v>21</v>
      </c>
      <c r="C397">
        <v>209542</v>
      </c>
      <c r="D397" t="s">
        <v>183</v>
      </c>
      <c r="E397" t="s">
        <v>36</v>
      </c>
      <c r="G397">
        <v>470</v>
      </c>
    </row>
    <row r="398" spans="1:7" x14ac:dyDescent="0.2">
      <c r="A398">
        <v>2017</v>
      </c>
      <c r="B398">
        <f>IF(ISBLANK(E398),"",VLOOKUP(E398,Code!B:C,2,FALSE))</f>
        <v>23</v>
      </c>
      <c r="C398">
        <v>209542</v>
      </c>
      <c r="D398" t="s">
        <v>183</v>
      </c>
      <c r="E398" t="s">
        <v>10</v>
      </c>
      <c r="G398" s="6">
        <v>5134</v>
      </c>
    </row>
    <row r="399" spans="1:7" x14ac:dyDescent="0.2">
      <c r="A399">
        <v>2018</v>
      </c>
      <c r="B399">
        <f>IF(ISBLANK(E399),"",VLOOKUP(E399,Code!B:C,2,FALSE))</f>
        <v>1</v>
      </c>
      <c r="C399">
        <v>209542</v>
      </c>
      <c r="D399" t="s">
        <v>183</v>
      </c>
      <c r="E399" t="s">
        <v>0</v>
      </c>
      <c r="F399" s="6">
        <v>29999</v>
      </c>
    </row>
    <row r="400" spans="1:7" x14ac:dyDescent="0.2">
      <c r="A400">
        <v>2018</v>
      </c>
      <c r="B400">
        <f>IF(ISBLANK(E400),"",VLOOKUP(E400,Code!B:C,2,FALSE))</f>
        <v>2</v>
      </c>
      <c r="C400">
        <v>209542</v>
      </c>
      <c r="D400" t="s">
        <v>183</v>
      </c>
      <c r="E400" t="s">
        <v>1</v>
      </c>
      <c r="F400" s="6">
        <v>47158</v>
      </c>
      <c r="G400" s="6">
        <v>57385</v>
      </c>
    </row>
    <row r="401" spans="1:7" x14ac:dyDescent="0.2">
      <c r="A401">
        <v>2018</v>
      </c>
      <c r="B401">
        <f>IF(ISBLANK(E401),"",VLOOKUP(E401,Code!B:C,2,FALSE))</f>
        <v>8</v>
      </c>
      <c r="C401">
        <v>209542</v>
      </c>
      <c r="D401" t="s">
        <v>183</v>
      </c>
      <c r="E401" t="s">
        <v>2</v>
      </c>
      <c r="F401" s="6">
        <v>136280</v>
      </c>
    </row>
    <row r="402" spans="1:7" x14ac:dyDescent="0.2">
      <c r="A402">
        <v>2018</v>
      </c>
      <c r="B402">
        <f>IF(ISBLANK(E402),"",VLOOKUP(E402,Code!B:C,2,FALSE))</f>
        <v>25</v>
      </c>
      <c r="C402">
        <v>209542</v>
      </c>
      <c r="D402" t="s">
        <v>183</v>
      </c>
      <c r="E402" t="s">
        <v>35</v>
      </c>
      <c r="F402" s="6">
        <v>13318</v>
      </c>
    </row>
    <row r="403" spans="1:7" x14ac:dyDescent="0.2">
      <c r="A403">
        <v>2018</v>
      </c>
      <c r="B403">
        <f>IF(ISBLANK(E403),"",VLOOKUP(E403,Code!B:C,2,FALSE))</f>
        <v>9</v>
      </c>
      <c r="C403">
        <v>209542</v>
      </c>
      <c r="D403" t="s">
        <v>183</v>
      </c>
      <c r="E403" t="s">
        <v>3</v>
      </c>
      <c r="F403" s="6">
        <v>6024</v>
      </c>
      <c r="G403" s="6">
        <v>3186</v>
      </c>
    </row>
    <row r="404" spans="1:7" x14ac:dyDescent="0.2">
      <c r="A404">
        <v>2018</v>
      </c>
      <c r="B404">
        <f>IF(ISBLANK(E404),"",VLOOKUP(E404,Code!B:C,2,FALSE))</f>
        <v>10</v>
      </c>
      <c r="C404">
        <v>209542</v>
      </c>
      <c r="D404" t="s">
        <v>183</v>
      </c>
      <c r="E404" t="s">
        <v>4</v>
      </c>
      <c r="G404" s="6">
        <v>6663</v>
      </c>
    </row>
    <row r="405" spans="1:7" x14ac:dyDescent="0.2">
      <c r="A405">
        <v>2018</v>
      </c>
      <c r="B405">
        <f>IF(ISBLANK(E405),"",VLOOKUP(E405,Code!B:C,2,FALSE))</f>
        <v>14</v>
      </c>
      <c r="C405">
        <v>209542</v>
      </c>
      <c r="D405" t="s">
        <v>183</v>
      </c>
      <c r="E405" t="s">
        <v>29</v>
      </c>
      <c r="G405">
        <v>734</v>
      </c>
    </row>
    <row r="406" spans="1:7" x14ac:dyDescent="0.2">
      <c r="A406">
        <v>2018</v>
      </c>
      <c r="B406">
        <f>IF(ISBLANK(E406),"",VLOOKUP(E406,Code!B:C,2,FALSE))</f>
        <v>17</v>
      </c>
      <c r="C406">
        <v>209542</v>
      </c>
      <c r="D406" t="s">
        <v>183</v>
      </c>
      <c r="E406" t="s">
        <v>5</v>
      </c>
      <c r="F406" s="6">
        <v>5000</v>
      </c>
      <c r="G406" s="6">
        <v>6526</v>
      </c>
    </row>
    <row r="407" spans="1:7" x14ac:dyDescent="0.2">
      <c r="A407">
        <v>2018</v>
      </c>
      <c r="B407">
        <f>IF(ISBLANK(E407),"",VLOOKUP(E407,Code!B:C,2,FALSE))</f>
        <v>18</v>
      </c>
      <c r="C407">
        <v>209542</v>
      </c>
      <c r="D407" t="s">
        <v>183</v>
      </c>
      <c r="E407" t="s">
        <v>6</v>
      </c>
      <c r="G407" s="6">
        <v>1650</v>
      </c>
    </row>
    <row r="408" spans="1:7" x14ac:dyDescent="0.2">
      <c r="A408">
        <v>2018</v>
      </c>
      <c r="B408">
        <f>IF(ISBLANK(E408),"",VLOOKUP(E408,Code!B:C,2,FALSE))</f>
        <v>19</v>
      </c>
      <c r="C408">
        <v>209542</v>
      </c>
      <c r="D408" t="s">
        <v>183</v>
      </c>
      <c r="E408" t="s">
        <v>7</v>
      </c>
      <c r="G408" s="6">
        <v>8615</v>
      </c>
    </row>
    <row r="409" spans="1:7" x14ac:dyDescent="0.2">
      <c r="A409">
        <v>2018</v>
      </c>
      <c r="B409">
        <f>IF(ISBLANK(E409),"",VLOOKUP(E409,Code!B:C,2,FALSE))</f>
        <v>21</v>
      </c>
      <c r="C409">
        <v>209542</v>
      </c>
      <c r="D409" t="s">
        <v>183</v>
      </c>
      <c r="E409" t="s">
        <v>36</v>
      </c>
      <c r="G409" s="6">
        <v>2353</v>
      </c>
    </row>
    <row r="410" spans="1:7" x14ac:dyDescent="0.2">
      <c r="A410">
        <v>2018</v>
      </c>
      <c r="B410">
        <f>IF(ISBLANK(E410),"",VLOOKUP(E410,Code!B:C,2,FALSE))</f>
        <v>23</v>
      </c>
      <c r="C410">
        <v>209542</v>
      </c>
      <c r="D410" t="s">
        <v>183</v>
      </c>
      <c r="E410" t="s">
        <v>10</v>
      </c>
      <c r="G410" s="6">
        <v>13693</v>
      </c>
    </row>
    <row r="411" spans="1:7" x14ac:dyDescent="0.2">
      <c r="A411">
        <v>2019</v>
      </c>
      <c r="B411">
        <f>IF(ISBLANK(E411),"",VLOOKUP(E411,Code!B:C,2,FALSE))</f>
        <v>1</v>
      </c>
      <c r="C411">
        <v>209542</v>
      </c>
      <c r="D411" t="s">
        <v>183</v>
      </c>
      <c r="E411" t="s">
        <v>0</v>
      </c>
      <c r="F411" s="6">
        <v>27584</v>
      </c>
    </row>
    <row r="412" spans="1:7" x14ac:dyDescent="0.2">
      <c r="A412">
        <v>2019</v>
      </c>
      <c r="B412">
        <f>IF(ISBLANK(E412),"",VLOOKUP(E412,Code!B:C,2,FALSE))</f>
        <v>2</v>
      </c>
      <c r="C412">
        <v>209542</v>
      </c>
      <c r="D412" t="s">
        <v>183</v>
      </c>
      <c r="E412" t="s">
        <v>1</v>
      </c>
      <c r="F412" s="6">
        <v>36562</v>
      </c>
      <c r="G412" s="6">
        <v>45554</v>
      </c>
    </row>
    <row r="413" spans="1:7" x14ac:dyDescent="0.2">
      <c r="A413">
        <v>2019</v>
      </c>
      <c r="B413">
        <f>IF(ISBLANK(E413),"",VLOOKUP(E413,Code!B:C,2,FALSE))</f>
        <v>8</v>
      </c>
      <c r="C413">
        <v>209542</v>
      </c>
      <c r="D413" t="s">
        <v>183</v>
      </c>
      <c r="E413" t="s">
        <v>2</v>
      </c>
      <c r="F413" s="6">
        <v>167590</v>
      </c>
    </row>
    <row r="414" spans="1:7" x14ac:dyDescent="0.2">
      <c r="A414">
        <v>2019</v>
      </c>
      <c r="B414">
        <f>IF(ISBLANK(E414),"",VLOOKUP(E414,Code!B:C,2,FALSE))</f>
        <v>9</v>
      </c>
      <c r="C414">
        <v>209542</v>
      </c>
      <c r="D414" t="s">
        <v>183</v>
      </c>
      <c r="E414" t="s">
        <v>3</v>
      </c>
      <c r="F414" s="6">
        <v>6752</v>
      </c>
      <c r="G414" s="6">
        <v>4529</v>
      </c>
    </row>
    <row r="415" spans="1:7" x14ac:dyDescent="0.2">
      <c r="A415">
        <v>2019</v>
      </c>
      <c r="B415">
        <f>IF(ISBLANK(E415),"",VLOOKUP(E415,Code!B:C,2,FALSE))</f>
        <v>17</v>
      </c>
      <c r="C415">
        <v>209542</v>
      </c>
      <c r="D415" t="s">
        <v>183</v>
      </c>
      <c r="E415" t="s">
        <v>5</v>
      </c>
    </row>
    <row r="416" spans="1:7" x14ac:dyDescent="0.2">
      <c r="A416">
        <v>2019</v>
      </c>
      <c r="B416">
        <f>IF(ISBLANK(E416),"",VLOOKUP(E416,Code!B:C,2,FALSE))</f>
        <v>25</v>
      </c>
      <c r="C416">
        <v>209542</v>
      </c>
      <c r="D416" t="s">
        <v>183</v>
      </c>
      <c r="E416" t="s">
        <v>35</v>
      </c>
      <c r="F416" s="6">
        <v>3498</v>
      </c>
    </row>
    <row r="417" spans="1:7" x14ac:dyDescent="0.2">
      <c r="A417">
        <v>2019</v>
      </c>
      <c r="B417">
        <f>IF(ISBLANK(E417),"",VLOOKUP(E417,Code!B:C,2,FALSE))</f>
        <v>10</v>
      </c>
      <c r="C417">
        <v>209542</v>
      </c>
      <c r="D417" t="s">
        <v>183</v>
      </c>
      <c r="E417" t="s">
        <v>4</v>
      </c>
      <c r="G417" s="6">
        <v>8396</v>
      </c>
    </row>
    <row r="418" spans="1:7" x14ac:dyDescent="0.2">
      <c r="A418">
        <v>2019</v>
      </c>
      <c r="B418">
        <f>IF(ISBLANK(E418),"",VLOOKUP(E418,Code!B:C,2,FALSE))</f>
        <v>14</v>
      </c>
      <c r="C418">
        <v>209542</v>
      </c>
      <c r="D418" t="s">
        <v>183</v>
      </c>
      <c r="E418" t="s">
        <v>29</v>
      </c>
      <c r="G418" s="6">
        <v>4149</v>
      </c>
    </row>
    <row r="419" spans="1:7" x14ac:dyDescent="0.2">
      <c r="A419">
        <v>2019</v>
      </c>
      <c r="B419">
        <f>IF(ISBLANK(E419),"",VLOOKUP(E419,Code!B:C,2,FALSE))</f>
        <v>17</v>
      </c>
      <c r="C419">
        <v>209542</v>
      </c>
      <c r="D419" t="s">
        <v>183</v>
      </c>
      <c r="E419" t="s">
        <v>5</v>
      </c>
      <c r="F419" s="6">
        <v>5030</v>
      </c>
      <c r="G419" s="6">
        <v>5548</v>
      </c>
    </row>
    <row r="420" spans="1:7" x14ac:dyDescent="0.2">
      <c r="A420">
        <v>2019</v>
      </c>
      <c r="B420">
        <f>IF(ISBLANK(E420),"",VLOOKUP(E420,Code!B:C,2,FALSE))</f>
        <v>18</v>
      </c>
      <c r="C420">
        <v>209542</v>
      </c>
      <c r="D420" t="s">
        <v>183</v>
      </c>
      <c r="E420" t="s">
        <v>6</v>
      </c>
      <c r="G420">
        <v>488</v>
      </c>
    </row>
    <row r="421" spans="1:7" x14ac:dyDescent="0.2">
      <c r="A421">
        <v>2019</v>
      </c>
      <c r="B421">
        <f>IF(ISBLANK(E421),"",VLOOKUP(E421,Code!B:C,2,FALSE))</f>
        <v>19</v>
      </c>
      <c r="C421">
        <v>209542</v>
      </c>
      <c r="D421" t="s">
        <v>183</v>
      </c>
      <c r="E421" t="s">
        <v>7</v>
      </c>
      <c r="G421" s="6">
        <v>6215</v>
      </c>
    </row>
    <row r="422" spans="1:7" x14ac:dyDescent="0.2">
      <c r="A422">
        <v>2019</v>
      </c>
      <c r="B422">
        <f>IF(ISBLANK(E422),"",VLOOKUP(E422,Code!B:C,2,FALSE))</f>
        <v>21</v>
      </c>
      <c r="C422">
        <v>209542</v>
      </c>
      <c r="D422" t="s">
        <v>183</v>
      </c>
      <c r="E422" t="s">
        <v>36</v>
      </c>
      <c r="G422" s="6">
        <v>2667</v>
      </c>
    </row>
    <row r="423" spans="1:7" x14ac:dyDescent="0.2">
      <c r="A423">
        <v>2019</v>
      </c>
      <c r="B423">
        <f>IF(ISBLANK(E423),"",VLOOKUP(E423,Code!B:C,2,FALSE))</f>
        <v>23</v>
      </c>
      <c r="C423">
        <v>209542</v>
      </c>
      <c r="D423" t="s">
        <v>183</v>
      </c>
      <c r="E423" t="s">
        <v>10</v>
      </c>
      <c r="G423" s="6">
        <v>10770</v>
      </c>
    </row>
    <row r="424" spans="1:7" x14ac:dyDescent="0.2">
      <c r="A424">
        <v>2020</v>
      </c>
      <c r="B424">
        <f>IF(ISBLANK(E424),"",VLOOKUP(E424,Code!B:C,2,FALSE))</f>
        <v>1</v>
      </c>
      <c r="C424">
        <v>209542</v>
      </c>
      <c r="D424" t="s">
        <v>183</v>
      </c>
      <c r="E424" t="s">
        <v>0</v>
      </c>
      <c r="F424" s="6">
        <v>98085</v>
      </c>
    </row>
    <row r="425" spans="1:7" x14ac:dyDescent="0.2">
      <c r="A425">
        <v>2020</v>
      </c>
      <c r="B425">
        <f>IF(ISBLANK(E425),"",VLOOKUP(E425,Code!B:C,2,FALSE))</f>
        <v>2</v>
      </c>
      <c r="C425">
        <v>209542</v>
      </c>
      <c r="D425" t="s">
        <v>183</v>
      </c>
      <c r="E425" t="s">
        <v>1</v>
      </c>
      <c r="F425" s="6">
        <v>46453</v>
      </c>
      <c r="G425" s="6">
        <v>112449</v>
      </c>
    </row>
    <row r="426" spans="1:7" x14ac:dyDescent="0.2">
      <c r="A426">
        <v>2020</v>
      </c>
      <c r="B426">
        <f>IF(ISBLANK(E426),"",VLOOKUP(E426,Code!B:C,2,FALSE))</f>
        <v>8</v>
      </c>
      <c r="C426">
        <v>209542</v>
      </c>
      <c r="D426" t="s">
        <v>183</v>
      </c>
      <c r="E426" t="s">
        <v>2</v>
      </c>
      <c r="F426" s="6">
        <v>133217</v>
      </c>
    </row>
    <row r="427" spans="1:7" x14ac:dyDescent="0.2">
      <c r="A427">
        <v>2020</v>
      </c>
      <c r="B427">
        <f>IF(ISBLANK(E427),"",VLOOKUP(E427,Code!B:C,2,FALSE))</f>
        <v>25</v>
      </c>
      <c r="C427">
        <v>209542</v>
      </c>
      <c r="D427" t="s">
        <v>183</v>
      </c>
      <c r="E427" t="s">
        <v>35</v>
      </c>
      <c r="F427" s="6">
        <v>7553</v>
      </c>
    </row>
    <row r="428" spans="1:7" x14ac:dyDescent="0.2">
      <c r="A428">
        <v>2020</v>
      </c>
      <c r="B428">
        <f>IF(ISBLANK(E428),"",VLOOKUP(E428,Code!B:C,2,FALSE))</f>
        <v>9</v>
      </c>
      <c r="C428">
        <v>209542</v>
      </c>
      <c r="D428" t="s">
        <v>183</v>
      </c>
      <c r="E428" t="s">
        <v>3</v>
      </c>
      <c r="F428" s="6">
        <v>11053</v>
      </c>
      <c r="G428" s="6">
        <v>88390</v>
      </c>
    </row>
    <row r="429" spans="1:7" x14ac:dyDescent="0.2">
      <c r="A429">
        <v>2020</v>
      </c>
      <c r="B429">
        <f>IF(ISBLANK(E429),"",VLOOKUP(E429,Code!B:C,2,FALSE))</f>
        <v>10</v>
      </c>
      <c r="C429">
        <v>209542</v>
      </c>
      <c r="D429" t="s">
        <v>183</v>
      </c>
      <c r="E429" t="s">
        <v>4</v>
      </c>
      <c r="G429" s="6">
        <v>7029</v>
      </c>
    </row>
    <row r="430" spans="1:7" x14ac:dyDescent="0.2">
      <c r="A430">
        <v>2020</v>
      </c>
      <c r="B430">
        <f>IF(ISBLANK(E430),"",VLOOKUP(E430,Code!B:C,2,FALSE))</f>
        <v>14</v>
      </c>
      <c r="C430">
        <v>209542</v>
      </c>
      <c r="D430" t="s">
        <v>183</v>
      </c>
      <c r="E430" t="s">
        <v>29</v>
      </c>
      <c r="G430" s="6">
        <v>3536</v>
      </c>
    </row>
    <row r="431" spans="1:7" x14ac:dyDescent="0.2">
      <c r="A431">
        <v>2020</v>
      </c>
      <c r="B431">
        <f>IF(ISBLANK(E431),"",VLOOKUP(E431,Code!B:C,2,FALSE))</f>
        <v>17</v>
      </c>
      <c r="C431">
        <v>209542</v>
      </c>
      <c r="D431" t="s">
        <v>183</v>
      </c>
      <c r="E431" t="s">
        <v>5</v>
      </c>
      <c r="F431" s="6">
        <v>10643</v>
      </c>
      <c r="G431" s="6">
        <v>7619</v>
      </c>
    </row>
    <row r="432" spans="1:7" x14ac:dyDescent="0.2">
      <c r="A432">
        <v>2020</v>
      </c>
      <c r="B432">
        <f>IF(ISBLANK(E432),"",VLOOKUP(E432,Code!B:C,2,FALSE))</f>
        <v>18</v>
      </c>
      <c r="C432">
        <v>209542</v>
      </c>
      <c r="D432" t="s">
        <v>183</v>
      </c>
      <c r="E432" t="s">
        <v>6</v>
      </c>
      <c r="G432" s="6">
        <v>1846</v>
      </c>
    </row>
    <row r="433" spans="1:7" x14ac:dyDescent="0.2">
      <c r="A433">
        <v>2020</v>
      </c>
      <c r="B433">
        <f>IF(ISBLANK(E433),"",VLOOKUP(E433,Code!B:C,2,FALSE))</f>
        <v>21</v>
      </c>
      <c r="C433">
        <v>209542</v>
      </c>
      <c r="D433" t="s">
        <v>183</v>
      </c>
      <c r="E433" t="s">
        <v>36</v>
      </c>
      <c r="G433" s="6">
        <v>11150</v>
      </c>
    </row>
    <row r="434" spans="1:7" x14ac:dyDescent="0.2">
      <c r="A434">
        <v>2020</v>
      </c>
      <c r="B434">
        <f>IF(ISBLANK(E434),"",VLOOKUP(E434,Code!B:C,2,FALSE))</f>
        <v>23</v>
      </c>
      <c r="C434">
        <v>209542</v>
      </c>
      <c r="D434" t="s">
        <v>183</v>
      </c>
      <c r="E434" t="s">
        <v>10</v>
      </c>
      <c r="G434" s="6">
        <v>7965</v>
      </c>
    </row>
    <row r="435" spans="1:7" x14ac:dyDescent="0.2">
      <c r="A435">
        <v>2021</v>
      </c>
      <c r="B435">
        <f>IF(ISBLANK(E435),"",VLOOKUP(E435,Code!B:C,2,FALSE))</f>
        <v>1</v>
      </c>
      <c r="C435">
        <v>209542</v>
      </c>
      <c r="D435" t="s">
        <v>183</v>
      </c>
      <c r="E435" t="s">
        <v>0</v>
      </c>
      <c r="F435" s="6">
        <v>36544</v>
      </c>
    </row>
    <row r="436" spans="1:7" x14ac:dyDescent="0.2">
      <c r="A436">
        <v>2021</v>
      </c>
      <c r="B436">
        <f>IF(ISBLANK(E436),"",VLOOKUP(E436,Code!B:C,2,FALSE))</f>
        <v>2</v>
      </c>
      <c r="C436">
        <v>209542</v>
      </c>
      <c r="D436" t="s">
        <v>183</v>
      </c>
      <c r="E436" t="s">
        <v>1</v>
      </c>
      <c r="F436" s="6">
        <v>41574</v>
      </c>
      <c r="G436" s="6">
        <v>127695</v>
      </c>
    </row>
    <row r="437" spans="1:7" x14ac:dyDescent="0.2">
      <c r="A437">
        <v>2021</v>
      </c>
      <c r="B437">
        <f>IF(ISBLANK(E437),"",VLOOKUP(E437,Code!B:C,2,FALSE))</f>
        <v>8</v>
      </c>
      <c r="C437">
        <v>209542</v>
      </c>
      <c r="D437" t="s">
        <v>183</v>
      </c>
      <c r="E437" t="s">
        <v>2</v>
      </c>
      <c r="F437" s="6">
        <v>81248</v>
      </c>
    </row>
    <row r="438" spans="1:7" x14ac:dyDescent="0.2">
      <c r="A438">
        <v>2021</v>
      </c>
      <c r="B438">
        <f>IF(ISBLANK(E438),"",VLOOKUP(E438,Code!B:C,2,FALSE))</f>
        <v>25</v>
      </c>
      <c r="C438">
        <v>209542</v>
      </c>
      <c r="D438" t="s">
        <v>183</v>
      </c>
      <c r="E438" t="s">
        <v>35</v>
      </c>
      <c r="F438" s="6">
        <v>9345</v>
      </c>
    </row>
    <row r="439" spans="1:7" x14ac:dyDescent="0.2">
      <c r="A439">
        <v>2021</v>
      </c>
      <c r="B439">
        <f>IF(ISBLANK(E439),"",VLOOKUP(E439,Code!B:C,2,FALSE))</f>
        <v>9</v>
      </c>
      <c r="C439">
        <v>209542</v>
      </c>
      <c r="D439" t="s">
        <v>183</v>
      </c>
      <c r="E439" t="s">
        <v>3</v>
      </c>
      <c r="F439" s="6">
        <v>6578</v>
      </c>
      <c r="G439" s="6">
        <v>1306</v>
      </c>
    </row>
    <row r="440" spans="1:7" x14ac:dyDescent="0.2">
      <c r="A440">
        <v>2021</v>
      </c>
      <c r="B440">
        <f>IF(ISBLANK(E440),"",VLOOKUP(E440,Code!B:C,2,FALSE))</f>
        <v>10</v>
      </c>
      <c r="C440">
        <v>209542</v>
      </c>
      <c r="D440" t="s">
        <v>183</v>
      </c>
      <c r="E440" t="s">
        <v>4</v>
      </c>
      <c r="G440" s="6">
        <v>5589</v>
      </c>
    </row>
    <row r="441" spans="1:7" x14ac:dyDescent="0.2">
      <c r="A441">
        <v>2021</v>
      </c>
      <c r="B441">
        <f>IF(ISBLANK(E441),"",VLOOKUP(E441,Code!B:C,2,FALSE))</f>
        <v>14</v>
      </c>
      <c r="C441">
        <v>209542</v>
      </c>
      <c r="D441" t="s">
        <v>183</v>
      </c>
      <c r="E441" t="s">
        <v>29</v>
      </c>
      <c r="G441" s="6">
        <v>5068</v>
      </c>
    </row>
    <row r="442" spans="1:7" x14ac:dyDescent="0.2">
      <c r="A442">
        <v>2021</v>
      </c>
      <c r="B442">
        <f>IF(ISBLANK(E442),"",VLOOKUP(E442,Code!B:C,2,FALSE))</f>
        <v>17</v>
      </c>
      <c r="C442">
        <v>209542</v>
      </c>
      <c r="D442" t="s">
        <v>183</v>
      </c>
      <c r="E442" t="s">
        <v>5</v>
      </c>
      <c r="F442" s="6">
        <v>6561</v>
      </c>
      <c r="G442" s="6">
        <v>5000</v>
      </c>
    </row>
    <row r="443" spans="1:7" x14ac:dyDescent="0.2">
      <c r="A443">
        <v>2021</v>
      </c>
      <c r="B443">
        <f>IF(ISBLANK(E443),"",VLOOKUP(E443,Code!B:C,2,FALSE))</f>
        <v>18</v>
      </c>
      <c r="C443">
        <v>209542</v>
      </c>
      <c r="D443" t="s">
        <v>183</v>
      </c>
      <c r="E443" t="s">
        <v>6</v>
      </c>
      <c r="G443" s="6">
        <v>4509</v>
      </c>
    </row>
    <row r="444" spans="1:7" x14ac:dyDescent="0.2">
      <c r="A444">
        <v>2021</v>
      </c>
      <c r="B444">
        <f>IF(ISBLANK(E444),"",VLOOKUP(E444,Code!B:C,2,FALSE))</f>
        <v>21</v>
      </c>
      <c r="C444">
        <v>209542</v>
      </c>
      <c r="D444" t="s">
        <v>183</v>
      </c>
      <c r="E444" t="s">
        <v>36</v>
      </c>
    </row>
    <row r="445" spans="1:7" x14ac:dyDescent="0.2">
      <c r="A445">
        <v>2021</v>
      </c>
      <c r="B445">
        <f>IF(ISBLANK(E445),"",VLOOKUP(E445,Code!B:C,2,FALSE))</f>
        <v>23</v>
      </c>
      <c r="C445">
        <v>209542</v>
      </c>
      <c r="D445" t="s">
        <v>183</v>
      </c>
      <c r="E445" t="s">
        <v>10</v>
      </c>
      <c r="G445" s="6">
        <v>5243</v>
      </c>
    </row>
    <row r="446" spans="1:7" x14ac:dyDescent="0.2">
      <c r="A446">
        <v>2022</v>
      </c>
      <c r="B446">
        <f>IF(ISBLANK(E446),"",VLOOKUP(E446,Code!B:C,2,FALSE))</f>
        <v>1</v>
      </c>
      <c r="C446">
        <v>209542</v>
      </c>
      <c r="D446" t="s">
        <v>183</v>
      </c>
      <c r="E446" t="s">
        <v>0</v>
      </c>
      <c r="F446" s="6">
        <v>89940</v>
      </c>
    </row>
    <row r="447" spans="1:7" x14ac:dyDescent="0.2">
      <c r="A447">
        <v>2022</v>
      </c>
      <c r="B447">
        <f>IF(ISBLANK(E447),"",VLOOKUP(E447,Code!B:C,2,FALSE))</f>
        <v>2</v>
      </c>
      <c r="C447">
        <v>209542</v>
      </c>
      <c r="D447" t="s">
        <v>183</v>
      </c>
      <c r="E447" t="s">
        <v>1</v>
      </c>
      <c r="F447" s="6">
        <v>47518</v>
      </c>
      <c r="G447" s="6">
        <v>43670</v>
      </c>
    </row>
    <row r="448" spans="1:7" x14ac:dyDescent="0.2">
      <c r="A448">
        <v>2022</v>
      </c>
      <c r="B448">
        <f>IF(ISBLANK(E448),"",VLOOKUP(E448,Code!B:C,2,FALSE))</f>
        <v>8</v>
      </c>
      <c r="C448">
        <v>209542</v>
      </c>
      <c r="D448" t="s">
        <v>183</v>
      </c>
      <c r="E448" t="s">
        <v>2</v>
      </c>
      <c r="F448" s="6">
        <v>180086</v>
      </c>
    </row>
    <row r="449" spans="1:7" x14ac:dyDescent="0.2">
      <c r="A449">
        <v>2022</v>
      </c>
      <c r="B449">
        <f>IF(ISBLANK(E449),"",VLOOKUP(E449,Code!B:C,2,FALSE))</f>
        <v>9</v>
      </c>
      <c r="C449">
        <v>209542</v>
      </c>
      <c r="D449" t="s">
        <v>183</v>
      </c>
      <c r="E449" t="s">
        <v>3</v>
      </c>
      <c r="F449" s="6">
        <v>7844</v>
      </c>
      <c r="G449" s="6">
        <v>1646</v>
      </c>
    </row>
    <row r="450" spans="1:7" x14ac:dyDescent="0.2">
      <c r="A450">
        <v>2022</v>
      </c>
      <c r="B450">
        <f>IF(ISBLANK(E450),"",VLOOKUP(E450,Code!B:C,2,FALSE))</f>
        <v>17</v>
      </c>
      <c r="C450">
        <v>209542</v>
      </c>
      <c r="D450" t="s">
        <v>183</v>
      </c>
      <c r="E450" t="s">
        <v>5</v>
      </c>
      <c r="F450" s="6">
        <v>3889</v>
      </c>
      <c r="G450">
        <v>31</v>
      </c>
    </row>
    <row r="451" spans="1:7" x14ac:dyDescent="0.2">
      <c r="A451">
        <v>2022</v>
      </c>
      <c r="B451">
        <f>IF(ISBLANK(E451),"",VLOOKUP(E451,Code!B:C,2,FALSE))</f>
        <v>25</v>
      </c>
      <c r="C451">
        <v>209542</v>
      </c>
      <c r="D451" t="s">
        <v>183</v>
      </c>
      <c r="E451" t="s">
        <v>35</v>
      </c>
      <c r="F451" s="6">
        <v>10451</v>
      </c>
    </row>
    <row r="452" spans="1:7" x14ac:dyDescent="0.2">
      <c r="A452">
        <v>2022</v>
      </c>
      <c r="B452">
        <f>IF(ISBLANK(E452),"",VLOOKUP(E452,Code!B:C,2,FALSE))</f>
        <v>10</v>
      </c>
      <c r="C452">
        <v>209542</v>
      </c>
      <c r="D452" t="s">
        <v>183</v>
      </c>
      <c r="E452" t="s">
        <v>4</v>
      </c>
      <c r="G452" s="6">
        <v>10287</v>
      </c>
    </row>
    <row r="453" spans="1:7" x14ac:dyDescent="0.2">
      <c r="A453">
        <v>2022</v>
      </c>
      <c r="B453">
        <f>IF(ISBLANK(E453),"",VLOOKUP(E453,Code!B:C,2,FALSE))</f>
        <v>14</v>
      </c>
      <c r="C453">
        <v>209542</v>
      </c>
      <c r="D453" t="s">
        <v>183</v>
      </c>
      <c r="E453" t="s">
        <v>29</v>
      </c>
      <c r="G453" s="6">
        <v>7139</v>
      </c>
    </row>
    <row r="454" spans="1:7" x14ac:dyDescent="0.2">
      <c r="A454">
        <v>2022</v>
      </c>
      <c r="B454">
        <f>IF(ISBLANK(E454),"",VLOOKUP(E454,Code!B:C,2,FALSE))</f>
        <v>18</v>
      </c>
      <c r="C454">
        <v>209542</v>
      </c>
      <c r="D454" t="s">
        <v>183</v>
      </c>
      <c r="E454" t="s">
        <v>6</v>
      </c>
      <c r="G454" s="6">
        <v>7543</v>
      </c>
    </row>
    <row r="455" spans="1:7" x14ac:dyDescent="0.2">
      <c r="A455">
        <v>2022</v>
      </c>
      <c r="B455">
        <f>IF(ISBLANK(E455),"",VLOOKUP(E455,Code!B:C,2,FALSE))</f>
        <v>21</v>
      </c>
      <c r="C455">
        <v>209542</v>
      </c>
      <c r="D455" t="s">
        <v>183</v>
      </c>
      <c r="E455" t="s">
        <v>36</v>
      </c>
      <c r="G455" s="6">
        <v>10161</v>
      </c>
    </row>
    <row r="456" spans="1:7" x14ac:dyDescent="0.2">
      <c r="A456">
        <v>2022</v>
      </c>
      <c r="B456">
        <f>IF(ISBLANK(E456),"",VLOOKUP(E456,Code!B:C,2,FALSE))</f>
        <v>23</v>
      </c>
      <c r="C456">
        <v>209542</v>
      </c>
      <c r="D456" t="s">
        <v>183</v>
      </c>
      <c r="E456" t="s">
        <v>10</v>
      </c>
      <c r="G456" s="6">
        <v>9020</v>
      </c>
    </row>
    <row r="457" spans="1:7" x14ac:dyDescent="0.2">
      <c r="A457">
        <v>2023</v>
      </c>
      <c r="B457">
        <f>IF(ISBLANK(E457),"",VLOOKUP(E457,Code!B:C,2,FALSE))</f>
        <v>1</v>
      </c>
      <c r="C457">
        <v>209542</v>
      </c>
      <c r="D457" t="s">
        <v>183</v>
      </c>
      <c r="E457" t="s">
        <v>0</v>
      </c>
      <c r="F457" s="6">
        <v>77614</v>
      </c>
    </row>
    <row r="458" spans="1:7" x14ac:dyDescent="0.2">
      <c r="A458">
        <v>2023</v>
      </c>
      <c r="B458">
        <f>IF(ISBLANK(E458),"",VLOOKUP(E458,Code!B:C,2,FALSE))</f>
        <v>2</v>
      </c>
      <c r="C458">
        <v>209542</v>
      </c>
      <c r="D458" t="s">
        <v>183</v>
      </c>
      <c r="E458" t="s">
        <v>1</v>
      </c>
      <c r="F458" s="6">
        <v>37588</v>
      </c>
      <c r="G458" s="6">
        <v>33696</v>
      </c>
    </row>
    <row r="459" spans="1:7" x14ac:dyDescent="0.2">
      <c r="A459">
        <v>2023</v>
      </c>
      <c r="B459">
        <f>IF(ISBLANK(E459),"",VLOOKUP(E459,Code!B:C,2,FALSE))</f>
        <v>8</v>
      </c>
      <c r="C459">
        <v>209542</v>
      </c>
      <c r="D459" t="s">
        <v>183</v>
      </c>
      <c r="E459" t="s">
        <v>2</v>
      </c>
      <c r="F459" s="6">
        <v>171431</v>
      </c>
    </row>
    <row r="460" spans="1:7" x14ac:dyDescent="0.2">
      <c r="A460">
        <v>2023</v>
      </c>
      <c r="B460">
        <f>IF(ISBLANK(E460),"",VLOOKUP(E460,Code!B:C,2,FALSE))</f>
        <v>25</v>
      </c>
      <c r="C460">
        <v>209542</v>
      </c>
      <c r="D460" t="s">
        <v>183</v>
      </c>
      <c r="E460" t="s">
        <v>35</v>
      </c>
      <c r="F460" s="6">
        <v>2582</v>
      </c>
    </row>
    <row r="461" spans="1:7" x14ac:dyDescent="0.2">
      <c r="A461">
        <v>2023</v>
      </c>
      <c r="B461">
        <f>IF(ISBLANK(E461),"",VLOOKUP(E461,Code!B:C,2,FALSE))</f>
        <v>9</v>
      </c>
      <c r="C461">
        <v>209542</v>
      </c>
      <c r="D461" t="s">
        <v>183</v>
      </c>
      <c r="E461" t="s">
        <v>3</v>
      </c>
      <c r="F461" s="6">
        <v>4197</v>
      </c>
      <c r="G461" s="6">
        <v>4574</v>
      </c>
    </row>
    <row r="462" spans="1:7" x14ac:dyDescent="0.2">
      <c r="A462">
        <v>2023</v>
      </c>
      <c r="B462">
        <f>IF(ISBLANK(E462),"",VLOOKUP(E462,Code!B:C,2,FALSE))</f>
        <v>10</v>
      </c>
      <c r="C462">
        <v>209542</v>
      </c>
      <c r="D462" t="s">
        <v>183</v>
      </c>
      <c r="E462" t="s">
        <v>4</v>
      </c>
      <c r="G462" s="6">
        <v>36806</v>
      </c>
    </row>
    <row r="463" spans="1:7" x14ac:dyDescent="0.2">
      <c r="A463">
        <v>2023</v>
      </c>
      <c r="B463">
        <f>IF(ISBLANK(E463),"",VLOOKUP(E463,Code!B:C,2,FALSE))</f>
        <v>14</v>
      </c>
      <c r="C463">
        <v>209542</v>
      </c>
      <c r="D463" t="s">
        <v>183</v>
      </c>
      <c r="E463" t="s">
        <v>29</v>
      </c>
      <c r="G463" s="6">
        <v>13297</v>
      </c>
    </row>
    <row r="464" spans="1:7" x14ac:dyDescent="0.2">
      <c r="A464">
        <v>2023</v>
      </c>
      <c r="B464">
        <f>IF(ISBLANK(E464),"",VLOOKUP(E464,Code!B:C,2,FALSE))</f>
        <v>17</v>
      </c>
      <c r="C464">
        <v>209542</v>
      </c>
      <c r="D464" t="s">
        <v>183</v>
      </c>
      <c r="E464" t="s">
        <v>5</v>
      </c>
      <c r="G464" s="6">
        <v>7605</v>
      </c>
    </row>
    <row r="465" spans="1:7" x14ac:dyDescent="0.2">
      <c r="A465">
        <v>2023</v>
      </c>
      <c r="B465">
        <f>IF(ISBLANK(E465),"",VLOOKUP(E465,Code!B:C,2,FALSE))</f>
        <v>18</v>
      </c>
      <c r="C465">
        <v>209542</v>
      </c>
      <c r="D465" t="s">
        <v>183</v>
      </c>
      <c r="E465" t="s">
        <v>6</v>
      </c>
      <c r="G465" s="6">
        <v>36057</v>
      </c>
    </row>
    <row r="466" spans="1:7" x14ac:dyDescent="0.2">
      <c r="A466">
        <v>2023</v>
      </c>
      <c r="B466">
        <f>IF(ISBLANK(E466),"",VLOOKUP(E466,Code!B:C,2,FALSE))</f>
        <v>21</v>
      </c>
      <c r="C466">
        <v>209542</v>
      </c>
      <c r="D466" t="s">
        <v>183</v>
      </c>
      <c r="E466" t="s">
        <v>9</v>
      </c>
      <c r="G466" s="6">
        <v>3704</v>
      </c>
    </row>
    <row r="467" spans="1:7" x14ac:dyDescent="0.2">
      <c r="A467">
        <v>2023</v>
      </c>
      <c r="B467">
        <f>IF(ISBLANK(E467),"",VLOOKUP(E467,Code!B:C,2,FALSE))</f>
        <v>23</v>
      </c>
      <c r="C467">
        <v>209542</v>
      </c>
      <c r="D467" t="s">
        <v>183</v>
      </c>
      <c r="E467" t="s">
        <v>10</v>
      </c>
      <c r="G467" s="6">
        <v>3725</v>
      </c>
    </row>
    <row r="468" spans="1:7" x14ac:dyDescent="0.2">
      <c r="A468">
        <v>2017</v>
      </c>
      <c r="B468">
        <f>IF(ISBLANK(E468),"",VLOOKUP(E468,Code!B:C,2,FALSE))</f>
        <v>2</v>
      </c>
      <c r="C468">
        <v>209807</v>
      </c>
      <c r="D468" t="s">
        <v>185</v>
      </c>
      <c r="E468" t="s">
        <v>1</v>
      </c>
      <c r="F468">
        <v>131</v>
      </c>
    </row>
    <row r="469" spans="1:7" x14ac:dyDescent="0.2">
      <c r="A469">
        <v>2017</v>
      </c>
      <c r="B469">
        <f>IF(ISBLANK(E469),"",VLOOKUP(E469,Code!B:C,2,FALSE))</f>
        <v>8</v>
      </c>
      <c r="C469">
        <v>209807</v>
      </c>
      <c r="D469" t="s">
        <v>185</v>
      </c>
      <c r="E469" t="s">
        <v>2</v>
      </c>
      <c r="F469" s="6">
        <v>3247</v>
      </c>
    </row>
    <row r="470" spans="1:7" x14ac:dyDescent="0.2">
      <c r="A470">
        <v>2017</v>
      </c>
      <c r="B470">
        <f>IF(ISBLANK(E470),"",VLOOKUP(E470,Code!B:C,2,FALSE))</f>
        <v>20</v>
      </c>
      <c r="C470">
        <v>209807</v>
      </c>
      <c r="D470" t="s">
        <v>185</v>
      </c>
      <c r="E470" t="s">
        <v>8</v>
      </c>
    </row>
    <row r="471" spans="1:7" x14ac:dyDescent="0.2">
      <c r="A471">
        <v>2017</v>
      </c>
      <c r="B471">
        <f>IF(ISBLANK(E471),"",VLOOKUP(E471,Code!B:C,2,FALSE))</f>
        <v>21</v>
      </c>
      <c r="C471">
        <v>209807</v>
      </c>
      <c r="D471" t="s">
        <v>185</v>
      </c>
      <c r="E471" t="s">
        <v>36</v>
      </c>
    </row>
    <row r="472" spans="1:7" x14ac:dyDescent="0.2">
      <c r="A472">
        <v>2017</v>
      </c>
      <c r="B472">
        <f>IF(ISBLANK(E472),"",VLOOKUP(E472,Code!B:C,2,FALSE))</f>
        <v>2</v>
      </c>
      <c r="C472">
        <v>209807</v>
      </c>
      <c r="D472" t="s">
        <v>185</v>
      </c>
      <c r="E472" t="s">
        <v>1</v>
      </c>
    </row>
    <row r="473" spans="1:7" x14ac:dyDescent="0.2">
      <c r="A473">
        <v>2017</v>
      </c>
      <c r="B473">
        <f>IF(ISBLANK(E473),"",VLOOKUP(E473,Code!B:C,2,FALSE))</f>
        <v>9</v>
      </c>
      <c r="C473">
        <v>209807</v>
      </c>
      <c r="D473" t="s">
        <v>185</v>
      </c>
      <c r="E473" t="s">
        <v>3</v>
      </c>
    </row>
    <row r="474" spans="1:7" x14ac:dyDescent="0.2">
      <c r="A474">
        <v>2017</v>
      </c>
      <c r="B474">
        <f>IF(ISBLANK(E474),"",VLOOKUP(E474,Code!B:C,2,FALSE))</f>
        <v>17</v>
      </c>
      <c r="C474">
        <v>209807</v>
      </c>
      <c r="D474" t="s">
        <v>185</v>
      </c>
      <c r="E474" t="s">
        <v>5</v>
      </c>
      <c r="G474">
        <v>10</v>
      </c>
    </row>
    <row r="475" spans="1:7" x14ac:dyDescent="0.2">
      <c r="A475">
        <v>2017</v>
      </c>
      <c r="B475">
        <f>IF(ISBLANK(E475),"",VLOOKUP(E475,Code!B:C,2,FALSE))</f>
        <v>18</v>
      </c>
      <c r="C475">
        <v>209807</v>
      </c>
      <c r="D475" t="s">
        <v>185</v>
      </c>
      <c r="E475" t="s">
        <v>6</v>
      </c>
    </row>
    <row r="476" spans="1:7" x14ac:dyDescent="0.2">
      <c r="A476">
        <v>2017</v>
      </c>
      <c r="B476">
        <f>IF(ISBLANK(E476),"",VLOOKUP(E476,Code!B:C,2,FALSE))</f>
        <v>20</v>
      </c>
      <c r="C476">
        <v>209807</v>
      </c>
      <c r="D476" t="s">
        <v>185</v>
      </c>
      <c r="E476" t="s">
        <v>8</v>
      </c>
    </row>
    <row r="477" spans="1:7" x14ac:dyDescent="0.2">
      <c r="A477">
        <v>2017</v>
      </c>
      <c r="B477">
        <f>IF(ISBLANK(E477),"",VLOOKUP(E477,Code!B:C,2,FALSE))</f>
        <v>21</v>
      </c>
      <c r="C477">
        <v>209807</v>
      </c>
      <c r="D477" t="s">
        <v>185</v>
      </c>
      <c r="E477" t="s">
        <v>36</v>
      </c>
    </row>
    <row r="478" spans="1:7" x14ac:dyDescent="0.2">
      <c r="A478">
        <v>2017</v>
      </c>
      <c r="B478">
        <f>IF(ISBLANK(E478),"",VLOOKUP(E478,Code!B:C,2,FALSE))</f>
        <v>23</v>
      </c>
      <c r="C478">
        <v>209807</v>
      </c>
      <c r="D478" t="s">
        <v>185</v>
      </c>
      <c r="E478" t="s">
        <v>10</v>
      </c>
    </row>
    <row r="479" spans="1:7" x14ac:dyDescent="0.2">
      <c r="A479">
        <v>2018</v>
      </c>
      <c r="B479">
        <f>IF(ISBLANK(E479),"",VLOOKUP(E479,Code!B:C,2,FALSE))</f>
        <v>2</v>
      </c>
      <c r="C479">
        <v>209807</v>
      </c>
      <c r="D479" t="s">
        <v>185</v>
      </c>
      <c r="E479" t="s">
        <v>1</v>
      </c>
      <c r="F479">
        <v>262</v>
      </c>
      <c r="G479">
        <v>79</v>
      </c>
    </row>
    <row r="480" spans="1:7" x14ac:dyDescent="0.2">
      <c r="A480">
        <v>2018</v>
      </c>
      <c r="B480">
        <f>IF(ISBLANK(E480),"",VLOOKUP(E480,Code!B:C,2,FALSE))</f>
        <v>8</v>
      </c>
      <c r="C480">
        <v>209807</v>
      </c>
      <c r="D480" t="s">
        <v>185</v>
      </c>
      <c r="E480" t="s">
        <v>2</v>
      </c>
      <c r="F480" s="6">
        <v>5673</v>
      </c>
    </row>
    <row r="481" spans="1:5" x14ac:dyDescent="0.2">
      <c r="A481">
        <v>2018</v>
      </c>
      <c r="B481">
        <f>IF(ISBLANK(E481),"",VLOOKUP(E481,Code!B:C,2,FALSE))</f>
        <v>20</v>
      </c>
      <c r="C481">
        <v>209807</v>
      </c>
      <c r="D481" t="s">
        <v>185</v>
      </c>
      <c r="E481" t="s">
        <v>8</v>
      </c>
    </row>
    <row r="482" spans="1:5" x14ac:dyDescent="0.2">
      <c r="A482">
        <v>2018</v>
      </c>
      <c r="B482">
        <f>IF(ISBLANK(E482),"",VLOOKUP(E482,Code!B:C,2,FALSE))</f>
        <v>21</v>
      </c>
      <c r="C482">
        <v>209807</v>
      </c>
      <c r="D482" t="s">
        <v>185</v>
      </c>
      <c r="E482" t="s">
        <v>36</v>
      </c>
    </row>
    <row r="483" spans="1:5" x14ac:dyDescent="0.2">
      <c r="A483">
        <v>2018</v>
      </c>
      <c r="B483">
        <f>IF(ISBLANK(E483),"",VLOOKUP(E483,Code!B:C,2,FALSE))</f>
        <v>2</v>
      </c>
      <c r="C483">
        <v>209807</v>
      </c>
      <c r="D483" t="s">
        <v>185</v>
      </c>
      <c r="E483" t="s">
        <v>1</v>
      </c>
    </row>
    <row r="484" spans="1:5" x14ac:dyDescent="0.2">
      <c r="A484">
        <v>2018</v>
      </c>
      <c r="B484">
        <f>IF(ISBLANK(E484),"",VLOOKUP(E484,Code!B:C,2,FALSE))</f>
        <v>9</v>
      </c>
      <c r="C484">
        <v>209807</v>
      </c>
      <c r="D484" t="s">
        <v>185</v>
      </c>
      <c r="E484" t="s">
        <v>3</v>
      </c>
    </row>
    <row r="485" spans="1:5" x14ac:dyDescent="0.2">
      <c r="A485">
        <v>2018</v>
      </c>
      <c r="B485">
        <f>IF(ISBLANK(E485),"",VLOOKUP(E485,Code!B:C,2,FALSE))</f>
        <v>17</v>
      </c>
      <c r="C485">
        <v>209807</v>
      </c>
      <c r="D485" t="s">
        <v>185</v>
      </c>
      <c r="E485" t="s">
        <v>5</v>
      </c>
    </row>
    <row r="486" spans="1:5" x14ac:dyDescent="0.2">
      <c r="A486">
        <v>2018</v>
      </c>
      <c r="B486">
        <f>IF(ISBLANK(E486),"",VLOOKUP(E486,Code!B:C,2,FALSE))</f>
        <v>18</v>
      </c>
      <c r="C486">
        <v>209807</v>
      </c>
      <c r="D486" t="s">
        <v>185</v>
      </c>
      <c r="E486" t="s">
        <v>6</v>
      </c>
    </row>
    <row r="487" spans="1:5" x14ac:dyDescent="0.2">
      <c r="A487">
        <v>2018</v>
      </c>
      <c r="B487">
        <f>IF(ISBLANK(E487),"",VLOOKUP(E487,Code!B:C,2,FALSE))</f>
        <v>20</v>
      </c>
      <c r="C487">
        <v>209807</v>
      </c>
      <c r="D487" t="s">
        <v>185</v>
      </c>
      <c r="E487" t="s">
        <v>8</v>
      </c>
    </row>
    <row r="488" spans="1:5" x14ac:dyDescent="0.2">
      <c r="A488">
        <v>2018</v>
      </c>
      <c r="B488">
        <f>IF(ISBLANK(E488),"",VLOOKUP(E488,Code!B:C,2,FALSE))</f>
        <v>21</v>
      </c>
      <c r="C488">
        <v>209807</v>
      </c>
      <c r="D488" t="s">
        <v>185</v>
      </c>
      <c r="E488" t="s">
        <v>36</v>
      </c>
    </row>
    <row r="489" spans="1:5" x14ac:dyDescent="0.2">
      <c r="A489">
        <v>2018</v>
      </c>
      <c r="B489">
        <f>IF(ISBLANK(E489),"",VLOOKUP(E489,Code!B:C,2,FALSE))</f>
        <v>23</v>
      </c>
      <c r="C489">
        <v>209807</v>
      </c>
      <c r="D489" t="s">
        <v>185</v>
      </c>
      <c r="E489" t="s">
        <v>10</v>
      </c>
    </row>
    <row r="490" spans="1:5" x14ac:dyDescent="0.2">
      <c r="A490">
        <v>2019</v>
      </c>
      <c r="B490">
        <f>IF(ISBLANK(E490),"",VLOOKUP(E490,Code!B:C,2,FALSE))</f>
        <v>2</v>
      </c>
      <c r="C490">
        <v>209807</v>
      </c>
      <c r="D490" t="s">
        <v>185</v>
      </c>
      <c r="E490" t="s">
        <v>1</v>
      </c>
    </row>
    <row r="491" spans="1:5" x14ac:dyDescent="0.2">
      <c r="A491">
        <v>2019</v>
      </c>
      <c r="B491">
        <f>IF(ISBLANK(E491),"",VLOOKUP(E491,Code!B:C,2,FALSE))</f>
        <v>8</v>
      </c>
      <c r="C491">
        <v>209807</v>
      </c>
      <c r="D491" t="s">
        <v>185</v>
      </c>
      <c r="E491" t="s">
        <v>2</v>
      </c>
    </row>
    <row r="492" spans="1:5" x14ac:dyDescent="0.2">
      <c r="A492">
        <v>2019</v>
      </c>
      <c r="B492">
        <f>IF(ISBLANK(E492),"",VLOOKUP(E492,Code!B:C,2,FALSE))</f>
        <v>20</v>
      </c>
      <c r="C492">
        <v>209807</v>
      </c>
      <c r="D492" t="s">
        <v>185</v>
      </c>
      <c r="E492" t="s">
        <v>8</v>
      </c>
    </row>
    <row r="493" spans="1:5" x14ac:dyDescent="0.2">
      <c r="A493">
        <v>2019</v>
      </c>
      <c r="B493">
        <f>IF(ISBLANK(E493),"",VLOOKUP(E493,Code!B:C,2,FALSE))</f>
        <v>21</v>
      </c>
      <c r="C493">
        <v>209807</v>
      </c>
      <c r="D493" t="s">
        <v>185</v>
      </c>
      <c r="E493" t="s">
        <v>36</v>
      </c>
    </row>
    <row r="494" spans="1:5" x14ac:dyDescent="0.2">
      <c r="A494">
        <v>2019</v>
      </c>
      <c r="B494">
        <f>IF(ISBLANK(E494),"",VLOOKUP(E494,Code!B:C,2,FALSE))</f>
        <v>2</v>
      </c>
      <c r="C494">
        <v>209807</v>
      </c>
      <c r="D494" t="s">
        <v>185</v>
      </c>
      <c r="E494" t="s">
        <v>1</v>
      </c>
    </row>
    <row r="495" spans="1:5" x14ac:dyDescent="0.2">
      <c r="A495">
        <v>2019</v>
      </c>
      <c r="B495">
        <f>IF(ISBLANK(E495),"",VLOOKUP(E495,Code!B:C,2,FALSE))</f>
        <v>9</v>
      </c>
      <c r="C495">
        <v>209807</v>
      </c>
      <c r="D495" t="s">
        <v>185</v>
      </c>
      <c r="E495" t="s">
        <v>3</v>
      </c>
    </row>
    <row r="496" spans="1:5" x14ac:dyDescent="0.2">
      <c r="A496">
        <v>2019</v>
      </c>
      <c r="B496">
        <f>IF(ISBLANK(E496),"",VLOOKUP(E496,Code!B:C,2,FALSE))</f>
        <v>17</v>
      </c>
      <c r="C496">
        <v>209807</v>
      </c>
      <c r="D496" t="s">
        <v>185</v>
      </c>
      <c r="E496" t="s">
        <v>5</v>
      </c>
    </row>
    <row r="497" spans="1:7" x14ac:dyDescent="0.2">
      <c r="A497">
        <v>2019</v>
      </c>
      <c r="B497">
        <f>IF(ISBLANK(E497),"",VLOOKUP(E497,Code!B:C,2,FALSE))</f>
        <v>18</v>
      </c>
      <c r="C497">
        <v>209807</v>
      </c>
      <c r="D497" t="s">
        <v>185</v>
      </c>
      <c r="E497" t="s">
        <v>6</v>
      </c>
    </row>
    <row r="498" spans="1:7" x14ac:dyDescent="0.2">
      <c r="A498">
        <v>2019</v>
      </c>
      <c r="B498">
        <f>IF(ISBLANK(E498),"",VLOOKUP(E498,Code!B:C,2,FALSE))</f>
        <v>20</v>
      </c>
      <c r="C498">
        <v>209807</v>
      </c>
      <c r="D498" t="s">
        <v>185</v>
      </c>
      <c r="E498" t="s">
        <v>8</v>
      </c>
    </row>
    <row r="499" spans="1:7" x14ac:dyDescent="0.2">
      <c r="A499">
        <v>2019</v>
      </c>
      <c r="B499">
        <f>IF(ISBLANK(E499),"",VLOOKUP(E499,Code!B:C,2,FALSE))</f>
        <v>21</v>
      </c>
      <c r="C499">
        <v>209807</v>
      </c>
      <c r="D499" t="s">
        <v>185</v>
      </c>
      <c r="E499" t="s">
        <v>36</v>
      </c>
    </row>
    <row r="500" spans="1:7" x14ac:dyDescent="0.2">
      <c r="A500">
        <v>2019</v>
      </c>
      <c r="B500">
        <f>IF(ISBLANK(E500),"",VLOOKUP(E500,Code!B:C,2,FALSE))</f>
        <v>23</v>
      </c>
      <c r="C500">
        <v>209807</v>
      </c>
      <c r="D500" t="s">
        <v>185</v>
      </c>
      <c r="E500" t="s">
        <v>10</v>
      </c>
    </row>
    <row r="501" spans="1:7" x14ac:dyDescent="0.2">
      <c r="A501">
        <v>2020</v>
      </c>
      <c r="B501">
        <f>IF(ISBLANK(E501),"",VLOOKUP(E501,Code!B:C,2,FALSE))</f>
        <v>2</v>
      </c>
      <c r="C501">
        <v>209807</v>
      </c>
      <c r="D501" t="s">
        <v>185</v>
      </c>
      <c r="E501" t="s">
        <v>1</v>
      </c>
      <c r="F501" s="6">
        <v>11995</v>
      </c>
      <c r="G501" s="6">
        <v>3342</v>
      </c>
    </row>
    <row r="502" spans="1:7" x14ac:dyDescent="0.2">
      <c r="A502">
        <v>2020</v>
      </c>
      <c r="B502">
        <f>IF(ISBLANK(E502),"",VLOOKUP(E502,Code!B:C,2,FALSE))</f>
        <v>8</v>
      </c>
      <c r="C502">
        <v>209807</v>
      </c>
      <c r="D502" t="s">
        <v>185</v>
      </c>
      <c r="E502" t="s">
        <v>2</v>
      </c>
      <c r="F502" s="6">
        <v>8869</v>
      </c>
    </row>
    <row r="503" spans="1:7" x14ac:dyDescent="0.2">
      <c r="A503">
        <v>2020</v>
      </c>
      <c r="B503">
        <f>IF(ISBLANK(E503),"",VLOOKUP(E503,Code!B:C,2,FALSE))</f>
        <v>20</v>
      </c>
      <c r="C503">
        <v>209807</v>
      </c>
      <c r="D503" t="s">
        <v>185</v>
      </c>
      <c r="E503" t="s">
        <v>8</v>
      </c>
    </row>
    <row r="504" spans="1:7" x14ac:dyDescent="0.2">
      <c r="A504">
        <v>2020</v>
      </c>
      <c r="B504">
        <f>IF(ISBLANK(E504),"",VLOOKUP(E504,Code!B:C,2,FALSE))</f>
        <v>21</v>
      </c>
      <c r="C504">
        <v>209807</v>
      </c>
      <c r="D504" t="s">
        <v>185</v>
      </c>
      <c r="E504" t="s">
        <v>36</v>
      </c>
    </row>
    <row r="505" spans="1:7" x14ac:dyDescent="0.2">
      <c r="A505">
        <v>2020</v>
      </c>
      <c r="B505">
        <f>IF(ISBLANK(E505),"",VLOOKUP(E505,Code!B:C,2,FALSE))</f>
        <v>9</v>
      </c>
      <c r="C505">
        <v>209807</v>
      </c>
      <c r="D505" t="s">
        <v>185</v>
      </c>
      <c r="E505" t="s">
        <v>3</v>
      </c>
    </row>
    <row r="506" spans="1:7" x14ac:dyDescent="0.2">
      <c r="A506">
        <v>2020</v>
      </c>
      <c r="B506">
        <f>IF(ISBLANK(E506),"",VLOOKUP(E506,Code!B:C,2,FALSE))</f>
        <v>17</v>
      </c>
      <c r="C506">
        <v>209807</v>
      </c>
      <c r="D506" t="s">
        <v>185</v>
      </c>
      <c r="E506" t="s">
        <v>5</v>
      </c>
    </row>
    <row r="507" spans="1:7" x14ac:dyDescent="0.2">
      <c r="A507">
        <v>2020</v>
      </c>
      <c r="B507">
        <f>IF(ISBLANK(E507),"",VLOOKUP(E507,Code!B:C,2,FALSE))</f>
        <v>18</v>
      </c>
      <c r="C507">
        <v>209807</v>
      </c>
      <c r="D507" t="s">
        <v>185</v>
      </c>
      <c r="E507" t="s">
        <v>6</v>
      </c>
    </row>
    <row r="508" spans="1:7" x14ac:dyDescent="0.2">
      <c r="A508">
        <v>2020</v>
      </c>
      <c r="B508">
        <f>IF(ISBLANK(E508),"",VLOOKUP(E508,Code!B:C,2,FALSE))</f>
        <v>20</v>
      </c>
      <c r="C508">
        <v>209807</v>
      </c>
      <c r="D508" t="s">
        <v>185</v>
      </c>
      <c r="E508" t="s">
        <v>8</v>
      </c>
    </row>
    <row r="509" spans="1:7" x14ac:dyDescent="0.2">
      <c r="A509">
        <v>2020</v>
      </c>
      <c r="B509">
        <f>IF(ISBLANK(E509),"",VLOOKUP(E509,Code!B:C,2,FALSE))</f>
        <v>21</v>
      </c>
      <c r="C509">
        <v>209807</v>
      </c>
      <c r="D509" t="s">
        <v>185</v>
      </c>
      <c r="E509" t="s">
        <v>36</v>
      </c>
    </row>
    <row r="510" spans="1:7" x14ac:dyDescent="0.2">
      <c r="A510">
        <v>2020</v>
      </c>
      <c r="B510">
        <f>IF(ISBLANK(E510),"",VLOOKUP(E510,Code!B:C,2,FALSE))</f>
        <v>23</v>
      </c>
      <c r="C510">
        <v>209807</v>
      </c>
      <c r="D510" t="s">
        <v>185</v>
      </c>
      <c r="E510" t="s">
        <v>10</v>
      </c>
    </row>
    <row r="511" spans="1:7" x14ac:dyDescent="0.2">
      <c r="A511">
        <v>2021</v>
      </c>
      <c r="B511">
        <f>IF(ISBLANK(E511),"",VLOOKUP(E511,Code!B:C,2,FALSE))</f>
        <v>2</v>
      </c>
      <c r="C511">
        <v>209807</v>
      </c>
      <c r="D511" t="s">
        <v>185</v>
      </c>
      <c r="E511" t="s">
        <v>1</v>
      </c>
      <c r="F511">
        <v>380</v>
      </c>
    </row>
    <row r="512" spans="1:7" x14ac:dyDescent="0.2">
      <c r="A512">
        <v>2021</v>
      </c>
      <c r="B512">
        <f>IF(ISBLANK(E512),"",VLOOKUP(E512,Code!B:C,2,FALSE))</f>
        <v>8</v>
      </c>
      <c r="C512">
        <v>209807</v>
      </c>
      <c r="D512" t="s">
        <v>185</v>
      </c>
      <c r="E512" t="s">
        <v>2</v>
      </c>
    </row>
    <row r="513" spans="1:7" x14ac:dyDescent="0.2">
      <c r="A513">
        <v>2021</v>
      </c>
      <c r="B513">
        <f>IF(ISBLANK(E513),"",VLOOKUP(E513,Code!B:C,2,FALSE))</f>
        <v>20</v>
      </c>
      <c r="C513">
        <v>209807</v>
      </c>
      <c r="D513" t="s">
        <v>185</v>
      </c>
      <c r="E513" t="s">
        <v>8</v>
      </c>
    </row>
    <row r="514" spans="1:7" x14ac:dyDescent="0.2">
      <c r="A514">
        <v>2021</v>
      </c>
      <c r="B514">
        <f>IF(ISBLANK(E514),"",VLOOKUP(E514,Code!B:C,2,FALSE))</f>
        <v>21</v>
      </c>
      <c r="C514">
        <v>209807</v>
      </c>
      <c r="D514" t="s">
        <v>185</v>
      </c>
      <c r="E514" t="s">
        <v>36</v>
      </c>
    </row>
    <row r="515" spans="1:7" x14ac:dyDescent="0.2">
      <c r="A515">
        <v>2021</v>
      </c>
      <c r="B515">
        <f>IF(ISBLANK(E515),"",VLOOKUP(E515,Code!B:C,2,FALSE))</f>
        <v>9</v>
      </c>
      <c r="C515">
        <v>209807</v>
      </c>
      <c r="D515" t="s">
        <v>185</v>
      </c>
      <c r="E515" t="s">
        <v>3</v>
      </c>
    </row>
    <row r="516" spans="1:7" x14ac:dyDescent="0.2">
      <c r="A516">
        <v>2021</v>
      </c>
      <c r="B516">
        <f>IF(ISBLANK(E516),"",VLOOKUP(E516,Code!B:C,2,FALSE))</f>
        <v>17</v>
      </c>
      <c r="C516">
        <v>209807</v>
      </c>
      <c r="D516" t="s">
        <v>185</v>
      </c>
      <c r="E516" t="s">
        <v>5</v>
      </c>
    </row>
    <row r="517" spans="1:7" x14ac:dyDescent="0.2">
      <c r="A517">
        <v>2021</v>
      </c>
      <c r="B517">
        <f>IF(ISBLANK(E517),"",VLOOKUP(E517,Code!B:C,2,FALSE))</f>
        <v>18</v>
      </c>
      <c r="C517">
        <v>209807</v>
      </c>
      <c r="D517" t="s">
        <v>185</v>
      </c>
      <c r="E517" t="s">
        <v>6</v>
      </c>
      <c r="G517">
        <v>498</v>
      </c>
    </row>
    <row r="518" spans="1:7" x14ac:dyDescent="0.2">
      <c r="A518">
        <v>2021</v>
      </c>
      <c r="B518">
        <f>IF(ISBLANK(E518),"",VLOOKUP(E518,Code!B:C,2,FALSE))</f>
        <v>20</v>
      </c>
      <c r="C518">
        <v>209807</v>
      </c>
      <c r="D518" t="s">
        <v>185</v>
      </c>
      <c r="E518" t="s">
        <v>8</v>
      </c>
    </row>
    <row r="519" spans="1:7" x14ac:dyDescent="0.2">
      <c r="A519">
        <v>2021</v>
      </c>
      <c r="B519">
        <f>IF(ISBLANK(E519),"",VLOOKUP(E519,Code!B:C,2,FALSE))</f>
        <v>21</v>
      </c>
      <c r="C519">
        <v>209807</v>
      </c>
      <c r="D519" t="s">
        <v>185</v>
      </c>
      <c r="E519" t="s">
        <v>36</v>
      </c>
    </row>
    <row r="520" spans="1:7" x14ac:dyDescent="0.2">
      <c r="A520">
        <v>2021</v>
      </c>
      <c r="B520">
        <f>IF(ISBLANK(E520),"",VLOOKUP(E520,Code!B:C,2,FALSE))</f>
        <v>23</v>
      </c>
      <c r="C520">
        <v>209807</v>
      </c>
      <c r="D520" t="s">
        <v>185</v>
      </c>
      <c r="E520" t="s">
        <v>10</v>
      </c>
    </row>
    <row r="521" spans="1:7" x14ac:dyDescent="0.2">
      <c r="A521">
        <v>2022</v>
      </c>
      <c r="B521">
        <f>IF(ISBLANK(E521),"",VLOOKUP(E521,Code!B:C,2,FALSE))</f>
        <v>2</v>
      </c>
      <c r="C521">
        <v>209807</v>
      </c>
      <c r="D521" t="s">
        <v>185</v>
      </c>
      <c r="E521" t="s">
        <v>1</v>
      </c>
    </row>
    <row r="522" spans="1:7" x14ac:dyDescent="0.2">
      <c r="A522">
        <v>2022</v>
      </c>
      <c r="B522">
        <f>IF(ISBLANK(E522),"",VLOOKUP(E522,Code!B:C,2,FALSE))</f>
        <v>8</v>
      </c>
      <c r="C522">
        <v>209807</v>
      </c>
      <c r="D522" t="s">
        <v>185</v>
      </c>
      <c r="E522" t="s">
        <v>2</v>
      </c>
    </row>
    <row r="523" spans="1:7" x14ac:dyDescent="0.2">
      <c r="A523">
        <v>2022</v>
      </c>
      <c r="B523">
        <f>IF(ISBLANK(E523),"",VLOOKUP(E523,Code!B:C,2,FALSE))</f>
        <v>9</v>
      </c>
      <c r="C523">
        <v>209807</v>
      </c>
      <c r="D523" t="s">
        <v>185</v>
      </c>
      <c r="E523" t="s">
        <v>3</v>
      </c>
    </row>
    <row r="524" spans="1:7" x14ac:dyDescent="0.2">
      <c r="A524">
        <v>2022</v>
      </c>
      <c r="B524">
        <f>IF(ISBLANK(E524),"",VLOOKUP(E524,Code!B:C,2,FALSE))</f>
        <v>17</v>
      </c>
      <c r="C524">
        <v>209807</v>
      </c>
      <c r="D524" t="s">
        <v>185</v>
      </c>
      <c r="E524" t="s">
        <v>5</v>
      </c>
    </row>
    <row r="525" spans="1:7" x14ac:dyDescent="0.2">
      <c r="A525">
        <v>2022</v>
      </c>
      <c r="B525">
        <f>IF(ISBLANK(E525),"",VLOOKUP(E525,Code!B:C,2,FALSE))</f>
        <v>18</v>
      </c>
      <c r="C525">
        <v>209807</v>
      </c>
      <c r="D525" t="s">
        <v>185</v>
      </c>
      <c r="E525" t="s">
        <v>6</v>
      </c>
    </row>
    <row r="526" spans="1:7" x14ac:dyDescent="0.2">
      <c r="A526">
        <v>2022</v>
      </c>
      <c r="B526">
        <f>IF(ISBLANK(E526),"",VLOOKUP(E526,Code!B:C,2,FALSE))</f>
        <v>20</v>
      </c>
      <c r="C526">
        <v>209807</v>
      </c>
      <c r="D526" t="s">
        <v>185</v>
      </c>
      <c r="E526" t="s">
        <v>8</v>
      </c>
    </row>
    <row r="527" spans="1:7" x14ac:dyDescent="0.2">
      <c r="A527">
        <v>2022</v>
      </c>
      <c r="B527">
        <f>IF(ISBLANK(E527),"",VLOOKUP(E527,Code!B:C,2,FALSE))</f>
        <v>21</v>
      </c>
      <c r="C527">
        <v>209807</v>
      </c>
      <c r="D527" t="s">
        <v>185</v>
      </c>
      <c r="E527" t="s">
        <v>36</v>
      </c>
    </row>
    <row r="528" spans="1:7" x14ac:dyDescent="0.2">
      <c r="A528">
        <v>2022</v>
      </c>
      <c r="B528">
        <f>IF(ISBLANK(E528),"",VLOOKUP(E528,Code!B:C,2,FALSE))</f>
        <v>23</v>
      </c>
      <c r="C528">
        <v>209807</v>
      </c>
      <c r="D528" t="s">
        <v>185</v>
      </c>
      <c r="E528" t="s">
        <v>10</v>
      </c>
    </row>
    <row r="529" spans="1:7" x14ac:dyDescent="0.2">
      <c r="A529">
        <v>2023</v>
      </c>
      <c r="B529">
        <f>IF(ISBLANK(E529),"",VLOOKUP(E529,Code!B:C,2,FALSE))</f>
        <v>2</v>
      </c>
      <c r="C529">
        <v>209807</v>
      </c>
      <c r="D529" t="s">
        <v>185</v>
      </c>
      <c r="E529" t="s">
        <v>1</v>
      </c>
    </row>
    <row r="530" spans="1:7" x14ac:dyDescent="0.2">
      <c r="A530">
        <v>2023</v>
      </c>
      <c r="B530">
        <f>IF(ISBLANK(E530),"",VLOOKUP(E530,Code!B:C,2,FALSE))</f>
        <v>8</v>
      </c>
      <c r="C530">
        <v>209807</v>
      </c>
      <c r="D530" t="s">
        <v>185</v>
      </c>
      <c r="E530" t="s">
        <v>2</v>
      </c>
    </row>
    <row r="531" spans="1:7" x14ac:dyDescent="0.2">
      <c r="A531">
        <v>2023</v>
      </c>
      <c r="B531">
        <f>IF(ISBLANK(E531),"",VLOOKUP(E531,Code!B:C,2,FALSE))</f>
        <v>9</v>
      </c>
      <c r="C531">
        <v>209807</v>
      </c>
      <c r="D531" t="s">
        <v>185</v>
      </c>
      <c r="E531" t="s">
        <v>3</v>
      </c>
    </row>
    <row r="532" spans="1:7" x14ac:dyDescent="0.2">
      <c r="A532">
        <v>2023</v>
      </c>
      <c r="B532">
        <f>IF(ISBLANK(E532),"",VLOOKUP(E532,Code!B:C,2,FALSE))</f>
        <v>17</v>
      </c>
      <c r="C532">
        <v>209807</v>
      </c>
      <c r="D532" t="s">
        <v>185</v>
      </c>
      <c r="E532" t="s">
        <v>5</v>
      </c>
      <c r="G532">
        <v>275</v>
      </c>
    </row>
    <row r="533" spans="1:7" x14ac:dyDescent="0.2">
      <c r="A533">
        <v>2023</v>
      </c>
      <c r="B533">
        <f>IF(ISBLANK(E533),"",VLOOKUP(E533,Code!B:C,2,FALSE))</f>
        <v>18</v>
      </c>
      <c r="C533">
        <v>209807</v>
      </c>
      <c r="D533" t="s">
        <v>185</v>
      </c>
      <c r="E533" t="s">
        <v>6</v>
      </c>
    </row>
    <row r="534" spans="1:7" x14ac:dyDescent="0.2">
      <c r="A534">
        <v>2023</v>
      </c>
      <c r="B534">
        <f>IF(ISBLANK(E534),"",VLOOKUP(E534,Code!B:C,2,FALSE))</f>
        <v>20</v>
      </c>
      <c r="C534">
        <v>209807</v>
      </c>
      <c r="D534" t="s">
        <v>185</v>
      </c>
      <c r="E534" t="s">
        <v>8</v>
      </c>
    </row>
    <row r="535" spans="1:7" x14ac:dyDescent="0.2">
      <c r="A535">
        <v>2023</v>
      </c>
      <c r="B535">
        <f>IF(ISBLANK(E535),"",VLOOKUP(E535,Code!B:C,2,FALSE))</f>
        <v>21</v>
      </c>
      <c r="C535">
        <v>209807</v>
      </c>
      <c r="D535" t="s">
        <v>185</v>
      </c>
      <c r="E535" t="s">
        <v>9</v>
      </c>
    </row>
    <row r="536" spans="1:7" x14ac:dyDescent="0.2">
      <c r="A536">
        <v>2023</v>
      </c>
      <c r="B536">
        <f>IF(ISBLANK(E536),"",VLOOKUP(E536,Code!B:C,2,FALSE))</f>
        <v>23</v>
      </c>
      <c r="C536">
        <v>209807</v>
      </c>
      <c r="D536" t="s">
        <v>185</v>
      </c>
      <c r="E536" t="s">
        <v>10</v>
      </c>
    </row>
    <row r="537" spans="1:7" x14ac:dyDescent="0.2">
      <c r="A537">
        <v>2017</v>
      </c>
      <c r="B537">
        <f>IF(ISBLANK(E537),"",VLOOKUP(E537,Code!B:C,2,FALSE))</f>
        <v>2</v>
      </c>
      <c r="C537">
        <v>230782</v>
      </c>
      <c r="D537" t="s">
        <v>246</v>
      </c>
      <c r="E537" t="s">
        <v>1</v>
      </c>
      <c r="F537" s="6">
        <v>2888</v>
      </c>
    </row>
    <row r="538" spans="1:7" x14ac:dyDescent="0.2">
      <c r="A538">
        <v>2017</v>
      </c>
      <c r="B538">
        <f>IF(ISBLANK(E538),"",VLOOKUP(E538,Code!B:C,2,FALSE))</f>
        <v>8</v>
      </c>
      <c r="C538">
        <v>230782</v>
      </c>
      <c r="D538" t="s">
        <v>246</v>
      </c>
      <c r="E538" t="s">
        <v>2</v>
      </c>
      <c r="F538" s="6">
        <v>34433</v>
      </c>
    </row>
    <row r="539" spans="1:7" x14ac:dyDescent="0.2">
      <c r="A539">
        <v>2017</v>
      </c>
      <c r="B539">
        <f>IF(ISBLANK(E539),"",VLOOKUP(E539,Code!B:C,2,FALSE))</f>
        <v>9</v>
      </c>
      <c r="C539">
        <v>230782</v>
      </c>
      <c r="D539" t="s">
        <v>246</v>
      </c>
      <c r="E539" t="s">
        <v>3</v>
      </c>
      <c r="F539" s="6">
        <v>7654</v>
      </c>
      <c r="G539" s="6">
        <v>9024</v>
      </c>
    </row>
    <row r="540" spans="1:7" x14ac:dyDescent="0.2">
      <c r="A540">
        <v>2017</v>
      </c>
      <c r="B540">
        <f>IF(ISBLANK(E540),"",VLOOKUP(E540,Code!B:C,2,FALSE))</f>
        <v>17</v>
      </c>
      <c r="C540">
        <v>230782</v>
      </c>
      <c r="D540" t="s">
        <v>246</v>
      </c>
      <c r="E540" t="s">
        <v>5</v>
      </c>
      <c r="G540" s="6">
        <v>1982</v>
      </c>
    </row>
    <row r="541" spans="1:7" x14ac:dyDescent="0.2">
      <c r="A541">
        <v>2017</v>
      </c>
      <c r="B541">
        <f>IF(ISBLANK(E541),"",VLOOKUP(E541,Code!B:C,2,FALSE))</f>
        <v>18</v>
      </c>
      <c r="C541">
        <v>230782</v>
      </c>
      <c r="D541" t="s">
        <v>246</v>
      </c>
      <c r="E541" t="s">
        <v>6</v>
      </c>
      <c r="G541" s="6">
        <v>4773</v>
      </c>
    </row>
    <row r="542" spans="1:7" x14ac:dyDescent="0.2">
      <c r="A542">
        <v>2017</v>
      </c>
      <c r="B542">
        <f>IF(ISBLANK(E542),"",VLOOKUP(E542,Code!B:C,2,FALSE))</f>
        <v>20</v>
      </c>
      <c r="C542">
        <v>230782</v>
      </c>
      <c r="D542" t="s">
        <v>246</v>
      </c>
      <c r="E542" t="s">
        <v>8</v>
      </c>
    </row>
    <row r="543" spans="1:7" x14ac:dyDescent="0.2">
      <c r="A543">
        <v>2017</v>
      </c>
      <c r="B543">
        <f>IF(ISBLANK(E543),"",VLOOKUP(E543,Code!B:C,2,FALSE))</f>
        <v>21</v>
      </c>
      <c r="C543">
        <v>230782</v>
      </c>
      <c r="D543" t="s">
        <v>246</v>
      </c>
      <c r="E543" t="s">
        <v>36</v>
      </c>
      <c r="F543">
        <v>214</v>
      </c>
      <c r="G543">
        <v>215</v>
      </c>
    </row>
    <row r="544" spans="1:7" x14ac:dyDescent="0.2">
      <c r="A544">
        <v>2017</v>
      </c>
      <c r="B544">
        <f>IF(ISBLANK(E544),"",VLOOKUP(E544,Code!B:C,2,FALSE))</f>
        <v>23</v>
      </c>
      <c r="C544">
        <v>230782</v>
      </c>
      <c r="D544" t="s">
        <v>246</v>
      </c>
      <c r="E544" t="s">
        <v>10</v>
      </c>
      <c r="G544">
        <v>15</v>
      </c>
    </row>
    <row r="545" spans="1:7" x14ac:dyDescent="0.2">
      <c r="A545">
        <v>2018</v>
      </c>
      <c r="B545">
        <f>IF(ISBLANK(E545),"",VLOOKUP(E545,Code!B:C,2,FALSE))</f>
        <v>2</v>
      </c>
      <c r="C545">
        <v>230782</v>
      </c>
      <c r="D545" t="s">
        <v>246</v>
      </c>
      <c r="E545" t="s">
        <v>1</v>
      </c>
      <c r="F545" s="6">
        <v>18902</v>
      </c>
      <c r="G545">
        <v>273</v>
      </c>
    </row>
    <row r="546" spans="1:7" x14ac:dyDescent="0.2">
      <c r="A546">
        <v>2018</v>
      </c>
      <c r="B546">
        <f>IF(ISBLANK(E546),"",VLOOKUP(E546,Code!B:C,2,FALSE))</f>
        <v>8</v>
      </c>
      <c r="C546">
        <v>230782</v>
      </c>
      <c r="D546" t="s">
        <v>246</v>
      </c>
      <c r="E546" t="s">
        <v>2</v>
      </c>
      <c r="F546" s="6">
        <v>20043</v>
      </c>
    </row>
    <row r="547" spans="1:7" x14ac:dyDescent="0.2">
      <c r="A547">
        <v>2018</v>
      </c>
      <c r="B547">
        <f>IF(ISBLANK(E547),"",VLOOKUP(E547,Code!B:C,2,FALSE))</f>
        <v>9</v>
      </c>
      <c r="C547">
        <v>230782</v>
      </c>
      <c r="D547" t="s">
        <v>246</v>
      </c>
      <c r="E547" t="s">
        <v>3</v>
      </c>
      <c r="F547" s="6">
        <v>5351</v>
      </c>
      <c r="G547" s="6">
        <v>5218</v>
      </c>
    </row>
    <row r="548" spans="1:7" x14ac:dyDescent="0.2">
      <c r="A548">
        <v>2018</v>
      </c>
      <c r="B548">
        <f>IF(ISBLANK(E548),"",VLOOKUP(E548,Code!B:C,2,FALSE))</f>
        <v>20</v>
      </c>
      <c r="C548">
        <v>230782</v>
      </c>
      <c r="D548" t="s">
        <v>246</v>
      </c>
      <c r="E548" t="s">
        <v>8</v>
      </c>
    </row>
    <row r="549" spans="1:7" x14ac:dyDescent="0.2">
      <c r="A549">
        <v>2018</v>
      </c>
      <c r="B549">
        <f>IF(ISBLANK(E549),"",VLOOKUP(E549,Code!B:C,2,FALSE))</f>
        <v>17</v>
      </c>
      <c r="C549">
        <v>230782</v>
      </c>
      <c r="D549" t="s">
        <v>246</v>
      </c>
      <c r="E549" t="s">
        <v>5</v>
      </c>
      <c r="G549">
        <v>754</v>
      </c>
    </row>
    <row r="550" spans="1:7" x14ac:dyDescent="0.2">
      <c r="A550">
        <v>2018</v>
      </c>
      <c r="B550">
        <f>IF(ISBLANK(E550),"",VLOOKUP(E550,Code!B:C,2,FALSE))</f>
        <v>18</v>
      </c>
      <c r="C550">
        <v>230782</v>
      </c>
      <c r="D550" t="s">
        <v>246</v>
      </c>
      <c r="E550" t="s">
        <v>6</v>
      </c>
      <c r="G550" s="6">
        <v>6052</v>
      </c>
    </row>
    <row r="551" spans="1:7" x14ac:dyDescent="0.2">
      <c r="A551">
        <v>2018</v>
      </c>
      <c r="B551">
        <f>IF(ISBLANK(E551),"",VLOOKUP(E551,Code!B:C,2,FALSE))</f>
        <v>20</v>
      </c>
      <c r="C551">
        <v>230782</v>
      </c>
      <c r="D551" t="s">
        <v>246</v>
      </c>
      <c r="E551" t="s">
        <v>8</v>
      </c>
    </row>
    <row r="552" spans="1:7" x14ac:dyDescent="0.2">
      <c r="A552">
        <v>2018</v>
      </c>
      <c r="B552">
        <f>IF(ISBLANK(E552),"",VLOOKUP(E552,Code!B:C,2,FALSE))</f>
        <v>21</v>
      </c>
      <c r="C552">
        <v>230782</v>
      </c>
      <c r="D552" t="s">
        <v>246</v>
      </c>
      <c r="E552" t="s">
        <v>36</v>
      </c>
      <c r="F552" s="6">
        <v>2198</v>
      </c>
      <c r="G552" s="6">
        <v>2323</v>
      </c>
    </row>
    <row r="553" spans="1:7" x14ac:dyDescent="0.2">
      <c r="A553">
        <v>2018</v>
      </c>
      <c r="B553">
        <f>IF(ISBLANK(E553),"",VLOOKUP(E553,Code!B:C,2,FALSE))</f>
        <v>23</v>
      </c>
      <c r="C553">
        <v>230782</v>
      </c>
      <c r="D553" t="s">
        <v>246</v>
      </c>
      <c r="E553" t="s">
        <v>10</v>
      </c>
      <c r="G553">
        <v>46</v>
      </c>
    </row>
    <row r="554" spans="1:7" x14ac:dyDescent="0.2">
      <c r="A554">
        <v>2019</v>
      </c>
      <c r="B554">
        <f>IF(ISBLANK(E554),"",VLOOKUP(E554,Code!B:C,2,FALSE))</f>
        <v>2</v>
      </c>
      <c r="C554">
        <v>230782</v>
      </c>
      <c r="D554" t="s">
        <v>246</v>
      </c>
      <c r="E554" t="s">
        <v>1</v>
      </c>
      <c r="F554" s="6">
        <v>7320</v>
      </c>
      <c r="G554">
        <v>28</v>
      </c>
    </row>
    <row r="555" spans="1:7" x14ac:dyDescent="0.2">
      <c r="A555">
        <v>2019</v>
      </c>
      <c r="B555">
        <f>IF(ISBLANK(E555),"",VLOOKUP(E555,Code!B:C,2,FALSE))</f>
        <v>8</v>
      </c>
      <c r="C555">
        <v>230782</v>
      </c>
      <c r="D555" t="s">
        <v>246</v>
      </c>
      <c r="E555" t="s">
        <v>2</v>
      </c>
      <c r="F555" s="6">
        <v>38505</v>
      </c>
    </row>
    <row r="556" spans="1:7" x14ac:dyDescent="0.2">
      <c r="A556">
        <v>2019</v>
      </c>
      <c r="B556">
        <f>IF(ISBLANK(E556),"",VLOOKUP(E556,Code!B:C,2,FALSE))</f>
        <v>9</v>
      </c>
      <c r="C556">
        <v>230782</v>
      </c>
      <c r="D556" t="s">
        <v>246</v>
      </c>
      <c r="E556" t="s">
        <v>3</v>
      </c>
      <c r="F556" s="6">
        <v>4989</v>
      </c>
      <c r="G556" s="6">
        <v>4519</v>
      </c>
    </row>
    <row r="557" spans="1:7" x14ac:dyDescent="0.2">
      <c r="A557">
        <v>2019</v>
      </c>
      <c r="B557">
        <f>IF(ISBLANK(E557),"",VLOOKUP(E557,Code!B:C,2,FALSE))</f>
        <v>17</v>
      </c>
      <c r="C557">
        <v>230782</v>
      </c>
      <c r="D557" t="s">
        <v>246</v>
      </c>
      <c r="E557" t="s">
        <v>5</v>
      </c>
      <c r="G557" s="6">
        <v>2170</v>
      </c>
    </row>
    <row r="558" spans="1:7" x14ac:dyDescent="0.2">
      <c r="A558">
        <v>2019</v>
      </c>
      <c r="B558">
        <f>IF(ISBLANK(E558),"",VLOOKUP(E558,Code!B:C,2,FALSE))</f>
        <v>18</v>
      </c>
      <c r="C558">
        <v>230782</v>
      </c>
      <c r="D558" t="s">
        <v>246</v>
      </c>
      <c r="E558" t="s">
        <v>6</v>
      </c>
      <c r="G558" s="6">
        <v>6617</v>
      </c>
    </row>
    <row r="559" spans="1:7" x14ac:dyDescent="0.2">
      <c r="A559">
        <v>2019</v>
      </c>
      <c r="B559">
        <f>IF(ISBLANK(E559),"",VLOOKUP(E559,Code!B:C,2,FALSE))</f>
        <v>20</v>
      </c>
      <c r="C559">
        <v>230782</v>
      </c>
      <c r="D559" t="s">
        <v>246</v>
      </c>
      <c r="E559" t="s">
        <v>8</v>
      </c>
    </row>
    <row r="560" spans="1:7" x14ac:dyDescent="0.2">
      <c r="A560">
        <v>2019</v>
      </c>
      <c r="B560">
        <f>IF(ISBLANK(E560),"",VLOOKUP(E560,Code!B:C,2,FALSE))</f>
        <v>21</v>
      </c>
      <c r="C560">
        <v>230782</v>
      </c>
      <c r="D560" t="s">
        <v>246</v>
      </c>
      <c r="E560" t="s">
        <v>36</v>
      </c>
      <c r="F560" s="6">
        <v>5029</v>
      </c>
      <c r="G560" s="6">
        <v>5029</v>
      </c>
    </row>
    <row r="561" spans="1:7" x14ac:dyDescent="0.2">
      <c r="A561">
        <v>2019</v>
      </c>
      <c r="B561">
        <f>IF(ISBLANK(E561),"",VLOOKUP(E561,Code!B:C,2,FALSE))</f>
        <v>23</v>
      </c>
      <c r="C561">
        <v>230782</v>
      </c>
      <c r="D561" t="s">
        <v>246</v>
      </c>
      <c r="E561" t="s">
        <v>10</v>
      </c>
    </row>
    <row r="562" spans="1:7" x14ac:dyDescent="0.2">
      <c r="A562">
        <v>2020</v>
      </c>
      <c r="B562">
        <f>IF(ISBLANK(E562),"",VLOOKUP(E562,Code!B:C,2,FALSE))</f>
        <v>2</v>
      </c>
      <c r="C562">
        <v>230782</v>
      </c>
      <c r="D562" t="s">
        <v>246</v>
      </c>
      <c r="E562" t="s">
        <v>1</v>
      </c>
      <c r="F562" s="6">
        <v>10055</v>
      </c>
      <c r="G562">
        <v>55</v>
      </c>
    </row>
    <row r="563" spans="1:7" x14ac:dyDescent="0.2">
      <c r="A563">
        <v>2020</v>
      </c>
      <c r="B563">
        <f>IF(ISBLANK(E563),"",VLOOKUP(E563,Code!B:C,2,FALSE))</f>
        <v>8</v>
      </c>
      <c r="C563">
        <v>230782</v>
      </c>
      <c r="D563" t="s">
        <v>246</v>
      </c>
      <c r="E563" t="s">
        <v>2</v>
      </c>
      <c r="F563" s="6">
        <v>30308</v>
      </c>
    </row>
    <row r="564" spans="1:7" x14ac:dyDescent="0.2">
      <c r="A564">
        <v>2020</v>
      </c>
      <c r="B564">
        <f>IF(ISBLANK(E564),"",VLOOKUP(E564,Code!B:C,2,FALSE))</f>
        <v>9</v>
      </c>
      <c r="C564">
        <v>230782</v>
      </c>
      <c r="D564" t="s">
        <v>246</v>
      </c>
      <c r="E564" t="s">
        <v>3</v>
      </c>
      <c r="F564" s="6">
        <v>3889</v>
      </c>
      <c r="G564" s="6">
        <v>4599</v>
      </c>
    </row>
    <row r="565" spans="1:7" x14ac:dyDescent="0.2">
      <c r="A565">
        <v>2020</v>
      </c>
      <c r="B565">
        <f>IF(ISBLANK(E565),"",VLOOKUP(E565,Code!B:C,2,FALSE))</f>
        <v>17</v>
      </c>
      <c r="C565">
        <v>230782</v>
      </c>
      <c r="D565" t="s">
        <v>246</v>
      </c>
      <c r="E565" t="s">
        <v>5</v>
      </c>
      <c r="G565">
        <v>548</v>
      </c>
    </row>
    <row r="566" spans="1:7" x14ac:dyDescent="0.2">
      <c r="A566">
        <v>2020</v>
      </c>
      <c r="B566">
        <f>IF(ISBLANK(E566),"",VLOOKUP(E566,Code!B:C,2,FALSE))</f>
        <v>18</v>
      </c>
      <c r="C566">
        <v>230782</v>
      </c>
      <c r="D566" t="s">
        <v>246</v>
      </c>
      <c r="E566" t="s">
        <v>6</v>
      </c>
      <c r="G566" s="6">
        <v>18015</v>
      </c>
    </row>
    <row r="567" spans="1:7" x14ac:dyDescent="0.2">
      <c r="A567">
        <v>2020</v>
      </c>
      <c r="B567">
        <f>IF(ISBLANK(E567),"",VLOOKUP(E567,Code!B:C,2,FALSE))</f>
        <v>20</v>
      </c>
      <c r="C567">
        <v>230782</v>
      </c>
      <c r="D567" t="s">
        <v>246</v>
      </c>
      <c r="E567" t="s">
        <v>8</v>
      </c>
    </row>
    <row r="568" spans="1:7" x14ac:dyDescent="0.2">
      <c r="A568">
        <v>2020</v>
      </c>
      <c r="B568">
        <f>IF(ISBLANK(E568),"",VLOOKUP(E568,Code!B:C,2,FALSE))</f>
        <v>21</v>
      </c>
      <c r="C568">
        <v>230782</v>
      </c>
      <c r="D568" t="s">
        <v>246</v>
      </c>
      <c r="E568" t="s">
        <v>36</v>
      </c>
      <c r="F568" s="6">
        <v>6459</v>
      </c>
      <c r="G568" s="6">
        <v>6459</v>
      </c>
    </row>
    <row r="569" spans="1:7" x14ac:dyDescent="0.2">
      <c r="A569">
        <v>2020</v>
      </c>
      <c r="B569">
        <f>IF(ISBLANK(E569),"",VLOOKUP(E569,Code!B:C,2,FALSE))</f>
        <v>23</v>
      </c>
      <c r="C569">
        <v>230782</v>
      </c>
      <c r="D569" t="s">
        <v>246</v>
      </c>
      <c r="E569" t="s">
        <v>10</v>
      </c>
    </row>
    <row r="570" spans="1:7" x14ac:dyDescent="0.2">
      <c r="A570">
        <v>2021</v>
      </c>
      <c r="B570">
        <f>IF(ISBLANK(E570),"",VLOOKUP(E570,Code!B:C,2,FALSE))</f>
        <v>2</v>
      </c>
      <c r="C570">
        <v>230782</v>
      </c>
      <c r="D570" t="s">
        <v>246</v>
      </c>
      <c r="E570" t="s">
        <v>1</v>
      </c>
    </row>
    <row r="571" spans="1:7" x14ac:dyDescent="0.2">
      <c r="A571">
        <v>2021</v>
      </c>
      <c r="B571">
        <f>IF(ISBLANK(E571),"",VLOOKUP(E571,Code!B:C,2,FALSE))</f>
        <v>8</v>
      </c>
      <c r="C571">
        <v>230782</v>
      </c>
      <c r="D571" t="s">
        <v>246</v>
      </c>
      <c r="E571" t="s">
        <v>2</v>
      </c>
      <c r="F571" s="6">
        <v>21517</v>
      </c>
    </row>
    <row r="572" spans="1:7" x14ac:dyDescent="0.2">
      <c r="A572">
        <v>2021</v>
      </c>
      <c r="B572">
        <f>IF(ISBLANK(E572),"",VLOOKUP(E572,Code!B:C,2,FALSE))</f>
        <v>9</v>
      </c>
      <c r="C572">
        <v>230782</v>
      </c>
      <c r="D572" t="s">
        <v>246</v>
      </c>
      <c r="E572" t="s">
        <v>3</v>
      </c>
    </row>
    <row r="573" spans="1:7" x14ac:dyDescent="0.2">
      <c r="A573">
        <v>2021</v>
      </c>
      <c r="B573">
        <f>IF(ISBLANK(E573),"",VLOOKUP(E573,Code!B:C,2,FALSE))</f>
        <v>9</v>
      </c>
      <c r="C573">
        <v>230782</v>
      </c>
      <c r="D573" t="s">
        <v>246</v>
      </c>
      <c r="E573" t="s">
        <v>3</v>
      </c>
    </row>
    <row r="574" spans="1:7" x14ac:dyDescent="0.2">
      <c r="A574">
        <v>2021</v>
      </c>
      <c r="B574">
        <f>IF(ISBLANK(E574),"",VLOOKUP(E574,Code!B:C,2,FALSE))</f>
        <v>17</v>
      </c>
      <c r="C574">
        <v>230782</v>
      </c>
      <c r="D574" t="s">
        <v>246</v>
      </c>
      <c r="E574" t="s">
        <v>5</v>
      </c>
    </row>
    <row r="575" spans="1:7" x14ac:dyDescent="0.2">
      <c r="A575">
        <v>2021</v>
      </c>
      <c r="B575">
        <f>IF(ISBLANK(E575),"",VLOOKUP(E575,Code!B:C,2,FALSE))</f>
        <v>18</v>
      </c>
      <c r="C575">
        <v>230782</v>
      </c>
      <c r="D575" t="s">
        <v>246</v>
      </c>
      <c r="E575" t="s">
        <v>6</v>
      </c>
      <c r="G575">
        <v>249</v>
      </c>
    </row>
    <row r="576" spans="1:7" x14ac:dyDescent="0.2">
      <c r="A576">
        <v>2021</v>
      </c>
      <c r="B576">
        <f>IF(ISBLANK(E576),"",VLOOKUP(E576,Code!B:C,2,FALSE))</f>
        <v>20</v>
      </c>
      <c r="C576">
        <v>230782</v>
      </c>
      <c r="D576" t="s">
        <v>246</v>
      </c>
      <c r="E576" t="s">
        <v>8</v>
      </c>
    </row>
    <row r="577" spans="1:7" x14ac:dyDescent="0.2">
      <c r="A577">
        <v>2021</v>
      </c>
      <c r="B577">
        <f>IF(ISBLANK(E577),"",VLOOKUP(E577,Code!B:C,2,FALSE))</f>
        <v>21</v>
      </c>
      <c r="C577">
        <v>230782</v>
      </c>
      <c r="D577" t="s">
        <v>246</v>
      </c>
      <c r="E577" t="s">
        <v>36</v>
      </c>
      <c r="F577">
        <v>75</v>
      </c>
      <c r="G577">
        <v>75</v>
      </c>
    </row>
    <row r="578" spans="1:7" x14ac:dyDescent="0.2">
      <c r="A578">
        <v>2021</v>
      </c>
      <c r="B578">
        <f>IF(ISBLANK(E578),"",VLOOKUP(E578,Code!B:C,2,FALSE))</f>
        <v>23</v>
      </c>
      <c r="C578">
        <v>230782</v>
      </c>
      <c r="D578" t="s">
        <v>246</v>
      </c>
      <c r="E578" t="s">
        <v>10</v>
      </c>
    </row>
    <row r="579" spans="1:7" x14ac:dyDescent="0.2">
      <c r="A579">
        <v>2022</v>
      </c>
      <c r="B579">
        <f>IF(ISBLANK(E579),"",VLOOKUP(E579,Code!B:C,2,FALSE))</f>
        <v>2</v>
      </c>
      <c r="C579">
        <v>230782</v>
      </c>
      <c r="D579" t="s">
        <v>246</v>
      </c>
      <c r="E579" t="s">
        <v>1</v>
      </c>
      <c r="F579" s="6">
        <v>24428</v>
      </c>
    </row>
    <row r="580" spans="1:7" x14ac:dyDescent="0.2">
      <c r="A580">
        <v>2022</v>
      </c>
      <c r="B580">
        <f>IF(ISBLANK(E580),"",VLOOKUP(E580,Code!B:C,2,FALSE))</f>
        <v>8</v>
      </c>
      <c r="C580">
        <v>230782</v>
      </c>
      <c r="D580" t="s">
        <v>246</v>
      </c>
      <c r="E580" t="s">
        <v>2</v>
      </c>
      <c r="F580" s="6">
        <v>26337</v>
      </c>
    </row>
    <row r="581" spans="1:7" x14ac:dyDescent="0.2">
      <c r="A581">
        <v>2022</v>
      </c>
      <c r="B581">
        <f>IF(ISBLANK(E581),"",VLOOKUP(E581,Code!B:C,2,FALSE))</f>
        <v>9</v>
      </c>
      <c r="C581">
        <v>230782</v>
      </c>
      <c r="D581" t="s">
        <v>246</v>
      </c>
      <c r="E581" t="s">
        <v>3</v>
      </c>
      <c r="F581" s="6">
        <v>7198</v>
      </c>
      <c r="G581" s="6">
        <v>6832</v>
      </c>
    </row>
    <row r="582" spans="1:7" x14ac:dyDescent="0.2">
      <c r="A582">
        <v>2022</v>
      </c>
      <c r="B582">
        <f>IF(ISBLANK(E582),"",VLOOKUP(E582,Code!B:C,2,FALSE))</f>
        <v>9</v>
      </c>
      <c r="C582">
        <v>230782</v>
      </c>
      <c r="D582" t="s">
        <v>246</v>
      </c>
      <c r="E582" t="s">
        <v>3</v>
      </c>
    </row>
    <row r="583" spans="1:7" x14ac:dyDescent="0.2">
      <c r="A583">
        <v>2022</v>
      </c>
      <c r="B583">
        <f>IF(ISBLANK(E583),"",VLOOKUP(E583,Code!B:C,2,FALSE))</f>
        <v>17</v>
      </c>
      <c r="C583">
        <v>230782</v>
      </c>
      <c r="D583" t="s">
        <v>246</v>
      </c>
      <c r="E583" t="s">
        <v>5</v>
      </c>
    </row>
    <row r="584" spans="1:7" x14ac:dyDescent="0.2">
      <c r="A584">
        <v>2022</v>
      </c>
      <c r="B584">
        <f>IF(ISBLANK(E584),"",VLOOKUP(E584,Code!B:C,2,FALSE))</f>
        <v>18</v>
      </c>
      <c r="C584">
        <v>230782</v>
      </c>
      <c r="D584" t="s">
        <v>246</v>
      </c>
      <c r="E584" t="s">
        <v>6</v>
      </c>
      <c r="G584" s="6">
        <v>1961</v>
      </c>
    </row>
    <row r="585" spans="1:7" x14ac:dyDescent="0.2">
      <c r="A585">
        <v>2022</v>
      </c>
      <c r="B585">
        <f>IF(ISBLANK(E585),"",VLOOKUP(E585,Code!B:C,2,FALSE))</f>
        <v>20</v>
      </c>
      <c r="C585">
        <v>230782</v>
      </c>
      <c r="D585" t="s">
        <v>246</v>
      </c>
      <c r="E585" t="s">
        <v>8</v>
      </c>
    </row>
    <row r="586" spans="1:7" x14ac:dyDescent="0.2">
      <c r="A586">
        <v>2022</v>
      </c>
      <c r="B586">
        <f>IF(ISBLANK(E586),"",VLOOKUP(E586,Code!B:C,2,FALSE))</f>
        <v>21</v>
      </c>
      <c r="C586">
        <v>230782</v>
      </c>
      <c r="D586" t="s">
        <v>246</v>
      </c>
      <c r="E586" t="s">
        <v>36</v>
      </c>
      <c r="F586" s="6">
        <v>2646</v>
      </c>
      <c r="G586" s="6">
        <v>2634</v>
      </c>
    </row>
    <row r="587" spans="1:7" x14ac:dyDescent="0.2">
      <c r="A587">
        <v>2022</v>
      </c>
      <c r="B587">
        <f>IF(ISBLANK(E587),"",VLOOKUP(E587,Code!B:C,2,FALSE))</f>
        <v>23</v>
      </c>
      <c r="C587">
        <v>230782</v>
      </c>
      <c r="D587" t="s">
        <v>246</v>
      </c>
      <c r="E587" t="s">
        <v>10</v>
      </c>
      <c r="G587" s="6">
        <v>1458</v>
      </c>
    </row>
    <row r="588" spans="1:7" x14ac:dyDescent="0.2">
      <c r="A588">
        <v>2023</v>
      </c>
      <c r="B588">
        <f>IF(ISBLANK(E588),"",VLOOKUP(E588,Code!B:C,2,FALSE))</f>
        <v>2</v>
      </c>
      <c r="C588">
        <v>230782</v>
      </c>
      <c r="D588" t="s">
        <v>246</v>
      </c>
      <c r="E588" t="s">
        <v>1</v>
      </c>
      <c r="F588" s="6">
        <v>20027</v>
      </c>
      <c r="G588" s="6">
        <v>1708</v>
      </c>
    </row>
    <row r="589" spans="1:7" x14ac:dyDescent="0.2">
      <c r="A589">
        <v>2023</v>
      </c>
      <c r="B589">
        <f>IF(ISBLANK(E589),"",VLOOKUP(E589,Code!B:C,2,FALSE))</f>
        <v>8</v>
      </c>
      <c r="C589">
        <v>230782</v>
      </c>
      <c r="D589" t="s">
        <v>246</v>
      </c>
      <c r="E589" t="s">
        <v>2</v>
      </c>
      <c r="F589" s="6">
        <v>19392</v>
      </c>
    </row>
    <row r="590" spans="1:7" x14ac:dyDescent="0.2">
      <c r="A590">
        <v>2023</v>
      </c>
      <c r="B590">
        <f>IF(ISBLANK(E590),"",VLOOKUP(E590,Code!B:C,2,FALSE))</f>
        <v>9</v>
      </c>
      <c r="C590">
        <v>230782</v>
      </c>
      <c r="D590" t="s">
        <v>246</v>
      </c>
      <c r="E590" t="s">
        <v>3</v>
      </c>
      <c r="F590" s="6">
        <v>12422</v>
      </c>
      <c r="G590" s="6">
        <v>12499</v>
      </c>
    </row>
    <row r="591" spans="1:7" x14ac:dyDescent="0.2">
      <c r="A591">
        <v>2023</v>
      </c>
      <c r="B591">
        <f>IF(ISBLANK(E591),"",VLOOKUP(E591,Code!B:C,2,FALSE))</f>
        <v>9</v>
      </c>
      <c r="C591">
        <v>230782</v>
      </c>
      <c r="D591" t="s">
        <v>246</v>
      </c>
      <c r="E591" t="s">
        <v>3</v>
      </c>
    </row>
    <row r="592" spans="1:7" x14ac:dyDescent="0.2">
      <c r="A592">
        <v>2023</v>
      </c>
      <c r="B592">
        <f>IF(ISBLANK(E592),"",VLOOKUP(E592,Code!B:C,2,FALSE))</f>
        <v>17</v>
      </c>
      <c r="C592">
        <v>230782</v>
      </c>
      <c r="D592" t="s">
        <v>246</v>
      </c>
      <c r="E592" t="s">
        <v>5</v>
      </c>
      <c r="G592">
        <v>480</v>
      </c>
    </row>
    <row r="593" spans="1:7" x14ac:dyDescent="0.2">
      <c r="A593">
        <v>2023</v>
      </c>
      <c r="B593">
        <f>IF(ISBLANK(E593),"",VLOOKUP(E593,Code!B:C,2,FALSE))</f>
        <v>18</v>
      </c>
      <c r="C593">
        <v>230782</v>
      </c>
      <c r="D593" t="s">
        <v>246</v>
      </c>
      <c r="E593" t="s">
        <v>6</v>
      </c>
      <c r="G593" s="6">
        <v>2639</v>
      </c>
    </row>
    <row r="594" spans="1:7" x14ac:dyDescent="0.2">
      <c r="A594">
        <v>2023</v>
      </c>
      <c r="B594">
        <f>IF(ISBLANK(E594),"",VLOOKUP(E594,Code!B:C,2,FALSE))</f>
        <v>20</v>
      </c>
      <c r="C594">
        <v>230782</v>
      </c>
      <c r="D594" t="s">
        <v>246</v>
      </c>
      <c r="E594" t="s">
        <v>8</v>
      </c>
    </row>
    <row r="595" spans="1:7" x14ac:dyDescent="0.2">
      <c r="A595">
        <v>2023</v>
      </c>
      <c r="B595">
        <f>IF(ISBLANK(E595),"",VLOOKUP(E595,Code!B:C,2,FALSE))</f>
        <v>21</v>
      </c>
      <c r="C595">
        <v>230782</v>
      </c>
      <c r="D595" t="s">
        <v>246</v>
      </c>
      <c r="E595" t="s">
        <v>9</v>
      </c>
      <c r="F595" s="6">
        <v>2622</v>
      </c>
      <c r="G595" s="6">
        <v>2899</v>
      </c>
    </row>
    <row r="596" spans="1:7" x14ac:dyDescent="0.2">
      <c r="A596">
        <v>2023</v>
      </c>
      <c r="B596">
        <f>IF(ISBLANK(E596),"",VLOOKUP(E596,Code!B:C,2,FALSE))</f>
        <v>23</v>
      </c>
      <c r="C596">
        <v>230782</v>
      </c>
      <c r="D596" t="s">
        <v>246</v>
      </c>
      <c r="E596" t="s">
        <v>10</v>
      </c>
      <c r="G596" s="6">
        <v>1182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E209-14CD-4188-9E29-7C2C4046B163}">
  <sheetPr>
    <tabColor theme="6"/>
  </sheetPr>
  <dimension ref="A1:C40"/>
  <sheetViews>
    <sheetView workbookViewId="0"/>
  </sheetViews>
  <sheetFormatPr baseColWidth="10" defaultColWidth="8.83203125" defaultRowHeight="15" x14ac:dyDescent="0.2"/>
  <cols>
    <col min="1" max="1" width="10.5" customWidth="1"/>
    <col min="2" max="2" width="16.5" customWidth="1"/>
    <col min="3" max="3" width="10.1640625" customWidth="1"/>
  </cols>
  <sheetData>
    <row r="1" spans="1:3" x14ac:dyDescent="0.2">
      <c r="A1" t="s">
        <v>277</v>
      </c>
      <c r="B1" t="s">
        <v>19</v>
      </c>
      <c r="C1" t="s">
        <v>277</v>
      </c>
    </row>
    <row r="2" spans="1:3" x14ac:dyDescent="0.2">
      <c r="A2">
        <v>1</v>
      </c>
      <c r="B2" t="s">
        <v>0</v>
      </c>
      <c r="C2">
        <v>1</v>
      </c>
    </row>
    <row r="3" spans="1:3" x14ac:dyDescent="0.2">
      <c r="A3">
        <v>2</v>
      </c>
      <c r="B3" t="s">
        <v>1</v>
      </c>
      <c r="C3">
        <v>2</v>
      </c>
    </row>
    <row r="4" spans="1:3" x14ac:dyDescent="0.2">
      <c r="A4">
        <v>3</v>
      </c>
      <c r="B4" t="s">
        <v>21</v>
      </c>
      <c r="C4">
        <v>3</v>
      </c>
    </row>
    <row r="5" spans="1:3" x14ac:dyDescent="0.2">
      <c r="A5">
        <v>4</v>
      </c>
      <c r="B5" t="s">
        <v>22</v>
      </c>
      <c r="C5">
        <v>4</v>
      </c>
    </row>
    <row r="6" spans="1:3" x14ac:dyDescent="0.2">
      <c r="A6">
        <v>5</v>
      </c>
      <c r="B6" t="s">
        <v>23</v>
      </c>
      <c r="C6">
        <v>5</v>
      </c>
    </row>
    <row r="7" spans="1:3" x14ac:dyDescent="0.2">
      <c r="A7">
        <v>6</v>
      </c>
      <c r="B7" t="s">
        <v>24</v>
      </c>
      <c r="C7">
        <v>6</v>
      </c>
    </row>
    <row r="8" spans="1:3" x14ac:dyDescent="0.2">
      <c r="A8">
        <v>7</v>
      </c>
      <c r="B8" t="s">
        <v>25</v>
      </c>
      <c r="C8">
        <v>7</v>
      </c>
    </row>
    <row r="9" spans="1:3" x14ac:dyDescent="0.2">
      <c r="A9">
        <v>8</v>
      </c>
      <c r="B9" t="s">
        <v>2</v>
      </c>
      <c r="C9">
        <v>8</v>
      </c>
    </row>
    <row r="10" spans="1:3" x14ac:dyDescent="0.2">
      <c r="A10">
        <v>9</v>
      </c>
      <c r="B10" t="s">
        <v>3</v>
      </c>
      <c r="C10">
        <v>9</v>
      </c>
    </row>
    <row r="11" spans="1:3" x14ac:dyDescent="0.2">
      <c r="A11">
        <v>10</v>
      </c>
      <c r="B11" t="s">
        <v>4</v>
      </c>
      <c r="C11">
        <v>10</v>
      </c>
    </row>
    <row r="12" spans="1:3" x14ac:dyDescent="0.2">
      <c r="A12">
        <v>11</v>
      </c>
      <c r="B12" t="s">
        <v>26</v>
      </c>
      <c r="C12">
        <v>11</v>
      </c>
    </row>
    <row r="13" spans="1:3" x14ac:dyDescent="0.2">
      <c r="A13">
        <v>12</v>
      </c>
      <c r="B13" t="s">
        <v>27</v>
      </c>
      <c r="C13">
        <v>12</v>
      </c>
    </row>
    <row r="14" spans="1:3" x14ac:dyDescent="0.2">
      <c r="A14">
        <v>13</v>
      </c>
      <c r="B14" t="s">
        <v>28</v>
      </c>
      <c r="C14">
        <v>13</v>
      </c>
    </row>
    <row r="15" spans="1:3" x14ac:dyDescent="0.2">
      <c r="A15">
        <v>14</v>
      </c>
      <c r="B15" t="s">
        <v>29</v>
      </c>
      <c r="C15">
        <v>14</v>
      </c>
    </row>
    <row r="16" spans="1:3" x14ac:dyDescent="0.2">
      <c r="A16">
        <v>15</v>
      </c>
      <c r="B16" t="s">
        <v>30</v>
      </c>
      <c r="C16">
        <v>15</v>
      </c>
    </row>
    <row r="17" spans="1:3" x14ac:dyDescent="0.2">
      <c r="A17">
        <v>16</v>
      </c>
      <c r="B17" t="s">
        <v>31</v>
      </c>
      <c r="C17">
        <v>16</v>
      </c>
    </row>
    <row r="18" spans="1:3" x14ac:dyDescent="0.2">
      <c r="A18">
        <v>17</v>
      </c>
      <c r="B18" t="s">
        <v>5</v>
      </c>
      <c r="C18">
        <v>17</v>
      </c>
    </row>
    <row r="19" spans="1:3" x14ac:dyDescent="0.2">
      <c r="A19">
        <v>18</v>
      </c>
      <c r="B19" t="s">
        <v>6</v>
      </c>
      <c r="C19">
        <v>18</v>
      </c>
    </row>
    <row r="20" spans="1:3" x14ac:dyDescent="0.2">
      <c r="A20">
        <v>19</v>
      </c>
      <c r="B20" t="s">
        <v>7</v>
      </c>
      <c r="C20">
        <v>19</v>
      </c>
    </row>
    <row r="21" spans="1:3" x14ac:dyDescent="0.2">
      <c r="A21">
        <v>20</v>
      </c>
      <c r="B21" t="s">
        <v>8</v>
      </c>
      <c r="C21">
        <v>20</v>
      </c>
    </row>
    <row r="22" spans="1:3" x14ac:dyDescent="0.2">
      <c r="A22">
        <v>21</v>
      </c>
      <c r="B22" t="s">
        <v>32</v>
      </c>
      <c r="C22">
        <v>21</v>
      </c>
    </row>
    <row r="23" spans="1:3" x14ac:dyDescent="0.2">
      <c r="A23">
        <v>21</v>
      </c>
      <c r="B23" t="s">
        <v>36</v>
      </c>
      <c r="C23">
        <v>21</v>
      </c>
    </row>
    <row r="24" spans="1:3" x14ac:dyDescent="0.2">
      <c r="A24">
        <v>21</v>
      </c>
      <c r="B24" t="s">
        <v>9</v>
      </c>
      <c r="C24">
        <v>21</v>
      </c>
    </row>
    <row r="25" spans="1:3" x14ac:dyDescent="0.2">
      <c r="A25">
        <v>22</v>
      </c>
      <c r="B25" t="s">
        <v>33</v>
      </c>
      <c r="C25">
        <v>22</v>
      </c>
    </row>
    <row r="26" spans="1:3" x14ac:dyDescent="0.2">
      <c r="A26">
        <v>23</v>
      </c>
      <c r="B26" t="s">
        <v>10</v>
      </c>
      <c r="C26">
        <v>23</v>
      </c>
    </row>
    <row r="27" spans="1:3" x14ac:dyDescent="0.2">
      <c r="A27">
        <v>24</v>
      </c>
      <c r="B27" t="s">
        <v>34</v>
      </c>
      <c r="C27">
        <v>24</v>
      </c>
    </row>
    <row r="28" spans="1:3" x14ac:dyDescent="0.2">
      <c r="A28">
        <v>25</v>
      </c>
      <c r="B28" t="s">
        <v>35</v>
      </c>
      <c r="C28">
        <v>25</v>
      </c>
    </row>
    <row r="29" spans="1:3" x14ac:dyDescent="0.2">
      <c r="A29">
        <v>26</v>
      </c>
      <c r="B29" t="s">
        <v>11</v>
      </c>
      <c r="C29">
        <v>26</v>
      </c>
    </row>
    <row r="30" spans="1:3" x14ac:dyDescent="0.2">
      <c r="A30">
        <v>27</v>
      </c>
      <c r="B30" t="s">
        <v>12</v>
      </c>
      <c r="C30">
        <v>27</v>
      </c>
    </row>
    <row r="31" spans="1:3" ht="16" thickBot="1" x14ac:dyDescent="0.25">
      <c r="A31">
        <v>28</v>
      </c>
      <c r="B31" s="3" t="s">
        <v>282</v>
      </c>
      <c r="C31">
        <v>28</v>
      </c>
    </row>
    <row r="32" spans="1:3" x14ac:dyDescent="0.2">
      <c r="A32">
        <v>29</v>
      </c>
      <c r="B32" s="4" t="s">
        <v>283</v>
      </c>
      <c r="C32">
        <v>29</v>
      </c>
    </row>
    <row r="33" spans="1:3" x14ac:dyDescent="0.2">
      <c r="A33">
        <v>30</v>
      </c>
      <c r="B33" t="s">
        <v>13</v>
      </c>
      <c r="C33">
        <v>30</v>
      </c>
    </row>
    <row r="34" spans="1:3" ht="16" thickBot="1" x14ac:dyDescent="0.25">
      <c r="A34">
        <v>31</v>
      </c>
      <c r="B34" t="s">
        <v>14</v>
      </c>
      <c r="C34">
        <v>31</v>
      </c>
    </row>
    <row r="35" spans="1:3" ht="16" thickBot="1" x14ac:dyDescent="0.25">
      <c r="A35">
        <v>50</v>
      </c>
      <c r="B35" s="1" t="s">
        <v>261</v>
      </c>
      <c r="C35">
        <v>50</v>
      </c>
    </row>
    <row r="36" spans="1:3" ht="16" thickBot="1" x14ac:dyDescent="0.25">
      <c r="A36">
        <v>51</v>
      </c>
      <c r="B36" s="1" t="s">
        <v>262</v>
      </c>
      <c r="C36">
        <v>51</v>
      </c>
    </row>
    <row r="37" spans="1:3" ht="16" thickBot="1" x14ac:dyDescent="0.25">
      <c r="A37">
        <v>52</v>
      </c>
      <c r="B37" s="1" t="s">
        <v>263</v>
      </c>
      <c r="C37">
        <v>52</v>
      </c>
    </row>
    <row r="38" spans="1:3" ht="16" thickBot="1" x14ac:dyDescent="0.25">
      <c r="A38">
        <v>60</v>
      </c>
      <c r="B38" s="1" t="s">
        <v>264</v>
      </c>
      <c r="C38">
        <v>60</v>
      </c>
    </row>
    <row r="39" spans="1:3" ht="16" thickBot="1" x14ac:dyDescent="0.25">
      <c r="A39">
        <v>70</v>
      </c>
      <c r="B39" s="1" t="s">
        <v>265</v>
      </c>
      <c r="C39">
        <v>70</v>
      </c>
    </row>
    <row r="40" spans="1:3" x14ac:dyDescent="0.2">
      <c r="A40">
        <v>71</v>
      </c>
      <c r="B40" s="2" t="s">
        <v>266</v>
      </c>
      <c r="C40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1B9B-2AE7-47F8-B470-DFB9E9F22099}">
  <sheetPr>
    <tabColor theme="6"/>
  </sheetPr>
  <dimension ref="A1:C224"/>
  <sheetViews>
    <sheetView workbookViewId="0"/>
  </sheetViews>
  <sheetFormatPr baseColWidth="10" defaultColWidth="8.83203125" defaultRowHeight="15" x14ac:dyDescent="0.2"/>
  <cols>
    <col min="1" max="1" width="7" customWidth="1"/>
    <col min="2" max="2" width="22" customWidth="1"/>
    <col min="3" max="3" width="7" customWidth="1"/>
  </cols>
  <sheetData>
    <row r="1" spans="1:3" x14ac:dyDescent="0.2">
      <c r="A1" t="s">
        <v>15</v>
      </c>
      <c r="B1" t="s">
        <v>37</v>
      </c>
      <c r="C1" t="s">
        <v>15</v>
      </c>
    </row>
    <row r="2" spans="1:3" x14ac:dyDescent="0.2">
      <c r="A2">
        <v>500002</v>
      </c>
      <c r="B2" t="s">
        <v>38</v>
      </c>
      <c r="C2">
        <v>500002</v>
      </c>
    </row>
    <row r="3" spans="1:3" x14ac:dyDescent="0.2">
      <c r="A3">
        <v>200800</v>
      </c>
      <c r="B3" t="s">
        <v>39</v>
      </c>
      <c r="C3">
        <v>200800</v>
      </c>
    </row>
    <row r="4" spans="1:3" x14ac:dyDescent="0.2">
      <c r="A4">
        <v>100751</v>
      </c>
      <c r="B4" t="s">
        <v>40</v>
      </c>
      <c r="C4">
        <v>100751</v>
      </c>
    </row>
    <row r="5" spans="1:3" x14ac:dyDescent="0.2">
      <c r="A5">
        <v>100724</v>
      </c>
      <c r="B5" t="s">
        <v>41</v>
      </c>
      <c r="C5">
        <v>100724</v>
      </c>
    </row>
    <row r="6" spans="1:3" x14ac:dyDescent="0.2">
      <c r="A6">
        <v>196060</v>
      </c>
      <c r="B6" t="s">
        <v>42</v>
      </c>
      <c r="C6">
        <v>196060</v>
      </c>
    </row>
    <row r="7" spans="1:3" x14ac:dyDescent="0.2">
      <c r="A7">
        <v>175342</v>
      </c>
      <c r="B7" t="s">
        <v>43</v>
      </c>
      <c r="C7">
        <v>175342</v>
      </c>
    </row>
    <row r="8" spans="1:3" x14ac:dyDescent="0.2">
      <c r="A8">
        <v>197869</v>
      </c>
      <c r="B8" t="s">
        <v>44</v>
      </c>
      <c r="C8">
        <v>197869</v>
      </c>
    </row>
    <row r="9" spans="1:3" x14ac:dyDescent="0.2">
      <c r="A9">
        <v>104179</v>
      </c>
      <c r="B9" t="s">
        <v>45</v>
      </c>
      <c r="C9">
        <v>104179</v>
      </c>
    </row>
    <row r="10" spans="1:3" x14ac:dyDescent="0.2">
      <c r="A10">
        <v>104151</v>
      </c>
      <c r="B10" t="s">
        <v>46</v>
      </c>
      <c r="C10">
        <v>104151</v>
      </c>
    </row>
    <row r="11" spans="1:3" x14ac:dyDescent="0.2">
      <c r="A11">
        <v>106397</v>
      </c>
      <c r="B11" t="s">
        <v>47</v>
      </c>
      <c r="C11">
        <v>106397</v>
      </c>
    </row>
    <row r="12" spans="1:3" x14ac:dyDescent="0.2">
      <c r="A12">
        <v>106245</v>
      </c>
      <c r="B12" t="s">
        <v>48</v>
      </c>
      <c r="C12">
        <v>106245</v>
      </c>
    </row>
    <row r="13" spans="1:3" x14ac:dyDescent="0.2">
      <c r="A13">
        <v>106412</v>
      </c>
      <c r="B13" t="s">
        <v>49</v>
      </c>
      <c r="C13">
        <v>106412</v>
      </c>
    </row>
    <row r="14" spans="1:3" x14ac:dyDescent="0.2">
      <c r="A14">
        <v>106458</v>
      </c>
      <c r="B14" t="s">
        <v>50</v>
      </c>
      <c r="C14">
        <v>106458</v>
      </c>
    </row>
    <row r="15" spans="1:3" x14ac:dyDescent="0.2">
      <c r="A15">
        <v>100858</v>
      </c>
      <c r="B15" t="s">
        <v>51</v>
      </c>
      <c r="C15">
        <v>100858</v>
      </c>
    </row>
    <row r="16" spans="1:3" x14ac:dyDescent="0.2">
      <c r="A16">
        <v>219602</v>
      </c>
      <c r="B16" t="s">
        <v>52</v>
      </c>
      <c r="C16">
        <v>219602</v>
      </c>
    </row>
    <row r="17" spans="1:3" x14ac:dyDescent="0.2">
      <c r="A17">
        <v>500001</v>
      </c>
      <c r="B17" t="s">
        <v>53</v>
      </c>
      <c r="C17">
        <v>500001</v>
      </c>
    </row>
    <row r="18" spans="1:3" x14ac:dyDescent="0.2">
      <c r="A18">
        <v>150136</v>
      </c>
      <c r="B18" t="s">
        <v>54</v>
      </c>
      <c r="C18">
        <v>150136</v>
      </c>
    </row>
    <row r="19" spans="1:3" x14ac:dyDescent="0.2">
      <c r="A19">
        <v>196079</v>
      </c>
      <c r="B19" t="s">
        <v>55</v>
      </c>
      <c r="C19">
        <v>196079</v>
      </c>
    </row>
    <row r="20" spans="1:3" x14ac:dyDescent="0.2">
      <c r="A20">
        <v>142115</v>
      </c>
      <c r="B20" t="s">
        <v>56</v>
      </c>
      <c r="C20">
        <v>142115</v>
      </c>
    </row>
    <row r="21" spans="1:3" x14ac:dyDescent="0.2">
      <c r="A21">
        <v>201441</v>
      </c>
      <c r="B21" t="s">
        <v>57</v>
      </c>
      <c r="C21">
        <v>201441</v>
      </c>
    </row>
    <row r="22" spans="1:3" x14ac:dyDescent="0.2">
      <c r="A22">
        <v>196088</v>
      </c>
      <c r="B22" t="s">
        <v>58</v>
      </c>
      <c r="C22">
        <v>196088</v>
      </c>
    </row>
    <row r="23" spans="1:3" x14ac:dyDescent="0.2">
      <c r="A23">
        <v>110422</v>
      </c>
      <c r="B23" t="s">
        <v>59</v>
      </c>
      <c r="C23">
        <v>110422</v>
      </c>
    </row>
    <row r="24" spans="1:3" x14ac:dyDescent="0.2">
      <c r="A24">
        <v>110486</v>
      </c>
      <c r="B24" t="s">
        <v>60</v>
      </c>
      <c r="C24">
        <v>110486</v>
      </c>
    </row>
    <row r="25" spans="1:3" x14ac:dyDescent="0.2">
      <c r="A25">
        <v>110565</v>
      </c>
      <c r="B25" t="s">
        <v>61</v>
      </c>
      <c r="C25">
        <v>110565</v>
      </c>
    </row>
    <row r="26" spans="1:3" x14ac:dyDescent="0.2">
      <c r="A26">
        <v>110608</v>
      </c>
      <c r="B26" t="s">
        <v>62</v>
      </c>
      <c r="C26">
        <v>110608</v>
      </c>
    </row>
    <row r="27" spans="1:3" x14ac:dyDescent="0.2">
      <c r="A27">
        <v>110635</v>
      </c>
      <c r="B27" t="s">
        <v>63</v>
      </c>
      <c r="C27">
        <v>110635</v>
      </c>
    </row>
    <row r="28" spans="1:3" x14ac:dyDescent="0.2">
      <c r="A28">
        <v>106704</v>
      </c>
      <c r="B28" t="s">
        <v>64</v>
      </c>
      <c r="C28">
        <v>106704</v>
      </c>
    </row>
    <row r="29" spans="1:3" x14ac:dyDescent="0.2">
      <c r="A29">
        <v>128771</v>
      </c>
      <c r="B29" t="s">
        <v>65</v>
      </c>
      <c r="C29">
        <v>128771</v>
      </c>
    </row>
    <row r="30" spans="1:3" x14ac:dyDescent="0.2">
      <c r="A30">
        <v>169248</v>
      </c>
      <c r="B30" t="s">
        <v>66</v>
      </c>
      <c r="C30">
        <v>169248</v>
      </c>
    </row>
    <row r="31" spans="1:3" x14ac:dyDescent="0.2">
      <c r="A31">
        <v>199139</v>
      </c>
      <c r="B31" t="s">
        <v>67</v>
      </c>
      <c r="C31">
        <v>199139</v>
      </c>
    </row>
    <row r="32" spans="1:3" x14ac:dyDescent="0.2">
      <c r="A32">
        <v>144005</v>
      </c>
      <c r="B32" t="s">
        <v>68</v>
      </c>
      <c r="C32">
        <v>144005</v>
      </c>
    </row>
    <row r="33" spans="1:3" x14ac:dyDescent="0.2">
      <c r="A33">
        <v>201885</v>
      </c>
      <c r="B33" t="s">
        <v>69</v>
      </c>
      <c r="C33">
        <v>201885</v>
      </c>
    </row>
    <row r="34" spans="1:3" x14ac:dyDescent="0.2">
      <c r="A34">
        <v>217864</v>
      </c>
      <c r="B34" t="s">
        <v>70</v>
      </c>
      <c r="C34">
        <v>217864</v>
      </c>
    </row>
    <row r="35" spans="1:3" x14ac:dyDescent="0.2">
      <c r="A35">
        <v>217882</v>
      </c>
      <c r="B35" t="s">
        <v>71</v>
      </c>
      <c r="C35">
        <v>217882</v>
      </c>
    </row>
    <row r="36" spans="1:3" x14ac:dyDescent="0.2">
      <c r="A36">
        <v>202134</v>
      </c>
      <c r="B36" t="s">
        <v>72</v>
      </c>
      <c r="C36">
        <v>202134</v>
      </c>
    </row>
    <row r="37" spans="1:3" x14ac:dyDescent="0.2">
      <c r="A37">
        <v>218724</v>
      </c>
      <c r="B37" t="s">
        <v>73</v>
      </c>
      <c r="C37">
        <v>218724</v>
      </c>
    </row>
    <row r="38" spans="1:3" x14ac:dyDescent="0.2">
      <c r="A38">
        <v>217819</v>
      </c>
      <c r="B38" t="s">
        <v>74</v>
      </c>
      <c r="C38">
        <v>217819</v>
      </c>
    </row>
    <row r="39" spans="1:3" x14ac:dyDescent="0.2">
      <c r="A39">
        <v>126614</v>
      </c>
      <c r="B39" t="s">
        <v>75</v>
      </c>
      <c r="C39">
        <v>126614</v>
      </c>
    </row>
    <row r="40" spans="1:3" x14ac:dyDescent="0.2">
      <c r="A40">
        <v>126818</v>
      </c>
      <c r="B40" t="s">
        <v>76</v>
      </c>
      <c r="C40">
        <v>126818</v>
      </c>
    </row>
    <row r="41" spans="1:3" x14ac:dyDescent="0.2">
      <c r="A41">
        <v>129020</v>
      </c>
      <c r="B41" t="s">
        <v>77</v>
      </c>
      <c r="C41">
        <v>129020</v>
      </c>
    </row>
    <row r="42" spans="1:3" x14ac:dyDescent="0.2">
      <c r="A42">
        <v>162283</v>
      </c>
      <c r="B42" t="s">
        <v>78</v>
      </c>
      <c r="C42">
        <v>162283</v>
      </c>
    </row>
    <row r="43" spans="1:3" x14ac:dyDescent="0.2">
      <c r="A43">
        <v>198464</v>
      </c>
      <c r="B43" t="s">
        <v>79</v>
      </c>
      <c r="C43">
        <v>198464</v>
      </c>
    </row>
    <row r="44" spans="1:3" x14ac:dyDescent="0.2">
      <c r="A44">
        <v>220075</v>
      </c>
      <c r="B44" t="s">
        <v>80</v>
      </c>
      <c r="C44">
        <v>220075</v>
      </c>
    </row>
    <row r="45" spans="1:3" x14ac:dyDescent="0.2">
      <c r="A45">
        <v>144892</v>
      </c>
      <c r="B45" t="s">
        <v>81</v>
      </c>
      <c r="C45">
        <v>144892</v>
      </c>
    </row>
    <row r="46" spans="1:3" x14ac:dyDescent="0.2">
      <c r="A46">
        <v>156620</v>
      </c>
      <c r="B46" t="s">
        <v>82</v>
      </c>
      <c r="C46">
        <v>156620</v>
      </c>
    </row>
    <row r="47" spans="1:3" x14ac:dyDescent="0.2">
      <c r="A47">
        <v>169798</v>
      </c>
      <c r="B47" t="s">
        <v>83</v>
      </c>
      <c r="C47">
        <v>169798</v>
      </c>
    </row>
    <row r="48" spans="1:3" x14ac:dyDescent="0.2">
      <c r="A48">
        <v>235097</v>
      </c>
      <c r="B48" t="s">
        <v>84</v>
      </c>
      <c r="C48">
        <v>235097</v>
      </c>
    </row>
    <row r="49" spans="1:3" x14ac:dyDescent="0.2">
      <c r="A49">
        <v>134130</v>
      </c>
      <c r="B49" t="s">
        <v>85</v>
      </c>
      <c r="C49">
        <v>134130</v>
      </c>
    </row>
    <row r="50" spans="1:3" x14ac:dyDescent="0.2">
      <c r="A50">
        <v>133669</v>
      </c>
      <c r="B50" t="s">
        <v>86</v>
      </c>
      <c r="C50">
        <v>133669</v>
      </c>
    </row>
    <row r="51" spans="1:3" x14ac:dyDescent="0.2">
      <c r="A51">
        <v>433660</v>
      </c>
      <c r="B51" t="s">
        <v>87</v>
      </c>
      <c r="C51">
        <v>433660</v>
      </c>
    </row>
    <row r="52" spans="1:3" x14ac:dyDescent="0.2">
      <c r="A52">
        <v>133951</v>
      </c>
      <c r="B52" t="s">
        <v>88</v>
      </c>
      <c r="C52">
        <v>133951</v>
      </c>
    </row>
    <row r="53" spans="1:3" x14ac:dyDescent="0.2">
      <c r="A53">
        <v>134097</v>
      </c>
      <c r="B53" t="s">
        <v>89</v>
      </c>
      <c r="C53">
        <v>134097</v>
      </c>
    </row>
    <row r="54" spans="1:3" x14ac:dyDescent="0.2">
      <c r="A54">
        <v>110556</v>
      </c>
      <c r="B54" t="s">
        <v>90</v>
      </c>
      <c r="C54">
        <v>110556</v>
      </c>
    </row>
    <row r="55" spans="1:3" x14ac:dyDescent="0.2">
      <c r="A55">
        <v>232186</v>
      </c>
      <c r="B55" t="s">
        <v>91</v>
      </c>
      <c r="C55">
        <v>232186</v>
      </c>
    </row>
    <row r="56" spans="1:3" x14ac:dyDescent="0.2">
      <c r="A56">
        <v>139959</v>
      </c>
      <c r="B56" t="s">
        <v>92</v>
      </c>
      <c r="C56">
        <v>139959</v>
      </c>
    </row>
    <row r="57" spans="1:3" x14ac:dyDescent="0.2">
      <c r="A57">
        <v>139931</v>
      </c>
      <c r="B57" t="s">
        <v>93</v>
      </c>
      <c r="C57">
        <v>139931</v>
      </c>
    </row>
    <row r="58" spans="1:3" x14ac:dyDescent="0.2">
      <c r="A58">
        <v>139940</v>
      </c>
      <c r="B58" t="s">
        <v>94</v>
      </c>
      <c r="C58">
        <v>139940</v>
      </c>
    </row>
    <row r="59" spans="1:3" x14ac:dyDescent="0.2">
      <c r="A59">
        <v>139755</v>
      </c>
      <c r="B59" t="s">
        <v>95</v>
      </c>
      <c r="C59">
        <v>139755</v>
      </c>
    </row>
    <row r="60" spans="1:3" x14ac:dyDescent="0.2">
      <c r="A60">
        <v>159009</v>
      </c>
      <c r="B60" t="s">
        <v>96</v>
      </c>
      <c r="C60">
        <v>159009</v>
      </c>
    </row>
    <row r="61" spans="1:3" x14ac:dyDescent="0.2">
      <c r="A61">
        <v>141574</v>
      </c>
      <c r="B61" t="s">
        <v>97</v>
      </c>
      <c r="C61">
        <v>141574</v>
      </c>
    </row>
    <row r="62" spans="1:3" x14ac:dyDescent="0.2">
      <c r="A62">
        <v>225511</v>
      </c>
      <c r="B62" t="s">
        <v>98</v>
      </c>
      <c r="C62">
        <v>225511</v>
      </c>
    </row>
    <row r="63" spans="1:3" x14ac:dyDescent="0.2">
      <c r="A63">
        <v>142285</v>
      </c>
      <c r="B63" t="s">
        <v>99</v>
      </c>
      <c r="C63">
        <v>142285</v>
      </c>
    </row>
    <row r="64" spans="1:3" x14ac:dyDescent="0.2">
      <c r="A64">
        <v>142276</v>
      </c>
      <c r="B64" t="s">
        <v>100</v>
      </c>
      <c r="C64">
        <v>142276</v>
      </c>
    </row>
    <row r="65" spans="1:3" x14ac:dyDescent="0.2">
      <c r="A65">
        <v>145637</v>
      </c>
      <c r="B65" t="s">
        <v>101</v>
      </c>
      <c r="C65">
        <v>145637</v>
      </c>
    </row>
    <row r="66" spans="1:3" x14ac:dyDescent="0.2">
      <c r="A66">
        <v>145600</v>
      </c>
      <c r="B66" t="s">
        <v>102</v>
      </c>
      <c r="C66">
        <v>145600</v>
      </c>
    </row>
    <row r="67" spans="1:3" x14ac:dyDescent="0.2">
      <c r="A67">
        <v>145813</v>
      </c>
      <c r="B67" t="s">
        <v>103</v>
      </c>
      <c r="C67">
        <v>145813</v>
      </c>
    </row>
    <row r="68" spans="1:3" x14ac:dyDescent="0.2">
      <c r="A68">
        <v>151351</v>
      </c>
      <c r="B68" t="s">
        <v>104</v>
      </c>
      <c r="C68">
        <v>151351</v>
      </c>
    </row>
    <row r="69" spans="1:3" x14ac:dyDescent="0.2">
      <c r="A69">
        <v>151324</v>
      </c>
      <c r="B69" t="s">
        <v>105</v>
      </c>
      <c r="C69">
        <v>151324</v>
      </c>
    </row>
    <row r="70" spans="1:3" x14ac:dyDescent="0.2">
      <c r="A70">
        <v>153658</v>
      </c>
      <c r="B70" t="s">
        <v>106</v>
      </c>
      <c r="C70">
        <v>153658</v>
      </c>
    </row>
    <row r="71" spans="1:3" x14ac:dyDescent="0.2">
      <c r="A71">
        <v>153603</v>
      </c>
      <c r="B71" t="s">
        <v>107</v>
      </c>
      <c r="C71">
        <v>153603</v>
      </c>
    </row>
    <row r="72" spans="1:3" x14ac:dyDescent="0.2">
      <c r="A72">
        <v>151111</v>
      </c>
      <c r="B72" t="s">
        <v>108</v>
      </c>
      <c r="C72">
        <v>151111</v>
      </c>
    </row>
    <row r="73" spans="1:3" x14ac:dyDescent="0.2">
      <c r="A73">
        <v>175856</v>
      </c>
      <c r="B73" t="s">
        <v>109</v>
      </c>
      <c r="C73">
        <v>175856</v>
      </c>
    </row>
    <row r="74" spans="1:3" x14ac:dyDescent="0.2">
      <c r="A74">
        <v>232423</v>
      </c>
      <c r="B74" t="s">
        <v>110</v>
      </c>
      <c r="C74">
        <v>232423</v>
      </c>
    </row>
    <row r="75" spans="1:3" x14ac:dyDescent="0.2">
      <c r="A75">
        <v>155317</v>
      </c>
      <c r="B75" t="s">
        <v>111</v>
      </c>
      <c r="C75">
        <v>155317</v>
      </c>
    </row>
    <row r="76" spans="1:3" x14ac:dyDescent="0.2">
      <c r="A76">
        <v>155399</v>
      </c>
      <c r="B76" t="s">
        <v>112</v>
      </c>
      <c r="C76">
        <v>155399</v>
      </c>
    </row>
    <row r="77" spans="1:3" x14ac:dyDescent="0.2">
      <c r="A77">
        <v>486840</v>
      </c>
      <c r="B77" t="s">
        <v>113</v>
      </c>
      <c r="C77">
        <v>486840</v>
      </c>
    </row>
    <row r="78" spans="1:3" x14ac:dyDescent="0.2">
      <c r="A78">
        <v>203517</v>
      </c>
      <c r="B78" t="s">
        <v>114</v>
      </c>
      <c r="C78">
        <v>203517</v>
      </c>
    </row>
    <row r="79" spans="1:3" x14ac:dyDescent="0.2">
      <c r="A79">
        <v>157085</v>
      </c>
      <c r="B79" t="s">
        <v>115</v>
      </c>
      <c r="C79">
        <v>157085</v>
      </c>
    </row>
    <row r="80" spans="1:3" x14ac:dyDescent="0.2">
      <c r="A80">
        <v>226091</v>
      </c>
      <c r="B80" t="s">
        <v>116</v>
      </c>
      <c r="C80">
        <v>226091</v>
      </c>
    </row>
    <row r="81" spans="1:3" x14ac:dyDescent="0.2">
      <c r="A81">
        <v>110583</v>
      </c>
      <c r="B81" t="s">
        <v>117</v>
      </c>
      <c r="C81">
        <v>110583</v>
      </c>
    </row>
    <row r="82" spans="1:3" x14ac:dyDescent="0.2">
      <c r="A82">
        <v>232566</v>
      </c>
      <c r="B82" t="s">
        <v>118</v>
      </c>
      <c r="C82">
        <v>232566</v>
      </c>
    </row>
    <row r="83" spans="1:3" x14ac:dyDescent="0.2">
      <c r="A83">
        <v>160658</v>
      </c>
      <c r="B83" t="s">
        <v>119</v>
      </c>
      <c r="C83">
        <v>160658</v>
      </c>
    </row>
    <row r="84" spans="1:3" x14ac:dyDescent="0.2">
      <c r="A84">
        <v>159993</v>
      </c>
      <c r="B84" t="s">
        <v>120</v>
      </c>
      <c r="C84">
        <v>159993</v>
      </c>
    </row>
    <row r="85" spans="1:3" x14ac:dyDescent="0.2">
      <c r="A85">
        <v>159647</v>
      </c>
      <c r="B85" t="s">
        <v>121</v>
      </c>
      <c r="C85">
        <v>159647</v>
      </c>
    </row>
    <row r="86" spans="1:3" x14ac:dyDescent="0.2">
      <c r="A86">
        <v>157289</v>
      </c>
      <c r="B86" t="s">
        <v>122</v>
      </c>
      <c r="C86">
        <v>157289</v>
      </c>
    </row>
    <row r="87" spans="1:3" x14ac:dyDescent="0.2">
      <c r="A87">
        <v>159391</v>
      </c>
      <c r="B87" t="s">
        <v>123</v>
      </c>
      <c r="C87">
        <v>159391</v>
      </c>
    </row>
    <row r="88" spans="1:3" x14ac:dyDescent="0.2">
      <c r="A88">
        <v>161253</v>
      </c>
      <c r="B88" t="s">
        <v>124</v>
      </c>
      <c r="C88">
        <v>161253</v>
      </c>
    </row>
    <row r="89" spans="1:3" x14ac:dyDescent="0.2">
      <c r="A89">
        <v>237525</v>
      </c>
      <c r="B89" t="s">
        <v>125</v>
      </c>
      <c r="C89">
        <v>237525</v>
      </c>
    </row>
    <row r="90" spans="1:3" x14ac:dyDescent="0.2">
      <c r="A90">
        <v>163286</v>
      </c>
      <c r="B90" t="s">
        <v>126</v>
      </c>
      <c r="C90">
        <v>163286</v>
      </c>
    </row>
    <row r="91" spans="1:3" x14ac:dyDescent="0.2">
      <c r="A91">
        <v>163268</v>
      </c>
      <c r="B91" t="s">
        <v>127</v>
      </c>
      <c r="C91">
        <v>163268</v>
      </c>
    </row>
    <row r="92" spans="1:3" x14ac:dyDescent="0.2">
      <c r="A92">
        <v>163338</v>
      </c>
      <c r="B92" t="s">
        <v>128</v>
      </c>
      <c r="C92">
        <v>163338</v>
      </c>
    </row>
    <row r="93" spans="1:3" x14ac:dyDescent="0.2">
      <c r="A93">
        <v>166629</v>
      </c>
      <c r="B93" t="s">
        <v>129</v>
      </c>
      <c r="C93">
        <v>166629</v>
      </c>
    </row>
    <row r="94" spans="1:3" x14ac:dyDescent="0.2">
      <c r="A94">
        <v>166513</v>
      </c>
      <c r="B94" t="s">
        <v>130</v>
      </c>
      <c r="C94">
        <v>166513</v>
      </c>
    </row>
    <row r="95" spans="1:3" x14ac:dyDescent="0.2">
      <c r="A95">
        <v>159717</v>
      </c>
      <c r="B95" t="s">
        <v>131</v>
      </c>
      <c r="C95">
        <v>159717</v>
      </c>
    </row>
    <row r="96" spans="1:3" x14ac:dyDescent="0.2">
      <c r="A96">
        <v>220862</v>
      </c>
      <c r="B96" t="s">
        <v>132</v>
      </c>
      <c r="C96">
        <v>220862</v>
      </c>
    </row>
    <row r="97" spans="1:3" x14ac:dyDescent="0.2">
      <c r="A97">
        <v>204024</v>
      </c>
      <c r="B97" t="s">
        <v>133</v>
      </c>
      <c r="C97">
        <v>204024</v>
      </c>
    </row>
    <row r="98" spans="1:3" x14ac:dyDescent="0.2">
      <c r="A98">
        <v>170976</v>
      </c>
      <c r="B98" t="s">
        <v>134</v>
      </c>
      <c r="C98">
        <v>170976</v>
      </c>
    </row>
    <row r="99" spans="1:3" x14ac:dyDescent="0.2">
      <c r="A99">
        <v>171100</v>
      </c>
      <c r="B99" t="s">
        <v>135</v>
      </c>
      <c r="C99">
        <v>171100</v>
      </c>
    </row>
    <row r="100" spans="1:3" x14ac:dyDescent="0.2">
      <c r="A100">
        <v>220978</v>
      </c>
      <c r="B100" t="s">
        <v>136</v>
      </c>
      <c r="C100">
        <v>220978</v>
      </c>
    </row>
    <row r="101" spans="1:3" x14ac:dyDescent="0.2">
      <c r="A101">
        <v>174066</v>
      </c>
      <c r="B101" t="s">
        <v>137</v>
      </c>
      <c r="C101">
        <v>174066</v>
      </c>
    </row>
    <row r="102" spans="1:3" x14ac:dyDescent="0.2">
      <c r="A102">
        <v>176017</v>
      </c>
      <c r="B102" t="s">
        <v>138</v>
      </c>
      <c r="C102">
        <v>176017</v>
      </c>
    </row>
    <row r="103" spans="1:3" x14ac:dyDescent="0.2">
      <c r="A103">
        <v>176080</v>
      </c>
      <c r="B103" t="s">
        <v>139</v>
      </c>
      <c r="C103">
        <v>176080</v>
      </c>
    </row>
    <row r="104" spans="1:3" x14ac:dyDescent="0.2">
      <c r="A104">
        <v>176044</v>
      </c>
      <c r="B104" t="s">
        <v>140</v>
      </c>
      <c r="C104">
        <v>176044</v>
      </c>
    </row>
    <row r="105" spans="1:3" x14ac:dyDescent="0.2">
      <c r="A105">
        <v>178396</v>
      </c>
      <c r="B105" t="s">
        <v>141</v>
      </c>
      <c r="C105">
        <v>178396</v>
      </c>
    </row>
    <row r="106" spans="1:3" x14ac:dyDescent="0.2">
      <c r="A106">
        <v>178402</v>
      </c>
      <c r="B106" t="s">
        <v>142</v>
      </c>
      <c r="C106">
        <v>178402</v>
      </c>
    </row>
    <row r="107" spans="1:3" x14ac:dyDescent="0.2">
      <c r="A107">
        <v>179566</v>
      </c>
      <c r="B107" t="s">
        <v>143</v>
      </c>
      <c r="C107">
        <v>179566</v>
      </c>
    </row>
    <row r="108" spans="1:3" x14ac:dyDescent="0.2">
      <c r="A108">
        <v>180489</v>
      </c>
      <c r="B108" t="s">
        <v>144</v>
      </c>
      <c r="C108">
        <v>180489</v>
      </c>
    </row>
    <row r="109" spans="1:3" x14ac:dyDescent="0.2">
      <c r="A109">
        <v>180461</v>
      </c>
      <c r="B109" t="s">
        <v>145</v>
      </c>
      <c r="C109">
        <v>180461</v>
      </c>
    </row>
    <row r="110" spans="1:3" x14ac:dyDescent="0.2">
      <c r="A110">
        <v>157386</v>
      </c>
      <c r="B110" t="s">
        <v>146</v>
      </c>
      <c r="C110">
        <v>157386</v>
      </c>
    </row>
    <row r="111" spans="1:3" x14ac:dyDescent="0.2">
      <c r="A111">
        <v>163453</v>
      </c>
      <c r="B111" t="s">
        <v>147</v>
      </c>
      <c r="C111">
        <v>163453</v>
      </c>
    </row>
    <row r="112" spans="1:3" x14ac:dyDescent="0.2">
      <c r="A112">
        <v>157401</v>
      </c>
      <c r="B112" t="s">
        <v>148</v>
      </c>
      <c r="C112">
        <v>157401</v>
      </c>
    </row>
    <row r="113" spans="1:3" x14ac:dyDescent="0.2">
      <c r="A113">
        <v>500000</v>
      </c>
      <c r="B113" t="s">
        <v>149</v>
      </c>
      <c r="C113">
        <v>500000</v>
      </c>
    </row>
    <row r="114" spans="1:3" x14ac:dyDescent="0.2">
      <c r="A114">
        <v>181464</v>
      </c>
      <c r="B114" t="s">
        <v>150</v>
      </c>
      <c r="C114">
        <v>181464</v>
      </c>
    </row>
    <row r="115" spans="1:3" x14ac:dyDescent="0.2">
      <c r="A115">
        <v>181394</v>
      </c>
      <c r="B115" t="s">
        <v>151</v>
      </c>
      <c r="C115">
        <v>181394</v>
      </c>
    </row>
    <row r="116" spans="1:3" x14ac:dyDescent="0.2">
      <c r="A116">
        <v>182290</v>
      </c>
      <c r="B116" t="s">
        <v>152</v>
      </c>
      <c r="C116">
        <v>182290</v>
      </c>
    </row>
    <row r="117" spans="1:3" x14ac:dyDescent="0.2">
      <c r="A117">
        <v>183044</v>
      </c>
      <c r="B117" t="s">
        <v>153</v>
      </c>
      <c r="C117">
        <v>183044</v>
      </c>
    </row>
    <row r="118" spans="1:3" x14ac:dyDescent="0.2">
      <c r="A118">
        <v>187985</v>
      </c>
      <c r="B118" t="s">
        <v>154</v>
      </c>
      <c r="C118">
        <v>187985</v>
      </c>
    </row>
    <row r="119" spans="1:3" x14ac:dyDescent="0.2">
      <c r="A119">
        <v>188030</v>
      </c>
      <c r="B119" t="s">
        <v>155</v>
      </c>
      <c r="C119">
        <v>188030</v>
      </c>
    </row>
    <row r="120" spans="1:3" x14ac:dyDescent="0.2">
      <c r="A120">
        <v>159939</v>
      </c>
      <c r="B120" t="s">
        <v>156</v>
      </c>
      <c r="C120">
        <v>159939</v>
      </c>
    </row>
    <row r="121" spans="1:3" x14ac:dyDescent="0.2">
      <c r="A121">
        <v>159966</v>
      </c>
      <c r="B121" t="s">
        <v>157</v>
      </c>
      <c r="C121">
        <v>159966</v>
      </c>
    </row>
    <row r="122" spans="1:3" x14ac:dyDescent="0.2">
      <c r="A122">
        <v>185828</v>
      </c>
      <c r="B122" t="s">
        <v>158</v>
      </c>
      <c r="C122">
        <v>185828</v>
      </c>
    </row>
    <row r="123" spans="1:3" x14ac:dyDescent="0.2">
      <c r="A123">
        <v>232937</v>
      </c>
      <c r="B123" t="s">
        <v>159</v>
      </c>
      <c r="C123">
        <v>232937</v>
      </c>
    </row>
    <row r="124" spans="1:3" x14ac:dyDescent="0.2">
      <c r="A124">
        <v>199120</v>
      </c>
      <c r="B124" t="s">
        <v>160</v>
      </c>
      <c r="C124">
        <v>199120</v>
      </c>
    </row>
    <row r="125" spans="1:3" x14ac:dyDescent="0.2">
      <c r="A125">
        <v>199102</v>
      </c>
      <c r="B125" t="s">
        <v>161</v>
      </c>
      <c r="C125">
        <v>199102</v>
      </c>
    </row>
    <row r="126" spans="1:3" x14ac:dyDescent="0.2">
      <c r="A126">
        <v>199111</v>
      </c>
      <c r="B126" t="s">
        <v>162</v>
      </c>
      <c r="C126">
        <v>199111</v>
      </c>
    </row>
    <row r="127" spans="1:3" x14ac:dyDescent="0.2">
      <c r="A127">
        <v>199148</v>
      </c>
      <c r="B127" t="s">
        <v>163</v>
      </c>
      <c r="C127">
        <v>199148</v>
      </c>
    </row>
    <row r="128" spans="1:3" x14ac:dyDescent="0.2">
      <c r="A128">
        <v>199157</v>
      </c>
      <c r="B128" t="s">
        <v>164</v>
      </c>
      <c r="C128">
        <v>199157</v>
      </c>
    </row>
    <row r="129" spans="1:3" x14ac:dyDescent="0.2">
      <c r="A129">
        <v>199193</v>
      </c>
      <c r="B129" t="s">
        <v>165</v>
      </c>
      <c r="C129">
        <v>199193</v>
      </c>
    </row>
    <row r="130" spans="1:3" x14ac:dyDescent="0.2">
      <c r="A130">
        <v>199218</v>
      </c>
      <c r="B130" t="s">
        <v>166</v>
      </c>
      <c r="C130">
        <v>199218</v>
      </c>
    </row>
    <row r="131" spans="1:3" x14ac:dyDescent="0.2">
      <c r="A131">
        <v>200280</v>
      </c>
      <c r="B131" t="s">
        <v>167</v>
      </c>
      <c r="C131">
        <v>200280</v>
      </c>
    </row>
    <row r="132" spans="1:3" x14ac:dyDescent="0.2">
      <c r="A132">
        <v>200332</v>
      </c>
      <c r="B132" t="s">
        <v>168</v>
      </c>
      <c r="C132">
        <v>200332</v>
      </c>
    </row>
    <row r="133" spans="1:3" x14ac:dyDescent="0.2">
      <c r="A133">
        <v>136172</v>
      </c>
      <c r="B133" t="s">
        <v>169</v>
      </c>
      <c r="C133">
        <v>136172</v>
      </c>
    </row>
    <row r="134" spans="1:3" x14ac:dyDescent="0.2">
      <c r="A134">
        <v>227216</v>
      </c>
      <c r="B134" t="s">
        <v>170</v>
      </c>
      <c r="C134">
        <v>227216</v>
      </c>
    </row>
    <row r="135" spans="1:3" x14ac:dyDescent="0.2">
      <c r="A135">
        <v>105330</v>
      </c>
      <c r="B135" t="s">
        <v>171</v>
      </c>
      <c r="C135">
        <v>105330</v>
      </c>
    </row>
    <row r="136" spans="1:3" x14ac:dyDescent="0.2">
      <c r="A136">
        <v>127741</v>
      </c>
      <c r="B136" t="s">
        <v>172</v>
      </c>
      <c r="C136">
        <v>127741</v>
      </c>
    </row>
    <row r="137" spans="1:3" x14ac:dyDescent="0.2">
      <c r="A137">
        <v>147703</v>
      </c>
      <c r="B137" t="s">
        <v>173</v>
      </c>
      <c r="C137">
        <v>147703</v>
      </c>
    </row>
    <row r="138" spans="1:3" x14ac:dyDescent="0.2">
      <c r="A138">
        <v>154095</v>
      </c>
      <c r="B138" t="s">
        <v>174</v>
      </c>
      <c r="C138">
        <v>154095</v>
      </c>
    </row>
    <row r="139" spans="1:3" x14ac:dyDescent="0.2">
      <c r="A139">
        <v>160038</v>
      </c>
      <c r="B139" t="s">
        <v>175</v>
      </c>
      <c r="C139">
        <v>160038</v>
      </c>
    </row>
    <row r="140" spans="1:3" x14ac:dyDescent="0.2">
      <c r="A140">
        <v>171571</v>
      </c>
      <c r="B140" t="s">
        <v>176</v>
      </c>
      <c r="C140">
        <v>171571</v>
      </c>
    </row>
    <row r="141" spans="1:3" x14ac:dyDescent="0.2">
      <c r="A141">
        <v>204857</v>
      </c>
      <c r="B141" t="s">
        <v>177</v>
      </c>
      <c r="C141">
        <v>204857</v>
      </c>
    </row>
    <row r="142" spans="1:3" x14ac:dyDescent="0.2">
      <c r="A142">
        <v>204796</v>
      </c>
      <c r="B142" t="s">
        <v>178</v>
      </c>
      <c r="C142">
        <v>204796</v>
      </c>
    </row>
    <row r="143" spans="1:3" x14ac:dyDescent="0.2">
      <c r="A143">
        <v>207500</v>
      </c>
      <c r="B143" t="s">
        <v>179</v>
      </c>
      <c r="C143">
        <v>207500</v>
      </c>
    </row>
    <row r="144" spans="1:3" x14ac:dyDescent="0.2">
      <c r="A144">
        <v>207388</v>
      </c>
      <c r="B144" t="s">
        <v>180</v>
      </c>
      <c r="C144">
        <v>207388</v>
      </c>
    </row>
    <row r="145" spans="1:3" x14ac:dyDescent="0.2">
      <c r="A145">
        <v>232982</v>
      </c>
      <c r="B145" t="s">
        <v>181</v>
      </c>
      <c r="C145">
        <v>232982</v>
      </c>
    </row>
    <row r="146" spans="1:3" x14ac:dyDescent="0.2">
      <c r="A146">
        <v>209551</v>
      </c>
      <c r="B146" t="s">
        <v>182</v>
      </c>
      <c r="C146">
        <v>209551</v>
      </c>
    </row>
    <row r="147" spans="1:3" x14ac:dyDescent="0.2">
      <c r="A147">
        <v>209542</v>
      </c>
      <c r="B147" t="s">
        <v>183</v>
      </c>
      <c r="C147">
        <v>209542</v>
      </c>
    </row>
    <row r="148" spans="1:3" x14ac:dyDescent="0.2">
      <c r="A148">
        <v>214777</v>
      </c>
      <c r="B148" t="s">
        <v>184</v>
      </c>
      <c r="C148">
        <v>214777</v>
      </c>
    </row>
    <row r="149" spans="1:3" x14ac:dyDescent="0.2">
      <c r="A149">
        <v>209807</v>
      </c>
      <c r="B149" t="s">
        <v>185</v>
      </c>
      <c r="C149">
        <v>209807</v>
      </c>
    </row>
    <row r="150" spans="1:3" x14ac:dyDescent="0.2">
      <c r="A150">
        <v>227526</v>
      </c>
      <c r="B150" t="s">
        <v>186</v>
      </c>
      <c r="C150">
        <v>227526</v>
      </c>
    </row>
    <row r="151" spans="1:3" x14ac:dyDescent="0.2">
      <c r="A151">
        <v>243780</v>
      </c>
      <c r="B151" t="s">
        <v>187</v>
      </c>
      <c r="C151">
        <v>243780</v>
      </c>
    </row>
    <row r="152" spans="1:3" x14ac:dyDescent="0.2">
      <c r="A152">
        <v>151102</v>
      </c>
      <c r="B152" t="s">
        <v>188</v>
      </c>
      <c r="C152">
        <v>151102</v>
      </c>
    </row>
    <row r="153" spans="1:3" x14ac:dyDescent="0.2">
      <c r="A153">
        <v>233277</v>
      </c>
      <c r="B153" t="s">
        <v>189</v>
      </c>
      <c r="C153">
        <v>233277</v>
      </c>
    </row>
    <row r="154" spans="1:3" x14ac:dyDescent="0.2">
      <c r="A154">
        <v>217484</v>
      </c>
      <c r="B154" t="s">
        <v>190</v>
      </c>
      <c r="C154">
        <v>217484</v>
      </c>
    </row>
    <row r="155" spans="1:3" x14ac:dyDescent="0.2">
      <c r="A155">
        <v>186380</v>
      </c>
      <c r="B155" t="s">
        <v>191</v>
      </c>
      <c r="C155">
        <v>186380</v>
      </c>
    </row>
    <row r="156" spans="1:3" x14ac:dyDescent="0.2">
      <c r="A156">
        <v>110617</v>
      </c>
      <c r="B156" t="s">
        <v>192</v>
      </c>
      <c r="C156">
        <v>110617</v>
      </c>
    </row>
    <row r="157" spans="1:3" x14ac:dyDescent="0.2">
      <c r="A157">
        <v>227881</v>
      </c>
      <c r="B157" t="s">
        <v>193</v>
      </c>
      <c r="C157">
        <v>227881</v>
      </c>
    </row>
    <row r="158" spans="1:3" x14ac:dyDescent="0.2">
      <c r="A158">
        <v>122409</v>
      </c>
      <c r="B158" t="s">
        <v>194</v>
      </c>
      <c r="C158">
        <v>122409</v>
      </c>
    </row>
    <row r="159" spans="1:3" x14ac:dyDescent="0.2">
      <c r="A159">
        <v>122755</v>
      </c>
      <c r="B159" t="s">
        <v>195</v>
      </c>
      <c r="C159">
        <v>122755</v>
      </c>
    </row>
    <row r="160" spans="1:3" x14ac:dyDescent="0.2">
      <c r="A160">
        <v>140960</v>
      </c>
      <c r="B160" t="s">
        <v>196</v>
      </c>
      <c r="C160">
        <v>140960</v>
      </c>
    </row>
    <row r="161" spans="1:3" x14ac:dyDescent="0.2">
      <c r="A161">
        <v>102094</v>
      </c>
      <c r="B161" t="s">
        <v>197</v>
      </c>
      <c r="C161">
        <v>102094</v>
      </c>
    </row>
    <row r="162" spans="1:3" x14ac:dyDescent="0.2">
      <c r="A162">
        <v>218663</v>
      </c>
      <c r="B162" t="s">
        <v>198</v>
      </c>
      <c r="C162">
        <v>218663</v>
      </c>
    </row>
    <row r="163" spans="1:3" x14ac:dyDescent="0.2">
      <c r="A163">
        <v>218742</v>
      </c>
      <c r="B163" t="s">
        <v>199</v>
      </c>
      <c r="C163">
        <v>218742</v>
      </c>
    </row>
    <row r="164" spans="1:3" x14ac:dyDescent="0.2">
      <c r="A164">
        <v>218733</v>
      </c>
      <c r="B164" t="s">
        <v>200</v>
      </c>
      <c r="C164">
        <v>218733</v>
      </c>
    </row>
    <row r="165" spans="1:3" x14ac:dyDescent="0.2">
      <c r="A165">
        <v>219471</v>
      </c>
      <c r="B165" t="s">
        <v>201</v>
      </c>
      <c r="C165">
        <v>219471</v>
      </c>
    </row>
    <row r="166" spans="1:3" x14ac:dyDescent="0.2">
      <c r="A166">
        <v>219356</v>
      </c>
      <c r="B166" t="s">
        <v>202</v>
      </c>
      <c r="C166">
        <v>219356</v>
      </c>
    </row>
    <row r="167" spans="1:3" x14ac:dyDescent="0.2">
      <c r="A167">
        <v>137351</v>
      </c>
      <c r="B167" t="s">
        <v>203</v>
      </c>
      <c r="C167">
        <v>137351</v>
      </c>
    </row>
    <row r="168" spans="1:3" x14ac:dyDescent="0.2">
      <c r="A168">
        <v>179557</v>
      </c>
      <c r="B168" t="s">
        <v>204</v>
      </c>
      <c r="C168">
        <v>179557</v>
      </c>
    </row>
    <row r="169" spans="1:3" x14ac:dyDescent="0.2">
      <c r="A169">
        <v>160621</v>
      </c>
      <c r="B169" t="s">
        <v>205</v>
      </c>
      <c r="C169">
        <v>160621</v>
      </c>
    </row>
    <row r="170" spans="1:3" x14ac:dyDescent="0.2">
      <c r="A170">
        <v>149222</v>
      </c>
      <c r="B170" t="s">
        <v>206</v>
      </c>
      <c r="C170">
        <v>149222</v>
      </c>
    </row>
    <row r="171" spans="1:3" x14ac:dyDescent="0.2">
      <c r="A171">
        <v>149231</v>
      </c>
      <c r="B171" t="s">
        <v>207</v>
      </c>
      <c r="C171">
        <v>149231</v>
      </c>
    </row>
    <row r="172" spans="1:3" x14ac:dyDescent="0.2">
      <c r="A172">
        <v>176372</v>
      </c>
      <c r="B172" t="s">
        <v>208</v>
      </c>
      <c r="C172">
        <v>176372</v>
      </c>
    </row>
    <row r="173" spans="1:3" x14ac:dyDescent="0.2">
      <c r="A173">
        <v>230603</v>
      </c>
      <c r="B173" t="s">
        <v>209</v>
      </c>
      <c r="C173">
        <v>230603</v>
      </c>
    </row>
    <row r="174" spans="1:3" x14ac:dyDescent="0.2">
      <c r="A174">
        <v>228431</v>
      </c>
      <c r="B174" t="s">
        <v>210</v>
      </c>
      <c r="C174">
        <v>228431</v>
      </c>
    </row>
    <row r="175" spans="1:3" x14ac:dyDescent="0.2">
      <c r="A175">
        <v>196097</v>
      </c>
      <c r="B175" t="s">
        <v>211</v>
      </c>
      <c r="C175">
        <v>196097</v>
      </c>
    </row>
    <row r="176" spans="1:3" x14ac:dyDescent="0.2">
      <c r="A176">
        <v>221759</v>
      </c>
      <c r="B176" t="s">
        <v>212</v>
      </c>
      <c r="C176">
        <v>221759</v>
      </c>
    </row>
    <row r="177" spans="1:3" x14ac:dyDescent="0.2">
      <c r="A177">
        <v>221740</v>
      </c>
      <c r="B177" t="s">
        <v>213</v>
      </c>
      <c r="C177">
        <v>221740</v>
      </c>
    </row>
    <row r="178" spans="1:3" x14ac:dyDescent="0.2">
      <c r="A178">
        <v>221768</v>
      </c>
      <c r="B178" t="s">
        <v>214</v>
      </c>
      <c r="C178">
        <v>221768</v>
      </c>
    </row>
    <row r="179" spans="1:3" x14ac:dyDescent="0.2">
      <c r="A179">
        <v>221847</v>
      </c>
      <c r="B179" t="s">
        <v>215</v>
      </c>
      <c r="C179">
        <v>221847</v>
      </c>
    </row>
    <row r="180" spans="1:3" x14ac:dyDescent="0.2">
      <c r="A180">
        <v>228778</v>
      </c>
      <c r="B180" t="s">
        <v>216</v>
      </c>
      <c r="C180">
        <v>228778</v>
      </c>
    </row>
    <row r="181" spans="1:3" x14ac:dyDescent="0.2">
      <c r="A181">
        <v>228723</v>
      </c>
      <c r="B181" t="s">
        <v>217</v>
      </c>
      <c r="C181">
        <v>228723</v>
      </c>
    </row>
    <row r="182" spans="1:3" x14ac:dyDescent="0.2">
      <c r="A182">
        <v>224147</v>
      </c>
      <c r="B182" t="s">
        <v>218</v>
      </c>
      <c r="C182">
        <v>224147</v>
      </c>
    </row>
    <row r="183" spans="1:3" x14ac:dyDescent="0.2">
      <c r="A183">
        <v>228769</v>
      </c>
      <c r="B183" t="s">
        <v>219</v>
      </c>
      <c r="C183">
        <v>228769</v>
      </c>
    </row>
    <row r="184" spans="1:3" x14ac:dyDescent="0.2">
      <c r="A184">
        <v>229063</v>
      </c>
      <c r="B184" t="s">
        <v>220</v>
      </c>
      <c r="C184">
        <v>229063</v>
      </c>
    </row>
    <row r="185" spans="1:3" x14ac:dyDescent="0.2">
      <c r="A185">
        <v>228459</v>
      </c>
      <c r="B185" t="s">
        <v>221</v>
      </c>
      <c r="C185">
        <v>228459</v>
      </c>
    </row>
    <row r="186" spans="1:3" x14ac:dyDescent="0.2">
      <c r="A186">
        <v>229115</v>
      </c>
      <c r="B186" t="s">
        <v>222</v>
      </c>
      <c r="C186">
        <v>229115</v>
      </c>
    </row>
    <row r="187" spans="1:3" x14ac:dyDescent="0.2">
      <c r="A187">
        <v>206084</v>
      </c>
      <c r="B187" t="s">
        <v>223</v>
      </c>
      <c r="C187">
        <v>206084</v>
      </c>
    </row>
    <row r="188" spans="1:3" x14ac:dyDescent="0.2">
      <c r="A188">
        <v>164076</v>
      </c>
      <c r="B188" t="s">
        <v>224</v>
      </c>
      <c r="C188">
        <v>164076</v>
      </c>
    </row>
    <row r="189" spans="1:3" x14ac:dyDescent="0.2">
      <c r="A189">
        <v>102368</v>
      </c>
      <c r="B189" t="s">
        <v>225</v>
      </c>
      <c r="C189">
        <v>102368</v>
      </c>
    </row>
    <row r="190" spans="1:3" x14ac:dyDescent="0.2">
      <c r="A190">
        <v>100663</v>
      </c>
      <c r="B190" t="s">
        <v>226</v>
      </c>
      <c r="C190">
        <v>100663</v>
      </c>
    </row>
    <row r="191" spans="1:3" x14ac:dyDescent="0.2">
      <c r="A191">
        <v>110644</v>
      </c>
      <c r="B191" t="s">
        <v>227</v>
      </c>
      <c r="C191">
        <v>110644</v>
      </c>
    </row>
    <row r="192" spans="1:3" x14ac:dyDescent="0.2">
      <c r="A192">
        <v>110653</v>
      </c>
      <c r="B192" t="s">
        <v>228</v>
      </c>
      <c r="C192">
        <v>110653</v>
      </c>
    </row>
    <row r="193" spans="1:3" x14ac:dyDescent="0.2">
      <c r="A193">
        <v>110671</v>
      </c>
      <c r="B193" t="s">
        <v>229</v>
      </c>
      <c r="C193">
        <v>110671</v>
      </c>
    </row>
    <row r="194" spans="1:3" x14ac:dyDescent="0.2">
      <c r="A194">
        <v>110705</v>
      </c>
      <c r="B194" t="s">
        <v>230</v>
      </c>
      <c r="C194">
        <v>110705</v>
      </c>
    </row>
    <row r="195" spans="1:3" x14ac:dyDescent="0.2">
      <c r="A195">
        <v>132903</v>
      </c>
      <c r="B195" t="s">
        <v>231</v>
      </c>
      <c r="C195">
        <v>132903</v>
      </c>
    </row>
    <row r="196" spans="1:3" x14ac:dyDescent="0.2">
      <c r="A196">
        <v>110662</v>
      </c>
      <c r="B196" t="s">
        <v>232</v>
      </c>
      <c r="C196">
        <v>110662</v>
      </c>
    </row>
    <row r="197" spans="1:3" x14ac:dyDescent="0.2">
      <c r="A197">
        <v>182281</v>
      </c>
      <c r="B197" t="s">
        <v>233</v>
      </c>
      <c r="C197">
        <v>182281</v>
      </c>
    </row>
    <row r="198" spans="1:3" x14ac:dyDescent="0.2">
      <c r="A198">
        <v>230764</v>
      </c>
      <c r="B198" t="s">
        <v>234</v>
      </c>
      <c r="C198">
        <v>230764</v>
      </c>
    </row>
    <row r="199" spans="1:3" x14ac:dyDescent="0.2">
      <c r="A199">
        <v>230728</v>
      </c>
      <c r="B199" t="s">
        <v>235</v>
      </c>
      <c r="C199">
        <v>230728</v>
      </c>
    </row>
    <row r="200" spans="1:3" x14ac:dyDescent="0.2">
      <c r="A200">
        <v>230737</v>
      </c>
      <c r="B200" t="s">
        <v>236</v>
      </c>
      <c r="C200">
        <v>230737</v>
      </c>
    </row>
    <row r="201" spans="1:3" x14ac:dyDescent="0.2">
      <c r="A201">
        <v>228796</v>
      </c>
      <c r="B201" t="s">
        <v>237</v>
      </c>
      <c r="C201">
        <v>228796</v>
      </c>
    </row>
    <row r="202" spans="1:3" x14ac:dyDescent="0.2">
      <c r="A202">
        <v>227368</v>
      </c>
      <c r="B202" t="s">
        <v>238</v>
      </c>
      <c r="C202">
        <v>227368</v>
      </c>
    </row>
    <row r="203" spans="1:3" x14ac:dyDescent="0.2">
      <c r="A203">
        <v>229027</v>
      </c>
      <c r="B203" t="s">
        <v>239</v>
      </c>
      <c r="C203">
        <v>229027</v>
      </c>
    </row>
    <row r="204" spans="1:3" x14ac:dyDescent="0.2">
      <c r="A204">
        <v>234030</v>
      </c>
      <c r="B204" t="s">
        <v>240</v>
      </c>
      <c r="C204">
        <v>234030</v>
      </c>
    </row>
    <row r="205" spans="1:3" x14ac:dyDescent="0.2">
      <c r="A205">
        <v>231174</v>
      </c>
      <c r="B205" t="s">
        <v>241</v>
      </c>
      <c r="C205">
        <v>231174</v>
      </c>
    </row>
    <row r="206" spans="1:3" x14ac:dyDescent="0.2">
      <c r="A206">
        <v>234076</v>
      </c>
      <c r="B206" t="s">
        <v>242</v>
      </c>
      <c r="C206">
        <v>234076</v>
      </c>
    </row>
    <row r="207" spans="1:3" x14ac:dyDescent="0.2">
      <c r="A207">
        <v>233921</v>
      </c>
      <c r="B207" t="s">
        <v>243</v>
      </c>
      <c r="C207">
        <v>233921</v>
      </c>
    </row>
    <row r="208" spans="1:3" x14ac:dyDescent="0.2">
      <c r="A208">
        <v>236948</v>
      </c>
      <c r="B208" t="s">
        <v>244</v>
      </c>
      <c r="C208">
        <v>236948</v>
      </c>
    </row>
    <row r="209" spans="1:3" x14ac:dyDescent="0.2">
      <c r="A209">
        <v>236939</v>
      </c>
      <c r="B209" t="s">
        <v>245</v>
      </c>
      <c r="C209">
        <v>236939</v>
      </c>
    </row>
    <row r="210" spans="1:3" x14ac:dyDescent="0.2">
      <c r="A210">
        <v>230782</v>
      </c>
      <c r="B210" t="s">
        <v>246</v>
      </c>
      <c r="C210">
        <v>230782</v>
      </c>
    </row>
    <row r="211" spans="1:3" x14ac:dyDescent="0.2">
      <c r="A211">
        <v>238032</v>
      </c>
      <c r="B211" t="s">
        <v>247</v>
      </c>
      <c r="C211">
        <v>238032</v>
      </c>
    </row>
    <row r="212" spans="1:3" x14ac:dyDescent="0.2">
      <c r="A212">
        <v>200004</v>
      </c>
      <c r="B212" t="s">
        <v>248</v>
      </c>
      <c r="C212">
        <v>200004</v>
      </c>
    </row>
    <row r="213" spans="1:3" x14ac:dyDescent="0.2">
      <c r="A213">
        <v>149772</v>
      </c>
      <c r="B213" t="s">
        <v>249</v>
      </c>
      <c r="C213">
        <v>149772</v>
      </c>
    </row>
    <row r="214" spans="1:3" x14ac:dyDescent="0.2">
      <c r="A214">
        <v>157951</v>
      </c>
      <c r="B214" t="s">
        <v>250</v>
      </c>
      <c r="C214">
        <v>157951</v>
      </c>
    </row>
    <row r="215" spans="1:3" x14ac:dyDescent="0.2">
      <c r="A215">
        <v>172699</v>
      </c>
      <c r="B215" t="s">
        <v>251</v>
      </c>
      <c r="C215">
        <v>172699</v>
      </c>
    </row>
    <row r="216" spans="1:3" x14ac:dyDescent="0.2">
      <c r="A216">
        <v>156125</v>
      </c>
      <c r="B216" t="s">
        <v>252</v>
      </c>
      <c r="C216">
        <v>156125</v>
      </c>
    </row>
    <row r="217" spans="1:3" x14ac:dyDescent="0.2">
      <c r="A217">
        <v>231624</v>
      </c>
      <c r="B217" t="s">
        <v>253</v>
      </c>
      <c r="C217">
        <v>231624</v>
      </c>
    </row>
    <row r="218" spans="1:3" x14ac:dyDescent="0.2">
      <c r="A218">
        <v>218964</v>
      </c>
      <c r="B218" t="s">
        <v>254</v>
      </c>
      <c r="C218">
        <v>218964</v>
      </c>
    </row>
    <row r="219" spans="1:3" x14ac:dyDescent="0.2">
      <c r="A219">
        <v>240444</v>
      </c>
      <c r="B219" t="s">
        <v>255</v>
      </c>
      <c r="C219">
        <v>240444</v>
      </c>
    </row>
    <row r="220" spans="1:3" x14ac:dyDescent="0.2">
      <c r="A220">
        <v>240277</v>
      </c>
      <c r="B220" t="s">
        <v>256</v>
      </c>
      <c r="C220">
        <v>240277</v>
      </c>
    </row>
    <row r="221" spans="1:3" x14ac:dyDescent="0.2">
      <c r="A221">
        <v>240453</v>
      </c>
      <c r="B221" t="s">
        <v>257</v>
      </c>
      <c r="C221">
        <v>240453</v>
      </c>
    </row>
    <row r="222" spans="1:3" x14ac:dyDescent="0.2">
      <c r="A222">
        <v>206604</v>
      </c>
      <c r="B222" t="s">
        <v>258</v>
      </c>
      <c r="C222">
        <v>206604</v>
      </c>
    </row>
    <row r="223" spans="1:3" x14ac:dyDescent="0.2">
      <c r="A223">
        <v>240727</v>
      </c>
      <c r="B223" t="s">
        <v>259</v>
      </c>
      <c r="C223">
        <v>240727</v>
      </c>
    </row>
    <row r="224" spans="1:3" x14ac:dyDescent="0.2">
      <c r="A224">
        <v>206695</v>
      </c>
      <c r="B224" t="s">
        <v>260</v>
      </c>
      <c r="C224">
        <v>206695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2481-DFD6-467A-A0A2-162D02EACB99}">
  <sheetPr>
    <tabColor theme="6"/>
  </sheetPr>
  <dimension ref="A1:R23"/>
  <sheetViews>
    <sheetView zoomScale="166" workbookViewId="0">
      <selection sqref="A1:F1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8" ht="16" x14ac:dyDescent="0.2">
      <c r="A1" s="21" t="s">
        <v>326</v>
      </c>
      <c r="B1" s="19"/>
      <c r="C1" s="19"/>
      <c r="D1" s="19"/>
      <c r="E1" s="19"/>
      <c r="F1" s="19"/>
    </row>
    <row r="2" spans="1:18" ht="16" x14ac:dyDescent="0.2">
      <c r="A2" s="21" t="s">
        <v>325</v>
      </c>
      <c r="B2" s="19"/>
      <c r="C2" s="19"/>
      <c r="D2" s="19"/>
      <c r="E2" s="19"/>
      <c r="F2" s="19"/>
    </row>
    <row r="3" spans="1:18" x14ac:dyDescent="0.2">
      <c r="A3" s="19"/>
      <c r="B3" s="19"/>
      <c r="C3" s="19"/>
      <c r="D3" s="19"/>
      <c r="E3" s="19"/>
      <c r="F3" s="19"/>
    </row>
    <row r="4" spans="1:18" x14ac:dyDescent="0.2">
      <c r="A4" s="13" t="s">
        <v>324</v>
      </c>
      <c r="B4" s="18" t="s">
        <v>323</v>
      </c>
      <c r="C4" s="19"/>
      <c r="D4" s="19"/>
      <c r="E4" s="19"/>
      <c r="F4" s="19"/>
    </row>
    <row r="5" spans="1:18" x14ac:dyDescent="0.2">
      <c r="A5" s="22" t="s">
        <v>322</v>
      </c>
      <c r="B5" s="19"/>
      <c r="C5" s="19"/>
      <c r="D5" s="19"/>
      <c r="E5" s="19"/>
      <c r="F5" s="19"/>
    </row>
    <row r="6" spans="1:18" x14ac:dyDescent="0.2">
      <c r="A6" s="13" t="s">
        <v>321</v>
      </c>
      <c r="B6" s="18" t="s">
        <v>320</v>
      </c>
      <c r="C6" s="19"/>
      <c r="D6" s="19"/>
      <c r="E6" s="19"/>
      <c r="F6" s="19"/>
    </row>
    <row r="7" spans="1:18" x14ac:dyDescent="0.2">
      <c r="A7" s="13" t="s">
        <v>319</v>
      </c>
      <c r="B7" s="18" t="s">
        <v>318</v>
      </c>
      <c r="C7" s="19"/>
      <c r="D7" s="19"/>
      <c r="E7" s="19"/>
      <c r="F7" s="19"/>
    </row>
    <row r="8" spans="1:18" x14ac:dyDescent="0.2">
      <c r="A8" s="13" t="s">
        <v>317</v>
      </c>
      <c r="B8" s="18" t="s">
        <v>316</v>
      </c>
      <c r="C8" s="19"/>
      <c r="D8" s="19"/>
      <c r="E8" s="19"/>
      <c r="F8" s="19"/>
    </row>
    <row r="9" spans="1:18" x14ac:dyDescent="0.2">
      <c r="A9" s="13" t="s">
        <v>315</v>
      </c>
      <c r="B9" s="18" t="s">
        <v>314</v>
      </c>
      <c r="C9" s="19"/>
      <c r="D9" s="19"/>
      <c r="E9" s="19"/>
      <c r="F9" s="19"/>
    </row>
    <row r="10" spans="1:18" x14ac:dyDescent="0.2">
      <c r="A10" s="13" t="s">
        <v>313</v>
      </c>
      <c r="B10" s="20" t="s">
        <v>312</v>
      </c>
      <c r="C10" s="19"/>
      <c r="D10" s="19"/>
      <c r="E10" s="19"/>
      <c r="F10" s="19"/>
    </row>
    <row r="12" spans="1:18" ht="16" thickBot="1" x14ac:dyDescent="0.25">
      <c r="A12" s="12" t="s">
        <v>311</v>
      </c>
      <c r="B12" s="12" t="s">
        <v>310</v>
      </c>
      <c r="C12" s="12" t="s">
        <v>309</v>
      </c>
      <c r="D12" s="12" t="s">
        <v>308</v>
      </c>
      <c r="E12" s="12" t="s">
        <v>307</v>
      </c>
      <c r="F12" s="12" t="s">
        <v>306</v>
      </c>
      <c r="G12" s="12" t="s">
        <v>305</v>
      </c>
      <c r="H12" s="12" t="s">
        <v>304</v>
      </c>
      <c r="I12" s="12" t="s">
        <v>303</v>
      </c>
      <c r="J12" s="12" t="s">
        <v>302</v>
      </c>
      <c r="K12" s="12" t="s">
        <v>301</v>
      </c>
      <c r="L12" s="12" t="s">
        <v>300</v>
      </c>
      <c r="M12" s="12" t="s">
        <v>299</v>
      </c>
      <c r="N12" s="12" t="s">
        <v>298</v>
      </c>
      <c r="O12" s="12" t="s">
        <v>297</v>
      </c>
    </row>
    <row r="13" spans="1:18" ht="16" thickTop="1" x14ac:dyDescent="0.2">
      <c r="A13" s="10">
        <v>2014</v>
      </c>
      <c r="B13" s="9">
        <v>233.916</v>
      </c>
      <c r="C13" s="9">
        <v>234.78100000000001</v>
      </c>
      <c r="D13" s="9">
        <v>236.29300000000001</v>
      </c>
      <c r="E13" s="9">
        <v>237.072</v>
      </c>
      <c r="F13" s="9">
        <v>237.9</v>
      </c>
      <c r="G13" s="9">
        <v>238.34299999999999</v>
      </c>
      <c r="H13" s="9">
        <v>238.25</v>
      </c>
      <c r="I13" s="9">
        <v>237.852</v>
      </c>
      <c r="J13" s="9">
        <v>238.03100000000001</v>
      </c>
      <c r="K13" s="9">
        <v>237.43299999999999</v>
      </c>
      <c r="L13" s="9">
        <v>236.15100000000001</v>
      </c>
      <c r="M13" s="9">
        <v>234.81200000000001</v>
      </c>
      <c r="N13" s="9">
        <v>236.38399999999999</v>
      </c>
      <c r="O13" s="9">
        <v>237.08799999999999</v>
      </c>
    </row>
    <row r="14" spans="1:18" x14ac:dyDescent="0.2">
      <c r="A14" s="10">
        <v>2015</v>
      </c>
      <c r="B14" s="9">
        <v>233.70699999999999</v>
      </c>
      <c r="C14" s="9">
        <v>234.72200000000001</v>
      </c>
      <c r="D14" s="9">
        <v>236.119</v>
      </c>
      <c r="E14" s="9">
        <v>236.59899999999999</v>
      </c>
      <c r="F14" s="9">
        <v>237.80500000000001</v>
      </c>
      <c r="G14" s="9">
        <v>238.63800000000001</v>
      </c>
      <c r="H14" s="9">
        <v>238.654</v>
      </c>
      <c r="I14" s="9">
        <v>238.316</v>
      </c>
      <c r="J14" s="9">
        <v>237.94499999999999</v>
      </c>
      <c r="K14" s="9">
        <v>237.83799999999999</v>
      </c>
      <c r="L14" s="9">
        <v>237.33600000000001</v>
      </c>
      <c r="M14" s="9">
        <v>236.52500000000001</v>
      </c>
      <c r="N14" s="9">
        <v>236.26499999999999</v>
      </c>
      <c r="O14" s="9">
        <v>237.76900000000001</v>
      </c>
    </row>
    <row r="15" spans="1:18" x14ac:dyDescent="0.2">
      <c r="A15" s="10">
        <v>2016</v>
      </c>
      <c r="B15" s="9">
        <v>236.916</v>
      </c>
      <c r="C15" s="9">
        <v>237.11099999999999</v>
      </c>
      <c r="D15" s="9">
        <v>238.13200000000001</v>
      </c>
      <c r="E15" s="9">
        <v>239.261</v>
      </c>
      <c r="F15" s="9">
        <v>240.22900000000001</v>
      </c>
      <c r="G15" s="9">
        <v>241.018</v>
      </c>
      <c r="H15" s="9">
        <v>240.62799999999999</v>
      </c>
      <c r="I15" s="9">
        <v>240.84899999999999</v>
      </c>
      <c r="J15" s="9">
        <v>241.428</v>
      </c>
      <c r="K15" s="9">
        <v>241.72900000000001</v>
      </c>
      <c r="L15" s="9">
        <v>241.35300000000001</v>
      </c>
      <c r="M15" s="9">
        <v>241.43199999999999</v>
      </c>
      <c r="N15" s="9">
        <v>238.77799999999999</v>
      </c>
      <c r="O15" s="9">
        <v>241.23699999999999</v>
      </c>
    </row>
    <row r="16" spans="1:18" x14ac:dyDescent="0.2">
      <c r="A16" s="10">
        <v>2017</v>
      </c>
      <c r="B16" s="9">
        <v>242.839</v>
      </c>
      <c r="C16" s="9">
        <v>243.60300000000001</v>
      </c>
      <c r="D16" s="9">
        <v>243.80099999999999</v>
      </c>
      <c r="E16" s="9">
        <v>244.524</v>
      </c>
      <c r="F16" s="9">
        <v>244.733</v>
      </c>
      <c r="G16" s="9">
        <v>244.95500000000001</v>
      </c>
      <c r="H16" s="9">
        <v>244.786</v>
      </c>
      <c r="I16" s="9">
        <v>245.51900000000001</v>
      </c>
      <c r="J16" s="9">
        <v>246.81899999999999</v>
      </c>
      <c r="K16" s="9">
        <v>246.66300000000001</v>
      </c>
      <c r="L16" s="9">
        <v>246.66900000000001</v>
      </c>
      <c r="M16" s="9">
        <v>246.524</v>
      </c>
      <c r="N16" s="9">
        <v>244.07599999999999</v>
      </c>
      <c r="O16" s="9">
        <v>246.16300000000001</v>
      </c>
      <c r="P16" s="9">
        <v>2017</v>
      </c>
      <c r="Q16" s="11">
        <f t="shared" ref="Q16:Q22" si="0">AVERAGE(N16,O15)</f>
        <v>242.65649999999999</v>
      </c>
      <c r="R16">
        <f t="shared" ref="R16:R22" si="1">Q16/Q$22</f>
        <v>0.80970383952510205</v>
      </c>
    </row>
    <row r="17" spans="1:18" x14ac:dyDescent="0.2">
      <c r="A17" s="10">
        <v>2018</v>
      </c>
      <c r="B17" s="9">
        <v>247.86699999999999</v>
      </c>
      <c r="C17" s="9">
        <v>248.99100000000001</v>
      </c>
      <c r="D17" s="9">
        <v>249.554</v>
      </c>
      <c r="E17" s="9">
        <v>250.54599999999999</v>
      </c>
      <c r="F17" s="9">
        <v>251.58799999999999</v>
      </c>
      <c r="G17" s="9">
        <v>251.989</v>
      </c>
      <c r="H17" s="9">
        <v>252.006</v>
      </c>
      <c r="I17" s="9">
        <v>252.14599999999999</v>
      </c>
      <c r="J17" s="9">
        <v>252.43899999999999</v>
      </c>
      <c r="K17" s="9">
        <v>252.88499999999999</v>
      </c>
      <c r="L17" s="9">
        <v>252.03800000000001</v>
      </c>
      <c r="M17" s="9">
        <v>251.233</v>
      </c>
      <c r="N17" s="9">
        <v>250.089</v>
      </c>
      <c r="O17" s="9">
        <v>252.125</v>
      </c>
      <c r="P17" s="9">
        <f t="shared" ref="P17:P22" si="2">P16+1</f>
        <v>2018</v>
      </c>
      <c r="Q17" s="11">
        <f t="shared" si="0"/>
        <v>248.126</v>
      </c>
      <c r="R17">
        <f t="shared" si="1"/>
        <v>0.827954639113337</v>
      </c>
    </row>
    <row r="18" spans="1:18" x14ac:dyDescent="0.2">
      <c r="A18" s="10">
        <v>2019</v>
      </c>
      <c r="B18" s="9">
        <v>251.71199999999999</v>
      </c>
      <c r="C18" s="9">
        <v>252.77600000000001</v>
      </c>
      <c r="D18" s="9">
        <v>254.202</v>
      </c>
      <c r="E18" s="9">
        <v>255.548</v>
      </c>
      <c r="F18" s="9">
        <v>256.09199999999998</v>
      </c>
      <c r="G18" s="9">
        <v>256.14299999999997</v>
      </c>
      <c r="H18" s="9">
        <v>256.57100000000003</v>
      </c>
      <c r="I18" s="9">
        <v>256.55799999999999</v>
      </c>
      <c r="J18" s="9">
        <v>256.75900000000001</v>
      </c>
      <c r="K18" s="9">
        <v>257.346</v>
      </c>
      <c r="L18" s="9">
        <v>257.20800000000003</v>
      </c>
      <c r="M18" s="9">
        <v>256.97399999999999</v>
      </c>
      <c r="N18" s="9">
        <v>254.41200000000001</v>
      </c>
      <c r="O18" s="9">
        <v>256.90300000000002</v>
      </c>
      <c r="P18" s="9">
        <f t="shared" si="2"/>
        <v>2019</v>
      </c>
      <c r="Q18" s="11">
        <f t="shared" si="0"/>
        <v>253.26850000000002</v>
      </c>
      <c r="R18">
        <f t="shared" si="1"/>
        <v>0.84511429481906863</v>
      </c>
    </row>
    <row r="19" spans="1:18" x14ac:dyDescent="0.2">
      <c r="A19" s="10">
        <v>2020</v>
      </c>
      <c r="B19" s="9">
        <v>257.971</v>
      </c>
      <c r="C19" s="9">
        <v>258.678</v>
      </c>
      <c r="D19" s="9">
        <v>258.11500000000001</v>
      </c>
      <c r="E19" s="9">
        <v>256.38900000000001</v>
      </c>
      <c r="F19" s="9">
        <v>256.39400000000001</v>
      </c>
      <c r="G19" s="9">
        <v>257.79700000000003</v>
      </c>
      <c r="H19" s="9">
        <v>259.101</v>
      </c>
      <c r="I19" s="9">
        <v>259.91800000000001</v>
      </c>
      <c r="J19" s="9">
        <v>260.27999999999997</v>
      </c>
      <c r="K19" s="9">
        <v>260.38799999999998</v>
      </c>
      <c r="L19" s="9">
        <v>260.22899999999998</v>
      </c>
      <c r="M19" s="9">
        <v>260.47399999999999</v>
      </c>
      <c r="N19" s="9">
        <v>257.55700000000002</v>
      </c>
      <c r="O19" s="9">
        <v>260.065</v>
      </c>
      <c r="P19" s="9">
        <f t="shared" si="2"/>
        <v>2020</v>
      </c>
      <c r="Q19" s="11">
        <f t="shared" si="0"/>
        <v>257.23</v>
      </c>
      <c r="R19">
        <f t="shared" si="1"/>
        <v>0.85833315258829668</v>
      </c>
    </row>
    <row r="20" spans="1:18" x14ac:dyDescent="0.2">
      <c r="A20" s="10">
        <v>2021</v>
      </c>
      <c r="B20" s="9">
        <v>261.58199999999999</v>
      </c>
      <c r="C20" s="9">
        <v>263.01400000000001</v>
      </c>
      <c r="D20" s="9">
        <v>264.87700000000001</v>
      </c>
      <c r="E20" s="9">
        <v>267.05399999999997</v>
      </c>
      <c r="F20" s="9">
        <v>269.19499999999999</v>
      </c>
      <c r="G20" s="9">
        <v>271.69600000000003</v>
      </c>
      <c r="H20" s="9">
        <v>273.00299999999999</v>
      </c>
      <c r="I20" s="9">
        <v>273.56700000000001</v>
      </c>
      <c r="J20" s="9">
        <v>274.31</v>
      </c>
      <c r="K20" s="9">
        <v>276.589</v>
      </c>
      <c r="L20" s="9">
        <v>277.94799999999998</v>
      </c>
      <c r="M20" s="9">
        <v>278.80200000000002</v>
      </c>
      <c r="N20" s="9">
        <v>266.23599999999999</v>
      </c>
      <c r="O20" s="9">
        <v>275.70299999999997</v>
      </c>
      <c r="P20" s="9">
        <f t="shared" si="2"/>
        <v>2021</v>
      </c>
      <c r="Q20" s="11">
        <f t="shared" si="0"/>
        <v>263.15049999999997</v>
      </c>
      <c r="R20">
        <f t="shared" si="1"/>
        <v>0.87808886315821055</v>
      </c>
    </row>
    <row r="21" spans="1:18" x14ac:dyDescent="0.2">
      <c r="A21" s="10">
        <v>2022</v>
      </c>
      <c r="B21" s="9">
        <v>281.14800000000002</v>
      </c>
      <c r="C21" s="9">
        <v>283.71600000000001</v>
      </c>
      <c r="D21" s="9">
        <v>287.50400000000002</v>
      </c>
      <c r="E21" s="9">
        <v>289.10899999999998</v>
      </c>
      <c r="F21" s="9">
        <v>292.29599999999999</v>
      </c>
      <c r="G21" s="9">
        <v>296.31099999999998</v>
      </c>
      <c r="H21" s="9">
        <v>296.27600000000001</v>
      </c>
      <c r="I21" s="9">
        <v>296.17099999999999</v>
      </c>
      <c r="J21" s="9">
        <v>296.80799999999999</v>
      </c>
      <c r="K21" s="9">
        <v>298.012</v>
      </c>
      <c r="L21" s="9">
        <v>297.71100000000001</v>
      </c>
      <c r="M21" s="9">
        <v>296.79700000000003</v>
      </c>
      <c r="N21" s="9">
        <v>288.34699999999998</v>
      </c>
      <c r="O21" s="9">
        <v>296.96300000000002</v>
      </c>
      <c r="P21" s="9">
        <f t="shared" si="2"/>
        <v>2022</v>
      </c>
      <c r="Q21" s="11">
        <f t="shared" si="0"/>
        <v>282.02499999999998</v>
      </c>
      <c r="R21">
        <f t="shared" si="1"/>
        <v>0.94106988826619886</v>
      </c>
    </row>
    <row r="22" spans="1:18" x14ac:dyDescent="0.2">
      <c r="A22" s="10">
        <v>2023</v>
      </c>
      <c r="B22" s="9">
        <v>299.17</v>
      </c>
      <c r="C22" s="9">
        <v>300.83999999999997</v>
      </c>
      <c r="D22" s="9">
        <v>301.83600000000001</v>
      </c>
      <c r="E22" s="9">
        <v>303.363</v>
      </c>
      <c r="F22" s="9">
        <v>304.12700000000001</v>
      </c>
      <c r="G22" s="9">
        <v>305.10899999999998</v>
      </c>
      <c r="H22" s="9">
        <v>305.69099999999997</v>
      </c>
      <c r="I22" s="9">
        <v>307.02600000000001</v>
      </c>
      <c r="J22" s="9">
        <v>307.78899999999999</v>
      </c>
      <c r="K22" s="9">
        <v>307.67099999999999</v>
      </c>
      <c r="L22" s="9">
        <v>307.05099999999999</v>
      </c>
      <c r="M22" s="9">
        <v>306.74599999999998</v>
      </c>
      <c r="N22" s="9">
        <v>302.40800000000002</v>
      </c>
      <c r="O22" s="9">
        <v>306.99599999999998</v>
      </c>
      <c r="P22" s="9">
        <f t="shared" si="2"/>
        <v>2023</v>
      </c>
      <c r="Q22" s="11">
        <f t="shared" si="0"/>
        <v>299.68550000000005</v>
      </c>
      <c r="R22">
        <f t="shared" si="1"/>
        <v>1</v>
      </c>
    </row>
    <row r="23" spans="1:18" x14ac:dyDescent="0.2">
      <c r="A23" s="10">
        <v>2024</v>
      </c>
      <c r="B23" s="9">
        <v>308.41699999999997</v>
      </c>
      <c r="C23" s="9">
        <v>310.32600000000002</v>
      </c>
      <c r="D23" s="9">
        <v>312.33199999999999</v>
      </c>
      <c r="E23" s="9">
        <v>313.548</v>
      </c>
      <c r="F23" s="9">
        <v>314.06900000000002</v>
      </c>
      <c r="G23" s="9">
        <v>314.17500000000001</v>
      </c>
      <c r="H23" s="9">
        <v>314.54000000000002</v>
      </c>
      <c r="I23" s="9">
        <v>314.79599999999999</v>
      </c>
      <c r="J23" s="9">
        <v>315.30099999999999</v>
      </c>
      <c r="N23" s="9">
        <v>312.14499999999998</v>
      </c>
      <c r="P23" s="9"/>
    </row>
  </sheetData>
  <mergeCells count="10">
    <mergeCell ref="B7:F7"/>
    <mergeCell ref="B8:F8"/>
    <mergeCell ref="B9:F9"/>
    <mergeCell ref="B10:F10"/>
    <mergeCell ref="A1:F1"/>
    <mergeCell ref="A2:F2"/>
    <mergeCell ref="A3:F3"/>
    <mergeCell ref="B4:F4"/>
    <mergeCell ref="A5:F5"/>
    <mergeCell ref="B6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8568-6002-468D-BBE8-1529830127B6}">
  <sheetPr>
    <tabColor theme="4"/>
  </sheetPr>
  <dimension ref="A1:O201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x14ac:dyDescent="0.2"/>
  <cols>
    <col min="1" max="1" width="7" bestFit="1" customWidth="1"/>
    <col min="2" max="2" width="8.1640625" bestFit="1" customWidth="1"/>
    <col min="3" max="3" width="27.5" bestFit="1" customWidth="1"/>
    <col min="4" max="4" width="6" bestFit="1" customWidth="1"/>
  </cols>
  <sheetData>
    <row r="1" spans="1:15" x14ac:dyDescent="0.2">
      <c r="A1" t="s">
        <v>15</v>
      </c>
      <c r="B1" t="s">
        <v>327</v>
      </c>
      <c r="C1" t="s">
        <v>17</v>
      </c>
      <c r="D1" t="s">
        <v>328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>
        <v>200800</v>
      </c>
      <c r="B2">
        <v>10420</v>
      </c>
      <c r="C2" t="s">
        <v>39</v>
      </c>
      <c r="D2">
        <v>1</v>
      </c>
      <c r="E2">
        <f>IFERROR(VLOOKUP($A2,MBaseball!$C:$N,E$1-2010,FALSE),0)+IFERROR(VLOOKUP($A2,MBasketball!$C:$J,E$1-2006,FALSE),0)+IFERROR(VLOOKUP($A2,MFootball!$C:$O,E$1-2011,FALSE),0)+IFERROR(VLOOKUP($A2,MIceHockey!$C:$P,E$1-2011,FALSE),0)+IFERROR(VLOOKUP($A2,MLacrosse!$C:$O,E$1-2011,FALSE),0)+IFERROR(VLOOKUP($A2,MSoccer!$C:$O,E$1-2011,FALSE),0)+IFERROR(VLOOKUP($A2,MVolleyball!$C:$O,E$1-2011,FALSE),0)+IFERROR(VLOOKUP($A2,WBasketball!$C:$O,E$1-2011,FALSE),0)+IFERROR(VLOOKUP($A2,WFieldHockey!$C:$O,E$1-2011,FALSE),0)+IFERROR(VLOOKUP($A2,WIceHockey!$C:$O,E$1-2011,FALSE),0)+IFERROR(VLOOKUP($A2,WLacrosse!$C:$O,E$1-2011,FALSE),0)+IFERROR(VLOOKUP($A2,WSoccer!$C:$O,E$1-2011,FALSE),0)+IFERROR(VLOOKUP($A2,WSoftball!$C:$O,E$1-2011,FALSE),0)+IFERROR(VLOOKUP($A2,WVolleyball!$C:$O,E$1-2011,FALSE),0)</f>
        <v>89199</v>
      </c>
      <c r="F2">
        <f>IFERROR(VLOOKUP($A2,MBaseball!$C:$N,F$1-2010,FALSE),0)+IFERROR(VLOOKUP($A2,MBasketball!$C:$J,F$1-2006,FALSE),0)+IFERROR(VLOOKUP($A2,MFootball!$C:$O,F$1-2011,FALSE),0)+IFERROR(VLOOKUP($A2,MIceHockey!$C:$P,F$1-2011,FALSE),0)+IFERROR(VLOOKUP($A2,MLacrosse!$C:$O,F$1-2011,FALSE),0)+IFERROR(VLOOKUP($A2,MSoccer!$C:$O,F$1-2011,FALSE),0)+IFERROR(VLOOKUP($A2,MVolleyball!$C:$O,F$1-2011,FALSE),0)+IFERROR(VLOOKUP($A2,WBasketball!$C:$O,F$1-2011,FALSE),0)+IFERROR(VLOOKUP($A2,WFieldHockey!$C:$O,F$1-2011,FALSE),0)+IFERROR(VLOOKUP($A2,WIceHockey!$C:$O,F$1-2011,FALSE),0)+IFERROR(VLOOKUP($A2,WLacrosse!$C:$O,F$1-2011,FALSE),0)+IFERROR(VLOOKUP($A2,WSoccer!$C:$O,F$1-2011,FALSE),0)+IFERROR(VLOOKUP($A2,WSoftball!$C:$O,F$1-2011,FALSE),0)+IFERROR(VLOOKUP($A2,WVolleyball!$C:$O,F$1-2011,FALSE),0)</f>
        <v>93700</v>
      </c>
      <c r="G2">
        <f>IFERROR(VLOOKUP($A2,MBaseball!$C:$N,G$1-2010,FALSE),0)+IFERROR(VLOOKUP($A2,MBasketball!$C:$J,G$1-2006,FALSE),0)+IFERROR(VLOOKUP($A2,MFootball!$C:$O,G$1-2011,FALSE),0)+IFERROR(VLOOKUP($A2,MIceHockey!$C:$P,G$1-2011,FALSE),0)+IFERROR(VLOOKUP($A2,MLacrosse!$C:$O,G$1-2011,FALSE),0)+IFERROR(VLOOKUP($A2,MSoccer!$C:$O,G$1-2011,FALSE),0)+IFERROR(VLOOKUP($A2,MVolleyball!$C:$O,G$1-2011,FALSE),0)+IFERROR(VLOOKUP($A2,WBasketball!$C:$O,G$1-2011,FALSE),0)+IFERROR(VLOOKUP($A2,WFieldHockey!$C:$O,G$1-2011,FALSE),0)+IFERROR(VLOOKUP($A2,WIceHockey!$C:$O,G$1-2011,FALSE),0)+IFERROR(VLOOKUP($A2,WLacrosse!$C:$O,G$1-2011,FALSE),0)+IFERROR(VLOOKUP($A2,WSoccer!$C:$O,G$1-2011,FALSE),0)+IFERROR(VLOOKUP($A2,WSoftball!$C:$O,G$1-2011,FALSE),0)+IFERROR(VLOOKUP($A2,WVolleyball!$C:$O,G$1-2011,FALSE),0)</f>
        <v>164186</v>
      </c>
      <c r="H2">
        <f>IFERROR(VLOOKUP($A2,MBaseball!$C:$N,H$1-2010,FALSE),0)+IFERROR(VLOOKUP($A2,MBasketball!$C:$J,H$1-2006,FALSE),0)+IFERROR(VLOOKUP($A2,MFootball!$C:$O,H$1-2011,FALSE),0)+IFERROR(VLOOKUP($A2,MIceHockey!$C:$P,H$1-2011,FALSE),0)+IFERROR(VLOOKUP($A2,MLacrosse!$C:$O,H$1-2011,FALSE),0)+IFERROR(VLOOKUP($A2,MSoccer!$C:$O,H$1-2011,FALSE),0)+IFERROR(VLOOKUP($A2,MVolleyball!$C:$O,H$1-2011,FALSE),0)+IFERROR(VLOOKUP($A2,WBasketball!$C:$O,H$1-2011,FALSE),0)+IFERROR(VLOOKUP($A2,WFieldHockey!$C:$O,H$1-2011,FALSE),0)+IFERROR(VLOOKUP($A2,WIceHockey!$C:$O,H$1-2011,FALSE),0)+IFERROR(VLOOKUP($A2,WLacrosse!$C:$O,H$1-2011,FALSE),0)+IFERROR(VLOOKUP($A2,WSoccer!$C:$O,H$1-2011,FALSE),0)+IFERROR(VLOOKUP($A2,WSoftball!$C:$O,H$1-2011,FALSE),0)+IFERROR(VLOOKUP($A2,WVolleyball!$C:$O,H$1-2011,FALSE),0)</f>
        <v>108854</v>
      </c>
      <c r="I2">
        <f>IFERROR(VLOOKUP($A2,MBaseball!$C:$N,I$1-2010,FALSE),0)+IFERROR(VLOOKUP($A2,MBasketball!$C:$J,I$1-2006,FALSE),0)+IFERROR(VLOOKUP($A2,MFootball!$C:$O,I$1-2011,FALSE),0)+IFERROR(VLOOKUP($A2,MIceHockey!$C:$P,I$1-2011,FALSE),0)+IFERROR(VLOOKUP($A2,MLacrosse!$C:$O,I$1-2011,FALSE),0)+IFERROR(VLOOKUP($A2,MSoccer!$C:$O,I$1-2011,FALSE),0)+IFERROR(VLOOKUP($A2,MVolleyball!$C:$O,I$1-2011,FALSE),0)+IFERROR(VLOOKUP($A2,WBasketball!$C:$O,I$1-2011,FALSE),0)+IFERROR(VLOOKUP($A2,WFieldHockey!$C:$O,I$1-2011,FALSE),0)+IFERROR(VLOOKUP($A2,WIceHockey!$C:$O,I$1-2011,FALSE),0)+IFERROR(VLOOKUP($A2,WLacrosse!$C:$O,I$1-2011,FALSE),0)+IFERROR(VLOOKUP($A2,WSoccer!$C:$O,I$1-2011,FALSE),0)+IFERROR(VLOOKUP($A2,WSoftball!$C:$O,I$1-2011,FALSE),0)+IFERROR(VLOOKUP($A2,WVolleyball!$C:$O,I$1-2011,FALSE),0)</f>
        <v>159073</v>
      </c>
      <c r="J2">
        <f>IFERROR(VLOOKUP($A2,MBaseball!$C:$N,J$1-2010,FALSE),0)+IFERROR(VLOOKUP($A2,MBasketball!$C:$J,J$1-2006,FALSE),0)+IFERROR(VLOOKUP($A2,MFootball!$C:$O,J$1-2011,FALSE),0)+IFERROR(VLOOKUP($A2,MIceHockey!$C:$P,J$1-2011,FALSE),0)+IFERROR(VLOOKUP($A2,MLacrosse!$C:$O,J$1-2011,FALSE),0)+IFERROR(VLOOKUP($A2,MSoccer!$C:$O,J$1-2011,FALSE),0)+IFERROR(VLOOKUP($A2,MVolleyball!$C:$O,J$1-2011,FALSE),0)+IFERROR(VLOOKUP($A2,WBasketball!$C:$O,J$1-2011,FALSE),0)+IFERROR(VLOOKUP($A2,WFieldHockey!$C:$O,J$1-2011,FALSE),0)+IFERROR(VLOOKUP($A2,WIceHockey!$C:$O,J$1-2011,FALSE),0)+IFERROR(VLOOKUP($A2,WLacrosse!$C:$O,J$1-2011,FALSE),0)+IFERROR(VLOOKUP($A2,WSoccer!$C:$O,J$1-2011,FALSE),0)+IFERROR(VLOOKUP($A2,WSoftball!$C:$O,J$1-2011,FALSE),0)+IFERROR(VLOOKUP($A2,WVolleyball!$C:$O,J$1-2011,FALSE),0)</f>
        <v>124475</v>
      </c>
      <c r="K2">
        <f>IFERROR(VLOOKUP($A2,MBaseball!$C:$N,K$1-2010,FALSE),0)+IFERROR(VLOOKUP($A2,MBasketball!$C:$J,K$1-2006,FALSE),0)+IFERROR(VLOOKUP($A2,MFootball!$C:$O,K$1-2011,FALSE),0)+IFERROR(VLOOKUP($A2,MIceHockey!$C:$P,K$1-2011,FALSE),0)+IFERROR(VLOOKUP($A2,MLacrosse!$C:$O,K$1-2011,FALSE),0)+IFERROR(VLOOKUP($A2,MSoccer!$C:$O,K$1-2011,FALSE),0)+IFERROR(VLOOKUP($A2,MVolleyball!$C:$O,K$1-2011,FALSE),0)+IFERROR(VLOOKUP($A2,WBasketball!$C:$O,K$1-2011,FALSE),0)+IFERROR(VLOOKUP($A2,WFieldHockey!$C:$O,K$1-2011,FALSE),0)+IFERROR(VLOOKUP($A2,WIceHockey!$C:$O,K$1-2011,FALSE),0)+IFERROR(VLOOKUP($A2,WLacrosse!$C:$O,K$1-2011,FALSE),0)+IFERROR(VLOOKUP($A2,WSoccer!$C:$O,K$1-2011,FALSE),0)+IFERROR(VLOOKUP($A2,WSoftball!$C:$O,K$1-2011,FALSE),0)+IFERROR(VLOOKUP($A2,WVolleyball!$C:$O,K$1-2011,FALSE),0)</f>
        <v>130999</v>
      </c>
      <c r="L2">
        <f>IFERROR(VLOOKUP($A2,MBaseball!$C:$N,L$1-2010,FALSE),0)+IFERROR(VLOOKUP($A2,MBasketball!$C:$J,L$1-2006,FALSE),0)+IFERROR(VLOOKUP($A2,MFootball!$C:$O,L$1-2011,FALSE),0)+IFERROR(VLOOKUP($A2,MIceHockey!$C:$P,L$1-2011,FALSE),0)+IFERROR(VLOOKUP($A2,MLacrosse!$C:$O,L$1-2011,FALSE),0)+IFERROR(VLOOKUP($A2,MSoccer!$C:$O,L$1-2011,FALSE),0)+IFERROR(VLOOKUP($A2,MVolleyball!$C:$O,L$1-2011,FALSE),0)+IFERROR(VLOOKUP($A2,WBasketball!$C:$O,L$1-2011,FALSE),0)+IFERROR(VLOOKUP($A2,WFieldHockey!$C:$O,L$1-2011,FALSE),0)+IFERROR(VLOOKUP($A2,WIceHockey!$C:$O,L$1-2011,FALSE),0)+IFERROR(VLOOKUP($A2,WLacrosse!$C:$O,L$1-2011,FALSE),0)+IFERROR(VLOOKUP($A2,WSoccer!$C:$O,L$1-2011,FALSE),0)+IFERROR(VLOOKUP($A2,WSoftball!$C:$O,L$1-2011,FALSE),0)+IFERROR(VLOOKUP($A2,WVolleyball!$C:$O,L$1-2011,FALSE),0)</f>
        <v>8344</v>
      </c>
      <c r="M2">
        <f>IFERROR(VLOOKUP($A2,MBaseball!$C:$N,M$1-2010,FALSE),0)+IFERROR(VLOOKUP($A2,MBasketball!$C:$J,M$1-2006,FALSE),0)+IFERROR(VLOOKUP($A2,MFootball!$C:$O,M$1-2011,FALSE),0)+IFERROR(VLOOKUP($A2,MIceHockey!$C:$P,M$1-2011,FALSE),0)+IFERROR(VLOOKUP($A2,MLacrosse!$C:$O,M$1-2011,FALSE),0)+IFERROR(VLOOKUP($A2,MSoccer!$C:$O,M$1-2011,FALSE),0)+IFERROR(VLOOKUP($A2,MVolleyball!$C:$O,M$1-2011,FALSE),0)+IFERROR(VLOOKUP($A2,WBasketball!$C:$O,M$1-2011,FALSE),0)+IFERROR(VLOOKUP($A2,WFieldHockey!$C:$O,M$1-2011,FALSE),0)+IFERROR(VLOOKUP($A2,WIceHockey!$C:$O,M$1-2011,FALSE),0)+IFERROR(VLOOKUP($A2,WLacrosse!$C:$O,M$1-2011,FALSE),0)+IFERROR(VLOOKUP($A2,WSoccer!$C:$O,M$1-2011,FALSE),0)+IFERROR(VLOOKUP($A2,WSoftball!$C:$O,M$1-2011,FALSE),0)+IFERROR(VLOOKUP($A2,WVolleyball!$C:$O,M$1-2011,FALSE),0)</f>
        <v>95236</v>
      </c>
      <c r="N2">
        <f>IFERROR(VLOOKUP($A2,MBaseball!$C:$N,N$1-2010,FALSE),0)+IFERROR(VLOOKUP($A2,MBasketball!$C:$J,N$1-2006,FALSE),0)+IFERROR(VLOOKUP($A2,MFootball!$C:$O,N$1-2011,FALSE),0)+IFERROR(VLOOKUP($A2,MIceHockey!$C:$P,N$1-2011,FALSE),0)+IFERROR(VLOOKUP($A2,MLacrosse!$C:$O,N$1-2011,FALSE),0)+IFERROR(VLOOKUP($A2,MSoccer!$C:$O,N$1-2011,FALSE),0)+IFERROR(VLOOKUP($A2,MVolleyball!$C:$O,N$1-2011,FALSE),0)+IFERROR(VLOOKUP($A2,WBasketball!$C:$O,N$1-2011,FALSE),0)+IFERROR(VLOOKUP($A2,WFieldHockey!$C:$O,N$1-2011,FALSE),0)+IFERROR(VLOOKUP($A2,WIceHockey!$C:$O,N$1-2011,FALSE),0)+IFERROR(VLOOKUP($A2,WLacrosse!$C:$O,N$1-2011,FALSE),0)+IFERROR(VLOOKUP($A2,WSoccer!$C:$O,N$1-2011,FALSE),0)+IFERROR(VLOOKUP($A2,WSoftball!$C:$O,N$1-2011,FALSE),0)+IFERROR(VLOOKUP($A2,WVolleyball!$C:$O,N$1-2011,FALSE),0)</f>
        <v>87361</v>
      </c>
    </row>
    <row r="3" spans="1:15" x14ac:dyDescent="0.2">
      <c r="A3">
        <v>100751</v>
      </c>
      <c r="B3">
        <v>46220</v>
      </c>
      <c r="C3" t="s">
        <v>40</v>
      </c>
      <c r="D3">
        <v>2</v>
      </c>
      <c r="E3">
        <f>IFERROR(VLOOKUP($A3,MBaseball!$C:$N,E$1-2010,FALSE),0)+IFERROR(VLOOKUP($A3,MBasketball!$C:$J,E$1-2006,FALSE),0)+IFERROR(VLOOKUP($A3,MFootball!$C:$O,E$1-2011,FALSE),0)+IFERROR(VLOOKUP($A3,MIceHockey!$C:$P,E$1-2011,FALSE),0)+IFERROR(VLOOKUP($A3,MLacrosse!$C:$O,E$1-2011,FALSE),0)+IFERROR(VLOOKUP($A3,MSoccer!$C:$O,E$1-2011,FALSE),0)+IFERROR(VLOOKUP($A3,MVolleyball!$C:$O,E$1-2011,FALSE),0)+IFERROR(VLOOKUP($A3,WBasketball!$C:$O,E$1-2011,FALSE),0)+IFERROR(VLOOKUP($A3,WFieldHockey!$C:$O,E$1-2011,FALSE),0)+IFERROR(VLOOKUP($A3,WIceHockey!$C:$O,E$1-2011,FALSE),0)+IFERROR(VLOOKUP($A3,WLacrosse!$C:$O,E$1-2011,FALSE),0)+IFERROR(VLOOKUP($A3,WSoccer!$C:$O,E$1-2011,FALSE),0)+IFERROR(VLOOKUP($A3,WSoftball!$C:$O,E$1-2011,FALSE),0)+IFERROR(VLOOKUP($A3,WVolleyball!$C:$O,E$1-2011,FALSE),0)</f>
        <v>304839</v>
      </c>
      <c r="F3">
        <f>IFERROR(VLOOKUP($A3,MBaseball!$C:$N,F$1-2010,FALSE),0)+IFERROR(VLOOKUP($A3,MBasketball!$C:$J,F$1-2006,FALSE),0)+IFERROR(VLOOKUP($A3,MFootball!$C:$O,F$1-2011,FALSE),0)+IFERROR(VLOOKUP($A3,MIceHockey!$C:$P,F$1-2011,FALSE),0)+IFERROR(VLOOKUP($A3,MLacrosse!$C:$O,F$1-2011,FALSE),0)+IFERROR(VLOOKUP($A3,MSoccer!$C:$O,F$1-2011,FALSE),0)+IFERROR(VLOOKUP($A3,MVolleyball!$C:$O,F$1-2011,FALSE),0)+IFERROR(VLOOKUP($A3,WBasketball!$C:$O,F$1-2011,FALSE),0)+IFERROR(VLOOKUP($A3,WFieldHockey!$C:$O,F$1-2011,FALSE),0)+IFERROR(VLOOKUP($A3,WIceHockey!$C:$O,F$1-2011,FALSE),0)+IFERROR(VLOOKUP($A3,WLacrosse!$C:$O,F$1-2011,FALSE),0)+IFERROR(VLOOKUP($A3,WSoccer!$C:$O,F$1-2011,FALSE),0)+IFERROR(VLOOKUP($A3,WSoftball!$C:$O,F$1-2011,FALSE),0)+IFERROR(VLOOKUP($A3,WVolleyball!$C:$O,F$1-2011,FALSE),0)</f>
        <v>911957</v>
      </c>
      <c r="G3">
        <f>IFERROR(VLOOKUP($A3,MBaseball!$C:$N,G$1-2010,FALSE),0)+IFERROR(VLOOKUP($A3,MBasketball!$C:$J,G$1-2006,FALSE),0)+IFERROR(VLOOKUP($A3,MFootball!$C:$O,G$1-2011,FALSE),0)+IFERROR(VLOOKUP($A3,MIceHockey!$C:$P,G$1-2011,FALSE),0)+IFERROR(VLOOKUP($A3,MLacrosse!$C:$O,G$1-2011,FALSE),0)+IFERROR(VLOOKUP($A3,MSoccer!$C:$O,G$1-2011,FALSE),0)+IFERROR(VLOOKUP($A3,MVolleyball!$C:$O,G$1-2011,FALSE),0)+IFERROR(VLOOKUP($A3,WBasketball!$C:$O,G$1-2011,FALSE),0)+IFERROR(VLOOKUP($A3,WFieldHockey!$C:$O,G$1-2011,FALSE),0)+IFERROR(VLOOKUP($A3,WIceHockey!$C:$O,G$1-2011,FALSE),0)+IFERROR(VLOOKUP($A3,WLacrosse!$C:$O,G$1-2011,FALSE),0)+IFERROR(VLOOKUP($A3,WSoccer!$C:$O,G$1-2011,FALSE),0)+IFERROR(VLOOKUP($A3,WSoftball!$C:$O,G$1-2011,FALSE),0)+IFERROR(VLOOKUP($A3,WVolleyball!$C:$O,G$1-2011,FALSE),0)</f>
        <v>988519</v>
      </c>
      <c r="H3">
        <f>IFERROR(VLOOKUP($A3,MBaseball!$C:$N,H$1-2010,FALSE),0)+IFERROR(VLOOKUP($A3,MBasketball!$C:$J,H$1-2006,FALSE),0)+IFERROR(VLOOKUP($A3,MFootball!$C:$O,H$1-2011,FALSE),0)+IFERROR(VLOOKUP($A3,MIceHockey!$C:$P,H$1-2011,FALSE),0)+IFERROR(VLOOKUP($A3,MLacrosse!$C:$O,H$1-2011,FALSE),0)+IFERROR(VLOOKUP($A3,MSoccer!$C:$O,H$1-2011,FALSE),0)+IFERROR(VLOOKUP($A3,MVolleyball!$C:$O,H$1-2011,FALSE),0)+IFERROR(VLOOKUP($A3,WBasketball!$C:$O,H$1-2011,FALSE),0)+IFERROR(VLOOKUP($A3,WFieldHockey!$C:$O,H$1-2011,FALSE),0)+IFERROR(VLOOKUP($A3,WIceHockey!$C:$O,H$1-2011,FALSE),0)+IFERROR(VLOOKUP($A3,WLacrosse!$C:$O,H$1-2011,FALSE),0)+IFERROR(VLOOKUP($A3,WSoccer!$C:$O,H$1-2011,FALSE),0)+IFERROR(VLOOKUP($A3,WSoftball!$C:$O,H$1-2011,FALSE),0)+IFERROR(VLOOKUP($A3,WVolleyball!$C:$O,H$1-2011,FALSE),0)</f>
        <v>969780</v>
      </c>
      <c r="I3">
        <f>IFERROR(VLOOKUP($A3,MBaseball!$C:$N,I$1-2010,FALSE),0)+IFERROR(VLOOKUP($A3,MBasketball!$C:$J,I$1-2006,FALSE),0)+IFERROR(VLOOKUP($A3,MFootball!$C:$O,I$1-2011,FALSE),0)+IFERROR(VLOOKUP($A3,MIceHockey!$C:$P,I$1-2011,FALSE),0)+IFERROR(VLOOKUP($A3,MLacrosse!$C:$O,I$1-2011,FALSE),0)+IFERROR(VLOOKUP($A3,MSoccer!$C:$O,I$1-2011,FALSE),0)+IFERROR(VLOOKUP($A3,MVolleyball!$C:$O,I$1-2011,FALSE),0)+IFERROR(VLOOKUP($A3,WBasketball!$C:$O,I$1-2011,FALSE),0)+IFERROR(VLOOKUP($A3,WFieldHockey!$C:$O,I$1-2011,FALSE),0)+IFERROR(VLOOKUP($A3,WIceHockey!$C:$O,I$1-2011,FALSE),0)+IFERROR(VLOOKUP($A3,WLacrosse!$C:$O,I$1-2011,FALSE),0)+IFERROR(VLOOKUP($A3,WSoccer!$C:$O,I$1-2011,FALSE),0)+IFERROR(VLOOKUP($A3,WSoftball!$C:$O,I$1-2011,FALSE),0)+IFERROR(VLOOKUP($A3,WVolleyball!$C:$O,I$1-2011,FALSE),0)</f>
        <v>936731</v>
      </c>
      <c r="J3">
        <f>IFERROR(VLOOKUP($A3,MBaseball!$C:$N,J$1-2010,FALSE),0)+IFERROR(VLOOKUP($A3,MBasketball!$C:$J,J$1-2006,FALSE),0)+IFERROR(VLOOKUP($A3,MFootball!$C:$O,J$1-2011,FALSE),0)+IFERROR(VLOOKUP($A3,MIceHockey!$C:$P,J$1-2011,FALSE),0)+IFERROR(VLOOKUP($A3,MLacrosse!$C:$O,J$1-2011,FALSE),0)+IFERROR(VLOOKUP($A3,MSoccer!$C:$O,J$1-2011,FALSE),0)+IFERROR(VLOOKUP($A3,MVolleyball!$C:$O,J$1-2011,FALSE),0)+IFERROR(VLOOKUP($A3,WBasketball!$C:$O,J$1-2011,FALSE),0)+IFERROR(VLOOKUP($A3,WFieldHockey!$C:$O,J$1-2011,FALSE),0)+IFERROR(VLOOKUP($A3,WIceHockey!$C:$O,J$1-2011,FALSE),0)+IFERROR(VLOOKUP($A3,WLacrosse!$C:$O,J$1-2011,FALSE),0)+IFERROR(VLOOKUP($A3,WSoccer!$C:$O,J$1-2011,FALSE),0)+IFERROR(VLOOKUP($A3,WSoftball!$C:$O,J$1-2011,FALSE),0)+IFERROR(VLOOKUP($A3,WVolleyball!$C:$O,J$1-2011,FALSE),0)</f>
        <v>879105</v>
      </c>
      <c r="K3">
        <f>IFERROR(VLOOKUP($A3,MBaseball!$C:$N,K$1-2010,FALSE),0)+IFERROR(VLOOKUP($A3,MBasketball!$C:$J,K$1-2006,FALSE),0)+IFERROR(VLOOKUP($A3,MFootball!$C:$O,K$1-2011,FALSE),0)+IFERROR(VLOOKUP($A3,MIceHockey!$C:$P,K$1-2011,FALSE),0)+IFERROR(VLOOKUP($A3,MLacrosse!$C:$O,K$1-2011,FALSE),0)+IFERROR(VLOOKUP($A3,MSoccer!$C:$O,K$1-2011,FALSE),0)+IFERROR(VLOOKUP($A3,MVolleyball!$C:$O,K$1-2011,FALSE),0)+IFERROR(VLOOKUP($A3,WBasketball!$C:$O,K$1-2011,FALSE),0)+IFERROR(VLOOKUP($A3,WFieldHockey!$C:$O,K$1-2011,FALSE),0)+IFERROR(VLOOKUP($A3,WIceHockey!$C:$O,K$1-2011,FALSE),0)+IFERROR(VLOOKUP($A3,WLacrosse!$C:$O,K$1-2011,FALSE),0)+IFERROR(VLOOKUP($A3,WSoccer!$C:$O,K$1-2011,FALSE),0)+IFERROR(VLOOKUP($A3,WSoftball!$C:$O,K$1-2011,FALSE),0)+IFERROR(VLOOKUP($A3,WVolleyball!$C:$O,K$1-2011,FALSE),0)</f>
        <v>859604</v>
      </c>
      <c r="L3">
        <f>IFERROR(VLOOKUP($A3,MBaseball!$C:$N,L$1-2010,FALSE),0)+IFERROR(VLOOKUP($A3,MBasketball!$C:$J,L$1-2006,FALSE),0)+IFERROR(VLOOKUP($A3,MFootball!$C:$O,L$1-2011,FALSE),0)+IFERROR(VLOOKUP($A3,MIceHockey!$C:$P,L$1-2011,FALSE),0)+IFERROR(VLOOKUP($A3,MLacrosse!$C:$O,L$1-2011,FALSE),0)+IFERROR(VLOOKUP($A3,MSoccer!$C:$O,L$1-2011,FALSE),0)+IFERROR(VLOOKUP($A3,MVolleyball!$C:$O,L$1-2011,FALSE),0)+IFERROR(VLOOKUP($A3,WBasketball!$C:$O,L$1-2011,FALSE),0)+IFERROR(VLOOKUP($A3,WFieldHockey!$C:$O,L$1-2011,FALSE),0)+IFERROR(VLOOKUP($A3,WIceHockey!$C:$O,L$1-2011,FALSE),0)+IFERROR(VLOOKUP($A3,WLacrosse!$C:$O,L$1-2011,FALSE),0)+IFERROR(VLOOKUP($A3,WSoccer!$C:$O,L$1-2011,FALSE),0)+IFERROR(VLOOKUP($A3,WSoftball!$C:$O,L$1-2011,FALSE),0)+IFERROR(VLOOKUP($A3,WVolleyball!$C:$O,L$1-2011,FALSE),0)</f>
        <v>271178</v>
      </c>
      <c r="M3">
        <f>IFERROR(VLOOKUP($A3,MBaseball!$C:$N,M$1-2010,FALSE),0)+IFERROR(VLOOKUP($A3,MBasketball!$C:$J,M$1-2006,FALSE),0)+IFERROR(VLOOKUP($A3,MFootball!$C:$O,M$1-2011,FALSE),0)+IFERROR(VLOOKUP($A3,MIceHockey!$C:$P,M$1-2011,FALSE),0)+IFERROR(VLOOKUP($A3,MLacrosse!$C:$O,M$1-2011,FALSE),0)+IFERROR(VLOOKUP($A3,MSoccer!$C:$O,M$1-2011,FALSE),0)+IFERROR(VLOOKUP($A3,MVolleyball!$C:$O,M$1-2011,FALSE),0)+IFERROR(VLOOKUP($A3,WBasketball!$C:$O,M$1-2011,FALSE),0)+IFERROR(VLOOKUP($A3,WFieldHockey!$C:$O,M$1-2011,FALSE),0)+IFERROR(VLOOKUP($A3,WIceHockey!$C:$O,M$1-2011,FALSE),0)+IFERROR(VLOOKUP($A3,WLacrosse!$C:$O,M$1-2011,FALSE),0)+IFERROR(VLOOKUP($A3,WSoccer!$C:$O,M$1-2011,FALSE),0)+IFERROR(VLOOKUP($A3,WSoftball!$C:$O,M$1-2011,FALSE),0)+IFERROR(VLOOKUP($A3,WVolleyball!$C:$O,M$1-2011,FALSE),0)</f>
        <v>986866</v>
      </c>
      <c r="N3">
        <f>IFERROR(VLOOKUP($A3,MBaseball!$C:$N,N$1-2010,FALSE),0)+IFERROR(VLOOKUP($A3,MBasketball!$C:$J,N$1-2006,FALSE),0)+IFERROR(VLOOKUP($A3,MFootball!$C:$O,N$1-2011,FALSE),0)+IFERROR(VLOOKUP($A3,MIceHockey!$C:$P,N$1-2011,FALSE),0)+IFERROR(VLOOKUP($A3,MLacrosse!$C:$O,N$1-2011,FALSE),0)+IFERROR(VLOOKUP($A3,MSoccer!$C:$O,N$1-2011,FALSE),0)+IFERROR(VLOOKUP($A3,MVolleyball!$C:$O,N$1-2011,FALSE),0)+IFERROR(VLOOKUP($A3,WBasketball!$C:$O,N$1-2011,FALSE),0)+IFERROR(VLOOKUP($A3,WFieldHockey!$C:$O,N$1-2011,FALSE),0)+IFERROR(VLOOKUP($A3,WIceHockey!$C:$O,N$1-2011,FALSE),0)+IFERROR(VLOOKUP($A3,WLacrosse!$C:$O,N$1-2011,FALSE),0)+IFERROR(VLOOKUP($A3,WSoccer!$C:$O,N$1-2011,FALSE),0)+IFERROR(VLOOKUP($A3,WSoftball!$C:$O,N$1-2011,FALSE),0)+IFERROR(VLOOKUP($A3,WVolleyball!$C:$O,N$1-2011,FALSE),0)</f>
        <v>884874</v>
      </c>
    </row>
    <row r="4" spans="1:15" x14ac:dyDescent="0.2">
      <c r="A4">
        <v>197869</v>
      </c>
      <c r="B4">
        <v>14380</v>
      </c>
      <c r="C4" t="s">
        <v>44</v>
      </c>
      <c r="D4">
        <v>3</v>
      </c>
      <c r="E4">
        <f>IFERROR(VLOOKUP($A4,MBaseball!$C:$N,E$1-2010,FALSE),0)+IFERROR(VLOOKUP($A4,MBasketball!$C:$J,E$1-2006,FALSE),0)+IFERROR(VLOOKUP($A4,MFootball!$C:$O,E$1-2011,FALSE),0)+IFERROR(VLOOKUP($A4,MIceHockey!$C:$P,E$1-2011,FALSE),0)+IFERROR(VLOOKUP($A4,MLacrosse!$C:$O,E$1-2011,FALSE),0)+IFERROR(VLOOKUP($A4,MSoccer!$C:$O,E$1-2011,FALSE),0)+IFERROR(VLOOKUP($A4,MVolleyball!$C:$O,E$1-2011,FALSE),0)+IFERROR(VLOOKUP($A4,WBasketball!$C:$O,E$1-2011,FALSE),0)+IFERROR(VLOOKUP($A4,WFieldHockey!$C:$O,E$1-2011,FALSE),0)+IFERROR(VLOOKUP($A4,WIceHockey!$C:$O,E$1-2011,FALSE),0)+IFERROR(VLOOKUP($A4,WLacrosse!$C:$O,E$1-2011,FALSE),0)+IFERROR(VLOOKUP($A4,WSoccer!$C:$O,E$1-2011,FALSE),0)+IFERROR(VLOOKUP($A4,WSoftball!$C:$O,E$1-2011,FALSE),0)+IFERROR(VLOOKUP($A4,WVolleyball!$C:$O,E$1-2011,FALSE),0)</f>
        <v>39268</v>
      </c>
      <c r="F4">
        <f>IFERROR(VLOOKUP($A4,MBaseball!$C:$N,F$1-2010,FALSE),0)+IFERROR(VLOOKUP($A4,MBasketball!$C:$J,F$1-2006,FALSE),0)+IFERROR(VLOOKUP($A4,MFootball!$C:$O,F$1-2011,FALSE),0)+IFERROR(VLOOKUP($A4,MIceHockey!$C:$P,F$1-2011,FALSE),0)+IFERROR(VLOOKUP($A4,MLacrosse!$C:$O,F$1-2011,FALSE),0)+IFERROR(VLOOKUP($A4,MSoccer!$C:$O,F$1-2011,FALSE),0)+IFERROR(VLOOKUP($A4,MVolleyball!$C:$O,F$1-2011,FALSE),0)+IFERROR(VLOOKUP($A4,WBasketball!$C:$O,F$1-2011,FALSE),0)+IFERROR(VLOOKUP($A4,WFieldHockey!$C:$O,F$1-2011,FALSE),0)+IFERROR(VLOOKUP($A4,WIceHockey!$C:$O,F$1-2011,FALSE),0)+IFERROR(VLOOKUP($A4,WLacrosse!$C:$O,F$1-2011,FALSE),0)+IFERROR(VLOOKUP($A4,WSoccer!$C:$O,F$1-2011,FALSE),0)+IFERROR(VLOOKUP($A4,WSoftball!$C:$O,F$1-2011,FALSE),0)+IFERROR(VLOOKUP($A4,WVolleyball!$C:$O,F$1-2011,FALSE),0)</f>
        <v>164735</v>
      </c>
      <c r="G4">
        <f>IFERROR(VLOOKUP($A4,MBaseball!$C:$N,G$1-2010,FALSE),0)+IFERROR(VLOOKUP($A4,MBasketball!$C:$J,G$1-2006,FALSE),0)+IFERROR(VLOOKUP($A4,MFootball!$C:$O,G$1-2011,FALSE),0)+IFERROR(VLOOKUP($A4,MIceHockey!$C:$P,G$1-2011,FALSE),0)+IFERROR(VLOOKUP($A4,MLacrosse!$C:$O,G$1-2011,FALSE),0)+IFERROR(VLOOKUP($A4,MSoccer!$C:$O,G$1-2011,FALSE),0)+IFERROR(VLOOKUP($A4,MVolleyball!$C:$O,G$1-2011,FALSE),0)+IFERROR(VLOOKUP($A4,WBasketball!$C:$O,G$1-2011,FALSE),0)+IFERROR(VLOOKUP($A4,WFieldHockey!$C:$O,G$1-2011,FALSE),0)+IFERROR(VLOOKUP($A4,WIceHockey!$C:$O,G$1-2011,FALSE),0)+IFERROR(VLOOKUP($A4,WLacrosse!$C:$O,G$1-2011,FALSE),0)+IFERROR(VLOOKUP($A4,WSoccer!$C:$O,G$1-2011,FALSE),0)+IFERROR(VLOOKUP($A4,WSoftball!$C:$O,G$1-2011,FALSE),0)+IFERROR(VLOOKUP($A4,WVolleyball!$C:$O,G$1-2011,FALSE),0)</f>
        <v>160011</v>
      </c>
      <c r="H4">
        <f>IFERROR(VLOOKUP($A4,MBaseball!$C:$N,H$1-2010,FALSE),0)+IFERROR(VLOOKUP($A4,MBasketball!$C:$J,H$1-2006,FALSE),0)+IFERROR(VLOOKUP($A4,MFootball!$C:$O,H$1-2011,FALSE),0)+IFERROR(VLOOKUP($A4,MIceHockey!$C:$P,H$1-2011,FALSE),0)+IFERROR(VLOOKUP($A4,MLacrosse!$C:$O,H$1-2011,FALSE),0)+IFERROR(VLOOKUP($A4,MSoccer!$C:$O,H$1-2011,FALSE),0)+IFERROR(VLOOKUP($A4,MVolleyball!$C:$O,H$1-2011,FALSE),0)+IFERROR(VLOOKUP($A4,WBasketball!$C:$O,H$1-2011,FALSE),0)+IFERROR(VLOOKUP($A4,WFieldHockey!$C:$O,H$1-2011,FALSE),0)+IFERROR(VLOOKUP($A4,WIceHockey!$C:$O,H$1-2011,FALSE),0)+IFERROR(VLOOKUP($A4,WLacrosse!$C:$O,H$1-2011,FALSE),0)+IFERROR(VLOOKUP($A4,WSoccer!$C:$O,H$1-2011,FALSE),0)+IFERROR(VLOOKUP($A4,WSoftball!$C:$O,H$1-2011,FALSE),0)+IFERROR(VLOOKUP($A4,WVolleyball!$C:$O,H$1-2011,FALSE),0)</f>
        <v>178383</v>
      </c>
      <c r="I4">
        <f>IFERROR(VLOOKUP($A4,MBaseball!$C:$N,I$1-2010,FALSE),0)+IFERROR(VLOOKUP($A4,MBasketball!$C:$J,I$1-2006,FALSE),0)+IFERROR(VLOOKUP($A4,MFootball!$C:$O,I$1-2011,FALSE),0)+IFERROR(VLOOKUP($A4,MIceHockey!$C:$P,I$1-2011,FALSE),0)+IFERROR(VLOOKUP($A4,MLacrosse!$C:$O,I$1-2011,FALSE),0)+IFERROR(VLOOKUP($A4,MSoccer!$C:$O,I$1-2011,FALSE),0)+IFERROR(VLOOKUP($A4,MVolleyball!$C:$O,I$1-2011,FALSE),0)+IFERROR(VLOOKUP($A4,WBasketball!$C:$O,I$1-2011,FALSE),0)+IFERROR(VLOOKUP($A4,WFieldHockey!$C:$O,I$1-2011,FALSE),0)+IFERROR(VLOOKUP($A4,WIceHockey!$C:$O,I$1-2011,FALSE),0)+IFERROR(VLOOKUP($A4,WLacrosse!$C:$O,I$1-2011,FALSE),0)+IFERROR(VLOOKUP($A4,WSoccer!$C:$O,I$1-2011,FALSE),0)+IFERROR(VLOOKUP($A4,WSoftball!$C:$O,I$1-2011,FALSE),0)+IFERROR(VLOOKUP($A4,WVolleyball!$C:$O,I$1-2011,FALSE),0)</f>
        <v>180248</v>
      </c>
      <c r="J4">
        <f>IFERROR(VLOOKUP($A4,MBaseball!$C:$N,J$1-2010,FALSE),0)+IFERROR(VLOOKUP($A4,MBasketball!$C:$J,J$1-2006,FALSE),0)+IFERROR(VLOOKUP($A4,MFootball!$C:$O,J$1-2011,FALSE),0)+IFERROR(VLOOKUP($A4,MIceHockey!$C:$P,J$1-2011,FALSE),0)+IFERROR(VLOOKUP($A4,MLacrosse!$C:$O,J$1-2011,FALSE),0)+IFERROR(VLOOKUP($A4,MSoccer!$C:$O,J$1-2011,FALSE),0)+IFERROR(VLOOKUP($A4,MVolleyball!$C:$O,J$1-2011,FALSE),0)+IFERROR(VLOOKUP($A4,WBasketball!$C:$O,J$1-2011,FALSE),0)+IFERROR(VLOOKUP($A4,WFieldHockey!$C:$O,J$1-2011,FALSE),0)+IFERROR(VLOOKUP($A4,WIceHockey!$C:$O,J$1-2011,FALSE),0)+IFERROR(VLOOKUP($A4,WLacrosse!$C:$O,J$1-2011,FALSE),0)+IFERROR(VLOOKUP($A4,WSoccer!$C:$O,J$1-2011,FALSE),0)+IFERROR(VLOOKUP($A4,WSoftball!$C:$O,J$1-2011,FALSE),0)+IFERROR(VLOOKUP($A4,WVolleyball!$C:$O,J$1-2011,FALSE),0)</f>
        <v>156385</v>
      </c>
      <c r="K4">
        <f>IFERROR(VLOOKUP($A4,MBaseball!$C:$N,K$1-2010,FALSE),0)+IFERROR(VLOOKUP($A4,MBasketball!$C:$J,K$1-2006,FALSE),0)+IFERROR(VLOOKUP($A4,MFootball!$C:$O,K$1-2011,FALSE),0)+IFERROR(VLOOKUP($A4,MIceHockey!$C:$P,K$1-2011,FALSE),0)+IFERROR(VLOOKUP($A4,MLacrosse!$C:$O,K$1-2011,FALSE),0)+IFERROR(VLOOKUP($A4,MSoccer!$C:$O,K$1-2011,FALSE),0)+IFERROR(VLOOKUP($A4,MVolleyball!$C:$O,K$1-2011,FALSE),0)+IFERROR(VLOOKUP($A4,WBasketball!$C:$O,K$1-2011,FALSE),0)+IFERROR(VLOOKUP($A4,WFieldHockey!$C:$O,K$1-2011,FALSE),0)+IFERROR(VLOOKUP($A4,WIceHockey!$C:$O,K$1-2011,FALSE),0)+IFERROR(VLOOKUP($A4,WLacrosse!$C:$O,K$1-2011,FALSE),0)+IFERROR(VLOOKUP($A4,WSoccer!$C:$O,K$1-2011,FALSE),0)+IFERROR(VLOOKUP($A4,WSoftball!$C:$O,K$1-2011,FALSE),0)+IFERROR(VLOOKUP($A4,WVolleyball!$C:$O,K$1-2011,FALSE),0)</f>
        <v>187143</v>
      </c>
      <c r="L4">
        <f>IFERROR(VLOOKUP($A4,MBaseball!$C:$N,L$1-2010,FALSE),0)+IFERROR(VLOOKUP($A4,MBasketball!$C:$J,L$1-2006,FALSE),0)+IFERROR(VLOOKUP($A4,MFootball!$C:$O,L$1-2011,FALSE),0)+IFERROR(VLOOKUP($A4,MIceHockey!$C:$P,L$1-2011,FALSE),0)+IFERROR(VLOOKUP($A4,MLacrosse!$C:$O,L$1-2011,FALSE),0)+IFERROR(VLOOKUP($A4,MSoccer!$C:$O,L$1-2011,FALSE),0)+IFERROR(VLOOKUP($A4,MVolleyball!$C:$O,L$1-2011,FALSE),0)+IFERROR(VLOOKUP($A4,WBasketball!$C:$O,L$1-2011,FALSE),0)+IFERROR(VLOOKUP($A4,WFieldHockey!$C:$O,L$1-2011,FALSE),0)+IFERROR(VLOOKUP($A4,WIceHockey!$C:$O,L$1-2011,FALSE),0)+IFERROR(VLOOKUP($A4,WLacrosse!$C:$O,L$1-2011,FALSE),0)+IFERROR(VLOOKUP($A4,WSoccer!$C:$O,L$1-2011,FALSE),0)+IFERROR(VLOOKUP($A4,WSoftball!$C:$O,L$1-2011,FALSE),0)+IFERROR(VLOOKUP($A4,WVolleyball!$C:$O,L$1-2011,FALSE),0)</f>
        <v>21420</v>
      </c>
      <c r="M4">
        <f>IFERROR(VLOOKUP($A4,MBaseball!$C:$N,M$1-2010,FALSE),0)+IFERROR(VLOOKUP($A4,MBasketball!$C:$J,M$1-2006,FALSE),0)+IFERROR(VLOOKUP($A4,MFootball!$C:$O,M$1-2011,FALSE),0)+IFERROR(VLOOKUP($A4,MIceHockey!$C:$P,M$1-2011,FALSE),0)+IFERROR(VLOOKUP($A4,MLacrosse!$C:$O,M$1-2011,FALSE),0)+IFERROR(VLOOKUP($A4,MSoccer!$C:$O,M$1-2011,FALSE),0)+IFERROR(VLOOKUP($A4,MVolleyball!$C:$O,M$1-2011,FALSE),0)+IFERROR(VLOOKUP($A4,WBasketball!$C:$O,M$1-2011,FALSE),0)+IFERROR(VLOOKUP($A4,WFieldHockey!$C:$O,M$1-2011,FALSE),0)+IFERROR(VLOOKUP($A4,WIceHockey!$C:$O,M$1-2011,FALSE),0)+IFERROR(VLOOKUP($A4,WLacrosse!$C:$O,M$1-2011,FALSE),0)+IFERROR(VLOOKUP($A4,WSoccer!$C:$O,M$1-2011,FALSE),0)+IFERROR(VLOOKUP($A4,WSoftball!$C:$O,M$1-2011,FALSE),0)+IFERROR(VLOOKUP($A4,WVolleyball!$C:$O,M$1-2011,FALSE),0)</f>
        <v>244834</v>
      </c>
      <c r="N4">
        <f>IFERROR(VLOOKUP($A4,MBaseball!$C:$N,N$1-2010,FALSE),0)+IFERROR(VLOOKUP($A4,MBasketball!$C:$J,N$1-2006,FALSE),0)+IFERROR(VLOOKUP($A4,MFootball!$C:$O,N$1-2011,FALSE),0)+IFERROR(VLOOKUP($A4,MIceHockey!$C:$P,N$1-2011,FALSE),0)+IFERROR(VLOOKUP($A4,MLacrosse!$C:$O,N$1-2011,FALSE),0)+IFERROR(VLOOKUP($A4,MSoccer!$C:$O,N$1-2011,FALSE),0)+IFERROR(VLOOKUP($A4,MVolleyball!$C:$O,N$1-2011,FALSE),0)+IFERROR(VLOOKUP($A4,WBasketball!$C:$O,N$1-2011,FALSE),0)+IFERROR(VLOOKUP($A4,WFieldHockey!$C:$O,N$1-2011,FALSE),0)+IFERROR(VLOOKUP($A4,WIceHockey!$C:$O,N$1-2011,FALSE),0)+IFERROR(VLOOKUP($A4,WLacrosse!$C:$O,N$1-2011,FALSE),0)+IFERROR(VLOOKUP($A4,WSoccer!$C:$O,N$1-2011,FALSE),0)+IFERROR(VLOOKUP($A4,WSoftball!$C:$O,N$1-2011,FALSE),0)+IFERROR(VLOOKUP($A4,WVolleyball!$C:$O,N$1-2011,FALSE),0)</f>
        <v>254408</v>
      </c>
    </row>
    <row r="5" spans="1:15" x14ac:dyDescent="0.2">
      <c r="A5">
        <v>104179</v>
      </c>
      <c r="B5">
        <v>46060</v>
      </c>
      <c r="C5" t="s">
        <v>45</v>
      </c>
      <c r="D5">
        <v>4</v>
      </c>
      <c r="E5">
        <f>IFERROR(VLOOKUP($A5,MBaseball!$C:$N,E$1-2010,FALSE),0)+IFERROR(VLOOKUP($A5,MBasketball!$C:$J,E$1-2006,FALSE),0)+IFERROR(VLOOKUP($A5,MFootball!$C:$O,E$1-2011,FALSE),0)+IFERROR(VLOOKUP($A5,MIceHockey!$C:$P,E$1-2011,FALSE),0)+IFERROR(VLOOKUP($A5,MLacrosse!$C:$O,E$1-2011,FALSE),0)+IFERROR(VLOOKUP($A5,MSoccer!$C:$O,E$1-2011,FALSE),0)+IFERROR(VLOOKUP($A5,MVolleyball!$C:$O,E$1-2011,FALSE),0)+IFERROR(VLOOKUP($A5,WBasketball!$C:$O,E$1-2011,FALSE),0)+IFERROR(VLOOKUP($A5,WFieldHockey!$C:$O,E$1-2011,FALSE),0)+IFERROR(VLOOKUP($A5,WIceHockey!$C:$O,E$1-2011,FALSE),0)+IFERROR(VLOOKUP($A5,WLacrosse!$C:$O,E$1-2011,FALSE),0)+IFERROR(VLOOKUP($A5,WSoccer!$C:$O,E$1-2011,FALSE),0)+IFERROR(VLOOKUP($A5,WSoftball!$C:$O,E$1-2011,FALSE),0)+IFERROR(VLOOKUP($A5,WVolleyball!$C:$O,E$1-2011,FALSE),0)</f>
        <v>374331</v>
      </c>
      <c r="F5">
        <f>IFERROR(VLOOKUP($A5,MBaseball!$C:$N,F$1-2010,FALSE),0)+IFERROR(VLOOKUP($A5,MBasketball!$C:$J,F$1-2006,FALSE),0)+IFERROR(VLOOKUP($A5,MFootball!$C:$O,F$1-2011,FALSE),0)+IFERROR(VLOOKUP($A5,MIceHockey!$C:$P,F$1-2011,FALSE),0)+IFERROR(VLOOKUP($A5,MLacrosse!$C:$O,F$1-2011,FALSE),0)+IFERROR(VLOOKUP($A5,MSoccer!$C:$O,F$1-2011,FALSE),0)+IFERROR(VLOOKUP($A5,MVolleyball!$C:$O,F$1-2011,FALSE),0)+IFERROR(VLOOKUP($A5,WBasketball!$C:$O,F$1-2011,FALSE),0)+IFERROR(VLOOKUP($A5,WFieldHockey!$C:$O,F$1-2011,FALSE),0)+IFERROR(VLOOKUP($A5,WIceHockey!$C:$O,F$1-2011,FALSE),0)+IFERROR(VLOOKUP($A5,WLacrosse!$C:$O,F$1-2011,FALSE),0)+IFERROR(VLOOKUP($A5,WSoccer!$C:$O,F$1-2011,FALSE),0)+IFERROR(VLOOKUP($A5,WSoftball!$C:$O,F$1-2011,FALSE),0)+IFERROR(VLOOKUP($A5,WVolleyball!$C:$O,F$1-2011,FALSE),0)</f>
        <v>502148</v>
      </c>
      <c r="G5">
        <f>IFERROR(VLOOKUP($A5,MBaseball!$C:$N,G$1-2010,FALSE),0)+IFERROR(VLOOKUP($A5,MBasketball!$C:$J,G$1-2006,FALSE),0)+IFERROR(VLOOKUP($A5,MFootball!$C:$O,G$1-2011,FALSE),0)+IFERROR(VLOOKUP($A5,MIceHockey!$C:$P,G$1-2011,FALSE),0)+IFERROR(VLOOKUP($A5,MLacrosse!$C:$O,G$1-2011,FALSE),0)+IFERROR(VLOOKUP($A5,MSoccer!$C:$O,G$1-2011,FALSE),0)+IFERROR(VLOOKUP($A5,MVolleyball!$C:$O,G$1-2011,FALSE),0)+IFERROR(VLOOKUP($A5,WBasketball!$C:$O,G$1-2011,FALSE),0)+IFERROR(VLOOKUP($A5,WFieldHockey!$C:$O,G$1-2011,FALSE),0)+IFERROR(VLOOKUP($A5,WIceHockey!$C:$O,G$1-2011,FALSE),0)+IFERROR(VLOOKUP($A5,WLacrosse!$C:$O,G$1-2011,FALSE),0)+IFERROR(VLOOKUP($A5,WSoccer!$C:$O,G$1-2011,FALSE),0)+IFERROR(VLOOKUP($A5,WSoftball!$C:$O,G$1-2011,FALSE),0)+IFERROR(VLOOKUP($A5,WVolleyball!$C:$O,G$1-2011,FALSE),0)</f>
        <v>516628</v>
      </c>
      <c r="H5">
        <f>IFERROR(VLOOKUP($A5,MBaseball!$C:$N,H$1-2010,FALSE),0)+IFERROR(VLOOKUP($A5,MBasketball!$C:$J,H$1-2006,FALSE),0)+IFERROR(VLOOKUP($A5,MFootball!$C:$O,H$1-2011,FALSE),0)+IFERROR(VLOOKUP($A5,MIceHockey!$C:$P,H$1-2011,FALSE),0)+IFERROR(VLOOKUP($A5,MLacrosse!$C:$O,H$1-2011,FALSE),0)+IFERROR(VLOOKUP($A5,MSoccer!$C:$O,H$1-2011,FALSE),0)+IFERROR(VLOOKUP($A5,MVolleyball!$C:$O,H$1-2011,FALSE),0)+IFERROR(VLOOKUP($A5,WBasketball!$C:$O,H$1-2011,FALSE),0)+IFERROR(VLOOKUP($A5,WFieldHockey!$C:$O,H$1-2011,FALSE),0)+IFERROR(VLOOKUP($A5,WIceHockey!$C:$O,H$1-2011,FALSE),0)+IFERROR(VLOOKUP($A5,WLacrosse!$C:$O,H$1-2011,FALSE),0)+IFERROR(VLOOKUP($A5,WSoccer!$C:$O,H$1-2011,FALSE),0)+IFERROR(VLOOKUP($A5,WSoftball!$C:$O,H$1-2011,FALSE),0)+IFERROR(VLOOKUP($A5,WVolleyball!$C:$O,H$1-2011,FALSE),0)</f>
        <v>551769</v>
      </c>
      <c r="I5">
        <f>IFERROR(VLOOKUP($A5,MBaseball!$C:$N,I$1-2010,FALSE),0)+IFERROR(VLOOKUP($A5,MBasketball!$C:$J,I$1-2006,FALSE),0)+IFERROR(VLOOKUP($A5,MFootball!$C:$O,I$1-2011,FALSE),0)+IFERROR(VLOOKUP($A5,MIceHockey!$C:$P,I$1-2011,FALSE),0)+IFERROR(VLOOKUP($A5,MLacrosse!$C:$O,I$1-2011,FALSE),0)+IFERROR(VLOOKUP($A5,MSoccer!$C:$O,I$1-2011,FALSE),0)+IFERROR(VLOOKUP($A5,MVolleyball!$C:$O,I$1-2011,FALSE),0)+IFERROR(VLOOKUP($A5,WBasketball!$C:$O,I$1-2011,FALSE),0)+IFERROR(VLOOKUP($A5,WFieldHockey!$C:$O,I$1-2011,FALSE),0)+IFERROR(VLOOKUP($A5,WIceHockey!$C:$O,I$1-2011,FALSE),0)+IFERROR(VLOOKUP($A5,WLacrosse!$C:$O,I$1-2011,FALSE),0)+IFERROR(VLOOKUP($A5,WSoccer!$C:$O,I$1-2011,FALSE),0)+IFERROR(VLOOKUP($A5,WSoftball!$C:$O,I$1-2011,FALSE),0)+IFERROR(VLOOKUP($A5,WVolleyball!$C:$O,I$1-2011,FALSE),0)</f>
        <v>455423</v>
      </c>
      <c r="J5">
        <f>IFERROR(VLOOKUP($A5,MBaseball!$C:$N,J$1-2010,FALSE),0)+IFERROR(VLOOKUP($A5,MBasketball!$C:$J,J$1-2006,FALSE),0)+IFERROR(VLOOKUP($A5,MFootball!$C:$O,J$1-2011,FALSE),0)+IFERROR(VLOOKUP($A5,MIceHockey!$C:$P,J$1-2011,FALSE),0)+IFERROR(VLOOKUP($A5,MLacrosse!$C:$O,J$1-2011,FALSE),0)+IFERROR(VLOOKUP($A5,MSoccer!$C:$O,J$1-2011,FALSE),0)+IFERROR(VLOOKUP($A5,MVolleyball!$C:$O,J$1-2011,FALSE),0)+IFERROR(VLOOKUP($A5,WBasketball!$C:$O,J$1-2011,FALSE),0)+IFERROR(VLOOKUP($A5,WFieldHockey!$C:$O,J$1-2011,FALSE),0)+IFERROR(VLOOKUP($A5,WIceHockey!$C:$O,J$1-2011,FALSE),0)+IFERROR(VLOOKUP($A5,WLacrosse!$C:$O,J$1-2011,FALSE),0)+IFERROR(VLOOKUP($A5,WSoccer!$C:$O,J$1-2011,FALSE),0)+IFERROR(VLOOKUP($A5,WSoftball!$C:$O,J$1-2011,FALSE),0)+IFERROR(VLOOKUP($A5,WVolleyball!$C:$O,J$1-2011,FALSE),0)</f>
        <v>522517</v>
      </c>
      <c r="K5">
        <f>IFERROR(VLOOKUP($A5,MBaseball!$C:$N,K$1-2010,FALSE),0)+IFERROR(VLOOKUP($A5,MBasketball!$C:$J,K$1-2006,FALSE),0)+IFERROR(VLOOKUP($A5,MFootball!$C:$O,K$1-2011,FALSE),0)+IFERROR(VLOOKUP($A5,MIceHockey!$C:$P,K$1-2011,FALSE),0)+IFERROR(VLOOKUP($A5,MLacrosse!$C:$O,K$1-2011,FALSE),0)+IFERROR(VLOOKUP($A5,MSoccer!$C:$O,K$1-2011,FALSE),0)+IFERROR(VLOOKUP($A5,MVolleyball!$C:$O,K$1-2011,FALSE),0)+IFERROR(VLOOKUP($A5,WBasketball!$C:$O,K$1-2011,FALSE),0)+IFERROR(VLOOKUP($A5,WFieldHockey!$C:$O,K$1-2011,FALSE),0)+IFERROR(VLOOKUP($A5,WIceHockey!$C:$O,K$1-2011,FALSE),0)+IFERROR(VLOOKUP($A5,WLacrosse!$C:$O,K$1-2011,FALSE),0)+IFERROR(VLOOKUP($A5,WSoccer!$C:$O,K$1-2011,FALSE),0)+IFERROR(VLOOKUP($A5,WSoftball!$C:$O,K$1-2011,FALSE),0)+IFERROR(VLOOKUP($A5,WVolleyball!$C:$O,K$1-2011,FALSE),0)</f>
        <v>441655</v>
      </c>
      <c r="L5">
        <f>IFERROR(VLOOKUP($A5,MBaseball!$C:$N,L$1-2010,FALSE),0)+IFERROR(VLOOKUP($A5,MBasketball!$C:$J,L$1-2006,FALSE),0)+IFERROR(VLOOKUP($A5,MFootball!$C:$O,L$1-2011,FALSE),0)+IFERROR(VLOOKUP($A5,MIceHockey!$C:$P,L$1-2011,FALSE),0)+IFERROR(VLOOKUP($A5,MLacrosse!$C:$O,L$1-2011,FALSE),0)+IFERROR(VLOOKUP($A5,MSoccer!$C:$O,L$1-2011,FALSE),0)+IFERROR(VLOOKUP($A5,MVolleyball!$C:$O,L$1-2011,FALSE),0)+IFERROR(VLOOKUP($A5,WBasketball!$C:$O,L$1-2011,FALSE),0)+IFERROR(VLOOKUP($A5,WFieldHockey!$C:$O,L$1-2011,FALSE),0)+IFERROR(VLOOKUP($A5,WIceHockey!$C:$O,L$1-2011,FALSE),0)+IFERROR(VLOOKUP($A5,WLacrosse!$C:$O,L$1-2011,FALSE),0)+IFERROR(VLOOKUP($A5,WSoccer!$C:$O,L$1-2011,FALSE),0)+IFERROR(VLOOKUP($A5,WSoftball!$C:$O,L$1-2011,FALSE),0)+IFERROR(VLOOKUP($A5,WVolleyball!$C:$O,L$1-2011,FALSE),0)</f>
        <v>106443</v>
      </c>
      <c r="M5">
        <f>IFERROR(VLOOKUP($A5,MBaseball!$C:$N,M$1-2010,FALSE),0)+IFERROR(VLOOKUP($A5,MBasketball!$C:$J,M$1-2006,FALSE),0)+IFERROR(VLOOKUP($A5,MFootball!$C:$O,M$1-2011,FALSE),0)+IFERROR(VLOOKUP($A5,MIceHockey!$C:$P,M$1-2011,FALSE),0)+IFERROR(VLOOKUP($A5,MLacrosse!$C:$O,M$1-2011,FALSE),0)+IFERROR(VLOOKUP($A5,MSoccer!$C:$O,M$1-2011,FALSE),0)+IFERROR(VLOOKUP($A5,MVolleyball!$C:$O,M$1-2011,FALSE),0)+IFERROR(VLOOKUP($A5,WBasketball!$C:$O,M$1-2011,FALSE),0)+IFERROR(VLOOKUP($A5,WFieldHockey!$C:$O,M$1-2011,FALSE),0)+IFERROR(VLOOKUP($A5,WIceHockey!$C:$O,M$1-2011,FALSE),0)+IFERROR(VLOOKUP($A5,WLacrosse!$C:$O,M$1-2011,FALSE),0)+IFERROR(VLOOKUP($A5,WSoccer!$C:$O,M$1-2011,FALSE),0)+IFERROR(VLOOKUP($A5,WSoftball!$C:$O,M$1-2011,FALSE),0)+IFERROR(VLOOKUP($A5,WVolleyball!$C:$O,M$1-2011,FALSE),0)</f>
        <v>514933</v>
      </c>
      <c r="N5">
        <f>IFERROR(VLOOKUP($A5,MBaseball!$C:$N,N$1-2010,FALSE),0)+IFERROR(VLOOKUP($A5,MBasketball!$C:$J,N$1-2006,FALSE),0)+IFERROR(VLOOKUP($A5,MFootball!$C:$O,N$1-2011,FALSE),0)+IFERROR(VLOOKUP($A5,MIceHockey!$C:$P,N$1-2011,FALSE),0)+IFERROR(VLOOKUP($A5,MLacrosse!$C:$O,N$1-2011,FALSE),0)+IFERROR(VLOOKUP($A5,MSoccer!$C:$O,N$1-2011,FALSE),0)+IFERROR(VLOOKUP($A5,MVolleyball!$C:$O,N$1-2011,FALSE),0)+IFERROR(VLOOKUP($A5,WBasketball!$C:$O,N$1-2011,FALSE),0)+IFERROR(VLOOKUP($A5,WFieldHockey!$C:$O,N$1-2011,FALSE),0)+IFERROR(VLOOKUP($A5,WIceHockey!$C:$O,N$1-2011,FALSE),0)+IFERROR(VLOOKUP($A5,WLacrosse!$C:$O,N$1-2011,FALSE),0)+IFERROR(VLOOKUP($A5,WSoccer!$C:$O,N$1-2011,FALSE),0)+IFERROR(VLOOKUP($A5,WSoftball!$C:$O,N$1-2011,FALSE),0)+IFERROR(VLOOKUP($A5,WVolleyball!$C:$O,N$1-2011,FALSE),0)</f>
        <v>515674</v>
      </c>
    </row>
    <row r="6" spans="1:15" x14ac:dyDescent="0.2">
      <c r="A6">
        <v>104151</v>
      </c>
      <c r="B6">
        <v>38060</v>
      </c>
      <c r="C6" t="s">
        <v>46</v>
      </c>
      <c r="D6">
        <v>5</v>
      </c>
      <c r="E6">
        <f>IFERROR(VLOOKUP($A6,MBaseball!$C:$N,E$1-2010,FALSE),0)+IFERROR(VLOOKUP($A6,MBasketball!$C:$J,E$1-2006,FALSE),0)+IFERROR(VLOOKUP($A6,MFootball!$C:$O,E$1-2011,FALSE),0)+IFERROR(VLOOKUP($A6,MIceHockey!$C:$P,E$1-2011,FALSE),0)+IFERROR(VLOOKUP($A6,MLacrosse!$C:$O,E$1-2011,FALSE),0)+IFERROR(VLOOKUP($A6,MSoccer!$C:$O,E$1-2011,FALSE),0)+IFERROR(VLOOKUP($A6,MVolleyball!$C:$O,E$1-2011,FALSE),0)+IFERROR(VLOOKUP($A6,WBasketball!$C:$O,E$1-2011,FALSE),0)+IFERROR(VLOOKUP($A6,WFieldHockey!$C:$O,E$1-2011,FALSE),0)+IFERROR(VLOOKUP($A6,WIceHockey!$C:$O,E$1-2011,FALSE),0)+IFERROR(VLOOKUP($A6,WLacrosse!$C:$O,E$1-2011,FALSE),0)+IFERROR(VLOOKUP($A6,WSoccer!$C:$O,E$1-2011,FALSE),0)+IFERROR(VLOOKUP($A6,WSoftball!$C:$O,E$1-2011,FALSE),0)+IFERROR(VLOOKUP($A6,WVolleyball!$C:$O,E$1-2011,FALSE),0)</f>
        <v>325268</v>
      </c>
      <c r="F6">
        <f>IFERROR(VLOOKUP($A6,MBaseball!$C:$N,F$1-2010,FALSE),0)+IFERROR(VLOOKUP($A6,MBasketball!$C:$J,F$1-2006,FALSE),0)+IFERROR(VLOOKUP($A6,MFootball!$C:$O,F$1-2011,FALSE),0)+IFERROR(VLOOKUP($A6,MIceHockey!$C:$P,F$1-2011,FALSE),0)+IFERROR(VLOOKUP($A6,MLacrosse!$C:$O,F$1-2011,FALSE),0)+IFERROR(VLOOKUP($A6,MSoccer!$C:$O,F$1-2011,FALSE),0)+IFERROR(VLOOKUP($A6,MVolleyball!$C:$O,F$1-2011,FALSE),0)+IFERROR(VLOOKUP($A6,WBasketball!$C:$O,F$1-2011,FALSE),0)+IFERROR(VLOOKUP($A6,WFieldHockey!$C:$O,F$1-2011,FALSE),0)+IFERROR(VLOOKUP($A6,WIceHockey!$C:$O,F$1-2011,FALSE),0)+IFERROR(VLOOKUP($A6,WLacrosse!$C:$O,F$1-2011,FALSE),0)+IFERROR(VLOOKUP($A6,WSoccer!$C:$O,F$1-2011,FALSE),0)+IFERROR(VLOOKUP($A6,WSoftball!$C:$O,F$1-2011,FALSE),0)+IFERROR(VLOOKUP($A6,WVolleyball!$C:$O,F$1-2011,FALSE),0)</f>
        <v>508100</v>
      </c>
      <c r="G6">
        <f>IFERROR(VLOOKUP($A6,MBaseball!$C:$N,G$1-2010,FALSE),0)+IFERROR(VLOOKUP($A6,MBasketball!$C:$J,G$1-2006,FALSE),0)+IFERROR(VLOOKUP($A6,MFootball!$C:$O,G$1-2011,FALSE),0)+IFERROR(VLOOKUP($A6,MIceHockey!$C:$P,G$1-2011,FALSE),0)+IFERROR(VLOOKUP($A6,MLacrosse!$C:$O,G$1-2011,FALSE),0)+IFERROR(VLOOKUP($A6,MSoccer!$C:$O,G$1-2011,FALSE),0)+IFERROR(VLOOKUP($A6,MVolleyball!$C:$O,G$1-2011,FALSE),0)+IFERROR(VLOOKUP($A6,WBasketball!$C:$O,G$1-2011,FALSE),0)+IFERROR(VLOOKUP($A6,WFieldHockey!$C:$O,G$1-2011,FALSE),0)+IFERROR(VLOOKUP($A6,WIceHockey!$C:$O,G$1-2011,FALSE),0)+IFERROR(VLOOKUP($A6,WLacrosse!$C:$O,G$1-2011,FALSE),0)+IFERROR(VLOOKUP($A6,WSoccer!$C:$O,G$1-2011,FALSE),0)+IFERROR(VLOOKUP($A6,WSoftball!$C:$O,G$1-2011,FALSE),0)+IFERROR(VLOOKUP($A6,WVolleyball!$C:$O,G$1-2011,FALSE),0)</f>
        <v>572410</v>
      </c>
      <c r="H6">
        <f>IFERROR(VLOOKUP($A6,MBaseball!$C:$N,H$1-2010,FALSE),0)+IFERROR(VLOOKUP($A6,MBasketball!$C:$J,H$1-2006,FALSE),0)+IFERROR(VLOOKUP($A6,MFootball!$C:$O,H$1-2011,FALSE),0)+IFERROR(VLOOKUP($A6,MIceHockey!$C:$P,H$1-2011,FALSE),0)+IFERROR(VLOOKUP($A6,MLacrosse!$C:$O,H$1-2011,FALSE),0)+IFERROR(VLOOKUP($A6,MSoccer!$C:$O,H$1-2011,FALSE),0)+IFERROR(VLOOKUP($A6,MVolleyball!$C:$O,H$1-2011,FALSE),0)+IFERROR(VLOOKUP($A6,WBasketball!$C:$O,H$1-2011,FALSE),0)+IFERROR(VLOOKUP($A6,WFieldHockey!$C:$O,H$1-2011,FALSE),0)+IFERROR(VLOOKUP($A6,WIceHockey!$C:$O,H$1-2011,FALSE),0)+IFERROR(VLOOKUP($A6,WLacrosse!$C:$O,H$1-2011,FALSE),0)+IFERROR(VLOOKUP($A6,WSoccer!$C:$O,H$1-2011,FALSE),0)+IFERROR(VLOOKUP($A6,WSoftball!$C:$O,H$1-2011,FALSE),0)+IFERROR(VLOOKUP($A6,WVolleyball!$C:$O,H$1-2011,FALSE),0)</f>
        <v>471089</v>
      </c>
      <c r="I6">
        <f>IFERROR(VLOOKUP($A6,MBaseball!$C:$N,I$1-2010,FALSE),0)+IFERROR(VLOOKUP($A6,MBasketball!$C:$J,I$1-2006,FALSE),0)+IFERROR(VLOOKUP($A6,MFootball!$C:$O,I$1-2011,FALSE),0)+IFERROR(VLOOKUP($A6,MIceHockey!$C:$P,I$1-2011,FALSE),0)+IFERROR(VLOOKUP($A6,MLacrosse!$C:$O,I$1-2011,FALSE),0)+IFERROR(VLOOKUP($A6,MSoccer!$C:$O,I$1-2011,FALSE),0)+IFERROR(VLOOKUP($A6,MVolleyball!$C:$O,I$1-2011,FALSE),0)+IFERROR(VLOOKUP($A6,WBasketball!$C:$O,I$1-2011,FALSE),0)+IFERROR(VLOOKUP($A6,WFieldHockey!$C:$O,I$1-2011,FALSE),0)+IFERROR(VLOOKUP($A6,WIceHockey!$C:$O,I$1-2011,FALSE),0)+IFERROR(VLOOKUP($A6,WLacrosse!$C:$O,I$1-2011,FALSE),0)+IFERROR(VLOOKUP($A6,WSoccer!$C:$O,I$1-2011,FALSE),0)+IFERROR(VLOOKUP($A6,WSoftball!$C:$O,I$1-2011,FALSE),0)+IFERROR(VLOOKUP($A6,WVolleyball!$C:$O,I$1-2011,FALSE),0)</f>
        <v>599157</v>
      </c>
      <c r="J6">
        <f>IFERROR(VLOOKUP($A6,MBaseball!$C:$N,J$1-2010,FALSE),0)+IFERROR(VLOOKUP($A6,MBasketball!$C:$J,J$1-2006,FALSE),0)+IFERROR(VLOOKUP($A6,MFootball!$C:$O,J$1-2011,FALSE),0)+IFERROR(VLOOKUP($A6,MIceHockey!$C:$P,J$1-2011,FALSE),0)+IFERROR(VLOOKUP($A6,MLacrosse!$C:$O,J$1-2011,FALSE),0)+IFERROR(VLOOKUP($A6,MSoccer!$C:$O,J$1-2011,FALSE),0)+IFERROR(VLOOKUP($A6,MVolleyball!$C:$O,J$1-2011,FALSE),0)+IFERROR(VLOOKUP($A6,WBasketball!$C:$O,J$1-2011,FALSE),0)+IFERROR(VLOOKUP($A6,WFieldHockey!$C:$O,J$1-2011,FALSE),0)+IFERROR(VLOOKUP($A6,WIceHockey!$C:$O,J$1-2011,FALSE),0)+IFERROR(VLOOKUP($A6,WLacrosse!$C:$O,J$1-2011,FALSE),0)+IFERROR(VLOOKUP($A6,WSoccer!$C:$O,J$1-2011,FALSE),0)+IFERROR(VLOOKUP($A6,WSoftball!$C:$O,J$1-2011,FALSE),0)+IFERROR(VLOOKUP($A6,WVolleyball!$C:$O,J$1-2011,FALSE),0)</f>
        <v>464171</v>
      </c>
      <c r="K6">
        <f>IFERROR(VLOOKUP($A6,MBaseball!$C:$N,K$1-2010,FALSE),0)+IFERROR(VLOOKUP($A6,MBasketball!$C:$J,K$1-2006,FALSE),0)+IFERROR(VLOOKUP($A6,MFootball!$C:$O,K$1-2011,FALSE),0)+IFERROR(VLOOKUP($A6,MIceHockey!$C:$P,K$1-2011,FALSE),0)+IFERROR(VLOOKUP($A6,MLacrosse!$C:$O,K$1-2011,FALSE),0)+IFERROR(VLOOKUP($A6,MSoccer!$C:$O,K$1-2011,FALSE),0)+IFERROR(VLOOKUP($A6,MVolleyball!$C:$O,K$1-2011,FALSE),0)+IFERROR(VLOOKUP($A6,WBasketball!$C:$O,K$1-2011,FALSE),0)+IFERROR(VLOOKUP($A6,WFieldHockey!$C:$O,K$1-2011,FALSE),0)+IFERROR(VLOOKUP($A6,WIceHockey!$C:$O,K$1-2011,FALSE),0)+IFERROR(VLOOKUP($A6,WLacrosse!$C:$O,K$1-2011,FALSE),0)+IFERROR(VLOOKUP($A6,WSoccer!$C:$O,K$1-2011,FALSE),0)+IFERROR(VLOOKUP($A6,WSoftball!$C:$O,K$1-2011,FALSE),0)+IFERROR(VLOOKUP($A6,WVolleyball!$C:$O,K$1-2011,FALSE),0)</f>
        <v>493079</v>
      </c>
      <c r="L6">
        <f>IFERROR(VLOOKUP($A6,MBaseball!$C:$N,L$1-2010,FALSE),0)+IFERROR(VLOOKUP($A6,MBasketball!$C:$J,L$1-2006,FALSE),0)+IFERROR(VLOOKUP($A6,MFootball!$C:$O,L$1-2011,FALSE),0)+IFERROR(VLOOKUP($A6,MIceHockey!$C:$P,L$1-2011,FALSE),0)+IFERROR(VLOOKUP($A6,MLacrosse!$C:$O,L$1-2011,FALSE),0)+IFERROR(VLOOKUP($A6,MSoccer!$C:$O,L$1-2011,FALSE),0)+IFERROR(VLOOKUP($A6,MVolleyball!$C:$O,L$1-2011,FALSE),0)+IFERROR(VLOOKUP($A6,WBasketball!$C:$O,L$1-2011,FALSE),0)+IFERROR(VLOOKUP($A6,WFieldHockey!$C:$O,L$1-2011,FALSE),0)+IFERROR(VLOOKUP($A6,WIceHockey!$C:$O,L$1-2011,FALSE),0)+IFERROR(VLOOKUP($A6,WLacrosse!$C:$O,L$1-2011,FALSE),0)+IFERROR(VLOOKUP($A6,WSoccer!$C:$O,L$1-2011,FALSE),0)+IFERROR(VLOOKUP($A6,WSoftball!$C:$O,L$1-2011,FALSE),0)+IFERROR(VLOOKUP($A6,WVolleyball!$C:$O,L$1-2011,FALSE),0)</f>
        <v>119089</v>
      </c>
      <c r="M6">
        <f>IFERROR(VLOOKUP($A6,MBaseball!$C:$N,M$1-2010,FALSE),0)+IFERROR(VLOOKUP($A6,MBasketball!$C:$J,M$1-2006,FALSE),0)+IFERROR(VLOOKUP($A6,MFootball!$C:$O,M$1-2011,FALSE),0)+IFERROR(VLOOKUP($A6,MIceHockey!$C:$P,M$1-2011,FALSE),0)+IFERROR(VLOOKUP($A6,MLacrosse!$C:$O,M$1-2011,FALSE),0)+IFERROR(VLOOKUP($A6,MSoccer!$C:$O,M$1-2011,FALSE),0)+IFERROR(VLOOKUP($A6,MVolleyball!$C:$O,M$1-2011,FALSE),0)+IFERROR(VLOOKUP($A6,WBasketball!$C:$O,M$1-2011,FALSE),0)+IFERROR(VLOOKUP($A6,WFieldHockey!$C:$O,M$1-2011,FALSE),0)+IFERROR(VLOOKUP($A6,WIceHockey!$C:$O,M$1-2011,FALSE),0)+IFERROR(VLOOKUP($A6,WLacrosse!$C:$O,M$1-2011,FALSE),0)+IFERROR(VLOOKUP($A6,WSoccer!$C:$O,M$1-2011,FALSE),0)+IFERROR(VLOOKUP($A6,WSoftball!$C:$O,M$1-2011,FALSE),0)+IFERROR(VLOOKUP($A6,WVolleyball!$C:$O,M$1-2011,FALSE),0)</f>
        <v>549311</v>
      </c>
      <c r="N6">
        <f>IFERROR(VLOOKUP($A6,MBaseball!$C:$N,N$1-2010,FALSE),0)+IFERROR(VLOOKUP($A6,MBasketball!$C:$J,N$1-2006,FALSE),0)+IFERROR(VLOOKUP($A6,MFootball!$C:$O,N$1-2011,FALSE),0)+IFERROR(VLOOKUP($A6,MIceHockey!$C:$P,N$1-2011,FALSE),0)+IFERROR(VLOOKUP($A6,MLacrosse!$C:$O,N$1-2011,FALSE),0)+IFERROR(VLOOKUP($A6,MSoccer!$C:$O,N$1-2011,FALSE),0)+IFERROR(VLOOKUP($A6,MVolleyball!$C:$O,N$1-2011,FALSE),0)+IFERROR(VLOOKUP($A6,WBasketball!$C:$O,N$1-2011,FALSE),0)+IFERROR(VLOOKUP($A6,WFieldHockey!$C:$O,N$1-2011,FALSE),0)+IFERROR(VLOOKUP($A6,WIceHockey!$C:$O,N$1-2011,FALSE),0)+IFERROR(VLOOKUP($A6,WLacrosse!$C:$O,N$1-2011,FALSE),0)+IFERROR(VLOOKUP($A6,WSoccer!$C:$O,N$1-2011,FALSE),0)+IFERROR(VLOOKUP($A6,WSoftball!$C:$O,N$1-2011,FALSE),0)+IFERROR(VLOOKUP($A6,WVolleyball!$C:$O,N$1-2011,FALSE),0)</f>
        <v>473913</v>
      </c>
    </row>
    <row r="7" spans="1:15" x14ac:dyDescent="0.2">
      <c r="A7">
        <v>106397</v>
      </c>
      <c r="B7">
        <v>22220</v>
      </c>
      <c r="C7" t="s">
        <v>47</v>
      </c>
      <c r="D7">
        <v>6</v>
      </c>
      <c r="E7">
        <f>IFERROR(VLOOKUP($A7,MBaseball!$C:$N,E$1-2010,FALSE),0)+IFERROR(VLOOKUP($A7,MBasketball!$C:$J,E$1-2006,FALSE),0)+IFERROR(VLOOKUP($A7,MFootball!$C:$O,E$1-2011,FALSE),0)+IFERROR(VLOOKUP($A7,MIceHockey!$C:$P,E$1-2011,FALSE),0)+IFERROR(VLOOKUP($A7,MLacrosse!$C:$O,E$1-2011,FALSE),0)+IFERROR(VLOOKUP($A7,MSoccer!$C:$O,E$1-2011,FALSE),0)+IFERROR(VLOOKUP($A7,MVolleyball!$C:$O,E$1-2011,FALSE),0)+IFERROR(VLOOKUP($A7,WBasketball!$C:$O,E$1-2011,FALSE),0)+IFERROR(VLOOKUP($A7,WFieldHockey!$C:$O,E$1-2011,FALSE),0)+IFERROR(VLOOKUP($A7,WIceHockey!$C:$O,E$1-2011,FALSE),0)+IFERROR(VLOOKUP($A7,WLacrosse!$C:$O,E$1-2011,FALSE),0)+IFERROR(VLOOKUP($A7,WSoccer!$C:$O,E$1-2011,FALSE),0)+IFERROR(VLOOKUP($A7,WSoftball!$C:$O,E$1-2011,FALSE),0)+IFERROR(VLOOKUP($A7,WVolleyball!$C:$O,E$1-2011,FALSE),0)</f>
        <v>600648</v>
      </c>
      <c r="F7">
        <f>IFERROR(VLOOKUP($A7,MBaseball!$C:$N,F$1-2010,FALSE),0)+IFERROR(VLOOKUP($A7,MBasketball!$C:$J,F$1-2006,FALSE),0)+IFERROR(VLOOKUP($A7,MFootball!$C:$O,F$1-2011,FALSE),0)+IFERROR(VLOOKUP($A7,MIceHockey!$C:$P,F$1-2011,FALSE),0)+IFERROR(VLOOKUP($A7,MLacrosse!$C:$O,F$1-2011,FALSE),0)+IFERROR(VLOOKUP($A7,MSoccer!$C:$O,F$1-2011,FALSE),0)+IFERROR(VLOOKUP($A7,MVolleyball!$C:$O,F$1-2011,FALSE),0)+IFERROR(VLOOKUP($A7,WBasketball!$C:$O,F$1-2011,FALSE),0)+IFERROR(VLOOKUP($A7,WFieldHockey!$C:$O,F$1-2011,FALSE),0)+IFERROR(VLOOKUP($A7,WIceHockey!$C:$O,F$1-2011,FALSE),0)+IFERROR(VLOOKUP($A7,WLacrosse!$C:$O,F$1-2011,FALSE),0)+IFERROR(VLOOKUP($A7,WSoccer!$C:$O,F$1-2011,FALSE),0)+IFERROR(VLOOKUP($A7,WSoftball!$C:$O,F$1-2011,FALSE),0)+IFERROR(VLOOKUP($A7,WVolleyball!$C:$O,F$1-2011,FALSE),0)</f>
        <v>727530</v>
      </c>
      <c r="G7">
        <f>IFERROR(VLOOKUP($A7,MBaseball!$C:$N,G$1-2010,FALSE),0)+IFERROR(VLOOKUP($A7,MBasketball!$C:$J,G$1-2006,FALSE),0)+IFERROR(VLOOKUP($A7,MFootball!$C:$O,G$1-2011,FALSE),0)+IFERROR(VLOOKUP($A7,MIceHockey!$C:$P,G$1-2011,FALSE),0)+IFERROR(VLOOKUP($A7,MLacrosse!$C:$O,G$1-2011,FALSE),0)+IFERROR(VLOOKUP($A7,MSoccer!$C:$O,G$1-2011,FALSE),0)+IFERROR(VLOOKUP($A7,MVolleyball!$C:$O,G$1-2011,FALSE),0)+IFERROR(VLOOKUP($A7,WBasketball!$C:$O,G$1-2011,FALSE),0)+IFERROR(VLOOKUP($A7,WFieldHockey!$C:$O,G$1-2011,FALSE),0)+IFERROR(VLOOKUP($A7,WIceHockey!$C:$O,G$1-2011,FALSE),0)+IFERROR(VLOOKUP($A7,WLacrosse!$C:$O,G$1-2011,FALSE),0)+IFERROR(VLOOKUP($A7,WSoccer!$C:$O,G$1-2011,FALSE),0)+IFERROR(VLOOKUP($A7,WSoftball!$C:$O,G$1-2011,FALSE),0)+IFERROR(VLOOKUP($A7,WVolleyball!$C:$O,G$1-2011,FALSE),0)</f>
        <v>838742</v>
      </c>
      <c r="H7">
        <f>IFERROR(VLOOKUP($A7,MBaseball!$C:$N,H$1-2010,FALSE),0)+IFERROR(VLOOKUP($A7,MBasketball!$C:$J,H$1-2006,FALSE),0)+IFERROR(VLOOKUP($A7,MFootball!$C:$O,H$1-2011,FALSE),0)+IFERROR(VLOOKUP($A7,MIceHockey!$C:$P,H$1-2011,FALSE),0)+IFERROR(VLOOKUP($A7,MLacrosse!$C:$O,H$1-2011,FALSE),0)+IFERROR(VLOOKUP($A7,MSoccer!$C:$O,H$1-2011,FALSE),0)+IFERROR(VLOOKUP($A7,MVolleyball!$C:$O,H$1-2011,FALSE),0)+IFERROR(VLOOKUP($A7,WBasketball!$C:$O,H$1-2011,FALSE),0)+IFERROR(VLOOKUP($A7,WFieldHockey!$C:$O,H$1-2011,FALSE),0)+IFERROR(VLOOKUP($A7,WIceHockey!$C:$O,H$1-2011,FALSE),0)+IFERROR(VLOOKUP($A7,WLacrosse!$C:$O,H$1-2011,FALSE),0)+IFERROR(VLOOKUP($A7,WSoccer!$C:$O,H$1-2011,FALSE),0)+IFERROR(VLOOKUP($A7,WSoftball!$C:$O,H$1-2011,FALSE),0)+IFERROR(VLOOKUP($A7,WVolleyball!$C:$O,H$1-2011,FALSE),0)</f>
        <v>873969</v>
      </c>
      <c r="I7">
        <f>IFERROR(VLOOKUP($A7,MBaseball!$C:$N,I$1-2010,FALSE),0)+IFERROR(VLOOKUP($A7,MBasketball!$C:$J,I$1-2006,FALSE),0)+IFERROR(VLOOKUP($A7,MFootball!$C:$O,I$1-2011,FALSE),0)+IFERROR(VLOOKUP($A7,MIceHockey!$C:$P,I$1-2011,FALSE),0)+IFERROR(VLOOKUP($A7,MLacrosse!$C:$O,I$1-2011,FALSE),0)+IFERROR(VLOOKUP($A7,MSoccer!$C:$O,I$1-2011,FALSE),0)+IFERROR(VLOOKUP($A7,MVolleyball!$C:$O,I$1-2011,FALSE),0)+IFERROR(VLOOKUP($A7,WBasketball!$C:$O,I$1-2011,FALSE),0)+IFERROR(VLOOKUP($A7,WFieldHockey!$C:$O,I$1-2011,FALSE),0)+IFERROR(VLOOKUP($A7,WIceHockey!$C:$O,I$1-2011,FALSE),0)+IFERROR(VLOOKUP($A7,WLacrosse!$C:$O,I$1-2011,FALSE),0)+IFERROR(VLOOKUP($A7,WSoccer!$C:$O,I$1-2011,FALSE),0)+IFERROR(VLOOKUP($A7,WSoftball!$C:$O,I$1-2011,FALSE),0)+IFERROR(VLOOKUP($A7,WVolleyball!$C:$O,I$1-2011,FALSE),0)</f>
        <v>869648</v>
      </c>
      <c r="J7">
        <f>IFERROR(VLOOKUP($A7,MBaseball!$C:$N,J$1-2010,FALSE),0)+IFERROR(VLOOKUP($A7,MBasketball!$C:$J,J$1-2006,FALSE),0)+IFERROR(VLOOKUP($A7,MFootball!$C:$O,J$1-2011,FALSE),0)+IFERROR(VLOOKUP($A7,MIceHockey!$C:$P,J$1-2011,FALSE),0)+IFERROR(VLOOKUP($A7,MLacrosse!$C:$O,J$1-2011,FALSE),0)+IFERROR(VLOOKUP($A7,MSoccer!$C:$O,J$1-2011,FALSE),0)+IFERROR(VLOOKUP($A7,MVolleyball!$C:$O,J$1-2011,FALSE),0)+IFERROR(VLOOKUP($A7,WBasketball!$C:$O,J$1-2011,FALSE),0)+IFERROR(VLOOKUP($A7,WFieldHockey!$C:$O,J$1-2011,FALSE),0)+IFERROR(VLOOKUP($A7,WIceHockey!$C:$O,J$1-2011,FALSE),0)+IFERROR(VLOOKUP($A7,WLacrosse!$C:$O,J$1-2011,FALSE),0)+IFERROR(VLOOKUP($A7,WSoccer!$C:$O,J$1-2011,FALSE),0)+IFERROR(VLOOKUP($A7,WSoftball!$C:$O,J$1-2011,FALSE),0)+IFERROR(VLOOKUP($A7,WVolleyball!$C:$O,J$1-2011,FALSE),0)</f>
        <v>561064</v>
      </c>
      <c r="K7">
        <f>IFERROR(VLOOKUP($A7,MBaseball!$C:$N,K$1-2010,FALSE),0)+IFERROR(VLOOKUP($A7,MBasketball!$C:$J,K$1-2006,FALSE),0)+IFERROR(VLOOKUP($A7,MFootball!$C:$O,K$1-2011,FALSE),0)+IFERROR(VLOOKUP($A7,MIceHockey!$C:$P,K$1-2011,FALSE),0)+IFERROR(VLOOKUP($A7,MLacrosse!$C:$O,K$1-2011,FALSE),0)+IFERROR(VLOOKUP($A7,MSoccer!$C:$O,K$1-2011,FALSE),0)+IFERROR(VLOOKUP($A7,MVolleyball!$C:$O,K$1-2011,FALSE),0)+IFERROR(VLOOKUP($A7,WBasketball!$C:$O,K$1-2011,FALSE),0)+IFERROR(VLOOKUP($A7,WFieldHockey!$C:$O,K$1-2011,FALSE),0)+IFERROR(VLOOKUP($A7,WIceHockey!$C:$O,K$1-2011,FALSE),0)+IFERROR(VLOOKUP($A7,WLacrosse!$C:$O,K$1-2011,FALSE),0)+IFERROR(VLOOKUP($A7,WSoccer!$C:$O,K$1-2011,FALSE),0)+IFERROR(VLOOKUP($A7,WSoftball!$C:$O,K$1-2011,FALSE),0)+IFERROR(VLOOKUP($A7,WVolleyball!$C:$O,K$1-2011,FALSE),0)</f>
        <v>708120</v>
      </c>
      <c r="L7">
        <f>IFERROR(VLOOKUP($A7,MBaseball!$C:$N,L$1-2010,FALSE),0)+IFERROR(VLOOKUP($A7,MBasketball!$C:$J,L$1-2006,FALSE),0)+IFERROR(VLOOKUP($A7,MFootball!$C:$O,L$1-2011,FALSE),0)+IFERROR(VLOOKUP($A7,MIceHockey!$C:$P,L$1-2011,FALSE),0)+IFERROR(VLOOKUP($A7,MLacrosse!$C:$O,L$1-2011,FALSE),0)+IFERROR(VLOOKUP($A7,MSoccer!$C:$O,L$1-2011,FALSE),0)+IFERROR(VLOOKUP($A7,MVolleyball!$C:$O,L$1-2011,FALSE),0)+IFERROR(VLOOKUP($A7,WBasketball!$C:$O,L$1-2011,FALSE),0)+IFERROR(VLOOKUP($A7,WFieldHockey!$C:$O,L$1-2011,FALSE),0)+IFERROR(VLOOKUP($A7,WIceHockey!$C:$O,L$1-2011,FALSE),0)+IFERROR(VLOOKUP($A7,WLacrosse!$C:$O,L$1-2011,FALSE),0)+IFERROR(VLOOKUP($A7,WSoccer!$C:$O,L$1-2011,FALSE),0)+IFERROR(VLOOKUP($A7,WSoftball!$C:$O,L$1-2011,FALSE),0)+IFERROR(VLOOKUP($A7,WVolleyball!$C:$O,L$1-2011,FALSE),0)</f>
        <v>513514</v>
      </c>
      <c r="M7">
        <f>IFERROR(VLOOKUP($A7,MBaseball!$C:$N,M$1-2010,FALSE),0)+IFERROR(VLOOKUP($A7,MBasketball!$C:$J,M$1-2006,FALSE),0)+IFERROR(VLOOKUP($A7,MFootball!$C:$O,M$1-2011,FALSE),0)+IFERROR(VLOOKUP($A7,MIceHockey!$C:$P,M$1-2011,FALSE),0)+IFERROR(VLOOKUP($A7,MLacrosse!$C:$O,M$1-2011,FALSE),0)+IFERROR(VLOOKUP($A7,MSoccer!$C:$O,M$1-2011,FALSE),0)+IFERROR(VLOOKUP($A7,MVolleyball!$C:$O,M$1-2011,FALSE),0)+IFERROR(VLOOKUP($A7,WBasketball!$C:$O,M$1-2011,FALSE),0)+IFERROR(VLOOKUP($A7,WFieldHockey!$C:$O,M$1-2011,FALSE),0)+IFERROR(VLOOKUP($A7,WIceHockey!$C:$O,M$1-2011,FALSE),0)+IFERROR(VLOOKUP($A7,WLacrosse!$C:$O,M$1-2011,FALSE),0)+IFERROR(VLOOKUP($A7,WSoccer!$C:$O,M$1-2011,FALSE),0)+IFERROR(VLOOKUP($A7,WSoftball!$C:$O,M$1-2011,FALSE),0)+IFERROR(VLOOKUP($A7,WVolleyball!$C:$O,M$1-2011,FALSE),0)</f>
        <v>979098</v>
      </c>
      <c r="N7">
        <f>IFERROR(VLOOKUP($A7,MBaseball!$C:$N,N$1-2010,FALSE),0)+IFERROR(VLOOKUP($A7,MBasketball!$C:$J,N$1-2006,FALSE),0)+IFERROR(VLOOKUP($A7,MFootball!$C:$O,N$1-2011,FALSE),0)+IFERROR(VLOOKUP($A7,MIceHockey!$C:$P,N$1-2011,FALSE),0)+IFERROR(VLOOKUP($A7,MLacrosse!$C:$O,N$1-2011,FALSE),0)+IFERROR(VLOOKUP($A7,MSoccer!$C:$O,N$1-2011,FALSE),0)+IFERROR(VLOOKUP($A7,MVolleyball!$C:$O,N$1-2011,FALSE),0)+IFERROR(VLOOKUP($A7,WBasketball!$C:$O,N$1-2011,FALSE),0)+IFERROR(VLOOKUP($A7,WFieldHockey!$C:$O,N$1-2011,FALSE),0)+IFERROR(VLOOKUP($A7,WIceHockey!$C:$O,N$1-2011,FALSE),0)+IFERROR(VLOOKUP($A7,WLacrosse!$C:$O,N$1-2011,FALSE),0)+IFERROR(VLOOKUP($A7,WSoccer!$C:$O,N$1-2011,FALSE),0)+IFERROR(VLOOKUP($A7,WSoftball!$C:$O,N$1-2011,FALSE),0)+IFERROR(VLOOKUP($A7,WVolleyball!$C:$O,N$1-2011,FALSE),0)</f>
        <v>713356</v>
      </c>
    </row>
    <row r="8" spans="1:15" x14ac:dyDescent="0.2">
      <c r="A8">
        <v>100858</v>
      </c>
      <c r="B8">
        <v>12220</v>
      </c>
      <c r="C8" t="s">
        <v>51</v>
      </c>
      <c r="D8">
        <v>7</v>
      </c>
      <c r="E8">
        <f>IFERROR(VLOOKUP($A8,MBaseball!$C:$N,E$1-2010,FALSE),0)+IFERROR(VLOOKUP($A8,MBasketball!$C:$J,E$1-2006,FALSE),0)+IFERROR(VLOOKUP($A8,MFootball!$C:$O,E$1-2011,FALSE),0)+IFERROR(VLOOKUP($A8,MIceHockey!$C:$P,E$1-2011,FALSE),0)+IFERROR(VLOOKUP($A8,MLacrosse!$C:$O,E$1-2011,FALSE),0)+IFERROR(VLOOKUP($A8,MSoccer!$C:$O,E$1-2011,FALSE),0)+IFERROR(VLOOKUP($A8,MVolleyball!$C:$O,E$1-2011,FALSE),0)+IFERROR(VLOOKUP($A8,WBasketball!$C:$O,E$1-2011,FALSE),0)+IFERROR(VLOOKUP($A8,WFieldHockey!$C:$O,E$1-2011,FALSE),0)+IFERROR(VLOOKUP($A8,WIceHockey!$C:$O,E$1-2011,FALSE),0)+IFERROR(VLOOKUP($A8,WLacrosse!$C:$O,E$1-2011,FALSE),0)+IFERROR(VLOOKUP($A8,WSoccer!$C:$O,E$1-2011,FALSE),0)+IFERROR(VLOOKUP($A8,WSoftball!$C:$O,E$1-2011,FALSE),0)+IFERROR(VLOOKUP($A8,WVolleyball!$C:$O,E$1-2011,FALSE),0)</f>
        <v>287541</v>
      </c>
      <c r="F8">
        <f>IFERROR(VLOOKUP($A8,MBaseball!$C:$N,F$1-2010,FALSE),0)+IFERROR(VLOOKUP($A8,MBasketball!$C:$J,F$1-2006,FALSE),0)+IFERROR(VLOOKUP($A8,MFootball!$C:$O,F$1-2011,FALSE),0)+IFERROR(VLOOKUP($A8,MIceHockey!$C:$P,F$1-2011,FALSE),0)+IFERROR(VLOOKUP($A8,MLacrosse!$C:$O,F$1-2011,FALSE),0)+IFERROR(VLOOKUP($A8,MSoccer!$C:$O,F$1-2011,FALSE),0)+IFERROR(VLOOKUP($A8,MVolleyball!$C:$O,F$1-2011,FALSE),0)+IFERROR(VLOOKUP($A8,WBasketball!$C:$O,F$1-2011,FALSE),0)+IFERROR(VLOOKUP($A8,WFieldHockey!$C:$O,F$1-2011,FALSE),0)+IFERROR(VLOOKUP($A8,WIceHockey!$C:$O,F$1-2011,FALSE),0)+IFERROR(VLOOKUP($A8,WLacrosse!$C:$O,F$1-2011,FALSE),0)+IFERROR(VLOOKUP($A8,WSoccer!$C:$O,F$1-2011,FALSE),0)+IFERROR(VLOOKUP($A8,WSoftball!$C:$O,F$1-2011,FALSE),0)+IFERROR(VLOOKUP($A8,WVolleyball!$C:$O,F$1-2011,FALSE),0)</f>
        <v>752553</v>
      </c>
      <c r="G8">
        <f>IFERROR(VLOOKUP($A8,MBaseball!$C:$N,G$1-2010,FALSE),0)+IFERROR(VLOOKUP($A8,MBasketball!$C:$J,G$1-2006,FALSE),0)+IFERROR(VLOOKUP($A8,MFootball!$C:$O,G$1-2011,FALSE),0)+IFERROR(VLOOKUP($A8,MIceHockey!$C:$P,G$1-2011,FALSE),0)+IFERROR(VLOOKUP($A8,MLacrosse!$C:$O,G$1-2011,FALSE),0)+IFERROR(VLOOKUP($A8,MSoccer!$C:$O,G$1-2011,FALSE),0)+IFERROR(VLOOKUP($A8,MVolleyball!$C:$O,G$1-2011,FALSE),0)+IFERROR(VLOOKUP($A8,WBasketball!$C:$O,G$1-2011,FALSE),0)+IFERROR(VLOOKUP($A8,WFieldHockey!$C:$O,G$1-2011,FALSE),0)+IFERROR(VLOOKUP($A8,WIceHockey!$C:$O,G$1-2011,FALSE),0)+IFERROR(VLOOKUP($A8,WLacrosse!$C:$O,G$1-2011,FALSE),0)+IFERROR(VLOOKUP($A8,WSoccer!$C:$O,G$1-2011,FALSE),0)+IFERROR(VLOOKUP($A8,WSoftball!$C:$O,G$1-2011,FALSE),0)+IFERROR(VLOOKUP($A8,WVolleyball!$C:$O,G$1-2011,FALSE),0)</f>
        <v>836436</v>
      </c>
      <c r="H8">
        <f>IFERROR(VLOOKUP($A8,MBaseball!$C:$N,H$1-2010,FALSE),0)+IFERROR(VLOOKUP($A8,MBasketball!$C:$J,H$1-2006,FALSE),0)+IFERROR(VLOOKUP($A8,MFootball!$C:$O,H$1-2011,FALSE),0)+IFERROR(VLOOKUP($A8,MIceHockey!$C:$P,H$1-2011,FALSE),0)+IFERROR(VLOOKUP($A8,MLacrosse!$C:$O,H$1-2011,FALSE),0)+IFERROR(VLOOKUP($A8,MSoccer!$C:$O,H$1-2011,FALSE),0)+IFERROR(VLOOKUP($A8,MVolleyball!$C:$O,H$1-2011,FALSE),0)+IFERROR(VLOOKUP($A8,WBasketball!$C:$O,H$1-2011,FALSE),0)+IFERROR(VLOOKUP($A8,WFieldHockey!$C:$O,H$1-2011,FALSE),0)+IFERROR(VLOOKUP($A8,WIceHockey!$C:$O,H$1-2011,FALSE),0)+IFERROR(VLOOKUP($A8,WLacrosse!$C:$O,H$1-2011,FALSE),0)+IFERROR(VLOOKUP($A8,WSoccer!$C:$O,H$1-2011,FALSE),0)+IFERROR(VLOOKUP($A8,WSoftball!$C:$O,H$1-2011,FALSE),0)+IFERROR(VLOOKUP($A8,WVolleyball!$C:$O,H$1-2011,FALSE),0)</f>
        <v>928704</v>
      </c>
      <c r="I8">
        <f>IFERROR(VLOOKUP($A8,MBaseball!$C:$N,I$1-2010,FALSE),0)+IFERROR(VLOOKUP($A8,MBasketball!$C:$J,I$1-2006,FALSE),0)+IFERROR(VLOOKUP($A8,MFootball!$C:$O,I$1-2011,FALSE),0)+IFERROR(VLOOKUP($A8,MIceHockey!$C:$P,I$1-2011,FALSE),0)+IFERROR(VLOOKUP($A8,MLacrosse!$C:$O,I$1-2011,FALSE),0)+IFERROR(VLOOKUP($A8,MSoccer!$C:$O,I$1-2011,FALSE),0)+IFERROR(VLOOKUP($A8,MVolleyball!$C:$O,I$1-2011,FALSE),0)+IFERROR(VLOOKUP($A8,WBasketball!$C:$O,I$1-2011,FALSE),0)+IFERROR(VLOOKUP($A8,WFieldHockey!$C:$O,I$1-2011,FALSE),0)+IFERROR(VLOOKUP($A8,WIceHockey!$C:$O,I$1-2011,FALSE),0)+IFERROR(VLOOKUP($A8,WLacrosse!$C:$O,I$1-2011,FALSE),0)+IFERROR(VLOOKUP($A8,WSoccer!$C:$O,I$1-2011,FALSE),0)+IFERROR(VLOOKUP($A8,WSoftball!$C:$O,I$1-2011,FALSE),0)+IFERROR(VLOOKUP($A8,WVolleyball!$C:$O,I$1-2011,FALSE),0)</f>
        <v>818089</v>
      </c>
      <c r="J8">
        <f>IFERROR(VLOOKUP($A8,MBaseball!$C:$N,J$1-2010,FALSE),0)+IFERROR(VLOOKUP($A8,MBasketball!$C:$J,J$1-2006,FALSE),0)+IFERROR(VLOOKUP($A8,MFootball!$C:$O,J$1-2011,FALSE),0)+IFERROR(VLOOKUP($A8,MIceHockey!$C:$P,J$1-2011,FALSE),0)+IFERROR(VLOOKUP($A8,MLacrosse!$C:$O,J$1-2011,FALSE),0)+IFERROR(VLOOKUP($A8,MSoccer!$C:$O,J$1-2011,FALSE),0)+IFERROR(VLOOKUP($A8,MVolleyball!$C:$O,J$1-2011,FALSE),0)+IFERROR(VLOOKUP($A8,WBasketball!$C:$O,J$1-2011,FALSE),0)+IFERROR(VLOOKUP($A8,WFieldHockey!$C:$O,J$1-2011,FALSE),0)+IFERROR(VLOOKUP($A8,WIceHockey!$C:$O,J$1-2011,FALSE),0)+IFERROR(VLOOKUP($A8,WLacrosse!$C:$O,J$1-2011,FALSE),0)+IFERROR(VLOOKUP($A8,WSoccer!$C:$O,J$1-2011,FALSE),0)+IFERROR(VLOOKUP($A8,WSoftball!$C:$O,J$1-2011,FALSE),0)+IFERROR(VLOOKUP($A8,WVolleyball!$C:$O,J$1-2011,FALSE),0)</f>
        <v>747785</v>
      </c>
      <c r="K8">
        <f>IFERROR(VLOOKUP($A8,MBaseball!$C:$N,K$1-2010,FALSE),0)+IFERROR(VLOOKUP($A8,MBasketball!$C:$J,K$1-2006,FALSE),0)+IFERROR(VLOOKUP($A8,MFootball!$C:$O,K$1-2011,FALSE),0)+IFERROR(VLOOKUP($A8,MIceHockey!$C:$P,K$1-2011,FALSE),0)+IFERROR(VLOOKUP($A8,MLacrosse!$C:$O,K$1-2011,FALSE),0)+IFERROR(VLOOKUP($A8,MSoccer!$C:$O,K$1-2011,FALSE),0)+IFERROR(VLOOKUP($A8,MVolleyball!$C:$O,K$1-2011,FALSE),0)+IFERROR(VLOOKUP($A8,WBasketball!$C:$O,K$1-2011,FALSE),0)+IFERROR(VLOOKUP($A8,WFieldHockey!$C:$O,K$1-2011,FALSE),0)+IFERROR(VLOOKUP($A8,WIceHockey!$C:$O,K$1-2011,FALSE),0)+IFERROR(VLOOKUP($A8,WLacrosse!$C:$O,K$1-2011,FALSE),0)+IFERROR(VLOOKUP($A8,WSoccer!$C:$O,K$1-2011,FALSE),0)+IFERROR(VLOOKUP($A8,WSoftball!$C:$O,K$1-2011,FALSE),0)+IFERROR(VLOOKUP($A8,WVolleyball!$C:$O,K$1-2011,FALSE),0)</f>
        <v>689096</v>
      </c>
      <c r="L8">
        <f>IFERROR(VLOOKUP($A8,MBaseball!$C:$N,L$1-2010,FALSE),0)+IFERROR(VLOOKUP($A8,MBasketball!$C:$J,L$1-2006,FALSE),0)+IFERROR(VLOOKUP($A8,MFootball!$C:$O,L$1-2011,FALSE),0)+IFERROR(VLOOKUP($A8,MIceHockey!$C:$P,L$1-2011,FALSE),0)+IFERROR(VLOOKUP($A8,MLacrosse!$C:$O,L$1-2011,FALSE),0)+IFERROR(VLOOKUP($A8,MSoccer!$C:$O,L$1-2011,FALSE),0)+IFERROR(VLOOKUP($A8,MVolleyball!$C:$O,L$1-2011,FALSE),0)+IFERROR(VLOOKUP($A8,WBasketball!$C:$O,L$1-2011,FALSE),0)+IFERROR(VLOOKUP($A8,WFieldHockey!$C:$O,L$1-2011,FALSE),0)+IFERROR(VLOOKUP($A8,WIceHockey!$C:$O,L$1-2011,FALSE),0)+IFERROR(VLOOKUP($A8,WLacrosse!$C:$O,L$1-2011,FALSE),0)+IFERROR(VLOOKUP($A8,WSoccer!$C:$O,L$1-2011,FALSE),0)+IFERROR(VLOOKUP($A8,WSoftball!$C:$O,L$1-2011,FALSE),0)+IFERROR(VLOOKUP($A8,WVolleyball!$C:$O,L$1-2011,FALSE),0)</f>
        <v>232635</v>
      </c>
      <c r="M8">
        <f>IFERROR(VLOOKUP($A8,MBaseball!$C:$N,M$1-2010,FALSE),0)+IFERROR(VLOOKUP($A8,MBasketball!$C:$J,M$1-2006,FALSE),0)+IFERROR(VLOOKUP($A8,MFootball!$C:$O,M$1-2011,FALSE),0)+IFERROR(VLOOKUP($A8,MIceHockey!$C:$P,M$1-2011,FALSE),0)+IFERROR(VLOOKUP($A8,MLacrosse!$C:$O,M$1-2011,FALSE),0)+IFERROR(VLOOKUP($A8,MSoccer!$C:$O,M$1-2011,FALSE),0)+IFERROR(VLOOKUP($A8,MVolleyball!$C:$O,M$1-2011,FALSE),0)+IFERROR(VLOOKUP($A8,WBasketball!$C:$O,M$1-2011,FALSE),0)+IFERROR(VLOOKUP($A8,WFieldHockey!$C:$O,M$1-2011,FALSE),0)+IFERROR(VLOOKUP($A8,WIceHockey!$C:$O,M$1-2011,FALSE),0)+IFERROR(VLOOKUP($A8,WLacrosse!$C:$O,M$1-2011,FALSE),0)+IFERROR(VLOOKUP($A8,WSoccer!$C:$O,M$1-2011,FALSE),0)+IFERROR(VLOOKUP($A8,WSoftball!$C:$O,M$1-2011,FALSE),0)+IFERROR(VLOOKUP($A8,WVolleyball!$C:$O,M$1-2011,FALSE),0)</f>
        <v>835659</v>
      </c>
      <c r="N8">
        <f>IFERROR(VLOOKUP($A8,MBaseball!$C:$N,N$1-2010,FALSE),0)+IFERROR(VLOOKUP($A8,MBasketball!$C:$J,N$1-2006,FALSE),0)+IFERROR(VLOOKUP($A8,MFootball!$C:$O,N$1-2011,FALSE),0)+IFERROR(VLOOKUP($A8,MIceHockey!$C:$P,N$1-2011,FALSE),0)+IFERROR(VLOOKUP($A8,MLacrosse!$C:$O,N$1-2011,FALSE),0)+IFERROR(VLOOKUP($A8,MSoccer!$C:$O,N$1-2011,FALSE),0)+IFERROR(VLOOKUP($A8,MVolleyball!$C:$O,N$1-2011,FALSE),0)+IFERROR(VLOOKUP($A8,WBasketball!$C:$O,N$1-2011,FALSE),0)+IFERROR(VLOOKUP($A8,WFieldHockey!$C:$O,N$1-2011,FALSE),0)+IFERROR(VLOOKUP($A8,WIceHockey!$C:$O,N$1-2011,FALSE),0)+IFERROR(VLOOKUP($A8,WLacrosse!$C:$O,N$1-2011,FALSE),0)+IFERROR(VLOOKUP($A8,WSoccer!$C:$O,N$1-2011,FALSE),0)+IFERROR(VLOOKUP($A8,WSoftball!$C:$O,N$1-2011,FALSE),0)+IFERROR(VLOOKUP($A8,WVolleyball!$C:$O,N$1-2011,FALSE),0)</f>
        <v>798867</v>
      </c>
    </row>
    <row r="9" spans="1:15" x14ac:dyDescent="0.2">
      <c r="A9">
        <v>219602</v>
      </c>
      <c r="B9">
        <v>17300</v>
      </c>
      <c r="C9" t="s">
        <v>52</v>
      </c>
      <c r="D9">
        <v>8</v>
      </c>
      <c r="E9">
        <f>IFERROR(VLOOKUP($A9,MBaseball!$C:$N,E$1-2010,FALSE),0)+IFERROR(VLOOKUP($A9,MBasketball!$C:$J,E$1-2006,FALSE),0)+IFERROR(VLOOKUP($A9,MFootball!$C:$O,E$1-2011,FALSE),0)+IFERROR(VLOOKUP($A9,MIceHockey!$C:$P,E$1-2011,FALSE),0)+IFERROR(VLOOKUP($A9,MLacrosse!$C:$O,E$1-2011,FALSE),0)+IFERROR(VLOOKUP($A9,MSoccer!$C:$O,E$1-2011,FALSE),0)+IFERROR(VLOOKUP($A9,MVolleyball!$C:$O,E$1-2011,FALSE),0)+IFERROR(VLOOKUP($A9,WBasketball!$C:$O,E$1-2011,FALSE),0)+IFERROR(VLOOKUP($A9,WFieldHockey!$C:$O,E$1-2011,FALSE),0)+IFERROR(VLOOKUP($A9,WIceHockey!$C:$O,E$1-2011,FALSE),0)+IFERROR(VLOOKUP($A9,WLacrosse!$C:$O,E$1-2011,FALSE),0)+IFERROR(VLOOKUP($A9,WSoccer!$C:$O,E$1-2011,FALSE),0)+IFERROR(VLOOKUP($A9,WSoftball!$C:$O,E$1-2011,FALSE),0)+IFERROR(VLOOKUP($A9,WVolleyball!$C:$O,E$1-2011,FALSE),0)</f>
        <v>48432</v>
      </c>
      <c r="F9">
        <f>IFERROR(VLOOKUP($A9,MBaseball!$C:$N,F$1-2010,FALSE),0)+IFERROR(VLOOKUP($A9,MBasketball!$C:$J,F$1-2006,FALSE),0)+IFERROR(VLOOKUP($A9,MFootball!$C:$O,F$1-2011,FALSE),0)+IFERROR(VLOOKUP($A9,MIceHockey!$C:$P,F$1-2011,FALSE),0)+IFERROR(VLOOKUP($A9,MLacrosse!$C:$O,F$1-2011,FALSE),0)+IFERROR(VLOOKUP($A9,MSoccer!$C:$O,F$1-2011,FALSE),0)+IFERROR(VLOOKUP($A9,MVolleyball!$C:$O,F$1-2011,FALSE),0)+IFERROR(VLOOKUP($A9,WBasketball!$C:$O,F$1-2011,FALSE),0)+IFERROR(VLOOKUP($A9,WFieldHockey!$C:$O,F$1-2011,FALSE),0)+IFERROR(VLOOKUP($A9,WIceHockey!$C:$O,F$1-2011,FALSE),0)+IFERROR(VLOOKUP($A9,WLacrosse!$C:$O,F$1-2011,FALSE),0)+IFERROR(VLOOKUP($A9,WSoccer!$C:$O,F$1-2011,FALSE),0)+IFERROR(VLOOKUP($A9,WSoftball!$C:$O,F$1-2011,FALSE),0)+IFERROR(VLOOKUP($A9,WVolleyball!$C:$O,F$1-2011,FALSE),0)</f>
        <v>49415</v>
      </c>
      <c r="G9">
        <f>IFERROR(VLOOKUP($A9,MBaseball!$C:$N,G$1-2010,FALSE),0)+IFERROR(VLOOKUP($A9,MBasketball!$C:$J,G$1-2006,FALSE),0)+IFERROR(VLOOKUP($A9,MFootball!$C:$O,G$1-2011,FALSE),0)+IFERROR(VLOOKUP($A9,MIceHockey!$C:$P,G$1-2011,FALSE),0)+IFERROR(VLOOKUP($A9,MLacrosse!$C:$O,G$1-2011,FALSE),0)+IFERROR(VLOOKUP($A9,MSoccer!$C:$O,G$1-2011,FALSE),0)+IFERROR(VLOOKUP($A9,MVolleyball!$C:$O,G$1-2011,FALSE),0)+IFERROR(VLOOKUP($A9,WBasketball!$C:$O,G$1-2011,FALSE),0)+IFERROR(VLOOKUP($A9,WFieldHockey!$C:$O,G$1-2011,FALSE),0)+IFERROR(VLOOKUP($A9,WIceHockey!$C:$O,G$1-2011,FALSE),0)+IFERROR(VLOOKUP($A9,WLacrosse!$C:$O,G$1-2011,FALSE),0)+IFERROR(VLOOKUP($A9,WSoccer!$C:$O,G$1-2011,FALSE),0)+IFERROR(VLOOKUP($A9,WSoftball!$C:$O,G$1-2011,FALSE),0)+IFERROR(VLOOKUP($A9,WVolleyball!$C:$O,G$1-2011,FALSE),0)</f>
        <v>51183</v>
      </c>
      <c r="H9">
        <f>IFERROR(VLOOKUP($A9,MBaseball!$C:$N,H$1-2010,FALSE),0)+IFERROR(VLOOKUP($A9,MBasketball!$C:$J,H$1-2006,FALSE),0)+IFERROR(VLOOKUP($A9,MFootball!$C:$O,H$1-2011,FALSE),0)+IFERROR(VLOOKUP($A9,MIceHockey!$C:$P,H$1-2011,FALSE),0)+IFERROR(VLOOKUP($A9,MLacrosse!$C:$O,H$1-2011,FALSE),0)+IFERROR(VLOOKUP($A9,MSoccer!$C:$O,H$1-2011,FALSE),0)+IFERROR(VLOOKUP($A9,MVolleyball!$C:$O,H$1-2011,FALSE),0)+IFERROR(VLOOKUP($A9,WBasketball!$C:$O,H$1-2011,FALSE),0)+IFERROR(VLOOKUP($A9,WFieldHockey!$C:$O,H$1-2011,FALSE),0)+IFERROR(VLOOKUP($A9,WIceHockey!$C:$O,H$1-2011,FALSE),0)+IFERROR(VLOOKUP($A9,WLacrosse!$C:$O,H$1-2011,FALSE),0)+IFERROR(VLOOKUP($A9,WSoccer!$C:$O,H$1-2011,FALSE),0)+IFERROR(VLOOKUP($A9,WSoftball!$C:$O,H$1-2011,FALSE),0)+IFERROR(VLOOKUP($A9,WVolleyball!$C:$O,H$1-2011,FALSE),0)</f>
        <v>70648</v>
      </c>
      <c r="I9">
        <f>IFERROR(VLOOKUP($A9,MBaseball!$C:$N,I$1-2010,FALSE),0)+IFERROR(VLOOKUP($A9,MBasketball!$C:$J,I$1-2006,FALSE),0)+IFERROR(VLOOKUP($A9,MFootball!$C:$O,I$1-2011,FALSE),0)+IFERROR(VLOOKUP($A9,MIceHockey!$C:$P,I$1-2011,FALSE),0)+IFERROR(VLOOKUP($A9,MLacrosse!$C:$O,I$1-2011,FALSE),0)+IFERROR(VLOOKUP($A9,MSoccer!$C:$O,I$1-2011,FALSE),0)+IFERROR(VLOOKUP($A9,MVolleyball!$C:$O,I$1-2011,FALSE),0)+IFERROR(VLOOKUP($A9,WBasketball!$C:$O,I$1-2011,FALSE),0)+IFERROR(VLOOKUP($A9,WFieldHockey!$C:$O,I$1-2011,FALSE),0)+IFERROR(VLOOKUP($A9,WIceHockey!$C:$O,I$1-2011,FALSE),0)+IFERROR(VLOOKUP($A9,WLacrosse!$C:$O,I$1-2011,FALSE),0)+IFERROR(VLOOKUP($A9,WSoccer!$C:$O,I$1-2011,FALSE),0)+IFERROR(VLOOKUP($A9,WSoftball!$C:$O,I$1-2011,FALSE),0)+IFERROR(VLOOKUP($A9,WVolleyball!$C:$O,I$1-2011,FALSE),0)</f>
        <v>65620</v>
      </c>
      <c r="J9">
        <f>IFERROR(VLOOKUP($A9,MBaseball!$C:$N,J$1-2010,FALSE),0)+IFERROR(VLOOKUP($A9,MBasketball!$C:$J,J$1-2006,FALSE),0)+IFERROR(VLOOKUP($A9,MFootball!$C:$O,J$1-2011,FALSE),0)+IFERROR(VLOOKUP($A9,MIceHockey!$C:$P,J$1-2011,FALSE),0)+IFERROR(VLOOKUP($A9,MLacrosse!$C:$O,J$1-2011,FALSE),0)+IFERROR(VLOOKUP($A9,MSoccer!$C:$O,J$1-2011,FALSE),0)+IFERROR(VLOOKUP($A9,MVolleyball!$C:$O,J$1-2011,FALSE),0)+IFERROR(VLOOKUP($A9,WBasketball!$C:$O,J$1-2011,FALSE),0)+IFERROR(VLOOKUP($A9,WFieldHockey!$C:$O,J$1-2011,FALSE),0)+IFERROR(VLOOKUP($A9,WIceHockey!$C:$O,J$1-2011,FALSE),0)+IFERROR(VLOOKUP($A9,WLacrosse!$C:$O,J$1-2011,FALSE),0)+IFERROR(VLOOKUP($A9,WSoccer!$C:$O,J$1-2011,FALSE),0)+IFERROR(VLOOKUP($A9,WSoftball!$C:$O,J$1-2011,FALSE),0)+IFERROR(VLOOKUP($A9,WVolleyball!$C:$O,J$1-2011,FALSE),0)</f>
        <v>55620</v>
      </c>
      <c r="K9">
        <f>IFERROR(VLOOKUP($A9,MBaseball!$C:$N,K$1-2010,FALSE),0)+IFERROR(VLOOKUP($A9,MBasketball!$C:$J,K$1-2006,FALSE),0)+IFERROR(VLOOKUP($A9,MFootball!$C:$O,K$1-2011,FALSE),0)+IFERROR(VLOOKUP($A9,MIceHockey!$C:$P,K$1-2011,FALSE),0)+IFERROR(VLOOKUP($A9,MLacrosse!$C:$O,K$1-2011,FALSE),0)+IFERROR(VLOOKUP($A9,MSoccer!$C:$O,K$1-2011,FALSE),0)+IFERROR(VLOOKUP($A9,MVolleyball!$C:$O,K$1-2011,FALSE),0)+IFERROR(VLOOKUP($A9,WBasketball!$C:$O,K$1-2011,FALSE),0)+IFERROR(VLOOKUP($A9,WFieldHockey!$C:$O,K$1-2011,FALSE),0)+IFERROR(VLOOKUP($A9,WIceHockey!$C:$O,K$1-2011,FALSE),0)+IFERROR(VLOOKUP($A9,WLacrosse!$C:$O,K$1-2011,FALSE),0)+IFERROR(VLOOKUP($A9,WSoccer!$C:$O,K$1-2011,FALSE),0)+IFERROR(VLOOKUP($A9,WSoftball!$C:$O,K$1-2011,FALSE),0)+IFERROR(VLOOKUP($A9,WVolleyball!$C:$O,K$1-2011,FALSE),0)</f>
        <v>63504</v>
      </c>
      <c r="L9">
        <f>IFERROR(VLOOKUP($A9,MBaseball!$C:$N,L$1-2010,FALSE),0)+IFERROR(VLOOKUP($A9,MBasketball!$C:$J,L$1-2006,FALSE),0)+IFERROR(VLOOKUP($A9,MFootball!$C:$O,L$1-2011,FALSE),0)+IFERROR(VLOOKUP($A9,MIceHockey!$C:$P,L$1-2011,FALSE),0)+IFERROR(VLOOKUP($A9,MLacrosse!$C:$O,L$1-2011,FALSE),0)+IFERROR(VLOOKUP($A9,MSoccer!$C:$O,L$1-2011,FALSE),0)+IFERROR(VLOOKUP($A9,MVolleyball!$C:$O,L$1-2011,FALSE),0)+IFERROR(VLOOKUP($A9,WBasketball!$C:$O,L$1-2011,FALSE),0)+IFERROR(VLOOKUP($A9,WFieldHockey!$C:$O,L$1-2011,FALSE),0)+IFERROR(VLOOKUP($A9,WIceHockey!$C:$O,L$1-2011,FALSE),0)+IFERROR(VLOOKUP($A9,WLacrosse!$C:$O,L$1-2011,FALSE),0)+IFERROR(VLOOKUP($A9,WSoccer!$C:$O,L$1-2011,FALSE),0)+IFERROR(VLOOKUP($A9,WSoftball!$C:$O,L$1-2011,FALSE),0)+IFERROR(VLOOKUP($A9,WVolleyball!$C:$O,L$1-2011,FALSE),0)</f>
        <v>17790</v>
      </c>
      <c r="M9">
        <f>IFERROR(VLOOKUP($A9,MBaseball!$C:$N,M$1-2010,FALSE),0)+IFERROR(VLOOKUP($A9,MBasketball!$C:$J,M$1-2006,FALSE),0)+IFERROR(VLOOKUP($A9,MFootball!$C:$O,M$1-2011,FALSE),0)+IFERROR(VLOOKUP($A9,MIceHockey!$C:$P,M$1-2011,FALSE),0)+IFERROR(VLOOKUP($A9,MLacrosse!$C:$O,M$1-2011,FALSE),0)+IFERROR(VLOOKUP($A9,MSoccer!$C:$O,M$1-2011,FALSE),0)+IFERROR(VLOOKUP($A9,MVolleyball!$C:$O,M$1-2011,FALSE),0)+IFERROR(VLOOKUP($A9,WBasketball!$C:$O,M$1-2011,FALSE),0)+IFERROR(VLOOKUP($A9,WFieldHockey!$C:$O,M$1-2011,FALSE),0)+IFERROR(VLOOKUP($A9,WIceHockey!$C:$O,M$1-2011,FALSE),0)+IFERROR(VLOOKUP($A9,WLacrosse!$C:$O,M$1-2011,FALSE),0)+IFERROR(VLOOKUP($A9,WSoccer!$C:$O,M$1-2011,FALSE),0)+IFERROR(VLOOKUP($A9,WSoftball!$C:$O,M$1-2011,FALSE),0)+IFERROR(VLOOKUP($A9,WVolleyball!$C:$O,M$1-2011,FALSE),0)</f>
        <v>50013</v>
      </c>
      <c r="N9">
        <f>IFERROR(VLOOKUP($A9,MBaseball!$C:$N,N$1-2010,FALSE),0)+IFERROR(VLOOKUP($A9,MBasketball!$C:$J,N$1-2006,FALSE),0)+IFERROR(VLOOKUP($A9,MFootball!$C:$O,N$1-2011,FALSE),0)+IFERROR(VLOOKUP($A9,MIceHockey!$C:$P,N$1-2011,FALSE),0)+IFERROR(VLOOKUP($A9,MLacrosse!$C:$O,N$1-2011,FALSE),0)+IFERROR(VLOOKUP($A9,MSoccer!$C:$O,N$1-2011,FALSE),0)+IFERROR(VLOOKUP($A9,MVolleyball!$C:$O,N$1-2011,FALSE),0)+IFERROR(VLOOKUP($A9,WBasketball!$C:$O,N$1-2011,FALSE),0)+IFERROR(VLOOKUP($A9,WFieldHockey!$C:$O,N$1-2011,FALSE),0)+IFERROR(VLOOKUP($A9,WIceHockey!$C:$O,N$1-2011,FALSE),0)+IFERROR(VLOOKUP($A9,WLacrosse!$C:$O,N$1-2011,FALSE),0)+IFERROR(VLOOKUP($A9,WSoccer!$C:$O,N$1-2011,FALSE),0)+IFERROR(VLOOKUP($A9,WSoftball!$C:$O,N$1-2011,FALSE),0)+IFERROR(VLOOKUP($A9,WVolleyball!$C:$O,N$1-2011,FALSE),0)</f>
        <v>50627</v>
      </c>
    </row>
    <row r="10" spans="1:15" x14ac:dyDescent="0.2">
      <c r="A10">
        <v>150136</v>
      </c>
      <c r="B10">
        <v>34620</v>
      </c>
      <c r="C10" t="s">
        <v>54</v>
      </c>
      <c r="D10">
        <v>9</v>
      </c>
      <c r="E10">
        <f>IFERROR(VLOOKUP($A10,MBaseball!$C:$N,E$1-2010,FALSE),0)+IFERROR(VLOOKUP($A10,MBasketball!$C:$J,E$1-2006,FALSE),0)+IFERROR(VLOOKUP($A10,MFootball!$C:$O,E$1-2011,FALSE),0)+IFERROR(VLOOKUP($A10,MIceHockey!$C:$P,E$1-2011,FALSE),0)+IFERROR(VLOOKUP($A10,MLacrosse!$C:$O,E$1-2011,FALSE),0)+IFERROR(VLOOKUP($A10,MSoccer!$C:$O,E$1-2011,FALSE),0)+IFERROR(VLOOKUP($A10,MVolleyball!$C:$O,E$1-2011,FALSE),0)+IFERROR(VLOOKUP($A10,WBasketball!$C:$O,E$1-2011,FALSE),0)+IFERROR(VLOOKUP($A10,WFieldHockey!$C:$O,E$1-2011,FALSE),0)+IFERROR(VLOOKUP($A10,WIceHockey!$C:$O,E$1-2011,FALSE),0)+IFERROR(VLOOKUP($A10,WLacrosse!$C:$O,E$1-2011,FALSE),0)+IFERROR(VLOOKUP($A10,WSoccer!$C:$O,E$1-2011,FALSE),0)+IFERROR(VLOOKUP($A10,WSoftball!$C:$O,E$1-2011,FALSE),0)+IFERROR(VLOOKUP($A10,WVolleyball!$C:$O,E$1-2011,FALSE),0)</f>
        <v>99582</v>
      </c>
      <c r="F10">
        <f>IFERROR(VLOOKUP($A10,MBaseball!$C:$N,F$1-2010,FALSE),0)+IFERROR(VLOOKUP($A10,MBasketball!$C:$J,F$1-2006,FALSE),0)+IFERROR(VLOOKUP($A10,MFootball!$C:$O,F$1-2011,FALSE),0)+IFERROR(VLOOKUP($A10,MIceHockey!$C:$P,F$1-2011,FALSE),0)+IFERROR(VLOOKUP($A10,MLacrosse!$C:$O,F$1-2011,FALSE),0)+IFERROR(VLOOKUP($A10,MSoccer!$C:$O,F$1-2011,FALSE),0)+IFERROR(VLOOKUP($A10,MVolleyball!$C:$O,F$1-2011,FALSE),0)+IFERROR(VLOOKUP($A10,WBasketball!$C:$O,F$1-2011,FALSE),0)+IFERROR(VLOOKUP($A10,WFieldHockey!$C:$O,F$1-2011,FALSE),0)+IFERROR(VLOOKUP($A10,WIceHockey!$C:$O,F$1-2011,FALSE),0)+IFERROR(VLOOKUP($A10,WLacrosse!$C:$O,F$1-2011,FALSE),0)+IFERROR(VLOOKUP($A10,WSoccer!$C:$O,F$1-2011,FALSE),0)+IFERROR(VLOOKUP($A10,WSoftball!$C:$O,F$1-2011,FALSE),0)+IFERROR(VLOOKUP($A10,WVolleyball!$C:$O,F$1-2011,FALSE),0)</f>
        <v>108796</v>
      </c>
      <c r="G10">
        <f>IFERROR(VLOOKUP($A10,MBaseball!$C:$N,G$1-2010,FALSE),0)+IFERROR(VLOOKUP($A10,MBasketball!$C:$J,G$1-2006,FALSE),0)+IFERROR(VLOOKUP($A10,MFootball!$C:$O,G$1-2011,FALSE),0)+IFERROR(VLOOKUP($A10,MIceHockey!$C:$P,G$1-2011,FALSE),0)+IFERROR(VLOOKUP($A10,MLacrosse!$C:$O,G$1-2011,FALSE),0)+IFERROR(VLOOKUP($A10,MSoccer!$C:$O,G$1-2011,FALSE),0)+IFERROR(VLOOKUP($A10,MVolleyball!$C:$O,G$1-2011,FALSE),0)+IFERROR(VLOOKUP($A10,WBasketball!$C:$O,G$1-2011,FALSE),0)+IFERROR(VLOOKUP($A10,WFieldHockey!$C:$O,G$1-2011,FALSE),0)+IFERROR(VLOOKUP($A10,WIceHockey!$C:$O,G$1-2011,FALSE),0)+IFERROR(VLOOKUP($A10,WLacrosse!$C:$O,G$1-2011,FALSE),0)+IFERROR(VLOOKUP($A10,WSoccer!$C:$O,G$1-2011,FALSE),0)+IFERROR(VLOOKUP($A10,WSoftball!$C:$O,G$1-2011,FALSE),0)+IFERROR(VLOOKUP($A10,WVolleyball!$C:$O,G$1-2011,FALSE),0)</f>
        <v>91037</v>
      </c>
      <c r="H10">
        <f>IFERROR(VLOOKUP($A10,MBaseball!$C:$N,H$1-2010,FALSE),0)+IFERROR(VLOOKUP($A10,MBasketball!$C:$J,H$1-2006,FALSE),0)+IFERROR(VLOOKUP($A10,MFootball!$C:$O,H$1-2011,FALSE),0)+IFERROR(VLOOKUP($A10,MIceHockey!$C:$P,H$1-2011,FALSE),0)+IFERROR(VLOOKUP($A10,MLacrosse!$C:$O,H$1-2011,FALSE),0)+IFERROR(VLOOKUP($A10,MSoccer!$C:$O,H$1-2011,FALSE),0)+IFERROR(VLOOKUP($A10,MVolleyball!$C:$O,H$1-2011,FALSE),0)+IFERROR(VLOOKUP($A10,WBasketball!$C:$O,H$1-2011,FALSE),0)+IFERROR(VLOOKUP($A10,WFieldHockey!$C:$O,H$1-2011,FALSE),0)+IFERROR(VLOOKUP($A10,WIceHockey!$C:$O,H$1-2011,FALSE),0)+IFERROR(VLOOKUP($A10,WLacrosse!$C:$O,H$1-2011,FALSE),0)+IFERROR(VLOOKUP($A10,WSoccer!$C:$O,H$1-2011,FALSE),0)+IFERROR(VLOOKUP($A10,WSoftball!$C:$O,H$1-2011,FALSE),0)+IFERROR(VLOOKUP($A10,WVolleyball!$C:$O,H$1-2011,FALSE),0)</f>
        <v>96801</v>
      </c>
      <c r="I10">
        <f>IFERROR(VLOOKUP($A10,MBaseball!$C:$N,I$1-2010,FALSE),0)+IFERROR(VLOOKUP($A10,MBasketball!$C:$J,I$1-2006,FALSE),0)+IFERROR(VLOOKUP($A10,MFootball!$C:$O,I$1-2011,FALSE),0)+IFERROR(VLOOKUP($A10,MIceHockey!$C:$P,I$1-2011,FALSE),0)+IFERROR(VLOOKUP($A10,MLacrosse!$C:$O,I$1-2011,FALSE),0)+IFERROR(VLOOKUP($A10,MSoccer!$C:$O,I$1-2011,FALSE),0)+IFERROR(VLOOKUP($A10,MVolleyball!$C:$O,I$1-2011,FALSE),0)+IFERROR(VLOOKUP($A10,WBasketball!$C:$O,I$1-2011,FALSE),0)+IFERROR(VLOOKUP($A10,WFieldHockey!$C:$O,I$1-2011,FALSE),0)+IFERROR(VLOOKUP($A10,WIceHockey!$C:$O,I$1-2011,FALSE),0)+IFERROR(VLOOKUP($A10,WLacrosse!$C:$O,I$1-2011,FALSE),0)+IFERROR(VLOOKUP($A10,WSoccer!$C:$O,I$1-2011,FALSE),0)+IFERROR(VLOOKUP($A10,WSoftball!$C:$O,I$1-2011,FALSE),0)+IFERROR(VLOOKUP($A10,WVolleyball!$C:$O,I$1-2011,FALSE),0)</f>
        <v>120361</v>
      </c>
      <c r="J10">
        <f>IFERROR(VLOOKUP($A10,MBaseball!$C:$N,J$1-2010,FALSE),0)+IFERROR(VLOOKUP($A10,MBasketball!$C:$J,J$1-2006,FALSE),0)+IFERROR(VLOOKUP($A10,MFootball!$C:$O,J$1-2011,FALSE),0)+IFERROR(VLOOKUP($A10,MIceHockey!$C:$P,J$1-2011,FALSE),0)+IFERROR(VLOOKUP($A10,MLacrosse!$C:$O,J$1-2011,FALSE),0)+IFERROR(VLOOKUP($A10,MSoccer!$C:$O,J$1-2011,FALSE),0)+IFERROR(VLOOKUP($A10,MVolleyball!$C:$O,J$1-2011,FALSE),0)+IFERROR(VLOOKUP($A10,WBasketball!$C:$O,J$1-2011,FALSE),0)+IFERROR(VLOOKUP($A10,WFieldHockey!$C:$O,J$1-2011,FALSE),0)+IFERROR(VLOOKUP($A10,WIceHockey!$C:$O,J$1-2011,FALSE),0)+IFERROR(VLOOKUP($A10,WLacrosse!$C:$O,J$1-2011,FALSE),0)+IFERROR(VLOOKUP($A10,WSoccer!$C:$O,J$1-2011,FALSE),0)+IFERROR(VLOOKUP($A10,WSoftball!$C:$O,J$1-2011,FALSE),0)+IFERROR(VLOOKUP($A10,WVolleyball!$C:$O,J$1-2011,FALSE),0)</f>
        <v>108504</v>
      </c>
      <c r="K10">
        <f>IFERROR(VLOOKUP($A10,MBaseball!$C:$N,K$1-2010,FALSE),0)+IFERROR(VLOOKUP($A10,MBasketball!$C:$J,K$1-2006,FALSE),0)+IFERROR(VLOOKUP($A10,MFootball!$C:$O,K$1-2011,FALSE),0)+IFERROR(VLOOKUP($A10,MIceHockey!$C:$P,K$1-2011,FALSE),0)+IFERROR(VLOOKUP($A10,MLacrosse!$C:$O,K$1-2011,FALSE),0)+IFERROR(VLOOKUP($A10,MSoccer!$C:$O,K$1-2011,FALSE),0)+IFERROR(VLOOKUP($A10,MVolleyball!$C:$O,K$1-2011,FALSE),0)+IFERROR(VLOOKUP($A10,WBasketball!$C:$O,K$1-2011,FALSE),0)+IFERROR(VLOOKUP($A10,WFieldHockey!$C:$O,K$1-2011,FALSE),0)+IFERROR(VLOOKUP($A10,WIceHockey!$C:$O,K$1-2011,FALSE),0)+IFERROR(VLOOKUP($A10,WLacrosse!$C:$O,K$1-2011,FALSE),0)+IFERROR(VLOOKUP($A10,WSoccer!$C:$O,K$1-2011,FALSE),0)+IFERROR(VLOOKUP($A10,WSoftball!$C:$O,K$1-2011,FALSE),0)+IFERROR(VLOOKUP($A10,WVolleyball!$C:$O,K$1-2011,FALSE),0)</f>
        <v>102770</v>
      </c>
      <c r="L10">
        <f>IFERROR(VLOOKUP($A10,MBaseball!$C:$N,L$1-2010,FALSE),0)+IFERROR(VLOOKUP($A10,MBasketball!$C:$J,L$1-2006,FALSE),0)+IFERROR(VLOOKUP($A10,MFootball!$C:$O,L$1-2011,FALSE),0)+IFERROR(VLOOKUP($A10,MIceHockey!$C:$P,L$1-2011,FALSE),0)+IFERROR(VLOOKUP($A10,MLacrosse!$C:$O,L$1-2011,FALSE),0)+IFERROR(VLOOKUP($A10,MSoccer!$C:$O,L$1-2011,FALSE),0)+IFERROR(VLOOKUP($A10,MVolleyball!$C:$O,L$1-2011,FALSE),0)+IFERROR(VLOOKUP($A10,WBasketball!$C:$O,L$1-2011,FALSE),0)+IFERROR(VLOOKUP($A10,WFieldHockey!$C:$O,L$1-2011,FALSE),0)+IFERROR(VLOOKUP($A10,WIceHockey!$C:$O,L$1-2011,FALSE),0)+IFERROR(VLOOKUP($A10,WLacrosse!$C:$O,L$1-2011,FALSE),0)+IFERROR(VLOOKUP($A10,WSoccer!$C:$O,L$1-2011,FALSE),0)+IFERROR(VLOOKUP($A10,WSoftball!$C:$O,L$1-2011,FALSE),0)+IFERROR(VLOOKUP($A10,WVolleyball!$C:$O,L$1-2011,FALSE),0)</f>
        <v>12929</v>
      </c>
      <c r="M10">
        <f>IFERROR(VLOOKUP($A10,MBaseball!$C:$N,M$1-2010,FALSE),0)+IFERROR(VLOOKUP($A10,MBasketball!$C:$J,M$1-2006,FALSE),0)+IFERROR(VLOOKUP($A10,MFootball!$C:$O,M$1-2011,FALSE),0)+IFERROR(VLOOKUP($A10,MIceHockey!$C:$P,M$1-2011,FALSE),0)+IFERROR(VLOOKUP($A10,MLacrosse!$C:$O,M$1-2011,FALSE),0)+IFERROR(VLOOKUP($A10,MSoccer!$C:$O,M$1-2011,FALSE),0)+IFERROR(VLOOKUP($A10,MVolleyball!$C:$O,M$1-2011,FALSE),0)+IFERROR(VLOOKUP($A10,WBasketball!$C:$O,M$1-2011,FALSE),0)+IFERROR(VLOOKUP($A10,WFieldHockey!$C:$O,M$1-2011,FALSE),0)+IFERROR(VLOOKUP($A10,WIceHockey!$C:$O,M$1-2011,FALSE),0)+IFERROR(VLOOKUP($A10,WLacrosse!$C:$O,M$1-2011,FALSE),0)+IFERROR(VLOOKUP($A10,WSoccer!$C:$O,M$1-2011,FALSE),0)+IFERROR(VLOOKUP($A10,WSoftball!$C:$O,M$1-2011,FALSE),0)+IFERROR(VLOOKUP($A10,WVolleyball!$C:$O,M$1-2011,FALSE),0)</f>
        <v>111556</v>
      </c>
      <c r="N10">
        <f>IFERROR(VLOOKUP($A10,MBaseball!$C:$N,N$1-2010,FALSE),0)+IFERROR(VLOOKUP($A10,MBasketball!$C:$J,N$1-2006,FALSE),0)+IFERROR(VLOOKUP($A10,MFootball!$C:$O,N$1-2011,FALSE),0)+IFERROR(VLOOKUP($A10,MIceHockey!$C:$P,N$1-2011,FALSE),0)+IFERROR(VLOOKUP($A10,MLacrosse!$C:$O,N$1-2011,FALSE),0)+IFERROR(VLOOKUP($A10,MSoccer!$C:$O,N$1-2011,FALSE),0)+IFERROR(VLOOKUP($A10,MVolleyball!$C:$O,N$1-2011,FALSE),0)+IFERROR(VLOOKUP($A10,WBasketball!$C:$O,N$1-2011,FALSE),0)+IFERROR(VLOOKUP($A10,WFieldHockey!$C:$O,N$1-2011,FALSE),0)+IFERROR(VLOOKUP($A10,WIceHockey!$C:$O,N$1-2011,FALSE),0)+IFERROR(VLOOKUP($A10,WLacrosse!$C:$O,N$1-2011,FALSE),0)+IFERROR(VLOOKUP($A10,WSoccer!$C:$O,N$1-2011,FALSE),0)+IFERROR(VLOOKUP($A10,WSoftball!$C:$O,N$1-2011,FALSE),0)+IFERROR(VLOOKUP($A10,WVolleyball!$C:$O,N$1-2011,FALSE),0)</f>
        <v>135715</v>
      </c>
    </row>
    <row r="11" spans="1:15" x14ac:dyDescent="0.2">
      <c r="A11">
        <v>196079</v>
      </c>
      <c r="B11">
        <v>13780</v>
      </c>
      <c r="C11" t="s">
        <v>55</v>
      </c>
      <c r="D11">
        <v>10</v>
      </c>
      <c r="E11">
        <f>IFERROR(VLOOKUP($A11,MBaseball!$C:$N,E$1-2010,FALSE),0)+IFERROR(VLOOKUP($A11,MBasketball!$C:$J,E$1-2006,FALSE),0)+IFERROR(VLOOKUP($A11,MFootball!$C:$O,E$1-2011,FALSE),0)+IFERROR(VLOOKUP($A11,MIceHockey!$C:$P,E$1-2011,FALSE),0)+IFERROR(VLOOKUP($A11,MLacrosse!$C:$O,E$1-2011,FALSE),0)+IFERROR(VLOOKUP($A11,MSoccer!$C:$O,E$1-2011,FALSE),0)+IFERROR(VLOOKUP($A11,MVolleyball!$C:$O,E$1-2011,FALSE),0)+IFERROR(VLOOKUP($A11,WBasketball!$C:$O,E$1-2011,FALSE),0)+IFERROR(VLOOKUP($A11,WFieldHockey!$C:$O,E$1-2011,FALSE),0)+IFERROR(VLOOKUP($A11,WIceHockey!$C:$O,E$1-2011,FALSE),0)+IFERROR(VLOOKUP($A11,WLacrosse!$C:$O,E$1-2011,FALSE),0)+IFERROR(VLOOKUP($A11,WSoccer!$C:$O,E$1-2011,FALSE),0)+IFERROR(VLOOKUP($A11,WSoftball!$C:$O,E$1-2011,FALSE),0)+IFERROR(VLOOKUP($A11,WVolleyball!$C:$O,E$1-2011,FALSE),0)</f>
        <v>68062</v>
      </c>
      <c r="F11">
        <f>IFERROR(VLOOKUP($A11,MBaseball!$C:$N,F$1-2010,FALSE),0)+IFERROR(VLOOKUP($A11,MBasketball!$C:$J,F$1-2006,FALSE),0)+IFERROR(VLOOKUP($A11,MFootball!$C:$O,F$1-2011,FALSE),0)+IFERROR(VLOOKUP($A11,MIceHockey!$C:$P,F$1-2011,FALSE),0)+IFERROR(VLOOKUP($A11,MLacrosse!$C:$O,F$1-2011,FALSE),0)+IFERROR(VLOOKUP($A11,MSoccer!$C:$O,F$1-2011,FALSE),0)+IFERROR(VLOOKUP($A11,MVolleyball!$C:$O,F$1-2011,FALSE),0)+IFERROR(VLOOKUP($A11,WBasketball!$C:$O,F$1-2011,FALSE),0)+IFERROR(VLOOKUP($A11,WFieldHockey!$C:$O,F$1-2011,FALSE),0)+IFERROR(VLOOKUP($A11,WIceHockey!$C:$O,F$1-2011,FALSE),0)+IFERROR(VLOOKUP($A11,WLacrosse!$C:$O,F$1-2011,FALSE),0)+IFERROR(VLOOKUP($A11,WSoccer!$C:$O,F$1-2011,FALSE),0)+IFERROR(VLOOKUP($A11,WSoftball!$C:$O,F$1-2011,FALSE),0)+IFERROR(VLOOKUP($A11,WVolleyball!$C:$O,F$1-2011,FALSE),0)</f>
        <v>38096</v>
      </c>
      <c r="G11">
        <f>IFERROR(VLOOKUP($A11,MBaseball!$C:$N,G$1-2010,FALSE),0)+IFERROR(VLOOKUP($A11,MBasketball!$C:$J,G$1-2006,FALSE),0)+IFERROR(VLOOKUP($A11,MFootball!$C:$O,G$1-2011,FALSE),0)+IFERROR(VLOOKUP($A11,MIceHockey!$C:$P,G$1-2011,FALSE),0)+IFERROR(VLOOKUP($A11,MLacrosse!$C:$O,G$1-2011,FALSE),0)+IFERROR(VLOOKUP($A11,MSoccer!$C:$O,G$1-2011,FALSE),0)+IFERROR(VLOOKUP($A11,MVolleyball!$C:$O,G$1-2011,FALSE),0)+IFERROR(VLOOKUP($A11,WBasketball!$C:$O,G$1-2011,FALSE),0)+IFERROR(VLOOKUP($A11,WFieldHockey!$C:$O,G$1-2011,FALSE),0)+IFERROR(VLOOKUP($A11,WIceHockey!$C:$O,G$1-2011,FALSE),0)+IFERROR(VLOOKUP($A11,WLacrosse!$C:$O,G$1-2011,FALSE),0)+IFERROR(VLOOKUP($A11,WSoccer!$C:$O,G$1-2011,FALSE),0)+IFERROR(VLOOKUP($A11,WSoftball!$C:$O,G$1-2011,FALSE),0)+IFERROR(VLOOKUP($A11,WVolleyball!$C:$O,G$1-2011,FALSE),0)</f>
        <v>45891</v>
      </c>
      <c r="H11">
        <f>IFERROR(VLOOKUP($A11,MBaseball!$C:$N,H$1-2010,FALSE),0)+IFERROR(VLOOKUP($A11,MBasketball!$C:$J,H$1-2006,FALSE),0)+IFERROR(VLOOKUP($A11,MFootball!$C:$O,H$1-2011,FALSE),0)+IFERROR(VLOOKUP($A11,MIceHockey!$C:$P,H$1-2011,FALSE),0)+IFERROR(VLOOKUP($A11,MLacrosse!$C:$O,H$1-2011,FALSE),0)+IFERROR(VLOOKUP($A11,MSoccer!$C:$O,H$1-2011,FALSE),0)+IFERROR(VLOOKUP($A11,MVolleyball!$C:$O,H$1-2011,FALSE),0)+IFERROR(VLOOKUP($A11,WBasketball!$C:$O,H$1-2011,FALSE),0)+IFERROR(VLOOKUP($A11,WFieldHockey!$C:$O,H$1-2011,FALSE),0)+IFERROR(VLOOKUP($A11,WIceHockey!$C:$O,H$1-2011,FALSE),0)+IFERROR(VLOOKUP($A11,WLacrosse!$C:$O,H$1-2011,FALSE),0)+IFERROR(VLOOKUP($A11,WSoccer!$C:$O,H$1-2011,FALSE),0)+IFERROR(VLOOKUP($A11,WSoftball!$C:$O,H$1-2011,FALSE),0)+IFERROR(VLOOKUP($A11,WVolleyball!$C:$O,H$1-2011,FALSE),0)</f>
        <v>48153</v>
      </c>
      <c r="I11">
        <f>IFERROR(VLOOKUP($A11,MBaseball!$C:$N,I$1-2010,FALSE),0)+IFERROR(VLOOKUP($A11,MBasketball!$C:$J,I$1-2006,FALSE),0)+IFERROR(VLOOKUP($A11,MFootball!$C:$O,I$1-2011,FALSE),0)+IFERROR(VLOOKUP($A11,MIceHockey!$C:$P,I$1-2011,FALSE),0)+IFERROR(VLOOKUP($A11,MLacrosse!$C:$O,I$1-2011,FALSE),0)+IFERROR(VLOOKUP($A11,MSoccer!$C:$O,I$1-2011,FALSE),0)+IFERROR(VLOOKUP($A11,MVolleyball!$C:$O,I$1-2011,FALSE),0)+IFERROR(VLOOKUP($A11,WBasketball!$C:$O,I$1-2011,FALSE),0)+IFERROR(VLOOKUP($A11,WFieldHockey!$C:$O,I$1-2011,FALSE),0)+IFERROR(VLOOKUP($A11,WIceHockey!$C:$O,I$1-2011,FALSE),0)+IFERROR(VLOOKUP($A11,WLacrosse!$C:$O,I$1-2011,FALSE),0)+IFERROR(VLOOKUP($A11,WSoccer!$C:$O,I$1-2011,FALSE),0)+IFERROR(VLOOKUP($A11,WSoftball!$C:$O,I$1-2011,FALSE),0)+IFERROR(VLOOKUP($A11,WVolleyball!$C:$O,I$1-2011,FALSE),0)</f>
        <v>40573</v>
      </c>
      <c r="J11">
        <f>IFERROR(VLOOKUP($A11,MBaseball!$C:$N,J$1-2010,FALSE),0)+IFERROR(VLOOKUP($A11,MBasketball!$C:$J,J$1-2006,FALSE),0)+IFERROR(VLOOKUP($A11,MFootball!$C:$O,J$1-2011,FALSE),0)+IFERROR(VLOOKUP($A11,MIceHockey!$C:$P,J$1-2011,FALSE),0)+IFERROR(VLOOKUP($A11,MLacrosse!$C:$O,J$1-2011,FALSE),0)+IFERROR(VLOOKUP($A11,MSoccer!$C:$O,J$1-2011,FALSE),0)+IFERROR(VLOOKUP($A11,MVolleyball!$C:$O,J$1-2011,FALSE),0)+IFERROR(VLOOKUP($A11,WBasketball!$C:$O,J$1-2011,FALSE),0)+IFERROR(VLOOKUP($A11,WFieldHockey!$C:$O,J$1-2011,FALSE),0)+IFERROR(VLOOKUP($A11,WIceHockey!$C:$O,J$1-2011,FALSE),0)+IFERROR(VLOOKUP($A11,WLacrosse!$C:$O,J$1-2011,FALSE),0)+IFERROR(VLOOKUP($A11,WSoccer!$C:$O,J$1-2011,FALSE),0)+IFERROR(VLOOKUP($A11,WSoftball!$C:$O,J$1-2011,FALSE),0)+IFERROR(VLOOKUP($A11,WVolleyball!$C:$O,J$1-2011,FALSE),0)</f>
        <v>41369</v>
      </c>
      <c r="K11">
        <f>IFERROR(VLOOKUP($A11,MBaseball!$C:$N,K$1-2010,FALSE),0)+IFERROR(VLOOKUP($A11,MBasketball!$C:$J,K$1-2006,FALSE),0)+IFERROR(VLOOKUP($A11,MFootball!$C:$O,K$1-2011,FALSE),0)+IFERROR(VLOOKUP($A11,MIceHockey!$C:$P,K$1-2011,FALSE),0)+IFERROR(VLOOKUP($A11,MLacrosse!$C:$O,K$1-2011,FALSE),0)+IFERROR(VLOOKUP($A11,MSoccer!$C:$O,K$1-2011,FALSE),0)+IFERROR(VLOOKUP($A11,MVolleyball!$C:$O,K$1-2011,FALSE),0)+IFERROR(VLOOKUP($A11,WBasketball!$C:$O,K$1-2011,FALSE),0)+IFERROR(VLOOKUP($A11,WFieldHockey!$C:$O,K$1-2011,FALSE),0)+IFERROR(VLOOKUP($A11,WIceHockey!$C:$O,K$1-2011,FALSE),0)+IFERROR(VLOOKUP($A11,WLacrosse!$C:$O,K$1-2011,FALSE),0)+IFERROR(VLOOKUP($A11,WSoccer!$C:$O,K$1-2011,FALSE),0)+IFERROR(VLOOKUP($A11,WSoftball!$C:$O,K$1-2011,FALSE),0)+IFERROR(VLOOKUP($A11,WVolleyball!$C:$O,K$1-2011,FALSE),0)</f>
        <v>29686</v>
      </c>
      <c r="L11">
        <f>IFERROR(VLOOKUP($A11,MBaseball!$C:$N,L$1-2010,FALSE),0)+IFERROR(VLOOKUP($A11,MBasketball!$C:$J,L$1-2006,FALSE),0)+IFERROR(VLOOKUP($A11,MFootball!$C:$O,L$1-2011,FALSE),0)+IFERROR(VLOOKUP($A11,MIceHockey!$C:$P,L$1-2011,FALSE),0)+IFERROR(VLOOKUP($A11,MLacrosse!$C:$O,L$1-2011,FALSE),0)+IFERROR(VLOOKUP($A11,MSoccer!$C:$O,L$1-2011,FALSE),0)+IFERROR(VLOOKUP($A11,MVolleyball!$C:$O,L$1-2011,FALSE),0)+IFERROR(VLOOKUP($A11,WBasketball!$C:$O,L$1-2011,FALSE),0)+IFERROR(VLOOKUP($A11,WFieldHockey!$C:$O,L$1-2011,FALSE),0)+IFERROR(VLOOKUP($A11,WIceHockey!$C:$O,L$1-2011,FALSE),0)+IFERROR(VLOOKUP($A11,WLacrosse!$C:$O,L$1-2011,FALSE),0)+IFERROR(VLOOKUP($A11,WSoccer!$C:$O,L$1-2011,FALSE),0)+IFERROR(VLOOKUP($A11,WSoftball!$C:$O,L$1-2011,FALSE),0)+IFERROR(VLOOKUP($A11,WVolleyball!$C:$O,L$1-2011,FALSE),0)</f>
        <v>10191</v>
      </c>
      <c r="M11">
        <f>IFERROR(VLOOKUP($A11,MBaseball!$C:$N,M$1-2010,FALSE),0)+IFERROR(VLOOKUP($A11,MBasketball!$C:$J,M$1-2006,FALSE),0)+IFERROR(VLOOKUP($A11,MFootball!$C:$O,M$1-2011,FALSE),0)+IFERROR(VLOOKUP($A11,MIceHockey!$C:$P,M$1-2011,FALSE),0)+IFERROR(VLOOKUP($A11,MLacrosse!$C:$O,M$1-2011,FALSE),0)+IFERROR(VLOOKUP($A11,MSoccer!$C:$O,M$1-2011,FALSE),0)+IFERROR(VLOOKUP($A11,MVolleyball!$C:$O,M$1-2011,FALSE),0)+IFERROR(VLOOKUP($A11,WBasketball!$C:$O,M$1-2011,FALSE),0)+IFERROR(VLOOKUP($A11,WFieldHockey!$C:$O,M$1-2011,FALSE),0)+IFERROR(VLOOKUP($A11,WIceHockey!$C:$O,M$1-2011,FALSE),0)+IFERROR(VLOOKUP($A11,WLacrosse!$C:$O,M$1-2011,FALSE),0)+IFERROR(VLOOKUP($A11,WSoccer!$C:$O,M$1-2011,FALSE),0)+IFERROR(VLOOKUP($A11,WSoftball!$C:$O,M$1-2011,FALSE),0)+IFERROR(VLOOKUP($A11,WVolleyball!$C:$O,M$1-2011,FALSE),0)</f>
        <v>45645</v>
      </c>
      <c r="N11">
        <f>IFERROR(VLOOKUP($A11,MBaseball!$C:$N,N$1-2010,FALSE),0)+IFERROR(VLOOKUP($A11,MBasketball!$C:$J,N$1-2006,FALSE),0)+IFERROR(VLOOKUP($A11,MFootball!$C:$O,N$1-2011,FALSE),0)+IFERROR(VLOOKUP($A11,MIceHockey!$C:$P,N$1-2011,FALSE),0)+IFERROR(VLOOKUP($A11,MLacrosse!$C:$O,N$1-2011,FALSE),0)+IFERROR(VLOOKUP($A11,MSoccer!$C:$O,N$1-2011,FALSE),0)+IFERROR(VLOOKUP($A11,MVolleyball!$C:$O,N$1-2011,FALSE),0)+IFERROR(VLOOKUP($A11,WBasketball!$C:$O,N$1-2011,FALSE),0)+IFERROR(VLOOKUP($A11,WFieldHockey!$C:$O,N$1-2011,FALSE),0)+IFERROR(VLOOKUP($A11,WIceHockey!$C:$O,N$1-2011,FALSE),0)+IFERROR(VLOOKUP($A11,WLacrosse!$C:$O,N$1-2011,FALSE),0)+IFERROR(VLOOKUP($A11,WSoccer!$C:$O,N$1-2011,FALSE),0)+IFERROR(VLOOKUP($A11,WSoftball!$C:$O,N$1-2011,FALSE),0)+IFERROR(VLOOKUP($A11,WVolleyball!$C:$O,N$1-2011,FALSE),0)</f>
        <v>36362</v>
      </c>
    </row>
    <row r="12" spans="1:15" x14ac:dyDescent="0.2">
      <c r="A12">
        <v>142115</v>
      </c>
      <c r="B12">
        <v>14260</v>
      </c>
      <c r="C12" t="s">
        <v>56</v>
      </c>
      <c r="D12">
        <v>11</v>
      </c>
      <c r="E12">
        <f>IFERROR(VLOOKUP($A12,MBaseball!$C:$N,E$1-2010,FALSE),0)+IFERROR(VLOOKUP($A12,MBasketball!$C:$J,E$1-2006,FALSE),0)+IFERROR(VLOOKUP($A12,MFootball!$C:$O,E$1-2011,FALSE),0)+IFERROR(VLOOKUP($A12,MIceHockey!$C:$P,E$1-2011,FALSE),0)+IFERROR(VLOOKUP($A12,MLacrosse!$C:$O,E$1-2011,FALSE),0)+IFERROR(VLOOKUP($A12,MSoccer!$C:$O,E$1-2011,FALSE),0)+IFERROR(VLOOKUP($A12,MVolleyball!$C:$O,E$1-2011,FALSE),0)+IFERROR(VLOOKUP($A12,WBasketball!$C:$O,E$1-2011,FALSE),0)+IFERROR(VLOOKUP($A12,WFieldHockey!$C:$O,E$1-2011,FALSE),0)+IFERROR(VLOOKUP($A12,WIceHockey!$C:$O,E$1-2011,FALSE),0)+IFERROR(VLOOKUP($A12,WLacrosse!$C:$O,E$1-2011,FALSE),0)+IFERROR(VLOOKUP($A12,WSoccer!$C:$O,E$1-2011,FALSE),0)+IFERROR(VLOOKUP($A12,WSoftball!$C:$O,E$1-2011,FALSE),0)+IFERROR(VLOOKUP($A12,WVolleyball!$C:$O,E$1-2011,FALSE),0)</f>
        <v>119893</v>
      </c>
      <c r="F12">
        <f>IFERROR(VLOOKUP($A12,MBaseball!$C:$N,F$1-2010,FALSE),0)+IFERROR(VLOOKUP($A12,MBasketball!$C:$J,F$1-2006,FALSE),0)+IFERROR(VLOOKUP($A12,MFootball!$C:$O,F$1-2011,FALSE),0)+IFERROR(VLOOKUP($A12,MIceHockey!$C:$P,F$1-2011,FALSE),0)+IFERROR(VLOOKUP($A12,MLacrosse!$C:$O,F$1-2011,FALSE),0)+IFERROR(VLOOKUP($A12,MSoccer!$C:$O,F$1-2011,FALSE),0)+IFERROR(VLOOKUP($A12,MVolleyball!$C:$O,F$1-2011,FALSE),0)+IFERROR(VLOOKUP($A12,WBasketball!$C:$O,F$1-2011,FALSE),0)+IFERROR(VLOOKUP($A12,WFieldHockey!$C:$O,F$1-2011,FALSE),0)+IFERROR(VLOOKUP($A12,WIceHockey!$C:$O,F$1-2011,FALSE),0)+IFERROR(VLOOKUP($A12,WLacrosse!$C:$O,F$1-2011,FALSE),0)+IFERROR(VLOOKUP($A12,WSoccer!$C:$O,F$1-2011,FALSE),0)+IFERROR(VLOOKUP($A12,WSoftball!$C:$O,F$1-2011,FALSE),0)+IFERROR(VLOOKUP($A12,WVolleyball!$C:$O,F$1-2011,FALSE),0)</f>
        <v>256355</v>
      </c>
      <c r="G12">
        <f>IFERROR(VLOOKUP($A12,MBaseball!$C:$N,G$1-2010,FALSE),0)+IFERROR(VLOOKUP($A12,MBasketball!$C:$J,G$1-2006,FALSE),0)+IFERROR(VLOOKUP($A12,MFootball!$C:$O,G$1-2011,FALSE),0)+IFERROR(VLOOKUP($A12,MIceHockey!$C:$P,G$1-2011,FALSE),0)+IFERROR(VLOOKUP($A12,MLacrosse!$C:$O,G$1-2011,FALSE),0)+IFERROR(VLOOKUP($A12,MSoccer!$C:$O,G$1-2011,FALSE),0)+IFERROR(VLOOKUP($A12,MVolleyball!$C:$O,G$1-2011,FALSE),0)+IFERROR(VLOOKUP($A12,WBasketball!$C:$O,G$1-2011,FALSE),0)+IFERROR(VLOOKUP($A12,WFieldHockey!$C:$O,G$1-2011,FALSE),0)+IFERROR(VLOOKUP($A12,WIceHockey!$C:$O,G$1-2011,FALSE),0)+IFERROR(VLOOKUP($A12,WLacrosse!$C:$O,G$1-2011,FALSE),0)+IFERROR(VLOOKUP($A12,WSoccer!$C:$O,G$1-2011,FALSE),0)+IFERROR(VLOOKUP($A12,WSoftball!$C:$O,G$1-2011,FALSE),0)+IFERROR(VLOOKUP($A12,WVolleyball!$C:$O,G$1-2011,FALSE),0)</f>
        <v>229104</v>
      </c>
      <c r="H12">
        <f>IFERROR(VLOOKUP($A12,MBaseball!$C:$N,H$1-2010,FALSE),0)+IFERROR(VLOOKUP($A12,MBasketball!$C:$J,H$1-2006,FALSE),0)+IFERROR(VLOOKUP($A12,MFootball!$C:$O,H$1-2011,FALSE),0)+IFERROR(VLOOKUP($A12,MIceHockey!$C:$P,H$1-2011,FALSE),0)+IFERROR(VLOOKUP($A12,MLacrosse!$C:$O,H$1-2011,FALSE),0)+IFERROR(VLOOKUP($A12,MSoccer!$C:$O,H$1-2011,FALSE),0)+IFERROR(VLOOKUP($A12,MVolleyball!$C:$O,H$1-2011,FALSE),0)+IFERROR(VLOOKUP($A12,WBasketball!$C:$O,H$1-2011,FALSE),0)+IFERROR(VLOOKUP($A12,WFieldHockey!$C:$O,H$1-2011,FALSE),0)+IFERROR(VLOOKUP($A12,WIceHockey!$C:$O,H$1-2011,FALSE),0)+IFERROR(VLOOKUP($A12,WLacrosse!$C:$O,H$1-2011,FALSE),0)+IFERROR(VLOOKUP($A12,WSoccer!$C:$O,H$1-2011,FALSE),0)+IFERROR(VLOOKUP($A12,WSoftball!$C:$O,H$1-2011,FALSE),0)+IFERROR(VLOOKUP($A12,WVolleyball!$C:$O,H$1-2011,FALSE),0)</f>
        <v>235184</v>
      </c>
      <c r="I12">
        <f>IFERROR(VLOOKUP($A12,MBaseball!$C:$N,I$1-2010,FALSE),0)+IFERROR(VLOOKUP($A12,MBasketball!$C:$J,I$1-2006,FALSE),0)+IFERROR(VLOOKUP($A12,MFootball!$C:$O,I$1-2011,FALSE),0)+IFERROR(VLOOKUP($A12,MIceHockey!$C:$P,I$1-2011,FALSE),0)+IFERROR(VLOOKUP($A12,MLacrosse!$C:$O,I$1-2011,FALSE),0)+IFERROR(VLOOKUP($A12,MSoccer!$C:$O,I$1-2011,FALSE),0)+IFERROR(VLOOKUP($A12,MVolleyball!$C:$O,I$1-2011,FALSE),0)+IFERROR(VLOOKUP($A12,WBasketball!$C:$O,I$1-2011,FALSE),0)+IFERROR(VLOOKUP($A12,WFieldHockey!$C:$O,I$1-2011,FALSE),0)+IFERROR(VLOOKUP($A12,WIceHockey!$C:$O,I$1-2011,FALSE),0)+IFERROR(VLOOKUP($A12,WLacrosse!$C:$O,I$1-2011,FALSE),0)+IFERROR(VLOOKUP($A12,WSoccer!$C:$O,I$1-2011,FALSE),0)+IFERROR(VLOOKUP($A12,WSoftball!$C:$O,I$1-2011,FALSE),0)+IFERROR(VLOOKUP($A12,WVolleyball!$C:$O,I$1-2011,FALSE),0)</f>
        <v>249331</v>
      </c>
      <c r="J12">
        <f>IFERROR(VLOOKUP($A12,MBaseball!$C:$N,J$1-2010,FALSE),0)+IFERROR(VLOOKUP($A12,MBasketball!$C:$J,J$1-2006,FALSE),0)+IFERROR(VLOOKUP($A12,MFootball!$C:$O,J$1-2011,FALSE),0)+IFERROR(VLOOKUP($A12,MIceHockey!$C:$P,J$1-2011,FALSE),0)+IFERROR(VLOOKUP($A12,MLacrosse!$C:$O,J$1-2011,FALSE),0)+IFERROR(VLOOKUP($A12,MSoccer!$C:$O,J$1-2011,FALSE),0)+IFERROR(VLOOKUP($A12,MVolleyball!$C:$O,J$1-2011,FALSE),0)+IFERROR(VLOOKUP($A12,WBasketball!$C:$O,J$1-2011,FALSE),0)+IFERROR(VLOOKUP($A12,WFieldHockey!$C:$O,J$1-2011,FALSE),0)+IFERROR(VLOOKUP($A12,WIceHockey!$C:$O,J$1-2011,FALSE),0)+IFERROR(VLOOKUP($A12,WLacrosse!$C:$O,J$1-2011,FALSE),0)+IFERROR(VLOOKUP($A12,WSoccer!$C:$O,J$1-2011,FALSE),0)+IFERROR(VLOOKUP($A12,WSoftball!$C:$O,J$1-2011,FALSE),0)+IFERROR(VLOOKUP($A12,WVolleyball!$C:$O,J$1-2011,FALSE),0)</f>
        <v>281394</v>
      </c>
      <c r="K12">
        <f>IFERROR(VLOOKUP($A12,MBaseball!$C:$N,K$1-2010,FALSE),0)+IFERROR(VLOOKUP($A12,MBasketball!$C:$J,K$1-2006,FALSE),0)+IFERROR(VLOOKUP($A12,MFootball!$C:$O,K$1-2011,FALSE),0)+IFERROR(VLOOKUP($A12,MIceHockey!$C:$P,K$1-2011,FALSE),0)+IFERROR(VLOOKUP($A12,MLacrosse!$C:$O,K$1-2011,FALSE),0)+IFERROR(VLOOKUP($A12,MSoccer!$C:$O,K$1-2011,FALSE),0)+IFERROR(VLOOKUP($A12,MVolleyball!$C:$O,K$1-2011,FALSE),0)+IFERROR(VLOOKUP($A12,WBasketball!$C:$O,K$1-2011,FALSE),0)+IFERROR(VLOOKUP($A12,WFieldHockey!$C:$O,K$1-2011,FALSE),0)+IFERROR(VLOOKUP($A12,WIceHockey!$C:$O,K$1-2011,FALSE),0)+IFERROR(VLOOKUP($A12,WLacrosse!$C:$O,K$1-2011,FALSE),0)+IFERROR(VLOOKUP($A12,WSoccer!$C:$O,K$1-2011,FALSE),0)+IFERROR(VLOOKUP($A12,WSoftball!$C:$O,K$1-2011,FALSE),0)+IFERROR(VLOOKUP($A12,WVolleyball!$C:$O,K$1-2011,FALSE),0)</f>
        <v>257994</v>
      </c>
      <c r="L12">
        <f>IFERROR(VLOOKUP($A12,MBaseball!$C:$N,L$1-2010,FALSE),0)+IFERROR(VLOOKUP($A12,MBasketball!$C:$J,L$1-2006,FALSE),0)+IFERROR(VLOOKUP($A12,MFootball!$C:$O,L$1-2011,FALSE),0)+IFERROR(VLOOKUP($A12,MIceHockey!$C:$P,L$1-2011,FALSE),0)+IFERROR(VLOOKUP($A12,MLacrosse!$C:$O,L$1-2011,FALSE),0)+IFERROR(VLOOKUP($A12,MSoccer!$C:$O,L$1-2011,FALSE),0)+IFERROR(VLOOKUP($A12,MVolleyball!$C:$O,L$1-2011,FALSE),0)+IFERROR(VLOOKUP($A12,WBasketball!$C:$O,L$1-2011,FALSE),0)+IFERROR(VLOOKUP($A12,WFieldHockey!$C:$O,L$1-2011,FALSE),0)+IFERROR(VLOOKUP($A12,WIceHockey!$C:$O,L$1-2011,FALSE),0)+IFERROR(VLOOKUP($A12,WLacrosse!$C:$O,L$1-2011,FALSE),0)+IFERROR(VLOOKUP($A12,WSoccer!$C:$O,L$1-2011,FALSE),0)+IFERROR(VLOOKUP($A12,WSoftball!$C:$O,L$1-2011,FALSE),0)+IFERROR(VLOOKUP($A12,WVolleyball!$C:$O,L$1-2011,FALSE),0)</f>
        <v>6733</v>
      </c>
      <c r="M12">
        <f>IFERROR(VLOOKUP($A12,MBaseball!$C:$N,M$1-2010,FALSE),0)+IFERROR(VLOOKUP($A12,MBasketball!$C:$J,M$1-2006,FALSE),0)+IFERROR(VLOOKUP($A12,MFootball!$C:$O,M$1-2011,FALSE),0)+IFERROR(VLOOKUP($A12,MIceHockey!$C:$P,M$1-2011,FALSE),0)+IFERROR(VLOOKUP($A12,MLacrosse!$C:$O,M$1-2011,FALSE),0)+IFERROR(VLOOKUP($A12,MSoccer!$C:$O,M$1-2011,FALSE),0)+IFERROR(VLOOKUP($A12,MVolleyball!$C:$O,M$1-2011,FALSE),0)+IFERROR(VLOOKUP($A12,WBasketball!$C:$O,M$1-2011,FALSE),0)+IFERROR(VLOOKUP($A12,WFieldHockey!$C:$O,M$1-2011,FALSE),0)+IFERROR(VLOOKUP($A12,WIceHockey!$C:$O,M$1-2011,FALSE),0)+IFERROR(VLOOKUP($A12,WLacrosse!$C:$O,M$1-2011,FALSE),0)+IFERROR(VLOOKUP($A12,WSoccer!$C:$O,M$1-2011,FALSE),0)+IFERROR(VLOOKUP($A12,WSoftball!$C:$O,M$1-2011,FALSE),0)+IFERROR(VLOOKUP($A12,WVolleyball!$C:$O,M$1-2011,FALSE),0)</f>
        <v>235935</v>
      </c>
      <c r="N12">
        <f>IFERROR(VLOOKUP($A12,MBaseball!$C:$N,N$1-2010,FALSE),0)+IFERROR(VLOOKUP($A12,MBasketball!$C:$J,N$1-2006,FALSE),0)+IFERROR(VLOOKUP($A12,MFootball!$C:$O,N$1-2011,FALSE),0)+IFERROR(VLOOKUP($A12,MIceHockey!$C:$P,N$1-2011,FALSE),0)+IFERROR(VLOOKUP($A12,MLacrosse!$C:$O,N$1-2011,FALSE),0)+IFERROR(VLOOKUP($A12,MSoccer!$C:$O,N$1-2011,FALSE),0)+IFERROR(VLOOKUP($A12,MVolleyball!$C:$O,N$1-2011,FALSE),0)+IFERROR(VLOOKUP($A12,WBasketball!$C:$O,N$1-2011,FALSE),0)+IFERROR(VLOOKUP($A12,WFieldHockey!$C:$O,N$1-2011,FALSE),0)+IFERROR(VLOOKUP($A12,WIceHockey!$C:$O,N$1-2011,FALSE),0)+IFERROR(VLOOKUP($A12,WLacrosse!$C:$O,N$1-2011,FALSE),0)+IFERROR(VLOOKUP($A12,WSoccer!$C:$O,N$1-2011,FALSE),0)+IFERROR(VLOOKUP($A12,WSoftball!$C:$O,N$1-2011,FALSE),0)+IFERROR(VLOOKUP($A12,WVolleyball!$C:$O,N$1-2011,FALSE),0)</f>
        <v>276804</v>
      </c>
    </row>
    <row r="13" spans="1:15" x14ac:dyDescent="0.2">
      <c r="A13">
        <v>201441</v>
      </c>
      <c r="B13">
        <v>45780</v>
      </c>
      <c r="C13" t="s">
        <v>57</v>
      </c>
      <c r="D13">
        <v>12</v>
      </c>
      <c r="E13">
        <f>IFERROR(VLOOKUP($A13,MBaseball!$C:$N,E$1-2010,FALSE),0)+IFERROR(VLOOKUP($A13,MBasketball!$C:$J,E$1-2006,FALSE),0)+IFERROR(VLOOKUP($A13,MFootball!$C:$O,E$1-2011,FALSE),0)+IFERROR(VLOOKUP($A13,MIceHockey!$C:$P,E$1-2011,FALSE),0)+IFERROR(VLOOKUP($A13,MLacrosse!$C:$O,E$1-2011,FALSE),0)+IFERROR(VLOOKUP($A13,MSoccer!$C:$O,E$1-2011,FALSE),0)+IFERROR(VLOOKUP($A13,MVolleyball!$C:$O,E$1-2011,FALSE),0)+IFERROR(VLOOKUP($A13,WBasketball!$C:$O,E$1-2011,FALSE),0)+IFERROR(VLOOKUP($A13,WFieldHockey!$C:$O,E$1-2011,FALSE),0)+IFERROR(VLOOKUP($A13,WIceHockey!$C:$O,E$1-2011,FALSE),0)+IFERROR(VLOOKUP($A13,WLacrosse!$C:$O,E$1-2011,FALSE),0)+IFERROR(VLOOKUP($A13,WSoccer!$C:$O,E$1-2011,FALSE),0)+IFERROR(VLOOKUP($A13,WSoftball!$C:$O,E$1-2011,FALSE),0)+IFERROR(VLOOKUP($A13,WVolleyball!$C:$O,E$1-2011,FALSE),0)</f>
        <v>90445</v>
      </c>
      <c r="F13">
        <f>IFERROR(VLOOKUP($A13,MBaseball!$C:$N,F$1-2010,FALSE),0)+IFERROR(VLOOKUP($A13,MBasketball!$C:$J,F$1-2006,FALSE),0)+IFERROR(VLOOKUP($A13,MFootball!$C:$O,F$1-2011,FALSE),0)+IFERROR(VLOOKUP($A13,MIceHockey!$C:$P,F$1-2011,FALSE),0)+IFERROR(VLOOKUP($A13,MLacrosse!$C:$O,F$1-2011,FALSE),0)+IFERROR(VLOOKUP($A13,MSoccer!$C:$O,F$1-2011,FALSE),0)+IFERROR(VLOOKUP($A13,MVolleyball!$C:$O,F$1-2011,FALSE),0)+IFERROR(VLOOKUP($A13,WBasketball!$C:$O,F$1-2011,FALSE),0)+IFERROR(VLOOKUP($A13,WFieldHockey!$C:$O,F$1-2011,FALSE),0)+IFERROR(VLOOKUP($A13,WIceHockey!$C:$O,F$1-2011,FALSE),0)+IFERROR(VLOOKUP($A13,WLacrosse!$C:$O,F$1-2011,FALSE),0)+IFERROR(VLOOKUP($A13,WSoccer!$C:$O,F$1-2011,FALSE),0)+IFERROR(VLOOKUP($A13,WSoftball!$C:$O,F$1-2011,FALSE),0)+IFERROR(VLOOKUP($A13,WVolleyball!$C:$O,F$1-2011,FALSE),0)</f>
        <v>178522</v>
      </c>
      <c r="G13">
        <f>IFERROR(VLOOKUP($A13,MBaseball!$C:$N,G$1-2010,FALSE),0)+IFERROR(VLOOKUP($A13,MBasketball!$C:$J,G$1-2006,FALSE),0)+IFERROR(VLOOKUP($A13,MFootball!$C:$O,G$1-2011,FALSE),0)+IFERROR(VLOOKUP($A13,MIceHockey!$C:$P,G$1-2011,FALSE),0)+IFERROR(VLOOKUP($A13,MLacrosse!$C:$O,G$1-2011,FALSE),0)+IFERROR(VLOOKUP($A13,MSoccer!$C:$O,G$1-2011,FALSE),0)+IFERROR(VLOOKUP($A13,MVolleyball!$C:$O,G$1-2011,FALSE),0)+IFERROR(VLOOKUP($A13,WBasketball!$C:$O,G$1-2011,FALSE),0)+IFERROR(VLOOKUP($A13,WFieldHockey!$C:$O,G$1-2011,FALSE),0)+IFERROR(VLOOKUP($A13,WIceHockey!$C:$O,G$1-2011,FALSE),0)+IFERROR(VLOOKUP($A13,WLacrosse!$C:$O,G$1-2011,FALSE),0)+IFERROR(VLOOKUP($A13,WSoccer!$C:$O,G$1-2011,FALSE),0)+IFERROR(VLOOKUP($A13,WSoftball!$C:$O,G$1-2011,FALSE),0)+IFERROR(VLOOKUP($A13,WVolleyball!$C:$O,G$1-2011,FALSE),0)</f>
        <v>199308</v>
      </c>
      <c r="H13">
        <f>IFERROR(VLOOKUP($A13,MBaseball!$C:$N,H$1-2010,FALSE),0)+IFERROR(VLOOKUP($A13,MBasketball!$C:$J,H$1-2006,FALSE),0)+IFERROR(VLOOKUP($A13,MFootball!$C:$O,H$1-2011,FALSE),0)+IFERROR(VLOOKUP($A13,MIceHockey!$C:$P,H$1-2011,FALSE),0)+IFERROR(VLOOKUP($A13,MLacrosse!$C:$O,H$1-2011,FALSE),0)+IFERROR(VLOOKUP($A13,MSoccer!$C:$O,H$1-2011,FALSE),0)+IFERROR(VLOOKUP($A13,MVolleyball!$C:$O,H$1-2011,FALSE),0)+IFERROR(VLOOKUP($A13,WBasketball!$C:$O,H$1-2011,FALSE),0)+IFERROR(VLOOKUP($A13,WFieldHockey!$C:$O,H$1-2011,FALSE),0)+IFERROR(VLOOKUP($A13,WIceHockey!$C:$O,H$1-2011,FALSE),0)+IFERROR(VLOOKUP($A13,WLacrosse!$C:$O,H$1-2011,FALSE),0)+IFERROR(VLOOKUP($A13,WSoccer!$C:$O,H$1-2011,FALSE),0)+IFERROR(VLOOKUP($A13,WSoftball!$C:$O,H$1-2011,FALSE),0)+IFERROR(VLOOKUP($A13,WVolleyball!$C:$O,H$1-2011,FALSE),0)</f>
        <v>190122</v>
      </c>
      <c r="I13">
        <f>IFERROR(VLOOKUP($A13,MBaseball!$C:$N,I$1-2010,FALSE),0)+IFERROR(VLOOKUP($A13,MBasketball!$C:$J,I$1-2006,FALSE),0)+IFERROR(VLOOKUP($A13,MFootball!$C:$O,I$1-2011,FALSE),0)+IFERROR(VLOOKUP($A13,MIceHockey!$C:$P,I$1-2011,FALSE),0)+IFERROR(VLOOKUP($A13,MLacrosse!$C:$O,I$1-2011,FALSE),0)+IFERROR(VLOOKUP($A13,MSoccer!$C:$O,I$1-2011,FALSE),0)+IFERROR(VLOOKUP($A13,MVolleyball!$C:$O,I$1-2011,FALSE),0)+IFERROR(VLOOKUP($A13,WBasketball!$C:$O,I$1-2011,FALSE),0)+IFERROR(VLOOKUP($A13,WFieldHockey!$C:$O,I$1-2011,FALSE),0)+IFERROR(VLOOKUP($A13,WIceHockey!$C:$O,I$1-2011,FALSE),0)+IFERROR(VLOOKUP($A13,WLacrosse!$C:$O,I$1-2011,FALSE),0)+IFERROR(VLOOKUP($A13,WSoccer!$C:$O,I$1-2011,FALSE),0)+IFERROR(VLOOKUP($A13,WSoftball!$C:$O,I$1-2011,FALSE),0)+IFERROR(VLOOKUP($A13,WVolleyball!$C:$O,I$1-2011,FALSE),0)</f>
        <v>176364</v>
      </c>
      <c r="J13">
        <f>IFERROR(VLOOKUP($A13,MBaseball!$C:$N,J$1-2010,FALSE),0)+IFERROR(VLOOKUP($A13,MBasketball!$C:$J,J$1-2006,FALSE),0)+IFERROR(VLOOKUP($A13,MFootball!$C:$O,J$1-2011,FALSE),0)+IFERROR(VLOOKUP($A13,MIceHockey!$C:$P,J$1-2011,FALSE),0)+IFERROR(VLOOKUP($A13,MLacrosse!$C:$O,J$1-2011,FALSE),0)+IFERROR(VLOOKUP($A13,MSoccer!$C:$O,J$1-2011,FALSE),0)+IFERROR(VLOOKUP($A13,MVolleyball!$C:$O,J$1-2011,FALSE),0)+IFERROR(VLOOKUP($A13,WBasketball!$C:$O,J$1-2011,FALSE),0)+IFERROR(VLOOKUP($A13,WFieldHockey!$C:$O,J$1-2011,FALSE),0)+IFERROR(VLOOKUP($A13,WIceHockey!$C:$O,J$1-2011,FALSE),0)+IFERROR(VLOOKUP($A13,WLacrosse!$C:$O,J$1-2011,FALSE),0)+IFERROR(VLOOKUP($A13,WSoccer!$C:$O,J$1-2011,FALSE),0)+IFERROR(VLOOKUP($A13,WSoftball!$C:$O,J$1-2011,FALSE),0)+IFERROR(VLOOKUP($A13,WVolleyball!$C:$O,J$1-2011,FALSE),0)</f>
        <v>184620</v>
      </c>
      <c r="K13">
        <f>IFERROR(VLOOKUP($A13,MBaseball!$C:$N,K$1-2010,FALSE),0)+IFERROR(VLOOKUP($A13,MBasketball!$C:$J,K$1-2006,FALSE),0)+IFERROR(VLOOKUP($A13,MFootball!$C:$O,K$1-2011,FALSE),0)+IFERROR(VLOOKUP($A13,MIceHockey!$C:$P,K$1-2011,FALSE),0)+IFERROR(VLOOKUP($A13,MLacrosse!$C:$O,K$1-2011,FALSE),0)+IFERROR(VLOOKUP($A13,MSoccer!$C:$O,K$1-2011,FALSE),0)+IFERROR(VLOOKUP($A13,MVolleyball!$C:$O,K$1-2011,FALSE),0)+IFERROR(VLOOKUP($A13,WBasketball!$C:$O,K$1-2011,FALSE),0)+IFERROR(VLOOKUP($A13,WFieldHockey!$C:$O,K$1-2011,FALSE),0)+IFERROR(VLOOKUP($A13,WIceHockey!$C:$O,K$1-2011,FALSE),0)+IFERROR(VLOOKUP($A13,WLacrosse!$C:$O,K$1-2011,FALSE),0)+IFERROR(VLOOKUP($A13,WSoccer!$C:$O,K$1-2011,FALSE),0)+IFERROR(VLOOKUP($A13,WSoftball!$C:$O,K$1-2011,FALSE),0)+IFERROR(VLOOKUP($A13,WVolleyball!$C:$O,K$1-2011,FALSE),0)</f>
        <v>169168</v>
      </c>
      <c r="L13">
        <f>IFERROR(VLOOKUP($A13,MBaseball!$C:$N,L$1-2010,FALSE),0)+IFERROR(VLOOKUP($A13,MBasketball!$C:$J,L$1-2006,FALSE),0)+IFERROR(VLOOKUP($A13,MFootball!$C:$O,L$1-2011,FALSE),0)+IFERROR(VLOOKUP($A13,MIceHockey!$C:$P,L$1-2011,FALSE),0)+IFERROR(VLOOKUP($A13,MLacrosse!$C:$O,L$1-2011,FALSE),0)+IFERROR(VLOOKUP($A13,MSoccer!$C:$O,L$1-2011,FALSE),0)+IFERROR(VLOOKUP($A13,MVolleyball!$C:$O,L$1-2011,FALSE),0)+IFERROR(VLOOKUP($A13,WBasketball!$C:$O,L$1-2011,FALSE),0)+IFERROR(VLOOKUP($A13,WFieldHockey!$C:$O,L$1-2011,FALSE),0)+IFERROR(VLOOKUP($A13,WIceHockey!$C:$O,L$1-2011,FALSE),0)+IFERROR(VLOOKUP($A13,WLacrosse!$C:$O,L$1-2011,FALSE),0)+IFERROR(VLOOKUP($A13,WSoccer!$C:$O,L$1-2011,FALSE),0)+IFERROR(VLOOKUP($A13,WSoftball!$C:$O,L$1-2011,FALSE),0)+IFERROR(VLOOKUP($A13,WVolleyball!$C:$O,L$1-2011,FALSE),0)</f>
        <v>19572</v>
      </c>
      <c r="M13">
        <f>IFERROR(VLOOKUP($A13,MBaseball!$C:$N,M$1-2010,FALSE),0)+IFERROR(VLOOKUP($A13,MBasketball!$C:$J,M$1-2006,FALSE),0)+IFERROR(VLOOKUP($A13,MFootball!$C:$O,M$1-2011,FALSE),0)+IFERROR(VLOOKUP($A13,MIceHockey!$C:$P,M$1-2011,FALSE),0)+IFERROR(VLOOKUP($A13,MLacrosse!$C:$O,M$1-2011,FALSE),0)+IFERROR(VLOOKUP($A13,MSoccer!$C:$O,M$1-2011,FALSE),0)+IFERROR(VLOOKUP($A13,MVolleyball!$C:$O,M$1-2011,FALSE),0)+IFERROR(VLOOKUP($A13,WBasketball!$C:$O,M$1-2011,FALSE),0)+IFERROR(VLOOKUP($A13,WFieldHockey!$C:$O,M$1-2011,FALSE),0)+IFERROR(VLOOKUP($A13,WIceHockey!$C:$O,M$1-2011,FALSE),0)+IFERROR(VLOOKUP($A13,WLacrosse!$C:$O,M$1-2011,FALSE),0)+IFERROR(VLOOKUP($A13,WSoccer!$C:$O,M$1-2011,FALSE),0)+IFERROR(VLOOKUP($A13,WSoftball!$C:$O,M$1-2011,FALSE),0)+IFERROR(VLOOKUP($A13,WVolleyball!$C:$O,M$1-2011,FALSE),0)</f>
        <v>170226</v>
      </c>
      <c r="N13">
        <f>IFERROR(VLOOKUP($A13,MBaseball!$C:$N,N$1-2010,FALSE),0)+IFERROR(VLOOKUP($A13,MBasketball!$C:$J,N$1-2006,FALSE),0)+IFERROR(VLOOKUP($A13,MFootball!$C:$O,N$1-2011,FALSE),0)+IFERROR(VLOOKUP($A13,MIceHockey!$C:$P,N$1-2011,FALSE),0)+IFERROR(VLOOKUP($A13,MLacrosse!$C:$O,N$1-2011,FALSE),0)+IFERROR(VLOOKUP($A13,MSoccer!$C:$O,N$1-2011,FALSE),0)+IFERROR(VLOOKUP($A13,MVolleyball!$C:$O,N$1-2011,FALSE),0)+IFERROR(VLOOKUP($A13,WBasketball!$C:$O,N$1-2011,FALSE),0)+IFERROR(VLOOKUP($A13,WFieldHockey!$C:$O,N$1-2011,FALSE),0)+IFERROR(VLOOKUP($A13,WIceHockey!$C:$O,N$1-2011,FALSE),0)+IFERROR(VLOOKUP($A13,WLacrosse!$C:$O,N$1-2011,FALSE),0)+IFERROR(VLOOKUP($A13,WSoccer!$C:$O,N$1-2011,FALSE),0)+IFERROR(VLOOKUP($A13,WSoftball!$C:$O,N$1-2011,FALSE),0)+IFERROR(VLOOKUP($A13,WVolleyball!$C:$O,N$1-2011,FALSE),0)</f>
        <v>182957</v>
      </c>
    </row>
    <row r="14" spans="1:15" x14ac:dyDescent="0.2">
      <c r="A14">
        <v>196088</v>
      </c>
      <c r="B14">
        <v>15380</v>
      </c>
      <c r="C14" t="s">
        <v>58</v>
      </c>
      <c r="D14">
        <v>13</v>
      </c>
      <c r="E14">
        <f>IFERROR(VLOOKUP($A14,MBaseball!$C:$N,E$1-2010,FALSE),0)+IFERROR(VLOOKUP($A14,MBasketball!$C:$J,E$1-2006,FALSE),0)+IFERROR(VLOOKUP($A14,MFootball!$C:$O,E$1-2011,FALSE),0)+IFERROR(VLOOKUP($A14,MIceHockey!$C:$P,E$1-2011,FALSE),0)+IFERROR(VLOOKUP($A14,MLacrosse!$C:$O,E$1-2011,FALSE),0)+IFERROR(VLOOKUP($A14,MSoccer!$C:$O,E$1-2011,FALSE),0)+IFERROR(VLOOKUP($A14,MVolleyball!$C:$O,E$1-2011,FALSE),0)+IFERROR(VLOOKUP($A14,WBasketball!$C:$O,E$1-2011,FALSE),0)+IFERROR(VLOOKUP($A14,WFieldHockey!$C:$O,E$1-2011,FALSE),0)+IFERROR(VLOOKUP($A14,WIceHockey!$C:$O,E$1-2011,FALSE),0)+IFERROR(VLOOKUP($A14,WLacrosse!$C:$O,E$1-2011,FALSE),0)+IFERROR(VLOOKUP($A14,WSoccer!$C:$O,E$1-2011,FALSE),0)+IFERROR(VLOOKUP($A14,WSoftball!$C:$O,E$1-2011,FALSE),0)+IFERROR(VLOOKUP($A14,WVolleyball!$C:$O,E$1-2011,FALSE),0)</f>
        <v>97391</v>
      </c>
      <c r="F14">
        <f>IFERROR(VLOOKUP($A14,MBaseball!$C:$N,F$1-2010,FALSE),0)+IFERROR(VLOOKUP($A14,MBasketball!$C:$J,F$1-2006,FALSE),0)+IFERROR(VLOOKUP($A14,MFootball!$C:$O,F$1-2011,FALSE),0)+IFERROR(VLOOKUP($A14,MIceHockey!$C:$P,F$1-2011,FALSE),0)+IFERROR(VLOOKUP($A14,MLacrosse!$C:$O,F$1-2011,FALSE),0)+IFERROR(VLOOKUP($A14,MSoccer!$C:$O,F$1-2011,FALSE),0)+IFERROR(VLOOKUP($A14,MVolleyball!$C:$O,F$1-2011,FALSE),0)+IFERROR(VLOOKUP($A14,WBasketball!$C:$O,F$1-2011,FALSE),0)+IFERROR(VLOOKUP($A14,WFieldHockey!$C:$O,F$1-2011,FALSE),0)+IFERROR(VLOOKUP($A14,WIceHockey!$C:$O,F$1-2011,FALSE),0)+IFERROR(VLOOKUP($A14,WLacrosse!$C:$O,F$1-2011,FALSE),0)+IFERROR(VLOOKUP($A14,WSoccer!$C:$O,F$1-2011,FALSE),0)+IFERROR(VLOOKUP($A14,WSoftball!$C:$O,F$1-2011,FALSE),0)+IFERROR(VLOOKUP($A14,WVolleyball!$C:$O,F$1-2011,FALSE),0)</f>
        <v>148061</v>
      </c>
      <c r="G14">
        <f>IFERROR(VLOOKUP($A14,MBaseball!$C:$N,G$1-2010,FALSE),0)+IFERROR(VLOOKUP($A14,MBasketball!$C:$J,G$1-2006,FALSE),0)+IFERROR(VLOOKUP($A14,MFootball!$C:$O,G$1-2011,FALSE),0)+IFERROR(VLOOKUP($A14,MIceHockey!$C:$P,G$1-2011,FALSE),0)+IFERROR(VLOOKUP($A14,MLacrosse!$C:$O,G$1-2011,FALSE),0)+IFERROR(VLOOKUP($A14,MSoccer!$C:$O,G$1-2011,FALSE),0)+IFERROR(VLOOKUP($A14,MVolleyball!$C:$O,G$1-2011,FALSE),0)+IFERROR(VLOOKUP($A14,WBasketball!$C:$O,G$1-2011,FALSE),0)+IFERROR(VLOOKUP($A14,WFieldHockey!$C:$O,G$1-2011,FALSE),0)+IFERROR(VLOOKUP($A14,WIceHockey!$C:$O,G$1-2011,FALSE),0)+IFERROR(VLOOKUP($A14,WLacrosse!$C:$O,G$1-2011,FALSE),0)+IFERROR(VLOOKUP($A14,WSoccer!$C:$O,G$1-2011,FALSE),0)+IFERROR(VLOOKUP($A14,WSoftball!$C:$O,G$1-2011,FALSE),0)+IFERROR(VLOOKUP($A14,WVolleyball!$C:$O,G$1-2011,FALSE),0)</f>
        <v>136961</v>
      </c>
      <c r="H14">
        <f>IFERROR(VLOOKUP($A14,MBaseball!$C:$N,H$1-2010,FALSE),0)+IFERROR(VLOOKUP($A14,MBasketball!$C:$J,H$1-2006,FALSE),0)+IFERROR(VLOOKUP($A14,MFootball!$C:$O,H$1-2011,FALSE),0)+IFERROR(VLOOKUP($A14,MIceHockey!$C:$P,H$1-2011,FALSE),0)+IFERROR(VLOOKUP($A14,MLacrosse!$C:$O,H$1-2011,FALSE),0)+IFERROR(VLOOKUP($A14,MSoccer!$C:$O,H$1-2011,FALSE),0)+IFERROR(VLOOKUP($A14,MVolleyball!$C:$O,H$1-2011,FALSE),0)+IFERROR(VLOOKUP($A14,WBasketball!$C:$O,H$1-2011,FALSE),0)+IFERROR(VLOOKUP($A14,WFieldHockey!$C:$O,H$1-2011,FALSE),0)+IFERROR(VLOOKUP($A14,WIceHockey!$C:$O,H$1-2011,FALSE),0)+IFERROR(VLOOKUP($A14,WLacrosse!$C:$O,H$1-2011,FALSE),0)+IFERROR(VLOOKUP($A14,WSoccer!$C:$O,H$1-2011,FALSE),0)+IFERROR(VLOOKUP($A14,WSoftball!$C:$O,H$1-2011,FALSE),0)+IFERROR(VLOOKUP($A14,WVolleyball!$C:$O,H$1-2011,FALSE),0)</f>
        <v>133429</v>
      </c>
      <c r="I14">
        <f>IFERROR(VLOOKUP($A14,MBaseball!$C:$N,I$1-2010,FALSE),0)+IFERROR(VLOOKUP($A14,MBasketball!$C:$J,I$1-2006,FALSE),0)+IFERROR(VLOOKUP($A14,MFootball!$C:$O,I$1-2011,FALSE),0)+IFERROR(VLOOKUP($A14,MIceHockey!$C:$P,I$1-2011,FALSE),0)+IFERROR(VLOOKUP($A14,MLacrosse!$C:$O,I$1-2011,FALSE),0)+IFERROR(VLOOKUP($A14,MSoccer!$C:$O,I$1-2011,FALSE),0)+IFERROR(VLOOKUP($A14,MVolleyball!$C:$O,I$1-2011,FALSE),0)+IFERROR(VLOOKUP($A14,WBasketball!$C:$O,I$1-2011,FALSE),0)+IFERROR(VLOOKUP($A14,WFieldHockey!$C:$O,I$1-2011,FALSE),0)+IFERROR(VLOOKUP($A14,WIceHockey!$C:$O,I$1-2011,FALSE),0)+IFERROR(VLOOKUP($A14,WLacrosse!$C:$O,I$1-2011,FALSE),0)+IFERROR(VLOOKUP($A14,WSoccer!$C:$O,I$1-2011,FALSE),0)+IFERROR(VLOOKUP($A14,WSoftball!$C:$O,I$1-2011,FALSE),0)+IFERROR(VLOOKUP($A14,WVolleyball!$C:$O,I$1-2011,FALSE),0)</f>
        <v>104449</v>
      </c>
      <c r="J14">
        <f>IFERROR(VLOOKUP($A14,MBaseball!$C:$N,J$1-2010,FALSE),0)+IFERROR(VLOOKUP($A14,MBasketball!$C:$J,J$1-2006,FALSE),0)+IFERROR(VLOOKUP($A14,MFootball!$C:$O,J$1-2011,FALSE),0)+IFERROR(VLOOKUP($A14,MIceHockey!$C:$P,J$1-2011,FALSE),0)+IFERROR(VLOOKUP($A14,MLacrosse!$C:$O,J$1-2011,FALSE),0)+IFERROR(VLOOKUP($A14,MSoccer!$C:$O,J$1-2011,FALSE),0)+IFERROR(VLOOKUP($A14,MVolleyball!$C:$O,J$1-2011,FALSE),0)+IFERROR(VLOOKUP($A14,WBasketball!$C:$O,J$1-2011,FALSE),0)+IFERROR(VLOOKUP($A14,WFieldHockey!$C:$O,J$1-2011,FALSE),0)+IFERROR(VLOOKUP($A14,WIceHockey!$C:$O,J$1-2011,FALSE),0)+IFERROR(VLOOKUP($A14,WLacrosse!$C:$O,J$1-2011,FALSE),0)+IFERROR(VLOOKUP($A14,WSoccer!$C:$O,J$1-2011,FALSE),0)+IFERROR(VLOOKUP($A14,WSoftball!$C:$O,J$1-2011,FALSE),0)+IFERROR(VLOOKUP($A14,WVolleyball!$C:$O,J$1-2011,FALSE),0)</f>
        <v>144876</v>
      </c>
      <c r="K14">
        <f>IFERROR(VLOOKUP($A14,MBaseball!$C:$N,K$1-2010,FALSE),0)+IFERROR(VLOOKUP($A14,MBasketball!$C:$J,K$1-2006,FALSE),0)+IFERROR(VLOOKUP($A14,MFootball!$C:$O,K$1-2011,FALSE),0)+IFERROR(VLOOKUP($A14,MIceHockey!$C:$P,K$1-2011,FALSE),0)+IFERROR(VLOOKUP($A14,MLacrosse!$C:$O,K$1-2011,FALSE),0)+IFERROR(VLOOKUP($A14,MSoccer!$C:$O,K$1-2011,FALSE),0)+IFERROR(VLOOKUP($A14,MVolleyball!$C:$O,K$1-2011,FALSE),0)+IFERROR(VLOOKUP($A14,WBasketball!$C:$O,K$1-2011,FALSE),0)+IFERROR(VLOOKUP($A14,WFieldHockey!$C:$O,K$1-2011,FALSE),0)+IFERROR(VLOOKUP($A14,WIceHockey!$C:$O,K$1-2011,FALSE),0)+IFERROR(VLOOKUP($A14,WLacrosse!$C:$O,K$1-2011,FALSE),0)+IFERROR(VLOOKUP($A14,WSoccer!$C:$O,K$1-2011,FALSE),0)+IFERROR(VLOOKUP($A14,WSoftball!$C:$O,K$1-2011,FALSE),0)+IFERROR(VLOOKUP($A14,WVolleyball!$C:$O,K$1-2011,FALSE),0)</f>
        <v>129848</v>
      </c>
      <c r="L14">
        <f>IFERROR(VLOOKUP($A14,MBaseball!$C:$N,L$1-2010,FALSE),0)+IFERROR(VLOOKUP($A14,MBasketball!$C:$J,L$1-2006,FALSE),0)+IFERROR(VLOOKUP($A14,MFootball!$C:$O,L$1-2011,FALSE),0)+IFERROR(VLOOKUP($A14,MIceHockey!$C:$P,L$1-2011,FALSE),0)+IFERROR(VLOOKUP($A14,MLacrosse!$C:$O,L$1-2011,FALSE),0)+IFERROR(VLOOKUP($A14,MSoccer!$C:$O,L$1-2011,FALSE),0)+IFERROR(VLOOKUP($A14,MVolleyball!$C:$O,L$1-2011,FALSE),0)+IFERROR(VLOOKUP($A14,WBasketball!$C:$O,L$1-2011,FALSE),0)+IFERROR(VLOOKUP($A14,WFieldHockey!$C:$O,L$1-2011,FALSE),0)+IFERROR(VLOOKUP($A14,WIceHockey!$C:$O,L$1-2011,FALSE),0)+IFERROR(VLOOKUP($A14,WLacrosse!$C:$O,L$1-2011,FALSE),0)+IFERROR(VLOOKUP($A14,WSoccer!$C:$O,L$1-2011,FALSE),0)+IFERROR(VLOOKUP($A14,WSoftball!$C:$O,L$1-2011,FALSE),0)+IFERROR(VLOOKUP($A14,WVolleyball!$C:$O,L$1-2011,FALSE),0)</f>
        <v>76</v>
      </c>
      <c r="M14">
        <f>IFERROR(VLOOKUP($A14,MBaseball!$C:$N,M$1-2010,FALSE),0)+IFERROR(VLOOKUP($A14,MBasketball!$C:$J,M$1-2006,FALSE),0)+IFERROR(VLOOKUP($A14,MFootball!$C:$O,M$1-2011,FALSE),0)+IFERROR(VLOOKUP($A14,MIceHockey!$C:$P,M$1-2011,FALSE),0)+IFERROR(VLOOKUP($A14,MLacrosse!$C:$O,M$1-2011,FALSE),0)+IFERROR(VLOOKUP($A14,MSoccer!$C:$O,M$1-2011,FALSE),0)+IFERROR(VLOOKUP($A14,MVolleyball!$C:$O,M$1-2011,FALSE),0)+IFERROR(VLOOKUP($A14,WBasketball!$C:$O,M$1-2011,FALSE),0)+IFERROR(VLOOKUP($A14,WFieldHockey!$C:$O,M$1-2011,FALSE),0)+IFERROR(VLOOKUP($A14,WIceHockey!$C:$O,M$1-2011,FALSE),0)+IFERROR(VLOOKUP($A14,WLacrosse!$C:$O,M$1-2011,FALSE),0)+IFERROR(VLOOKUP($A14,WSoccer!$C:$O,M$1-2011,FALSE),0)+IFERROR(VLOOKUP($A14,WSoftball!$C:$O,M$1-2011,FALSE),0)+IFERROR(VLOOKUP($A14,WVolleyball!$C:$O,M$1-2011,FALSE),0)</f>
        <v>117460</v>
      </c>
      <c r="N14">
        <f>IFERROR(VLOOKUP($A14,MBaseball!$C:$N,N$1-2010,FALSE),0)+IFERROR(VLOOKUP($A14,MBasketball!$C:$J,N$1-2006,FALSE),0)+IFERROR(VLOOKUP($A14,MFootball!$C:$O,N$1-2011,FALSE),0)+IFERROR(VLOOKUP($A14,MIceHockey!$C:$P,N$1-2011,FALSE),0)+IFERROR(VLOOKUP($A14,MLacrosse!$C:$O,N$1-2011,FALSE),0)+IFERROR(VLOOKUP($A14,MSoccer!$C:$O,N$1-2011,FALSE),0)+IFERROR(VLOOKUP($A14,MVolleyball!$C:$O,N$1-2011,FALSE),0)+IFERROR(VLOOKUP($A14,WBasketball!$C:$O,N$1-2011,FALSE),0)+IFERROR(VLOOKUP($A14,WFieldHockey!$C:$O,N$1-2011,FALSE),0)+IFERROR(VLOOKUP($A14,WIceHockey!$C:$O,N$1-2011,FALSE),0)+IFERROR(VLOOKUP($A14,WLacrosse!$C:$O,N$1-2011,FALSE),0)+IFERROR(VLOOKUP($A14,WSoccer!$C:$O,N$1-2011,FALSE),0)+IFERROR(VLOOKUP($A14,WSoftball!$C:$O,N$1-2011,FALSE),0)+IFERROR(VLOOKUP($A14,WVolleyball!$C:$O,N$1-2011,FALSE),0)</f>
        <v>104728</v>
      </c>
    </row>
    <row r="15" spans="1:15" x14ac:dyDescent="0.2">
      <c r="A15">
        <v>110422</v>
      </c>
      <c r="B15">
        <v>42020</v>
      </c>
      <c r="C15" t="s">
        <v>59</v>
      </c>
      <c r="D15">
        <v>14</v>
      </c>
      <c r="E15">
        <f>IFERROR(VLOOKUP($A15,MBaseball!$C:$N,E$1-2010,FALSE),0)+IFERROR(VLOOKUP($A15,MBasketball!$C:$J,E$1-2006,FALSE),0)+IFERROR(VLOOKUP($A15,MFootball!$C:$O,E$1-2011,FALSE),0)+IFERROR(VLOOKUP($A15,MIceHockey!$C:$P,E$1-2011,FALSE),0)+IFERROR(VLOOKUP($A15,MLacrosse!$C:$O,E$1-2011,FALSE),0)+IFERROR(VLOOKUP($A15,MSoccer!$C:$O,E$1-2011,FALSE),0)+IFERROR(VLOOKUP($A15,MVolleyball!$C:$O,E$1-2011,FALSE),0)+IFERROR(VLOOKUP($A15,WBasketball!$C:$O,E$1-2011,FALSE),0)+IFERROR(VLOOKUP($A15,WFieldHockey!$C:$O,E$1-2011,FALSE),0)+IFERROR(VLOOKUP($A15,WIceHockey!$C:$O,E$1-2011,FALSE),0)+IFERROR(VLOOKUP($A15,WLacrosse!$C:$O,E$1-2011,FALSE),0)+IFERROR(VLOOKUP($A15,WSoccer!$C:$O,E$1-2011,FALSE),0)+IFERROR(VLOOKUP($A15,WSoftball!$C:$O,E$1-2011,FALSE),0)+IFERROR(VLOOKUP($A15,WVolleyball!$C:$O,E$1-2011,FALSE),0)</f>
        <v>102701</v>
      </c>
      <c r="F15">
        <f>IFERROR(VLOOKUP($A15,MBaseball!$C:$N,F$1-2010,FALSE),0)+IFERROR(VLOOKUP($A15,MBasketball!$C:$J,F$1-2006,FALSE),0)+IFERROR(VLOOKUP($A15,MFootball!$C:$O,F$1-2011,FALSE),0)+IFERROR(VLOOKUP($A15,MIceHockey!$C:$P,F$1-2011,FALSE),0)+IFERROR(VLOOKUP($A15,MLacrosse!$C:$O,F$1-2011,FALSE),0)+IFERROR(VLOOKUP($A15,MSoccer!$C:$O,F$1-2011,FALSE),0)+IFERROR(VLOOKUP($A15,MVolleyball!$C:$O,F$1-2011,FALSE),0)+IFERROR(VLOOKUP($A15,WBasketball!$C:$O,F$1-2011,FALSE),0)+IFERROR(VLOOKUP($A15,WFieldHockey!$C:$O,F$1-2011,FALSE),0)+IFERROR(VLOOKUP($A15,WIceHockey!$C:$O,F$1-2011,FALSE),0)+IFERROR(VLOOKUP($A15,WLacrosse!$C:$O,F$1-2011,FALSE),0)+IFERROR(VLOOKUP($A15,WSoccer!$C:$O,F$1-2011,FALSE),0)+IFERROR(VLOOKUP($A15,WSoftball!$C:$O,F$1-2011,FALSE),0)+IFERROR(VLOOKUP($A15,WVolleyball!$C:$O,F$1-2011,FALSE),0)</f>
        <v>128089</v>
      </c>
      <c r="G15">
        <f>IFERROR(VLOOKUP($A15,MBaseball!$C:$N,G$1-2010,FALSE),0)+IFERROR(VLOOKUP($A15,MBasketball!$C:$J,G$1-2006,FALSE),0)+IFERROR(VLOOKUP($A15,MFootball!$C:$O,G$1-2011,FALSE),0)+IFERROR(VLOOKUP($A15,MIceHockey!$C:$P,G$1-2011,FALSE),0)+IFERROR(VLOOKUP($A15,MLacrosse!$C:$O,G$1-2011,FALSE),0)+IFERROR(VLOOKUP($A15,MSoccer!$C:$O,G$1-2011,FALSE),0)+IFERROR(VLOOKUP($A15,MVolleyball!$C:$O,G$1-2011,FALSE),0)+IFERROR(VLOOKUP($A15,WBasketball!$C:$O,G$1-2011,FALSE),0)+IFERROR(VLOOKUP($A15,WFieldHockey!$C:$O,G$1-2011,FALSE),0)+IFERROR(VLOOKUP($A15,WIceHockey!$C:$O,G$1-2011,FALSE),0)+IFERROR(VLOOKUP($A15,WLacrosse!$C:$O,G$1-2011,FALSE),0)+IFERROR(VLOOKUP($A15,WSoccer!$C:$O,G$1-2011,FALSE),0)+IFERROR(VLOOKUP($A15,WSoftball!$C:$O,G$1-2011,FALSE),0)+IFERROR(VLOOKUP($A15,WVolleyball!$C:$O,G$1-2011,FALSE),0)</f>
        <v>134653</v>
      </c>
      <c r="H15">
        <f>IFERROR(VLOOKUP($A15,MBaseball!$C:$N,H$1-2010,FALSE),0)+IFERROR(VLOOKUP($A15,MBasketball!$C:$J,H$1-2006,FALSE),0)+IFERROR(VLOOKUP($A15,MFootball!$C:$O,H$1-2011,FALSE),0)+IFERROR(VLOOKUP($A15,MIceHockey!$C:$P,H$1-2011,FALSE),0)+IFERROR(VLOOKUP($A15,MLacrosse!$C:$O,H$1-2011,FALSE),0)+IFERROR(VLOOKUP($A15,MSoccer!$C:$O,H$1-2011,FALSE),0)+IFERROR(VLOOKUP($A15,MVolleyball!$C:$O,H$1-2011,FALSE),0)+IFERROR(VLOOKUP($A15,WBasketball!$C:$O,H$1-2011,FALSE),0)+IFERROR(VLOOKUP($A15,WFieldHockey!$C:$O,H$1-2011,FALSE),0)+IFERROR(VLOOKUP($A15,WIceHockey!$C:$O,H$1-2011,FALSE),0)+IFERROR(VLOOKUP($A15,WLacrosse!$C:$O,H$1-2011,FALSE),0)+IFERROR(VLOOKUP($A15,WSoccer!$C:$O,H$1-2011,FALSE),0)+IFERROR(VLOOKUP($A15,WSoftball!$C:$O,H$1-2011,FALSE),0)+IFERROR(VLOOKUP($A15,WVolleyball!$C:$O,H$1-2011,FALSE),0)</f>
        <v>136282</v>
      </c>
      <c r="I15">
        <f>IFERROR(VLOOKUP($A15,MBaseball!$C:$N,I$1-2010,FALSE),0)+IFERROR(VLOOKUP($A15,MBasketball!$C:$J,I$1-2006,FALSE),0)+IFERROR(VLOOKUP($A15,MFootball!$C:$O,I$1-2011,FALSE),0)+IFERROR(VLOOKUP($A15,MIceHockey!$C:$P,I$1-2011,FALSE),0)+IFERROR(VLOOKUP($A15,MLacrosse!$C:$O,I$1-2011,FALSE),0)+IFERROR(VLOOKUP($A15,MSoccer!$C:$O,I$1-2011,FALSE),0)+IFERROR(VLOOKUP($A15,MVolleyball!$C:$O,I$1-2011,FALSE),0)+IFERROR(VLOOKUP($A15,WBasketball!$C:$O,I$1-2011,FALSE),0)+IFERROR(VLOOKUP($A15,WFieldHockey!$C:$O,I$1-2011,FALSE),0)+IFERROR(VLOOKUP($A15,WIceHockey!$C:$O,I$1-2011,FALSE),0)+IFERROR(VLOOKUP($A15,WLacrosse!$C:$O,I$1-2011,FALSE),0)+IFERROR(VLOOKUP($A15,WSoccer!$C:$O,I$1-2011,FALSE),0)+IFERROR(VLOOKUP($A15,WSoftball!$C:$O,I$1-2011,FALSE),0)+IFERROR(VLOOKUP($A15,WVolleyball!$C:$O,I$1-2011,FALSE),0)</f>
        <v>137629</v>
      </c>
      <c r="J15">
        <f>IFERROR(VLOOKUP($A15,MBaseball!$C:$N,J$1-2010,FALSE),0)+IFERROR(VLOOKUP($A15,MBasketball!$C:$J,J$1-2006,FALSE),0)+IFERROR(VLOOKUP($A15,MFootball!$C:$O,J$1-2011,FALSE),0)+IFERROR(VLOOKUP($A15,MIceHockey!$C:$P,J$1-2011,FALSE),0)+IFERROR(VLOOKUP($A15,MLacrosse!$C:$O,J$1-2011,FALSE),0)+IFERROR(VLOOKUP($A15,MSoccer!$C:$O,J$1-2011,FALSE),0)+IFERROR(VLOOKUP($A15,MVolleyball!$C:$O,J$1-2011,FALSE),0)+IFERROR(VLOOKUP($A15,WBasketball!$C:$O,J$1-2011,FALSE),0)+IFERROR(VLOOKUP($A15,WFieldHockey!$C:$O,J$1-2011,FALSE),0)+IFERROR(VLOOKUP($A15,WIceHockey!$C:$O,J$1-2011,FALSE),0)+IFERROR(VLOOKUP($A15,WLacrosse!$C:$O,J$1-2011,FALSE),0)+IFERROR(VLOOKUP($A15,WSoccer!$C:$O,J$1-2011,FALSE),0)+IFERROR(VLOOKUP($A15,WSoftball!$C:$O,J$1-2011,FALSE),0)+IFERROR(VLOOKUP($A15,WVolleyball!$C:$O,J$1-2011,FALSE),0)</f>
        <v>116245</v>
      </c>
      <c r="K15">
        <f>IFERROR(VLOOKUP($A15,MBaseball!$C:$N,K$1-2010,FALSE),0)+IFERROR(VLOOKUP($A15,MBasketball!$C:$J,K$1-2006,FALSE),0)+IFERROR(VLOOKUP($A15,MFootball!$C:$O,K$1-2011,FALSE),0)+IFERROR(VLOOKUP($A15,MIceHockey!$C:$P,K$1-2011,FALSE),0)+IFERROR(VLOOKUP($A15,MLacrosse!$C:$O,K$1-2011,FALSE),0)+IFERROR(VLOOKUP($A15,MSoccer!$C:$O,K$1-2011,FALSE),0)+IFERROR(VLOOKUP($A15,MVolleyball!$C:$O,K$1-2011,FALSE),0)+IFERROR(VLOOKUP($A15,WBasketball!$C:$O,K$1-2011,FALSE),0)+IFERROR(VLOOKUP($A15,WFieldHockey!$C:$O,K$1-2011,FALSE),0)+IFERROR(VLOOKUP($A15,WIceHockey!$C:$O,K$1-2011,FALSE),0)+IFERROR(VLOOKUP($A15,WLacrosse!$C:$O,K$1-2011,FALSE),0)+IFERROR(VLOOKUP($A15,WSoccer!$C:$O,K$1-2011,FALSE),0)+IFERROR(VLOOKUP($A15,WSoftball!$C:$O,K$1-2011,FALSE),0)+IFERROR(VLOOKUP($A15,WVolleyball!$C:$O,K$1-2011,FALSE),0)</f>
        <v>80944</v>
      </c>
      <c r="L15">
        <f>IFERROR(VLOOKUP($A15,MBaseball!$C:$N,L$1-2010,FALSE),0)+IFERROR(VLOOKUP($A15,MBasketball!$C:$J,L$1-2006,FALSE),0)+IFERROR(VLOOKUP($A15,MFootball!$C:$O,L$1-2011,FALSE),0)+IFERROR(VLOOKUP($A15,MIceHockey!$C:$P,L$1-2011,FALSE),0)+IFERROR(VLOOKUP($A15,MLacrosse!$C:$O,L$1-2011,FALSE),0)+IFERROR(VLOOKUP($A15,MSoccer!$C:$O,L$1-2011,FALSE),0)+IFERROR(VLOOKUP($A15,MVolleyball!$C:$O,L$1-2011,FALSE),0)+IFERROR(VLOOKUP($A15,WBasketball!$C:$O,L$1-2011,FALSE),0)+IFERROR(VLOOKUP($A15,WFieldHockey!$C:$O,L$1-2011,FALSE),0)+IFERROR(VLOOKUP($A15,WIceHockey!$C:$O,L$1-2011,FALSE),0)+IFERROR(VLOOKUP($A15,WLacrosse!$C:$O,L$1-2011,FALSE),0)+IFERROR(VLOOKUP($A15,WSoccer!$C:$O,L$1-2011,FALSE),0)+IFERROR(VLOOKUP($A15,WSoftball!$C:$O,L$1-2011,FALSE),0)+IFERROR(VLOOKUP($A15,WVolleyball!$C:$O,L$1-2011,FALSE),0)</f>
        <v>62973</v>
      </c>
      <c r="M15">
        <f>IFERROR(VLOOKUP($A15,MBaseball!$C:$N,M$1-2010,FALSE),0)+IFERROR(VLOOKUP($A15,MBasketball!$C:$J,M$1-2006,FALSE),0)+IFERROR(VLOOKUP($A15,MFootball!$C:$O,M$1-2011,FALSE),0)+IFERROR(VLOOKUP($A15,MIceHockey!$C:$P,M$1-2011,FALSE),0)+IFERROR(VLOOKUP($A15,MLacrosse!$C:$O,M$1-2011,FALSE),0)+IFERROR(VLOOKUP($A15,MSoccer!$C:$O,M$1-2011,FALSE),0)+IFERROR(VLOOKUP($A15,MVolleyball!$C:$O,M$1-2011,FALSE),0)+IFERROR(VLOOKUP($A15,WBasketball!$C:$O,M$1-2011,FALSE),0)+IFERROR(VLOOKUP($A15,WFieldHockey!$C:$O,M$1-2011,FALSE),0)+IFERROR(VLOOKUP($A15,WIceHockey!$C:$O,M$1-2011,FALSE),0)+IFERROR(VLOOKUP($A15,WLacrosse!$C:$O,M$1-2011,FALSE),0)+IFERROR(VLOOKUP($A15,WSoccer!$C:$O,M$1-2011,FALSE),0)+IFERROR(VLOOKUP($A15,WSoftball!$C:$O,M$1-2011,FALSE),0)+IFERROR(VLOOKUP($A15,WVolleyball!$C:$O,M$1-2011,FALSE),0)</f>
        <v>144861</v>
      </c>
      <c r="N15">
        <f>IFERROR(VLOOKUP($A15,MBaseball!$C:$N,N$1-2010,FALSE),0)+IFERROR(VLOOKUP($A15,MBasketball!$C:$J,N$1-2006,FALSE),0)+IFERROR(VLOOKUP($A15,MFootball!$C:$O,N$1-2011,FALSE),0)+IFERROR(VLOOKUP($A15,MIceHockey!$C:$P,N$1-2011,FALSE),0)+IFERROR(VLOOKUP($A15,MLacrosse!$C:$O,N$1-2011,FALSE),0)+IFERROR(VLOOKUP($A15,MSoccer!$C:$O,N$1-2011,FALSE),0)+IFERROR(VLOOKUP($A15,MVolleyball!$C:$O,N$1-2011,FALSE),0)+IFERROR(VLOOKUP($A15,WBasketball!$C:$O,N$1-2011,FALSE),0)+IFERROR(VLOOKUP($A15,WFieldHockey!$C:$O,N$1-2011,FALSE),0)+IFERROR(VLOOKUP($A15,WIceHockey!$C:$O,N$1-2011,FALSE),0)+IFERROR(VLOOKUP($A15,WLacrosse!$C:$O,N$1-2011,FALSE),0)+IFERROR(VLOOKUP($A15,WSoccer!$C:$O,N$1-2011,FALSE),0)+IFERROR(VLOOKUP($A15,WSoftball!$C:$O,N$1-2011,FALSE),0)+IFERROR(VLOOKUP($A15,WVolleyball!$C:$O,N$1-2011,FALSE),0)</f>
        <v>103366</v>
      </c>
    </row>
    <row r="16" spans="1:15" x14ac:dyDescent="0.2">
      <c r="A16">
        <v>110486</v>
      </c>
      <c r="B16">
        <v>12540</v>
      </c>
      <c r="C16" t="s">
        <v>60</v>
      </c>
      <c r="D16">
        <v>15</v>
      </c>
      <c r="E16">
        <f>IFERROR(VLOOKUP($A16,MBaseball!$C:$N,E$1-2010,FALSE),0)+IFERROR(VLOOKUP($A16,MBasketball!$C:$J,E$1-2006,FALSE),0)+IFERROR(VLOOKUP($A16,MFootball!$C:$O,E$1-2011,FALSE),0)+IFERROR(VLOOKUP($A16,MIceHockey!$C:$P,E$1-2011,FALSE),0)+IFERROR(VLOOKUP($A16,MLacrosse!$C:$O,E$1-2011,FALSE),0)+IFERROR(VLOOKUP($A16,MSoccer!$C:$O,E$1-2011,FALSE),0)+IFERROR(VLOOKUP($A16,MVolleyball!$C:$O,E$1-2011,FALSE),0)+IFERROR(VLOOKUP($A16,WBasketball!$C:$O,E$1-2011,FALSE),0)+IFERROR(VLOOKUP($A16,WFieldHockey!$C:$O,E$1-2011,FALSE),0)+IFERROR(VLOOKUP($A16,WIceHockey!$C:$O,E$1-2011,FALSE),0)+IFERROR(VLOOKUP($A16,WLacrosse!$C:$O,E$1-2011,FALSE),0)+IFERROR(VLOOKUP($A16,WSoccer!$C:$O,E$1-2011,FALSE),0)+IFERROR(VLOOKUP($A16,WSoftball!$C:$O,E$1-2011,FALSE),0)+IFERROR(VLOOKUP($A16,WVolleyball!$C:$O,E$1-2011,FALSE),0)</f>
        <v>61444</v>
      </c>
      <c r="F16">
        <f>IFERROR(VLOOKUP($A16,MBaseball!$C:$N,F$1-2010,FALSE),0)+IFERROR(VLOOKUP($A16,MBasketball!$C:$J,F$1-2006,FALSE),0)+IFERROR(VLOOKUP($A16,MFootball!$C:$O,F$1-2011,FALSE),0)+IFERROR(VLOOKUP($A16,MIceHockey!$C:$P,F$1-2011,FALSE),0)+IFERROR(VLOOKUP($A16,MLacrosse!$C:$O,F$1-2011,FALSE),0)+IFERROR(VLOOKUP($A16,MSoccer!$C:$O,F$1-2011,FALSE),0)+IFERROR(VLOOKUP($A16,MVolleyball!$C:$O,F$1-2011,FALSE),0)+IFERROR(VLOOKUP($A16,WBasketball!$C:$O,F$1-2011,FALSE),0)+IFERROR(VLOOKUP($A16,WFieldHockey!$C:$O,F$1-2011,FALSE),0)+IFERROR(VLOOKUP($A16,WIceHockey!$C:$O,F$1-2011,FALSE),0)+IFERROR(VLOOKUP($A16,WLacrosse!$C:$O,F$1-2011,FALSE),0)+IFERROR(VLOOKUP($A16,WSoccer!$C:$O,F$1-2011,FALSE),0)+IFERROR(VLOOKUP($A16,WSoftball!$C:$O,F$1-2011,FALSE),0)+IFERROR(VLOOKUP($A16,WVolleyball!$C:$O,F$1-2011,FALSE),0)</f>
        <v>39969</v>
      </c>
      <c r="G16">
        <f>IFERROR(VLOOKUP($A16,MBaseball!$C:$N,G$1-2010,FALSE),0)+IFERROR(VLOOKUP($A16,MBasketball!$C:$J,G$1-2006,FALSE),0)+IFERROR(VLOOKUP($A16,MFootball!$C:$O,G$1-2011,FALSE),0)+IFERROR(VLOOKUP($A16,MIceHockey!$C:$P,G$1-2011,FALSE),0)+IFERROR(VLOOKUP($A16,MLacrosse!$C:$O,G$1-2011,FALSE),0)+IFERROR(VLOOKUP($A16,MSoccer!$C:$O,G$1-2011,FALSE),0)+IFERROR(VLOOKUP($A16,MVolleyball!$C:$O,G$1-2011,FALSE),0)+IFERROR(VLOOKUP($A16,WBasketball!$C:$O,G$1-2011,FALSE),0)+IFERROR(VLOOKUP($A16,WFieldHockey!$C:$O,G$1-2011,FALSE),0)+IFERROR(VLOOKUP($A16,WIceHockey!$C:$O,G$1-2011,FALSE),0)+IFERROR(VLOOKUP($A16,WLacrosse!$C:$O,G$1-2011,FALSE),0)+IFERROR(VLOOKUP($A16,WSoccer!$C:$O,G$1-2011,FALSE),0)+IFERROR(VLOOKUP($A16,WSoftball!$C:$O,G$1-2011,FALSE),0)+IFERROR(VLOOKUP($A16,WVolleyball!$C:$O,G$1-2011,FALSE),0)</f>
        <v>44303</v>
      </c>
      <c r="H16">
        <f>IFERROR(VLOOKUP($A16,MBaseball!$C:$N,H$1-2010,FALSE),0)+IFERROR(VLOOKUP($A16,MBasketball!$C:$J,H$1-2006,FALSE),0)+IFERROR(VLOOKUP($A16,MFootball!$C:$O,H$1-2011,FALSE),0)+IFERROR(VLOOKUP($A16,MIceHockey!$C:$P,H$1-2011,FALSE),0)+IFERROR(VLOOKUP($A16,MLacrosse!$C:$O,H$1-2011,FALSE),0)+IFERROR(VLOOKUP($A16,MSoccer!$C:$O,H$1-2011,FALSE),0)+IFERROR(VLOOKUP($A16,MVolleyball!$C:$O,H$1-2011,FALSE),0)+IFERROR(VLOOKUP($A16,WBasketball!$C:$O,H$1-2011,FALSE),0)+IFERROR(VLOOKUP($A16,WFieldHockey!$C:$O,H$1-2011,FALSE),0)+IFERROR(VLOOKUP($A16,WIceHockey!$C:$O,H$1-2011,FALSE),0)+IFERROR(VLOOKUP($A16,WLacrosse!$C:$O,H$1-2011,FALSE),0)+IFERROR(VLOOKUP($A16,WSoccer!$C:$O,H$1-2011,FALSE),0)+IFERROR(VLOOKUP($A16,WSoftball!$C:$O,H$1-2011,FALSE),0)+IFERROR(VLOOKUP($A16,WVolleyball!$C:$O,H$1-2011,FALSE),0)</f>
        <v>46718</v>
      </c>
      <c r="I16">
        <f>IFERROR(VLOOKUP($A16,MBaseball!$C:$N,I$1-2010,FALSE),0)+IFERROR(VLOOKUP($A16,MBasketball!$C:$J,I$1-2006,FALSE),0)+IFERROR(VLOOKUP($A16,MFootball!$C:$O,I$1-2011,FALSE),0)+IFERROR(VLOOKUP($A16,MIceHockey!$C:$P,I$1-2011,FALSE),0)+IFERROR(VLOOKUP($A16,MLacrosse!$C:$O,I$1-2011,FALSE),0)+IFERROR(VLOOKUP($A16,MSoccer!$C:$O,I$1-2011,FALSE),0)+IFERROR(VLOOKUP($A16,MVolleyball!$C:$O,I$1-2011,FALSE),0)+IFERROR(VLOOKUP($A16,WBasketball!$C:$O,I$1-2011,FALSE),0)+IFERROR(VLOOKUP($A16,WFieldHockey!$C:$O,I$1-2011,FALSE),0)+IFERROR(VLOOKUP($A16,WIceHockey!$C:$O,I$1-2011,FALSE),0)+IFERROR(VLOOKUP($A16,WLacrosse!$C:$O,I$1-2011,FALSE),0)+IFERROR(VLOOKUP($A16,WSoccer!$C:$O,I$1-2011,FALSE),0)+IFERROR(VLOOKUP($A16,WSoftball!$C:$O,I$1-2011,FALSE),0)+IFERROR(VLOOKUP($A16,WVolleyball!$C:$O,I$1-2011,FALSE),0)</f>
        <v>34582</v>
      </c>
      <c r="J16">
        <f>IFERROR(VLOOKUP($A16,MBaseball!$C:$N,J$1-2010,FALSE),0)+IFERROR(VLOOKUP($A16,MBasketball!$C:$J,J$1-2006,FALSE),0)+IFERROR(VLOOKUP($A16,MFootball!$C:$O,J$1-2011,FALSE),0)+IFERROR(VLOOKUP($A16,MIceHockey!$C:$P,J$1-2011,FALSE),0)+IFERROR(VLOOKUP($A16,MLacrosse!$C:$O,J$1-2011,FALSE),0)+IFERROR(VLOOKUP($A16,MSoccer!$C:$O,J$1-2011,FALSE),0)+IFERROR(VLOOKUP($A16,MVolleyball!$C:$O,J$1-2011,FALSE),0)+IFERROR(VLOOKUP($A16,WBasketball!$C:$O,J$1-2011,FALSE),0)+IFERROR(VLOOKUP($A16,WFieldHockey!$C:$O,J$1-2011,FALSE),0)+IFERROR(VLOOKUP($A16,WIceHockey!$C:$O,J$1-2011,FALSE),0)+IFERROR(VLOOKUP($A16,WLacrosse!$C:$O,J$1-2011,FALSE),0)+IFERROR(VLOOKUP($A16,WSoccer!$C:$O,J$1-2011,FALSE),0)+IFERROR(VLOOKUP($A16,WSoftball!$C:$O,J$1-2011,FALSE),0)+IFERROR(VLOOKUP($A16,WVolleyball!$C:$O,J$1-2011,FALSE),0)</f>
        <v>29943</v>
      </c>
      <c r="K16">
        <f>IFERROR(VLOOKUP($A16,MBaseball!$C:$N,K$1-2010,FALSE),0)+IFERROR(VLOOKUP($A16,MBasketball!$C:$J,K$1-2006,FALSE),0)+IFERROR(VLOOKUP($A16,MFootball!$C:$O,K$1-2011,FALSE),0)+IFERROR(VLOOKUP($A16,MIceHockey!$C:$P,K$1-2011,FALSE),0)+IFERROR(VLOOKUP($A16,MLacrosse!$C:$O,K$1-2011,FALSE),0)+IFERROR(VLOOKUP($A16,MSoccer!$C:$O,K$1-2011,FALSE),0)+IFERROR(VLOOKUP($A16,MVolleyball!$C:$O,K$1-2011,FALSE),0)+IFERROR(VLOOKUP($A16,WBasketball!$C:$O,K$1-2011,FALSE),0)+IFERROR(VLOOKUP($A16,WFieldHockey!$C:$O,K$1-2011,FALSE),0)+IFERROR(VLOOKUP($A16,WIceHockey!$C:$O,K$1-2011,FALSE),0)+IFERROR(VLOOKUP($A16,WLacrosse!$C:$O,K$1-2011,FALSE),0)+IFERROR(VLOOKUP($A16,WSoccer!$C:$O,K$1-2011,FALSE),0)+IFERROR(VLOOKUP($A16,WSoftball!$C:$O,K$1-2011,FALSE),0)+IFERROR(VLOOKUP($A16,WVolleyball!$C:$O,K$1-2011,FALSE),0)</f>
        <v>15719</v>
      </c>
      <c r="L16">
        <f>IFERROR(VLOOKUP($A16,MBaseball!$C:$N,L$1-2010,FALSE),0)+IFERROR(VLOOKUP($A16,MBasketball!$C:$J,L$1-2006,FALSE),0)+IFERROR(VLOOKUP($A16,MFootball!$C:$O,L$1-2011,FALSE),0)+IFERROR(VLOOKUP($A16,MIceHockey!$C:$P,L$1-2011,FALSE),0)+IFERROR(VLOOKUP($A16,MLacrosse!$C:$O,L$1-2011,FALSE),0)+IFERROR(VLOOKUP($A16,MSoccer!$C:$O,L$1-2011,FALSE),0)+IFERROR(VLOOKUP($A16,MVolleyball!$C:$O,L$1-2011,FALSE),0)+IFERROR(VLOOKUP($A16,WBasketball!$C:$O,L$1-2011,FALSE),0)+IFERROR(VLOOKUP($A16,WFieldHockey!$C:$O,L$1-2011,FALSE),0)+IFERROR(VLOOKUP($A16,WIceHockey!$C:$O,L$1-2011,FALSE),0)+IFERROR(VLOOKUP($A16,WLacrosse!$C:$O,L$1-2011,FALSE),0)+IFERROR(VLOOKUP($A16,WSoccer!$C:$O,L$1-2011,FALSE),0)+IFERROR(VLOOKUP($A16,WSoftball!$C:$O,L$1-2011,FALSE),0)+IFERROR(VLOOKUP($A16,WVolleyball!$C:$O,L$1-2011,FALSE),0)</f>
        <v>17602</v>
      </c>
      <c r="M16">
        <f>IFERROR(VLOOKUP($A16,MBaseball!$C:$N,M$1-2010,FALSE),0)+IFERROR(VLOOKUP($A16,MBasketball!$C:$J,M$1-2006,FALSE),0)+IFERROR(VLOOKUP($A16,MFootball!$C:$O,M$1-2011,FALSE),0)+IFERROR(VLOOKUP($A16,MIceHockey!$C:$P,M$1-2011,FALSE),0)+IFERROR(VLOOKUP($A16,MLacrosse!$C:$O,M$1-2011,FALSE),0)+IFERROR(VLOOKUP($A16,MSoccer!$C:$O,M$1-2011,FALSE),0)+IFERROR(VLOOKUP($A16,MVolleyball!$C:$O,M$1-2011,FALSE),0)+IFERROR(VLOOKUP($A16,WBasketball!$C:$O,M$1-2011,FALSE),0)+IFERROR(VLOOKUP($A16,WFieldHockey!$C:$O,M$1-2011,FALSE),0)+IFERROR(VLOOKUP($A16,WIceHockey!$C:$O,M$1-2011,FALSE),0)+IFERROR(VLOOKUP($A16,WLacrosse!$C:$O,M$1-2011,FALSE),0)+IFERROR(VLOOKUP($A16,WSoccer!$C:$O,M$1-2011,FALSE),0)+IFERROR(VLOOKUP($A16,WSoftball!$C:$O,M$1-2011,FALSE),0)+IFERROR(VLOOKUP($A16,WVolleyball!$C:$O,M$1-2011,FALSE),0)</f>
        <v>33982</v>
      </c>
      <c r="N16">
        <f>IFERROR(VLOOKUP($A16,MBaseball!$C:$N,N$1-2010,FALSE),0)+IFERROR(VLOOKUP($A16,MBasketball!$C:$J,N$1-2006,FALSE),0)+IFERROR(VLOOKUP($A16,MFootball!$C:$O,N$1-2011,FALSE),0)+IFERROR(VLOOKUP($A16,MIceHockey!$C:$P,N$1-2011,FALSE),0)+IFERROR(VLOOKUP($A16,MLacrosse!$C:$O,N$1-2011,FALSE),0)+IFERROR(VLOOKUP($A16,MSoccer!$C:$O,N$1-2011,FALSE),0)+IFERROR(VLOOKUP($A16,MVolleyball!$C:$O,N$1-2011,FALSE),0)+IFERROR(VLOOKUP($A16,WBasketball!$C:$O,N$1-2011,FALSE),0)+IFERROR(VLOOKUP($A16,WFieldHockey!$C:$O,N$1-2011,FALSE),0)+IFERROR(VLOOKUP($A16,WIceHockey!$C:$O,N$1-2011,FALSE),0)+IFERROR(VLOOKUP($A16,WLacrosse!$C:$O,N$1-2011,FALSE),0)+IFERROR(VLOOKUP($A16,WSoccer!$C:$O,N$1-2011,FALSE),0)+IFERROR(VLOOKUP($A16,WSoftball!$C:$O,N$1-2011,FALSE),0)+IFERROR(VLOOKUP($A16,WVolleyball!$C:$O,N$1-2011,FALSE),0)</f>
        <v>26178</v>
      </c>
    </row>
    <row r="17" spans="1:14" x14ac:dyDescent="0.2">
      <c r="A17">
        <v>110565</v>
      </c>
      <c r="B17">
        <v>31080</v>
      </c>
      <c r="C17" t="s">
        <v>61</v>
      </c>
      <c r="D17">
        <v>16</v>
      </c>
      <c r="E17">
        <f>IFERROR(VLOOKUP($A17,MBaseball!$C:$N,E$1-2010,FALSE),0)+IFERROR(VLOOKUP($A17,MBasketball!$C:$J,E$1-2006,FALSE),0)+IFERROR(VLOOKUP($A17,MFootball!$C:$O,E$1-2011,FALSE),0)+IFERROR(VLOOKUP($A17,MIceHockey!$C:$P,E$1-2011,FALSE),0)+IFERROR(VLOOKUP($A17,MLacrosse!$C:$O,E$1-2011,FALSE),0)+IFERROR(VLOOKUP($A17,MSoccer!$C:$O,E$1-2011,FALSE),0)+IFERROR(VLOOKUP($A17,MVolleyball!$C:$O,E$1-2011,FALSE),0)+IFERROR(VLOOKUP($A17,WBasketball!$C:$O,E$1-2011,FALSE),0)+IFERROR(VLOOKUP($A17,WFieldHockey!$C:$O,E$1-2011,FALSE),0)+IFERROR(VLOOKUP($A17,WIceHockey!$C:$O,E$1-2011,FALSE),0)+IFERROR(VLOOKUP($A17,WLacrosse!$C:$O,E$1-2011,FALSE),0)+IFERROR(VLOOKUP($A17,WSoccer!$C:$O,E$1-2011,FALSE),0)+IFERROR(VLOOKUP($A17,WSoftball!$C:$O,E$1-2011,FALSE),0)+IFERROR(VLOOKUP($A17,WVolleyball!$C:$O,E$1-2011,FALSE),0)</f>
        <v>92140</v>
      </c>
      <c r="F17">
        <f>IFERROR(VLOOKUP($A17,MBaseball!$C:$N,F$1-2010,FALSE),0)+IFERROR(VLOOKUP($A17,MBasketball!$C:$J,F$1-2006,FALSE),0)+IFERROR(VLOOKUP($A17,MFootball!$C:$O,F$1-2011,FALSE),0)+IFERROR(VLOOKUP($A17,MIceHockey!$C:$P,F$1-2011,FALSE),0)+IFERROR(VLOOKUP($A17,MLacrosse!$C:$O,F$1-2011,FALSE),0)+IFERROR(VLOOKUP($A17,MSoccer!$C:$O,F$1-2011,FALSE),0)+IFERROR(VLOOKUP($A17,MVolleyball!$C:$O,F$1-2011,FALSE),0)+IFERROR(VLOOKUP($A17,WBasketball!$C:$O,F$1-2011,FALSE),0)+IFERROR(VLOOKUP($A17,WFieldHockey!$C:$O,F$1-2011,FALSE),0)+IFERROR(VLOOKUP($A17,WIceHockey!$C:$O,F$1-2011,FALSE),0)+IFERROR(VLOOKUP($A17,WLacrosse!$C:$O,F$1-2011,FALSE),0)+IFERROR(VLOOKUP($A17,WSoccer!$C:$O,F$1-2011,FALSE),0)+IFERROR(VLOOKUP($A17,WSoftball!$C:$O,F$1-2011,FALSE),0)+IFERROR(VLOOKUP($A17,WVolleyball!$C:$O,F$1-2011,FALSE),0)</f>
        <v>79727</v>
      </c>
      <c r="G17">
        <f>IFERROR(VLOOKUP($A17,MBaseball!$C:$N,G$1-2010,FALSE),0)+IFERROR(VLOOKUP($A17,MBasketball!$C:$J,G$1-2006,FALSE),0)+IFERROR(VLOOKUP($A17,MFootball!$C:$O,G$1-2011,FALSE),0)+IFERROR(VLOOKUP($A17,MIceHockey!$C:$P,G$1-2011,FALSE),0)+IFERROR(VLOOKUP($A17,MLacrosse!$C:$O,G$1-2011,FALSE),0)+IFERROR(VLOOKUP($A17,MSoccer!$C:$O,G$1-2011,FALSE),0)+IFERROR(VLOOKUP($A17,MVolleyball!$C:$O,G$1-2011,FALSE),0)+IFERROR(VLOOKUP($A17,WBasketball!$C:$O,G$1-2011,FALSE),0)+IFERROR(VLOOKUP($A17,WFieldHockey!$C:$O,G$1-2011,FALSE),0)+IFERROR(VLOOKUP($A17,WIceHockey!$C:$O,G$1-2011,FALSE),0)+IFERROR(VLOOKUP($A17,WLacrosse!$C:$O,G$1-2011,FALSE),0)+IFERROR(VLOOKUP($A17,WSoccer!$C:$O,G$1-2011,FALSE),0)+IFERROR(VLOOKUP($A17,WSoftball!$C:$O,G$1-2011,FALSE),0)+IFERROR(VLOOKUP($A17,WVolleyball!$C:$O,G$1-2011,FALSE),0)</f>
        <v>88097</v>
      </c>
      <c r="H17">
        <f>IFERROR(VLOOKUP($A17,MBaseball!$C:$N,H$1-2010,FALSE),0)+IFERROR(VLOOKUP($A17,MBasketball!$C:$J,H$1-2006,FALSE),0)+IFERROR(VLOOKUP($A17,MFootball!$C:$O,H$1-2011,FALSE),0)+IFERROR(VLOOKUP($A17,MIceHockey!$C:$P,H$1-2011,FALSE),0)+IFERROR(VLOOKUP($A17,MLacrosse!$C:$O,H$1-2011,FALSE),0)+IFERROR(VLOOKUP($A17,MSoccer!$C:$O,H$1-2011,FALSE),0)+IFERROR(VLOOKUP($A17,MVolleyball!$C:$O,H$1-2011,FALSE),0)+IFERROR(VLOOKUP($A17,WBasketball!$C:$O,H$1-2011,FALSE),0)+IFERROR(VLOOKUP($A17,WFieldHockey!$C:$O,H$1-2011,FALSE),0)+IFERROR(VLOOKUP($A17,WIceHockey!$C:$O,H$1-2011,FALSE),0)+IFERROR(VLOOKUP($A17,WLacrosse!$C:$O,H$1-2011,FALSE),0)+IFERROR(VLOOKUP($A17,WSoccer!$C:$O,H$1-2011,FALSE),0)+IFERROR(VLOOKUP($A17,WSoftball!$C:$O,H$1-2011,FALSE),0)+IFERROR(VLOOKUP($A17,WVolleyball!$C:$O,H$1-2011,FALSE),0)</f>
        <v>81586</v>
      </c>
      <c r="I17">
        <f>IFERROR(VLOOKUP($A17,MBaseball!$C:$N,I$1-2010,FALSE),0)+IFERROR(VLOOKUP($A17,MBasketball!$C:$J,I$1-2006,FALSE),0)+IFERROR(VLOOKUP($A17,MFootball!$C:$O,I$1-2011,FALSE),0)+IFERROR(VLOOKUP($A17,MIceHockey!$C:$P,I$1-2011,FALSE),0)+IFERROR(VLOOKUP($A17,MLacrosse!$C:$O,I$1-2011,FALSE),0)+IFERROR(VLOOKUP($A17,MSoccer!$C:$O,I$1-2011,FALSE),0)+IFERROR(VLOOKUP($A17,MVolleyball!$C:$O,I$1-2011,FALSE),0)+IFERROR(VLOOKUP($A17,WBasketball!$C:$O,I$1-2011,FALSE),0)+IFERROR(VLOOKUP($A17,WFieldHockey!$C:$O,I$1-2011,FALSE),0)+IFERROR(VLOOKUP($A17,WIceHockey!$C:$O,I$1-2011,FALSE),0)+IFERROR(VLOOKUP($A17,WLacrosse!$C:$O,I$1-2011,FALSE),0)+IFERROR(VLOOKUP($A17,WSoccer!$C:$O,I$1-2011,FALSE),0)+IFERROR(VLOOKUP($A17,WSoftball!$C:$O,I$1-2011,FALSE),0)+IFERROR(VLOOKUP($A17,WVolleyball!$C:$O,I$1-2011,FALSE),0)</f>
        <v>70869</v>
      </c>
      <c r="J17">
        <f>IFERROR(VLOOKUP($A17,MBaseball!$C:$N,J$1-2010,FALSE),0)+IFERROR(VLOOKUP($A17,MBasketball!$C:$J,J$1-2006,FALSE),0)+IFERROR(VLOOKUP($A17,MFootball!$C:$O,J$1-2011,FALSE),0)+IFERROR(VLOOKUP($A17,MIceHockey!$C:$P,J$1-2011,FALSE),0)+IFERROR(VLOOKUP($A17,MLacrosse!$C:$O,J$1-2011,FALSE),0)+IFERROR(VLOOKUP($A17,MSoccer!$C:$O,J$1-2011,FALSE),0)+IFERROR(VLOOKUP($A17,MVolleyball!$C:$O,J$1-2011,FALSE),0)+IFERROR(VLOOKUP($A17,WBasketball!$C:$O,J$1-2011,FALSE),0)+IFERROR(VLOOKUP($A17,WFieldHockey!$C:$O,J$1-2011,FALSE),0)+IFERROR(VLOOKUP($A17,WIceHockey!$C:$O,J$1-2011,FALSE),0)+IFERROR(VLOOKUP($A17,WLacrosse!$C:$O,J$1-2011,FALSE),0)+IFERROR(VLOOKUP($A17,WSoccer!$C:$O,J$1-2011,FALSE),0)+IFERROR(VLOOKUP($A17,WSoftball!$C:$O,J$1-2011,FALSE),0)+IFERROR(VLOOKUP($A17,WVolleyball!$C:$O,J$1-2011,FALSE),0)</f>
        <v>40971</v>
      </c>
      <c r="K17">
        <f>IFERROR(VLOOKUP($A17,MBaseball!$C:$N,K$1-2010,FALSE),0)+IFERROR(VLOOKUP($A17,MBasketball!$C:$J,K$1-2006,FALSE),0)+IFERROR(VLOOKUP($A17,MFootball!$C:$O,K$1-2011,FALSE),0)+IFERROR(VLOOKUP($A17,MIceHockey!$C:$P,K$1-2011,FALSE),0)+IFERROR(VLOOKUP($A17,MLacrosse!$C:$O,K$1-2011,FALSE),0)+IFERROR(VLOOKUP($A17,MSoccer!$C:$O,K$1-2011,FALSE),0)+IFERROR(VLOOKUP($A17,MVolleyball!$C:$O,K$1-2011,FALSE),0)+IFERROR(VLOOKUP($A17,WBasketball!$C:$O,K$1-2011,FALSE),0)+IFERROR(VLOOKUP($A17,WFieldHockey!$C:$O,K$1-2011,FALSE),0)+IFERROR(VLOOKUP($A17,WIceHockey!$C:$O,K$1-2011,FALSE),0)+IFERROR(VLOOKUP($A17,WLacrosse!$C:$O,K$1-2011,FALSE),0)+IFERROR(VLOOKUP($A17,WSoccer!$C:$O,K$1-2011,FALSE),0)+IFERROR(VLOOKUP($A17,WSoftball!$C:$O,K$1-2011,FALSE),0)+IFERROR(VLOOKUP($A17,WVolleyball!$C:$O,K$1-2011,FALSE),0)</f>
        <v>20969</v>
      </c>
      <c r="L17">
        <f>IFERROR(VLOOKUP($A17,MBaseball!$C:$N,L$1-2010,FALSE),0)+IFERROR(VLOOKUP($A17,MBasketball!$C:$J,L$1-2006,FALSE),0)+IFERROR(VLOOKUP($A17,MFootball!$C:$O,L$1-2011,FALSE),0)+IFERROR(VLOOKUP($A17,MIceHockey!$C:$P,L$1-2011,FALSE),0)+IFERROR(VLOOKUP($A17,MLacrosse!$C:$O,L$1-2011,FALSE),0)+IFERROR(VLOOKUP($A17,MSoccer!$C:$O,L$1-2011,FALSE),0)+IFERROR(VLOOKUP($A17,MVolleyball!$C:$O,L$1-2011,FALSE),0)+IFERROR(VLOOKUP($A17,WBasketball!$C:$O,L$1-2011,FALSE),0)+IFERROR(VLOOKUP($A17,WFieldHockey!$C:$O,L$1-2011,FALSE),0)+IFERROR(VLOOKUP($A17,WIceHockey!$C:$O,L$1-2011,FALSE),0)+IFERROR(VLOOKUP($A17,WLacrosse!$C:$O,L$1-2011,FALSE),0)+IFERROR(VLOOKUP($A17,WSoccer!$C:$O,L$1-2011,FALSE),0)+IFERROR(VLOOKUP($A17,WSoftball!$C:$O,L$1-2011,FALSE),0)+IFERROR(VLOOKUP($A17,WVolleyball!$C:$O,L$1-2011,FALSE),0)</f>
        <v>36515</v>
      </c>
      <c r="M17">
        <f>IFERROR(VLOOKUP($A17,MBaseball!$C:$N,M$1-2010,FALSE),0)+IFERROR(VLOOKUP($A17,MBasketball!$C:$J,M$1-2006,FALSE),0)+IFERROR(VLOOKUP($A17,MFootball!$C:$O,M$1-2011,FALSE),0)+IFERROR(VLOOKUP($A17,MIceHockey!$C:$P,M$1-2011,FALSE),0)+IFERROR(VLOOKUP($A17,MLacrosse!$C:$O,M$1-2011,FALSE),0)+IFERROR(VLOOKUP($A17,MSoccer!$C:$O,M$1-2011,FALSE),0)+IFERROR(VLOOKUP($A17,MVolleyball!$C:$O,M$1-2011,FALSE),0)+IFERROR(VLOOKUP($A17,WBasketball!$C:$O,M$1-2011,FALSE),0)+IFERROR(VLOOKUP($A17,WFieldHockey!$C:$O,M$1-2011,FALSE),0)+IFERROR(VLOOKUP($A17,WIceHockey!$C:$O,M$1-2011,FALSE),0)+IFERROR(VLOOKUP($A17,WLacrosse!$C:$O,M$1-2011,FALSE),0)+IFERROR(VLOOKUP($A17,WSoccer!$C:$O,M$1-2011,FALSE),0)+IFERROR(VLOOKUP($A17,WSoftball!$C:$O,M$1-2011,FALSE),0)+IFERROR(VLOOKUP($A17,WVolleyball!$C:$O,M$1-2011,FALSE),0)</f>
        <v>70297</v>
      </c>
      <c r="N17">
        <f>IFERROR(VLOOKUP($A17,MBaseball!$C:$N,N$1-2010,FALSE),0)+IFERROR(VLOOKUP($A17,MBasketball!$C:$J,N$1-2006,FALSE),0)+IFERROR(VLOOKUP($A17,MFootball!$C:$O,N$1-2011,FALSE),0)+IFERROR(VLOOKUP($A17,MIceHockey!$C:$P,N$1-2011,FALSE),0)+IFERROR(VLOOKUP($A17,MLacrosse!$C:$O,N$1-2011,FALSE),0)+IFERROR(VLOOKUP($A17,MSoccer!$C:$O,N$1-2011,FALSE),0)+IFERROR(VLOOKUP($A17,MVolleyball!$C:$O,N$1-2011,FALSE),0)+IFERROR(VLOOKUP($A17,WBasketball!$C:$O,N$1-2011,FALSE),0)+IFERROR(VLOOKUP($A17,WFieldHockey!$C:$O,N$1-2011,FALSE),0)+IFERROR(VLOOKUP($A17,WIceHockey!$C:$O,N$1-2011,FALSE),0)+IFERROR(VLOOKUP($A17,WLacrosse!$C:$O,N$1-2011,FALSE),0)+IFERROR(VLOOKUP($A17,WSoccer!$C:$O,N$1-2011,FALSE),0)+IFERROR(VLOOKUP($A17,WSoftball!$C:$O,N$1-2011,FALSE),0)+IFERROR(VLOOKUP($A17,WVolleyball!$C:$O,N$1-2011,FALSE),0)</f>
        <v>30625</v>
      </c>
    </row>
    <row r="18" spans="1:14" x14ac:dyDescent="0.2">
      <c r="A18">
        <v>110608</v>
      </c>
      <c r="B18">
        <v>31080</v>
      </c>
      <c r="C18" t="s">
        <v>62</v>
      </c>
      <c r="D18">
        <v>17</v>
      </c>
      <c r="E18">
        <f>IFERROR(VLOOKUP($A18,MBaseball!$C:$N,E$1-2010,FALSE),0)+IFERROR(VLOOKUP($A18,MBasketball!$C:$J,E$1-2006,FALSE),0)+IFERROR(VLOOKUP($A18,MFootball!$C:$O,E$1-2011,FALSE),0)+IFERROR(VLOOKUP($A18,MIceHockey!$C:$P,E$1-2011,FALSE),0)+IFERROR(VLOOKUP($A18,MLacrosse!$C:$O,E$1-2011,FALSE),0)+IFERROR(VLOOKUP($A18,MSoccer!$C:$O,E$1-2011,FALSE),0)+IFERROR(VLOOKUP($A18,MVolleyball!$C:$O,E$1-2011,FALSE),0)+IFERROR(VLOOKUP($A18,WBasketball!$C:$O,E$1-2011,FALSE),0)+IFERROR(VLOOKUP($A18,WFieldHockey!$C:$O,E$1-2011,FALSE),0)+IFERROR(VLOOKUP($A18,WIceHockey!$C:$O,E$1-2011,FALSE),0)+IFERROR(VLOOKUP($A18,WLacrosse!$C:$O,E$1-2011,FALSE),0)+IFERROR(VLOOKUP($A18,WSoccer!$C:$O,E$1-2011,FALSE),0)+IFERROR(VLOOKUP($A18,WSoftball!$C:$O,E$1-2011,FALSE),0)+IFERROR(VLOOKUP($A18,WVolleyball!$C:$O,E$1-2011,FALSE),0)</f>
        <v>54122</v>
      </c>
      <c r="F18">
        <f>IFERROR(VLOOKUP($A18,MBaseball!$C:$N,F$1-2010,FALSE),0)+IFERROR(VLOOKUP($A18,MBasketball!$C:$J,F$1-2006,FALSE),0)+IFERROR(VLOOKUP($A18,MFootball!$C:$O,F$1-2011,FALSE),0)+IFERROR(VLOOKUP($A18,MIceHockey!$C:$P,F$1-2011,FALSE),0)+IFERROR(VLOOKUP($A18,MLacrosse!$C:$O,F$1-2011,FALSE),0)+IFERROR(VLOOKUP($A18,MSoccer!$C:$O,F$1-2011,FALSE),0)+IFERROR(VLOOKUP($A18,MVolleyball!$C:$O,F$1-2011,FALSE),0)+IFERROR(VLOOKUP($A18,WBasketball!$C:$O,F$1-2011,FALSE),0)+IFERROR(VLOOKUP($A18,WFieldHockey!$C:$O,F$1-2011,FALSE),0)+IFERROR(VLOOKUP($A18,WIceHockey!$C:$O,F$1-2011,FALSE),0)+IFERROR(VLOOKUP($A18,WLacrosse!$C:$O,F$1-2011,FALSE),0)+IFERROR(VLOOKUP($A18,WSoccer!$C:$O,F$1-2011,FALSE),0)+IFERROR(VLOOKUP($A18,WSoftball!$C:$O,F$1-2011,FALSE),0)+IFERROR(VLOOKUP($A18,WVolleyball!$C:$O,F$1-2011,FALSE),0)</f>
        <v>35540</v>
      </c>
      <c r="G18">
        <f>IFERROR(VLOOKUP($A18,MBaseball!$C:$N,G$1-2010,FALSE),0)+IFERROR(VLOOKUP($A18,MBasketball!$C:$J,G$1-2006,FALSE),0)+IFERROR(VLOOKUP($A18,MFootball!$C:$O,G$1-2011,FALSE),0)+IFERROR(VLOOKUP($A18,MIceHockey!$C:$P,G$1-2011,FALSE),0)+IFERROR(VLOOKUP($A18,MLacrosse!$C:$O,G$1-2011,FALSE),0)+IFERROR(VLOOKUP($A18,MSoccer!$C:$O,G$1-2011,FALSE),0)+IFERROR(VLOOKUP($A18,MVolleyball!$C:$O,G$1-2011,FALSE),0)+IFERROR(VLOOKUP($A18,WBasketball!$C:$O,G$1-2011,FALSE),0)+IFERROR(VLOOKUP($A18,WFieldHockey!$C:$O,G$1-2011,FALSE),0)+IFERROR(VLOOKUP($A18,WIceHockey!$C:$O,G$1-2011,FALSE),0)+IFERROR(VLOOKUP($A18,WLacrosse!$C:$O,G$1-2011,FALSE),0)+IFERROR(VLOOKUP($A18,WSoccer!$C:$O,G$1-2011,FALSE),0)+IFERROR(VLOOKUP($A18,WSoftball!$C:$O,G$1-2011,FALSE),0)+IFERROR(VLOOKUP($A18,WVolleyball!$C:$O,G$1-2011,FALSE),0)</f>
        <v>38800</v>
      </c>
      <c r="H18">
        <f>IFERROR(VLOOKUP($A18,MBaseball!$C:$N,H$1-2010,FALSE),0)+IFERROR(VLOOKUP($A18,MBasketball!$C:$J,H$1-2006,FALSE),0)+IFERROR(VLOOKUP($A18,MFootball!$C:$O,H$1-2011,FALSE),0)+IFERROR(VLOOKUP($A18,MIceHockey!$C:$P,H$1-2011,FALSE),0)+IFERROR(VLOOKUP($A18,MLacrosse!$C:$O,H$1-2011,FALSE),0)+IFERROR(VLOOKUP($A18,MSoccer!$C:$O,H$1-2011,FALSE),0)+IFERROR(VLOOKUP($A18,MVolleyball!$C:$O,H$1-2011,FALSE),0)+IFERROR(VLOOKUP($A18,WBasketball!$C:$O,H$1-2011,FALSE),0)+IFERROR(VLOOKUP($A18,WFieldHockey!$C:$O,H$1-2011,FALSE),0)+IFERROR(VLOOKUP($A18,WIceHockey!$C:$O,H$1-2011,FALSE),0)+IFERROR(VLOOKUP($A18,WLacrosse!$C:$O,H$1-2011,FALSE),0)+IFERROR(VLOOKUP($A18,WSoccer!$C:$O,H$1-2011,FALSE),0)+IFERROR(VLOOKUP($A18,WSoftball!$C:$O,H$1-2011,FALSE),0)+IFERROR(VLOOKUP($A18,WVolleyball!$C:$O,H$1-2011,FALSE),0)</f>
        <v>42270</v>
      </c>
      <c r="I18">
        <f>IFERROR(VLOOKUP($A18,MBaseball!$C:$N,I$1-2010,FALSE),0)+IFERROR(VLOOKUP($A18,MBasketball!$C:$J,I$1-2006,FALSE),0)+IFERROR(VLOOKUP($A18,MFootball!$C:$O,I$1-2011,FALSE),0)+IFERROR(VLOOKUP($A18,MIceHockey!$C:$P,I$1-2011,FALSE),0)+IFERROR(VLOOKUP($A18,MLacrosse!$C:$O,I$1-2011,FALSE),0)+IFERROR(VLOOKUP($A18,MSoccer!$C:$O,I$1-2011,FALSE),0)+IFERROR(VLOOKUP($A18,MVolleyball!$C:$O,I$1-2011,FALSE),0)+IFERROR(VLOOKUP($A18,WBasketball!$C:$O,I$1-2011,FALSE),0)+IFERROR(VLOOKUP($A18,WFieldHockey!$C:$O,I$1-2011,FALSE),0)+IFERROR(VLOOKUP($A18,WIceHockey!$C:$O,I$1-2011,FALSE),0)+IFERROR(VLOOKUP($A18,WLacrosse!$C:$O,I$1-2011,FALSE),0)+IFERROR(VLOOKUP($A18,WSoccer!$C:$O,I$1-2011,FALSE),0)+IFERROR(VLOOKUP($A18,WSoftball!$C:$O,I$1-2011,FALSE),0)+IFERROR(VLOOKUP($A18,WVolleyball!$C:$O,I$1-2011,FALSE),0)</f>
        <v>41528</v>
      </c>
      <c r="J18">
        <f>IFERROR(VLOOKUP($A18,MBaseball!$C:$N,J$1-2010,FALSE),0)+IFERROR(VLOOKUP($A18,MBasketball!$C:$J,J$1-2006,FALSE),0)+IFERROR(VLOOKUP($A18,MFootball!$C:$O,J$1-2011,FALSE),0)+IFERROR(VLOOKUP($A18,MIceHockey!$C:$P,J$1-2011,FALSE),0)+IFERROR(VLOOKUP($A18,MLacrosse!$C:$O,J$1-2011,FALSE),0)+IFERROR(VLOOKUP($A18,MSoccer!$C:$O,J$1-2011,FALSE),0)+IFERROR(VLOOKUP($A18,MVolleyball!$C:$O,J$1-2011,FALSE),0)+IFERROR(VLOOKUP($A18,WBasketball!$C:$O,J$1-2011,FALSE),0)+IFERROR(VLOOKUP($A18,WFieldHockey!$C:$O,J$1-2011,FALSE),0)+IFERROR(VLOOKUP($A18,WIceHockey!$C:$O,J$1-2011,FALSE),0)+IFERROR(VLOOKUP($A18,WLacrosse!$C:$O,J$1-2011,FALSE),0)+IFERROR(VLOOKUP($A18,WSoccer!$C:$O,J$1-2011,FALSE),0)+IFERROR(VLOOKUP($A18,WSoftball!$C:$O,J$1-2011,FALSE),0)+IFERROR(VLOOKUP($A18,WVolleyball!$C:$O,J$1-2011,FALSE),0)</f>
        <v>29672</v>
      </c>
      <c r="K18">
        <f>IFERROR(VLOOKUP($A18,MBaseball!$C:$N,K$1-2010,FALSE),0)+IFERROR(VLOOKUP($A18,MBasketball!$C:$J,K$1-2006,FALSE),0)+IFERROR(VLOOKUP($A18,MFootball!$C:$O,K$1-2011,FALSE),0)+IFERROR(VLOOKUP($A18,MIceHockey!$C:$P,K$1-2011,FALSE),0)+IFERROR(VLOOKUP($A18,MLacrosse!$C:$O,K$1-2011,FALSE),0)+IFERROR(VLOOKUP($A18,MSoccer!$C:$O,K$1-2011,FALSE),0)+IFERROR(VLOOKUP($A18,MVolleyball!$C:$O,K$1-2011,FALSE),0)+IFERROR(VLOOKUP($A18,WBasketball!$C:$O,K$1-2011,FALSE),0)+IFERROR(VLOOKUP($A18,WFieldHockey!$C:$O,K$1-2011,FALSE),0)+IFERROR(VLOOKUP($A18,WIceHockey!$C:$O,K$1-2011,FALSE),0)+IFERROR(VLOOKUP($A18,WLacrosse!$C:$O,K$1-2011,FALSE),0)+IFERROR(VLOOKUP($A18,WSoccer!$C:$O,K$1-2011,FALSE),0)+IFERROR(VLOOKUP($A18,WSoftball!$C:$O,K$1-2011,FALSE),0)+IFERROR(VLOOKUP($A18,WVolleyball!$C:$O,K$1-2011,FALSE),0)</f>
        <v>18057</v>
      </c>
      <c r="L18">
        <f>IFERROR(VLOOKUP($A18,MBaseball!$C:$N,L$1-2010,FALSE),0)+IFERROR(VLOOKUP($A18,MBasketball!$C:$J,L$1-2006,FALSE),0)+IFERROR(VLOOKUP($A18,MFootball!$C:$O,L$1-2011,FALSE),0)+IFERROR(VLOOKUP($A18,MIceHockey!$C:$P,L$1-2011,FALSE),0)+IFERROR(VLOOKUP($A18,MLacrosse!$C:$O,L$1-2011,FALSE),0)+IFERROR(VLOOKUP($A18,MSoccer!$C:$O,L$1-2011,FALSE),0)+IFERROR(VLOOKUP($A18,MVolleyball!$C:$O,L$1-2011,FALSE),0)+IFERROR(VLOOKUP($A18,WBasketball!$C:$O,L$1-2011,FALSE),0)+IFERROR(VLOOKUP($A18,WFieldHockey!$C:$O,L$1-2011,FALSE),0)+IFERROR(VLOOKUP($A18,WIceHockey!$C:$O,L$1-2011,FALSE),0)+IFERROR(VLOOKUP($A18,WLacrosse!$C:$O,L$1-2011,FALSE),0)+IFERROR(VLOOKUP($A18,WSoccer!$C:$O,L$1-2011,FALSE),0)+IFERROR(VLOOKUP($A18,WSoftball!$C:$O,L$1-2011,FALSE),0)+IFERROR(VLOOKUP($A18,WVolleyball!$C:$O,L$1-2011,FALSE),0)</f>
        <v>5914</v>
      </c>
      <c r="M18">
        <f>IFERROR(VLOOKUP($A18,MBaseball!$C:$N,M$1-2010,FALSE),0)+IFERROR(VLOOKUP($A18,MBasketball!$C:$J,M$1-2006,FALSE),0)+IFERROR(VLOOKUP($A18,MFootball!$C:$O,M$1-2011,FALSE),0)+IFERROR(VLOOKUP($A18,MIceHockey!$C:$P,M$1-2011,FALSE),0)+IFERROR(VLOOKUP($A18,MLacrosse!$C:$O,M$1-2011,FALSE),0)+IFERROR(VLOOKUP($A18,MSoccer!$C:$O,M$1-2011,FALSE),0)+IFERROR(VLOOKUP($A18,MVolleyball!$C:$O,M$1-2011,FALSE),0)+IFERROR(VLOOKUP($A18,WBasketball!$C:$O,M$1-2011,FALSE),0)+IFERROR(VLOOKUP($A18,WFieldHockey!$C:$O,M$1-2011,FALSE),0)+IFERROR(VLOOKUP($A18,WIceHockey!$C:$O,M$1-2011,FALSE),0)+IFERROR(VLOOKUP($A18,WLacrosse!$C:$O,M$1-2011,FALSE),0)+IFERROR(VLOOKUP($A18,WSoccer!$C:$O,M$1-2011,FALSE),0)+IFERROR(VLOOKUP($A18,WSoftball!$C:$O,M$1-2011,FALSE),0)+IFERROR(VLOOKUP($A18,WVolleyball!$C:$O,M$1-2011,FALSE),0)</f>
        <v>26735</v>
      </c>
      <c r="N18">
        <f>IFERROR(VLOOKUP($A18,MBaseball!$C:$N,N$1-2010,FALSE),0)+IFERROR(VLOOKUP($A18,MBasketball!$C:$J,N$1-2006,FALSE),0)+IFERROR(VLOOKUP($A18,MFootball!$C:$O,N$1-2011,FALSE),0)+IFERROR(VLOOKUP($A18,MIceHockey!$C:$P,N$1-2011,FALSE),0)+IFERROR(VLOOKUP($A18,MLacrosse!$C:$O,N$1-2011,FALSE),0)+IFERROR(VLOOKUP($A18,MSoccer!$C:$O,N$1-2011,FALSE),0)+IFERROR(VLOOKUP($A18,MVolleyball!$C:$O,N$1-2011,FALSE),0)+IFERROR(VLOOKUP($A18,WBasketball!$C:$O,N$1-2011,FALSE),0)+IFERROR(VLOOKUP($A18,WFieldHockey!$C:$O,N$1-2011,FALSE),0)+IFERROR(VLOOKUP($A18,WIceHockey!$C:$O,N$1-2011,FALSE),0)+IFERROR(VLOOKUP($A18,WLacrosse!$C:$O,N$1-2011,FALSE),0)+IFERROR(VLOOKUP($A18,WSoccer!$C:$O,N$1-2011,FALSE),0)+IFERROR(VLOOKUP($A18,WSoftball!$C:$O,N$1-2011,FALSE),0)+IFERROR(VLOOKUP($A18,WVolleyball!$C:$O,N$1-2011,FALSE),0)</f>
        <v>21428</v>
      </c>
    </row>
    <row r="19" spans="1:14" x14ac:dyDescent="0.2">
      <c r="A19">
        <v>110635</v>
      </c>
      <c r="B19">
        <v>41860</v>
      </c>
      <c r="C19" t="s">
        <v>63</v>
      </c>
      <c r="D19">
        <v>18</v>
      </c>
      <c r="E19">
        <f>IFERROR(VLOOKUP($A19,MBaseball!$C:$N,E$1-2010,FALSE),0)+IFERROR(VLOOKUP($A19,MBasketball!$C:$J,E$1-2006,FALSE),0)+IFERROR(VLOOKUP($A19,MFootball!$C:$O,E$1-2011,FALSE),0)+IFERROR(VLOOKUP($A19,MIceHockey!$C:$P,E$1-2011,FALSE),0)+IFERROR(VLOOKUP($A19,MLacrosse!$C:$O,E$1-2011,FALSE),0)+IFERROR(VLOOKUP($A19,MSoccer!$C:$O,E$1-2011,FALSE),0)+IFERROR(VLOOKUP($A19,MVolleyball!$C:$O,E$1-2011,FALSE),0)+IFERROR(VLOOKUP($A19,WBasketball!$C:$O,E$1-2011,FALSE),0)+IFERROR(VLOOKUP($A19,WFieldHockey!$C:$O,E$1-2011,FALSE),0)+IFERROR(VLOOKUP($A19,WIceHockey!$C:$O,E$1-2011,FALSE),0)+IFERROR(VLOOKUP($A19,WLacrosse!$C:$O,E$1-2011,FALSE),0)+IFERROR(VLOOKUP($A19,WSoccer!$C:$O,E$1-2011,FALSE),0)+IFERROR(VLOOKUP($A19,WSoftball!$C:$O,E$1-2011,FALSE),0)+IFERROR(VLOOKUP($A19,WVolleyball!$C:$O,E$1-2011,FALSE),0)</f>
        <v>188184</v>
      </c>
      <c r="F19">
        <f>IFERROR(VLOOKUP($A19,MBaseball!$C:$N,F$1-2010,FALSE),0)+IFERROR(VLOOKUP($A19,MBasketball!$C:$J,F$1-2006,FALSE),0)+IFERROR(VLOOKUP($A19,MFootball!$C:$O,F$1-2011,FALSE),0)+IFERROR(VLOOKUP($A19,MIceHockey!$C:$P,F$1-2011,FALSE),0)+IFERROR(VLOOKUP($A19,MLacrosse!$C:$O,F$1-2011,FALSE),0)+IFERROR(VLOOKUP($A19,MSoccer!$C:$O,F$1-2011,FALSE),0)+IFERROR(VLOOKUP($A19,MVolleyball!$C:$O,F$1-2011,FALSE),0)+IFERROR(VLOOKUP($A19,WBasketball!$C:$O,F$1-2011,FALSE),0)+IFERROR(VLOOKUP($A19,WFieldHockey!$C:$O,F$1-2011,FALSE),0)+IFERROR(VLOOKUP($A19,WIceHockey!$C:$O,F$1-2011,FALSE),0)+IFERROR(VLOOKUP($A19,WLacrosse!$C:$O,F$1-2011,FALSE),0)+IFERROR(VLOOKUP($A19,WSoccer!$C:$O,F$1-2011,FALSE),0)+IFERROR(VLOOKUP($A19,WSoftball!$C:$O,F$1-2011,FALSE),0)+IFERROR(VLOOKUP($A19,WVolleyball!$C:$O,F$1-2011,FALSE),0)</f>
        <v>380072</v>
      </c>
      <c r="G19">
        <f>IFERROR(VLOOKUP($A19,MBaseball!$C:$N,G$1-2010,FALSE),0)+IFERROR(VLOOKUP($A19,MBasketball!$C:$J,G$1-2006,FALSE),0)+IFERROR(VLOOKUP($A19,MFootball!$C:$O,G$1-2011,FALSE),0)+IFERROR(VLOOKUP($A19,MIceHockey!$C:$P,G$1-2011,FALSE),0)+IFERROR(VLOOKUP($A19,MLacrosse!$C:$O,G$1-2011,FALSE),0)+IFERROR(VLOOKUP($A19,MSoccer!$C:$O,G$1-2011,FALSE),0)+IFERROR(VLOOKUP($A19,MVolleyball!$C:$O,G$1-2011,FALSE),0)+IFERROR(VLOOKUP($A19,WBasketball!$C:$O,G$1-2011,FALSE),0)+IFERROR(VLOOKUP($A19,WFieldHockey!$C:$O,G$1-2011,FALSE),0)+IFERROR(VLOOKUP($A19,WIceHockey!$C:$O,G$1-2011,FALSE),0)+IFERROR(VLOOKUP($A19,WLacrosse!$C:$O,G$1-2011,FALSE),0)+IFERROR(VLOOKUP($A19,WSoccer!$C:$O,G$1-2011,FALSE),0)+IFERROR(VLOOKUP($A19,WSoftball!$C:$O,G$1-2011,FALSE),0)+IFERROR(VLOOKUP($A19,WVolleyball!$C:$O,G$1-2011,FALSE),0)</f>
        <v>377032</v>
      </c>
      <c r="H19">
        <f>IFERROR(VLOOKUP($A19,MBaseball!$C:$N,H$1-2010,FALSE),0)+IFERROR(VLOOKUP($A19,MBasketball!$C:$J,H$1-2006,FALSE),0)+IFERROR(VLOOKUP($A19,MFootball!$C:$O,H$1-2011,FALSE),0)+IFERROR(VLOOKUP($A19,MIceHockey!$C:$P,H$1-2011,FALSE),0)+IFERROR(VLOOKUP($A19,MLacrosse!$C:$O,H$1-2011,FALSE),0)+IFERROR(VLOOKUP($A19,MSoccer!$C:$O,H$1-2011,FALSE),0)+IFERROR(VLOOKUP($A19,MVolleyball!$C:$O,H$1-2011,FALSE),0)+IFERROR(VLOOKUP($A19,WBasketball!$C:$O,H$1-2011,FALSE),0)+IFERROR(VLOOKUP($A19,WFieldHockey!$C:$O,H$1-2011,FALSE),0)+IFERROR(VLOOKUP($A19,WIceHockey!$C:$O,H$1-2011,FALSE),0)+IFERROR(VLOOKUP($A19,WLacrosse!$C:$O,H$1-2011,FALSE),0)+IFERROR(VLOOKUP($A19,WSoccer!$C:$O,H$1-2011,FALSE),0)+IFERROR(VLOOKUP($A19,WSoftball!$C:$O,H$1-2011,FALSE),0)+IFERROR(VLOOKUP($A19,WVolleyball!$C:$O,H$1-2011,FALSE),0)</f>
        <v>370402</v>
      </c>
      <c r="I19">
        <f>IFERROR(VLOOKUP($A19,MBaseball!$C:$N,I$1-2010,FALSE),0)+IFERROR(VLOOKUP($A19,MBasketball!$C:$J,I$1-2006,FALSE),0)+IFERROR(VLOOKUP($A19,MFootball!$C:$O,I$1-2011,FALSE),0)+IFERROR(VLOOKUP($A19,MIceHockey!$C:$P,I$1-2011,FALSE),0)+IFERROR(VLOOKUP($A19,MLacrosse!$C:$O,I$1-2011,FALSE),0)+IFERROR(VLOOKUP($A19,MSoccer!$C:$O,I$1-2011,FALSE),0)+IFERROR(VLOOKUP($A19,MVolleyball!$C:$O,I$1-2011,FALSE),0)+IFERROR(VLOOKUP($A19,WBasketball!$C:$O,I$1-2011,FALSE),0)+IFERROR(VLOOKUP($A19,WFieldHockey!$C:$O,I$1-2011,FALSE),0)+IFERROR(VLOOKUP($A19,WIceHockey!$C:$O,I$1-2011,FALSE),0)+IFERROR(VLOOKUP($A19,WLacrosse!$C:$O,I$1-2011,FALSE),0)+IFERROR(VLOOKUP($A19,WSoccer!$C:$O,I$1-2011,FALSE),0)+IFERROR(VLOOKUP($A19,WSoftball!$C:$O,I$1-2011,FALSE),0)+IFERROR(VLOOKUP($A19,WVolleyball!$C:$O,I$1-2011,FALSE),0)</f>
        <v>303448</v>
      </c>
      <c r="J19">
        <f>IFERROR(VLOOKUP($A19,MBaseball!$C:$N,J$1-2010,FALSE),0)+IFERROR(VLOOKUP($A19,MBasketball!$C:$J,J$1-2006,FALSE),0)+IFERROR(VLOOKUP($A19,MFootball!$C:$O,J$1-2011,FALSE),0)+IFERROR(VLOOKUP($A19,MIceHockey!$C:$P,J$1-2011,FALSE),0)+IFERROR(VLOOKUP($A19,MLacrosse!$C:$O,J$1-2011,FALSE),0)+IFERROR(VLOOKUP($A19,MSoccer!$C:$O,J$1-2011,FALSE),0)+IFERROR(VLOOKUP($A19,MVolleyball!$C:$O,J$1-2011,FALSE),0)+IFERROR(VLOOKUP($A19,WBasketball!$C:$O,J$1-2011,FALSE),0)+IFERROR(VLOOKUP($A19,WFieldHockey!$C:$O,J$1-2011,FALSE),0)+IFERROR(VLOOKUP($A19,WIceHockey!$C:$O,J$1-2011,FALSE),0)+IFERROR(VLOOKUP($A19,WLacrosse!$C:$O,J$1-2011,FALSE),0)+IFERROR(VLOOKUP($A19,WSoccer!$C:$O,J$1-2011,FALSE),0)+IFERROR(VLOOKUP($A19,WSoftball!$C:$O,J$1-2011,FALSE),0)+IFERROR(VLOOKUP($A19,WVolleyball!$C:$O,J$1-2011,FALSE),0)</f>
        <v>376515</v>
      </c>
      <c r="K19">
        <f>IFERROR(VLOOKUP($A19,MBaseball!$C:$N,K$1-2010,FALSE),0)+IFERROR(VLOOKUP($A19,MBasketball!$C:$J,K$1-2006,FALSE),0)+IFERROR(VLOOKUP($A19,MFootball!$C:$O,K$1-2011,FALSE),0)+IFERROR(VLOOKUP($A19,MIceHockey!$C:$P,K$1-2011,FALSE),0)+IFERROR(VLOOKUP($A19,MLacrosse!$C:$O,K$1-2011,FALSE),0)+IFERROR(VLOOKUP($A19,MSoccer!$C:$O,K$1-2011,FALSE),0)+IFERROR(VLOOKUP($A19,MVolleyball!$C:$O,K$1-2011,FALSE),0)+IFERROR(VLOOKUP($A19,WBasketball!$C:$O,K$1-2011,FALSE),0)+IFERROR(VLOOKUP($A19,WFieldHockey!$C:$O,K$1-2011,FALSE),0)+IFERROR(VLOOKUP($A19,WIceHockey!$C:$O,K$1-2011,FALSE),0)+IFERROR(VLOOKUP($A19,WLacrosse!$C:$O,K$1-2011,FALSE),0)+IFERROR(VLOOKUP($A19,WSoccer!$C:$O,K$1-2011,FALSE),0)+IFERROR(VLOOKUP($A19,WSoftball!$C:$O,K$1-2011,FALSE),0)+IFERROR(VLOOKUP($A19,WVolleyball!$C:$O,K$1-2011,FALSE),0)</f>
        <v>310066</v>
      </c>
      <c r="L19">
        <f>IFERROR(VLOOKUP($A19,MBaseball!$C:$N,L$1-2010,FALSE),0)+IFERROR(VLOOKUP($A19,MBasketball!$C:$J,L$1-2006,FALSE),0)+IFERROR(VLOOKUP($A19,MFootball!$C:$O,L$1-2011,FALSE),0)+IFERROR(VLOOKUP($A19,MIceHockey!$C:$P,L$1-2011,FALSE),0)+IFERROR(VLOOKUP($A19,MLacrosse!$C:$O,L$1-2011,FALSE),0)+IFERROR(VLOOKUP($A19,MSoccer!$C:$O,L$1-2011,FALSE),0)+IFERROR(VLOOKUP($A19,MVolleyball!$C:$O,L$1-2011,FALSE),0)+IFERROR(VLOOKUP($A19,WBasketball!$C:$O,L$1-2011,FALSE),0)+IFERROR(VLOOKUP($A19,WFieldHockey!$C:$O,L$1-2011,FALSE),0)+IFERROR(VLOOKUP($A19,WIceHockey!$C:$O,L$1-2011,FALSE),0)+IFERROR(VLOOKUP($A19,WLacrosse!$C:$O,L$1-2011,FALSE),0)+IFERROR(VLOOKUP($A19,WSoccer!$C:$O,L$1-2011,FALSE),0)+IFERROR(VLOOKUP($A19,WSoftball!$C:$O,L$1-2011,FALSE),0)+IFERROR(VLOOKUP($A19,WVolleyball!$C:$O,L$1-2011,FALSE),0)</f>
        <v>21102</v>
      </c>
      <c r="M19">
        <f>IFERROR(VLOOKUP($A19,MBaseball!$C:$N,M$1-2010,FALSE),0)+IFERROR(VLOOKUP($A19,MBasketball!$C:$J,M$1-2006,FALSE),0)+IFERROR(VLOOKUP($A19,MFootball!$C:$O,M$1-2011,FALSE),0)+IFERROR(VLOOKUP($A19,MIceHockey!$C:$P,M$1-2011,FALSE),0)+IFERROR(VLOOKUP($A19,MLacrosse!$C:$O,M$1-2011,FALSE),0)+IFERROR(VLOOKUP($A19,MSoccer!$C:$O,M$1-2011,FALSE),0)+IFERROR(VLOOKUP($A19,MVolleyball!$C:$O,M$1-2011,FALSE),0)+IFERROR(VLOOKUP($A19,WBasketball!$C:$O,M$1-2011,FALSE),0)+IFERROR(VLOOKUP($A19,WFieldHockey!$C:$O,M$1-2011,FALSE),0)+IFERROR(VLOOKUP($A19,WIceHockey!$C:$O,M$1-2011,FALSE),0)+IFERROR(VLOOKUP($A19,WLacrosse!$C:$O,M$1-2011,FALSE),0)+IFERROR(VLOOKUP($A19,WSoccer!$C:$O,M$1-2011,FALSE),0)+IFERROR(VLOOKUP($A19,WSoftball!$C:$O,M$1-2011,FALSE),0)+IFERROR(VLOOKUP($A19,WVolleyball!$C:$O,M$1-2011,FALSE),0)</f>
        <v>288739</v>
      </c>
      <c r="N19">
        <f>IFERROR(VLOOKUP($A19,MBaseball!$C:$N,N$1-2010,FALSE),0)+IFERROR(VLOOKUP($A19,MBasketball!$C:$J,N$1-2006,FALSE),0)+IFERROR(VLOOKUP($A19,MFootball!$C:$O,N$1-2011,FALSE),0)+IFERROR(VLOOKUP($A19,MIceHockey!$C:$P,N$1-2011,FALSE),0)+IFERROR(VLOOKUP($A19,MLacrosse!$C:$O,N$1-2011,FALSE),0)+IFERROR(VLOOKUP($A19,MSoccer!$C:$O,N$1-2011,FALSE),0)+IFERROR(VLOOKUP($A19,MVolleyball!$C:$O,N$1-2011,FALSE),0)+IFERROR(VLOOKUP($A19,WBasketball!$C:$O,N$1-2011,FALSE),0)+IFERROR(VLOOKUP($A19,WFieldHockey!$C:$O,N$1-2011,FALSE),0)+IFERROR(VLOOKUP($A19,WIceHockey!$C:$O,N$1-2011,FALSE),0)+IFERROR(VLOOKUP($A19,WLacrosse!$C:$O,N$1-2011,FALSE),0)+IFERROR(VLOOKUP($A19,WSoccer!$C:$O,N$1-2011,FALSE),0)+IFERROR(VLOOKUP($A19,WSoftball!$C:$O,N$1-2011,FALSE),0)+IFERROR(VLOOKUP($A19,WVolleyball!$C:$O,N$1-2011,FALSE),0)</f>
        <v>320988</v>
      </c>
    </row>
    <row r="20" spans="1:14" x14ac:dyDescent="0.2">
      <c r="A20">
        <v>128771</v>
      </c>
      <c r="B20">
        <v>25540</v>
      </c>
      <c r="C20" t="s">
        <v>65</v>
      </c>
      <c r="D20">
        <v>19</v>
      </c>
      <c r="E20">
        <f>IFERROR(VLOOKUP($A20,MBaseball!$C:$N,E$1-2010,FALSE),0)+IFERROR(VLOOKUP($A20,MBasketball!$C:$J,E$1-2006,FALSE),0)+IFERROR(VLOOKUP($A20,MFootball!$C:$O,E$1-2011,FALSE),0)+IFERROR(VLOOKUP($A20,MIceHockey!$C:$P,E$1-2011,FALSE),0)+IFERROR(VLOOKUP($A20,MLacrosse!$C:$O,E$1-2011,FALSE),0)+IFERROR(VLOOKUP($A20,MSoccer!$C:$O,E$1-2011,FALSE),0)+IFERROR(VLOOKUP($A20,MVolleyball!$C:$O,E$1-2011,FALSE),0)+IFERROR(VLOOKUP($A20,WBasketball!$C:$O,E$1-2011,FALSE),0)+IFERROR(VLOOKUP($A20,WFieldHockey!$C:$O,E$1-2011,FALSE),0)+IFERROR(VLOOKUP($A20,WIceHockey!$C:$O,E$1-2011,FALSE),0)+IFERROR(VLOOKUP($A20,WLacrosse!$C:$O,E$1-2011,FALSE),0)+IFERROR(VLOOKUP($A20,WSoccer!$C:$O,E$1-2011,FALSE),0)+IFERROR(VLOOKUP($A20,WSoftball!$C:$O,E$1-2011,FALSE),0)+IFERROR(VLOOKUP($A20,WVolleyball!$C:$O,E$1-2011,FALSE),0)</f>
        <v>37126</v>
      </c>
      <c r="F20">
        <f>IFERROR(VLOOKUP($A20,MBaseball!$C:$N,F$1-2010,FALSE),0)+IFERROR(VLOOKUP($A20,MBasketball!$C:$J,F$1-2006,FALSE),0)+IFERROR(VLOOKUP($A20,MFootball!$C:$O,F$1-2011,FALSE),0)+IFERROR(VLOOKUP($A20,MIceHockey!$C:$P,F$1-2011,FALSE),0)+IFERROR(VLOOKUP($A20,MLacrosse!$C:$O,F$1-2011,FALSE),0)+IFERROR(VLOOKUP($A20,MSoccer!$C:$O,F$1-2011,FALSE),0)+IFERROR(VLOOKUP($A20,MVolleyball!$C:$O,F$1-2011,FALSE),0)+IFERROR(VLOOKUP($A20,WBasketball!$C:$O,F$1-2011,FALSE),0)+IFERROR(VLOOKUP($A20,WFieldHockey!$C:$O,F$1-2011,FALSE),0)+IFERROR(VLOOKUP($A20,WIceHockey!$C:$O,F$1-2011,FALSE),0)+IFERROR(VLOOKUP($A20,WLacrosse!$C:$O,F$1-2011,FALSE),0)+IFERROR(VLOOKUP($A20,WSoccer!$C:$O,F$1-2011,FALSE),0)+IFERROR(VLOOKUP($A20,WSoftball!$C:$O,F$1-2011,FALSE),0)+IFERROR(VLOOKUP($A20,WVolleyball!$C:$O,F$1-2011,FALSE),0)</f>
        <v>43341</v>
      </c>
      <c r="G20">
        <f>IFERROR(VLOOKUP($A20,MBaseball!$C:$N,G$1-2010,FALSE),0)+IFERROR(VLOOKUP($A20,MBasketball!$C:$J,G$1-2006,FALSE),0)+IFERROR(VLOOKUP($A20,MFootball!$C:$O,G$1-2011,FALSE),0)+IFERROR(VLOOKUP($A20,MIceHockey!$C:$P,G$1-2011,FALSE),0)+IFERROR(VLOOKUP($A20,MLacrosse!$C:$O,G$1-2011,FALSE),0)+IFERROR(VLOOKUP($A20,MSoccer!$C:$O,G$1-2011,FALSE),0)+IFERROR(VLOOKUP($A20,MVolleyball!$C:$O,G$1-2011,FALSE),0)+IFERROR(VLOOKUP($A20,WBasketball!$C:$O,G$1-2011,FALSE),0)+IFERROR(VLOOKUP($A20,WFieldHockey!$C:$O,G$1-2011,FALSE),0)+IFERROR(VLOOKUP($A20,WIceHockey!$C:$O,G$1-2011,FALSE),0)+IFERROR(VLOOKUP($A20,WLacrosse!$C:$O,G$1-2011,FALSE),0)+IFERROR(VLOOKUP($A20,WSoccer!$C:$O,G$1-2011,FALSE),0)+IFERROR(VLOOKUP($A20,WSoftball!$C:$O,G$1-2011,FALSE),0)+IFERROR(VLOOKUP($A20,WVolleyball!$C:$O,G$1-2011,FALSE),0)</f>
        <v>50294</v>
      </c>
      <c r="H20">
        <f>IFERROR(VLOOKUP($A20,MBaseball!$C:$N,H$1-2010,FALSE),0)+IFERROR(VLOOKUP($A20,MBasketball!$C:$J,H$1-2006,FALSE),0)+IFERROR(VLOOKUP($A20,MFootball!$C:$O,H$1-2011,FALSE),0)+IFERROR(VLOOKUP($A20,MIceHockey!$C:$P,H$1-2011,FALSE),0)+IFERROR(VLOOKUP($A20,MLacrosse!$C:$O,H$1-2011,FALSE),0)+IFERROR(VLOOKUP($A20,MSoccer!$C:$O,H$1-2011,FALSE),0)+IFERROR(VLOOKUP($A20,MVolleyball!$C:$O,H$1-2011,FALSE),0)+IFERROR(VLOOKUP($A20,WBasketball!$C:$O,H$1-2011,FALSE),0)+IFERROR(VLOOKUP($A20,WFieldHockey!$C:$O,H$1-2011,FALSE),0)+IFERROR(VLOOKUP($A20,WIceHockey!$C:$O,H$1-2011,FALSE),0)+IFERROR(VLOOKUP($A20,WLacrosse!$C:$O,H$1-2011,FALSE),0)+IFERROR(VLOOKUP($A20,WSoccer!$C:$O,H$1-2011,FALSE),0)+IFERROR(VLOOKUP($A20,WSoftball!$C:$O,H$1-2011,FALSE),0)+IFERROR(VLOOKUP($A20,WVolleyball!$C:$O,H$1-2011,FALSE),0)</f>
        <v>42156</v>
      </c>
      <c r="I20">
        <f>IFERROR(VLOOKUP($A20,MBaseball!$C:$N,I$1-2010,FALSE),0)+IFERROR(VLOOKUP($A20,MBasketball!$C:$J,I$1-2006,FALSE),0)+IFERROR(VLOOKUP($A20,MFootball!$C:$O,I$1-2011,FALSE),0)+IFERROR(VLOOKUP($A20,MIceHockey!$C:$P,I$1-2011,FALSE),0)+IFERROR(VLOOKUP($A20,MLacrosse!$C:$O,I$1-2011,FALSE),0)+IFERROR(VLOOKUP($A20,MSoccer!$C:$O,I$1-2011,FALSE),0)+IFERROR(VLOOKUP($A20,MVolleyball!$C:$O,I$1-2011,FALSE),0)+IFERROR(VLOOKUP($A20,WBasketball!$C:$O,I$1-2011,FALSE),0)+IFERROR(VLOOKUP($A20,WFieldHockey!$C:$O,I$1-2011,FALSE),0)+IFERROR(VLOOKUP($A20,WIceHockey!$C:$O,I$1-2011,FALSE),0)+IFERROR(VLOOKUP($A20,WLacrosse!$C:$O,I$1-2011,FALSE),0)+IFERROR(VLOOKUP($A20,WSoccer!$C:$O,I$1-2011,FALSE),0)+IFERROR(VLOOKUP($A20,WSoftball!$C:$O,I$1-2011,FALSE),0)+IFERROR(VLOOKUP($A20,WVolleyball!$C:$O,I$1-2011,FALSE),0)</f>
        <v>46989</v>
      </c>
      <c r="J20">
        <f>IFERROR(VLOOKUP($A20,MBaseball!$C:$N,J$1-2010,FALSE),0)+IFERROR(VLOOKUP($A20,MBasketball!$C:$J,J$1-2006,FALSE),0)+IFERROR(VLOOKUP($A20,MFootball!$C:$O,J$1-2011,FALSE),0)+IFERROR(VLOOKUP($A20,MIceHockey!$C:$P,J$1-2011,FALSE),0)+IFERROR(VLOOKUP($A20,MLacrosse!$C:$O,J$1-2011,FALSE),0)+IFERROR(VLOOKUP($A20,MSoccer!$C:$O,J$1-2011,FALSE),0)+IFERROR(VLOOKUP($A20,MVolleyball!$C:$O,J$1-2011,FALSE),0)+IFERROR(VLOOKUP($A20,WBasketball!$C:$O,J$1-2011,FALSE),0)+IFERROR(VLOOKUP($A20,WFieldHockey!$C:$O,J$1-2011,FALSE),0)+IFERROR(VLOOKUP($A20,WIceHockey!$C:$O,J$1-2011,FALSE),0)+IFERROR(VLOOKUP($A20,WLacrosse!$C:$O,J$1-2011,FALSE),0)+IFERROR(VLOOKUP($A20,WSoccer!$C:$O,J$1-2011,FALSE),0)+IFERROR(VLOOKUP($A20,WSoftball!$C:$O,J$1-2011,FALSE),0)+IFERROR(VLOOKUP($A20,WVolleyball!$C:$O,J$1-2011,FALSE),0)</f>
        <v>40821</v>
      </c>
      <c r="K20">
        <f>IFERROR(VLOOKUP($A20,MBaseball!$C:$N,K$1-2010,FALSE),0)+IFERROR(VLOOKUP($A20,MBasketball!$C:$J,K$1-2006,FALSE),0)+IFERROR(VLOOKUP($A20,MFootball!$C:$O,K$1-2011,FALSE),0)+IFERROR(VLOOKUP($A20,MIceHockey!$C:$P,K$1-2011,FALSE),0)+IFERROR(VLOOKUP($A20,MLacrosse!$C:$O,K$1-2011,FALSE),0)+IFERROR(VLOOKUP($A20,MSoccer!$C:$O,K$1-2011,FALSE),0)+IFERROR(VLOOKUP($A20,MVolleyball!$C:$O,K$1-2011,FALSE),0)+IFERROR(VLOOKUP($A20,WBasketball!$C:$O,K$1-2011,FALSE),0)+IFERROR(VLOOKUP($A20,WFieldHockey!$C:$O,K$1-2011,FALSE),0)+IFERROR(VLOOKUP($A20,WIceHockey!$C:$O,K$1-2011,FALSE),0)+IFERROR(VLOOKUP($A20,WLacrosse!$C:$O,K$1-2011,FALSE),0)+IFERROR(VLOOKUP($A20,WSoccer!$C:$O,K$1-2011,FALSE),0)+IFERROR(VLOOKUP($A20,WSoftball!$C:$O,K$1-2011,FALSE),0)+IFERROR(VLOOKUP($A20,WVolleyball!$C:$O,K$1-2011,FALSE),0)</f>
        <v>37704</v>
      </c>
      <c r="L20">
        <f>IFERROR(VLOOKUP($A20,MBaseball!$C:$N,L$1-2010,FALSE),0)+IFERROR(VLOOKUP($A20,MBasketball!$C:$J,L$1-2006,FALSE),0)+IFERROR(VLOOKUP($A20,MFootball!$C:$O,L$1-2011,FALSE),0)+IFERROR(VLOOKUP($A20,MIceHockey!$C:$P,L$1-2011,FALSE),0)+IFERROR(VLOOKUP($A20,MLacrosse!$C:$O,L$1-2011,FALSE),0)+IFERROR(VLOOKUP($A20,MSoccer!$C:$O,L$1-2011,FALSE),0)+IFERROR(VLOOKUP($A20,MVolleyball!$C:$O,L$1-2011,FALSE),0)+IFERROR(VLOOKUP($A20,WBasketball!$C:$O,L$1-2011,FALSE),0)+IFERROR(VLOOKUP($A20,WFieldHockey!$C:$O,L$1-2011,FALSE),0)+IFERROR(VLOOKUP($A20,WIceHockey!$C:$O,L$1-2011,FALSE),0)+IFERROR(VLOOKUP($A20,WLacrosse!$C:$O,L$1-2011,FALSE),0)+IFERROR(VLOOKUP($A20,WSoccer!$C:$O,L$1-2011,FALSE),0)+IFERROR(VLOOKUP($A20,WSoftball!$C:$O,L$1-2011,FALSE),0)+IFERROR(VLOOKUP($A20,WVolleyball!$C:$O,L$1-2011,FALSE),0)</f>
        <v>4014</v>
      </c>
      <c r="M20">
        <f>IFERROR(VLOOKUP($A20,MBaseball!$C:$N,M$1-2010,FALSE),0)+IFERROR(VLOOKUP($A20,MBasketball!$C:$J,M$1-2006,FALSE),0)+IFERROR(VLOOKUP($A20,MFootball!$C:$O,M$1-2011,FALSE),0)+IFERROR(VLOOKUP($A20,MIceHockey!$C:$P,M$1-2011,FALSE),0)+IFERROR(VLOOKUP($A20,MLacrosse!$C:$O,M$1-2011,FALSE),0)+IFERROR(VLOOKUP($A20,MSoccer!$C:$O,M$1-2011,FALSE),0)+IFERROR(VLOOKUP($A20,MVolleyball!$C:$O,M$1-2011,FALSE),0)+IFERROR(VLOOKUP($A20,WBasketball!$C:$O,M$1-2011,FALSE),0)+IFERROR(VLOOKUP($A20,WFieldHockey!$C:$O,M$1-2011,FALSE),0)+IFERROR(VLOOKUP($A20,WIceHockey!$C:$O,M$1-2011,FALSE),0)+IFERROR(VLOOKUP($A20,WLacrosse!$C:$O,M$1-2011,FALSE),0)+IFERROR(VLOOKUP($A20,WSoccer!$C:$O,M$1-2011,FALSE),0)+IFERROR(VLOOKUP($A20,WSoftball!$C:$O,M$1-2011,FALSE),0)+IFERROR(VLOOKUP($A20,WVolleyball!$C:$O,M$1-2011,FALSE),0)</f>
        <v>36761</v>
      </c>
      <c r="N20">
        <f>IFERROR(VLOOKUP($A20,MBaseball!$C:$N,N$1-2010,FALSE),0)+IFERROR(VLOOKUP($A20,MBasketball!$C:$J,N$1-2006,FALSE),0)+IFERROR(VLOOKUP($A20,MFootball!$C:$O,N$1-2011,FALSE),0)+IFERROR(VLOOKUP($A20,MIceHockey!$C:$P,N$1-2011,FALSE),0)+IFERROR(VLOOKUP($A20,MLacrosse!$C:$O,N$1-2011,FALSE),0)+IFERROR(VLOOKUP($A20,MSoccer!$C:$O,N$1-2011,FALSE),0)+IFERROR(VLOOKUP($A20,MVolleyball!$C:$O,N$1-2011,FALSE),0)+IFERROR(VLOOKUP($A20,WBasketball!$C:$O,N$1-2011,FALSE),0)+IFERROR(VLOOKUP($A20,WFieldHockey!$C:$O,N$1-2011,FALSE),0)+IFERROR(VLOOKUP($A20,WIceHockey!$C:$O,N$1-2011,FALSE),0)+IFERROR(VLOOKUP($A20,WLacrosse!$C:$O,N$1-2011,FALSE),0)+IFERROR(VLOOKUP($A20,WSoccer!$C:$O,N$1-2011,FALSE),0)+IFERROR(VLOOKUP($A20,WSoftball!$C:$O,N$1-2011,FALSE),0)+IFERROR(VLOOKUP($A20,WVolleyball!$C:$O,N$1-2011,FALSE),0)</f>
        <v>22384</v>
      </c>
    </row>
    <row r="21" spans="1:14" x14ac:dyDescent="0.2">
      <c r="A21">
        <v>169248</v>
      </c>
      <c r="B21">
        <v>34380</v>
      </c>
      <c r="C21" t="s">
        <v>66</v>
      </c>
      <c r="D21">
        <v>20</v>
      </c>
      <c r="E21">
        <f>IFERROR(VLOOKUP($A21,MBaseball!$C:$N,E$1-2010,FALSE),0)+IFERROR(VLOOKUP($A21,MBasketball!$C:$J,E$1-2006,FALSE),0)+IFERROR(VLOOKUP($A21,MFootball!$C:$O,E$1-2011,FALSE),0)+IFERROR(VLOOKUP($A21,MIceHockey!$C:$P,E$1-2011,FALSE),0)+IFERROR(VLOOKUP($A21,MLacrosse!$C:$O,E$1-2011,FALSE),0)+IFERROR(VLOOKUP($A21,MSoccer!$C:$O,E$1-2011,FALSE),0)+IFERROR(VLOOKUP($A21,MVolleyball!$C:$O,E$1-2011,FALSE),0)+IFERROR(VLOOKUP($A21,WBasketball!$C:$O,E$1-2011,FALSE),0)+IFERROR(VLOOKUP($A21,WFieldHockey!$C:$O,E$1-2011,FALSE),0)+IFERROR(VLOOKUP($A21,WIceHockey!$C:$O,E$1-2011,FALSE),0)+IFERROR(VLOOKUP($A21,WLacrosse!$C:$O,E$1-2011,FALSE),0)+IFERROR(VLOOKUP($A21,WSoccer!$C:$O,E$1-2011,FALSE),0)+IFERROR(VLOOKUP($A21,WSoftball!$C:$O,E$1-2011,FALSE),0)+IFERROR(VLOOKUP($A21,WVolleyball!$C:$O,E$1-2011,FALSE),0)</f>
        <v>67658</v>
      </c>
      <c r="F21">
        <f>IFERROR(VLOOKUP($A21,MBaseball!$C:$N,F$1-2010,FALSE),0)+IFERROR(VLOOKUP($A21,MBasketball!$C:$J,F$1-2006,FALSE),0)+IFERROR(VLOOKUP($A21,MFootball!$C:$O,F$1-2011,FALSE),0)+IFERROR(VLOOKUP($A21,MIceHockey!$C:$P,F$1-2011,FALSE),0)+IFERROR(VLOOKUP($A21,MLacrosse!$C:$O,F$1-2011,FALSE),0)+IFERROR(VLOOKUP($A21,MSoccer!$C:$O,F$1-2011,FALSE),0)+IFERROR(VLOOKUP($A21,MVolleyball!$C:$O,F$1-2011,FALSE),0)+IFERROR(VLOOKUP($A21,WBasketball!$C:$O,F$1-2011,FALSE),0)+IFERROR(VLOOKUP($A21,WFieldHockey!$C:$O,F$1-2011,FALSE),0)+IFERROR(VLOOKUP($A21,WIceHockey!$C:$O,F$1-2011,FALSE),0)+IFERROR(VLOOKUP($A21,WLacrosse!$C:$O,F$1-2011,FALSE),0)+IFERROR(VLOOKUP($A21,WSoccer!$C:$O,F$1-2011,FALSE),0)+IFERROR(VLOOKUP($A21,WSoftball!$C:$O,F$1-2011,FALSE),0)+IFERROR(VLOOKUP($A21,WVolleyball!$C:$O,F$1-2011,FALSE),0)</f>
        <v>130011</v>
      </c>
      <c r="G21">
        <f>IFERROR(VLOOKUP($A21,MBaseball!$C:$N,G$1-2010,FALSE),0)+IFERROR(VLOOKUP($A21,MBasketball!$C:$J,G$1-2006,FALSE),0)+IFERROR(VLOOKUP($A21,MFootball!$C:$O,G$1-2011,FALSE),0)+IFERROR(VLOOKUP($A21,MIceHockey!$C:$P,G$1-2011,FALSE),0)+IFERROR(VLOOKUP($A21,MLacrosse!$C:$O,G$1-2011,FALSE),0)+IFERROR(VLOOKUP($A21,MSoccer!$C:$O,G$1-2011,FALSE),0)+IFERROR(VLOOKUP($A21,MVolleyball!$C:$O,G$1-2011,FALSE),0)+IFERROR(VLOOKUP($A21,WBasketball!$C:$O,G$1-2011,FALSE),0)+IFERROR(VLOOKUP($A21,WFieldHockey!$C:$O,G$1-2011,FALSE),0)+IFERROR(VLOOKUP($A21,WIceHockey!$C:$O,G$1-2011,FALSE),0)+IFERROR(VLOOKUP($A21,WLacrosse!$C:$O,G$1-2011,FALSE),0)+IFERROR(VLOOKUP($A21,WSoccer!$C:$O,G$1-2011,FALSE),0)+IFERROR(VLOOKUP($A21,WSoftball!$C:$O,G$1-2011,FALSE),0)+IFERROR(VLOOKUP($A21,WVolleyball!$C:$O,G$1-2011,FALSE),0)</f>
        <v>133892</v>
      </c>
      <c r="H21">
        <f>IFERROR(VLOOKUP($A21,MBaseball!$C:$N,H$1-2010,FALSE),0)+IFERROR(VLOOKUP($A21,MBasketball!$C:$J,H$1-2006,FALSE),0)+IFERROR(VLOOKUP($A21,MFootball!$C:$O,H$1-2011,FALSE),0)+IFERROR(VLOOKUP($A21,MIceHockey!$C:$P,H$1-2011,FALSE),0)+IFERROR(VLOOKUP($A21,MLacrosse!$C:$O,H$1-2011,FALSE),0)+IFERROR(VLOOKUP($A21,MSoccer!$C:$O,H$1-2011,FALSE),0)+IFERROR(VLOOKUP($A21,MVolleyball!$C:$O,H$1-2011,FALSE),0)+IFERROR(VLOOKUP($A21,WBasketball!$C:$O,H$1-2011,FALSE),0)+IFERROR(VLOOKUP($A21,WFieldHockey!$C:$O,H$1-2011,FALSE),0)+IFERROR(VLOOKUP($A21,WIceHockey!$C:$O,H$1-2011,FALSE),0)+IFERROR(VLOOKUP($A21,WLacrosse!$C:$O,H$1-2011,FALSE),0)+IFERROR(VLOOKUP($A21,WSoccer!$C:$O,H$1-2011,FALSE),0)+IFERROR(VLOOKUP($A21,WSoftball!$C:$O,H$1-2011,FALSE),0)+IFERROR(VLOOKUP($A21,WVolleyball!$C:$O,H$1-2011,FALSE),0)</f>
        <v>142609</v>
      </c>
      <c r="I21">
        <f>IFERROR(VLOOKUP($A21,MBaseball!$C:$N,I$1-2010,FALSE),0)+IFERROR(VLOOKUP($A21,MBasketball!$C:$J,I$1-2006,FALSE),0)+IFERROR(VLOOKUP($A21,MFootball!$C:$O,I$1-2011,FALSE),0)+IFERROR(VLOOKUP($A21,MIceHockey!$C:$P,I$1-2011,FALSE),0)+IFERROR(VLOOKUP($A21,MLacrosse!$C:$O,I$1-2011,FALSE),0)+IFERROR(VLOOKUP($A21,MSoccer!$C:$O,I$1-2011,FALSE),0)+IFERROR(VLOOKUP($A21,MVolleyball!$C:$O,I$1-2011,FALSE),0)+IFERROR(VLOOKUP($A21,WBasketball!$C:$O,I$1-2011,FALSE),0)+IFERROR(VLOOKUP($A21,WFieldHockey!$C:$O,I$1-2011,FALSE),0)+IFERROR(VLOOKUP($A21,WIceHockey!$C:$O,I$1-2011,FALSE),0)+IFERROR(VLOOKUP($A21,WLacrosse!$C:$O,I$1-2011,FALSE),0)+IFERROR(VLOOKUP($A21,WSoccer!$C:$O,I$1-2011,FALSE),0)+IFERROR(VLOOKUP($A21,WSoftball!$C:$O,I$1-2011,FALSE),0)+IFERROR(VLOOKUP($A21,WVolleyball!$C:$O,I$1-2011,FALSE),0)</f>
        <v>107725</v>
      </c>
      <c r="J21">
        <f>IFERROR(VLOOKUP($A21,MBaseball!$C:$N,J$1-2010,FALSE),0)+IFERROR(VLOOKUP($A21,MBasketball!$C:$J,J$1-2006,FALSE),0)+IFERROR(VLOOKUP($A21,MFootball!$C:$O,J$1-2011,FALSE),0)+IFERROR(VLOOKUP($A21,MIceHockey!$C:$P,J$1-2011,FALSE),0)+IFERROR(VLOOKUP($A21,MLacrosse!$C:$O,J$1-2011,FALSE),0)+IFERROR(VLOOKUP($A21,MSoccer!$C:$O,J$1-2011,FALSE),0)+IFERROR(VLOOKUP($A21,MVolleyball!$C:$O,J$1-2011,FALSE),0)+IFERROR(VLOOKUP($A21,WBasketball!$C:$O,J$1-2011,FALSE),0)+IFERROR(VLOOKUP($A21,WFieldHockey!$C:$O,J$1-2011,FALSE),0)+IFERROR(VLOOKUP($A21,WIceHockey!$C:$O,J$1-2011,FALSE),0)+IFERROR(VLOOKUP($A21,WLacrosse!$C:$O,J$1-2011,FALSE),0)+IFERROR(VLOOKUP($A21,WSoccer!$C:$O,J$1-2011,FALSE),0)+IFERROR(VLOOKUP($A21,WSoftball!$C:$O,J$1-2011,FALSE),0)+IFERROR(VLOOKUP($A21,WVolleyball!$C:$O,J$1-2011,FALSE),0)</f>
        <v>117822</v>
      </c>
      <c r="K21">
        <f>IFERROR(VLOOKUP($A21,MBaseball!$C:$N,K$1-2010,FALSE),0)+IFERROR(VLOOKUP($A21,MBasketball!$C:$J,K$1-2006,FALSE),0)+IFERROR(VLOOKUP($A21,MFootball!$C:$O,K$1-2011,FALSE),0)+IFERROR(VLOOKUP($A21,MIceHockey!$C:$P,K$1-2011,FALSE),0)+IFERROR(VLOOKUP($A21,MLacrosse!$C:$O,K$1-2011,FALSE),0)+IFERROR(VLOOKUP($A21,MSoccer!$C:$O,K$1-2011,FALSE),0)+IFERROR(VLOOKUP($A21,MVolleyball!$C:$O,K$1-2011,FALSE),0)+IFERROR(VLOOKUP($A21,WBasketball!$C:$O,K$1-2011,FALSE),0)+IFERROR(VLOOKUP($A21,WFieldHockey!$C:$O,K$1-2011,FALSE),0)+IFERROR(VLOOKUP($A21,WIceHockey!$C:$O,K$1-2011,FALSE),0)+IFERROR(VLOOKUP($A21,WLacrosse!$C:$O,K$1-2011,FALSE),0)+IFERROR(VLOOKUP($A21,WSoccer!$C:$O,K$1-2011,FALSE),0)+IFERROR(VLOOKUP($A21,WSoftball!$C:$O,K$1-2011,FALSE),0)+IFERROR(VLOOKUP($A21,WVolleyball!$C:$O,K$1-2011,FALSE),0)</f>
        <v>118282</v>
      </c>
      <c r="L21">
        <f>IFERROR(VLOOKUP($A21,MBaseball!$C:$N,L$1-2010,FALSE),0)+IFERROR(VLOOKUP($A21,MBasketball!$C:$J,L$1-2006,FALSE),0)+IFERROR(VLOOKUP($A21,MFootball!$C:$O,L$1-2011,FALSE),0)+IFERROR(VLOOKUP($A21,MIceHockey!$C:$P,L$1-2011,FALSE),0)+IFERROR(VLOOKUP($A21,MLacrosse!$C:$O,L$1-2011,FALSE),0)+IFERROR(VLOOKUP($A21,MSoccer!$C:$O,L$1-2011,FALSE),0)+IFERROR(VLOOKUP($A21,MVolleyball!$C:$O,L$1-2011,FALSE),0)+IFERROR(VLOOKUP($A21,WBasketball!$C:$O,L$1-2011,FALSE),0)+IFERROR(VLOOKUP($A21,WFieldHockey!$C:$O,L$1-2011,FALSE),0)+IFERROR(VLOOKUP($A21,WIceHockey!$C:$O,L$1-2011,FALSE),0)+IFERROR(VLOOKUP($A21,WLacrosse!$C:$O,L$1-2011,FALSE),0)+IFERROR(VLOOKUP($A21,WSoccer!$C:$O,L$1-2011,FALSE),0)+IFERROR(VLOOKUP($A21,WSoftball!$C:$O,L$1-2011,FALSE),0)+IFERROR(VLOOKUP($A21,WVolleyball!$C:$O,L$1-2011,FALSE),0)</f>
        <v>10477</v>
      </c>
      <c r="M21">
        <f>IFERROR(VLOOKUP($A21,MBaseball!$C:$N,M$1-2010,FALSE),0)+IFERROR(VLOOKUP($A21,MBasketball!$C:$J,M$1-2006,FALSE),0)+IFERROR(VLOOKUP($A21,MFootball!$C:$O,M$1-2011,FALSE),0)+IFERROR(VLOOKUP($A21,MIceHockey!$C:$P,M$1-2011,FALSE),0)+IFERROR(VLOOKUP($A21,MLacrosse!$C:$O,M$1-2011,FALSE),0)+IFERROR(VLOOKUP($A21,MSoccer!$C:$O,M$1-2011,FALSE),0)+IFERROR(VLOOKUP($A21,MVolleyball!$C:$O,M$1-2011,FALSE),0)+IFERROR(VLOOKUP($A21,WBasketball!$C:$O,M$1-2011,FALSE),0)+IFERROR(VLOOKUP($A21,WFieldHockey!$C:$O,M$1-2011,FALSE),0)+IFERROR(VLOOKUP($A21,WIceHockey!$C:$O,M$1-2011,FALSE),0)+IFERROR(VLOOKUP($A21,WLacrosse!$C:$O,M$1-2011,FALSE),0)+IFERROR(VLOOKUP($A21,WSoccer!$C:$O,M$1-2011,FALSE),0)+IFERROR(VLOOKUP($A21,WSoftball!$C:$O,M$1-2011,FALSE),0)+IFERROR(VLOOKUP($A21,WVolleyball!$C:$O,M$1-2011,FALSE),0)</f>
        <v>123394</v>
      </c>
      <c r="N21">
        <f>IFERROR(VLOOKUP($A21,MBaseball!$C:$N,N$1-2010,FALSE),0)+IFERROR(VLOOKUP($A21,MBasketball!$C:$J,N$1-2006,FALSE),0)+IFERROR(VLOOKUP($A21,MFootball!$C:$O,N$1-2011,FALSE),0)+IFERROR(VLOOKUP($A21,MIceHockey!$C:$P,N$1-2011,FALSE),0)+IFERROR(VLOOKUP($A21,MLacrosse!$C:$O,N$1-2011,FALSE),0)+IFERROR(VLOOKUP($A21,MSoccer!$C:$O,N$1-2011,FALSE),0)+IFERROR(VLOOKUP($A21,MVolleyball!$C:$O,N$1-2011,FALSE),0)+IFERROR(VLOOKUP($A21,WBasketball!$C:$O,N$1-2011,FALSE),0)+IFERROR(VLOOKUP($A21,WFieldHockey!$C:$O,N$1-2011,FALSE),0)+IFERROR(VLOOKUP($A21,WIceHockey!$C:$O,N$1-2011,FALSE),0)+IFERROR(VLOOKUP($A21,WLacrosse!$C:$O,N$1-2011,FALSE),0)+IFERROR(VLOOKUP($A21,WSoccer!$C:$O,N$1-2011,FALSE),0)+IFERROR(VLOOKUP($A21,WSoftball!$C:$O,N$1-2011,FALSE),0)+IFERROR(VLOOKUP($A21,WVolleyball!$C:$O,N$1-2011,FALSE),0)</f>
        <v>124022</v>
      </c>
    </row>
    <row r="22" spans="1:14" x14ac:dyDescent="0.2">
      <c r="A22">
        <v>199139</v>
      </c>
      <c r="B22">
        <v>16740</v>
      </c>
      <c r="C22" t="s">
        <v>67</v>
      </c>
      <c r="D22">
        <v>21</v>
      </c>
      <c r="E22">
        <f>IFERROR(VLOOKUP($A22,MBaseball!$C:$N,E$1-2010,FALSE),0)+IFERROR(VLOOKUP($A22,MBasketball!$C:$J,E$1-2006,FALSE),0)+IFERROR(VLOOKUP($A22,MFootball!$C:$O,E$1-2011,FALSE),0)+IFERROR(VLOOKUP($A22,MIceHockey!$C:$P,E$1-2011,FALSE),0)+IFERROR(VLOOKUP($A22,MLacrosse!$C:$O,E$1-2011,FALSE),0)+IFERROR(VLOOKUP($A22,MSoccer!$C:$O,E$1-2011,FALSE),0)+IFERROR(VLOOKUP($A22,MVolleyball!$C:$O,E$1-2011,FALSE),0)+IFERROR(VLOOKUP($A22,WBasketball!$C:$O,E$1-2011,FALSE),0)+IFERROR(VLOOKUP($A22,WFieldHockey!$C:$O,E$1-2011,FALSE),0)+IFERROR(VLOOKUP($A22,WIceHockey!$C:$O,E$1-2011,FALSE),0)+IFERROR(VLOOKUP($A22,WLacrosse!$C:$O,E$1-2011,FALSE),0)+IFERROR(VLOOKUP($A22,WSoccer!$C:$O,E$1-2011,FALSE),0)+IFERROR(VLOOKUP($A22,WSoftball!$C:$O,E$1-2011,FALSE),0)+IFERROR(VLOOKUP($A22,WVolleyball!$C:$O,E$1-2011,FALSE),0)</f>
        <v>134928</v>
      </c>
      <c r="F22">
        <f>IFERROR(VLOOKUP($A22,MBaseball!$C:$N,F$1-2010,FALSE),0)+IFERROR(VLOOKUP($A22,MBasketball!$C:$J,F$1-2006,FALSE),0)+IFERROR(VLOOKUP($A22,MFootball!$C:$O,F$1-2011,FALSE),0)+IFERROR(VLOOKUP($A22,MIceHockey!$C:$P,F$1-2011,FALSE),0)+IFERROR(VLOOKUP($A22,MLacrosse!$C:$O,F$1-2011,FALSE),0)+IFERROR(VLOOKUP($A22,MSoccer!$C:$O,F$1-2011,FALSE),0)+IFERROR(VLOOKUP($A22,MVolleyball!$C:$O,F$1-2011,FALSE),0)+IFERROR(VLOOKUP($A22,WBasketball!$C:$O,F$1-2011,FALSE),0)+IFERROR(VLOOKUP($A22,WFieldHockey!$C:$O,F$1-2011,FALSE),0)+IFERROR(VLOOKUP($A22,WIceHockey!$C:$O,F$1-2011,FALSE),0)+IFERROR(VLOOKUP($A22,WLacrosse!$C:$O,F$1-2011,FALSE),0)+IFERROR(VLOOKUP($A22,WSoccer!$C:$O,F$1-2011,FALSE),0)+IFERROR(VLOOKUP($A22,WSoftball!$C:$O,F$1-2011,FALSE),0)+IFERROR(VLOOKUP($A22,WVolleyball!$C:$O,F$1-2011,FALSE),0)</f>
        <v>151893</v>
      </c>
      <c r="G22">
        <f>IFERROR(VLOOKUP($A22,MBaseball!$C:$N,G$1-2010,FALSE),0)+IFERROR(VLOOKUP($A22,MBasketball!$C:$J,G$1-2006,FALSE),0)+IFERROR(VLOOKUP($A22,MFootball!$C:$O,G$1-2011,FALSE),0)+IFERROR(VLOOKUP($A22,MIceHockey!$C:$P,G$1-2011,FALSE),0)+IFERROR(VLOOKUP($A22,MLacrosse!$C:$O,G$1-2011,FALSE),0)+IFERROR(VLOOKUP($A22,MSoccer!$C:$O,G$1-2011,FALSE),0)+IFERROR(VLOOKUP($A22,MVolleyball!$C:$O,G$1-2011,FALSE),0)+IFERROR(VLOOKUP($A22,WBasketball!$C:$O,G$1-2011,FALSE),0)+IFERROR(VLOOKUP($A22,WFieldHockey!$C:$O,G$1-2011,FALSE),0)+IFERROR(VLOOKUP($A22,WIceHockey!$C:$O,G$1-2011,FALSE),0)+IFERROR(VLOOKUP($A22,WLacrosse!$C:$O,G$1-2011,FALSE),0)+IFERROR(VLOOKUP($A22,WSoccer!$C:$O,G$1-2011,FALSE),0)+IFERROR(VLOOKUP($A22,WSoftball!$C:$O,G$1-2011,FALSE),0)+IFERROR(VLOOKUP($A22,WVolleyball!$C:$O,G$1-2011,FALSE),0)</f>
        <v>169292</v>
      </c>
      <c r="H22">
        <f>IFERROR(VLOOKUP($A22,MBaseball!$C:$N,H$1-2010,FALSE),0)+IFERROR(VLOOKUP($A22,MBasketball!$C:$J,H$1-2006,FALSE),0)+IFERROR(VLOOKUP($A22,MFootball!$C:$O,H$1-2011,FALSE),0)+IFERROR(VLOOKUP($A22,MIceHockey!$C:$P,H$1-2011,FALSE),0)+IFERROR(VLOOKUP($A22,MLacrosse!$C:$O,H$1-2011,FALSE),0)+IFERROR(VLOOKUP($A22,MSoccer!$C:$O,H$1-2011,FALSE),0)+IFERROR(VLOOKUP($A22,MVolleyball!$C:$O,H$1-2011,FALSE),0)+IFERROR(VLOOKUP($A22,WBasketball!$C:$O,H$1-2011,FALSE),0)+IFERROR(VLOOKUP($A22,WFieldHockey!$C:$O,H$1-2011,FALSE),0)+IFERROR(VLOOKUP($A22,WIceHockey!$C:$O,H$1-2011,FALSE),0)+IFERROR(VLOOKUP($A22,WLacrosse!$C:$O,H$1-2011,FALSE),0)+IFERROR(VLOOKUP($A22,WSoccer!$C:$O,H$1-2011,FALSE),0)+IFERROR(VLOOKUP($A22,WSoftball!$C:$O,H$1-2011,FALSE),0)+IFERROR(VLOOKUP($A22,WVolleyball!$C:$O,H$1-2011,FALSE),0)</f>
        <v>162986</v>
      </c>
      <c r="I22">
        <f>IFERROR(VLOOKUP($A22,MBaseball!$C:$N,I$1-2010,FALSE),0)+IFERROR(VLOOKUP($A22,MBasketball!$C:$J,I$1-2006,FALSE),0)+IFERROR(VLOOKUP($A22,MFootball!$C:$O,I$1-2011,FALSE),0)+IFERROR(VLOOKUP($A22,MIceHockey!$C:$P,I$1-2011,FALSE),0)+IFERROR(VLOOKUP($A22,MLacrosse!$C:$O,I$1-2011,FALSE),0)+IFERROR(VLOOKUP($A22,MSoccer!$C:$O,I$1-2011,FALSE),0)+IFERROR(VLOOKUP($A22,MVolleyball!$C:$O,I$1-2011,FALSE),0)+IFERROR(VLOOKUP($A22,WBasketball!$C:$O,I$1-2011,FALSE),0)+IFERROR(VLOOKUP($A22,WFieldHockey!$C:$O,I$1-2011,FALSE),0)+IFERROR(VLOOKUP($A22,WIceHockey!$C:$O,I$1-2011,FALSE),0)+IFERROR(VLOOKUP($A22,WLacrosse!$C:$O,I$1-2011,FALSE),0)+IFERROR(VLOOKUP($A22,WSoccer!$C:$O,I$1-2011,FALSE),0)+IFERROR(VLOOKUP($A22,WSoftball!$C:$O,I$1-2011,FALSE),0)+IFERROR(VLOOKUP($A22,WVolleyball!$C:$O,I$1-2011,FALSE),0)</f>
        <v>160152</v>
      </c>
      <c r="J22">
        <f>IFERROR(VLOOKUP($A22,MBaseball!$C:$N,J$1-2010,FALSE),0)+IFERROR(VLOOKUP($A22,MBasketball!$C:$J,J$1-2006,FALSE),0)+IFERROR(VLOOKUP($A22,MFootball!$C:$O,J$1-2011,FALSE),0)+IFERROR(VLOOKUP($A22,MIceHockey!$C:$P,J$1-2011,FALSE),0)+IFERROR(VLOOKUP($A22,MLacrosse!$C:$O,J$1-2011,FALSE),0)+IFERROR(VLOOKUP($A22,MSoccer!$C:$O,J$1-2011,FALSE),0)+IFERROR(VLOOKUP($A22,MVolleyball!$C:$O,J$1-2011,FALSE),0)+IFERROR(VLOOKUP($A22,WBasketball!$C:$O,J$1-2011,FALSE),0)+IFERROR(VLOOKUP($A22,WFieldHockey!$C:$O,J$1-2011,FALSE),0)+IFERROR(VLOOKUP($A22,WIceHockey!$C:$O,J$1-2011,FALSE),0)+IFERROR(VLOOKUP($A22,WLacrosse!$C:$O,J$1-2011,FALSE),0)+IFERROR(VLOOKUP($A22,WSoccer!$C:$O,J$1-2011,FALSE),0)+IFERROR(VLOOKUP($A22,WSoftball!$C:$O,J$1-2011,FALSE),0)+IFERROR(VLOOKUP($A22,WVolleyball!$C:$O,J$1-2011,FALSE),0)</f>
        <v>132872</v>
      </c>
      <c r="K22">
        <f>IFERROR(VLOOKUP($A22,MBaseball!$C:$N,K$1-2010,FALSE),0)+IFERROR(VLOOKUP($A22,MBasketball!$C:$J,K$1-2006,FALSE),0)+IFERROR(VLOOKUP($A22,MFootball!$C:$O,K$1-2011,FALSE),0)+IFERROR(VLOOKUP($A22,MIceHockey!$C:$P,K$1-2011,FALSE),0)+IFERROR(VLOOKUP($A22,MLacrosse!$C:$O,K$1-2011,FALSE),0)+IFERROR(VLOOKUP($A22,MSoccer!$C:$O,K$1-2011,FALSE),0)+IFERROR(VLOOKUP($A22,MVolleyball!$C:$O,K$1-2011,FALSE),0)+IFERROR(VLOOKUP($A22,WBasketball!$C:$O,K$1-2011,FALSE),0)+IFERROR(VLOOKUP($A22,WFieldHockey!$C:$O,K$1-2011,FALSE),0)+IFERROR(VLOOKUP($A22,WIceHockey!$C:$O,K$1-2011,FALSE),0)+IFERROR(VLOOKUP($A22,WLacrosse!$C:$O,K$1-2011,FALSE),0)+IFERROR(VLOOKUP($A22,WSoccer!$C:$O,K$1-2011,FALSE),0)+IFERROR(VLOOKUP($A22,WSoftball!$C:$O,K$1-2011,FALSE),0)+IFERROR(VLOOKUP($A22,WVolleyball!$C:$O,K$1-2011,FALSE),0)</f>
        <v>117057</v>
      </c>
      <c r="L22">
        <f>IFERROR(VLOOKUP($A22,MBaseball!$C:$N,L$1-2010,FALSE),0)+IFERROR(VLOOKUP($A22,MBasketball!$C:$J,L$1-2006,FALSE),0)+IFERROR(VLOOKUP($A22,MFootball!$C:$O,L$1-2011,FALSE),0)+IFERROR(VLOOKUP($A22,MIceHockey!$C:$P,L$1-2011,FALSE),0)+IFERROR(VLOOKUP($A22,MLacrosse!$C:$O,L$1-2011,FALSE),0)+IFERROR(VLOOKUP($A22,MSoccer!$C:$O,L$1-2011,FALSE),0)+IFERROR(VLOOKUP($A22,MVolleyball!$C:$O,L$1-2011,FALSE),0)+IFERROR(VLOOKUP($A22,WBasketball!$C:$O,L$1-2011,FALSE),0)+IFERROR(VLOOKUP($A22,WFieldHockey!$C:$O,L$1-2011,FALSE),0)+IFERROR(VLOOKUP($A22,WIceHockey!$C:$O,L$1-2011,FALSE),0)+IFERROR(VLOOKUP($A22,WLacrosse!$C:$O,L$1-2011,FALSE),0)+IFERROR(VLOOKUP($A22,WSoccer!$C:$O,L$1-2011,FALSE),0)+IFERROR(VLOOKUP($A22,WSoftball!$C:$O,L$1-2011,FALSE),0)+IFERROR(VLOOKUP($A22,WVolleyball!$C:$O,L$1-2011,FALSE),0)</f>
        <v>32634</v>
      </c>
      <c r="M22">
        <f>IFERROR(VLOOKUP($A22,MBaseball!$C:$N,M$1-2010,FALSE),0)+IFERROR(VLOOKUP($A22,MBasketball!$C:$J,M$1-2006,FALSE),0)+IFERROR(VLOOKUP($A22,MFootball!$C:$O,M$1-2011,FALSE),0)+IFERROR(VLOOKUP($A22,MIceHockey!$C:$P,M$1-2011,FALSE),0)+IFERROR(VLOOKUP($A22,MLacrosse!$C:$O,M$1-2011,FALSE),0)+IFERROR(VLOOKUP($A22,MSoccer!$C:$O,M$1-2011,FALSE),0)+IFERROR(VLOOKUP($A22,MVolleyball!$C:$O,M$1-2011,FALSE),0)+IFERROR(VLOOKUP($A22,WBasketball!$C:$O,M$1-2011,FALSE),0)+IFERROR(VLOOKUP($A22,WFieldHockey!$C:$O,M$1-2011,FALSE),0)+IFERROR(VLOOKUP($A22,WIceHockey!$C:$O,M$1-2011,FALSE),0)+IFERROR(VLOOKUP($A22,WLacrosse!$C:$O,M$1-2011,FALSE),0)+IFERROR(VLOOKUP($A22,WSoccer!$C:$O,M$1-2011,FALSE),0)+IFERROR(VLOOKUP($A22,WSoftball!$C:$O,M$1-2011,FALSE),0)+IFERROR(VLOOKUP($A22,WVolleyball!$C:$O,M$1-2011,FALSE),0)</f>
        <v>144996</v>
      </c>
      <c r="N22">
        <f>IFERROR(VLOOKUP($A22,MBaseball!$C:$N,N$1-2010,FALSE),0)+IFERROR(VLOOKUP($A22,MBasketball!$C:$J,N$1-2006,FALSE),0)+IFERROR(VLOOKUP($A22,MFootball!$C:$O,N$1-2011,FALSE),0)+IFERROR(VLOOKUP($A22,MIceHockey!$C:$P,N$1-2011,FALSE),0)+IFERROR(VLOOKUP($A22,MLacrosse!$C:$O,N$1-2011,FALSE),0)+IFERROR(VLOOKUP($A22,MSoccer!$C:$O,N$1-2011,FALSE),0)+IFERROR(VLOOKUP($A22,MVolleyball!$C:$O,N$1-2011,FALSE),0)+IFERROR(VLOOKUP($A22,WBasketball!$C:$O,N$1-2011,FALSE),0)+IFERROR(VLOOKUP($A22,WFieldHockey!$C:$O,N$1-2011,FALSE),0)+IFERROR(VLOOKUP($A22,WIceHockey!$C:$O,N$1-2011,FALSE),0)+IFERROR(VLOOKUP($A22,WLacrosse!$C:$O,N$1-2011,FALSE),0)+IFERROR(VLOOKUP($A22,WSoccer!$C:$O,N$1-2011,FALSE),0)+IFERROR(VLOOKUP($A22,WSoftball!$C:$O,N$1-2011,FALSE),0)+IFERROR(VLOOKUP($A22,WVolleyball!$C:$O,N$1-2011,FALSE),0)</f>
        <v>104338</v>
      </c>
    </row>
    <row r="23" spans="1:14" x14ac:dyDescent="0.2">
      <c r="A23">
        <v>144005</v>
      </c>
      <c r="B23">
        <v>16980</v>
      </c>
      <c r="C23" t="s">
        <v>68</v>
      </c>
      <c r="D23">
        <v>22</v>
      </c>
      <c r="E23">
        <f>IFERROR(VLOOKUP($A23,MBaseball!$C:$N,E$1-2010,FALSE),0)+IFERROR(VLOOKUP($A23,MBasketball!$C:$J,E$1-2006,FALSE),0)+IFERROR(VLOOKUP($A23,MFootball!$C:$O,E$1-2011,FALSE),0)+IFERROR(VLOOKUP($A23,MIceHockey!$C:$P,E$1-2011,FALSE),0)+IFERROR(VLOOKUP($A23,MLacrosse!$C:$O,E$1-2011,FALSE),0)+IFERROR(VLOOKUP($A23,MSoccer!$C:$O,E$1-2011,FALSE),0)+IFERROR(VLOOKUP($A23,MVolleyball!$C:$O,E$1-2011,FALSE),0)+IFERROR(VLOOKUP($A23,WBasketball!$C:$O,E$1-2011,FALSE),0)+IFERROR(VLOOKUP($A23,WFieldHockey!$C:$O,E$1-2011,FALSE),0)+IFERROR(VLOOKUP($A23,WIceHockey!$C:$O,E$1-2011,FALSE),0)+IFERROR(VLOOKUP($A23,WLacrosse!$C:$O,E$1-2011,FALSE),0)+IFERROR(VLOOKUP($A23,WSoccer!$C:$O,E$1-2011,FALSE),0)+IFERROR(VLOOKUP($A23,WSoftball!$C:$O,E$1-2011,FALSE),0)+IFERROR(VLOOKUP($A23,WVolleyball!$C:$O,E$1-2011,FALSE),0)</f>
        <v>13412</v>
      </c>
      <c r="F23">
        <f>IFERROR(VLOOKUP($A23,MBaseball!$C:$N,F$1-2010,FALSE),0)+IFERROR(VLOOKUP($A23,MBasketball!$C:$J,F$1-2006,FALSE),0)+IFERROR(VLOOKUP($A23,MFootball!$C:$O,F$1-2011,FALSE),0)+IFERROR(VLOOKUP($A23,MIceHockey!$C:$P,F$1-2011,FALSE),0)+IFERROR(VLOOKUP($A23,MLacrosse!$C:$O,F$1-2011,FALSE),0)+IFERROR(VLOOKUP($A23,MSoccer!$C:$O,F$1-2011,FALSE),0)+IFERROR(VLOOKUP($A23,MVolleyball!$C:$O,F$1-2011,FALSE),0)+IFERROR(VLOOKUP($A23,WBasketball!$C:$O,F$1-2011,FALSE),0)+IFERROR(VLOOKUP($A23,WFieldHockey!$C:$O,F$1-2011,FALSE),0)+IFERROR(VLOOKUP($A23,WIceHockey!$C:$O,F$1-2011,FALSE),0)+IFERROR(VLOOKUP($A23,WLacrosse!$C:$O,F$1-2011,FALSE),0)+IFERROR(VLOOKUP($A23,WSoccer!$C:$O,F$1-2011,FALSE),0)+IFERROR(VLOOKUP($A23,WSoftball!$C:$O,F$1-2011,FALSE),0)+IFERROR(VLOOKUP($A23,WVolleyball!$C:$O,F$1-2011,FALSE),0)</f>
        <v>8285</v>
      </c>
      <c r="G23">
        <f>IFERROR(VLOOKUP($A23,MBaseball!$C:$N,G$1-2010,FALSE),0)+IFERROR(VLOOKUP($A23,MBasketball!$C:$J,G$1-2006,FALSE),0)+IFERROR(VLOOKUP($A23,MFootball!$C:$O,G$1-2011,FALSE),0)+IFERROR(VLOOKUP($A23,MIceHockey!$C:$P,G$1-2011,FALSE),0)+IFERROR(VLOOKUP($A23,MLacrosse!$C:$O,G$1-2011,FALSE),0)+IFERROR(VLOOKUP($A23,MSoccer!$C:$O,G$1-2011,FALSE),0)+IFERROR(VLOOKUP($A23,MVolleyball!$C:$O,G$1-2011,FALSE),0)+IFERROR(VLOOKUP($A23,WBasketball!$C:$O,G$1-2011,FALSE),0)+IFERROR(VLOOKUP($A23,WFieldHockey!$C:$O,G$1-2011,FALSE),0)+IFERROR(VLOOKUP($A23,WIceHockey!$C:$O,G$1-2011,FALSE),0)+IFERROR(VLOOKUP($A23,WLacrosse!$C:$O,G$1-2011,FALSE),0)+IFERROR(VLOOKUP($A23,WSoccer!$C:$O,G$1-2011,FALSE),0)+IFERROR(VLOOKUP($A23,WSoftball!$C:$O,G$1-2011,FALSE),0)+IFERROR(VLOOKUP($A23,WVolleyball!$C:$O,G$1-2011,FALSE),0)</f>
        <v>6531</v>
      </c>
      <c r="H23">
        <f>IFERROR(VLOOKUP($A23,MBaseball!$C:$N,H$1-2010,FALSE),0)+IFERROR(VLOOKUP($A23,MBasketball!$C:$J,H$1-2006,FALSE),0)+IFERROR(VLOOKUP($A23,MFootball!$C:$O,H$1-2011,FALSE),0)+IFERROR(VLOOKUP($A23,MIceHockey!$C:$P,H$1-2011,FALSE),0)+IFERROR(VLOOKUP($A23,MLacrosse!$C:$O,H$1-2011,FALSE),0)+IFERROR(VLOOKUP($A23,MSoccer!$C:$O,H$1-2011,FALSE),0)+IFERROR(VLOOKUP($A23,MVolleyball!$C:$O,H$1-2011,FALSE),0)+IFERROR(VLOOKUP($A23,WBasketball!$C:$O,H$1-2011,FALSE),0)+IFERROR(VLOOKUP($A23,WFieldHockey!$C:$O,H$1-2011,FALSE),0)+IFERROR(VLOOKUP($A23,WIceHockey!$C:$O,H$1-2011,FALSE),0)+IFERROR(VLOOKUP($A23,WLacrosse!$C:$O,H$1-2011,FALSE),0)+IFERROR(VLOOKUP($A23,WSoccer!$C:$O,H$1-2011,FALSE),0)+IFERROR(VLOOKUP($A23,WSoftball!$C:$O,H$1-2011,FALSE),0)+IFERROR(VLOOKUP($A23,WVolleyball!$C:$O,H$1-2011,FALSE),0)</f>
        <v>6669</v>
      </c>
      <c r="I23">
        <f>IFERROR(VLOOKUP($A23,MBaseball!$C:$N,I$1-2010,FALSE),0)+IFERROR(VLOOKUP($A23,MBasketball!$C:$J,I$1-2006,FALSE),0)+IFERROR(VLOOKUP($A23,MFootball!$C:$O,I$1-2011,FALSE),0)+IFERROR(VLOOKUP($A23,MIceHockey!$C:$P,I$1-2011,FALSE),0)+IFERROR(VLOOKUP($A23,MLacrosse!$C:$O,I$1-2011,FALSE),0)+IFERROR(VLOOKUP($A23,MSoccer!$C:$O,I$1-2011,FALSE),0)+IFERROR(VLOOKUP($A23,MVolleyball!$C:$O,I$1-2011,FALSE),0)+IFERROR(VLOOKUP($A23,WBasketball!$C:$O,I$1-2011,FALSE),0)+IFERROR(VLOOKUP($A23,WFieldHockey!$C:$O,I$1-2011,FALSE),0)+IFERROR(VLOOKUP($A23,WIceHockey!$C:$O,I$1-2011,FALSE),0)+IFERROR(VLOOKUP($A23,WLacrosse!$C:$O,I$1-2011,FALSE),0)+IFERROR(VLOOKUP($A23,WSoccer!$C:$O,I$1-2011,FALSE),0)+IFERROR(VLOOKUP($A23,WSoftball!$C:$O,I$1-2011,FALSE),0)+IFERROR(VLOOKUP($A23,WVolleyball!$C:$O,I$1-2011,FALSE),0)</f>
        <v>6949</v>
      </c>
      <c r="J23">
        <f>IFERROR(VLOOKUP($A23,MBaseball!$C:$N,J$1-2010,FALSE),0)+IFERROR(VLOOKUP($A23,MBasketball!$C:$J,J$1-2006,FALSE),0)+IFERROR(VLOOKUP($A23,MFootball!$C:$O,J$1-2011,FALSE),0)+IFERROR(VLOOKUP($A23,MIceHockey!$C:$P,J$1-2011,FALSE),0)+IFERROR(VLOOKUP($A23,MLacrosse!$C:$O,J$1-2011,FALSE),0)+IFERROR(VLOOKUP($A23,MSoccer!$C:$O,J$1-2011,FALSE),0)+IFERROR(VLOOKUP($A23,MVolleyball!$C:$O,J$1-2011,FALSE),0)+IFERROR(VLOOKUP($A23,WBasketball!$C:$O,J$1-2011,FALSE),0)+IFERROR(VLOOKUP($A23,WFieldHockey!$C:$O,J$1-2011,FALSE),0)+IFERROR(VLOOKUP($A23,WIceHockey!$C:$O,J$1-2011,FALSE),0)+IFERROR(VLOOKUP($A23,WLacrosse!$C:$O,J$1-2011,FALSE),0)+IFERROR(VLOOKUP($A23,WSoccer!$C:$O,J$1-2011,FALSE),0)+IFERROR(VLOOKUP($A23,WSoftball!$C:$O,J$1-2011,FALSE),0)+IFERROR(VLOOKUP($A23,WVolleyball!$C:$O,J$1-2011,FALSE),0)</f>
        <v>5643</v>
      </c>
      <c r="K23">
        <f>IFERROR(VLOOKUP($A23,MBaseball!$C:$N,K$1-2010,FALSE),0)+IFERROR(VLOOKUP($A23,MBasketball!$C:$J,K$1-2006,FALSE),0)+IFERROR(VLOOKUP($A23,MFootball!$C:$O,K$1-2011,FALSE),0)+IFERROR(VLOOKUP($A23,MIceHockey!$C:$P,K$1-2011,FALSE),0)+IFERROR(VLOOKUP($A23,MLacrosse!$C:$O,K$1-2011,FALSE),0)+IFERROR(VLOOKUP($A23,MSoccer!$C:$O,K$1-2011,FALSE),0)+IFERROR(VLOOKUP($A23,MVolleyball!$C:$O,K$1-2011,FALSE),0)+IFERROR(VLOOKUP($A23,WBasketball!$C:$O,K$1-2011,FALSE),0)+IFERROR(VLOOKUP($A23,WFieldHockey!$C:$O,K$1-2011,FALSE),0)+IFERROR(VLOOKUP($A23,WIceHockey!$C:$O,K$1-2011,FALSE),0)+IFERROR(VLOOKUP($A23,WLacrosse!$C:$O,K$1-2011,FALSE),0)+IFERROR(VLOOKUP($A23,WSoccer!$C:$O,K$1-2011,FALSE),0)+IFERROR(VLOOKUP($A23,WSoftball!$C:$O,K$1-2011,FALSE),0)+IFERROR(VLOOKUP($A23,WVolleyball!$C:$O,K$1-2011,FALSE),0)</f>
        <v>4088</v>
      </c>
      <c r="L23">
        <f>IFERROR(VLOOKUP($A23,MBaseball!$C:$N,L$1-2010,FALSE),0)+IFERROR(VLOOKUP($A23,MBasketball!$C:$J,L$1-2006,FALSE),0)+IFERROR(VLOOKUP($A23,MFootball!$C:$O,L$1-2011,FALSE),0)+IFERROR(VLOOKUP($A23,MIceHockey!$C:$P,L$1-2011,FALSE),0)+IFERROR(VLOOKUP($A23,MLacrosse!$C:$O,L$1-2011,FALSE),0)+IFERROR(VLOOKUP($A23,MSoccer!$C:$O,L$1-2011,FALSE),0)+IFERROR(VLOOKUP($A23,MVolleyball!$C:$O,L$1-2011,FALSE),0)+IFERROR(VLOOKUP($A23,WBasketball!$C:$O,L$1-2011,FALSE),0)+IFERROR(VLOOKUP($A23,WFieldHockey!$C:$O,L$1-2011,FALSE),0)+IFERROR(VLOOKUP($A23,WIceHockey!$C:$O,L$1-2011,FALSE),0)+IFERROR(VLOOKUP($A23,WLacrosse!$C:$O,L$1-2011,FALSE),0)+IFERROR(VLOOKUP($A23,WSoccer!$C:$O,L$1-2011,FALSE),0)+IFERROR(VLOOKUP($A23,WSoftball!$C:$O,L$1-2011,FALSE),0)+IFERROR(VLOOKUP($A23,WVolleyball!$C:$O,L$1-2011,FALSE),0)</f>
        <v>16</v>
      </c>
      <c r="M23">
        <f>IFERROR(VLOOKUP($A23,MBaseball!$C:$N,M$1-2010,FALSE),0)+IFERROR(VLOOKUP($A23,MBasketball!$C:$J,M$1-2006,FALSE),0)+IFERROR(VLOOKUP($A23,MFootball!$C:$O,M$1-2011,FALSE),0)+IFERROR(VLOOKUP($A23,MIceHockey!$C:$P,M$1-2011,FALSE),0)+IFERROR(VLOOKUP($A23,MLacrosse!$C:$O,M$1-2011,FALSE),0)+IFERROR(VLOOKUP($A23,MSoccer!$C:$O,M$1-2011,FALSE),0)+IFERROR(VLOOKUP($A23,MVolleyball!$C:$O,M$1-2011,FALSE),0)+IFERROR(VLOOKUP($A23,WBasketball!$C:$O,M$1-2011,FALSE),0)+IFERROR(VLOOKUP($A23,WFieldHockey!$C:$O,M$1-2011,FALSE),0)+IFERROR(VLOOKUP($A23,WIceHockey!$C:$O,M$1-2011,FALSE),0)+IFERROR(VLOOKUP($A23,WLacrosse!$C:$O,M$1-2011,FALSE),0)+IFERROR(VLOOKUP($A23,WSoccer!$C:$O,M$1-2011,FALSE),0)+IFERROR(VLOOKUP($A23,WSoftball!$C:$O,M$1-2011,FALSE),0)+IFERROR(VLOOKUP($A23,WVolleyball!$C:$O,M$1-2011,FALSE),0)</f>
        <v>3085</v>
      </c>
      <c r="N23">
        <f>IFERROR(VLOOKUP($A23,MBaseball!$C:$N,N$1-2010,FALSE),0)+IFERROR(VLOOKUP($A23,MBasketball!$C:$J,N$1-2006,FALSE),0)+IFERROR(VLOOKUP($A23,MFootball!$C:$O,N$1-2011,FALSE),0)+IFERROR(VLOOKUP($A23,MIceHockey!$C:$P,N$1-2011,FALSE),0)+IFERROR(VLOOKUP($A23,MLacrosse!$C:$O,N$1-2011,FALSE),0)+IFERROR(VLOOKUP($A23,MSoccer!$C:$O,N$1-2011,FALSE),0)+IFERROR(VLOOKUP($A23,MVolleyball!$C:$O,N$1-2011,FALSE),0)+IFERROR(VLOOKUP($A23,WBasketball!$C:$O,N$1-2011,FALSE),0)+IFERROR(VLOOKUP($A23,WFieldHockey!$C:$O,N$1-2011,FALSE),0)+IFERROR(VLOOKUP($A23,WIceHockey!$C:$O,N$1-2011,FALSE),0)+IFERROR(VLOOKUP($A23,WLacrosse!$C:$O,N$1-2011,FALSE),0)+IFERROR(VLOOKUP($A23,WSoccer!$C:$O,N$1-2011,FALSE),0)+IFERROR(VLOOKUP($A23,WSoftball!$C:$O,N$1-2011,FALSE),0)+IFERROR(VLOOKUP($A23,WVolleyball!$C:$O,N$1-2011,FALSE),0)</f>
        <v>2244</v>
      </c>
    </row>
    <row r="24" spans="1:14" x14ac:dyDescent="0.2">
      <c r="A24">
        <v>201885</v>
      </c>
      <c r="B24">
        <v>17140</v>
      </c>
      <c r="C24" t="s">
        <v>69</v>
      </c>
      <c r="D24">
        <v>23</v>
      </c>
      <c r="E24">
        <f>IFERROR(VLOOKUP($A24,MBaseball!$C:$N,E$1-2010,FALSE),0)+IFERROR(VLOOKUP($A24,MBasketball!$C:$J,E$1-2006,FALSE),0)+IFERROR(VLOOKUP($A24,MFootball!$C:$O,E$1-2011,FALSE),0)+IFERROR(VLOOKUP($A24,MIceHockey!$C:$P,E$1-2011,FALSE),0)+IFERROR(VLOOKUP($A24,MLacrosse!$C:$O,E$1-2011,FALSE),0)+IFERROR(VLOOKUP($A24,MSoccer!$C:$O,E$1-2011,FALSE),0)+IFERROR(VLOOKUP($A24,MVolleyball!$C:$O,E$1-2011,FALSE),0)+IFERROR(VLOOKUP($A24,WBasketball!$C:$O,E$1-2011,FALSE),0)+IFERROR(VLOOKUP($A24,WFieldHockey!$C:$O,E$1-2011,FALSE),0)+IFERROR(VLOOKUP($A24,WIceHockey!$C:$O,E$1-2011,FALSE),0)+IFERROR(VLOOKUP($A24,WLacrosse!$C:$O,E$1-2011,FALSE),0)+IFERROR(VLOOKUP($A24,WSoccer!$C:$O,E$1-2011,FALSE),0)+IFERROR(VLOOKUP($A24,WSoftball!$C:$O,E$1-2011,FALSE),0)+IFERROR(VLOOKUP($A24,WVolleyball!$C:$O,E$1-2011,FALSE),0)</f>
        <v>244521</v>
      </c>
      <c r="F24">
        <f>IFERROR(VLOOKUP($A24,MBaseball!$C:$N,F$1-2010,FALSE),0)+IFERROR(VLOOKUP($A24,MBasketball!$C:$J,F$1-2006,FALSE),0)+IFERROR(VLOOKUP($A24,MFootball!$C:$O,F$1-2011,FALSE),0)+IFERROR(VLOOKUP($A24,MIceHockey!$C:$P,F$1-2011,FALSE),0)+IFERROR(VLOOKUP($A24,MLacrosse!$C:$O,F$1-2011,FALSE),0)+IFERROR(VLOOKUP($A24,MSoccer!$C:$O,F$1-2011,FALSE),0)+IFERROR(VLOOKUP($A24,MVolleyball!$C:$O,F$1-2011,FALSE),0)+IFERROR(VLOOKUP($A24,WBasketball!$C:$O,F$1-2011,FALSE),0)+IFERROR(VLOOKUP($A24,WFieldHockey!$C:$O,F$1-2011,FALSE),0)+IFERROR(VLOOKUP($A24,WIceHockey!$C:$O,F$1-2011,FALSE),0)+IFERROR(VLOOKUP($A24,WLacrosse!$C:$O,F$1-2011,FALSE),0)+IFERROR(VLOOKUP($A24,WSoccer!$C:$O,F$1-2011,FALSE),0)+IFERROR(VLOOKUP($A24,WSoftball!$C:$O,F$1-2011,FALSE),0)+IFERROR(VLOOKUP($A24,WVolleyball!$C:$O,F$1-2011,FALSE),0)</f>
        <v>212965</v>
      </c>
      <c r="G24">
        <f>IFERROR(VLOOKUP($A24,MBaseball!$C:$N,G$1-2010,FALSE),0)+IFERROR(VLOOKUP($A24,MBasketball!$C:$J,G$1-2006,FALSE),0)+IFERROR(VLOOKUP($A24,MFootball!$C:$O,G$1-2011,FALSE),0)+IFERROR(VLOOKUP($A24,MIceHockey!$C:$P,G$1-2011,FALSE),0)+IFERROR(VLOOKUP($A24,MLacrosse!$C:$O,G$1-2011,FALSE),0)+IFERROR(VLOOKUP($A24,MSoccer!$C:$O,G$1-2011,FALSE),0)+IFERROR(VLOOKUP($A24,MVolleyball!$C:$O,G$1-2011,FALSE),0)+IFERROR(VLOOKUP($A24,WBasketball!$C:$O,G$1-2011,FALSE),0)+IFERROR(VLOOKUP($A24,WFieldHockey!$C:$O,G$1-2011,FALSE),0)+IFERROR(VLOOKUP($A24,WIceHockey!$C:$O,G$1-2011,FALSE),0)+IFERROR(VLOOKUP($A24,WLacrosse!$C:$O,G$1-2011,FALSE),0)+IFERROR(VLOOKUP($A24,WSoccer!$C:$O,G$1-2011,FALSE),0)+IFERROR(VLOOKUP($A24,WSoftball!$C:$O,G$1-2011,FALSE),0)+IFERROR(VLOOKUP($A24,WVolleyball!$C:$O,G$1-2011,FALSE),0)</f>
        <v>278356</v>
      </c>
      <c r="H24">
        <f>IFERROR(VLOOKUP($A24,MBaseball!$C:$N,H$1-2010,FALSE),0)+IFERROR(VLOOKUP($A24,MBasketball!$C:$J,H$1-2006,FALSE),0)+IFERROR(VLOOKUP($A24,MFootball!$C:$O,H$1-2011,FALSE),0)+IFERROR(VLOOKUP($A24,MIceHockey!$C:$P,H$1-2011,FALSE),0)+IFERROR(VLOOKUP($A24,MLacrosse!$C:$O,H$1-2011,FALSE),0)+IFERROR(VLOOKUP($A24,MSoccer!$C:$O,H$1-2011,FALSE),0)+IFERROR(VLOOKUP($A24,MVolleyball!$C:$O,H$1-2011,FALSE),0)+IFERROR(VLOOKUP($A24,WBasketball!$C:$O,H$1-2011,FALSE),0)+IFERROR(VLOOKUP($A24,WFieldHockey!$C:$O,H$1-2011,FALSE),0)+IFERROR(VLOOKUP($A24,WIceHockey!$C:$O,H$1-2011,FALSE),0)+IFERROR(VLOOKUP($A24,WLacrosse!$C:$O,H$1-2011,FALSE),0)+IFERROR(VLOOKUP($A24,WSoccer!$C:$O,H$1-2011,FALSE),0)+IFERROR(VLOOKUP($A24,WSoftball!$C:$O,H$1-2011,FALSE),0)+IFERROR(VLOOKUP($A24,WVolleyball!$C:$O,H$1-2011,FALSE),0)</f>
        <v>291184</v>
      </c>
      <c r="I24">
        <f>IFERROR(VLOOKUP($A24,MBaseball!$C:$N,I$1-2010,FALSE),0)+IFERROR(VLOOKUP($A24,MBasketball!$C:$J,I$1-2006,FALSE),0)+IFERROR(VLOOKUP($A24,MFootball!$C:$O,I$1-2011,FALSE),0)+IFERROR(VLOOKUP($A24,MIceHockey!$C:$P,I$1-2011,FALSE),0)+IFERROR(VLOOKUP($A24,MLacrosse!$C:$O,I$1-2011,FALSE),0)+IFERROR(VLOOKUP($A24,MSoccer!$C:$O,I$1-2011,FALSE),0)+IFERROR(VLOOKUP($A24,MVolleyball!$C:$O,I$1-2011,FALSE),0)+IFERROR(VLOOKUP($A24,WBasketball!$C:$O,I$1-2011,FALSE),0)+IFERROR(VLOOKUP($A24,WFieldHockey!$C:$O,I$1-2011,FALSE),0)+IFERROR(VLOOKUP($A24,WIceHockey!$C:$O,I$1-2011,FALSE),0)+IFERROR(VLOOKUP($A24,WLacrosse!$C:$O,I$1-2011,FALSE),0)+IFERROR(VLOOKUP($A24,WSoccer!$C:$O,I$1-2011,FALSE),0)+IFERROR(VLOOKUP($A24,WSoftball!$C:$O,I$1-2011,FALSE),0)+IFERROR(VLOOKUP($A24,WVolleyball!$C:$O,I$1-2011,FALSE),0)</f>
        <v>236068</v>
      </c>
      <c r="J24">
        <f>IFERROR(VLOOKUP($A24,MBaseball!$C:$N,J$1-2010,FALSE),0)+IFERROR(VLOOKUP($A24,MBasketball!$C:$J,J$1-2006,FALSE),0)+IFERROR(VLOOKUP($A24,MFootball!$C:$O,J$1-2011,FALSE),0)+IFERROR(VLOOKUP($A24,MIceHockey!$C:$P,J$1-2011,FALSE),0)+IFERROR(VLOOKUP($A24,MLacrosse!$C:$O,J$1-2011,FALSE),0)+IFERROR(VLOOKUP($A24,MSoccer!$C:$O,J$1-2011,FALSE),0)+IFERROR(VLOOKUP($A24,MVolleyball!$C:$O,J$1-2011,FALSE),0)+IFERROR(VLOOKUP($A24,WBasketball!$C:$O,J$1-2011,FALSE),0)+IFERROR(VLOOKUP($A24,WFieldHockey!$C:$O,J$1-2011,FALSE),0)+IFERROR(VLOOKUP($A24,WIceHockey!$C:$O,J$1-2011,FALSE),0)+IFERROR(VLOOKUP($A24,WLacrosse!$C:$O,J$1-2011,FALSE),0)+IFERROR(VLOOKUP($A24,WSoccer!$C:$O,J$1-2011,FALSE),0)+IFERROR(VLOOKUP($A24,WSoftball!$C:$O,J$1-2011,FALSE),0)+IFERROR(VLOOKUP($A24,WVolleyball!$C:$O,J$1-2011,FALSE),0)</f>
        <v>240037</v>
      </c>
      <c r="K24">
        <f>IFERROR(VLOOKUP($A24,MBaseball!$C:$N,K$1-2010,FALSE),0)+IFERROR(VLOOKUP($A24,MBasketball!$C:$J,K$1-2006,FALSE),0)+IFERROR(VLOOKUP($A24,MFootball!$C:$O,K$1-2011,FALSE),0)+IFERROR(VLOOKUP($A24,MIceHockey!$C:$P,K$1-2011,FALSE),0)+IFERROR(VLOOKUP($A24,MLacrosse!$C:$O,K$1-2011,FALSE),0)+IFERROR(VLOOKUP($A24,MSoccer!$C:$O,K$1-2011,FALSE),0)+IFERROR(VLOOKUP($A24,MVolleyball!$C:$O,K$1-2011,FALSE),0)+IFERROR(VLOOKUP($A24,WBasketball!$C:$O,K$1-2011,FALSE),0)+IFERROR(VLOOKUP($A24,WFieldHockey!$C:$O,K$1-2011,FALSE),0)+IFERROR(VLOOKUP($A24,WIceHockey!$C:$O,K$1-2011,FALSE),0)+IFERROR(VLOOKUP($A24,WLacrosse!$C:$O,K$1-2011,FALSE),0)+IFERROR(VLOOKUP($A24,WSoccer!$C:$O,K$1-2011,FALSE),0)+IFERROR(VLOOKUP($A24,WSoftball!$C:$O,K$1-2011,FALSE),0)+IFERROR(VLOOKUP($A24,WVolleyball!$C:$O,K$1-2011,FALSE),0)</f>
        <v>267538</v>
      </c>
      <c r="L24">
        <f>IFERROR(VLOOKUP($A24,MBaseball!$C:$N,L$1-2010,FALSE),0)+IFERROR(VLOOKUP($A24,MBasketball!$C:$J,L$1-2006,FALSE),0)+IFERROR(VLOOKUP($A24,MFootball!$C:$O,L$1-2011,FALSE),0)+IFERROR(VLOOKUP($A24,MIceHockey!$C:$P,L$1-2011,FALSE),0)+IFERROR(VLOOKUP($A24,MLacrosse!$C:$O,L$1-2011,FALSE),0)+IFERROR(VLOOKUP($A24,MSoccer!$C:$O,L$1-2011,FALSE),0)+IFERROR(VLOOKUP($A24,MVolleyball!$C:$O,L$1-2011,FALSE),0)+IFERROR(VLOOKUP($A24,WBasketball!$C:$O,L$1-2011,FALSE),0)+IFERROR(VLOOKUP($A24,WFieldHockey!$C:$O,L$1-2011,FALSE),0)+IFERROR(VLOOKUP($A24,WIceHockey!$C:$O,L$1-2011,FALSE),0)+IFERROR(VLOOKUP($A24,WLacrosse!$C:$O,L$1-2011,FALSE),0)+IFERROR(VLOOKUP($A24,WSoccer!$C:$O,L$1-2011,FALSE),0)+IFERROR(VLOOKUP($A24,WSoftball!$C:$O,L$1-2011,FALSE),0)+IFERROR(VLOOKUP($A24,WVolleyball!$C:$O,L$1-2011,FALSE),0)</f>
        <v>40150</v>
      </c>
      <c r="M24">
        <f>IFERROR(VLOOKUP($A24,MBaseball!$C:$N,M$1-2010,FALSE),0)+IFERROR(VLOOKUP($A24,MBasketball!$C:$J,M$1-2006,FALSE),0)+IFERROR(VLOOKUP($A24,MFootball!$C:$O,M$1-2011,FALSE),0)+IFERROR(VLOOKUP($A24,MIceHockey!$C:$P,M$1-2011,FALSE),0)+IFERROR(VLOOKUP($A24,MLacrosse!$C:$O,M$1-2011,FALSE),0)+IFERROR(VLOOKUP($A24,MSoccer!$C:$O,M$1-2011,FALSE),0)+IFERROR(VLOOKUP($A24,MVolleyball!$C:$O,M$1-2011,FALSE),0)+IFERROR(VLOOKUP($A24,WBasketball!$C:$O,M$1-2011,FALSE),0)+IFERROR(VLOOKUP($A24,WFieldHockey!$C:$O,M$1-2011,FALSE),0)+IFERROR(VLOOKUP($A24,WIceHockey!$C:$O,M$1-2011,FALSE),0)+IFERROR(VLOOKUP($A24,WLacrosse!$C:$O,M$1-2011,FALSE),0)+IFERROR(VLOOKUP($A24,WSoccer!$C:$O,M$1-2011,FALSE),0)+IFERROR(VLOOKUP($A24,WSoftball!$C:$O,M$1-2011,FALSE),0)+IFERROR(VLOOKUP($A24,WVolleyball!$C:$O,M$1-2011,FALSE),0)</f>
        <v>308677</v>
      </c>
      <c r="N24">
        <f>IFERROR(VLOOKUP($A24,MBaseball!$C:$N,N$1-2010,FALSE),0)+IFERROR(VLOOKUP($A24,MBasketball!$C:$J,N$1-2006,FALSE),0)+IFERROR(VLOOKUP($A24,MFootball!$C:$O,N$1-2011,FALSE),0)+IFERROR(VLOOKUP($A24,MIceHockey!$C:$P,N$1-2011,FALSE),0)+IFERROR(VLOOKUP($A24,MLacrosse!$C:$O,N$1-2011,FALSE),0)+IFERROR(VLOOKUP($A24,MSoccer!$C:$O,N$1-2011,FALSE),0)+IFERROR(VLOOKUP($A24,MVolleyball!$C:$O,N$1-2011,FALSE),0)+IFERROR(VLOOKUP($A24,WBasketball!$C:$O,N$1-2011,FALSE),0)+IFERROR(VLOOKUP($A24,WFieldHockey!$C:$O,N$1-2011,FALSE),0)+IFERROR(VLOOKUP($A24,WIceHockey!$C:$O,N$1-2011,FALSE),0)+IFERROR(VLOOKUP($A24,WLacrosse!$C:$O,N$1-2011,FALSE),0)+IFERROR(VLOOKUP($A24,WSoccer!$C:$O,N$1-2011,FALSE),0)+IFERROR(VLOOKUP($A24,WSoftball!$C:$O,N$1-2011,FALSE),0)+IFERROR(VLOOKUP($A24,WVolleyball!$C:$O,N$1-2011,FALSE),0)</f>
        <v>260658</v>
      </c>
    </row>
    <row r="25" spans="1:14" x14ac:dyDescent="0.2">
      <c r="A25">
        <v>217882</v>
      </c>
      <c r="B25">
        <v>42860</v>
      </c>
      <c r="C25" t="s">
        <v>71</v>
      </c>
      <c r="D25">
        <v>24</v>
      </c>
      <c r="E25">
        <f>IFERROR(VLOOKUP($A25,MBaseball!$C:$N,E$1-2010,FALSE),0)+IFERROR(VLOOKUP($A25,MBasketball!$C:$J,E$1-2006,FALSE),0)+IFERROR(VLOOKUP($A25,MFootball!$C:$O,E$1-2011,FALSE),0)+IFERROR(VLOOKUP($A25,MIceHockey!$C:$P,E$1-2011,FALSE),0)+IFERROR(VLOOKUP($A25,MLacrosse!$C:$O,E$1-2011,FALSE),0)+IFERROR(VLOOKUP($A25,MSoccer!$C:$O,E$1-2011,FALSE),0)+IFERROR(VLOOKUP($A25,MVolleyball!$C:$O,E$1-2011,FALSE),0)+IFERROR(VLOOKUP($A25,WBasketball!$C:$O,E$1-2011,FALSE),0)+IFERROR(VLOOKUP($A25,WFieldHockey!$C:$O,E$1-2011,FALSE),0)+IFERROR(VLOOKUP($A25,WIceHockey!$C:$O,E$1-2011,FALSE),0)+IFERROR(VLOOKUP($A25,WLacrosse!$C:$O,E$1-2011,FALSE),0)+IFERROR(VLOOKUP($A25,WSoccer!$C:$O,E$1-2011,FALSE),0)+IFERROR(VLOOKUP($A25,WSoftball!$C:$O,E$1-2011,FALSE),0)+IFERROR(VLOOKUP($A25,WVolleyball!$C:$O,E$1-2011,FALSE),0)</f>
        <v>318226</v>
      </c>
      <c r="F25">
        <f>IFERROR(VLOOKUP($A25,MBaseball!$C:$N,F$1-2010,FALSE),0)+IFERROR(VLOOKUP($A25,MBasketball!$C:$J,F$1-2006,FALSE),0)+IFERROR(VLOOKUP($A25,MFootball!$C:$O,F$1-2011,FALSE),0)+IFERROR(VLOOKUP($A25,MIceHockey!$C:$P,F$1-2011,FALSE),0)+IFERROR(VLOOKUP($A25,MLacrosse!$C:$O,F$1-2011,FALSE),0)+IFERROR(VLOOKUP($A25,MSoccer!$C:$O,F$1-2011,FALSE),0)+IFERROR(VLOOKUP($A25,MVolleyball!$C:$O,F$1-2011,FALSE),0)+IFERROR(VLOOKUP($A25,WBasketball!$C:$O,F$1-2011,FALSE),0)+IFERROR(VLOOKUP($A25,WFieldHockey!$C:$O,F$1-2011,FALSE),0)+IFERROR(VLOOKUP($A25,WIceHockey!$C:$O,F$1-2011,FALSE),0)+IFERROR(VLOOKUP($A25,WLacrosse!$C:$O,F$1-2011,FALSE),0)+IFERROR(VLOOKUP($A25,WSoccer!$C:$O,F$1-2011,FALSE),0)+IFERROR(VLOOKUP($A25,WSoftball!$C:$O,F$1-2011,FALSE),0)+IFERROR(VLOOKUP($A25,WVolleyball!$C:$O,F$1-2011,FALSE),0)</f>
        <v>792450</v>
      </c>
      <c r="G25">
        <f>IFERROR(VLOOKUP($A25,MBaseball!$C:$N,G$1-2010,FALSE),0)+IFERROR(VLOOKUP($A25,MBasketball!$C:$J,G$1-2006,FALSE),0)+IFERROR(VLOOKUP($A25,MFootball!$C:$O,G$1-2011,FALSE),0)+IFERROR(VLOOKUP($A25,MIceHockey!$C:$P,G$1-2011,FALSE),0)+IFERROR(VLOOKUP($A25,MLacrosse!$C:$O,G$1-2011,FALSE),0)+IFERROR(VLOOKUP($A25,MSoccer!$C:$O,G$1-2011,FALSE),0)+IFERROR(VLOOKUP($A25,MVolleyball!$C:$O,G$1-2011,FALSE),0)+IFERROR(VLOOKUP($A25,WBasketball!$C:$O,G$1-2011,FALSE),0)+IFERROR(VLOOKUP($A25,WFieldHockey!$C:$O,G$1-2011,FALSE),0)+IFERROR(VLOOKUP($A25,WIceHockey!$C:$O,G$1-2011,FALSE),0)+IFERROR(VLOOKUP($A25,WLacrosse!$C:$O,G$1-2011,FALSE),0)+IFERROR(VLOOKUP($A25,WSoccer!$C:$O,G$1-2011,FALSE),0)+IFERROR(VLOOKUP($A25,WSoftball!$C:$O,G$1-2011,FALSE),0)+IFERROR(VLOOKUP($A25,WVolleyball!$C:$O,G$1-2011,FALSE),0)</f>
        <v>836929</v>
      </c>
      <c r="H25">
        <f>IFERROR(VLOOKUP($A25,MBaseball!$C:$N,H$1-2010,FALSE),0)+IFERROR(VLOOKUP($A25,MBasketball!$C:$J,H$1-2006,FALSE),0)+IFERROR(VLOOKUP($A25,MFootball!$C:$O,H$1-2011,FALSE),0)+IFERROR(VLOOKUP($A25,MIceHockey!$C:$P,H$1-2011,FALSE),0)+IFERROR(VLOOKUP($A25,MLacrosse!$C:$O,H$1-2011,FALSE),0)+IFERROR(VLOOKUP($A25,MSoccer!$C:$O,H$1-2011,FALSE),0)+IFERROR(VLOOKUP($A25,MVolleyball!$C:$O,H$1-2011,FALSE),0)+IFERROR(VLOOKUP($A25,WBasketball!$C:$O,H$1-2011,FALSE),0)+IFERROR(VLOOKUP($A25,WFieldHockey!$C:$O,H$1-2011,FALSE),0)+IFERROR(VLOOKUP($A25,WIceHockey!$C:$O,H$1-2011,FALSE),0)+IFERROR(VLOOKUP($A25,WLacrosse!$C:$O,H$1-2011,FALSE),0)+IFERROR(VLOOKUP($A25,WSoccer!$C:$O,H$1-2011,FALSE),0)+IFERROR(VLOOKUP($A25,WSoftball!$C:$O,H$1-2011,FALSE),0)+IFERROR(VLOOKUP($A25,WVolleyball!$C:$O,H$1-2011,FALSE),0)</f>
        <v>801906</v>
      </c>
      <c r="I25">
        <f>IFERROR(VLOOKUP($A25,MBaseball!$C:$N,I$1-2010,FALSE),0)+IFERROR(VLOOKUP($A25,MBasketball!$C:$J,I$1-2006,FALSE),0)+IFERROR(VLOOKUP($A25,MFootball!$C:$O,I$1-2011,FALSE),0)+IFERROR(VLOOKUP($A25,MIceHockey!$C:$P,I$1-2011,FALSE),0)+IFERROR(VLOOKUP($A25,MLacrosse!$C:$O,I$1-2011,FALSE),0)+IFERROR(VLOOKUP($A25,MSoccer!$C:$O,I$1-2011,FALSE),0)+IFERROR(VLOOKUP($A25,MVolleyball!$C:$O,I$1-2011,FALSE),0)+IFERROR(VLOOKUP($A25,WBasketball!$C:$O,I$1-2011,FALSE),0)+IFERROR(VLOOKUP($A25,WFieldHockey!$C:$O,I$1-2011,FALSE),0)+IFERROR(VLOOKUP($A25,WIceHockey!$C:$O,I$1-2011,FALSE),0)+IFERROR(VLOOKUP($A25,WLacrosse!$C:$O,I$1-2011,FALSE),0)+IFERROR(VLOOKUP($A25,WSoccer!$C:$O,I$1-2011,FALSE),0)+IFERROR(VLOOKUP($A25,WSoftball!$C:$O,I$1-2011,FALSE),0)+IFERROR(VLOOKUP($A25,WVolleyball!$C:$O,I$1-2011,FALSE),0)</f>
        <v>778248</v>
      </c>
      <c r="J25">
        <f>IFERROR(VLOOKUP($A25,MBaseball!$C:$N,J$1-2010,FALSE),0)+IFERROR(VLOOKUP($A25,MBasketball!$C:$J,J$1-2006,FALSE),0)+IFERROR(VLOOKUP($A25,MFootball!$C:$O,J$1-2011,FALSE),0)+IFERROR(VLOOKUP($A25,MIceHockey!$C:$P,J$1-2011,FALSE),0)+IFERROR(VLOOKUP($A25,MLacrosse!$C:$O,J$1-2011,FALSE),0)+IFERROR(VLOOKUP($A25,MSoccer!$C:$O,J$1-2011,FALSE),0)+IFERROR(VLOOKUP($A25,MVolleyball!$C:$O,J$1-2011,FALSE),0)+IFERROR(VLOOKUP($A25,WBasketball!$C:$O,J$1-2011,FALSE),0)+IFERROR(VLOOKUP($A25,WFieldHockey!$C:$O,J$1-2011,FALSE),0)+IFERROR(VLOOKUP($A25,WIceHockey!$C:$O,J$1-2011,FALSE),0)+IFERROR(VLOOKUP($A25,WLacrosse!$C:$O,J$1-2011,FALSE),0)+IFERROR(VLOOKUP($A25,WSoccer!$C:$O,J$1-2011,FALSE),0)+IFERROR(VLOOKUP($A25,WSoftball!$C:$O,J$1-2011,FALSE),0)+IFERROR(VLOOKUP($A25,WVolleyball!$C:$O,J$1-2011,FALSE),0)</f>
        <v>686870</v>
      </c>
      <c r="K25">
        <f>IFERROR(VLOOKUP($A25,MBaseball!$C:$N,K$1-2010,FALSE),0)+IFERROR(VLOOKUP($A25,MBasketball!$C:$J,K$1-2006,FALSE),0)+IFERROR(VLOOKUP($A25,MFootball!$C:$O,K$1-2011,FALSE),0)+IFERROR(VLOOKUP($A25,MIceHockey!$C:$P,K$1-2011,FALSE),0)+IFERROR(VLOOKUP($A25,MLacrosse!$C:$O,K$1-2011,FALSE),0)+IFERROR(VLOOKUP($A25,MSoccer!$C:$O,K$1-2011,FALSE),0)+IFERROR(VLOOKUP($A25,MVolleyball!$C:$O,K$1-2011,FALSE),0)+IFERROR(VLOOKUP($A25,WBasketball!$C:$O,K$1-2011,FALSE),0)+IFERROR(VLOOKUP($A25,WFieldHockey!$C:$O,K$1-2011,FALSE),0)+IFERROR(VLOOKUP($A25,WIceHockey!$C:$O,K$1-2011,FALSE),0)+IFERROR(VLOOKUP($A25,WLacrosse!$C:$O,K$1-2011,FALSE),0)+IFERROR(VLOOKUP($A25,WSoccer!$C:$O,K$1-2011,FALSE),0)+IFERROR(VLOOKUP($A25,WSoftball!$C:$O,K$1-2011,FALSE),0)+IFERROR(VLOOKUP($A25,WVolleyball!$C:$O,K$1-2011,FALSE),0)</f>
        <v>681878</v>
      </c>
      <c r="L25">
        <f>IFERROR(VLOOKUP($A25,MBaseball!$C:$N,L$1-2010,FALSE),0)+IFERROR(VLOOKUP($A25,MBasketball!$C:$J,L$1-2006,FALSE),0)+IFERROR(VLOOKUP($A25,MFootball!$C:$O,L$1-2011,FALSE),0)+IFERROR(VLOOKUP($A25,MIceHockey!$C:$P,L$1-2011,FALSE),0)+IFERROR(VLOOKUP($A25,MLacrosse!$C:$O,L$1-2011,FALSE),0)+IFERROR(VLOOKUP($A25,MSoccer!$C:$O,L$1-2011,FALSE),0)+IFERROR(VLOOKUP($A25,MVolleyball!$C:$O,L$1-2011,FALSE),0)+IFERROR(VLOOKUP($A25,WBasketball!$C:$O,L$1-2011,FALSE),0)+IFERROR(VLOOKUP($A25,WFieldHockey!$C:$O,L$1-2011,FALSE),0)+IFERROR(VLOOKUP($A25,WIceHockey!$C:$O,L$1-2011,FALSE),0)+IFERROR(VLOOKUP($A25,WLacrosse!$C:$O,L$1-2011,FALSE),0)+IFERROR(VLOOKUP($A25,WSoccer!$C:$O,L$1-2011,FALSE),0)+IFERROR(VLOOKUP($A25,WSoftball!$C:$O,L$1-2011,FALSE),0)+IFERROR(VLOOKUP($A25,WVolleyball!$C:$O,L$1-2011,FALSE),0)</f>
        <v>280628</v>
      </c>
      <c r="M25">
        <f>IFERROR(VLOOKUP($A25,MBaseball!$C:$N,M$1-2010,FALSE),0)+IFERROR(VLOOKUP($A25,MBasketball!$C:$J,M$1-2006,FALSE),0)+IFERROR(VLOOKUP($A25,MFootball!$C:$O,M$1-2011,FALSE),0)+IFERROR(VLOOKUP($A25,MIceHockey!$C:$P,M$1-2011,FALSE),0)+IFERROR(VLOOKUP($A25,MLacrosse!$C:$O,M$1-2011,FALSE),0)+IFERROR(VLOOKUP($A25,MSoccer!$C:$O,M$1-2011,FALSE),0)+IFERROR(VLOOKUP($A25,MVolleyball!$C:$O,M$1-2011,FALSE),0)+IFERROR(VLOOKUP($A25,WBasketball!$C:$O,M$1-2011,FALSE),0)+IFERROR(VLOOKUP($A25,WFieldHockey!$C:$O,M$1-2011,FALSE),0)+IFERROR(VLOOKUP($A25,WIceHockey!$C:$O,M$1-2011,FALSE),0)+IFERROR(VLOOKUP($A25,WLacrosse!$C:$O,M$1-2011,FALSE),0)+IFERROR(VLOOKUP($A25,WSoccer!$C:$O,M$1-2011,FALSE),0)+IFERROR(VLOOKUP($A25,WSoftball!$C:$O,M$1-2011,FALSE),0)+IFERROR(VLOOKUP($A25,WVolleyball!$C:$O,M$1-2011,FALSE),0)</f>
        <v>734877</v>
      </c>
      <c r="N25">
        <f>IFERROR(VLOOKUP($A25,MBaseball!$C:$N,N$1-2010,FALSE),0)+IFERROR(VLOOKUP($A25,MBasketball!$C:$J,N$1-2006,FALSE),0)+IFERROR(VLOOKUP($A25,MFootball!$C:$O,N$1-2011,FALSE),0)+IFERROR(VLOOKUP($A25,MIceHockey!$C:$P,N$1-2011,FALSE),0)+IFERROR(VLOOKUP($A25,MLacrosse!$C:$O,N$1-2011,FALSE),0)+IFERROR(VLOOKUP($A25,MSoccer!$C:$O,N$1-2011,FALSE),0)+IFERROR(VLOOKUP($A25,MVolleyball!$C:$O,N$1-2011,FALSE),0)+IFERROR(VLOOKUP($A25,WBasketball!$C:$O,N$1-2011,FALSE),0)+IFERROR(VLOOKUP($A25,WFieldHockey!$C:$O,N$1-2011,FALSE),0)+IFERROR(VLOOKUP($A25,WIceHockey!$C:$O,N$1-2011,FALSE),0)+IFERROR(VLOOKUP($A25,WLacrosse!$C:$O,N$1-2011,FALSE),0)+IFERROR(VLOOKUP($A25,WSoccer!$C:$O,N$1-2011,FALSE),0)+IFERROR(VLOOKUP($A25,WSoftball!$C:$O,N$1-2011,FALSE),0)+IFERROR(VLOOKUP($A25,WVolleyball!$C:$O,N$1-2011,FALSE),0)</f>
        <v>702203</v>
      </c>
    </row>
    <row r="26" spans="1:14" x14ac:dyDescent="0.2">
      <c r="A26">
        <v>202134</v>
      </c>
      <c r="B26">
        <v>17460</v>
      </c>
      <c r="C26" t="s">
        <v>72</v>
      </c>
      <c r="D26">
        <v>25</v>
      </c>
      <c r="E26">
        <f>IFERROR(VLOOKUP($A26,MBaseball!$C:$N,E$1-2010,FALSE),0)+IFERROR(VLOOKUP($A26,MBasketball!$C:$J,E$1-2006,FALSE),0)+IFERROR(VLOOKUP($A26,MFootball!$C:$O,E$1-2011,FALSE),0)+IFERROR(VLOOKUP($A26,MIceHockey!$C:$P,E$1-2011,FALSE),0)+IFERROR(VLOOKUP($A26,MLacrosse!$C:$O,E$1-2011,FALSE),0)+IFERROR(VLOOKUP($A26,MSoccer!$C:$O,E$1-2011,FALSE),0)+IFERROR(VLOOKUP($A26,MVolleyball!$C:$O,E$1-2011,FALSE),0)+IFERROR(VLOOKUP($A26,WBasketball!$C:$O,E$1-2011,FALSE),0)+IFERROR(VLOOKUP($A26,WFieldHockey!$C:$O,E$1-2011,FALSE),0)+IFERROR(VLOOKUP($A26,WIceHockey!$C:$O,E$1-2011,FALSE),0)+IFERROR(VLOOKUP($A26,WLacrosse!$C:$O,E$1-2011,FALSE),0)+IFERROR(VLOOKUP($A26,WSoccer!$C:$O,E$1-2011,FALSE),0)+IFERROR(VLOOKUP($A26,WSoftball!$C:$O,E$1-2011,FALSE),0)+IFERROR(VLOOKUP($A26,WVolleyball!$C:$O,E$1-2011,FALSE),0)</f>
        <v>29558</v>
      </c>
      <c r="F26">
        <f>IFERROR(VLOOKUP($A26,MBaseball!$C:$N,F$1-2010,FALSE),0)+IFERROR(VLOOKUP($A26,MBasketball!$C:$J,F$1-2006,FALSE),0)+IFERROR(VLOOKUP($A26,MFootball!$C:$O,F$1-2011,FALSE),0)+IFERROR(VLOOKUP($A26,MIceHockey!$C:$P,F$1-2011,FALSE),0)+IFERROR(VLOOKUP($A26,MLacrosse!$C:$O,F$1-2011,FALSE),0)+IFERROR(VLOOKUP($A26,MSoccer!$C:$O,F$1-2011,FALSE),0)+IFERROR(VLOOKUP($A26,MVolleyball!$C:$O,F$1-2011,FALSE),0)+IFERROR(VLOOKUP($A26,WBasketball!$C:$O,F$1-2011,FALSE),0)+IFERROR(VLOOKUP($A26,WFieldHockey!$C:$O,F$1-2011,FALSE),0)+IFERROR(VLOOKUP($A26,WIceHockey!$C:$O,F$1-2011,FALSE),0)+IFERROR(VLOOKUP($A26,WLacrosse!$C:$O,F$1-2011,FALSE),0)+IFERROR(VLOOKUP($A26,WSoccer!$C:$O,F$1-2011,FALSE),0)+IFERROR(VLOOKUP($A26,WSoftball!$C:$O,F$1-2011,FALSE),0)+IFERROR(VLOOKUP($A26,WVolleyball!$C:$O,F$1-2011,FALSE),0)</f>
        <v>10742</v>
      </c>
      <c r="G26">
        <f>IFERROR(VLOOKUP($A26,MBaseball!$C:$N,G$1-2010,FALSE),0)+IFERROR(VLOOKUP($A26,MBasketball!$C:$J,G$1-2006,FALSE),0)+IFERROR(VLOOKUP($A26,MFootball!$C:$O,G$1-2011,FALSE),0)+IFERROR(VLOOKUP($A26,MIceHockey!$C:$P,G$1-2011,FALSE),0)+IFERROR(VLOOKUP($A26,MLacrosse!$C:$O,G$1-2011,FALSE),0)+IFERROR(VLOOKUP($A26,MSoccer!$C:$O,G$1-2011,FALSE),0)+IFERROR(VLOOKUP($A26,MVolleyball!$C:$O,G$1-2011,FALSE),0)+IFERROR(VLOOKUP($A26,WBasketball!$C:$O,G$1-2011,FALSE),0)+IFERROR(VLOOKUP($A26,WFieldHockey!$C:$O,G$1-2011,FALSE),0)+IFERROR(VLOOKUP($A26,WIceHockey!$C:$O,G$1-2011,FALSE),0)+IFERROR(VLOOKUP($A26,WLacrosse!$C:$O,G$1-2011,FALSE),0)+IFERROR(VLOOKUP($A26,WSoccer!$C:$O,G$1-2011,FALSE),0)+IFERROR(VLOOKUP($A26,WSoftball!$C:$O,G$1-2011,FALSE),0)+IFERROR(VLOOKUP($A26,WVolleyball!$C:$O,G$1-2011,FALSE),0)</f>
        <v>14409</v>
      </c>
      <c r="H26">
        <f>IFERROR(VLOOKUP($A26,MBaseball!$C:$N,H$1-2010,FALSE),0)+IFERROR(VLOOKUP($A26,MBasketball!$C:$J,H$1-2006,FALSE),0)+IFERROR(VLOOKUP($A26,MFootball!$C:$O,H$1-2011,FALSE),0)+IFERROR(VLOOKUP($A26,MIceHockey!$C:$P,H$1-2011,FALSE),0)+IFERROR(VLOOKUP($A26,MLacrosse!$C:$O,H$1-2011,FALSE),0)+IFERROR(VLOOKUP($A26,MSoccer!$C:$O,H$1-2011,FALSE),0)+IFERROR(VLOOKUP($A26,MVolleyball!$C:$O,H$1-2011,FALSE),0)+IFERROR(VLOOKUP($A26,WBasketball!$C:$O,H$1-2011,FALSE),0)+IFERROR(VLOOKUP($A26,WFieldHockey!$C:$O,H$1-2011,FALSE),0)+IFERROR(VLOOKUP($A26,WIceHockey!$C:$O,H$1-2011,FALSE),0)+IFERROR(VLOOKUP($A26,WLacrosse!$C:$O,H$1-2011,FALSE),0)+IFERROR(VLOOKUP($A26,WSoccer!$C:$O,H$1-2011,FALSE),0)+IFERROR(VLOOKUP($A26,WSoftball!$C:$O,H$1-2011,FALSE),0)+IFERROR(VLOOKUP($A26,WVolleyball!$C:$O,H$1-2011,FALSE),0)</f>
        <v>16607</v>
      </c>
      <c r="I26">
        <f>IFERROR(VLOOKUP($A26,MBaseball!$C:$N,I$1-2010,FALSE),0)+IFERROR(VLOOKUP($A26,MBasketball!$C:$J,I$1-2006,FALSE),0)+IFERROR(VLOOKUP($A26,MFootball!$C:$O,I$1-2011,FALSE),0)+IFERROR(VLOOKUP($A26,MIceHockey!$C:$P,I$1-2011,FALSE),0)+IFERROR(VLOOKUP($A26,MLacrosse!$C:$O,I$1-2011,FALSE),0)+IFERROR(VLOOKUP($A26,MSoccer!$C:$O,I$1-2011,FALSE),0)+IFERROR(VLOOKUP($A26,MVolleyball!$C:$O,I$1-2011,FALSE),0)+IFERROR(VLOOKUP($A26,WBasketball!$C:$O,I$1-2011,FALSE),0)+IFERROR(VLOOKUP($A26,WFieldHockey!$C:$O,I$1-2011,FALSE),0)+IFERROR(VLOOKUP($A26,WIceHockey!$C:$O,I$1-2011,FALSE),0)+IFERROR(VLOOKUP($A26,WLacrosse!$C:$O,I$1-2011,FALSE),0)+IFERROR(VLOOKUP($A26,WSoccer!$C:$O,I$1-2011,FALSE),0)+IFERROR(VLOOKUP($A26,WSoftball!$C:$O,I$1-2011,FALSE),0)+IFERROR(VLOOKUP($A26,WVolleyball!$C:$O,I$1-2011,FALSE),0)</f>
        <v>17951</v>
      </c>
      <c r="J26">
        <f>IFERROR(VLOOKUP($A26,MBaseball!$C:$N,J$1-2010,FALSE),0)+IFERROR(VLOOKUP($A26,MBasketball!$C:$J,J$1-2006,FALSE),0)+IFERROR(VLOOKUP($A26,MFootball!$C:$O,J$1-2011,FALSE),0)+IFERROR(VLOOKUP($A26,MIceHockey!$C:$P,J$1-2011,FALSE),0)+IFERROR(VLOOKUP($A26,MLacrosse!$C:$O,J$1-2011,FALSE),0)+IFERROR(VLOOKUP($A26,MSoccer!$C:$O,J$1-2011,FALSE),0)+IFERROR(VLOOKUP($A26,MVolleyball!$C:$O,J$1-2011,FALSE),0)+IFERROR(VLOOKUP($A26,WBasketball!$C:$O,J$1-2011,FALSE),0)+IFERROR(VLOOKUP($A26,WFieldHockey!$C:$O,J$1-2011,FALSE),0)+IFERROR(VLOOKUP($A26,WIceHockey!$C:$O,J$1-2011,FALSE),0)+IFERROR(VLOOKUP($A26,WLacrosse!$C:$O,J$1-2011,FALSE),0)+IFERROR(VLOOKUP($A26,WSoccer!$C:$O,J$1-2011,FALSE),0)+IFERROR(VLOOKUP($A26,WSoftball!$C:$O,J$1-2011,FALSE),0)+IFERROR(VLOOKUP($A26,WVolleyball!$C:$O,J$1-2011,FALSE),0)</f>
        <v>18471</v>
      </c>
      <c r="K26">
        <f>IFERROR(VLOOKUP($A26,MBaseball!$C:$N,K$1-2010,FALSE),0)+IFERROR(VLOOKUP($A26,MBasketball!$C:$J,K$1-2006,FALSE),0)+IFERROR(VLOOKUP($A26,MFootball!$C:$O,K$1-2011,FALSE),0)+IFERROR(VLOOKUP($A26,MIceHockey!$C:$P,K$1-2011,FALSE),0)+IFERROR(VLOOKUP($A26,MLacrosse!$C:$O,K$1-2011,FALSE),0)+IFERROR(VLOOKUP($A26,MSoccer!$C:$O,K$1-2011,FALSE),0)+IFERROR(VLOOKUP($A26,MVolleyball!$C:$O,K$1-2011,FALSE),0)+IFERROR(VLOOKUP($A26,WBasketball!$C:$O,K$1-2011,FALSE),0)+IFERROR(VLOOKUP($A26,WFieldHockey!$C:$O,K$1-2011,FALSE),0)+IFERROR(VLOOKUP($A26,WIceHockey!$C:$O,K$1-2011,FALSE),0)+IFERROR(VLOOKUP($A26,WLacrosse!$C:$O,K$1-2011,FALSE),0)+IFERROR(VLOOKUP($A26,WSoccer!$C:$O,K$1-2011,FALSE),0)+IFERROR(VLOOKUP($A26,WSoftball!$C:$O,K$1-2011,FALSE),0)+IFERROR(VLOOKUP($A26,WVolleyball!$C:$O,K$1-2011,FALSE),0)</f>
        <v>11597</v>
      </c>
      <c r="L26">
        <f>IFERROR(VLOOKUP($A26,MBaseball!$C:$N,L$1-2010,FALSE),0)+IFERROR(VLOOKUP($A26,MBasketball!$C:$J,L$1-2006,FALSE),0)+IFERROR(VLOOKUP($A26,MFootball!$C:$O,L$1-2011,FALSE),0)+IFERROR(VLOOKUP($A26,MIceHockey!$C:$P,L$1-2011,FALSE),0)+IFERROR(VLOOKUP($A26,MLacrosse!$C:$O,L$1-2011,FALSE),0)+IFERROR(VLOOKUP($A26,MSoccer!$C:$O,L$1-2011,FALSE),0)+IFERROR(VLOOKUP($A26,MVolleyball!$C:$O,L$1-2011,FALSE),0)+IFERROR(VLOOKUP($A26,WBasketball!$C:$O,L$1-2011,FALSE),0)+IFERROR(VLOOKUP($A26,WFieldHockey!$C:$O,L$1-2011,FALSE),0)+IFERROR(VLOOKUP($A26,WIceHockey!$C:$O,L$1-2011,FALSE),0)+IFERROR(VLOOKUP($A26,WLacrosse!$C:$O,L$1-2011,FALSE),0)+IFERROR(VLOOKUP($A26,WSoccer!$C:$O,L$1-2011,FALSE),0)+IFERROR(VLOOKUP($A26,WSoftball!$C:$O,L$1-2011,FALSE),0)+IFERROR(VLOOKUP($A26,WVolleyball!$C:$O,L$1-2011,FALSE),0)</f>
        <v>0</v>
      </c>
      <c r="M26">
        <f>IFERROR(VLOOKUP($A26,MBaseball!$C:$N,M$1-2010,FALSE),0)+IFERROR(VLOOKUP($A26,MBasketball!$C:$J,M$1-2006,FALSE),0)+IFERROR(VLOOKUP($A26,MFootball!$C:$O,M$1-2011,FALSE),0)+IFERROR(VLOOKUP($A26,MIceHockey!$C:$P,M$1-2011,FALSE),0)+IFERROR(VLOOKUP($A26,MLacrosse!$C:$O,M$1-2011,FALSE),0)+IFERROR(VLOOKUP($A26,MSoccer!$C:$O,M$1-2011,FALSE),0)+IFERROR(VLOOKUP($A26,MVolleyball!$C:$O,M$1-2011,FALSE),0)+IFERROR(VLOOKUP($A26,WBasketball!$C:$O,M$1-2011,FALSE),0)+IFERROR(VLOOKUP($A26,WFieldHockey!$C:$O,M$1-2011,FALSE),0)+IFERROR(VLOOKUP($A26,WIceHockey!$C:$O,M$1-2011,FALSE),0)+IFERROR(VLOOKUP($A26,WLacrosse!$C:$O,M$1-2011,FALSE),0)+IFERROR(VLOOKUP($A26,WSoccer!$C:$O,M$1-2011,FALSE),0)+IFERROR(VLOOKUP($A26,WSoftball!$C:$O,M$1-2011,FALSE),0)+IFERROR(VLOOKUP($A26,WVolleyball!$C:$O,M$1-2011,FALSE),0)</f>
        <v>14763</v>
      </c>
      <c r="N26">
        <f>IFERROR(VLOOKUP($A26,MBaseball!$C:$N,N$1-2010,FALSE),0)+IFERROR(VLOOKUP($A26,MBasketball!$C:$J,N$1-2006,FALSE),0)+IFERROR(VLOOKUP($A26,MFootball!$C:$O,N$1-2011,FALSE),0)+IFERROR(VLOOKUP($A26,MIceHockey!$C:$P,N$1-2011,FALSE),0)+IFERROR(VLOOKUP($A26,MLacrosse!$C:$O,N$1-2011,FALSE),0)+IFERROR(VLOOKUP($A26,MSoccer!$C:$O,N$1-2011,FALSE),0)+IFERROR(VLOOKUP($A26,MVolleyball!$C:$O,N$1-2011,FALSE),0)+IFERROR(VLOOKUP($A26,WBasketball!$C:$O,N$1-2011,FALSE),0)+IFERROR(VLOOKUP($A26,WFieldHockey!$C:$O,N$1-2011,FALSE),0)+IFERROR(VLOOKUP($A26,WIceHockey!$C:$O,N$1-2011,FALSE),0)+IFERROR(VLOOKUP($A26,WLacrosse!$C:$O,N$1-2011,FALSE),0)+IFERROR(VLOOKUP($A26,WSoccer!$C:$O,N$1-2011,FALSE),0)+IFERROR(VLOOKUP($A26,WSoftball!$C:$O,N$1-2011,FALSE),0)+IFERROR(VLOOKUP($A26,WVolleyball!$C:$O,N$1-2011,FALSE),0)</f>
        <v>21323</v>
      </c>
    </row>
    <row r="27" spans="1:14" x14ac:dyDescent="0.2">
      <c r="A27">
        <v>217819</v>
      </c>
      <c r="B27">
        <v>16700</v>
      </c>
      <c r="C27" t="s">
        <v>329</v>
      </c>
      <c r="D27">
        <v>26</v>
      </c>
      <c r="E27">
        <f>IFERROR(VLOOKUP($A27,MBaseball!$C:$N,E$1-2010,FALSE),0)+IFERROR(VLOOKUP($A27,MBasketball!$C:$J,E$1-2006,FALSE),0)+IFERROR(VLOOKUP($A27,MFootball!$C:$O,E$1-2011,FALSE),0)+IFERROR(VLOOKUP($A27,MIceHockey!$C:$P,E$1-2011,FALSE),0)+IFERROR(VLOOKUP($A27,MLacrosse!$C:$O,E$1-2011,FALSE),0)+IFERROR(VLOOKUP($A27,MSoccer!$C:$O,E$1-2011,FALSE),0)+IFERROR(VLOOKUP($A27,MVolleyball!$C:$O,E$1-2011,FALSE),0)+IFERROR(VLOOKUP($A27,WBasketball!$C:$O,E$1-2011,FALSE),0)+IFERROR(VLOOKUP($A27,WFieldHockey!$C:$O,E$1-2011,FALSE),0)+IFERROR(VLOOKUP($A27,WIceHockey!$C:$O,E$1-2011,FALSE),0)+IFERROR(VLOOKUP($A27,WLacrosse!$C:$O,E$1-2011,FALSE),0)+IFERROR(VLOOKUP($A27,WSoccer!$C:$O,E$1-2011,FALSE),0)+IFERROR(VLOOKUP($A27,WSoftball!$C:$O,E$1-2011,FALSE),0)+IFERROR(VLOOKUP($A27,WVolleyball!$C:$O,E$1-2011,FALSE),0)</f>
        <v>99233</v>
      </c>
      <c r="F27">
        <f>IFERROR(VLOOKUP($A27,MBaseball!$C:$N,F$1-2010,FALSE),0)+IFERROR(VLOOKUP($A27,MBasketball!$C:$J,F$1-2006,FALSE),0)+IFERROR(VLOOKUP($A27,MFootball!$C:$O,F$1-2011,FALSE),0)+IFERROR(VLOOKUP($A27,MIceHockey!$C:$P,F$1-2011,FALSE),0)+IFERROR(VLOOKUP($A27,MLacrosse!$C:$O,F$1-2011,FALSE),0)+IFERROR(VLOOKUP($A27,MSoccer!$C:$O,F$1-2011,FALSE),0)+IFERROR(VLOOKUP($A27,MVolleyball!$C:$O,F$1-2011,FALSE),0)+IFERROR(VLOOKUP($A27,WBasketball!$C:$O,F$1-2011,FALSE),0)+IFERROR(VLOOKUP($A27,WFieldHockey!$C:$O,F$1-2011,FALSE),0)+IFERROR(VLOOKUP($A27,WIceHockey!$C:$O,F$1-2011,FALSE),0)+IFERROR(VLOOKUP($A27,WLacrosse!$C:$O,F$1-2011,FALSE),0)+IFERROR(VLOOKUP($A27,WSoccer!$C:$O,F$1-2011,FALSE),0)+IFERROR(VLOOKUP($A27,WSoftball!$C:$O,F$1-2011,FALSE),0)+IFERROR(VLOOKUP($A27,WVolleyball!$C:$O,F$1-2011,FALSE),0)</f>
        <v>34649</v>
      </c>
      <c r="G27">
        <f>IFERROR(VLOOKUP($A27,MBaseball!$C:$N,G$1-2010,FALSE),0)+IFERROR(VLOOKUP($A27,MBasketball!$C:$J,G$1-2006,FALSE),0)+IFERROR(VLOOKUP($A27,MFootball!$C:$O,G$1-2011,FALSE),0)+IFERROR(VLOOKUP($A27,MIceHockey!$C:$P,G$1-2011,FALSE),0)+IFERROR(VLOOKUP($A27,MLacrosse!$C:$O,G$1-2011,FALSE),0)+IFERROR(VLOOKUP($A27,MSoccer!$C:$O,G$1-2011,FALSE),0)+IFERROR(VLOOKUP($A27,MVolleyball!$C:$O,G$1-2011,FALSE),0)+IFERROR(VLOOKUP($A27,WBasketball!$C:$O,G$1-2011,FALSE),0)+IFERROR(VLOOKUP($A27,WFieldHockey!$C:$O,G$1-2011,FALSE),0)+IFERROR(VLOOKUP($A27,WIceHockey!$C:$O,G$1-2011,FALSE),0)+IFERROR(VLOOKUP($A27,WLacrosse!$C:$O,G$1-2011,FALSE),0)+IFERROR(VLOOKUP($A27,WSoccer!$C:$O,G$1-2011,FALSE),0)+IFERROR(VLOOKUP($A27,WSoftball!$C:$O,G$1-2011,FALSE),0)+IFERROR(VLOOKUP($A27,WVolleyball!$C:$O,G$1-2011,FALSE),0)</f>
        <v>38382</v>
      </c>
      <c r="H27">
        <f>IFERROR(VLOOKUP($A27,MBaseball!$C:$N,H$1-2010,FALSE),0)+IFERROR(VLOOKUP($A27,MBasketball!$C:$J,H$1-2006,FALSE),0)+IFERROR(VLOOKUP($A27,MFootball!$C:$O,H$1-2011,FALSE),0)+IFERROR(VLOOKUP($A27,MIceHockey!$C:$P,H$1-2011,FALSE),0)+IFERROR(VLOOKUP($A27,MLacrosse!$C:$O,H$1-2011,FALSE),0)+IFERROR(VLOOKUP($A27,MSoccer!$C:$O,H$1-2011,FALSE),0)+IFERROR(VLOOKUP($A27,MVolleyball!$C:$O,H$1-2011,FALSE),0)+IFERROR(VLOOKUP($A27,WBasketball!$C:$O,H$1-2011,FALSE),0)+IFERROR(VLOOKUP($A27,WFieldHockey!$C:$O,H$1-2011,FALSE),0)+IFERROR(VLOOKUP($A27,WIceHockey!$C:$O,H$1-2011,FALSE),0)+IFERROR(VLOOKUP($A27,WLacrosse!$C:$O,H$1-2011,FALSE),0)+IFERROR(VLOOKUP($A27,WSoccer!$C:$O,H$1-2011,FALSE),0)+IFERROR(VLOOKUP($A27,WSoftball!$C:$O,H$1-2011,FALSE),0)+IFERROR(VLOOKUP($A27,WVolleyball!$C:$O,H$1-2011,FALSE),0)</f>
        <v>44713</v>
      </c>
      <c r="I27">
        <f>IFERROR(VLOOKUP($A27,MBaseball!$C:$N,I$1-2010,FALSE),0)+IFERROR(VLOOKUP($A27,MBasketball!$C:$J,I$1-2006,FALSE),0)+IFERROR(VLOOKUP($A27,MFootball!$C:$O,I$1-2011,FALSE),0)+IFERROR(VLOOKUP($A27,MIceHockey!$C:$P,I$1-2011,FALSE),0)+IFERROR(VLOOKUP($A27,MLacrosse!$C:$O,I$1-2011,FALSE),0)+IFERROR(VLOOKUP($A27,MSoccer!$C:$O,I$1-2011,FALSE),0)+IFERROR(VLOOKUP($A27,MVolleyball!$C:$O,I$1-2011,FALSE),0)+IFERROR(VLOOKUP($A27,WBasketball!$C:$O,I$1-2011,FALSE),0)+IFERROR(VLOOKUP($A27,WFieldHockey!$C:$O,I$1-2011,FALSE),0)+IFERROR(VLOOKUP($A27,WIceHockey!$C:$O,I$1-2011,FALSE),0)+IFERROR(VLOOKUP($A27,WLacrosse!$C:$O,I$1-2011,FALSE),0)+IFERROR(VLOOKUP($A27,WSoccer!$C:$O,I$1-2011,FALSE),0)+IFERROR(VLOOKUP($A27,WSoftball!$C:$O,I$1-2011,FALSE),0)+IFERROR(VLOOKUP($A27,WVolleyball!$C:$O,I$1-2011,FALSE),0)</f>
        <v>46958</v>
      </c>
      <c r="J27">
        <f>IFERROR(VLOOKUP($A27,MBaseball!$C:$N,J$1-2010,FALSE),0)+IFERROR(VLOOKUP($A27,MBasketball!$C:$J,J$1-2006,FALSE),0)+IFERROR(VLOOKUP($A27,MFootball!$C:$O,J$1-2011,FALSE),0)+IFERROR(VLOOKUP($A27,MIceHockey!$C:$P,J$1-2011,FALSE),0)+IFERROR(VLOOKUP($A27,MLacrosse!$C:$O,J$1-2011,FALSE),0)+IFERROR(VLOOKUP($A27,MSoccer!$C:$O,J$1-2011,FALSE),0)+IFERROR(VLOOKUP($A27,MVolleyball!$C:$O,J$1-2011,FALSE),0)+IFERROR(VLOOKUP($A27,WBasketball!$C:$O,J$1-2011,FALSE),0)+IFERROR(VLOOKUP($A27,WFieldHockey!$C:$O,J$1-2011,FALSE),0)+IFERROR(VLOOKUP($A27,WIceHockey!$C:$O,J$1-2011,FALSE),0)+IFERROR(VLOOKUP($A27,WLacrosse!$C:$O,J$1-2011,FALSE),0)+IFERROR(VLOOKUP($A27,WSoccer!$C:$O,J$1-2011,FALSE),0)+IFERROR(VLOOKUP($A27,WSoftball!$C:$O,J$1-2011,FALSE),0)+IFERROR(VLOOKUP($A27,WVolleyball!$C:$O,J$1-2011,FALSE),0)</f>
        <v>37153</v>
      </c>
      <c r="K27">
        <f>IFERROR(VLOOKUP($A27,MBaseball!$C:$N,K$1-2010,FALSE),0)+IFERROR(VLOOKUP($A27,MBasketball!$C:$J,K$1-2006,FALSE),0)+IFERROR(VLOOKUP($A27,MFootball!$C:$O,K$1-2011,FALSE),0)+IFERROR(VLOOKUP($A27,MIceHockey!$C:$P,K$1-2011,FALSE),0)+IFERROR(VLOOKUP($A27,MLacrosse!$C:$O,K$1-2011,FALSE),0)+IFERROR(VLOOKUP($A27,MSoccer!$C:$O,K$1-2011,FALSE),0)+IFERROR(VLOOKUP($A27,MVolleyball!$C:$O,K$1-2011,FALSE),0)+IFERROR(VLOOKUP($A27,WBasketball!$C:$O,K$1-2011,FALSE),0)+IFERROR(VLOOKUP($A27,WFieldHockey!$C:$O,K$1-2011,FALSE),0)+IFERROR(VLOOKUP($A27,WIceHockey!$C:$O,K$1-2011,FALSE),0)+IFERROR(VLOOKUP($A27,WLacrosse!$C:$O,K$1-2011,FALSE),0)+IFERROR(VLOOKUP($A27,WSoccer!$C:$O,K$1-2011,FALSE),0)+IFERROR(VLOOKUP($A27,WSoftball!$C:$O,K$1-2011,FALSE),0)+IFERROR(VLOOKUP($A27,WVolleyball!$C:$O,K$1-2011,FALSE),0)</f>
        <v>35006</v>
      </c>
      <c r="L27">
        <f>IFERROR(VLOOKUP($A27,MBaseball!$C:$N,L$1-2010,FALSE),0)+IFERROR(VLOOKUP($A27,MBasketball!$C:$J,L$1-2006,FALSE),0)+IFERROR(VLOOKUP($A27,MFootball!$C:$O,L$1-2011,FALSE),0)+IFERROR(VLOOKUP($A27,MIceHockey!$C:$P,L$1-2011,FALSE),0)+IFERROR(VLOOKUP($A27,MLacrosse!$C:$O,L$1-2011,FALSE),0)+IFERROR(VLOOKUP($A27,MSoccer!$C:$O,L$1-2011,FALSE),0)+IFERROR(VLOOKUP($A27,MVolleyball!$C:$O,L$1-2011,FALSE),0)+IFERROR(VLOOKUP($A27,WBasketball!$C:$O,L$1-2011,FALSE),0)+IFERROR(VLOOKUP($A27,WFieldHockey!$C:$O,L$1-2011,FALSE),0)+IFERROR(VLOOKUP($A27,WIceHockey!$C:$O,L$1-2011,FALSE),0)+IFERROR(VLOOKUP($A27,WLacrosse!$C:$O,L$1-2011,FALSE),0)+IFERROR(VLOOKUP($A27,WSoccer!$C:$O,L$1-2011,FALSE),0)+IFERROR(VLOOKUP($A27,WSoftball!$C:$O,L$1-2011,FALSE),0)+IFERROR(VLOOKUP($A27,WVolleyball!$C:$O,L$1-2011,FALSE),0)</f>
        <v>22765</v>
      </c>
      <c r="M27">
        <f>IFERROR(VLOOKUP($A27,MBaseball!$C:$N,M$1-2010,FALSE),0)+IFERROR(VLOOKUP($A27,MBasketball!$C:$J,M$1-2006,FALSE),0)+IFERROR(VLOOKUP($A27,MFootball!$C:$O,M$1-2011,FALSE),0)+IFERROR(VLOOKUP($A27,MIceHockey!$C:$P,M$1-2011,FALSE),0)+IFERROR(VLOOKUP($A27,MLacrosse!$C:$O,M$1-2011,FALSE),0)+IFERROR(VLOOKUP($A27,MSoccer!$C:$O,M$1-2011,FALSE),0)+IFERROR(VLOOKUP($A27,MVolleyball!$C:$O,M$1-2011,FALSE),0)+IFERROR(VLOOKUP($A27,WBasketball!$C:$O,M$1-2011,FALSE),0)+IFERROR(VLOOKUP($A27,WFieldHockey!$C:$O,M$1-2011,FALSE),0)+IFERROR(VLOOKUP($A27,WIceHockey!$C:$O,M$1-2011,FALSE),0)+IFERROR(VLOOKUP($A27,WLacrosse!$C:$O,M$1-2011,FALSE),0)+IFERROR(VLOOKUP($A27,WSoccer!$C:$O,M$1-2011,FALSE),0)+IFERROR(VLOOKUP($A27,WSoftball!$C:$O,M$1-2011,FALSE),0)+IFERROR(VLOOKUP($A27,WVolleyball!$C:$O,M$1-2011,FALSE),0)</f>
        <v>39829</v>
      </c>
      <c r="N27">
        <f>IFERROR(VLOOKUP($A27,MBaseball!$C:$N,N$1-2010,FALSE),0)+IFERROR(VLOOKUP($A27,MBasketball!$C:$J,N$1-2006,FALSE),0)+IFERROR(VLOOKUP($A27,MFootball!$C:$O,N$1-2011,FALSE),0)+IFERROR(VLOOKUP($A27,MIceHockey!$C:$P,N$1-2011,FALSE),0)+IFERROR(VLOOKUP($A27,MLacrosse!$C:$O,N$1-2011,FALSE),0)+IFERROR(VLOOKUP($A27,MSoccer!$C:$O,N$1-2011,FALSE),0)+IFERROR(VLOOKUP($A27,MVolleyball!$C:$O,N$1-2011,FALSE),0)+IFERROR(VLOOKUP($A27,WBasketball!$C:$O,N$1-2011,FALSE),0)+IFERROR(VLOOKUP($A27,WFieldHockey!$C:$O,N$1-2011,FALSE),0)+IFERROR(VLOOKUP($A27,WIceHockey!$C:$O,N$1-2011,FALSE),0)+IFERROR(VLOOKUP($A27,WLacrosse!$C:$O,N$1-2011,FALSE),0)+IFERROR(VLOOKUP($A27,WSoccer!$C:$O,N$1-2011,FALSE),0)+IFERROR(VLOOKUP($A27,WSoftball!$C:$O,N$1-2011,FALSE),0)+IFERROR(VLOOKUP($A27,WVolleyball!$C:$O,N$1-2011,FALSE),0)</f>
        <v>14673</v>
      </c>
    </row>
    <row r="28" spans="1:14" x14ac:dyDescent="0.2">
      <c r="A28">
        <v>126614</v>
      </c>
      <c r="B28">
        <v>14500</v>
      </c>
      <c r="C28" t="s">
        <v>75</v>
      </c>
      <c r="D28">
        <v>27</v>
      </c>
      <c r="E28">
        <f>IFERROR(VLOOKUP($A28,MBaseball!$C:$N,E$1-2010,FALSE),0)+IFERROR(VLOOKUP($A28,MBasketball!$C:$J,E$1-2006,FALSE),0)+IFERROR(VLOOKUP($A28,MFootball!$C:$O,E$1-2011,FALSE),0)+IFERROR(VLOOKUP($A28,MIceHockey!$C:$P,E$1-2011,FALSE),0)+IFERROR(VLOOKUP($A28,MLacrosse!$C:$O,E$1-2011,FALSE),0)+IFERROR(VLOOKUP($A28,MSoccer!$C:$O,E$1-2011,FALSE),0)+IFERROR(VLOOKUP($A28,MVolleyball!$C:$O,E$1-2011,FALSE),0)+IFERROR(VLOOKUP($A28,WBasketball!$C:$O,E$1-2011,FALSE),0)+IFERROR(VLOOKUP($A28,WFieldHockey!$C:$O,E$1-2011,FALSE),0)+IFERROR(VLOOKUP($A28,WIceHockey!$C:$O,E$1-2011,FALSE),0)+IFERROR(VLOOKUP($A28,WLacrosse!$C:$O,E$1-2011,FALSE),0)+IFERROR(VLOOKUP($A28,WSoccer!$C:$O,E$1-2011,FALSE),0)+IFERROR(VLOOKUP($A28,WSoftball!$C:$O,E$1-2011,FALSE),0)+IFERROR(VLOOKUP($A28,WVolleyball!$C:$O,E$1-2011,FALSE),0)</f>
        <v>187514</v>
      </c>
      <c r="F28">
        <f>IFERROR(VLOOKUP($A28,MBaseball!$C:$N,F$1-2010,FALSE),0)+IFERROR(VLOOKUP($A28,MBasketball!$C:$J,F$1-2006,FALSE),0)+IFERROR(VLOOKUP($A28,MFootball!$C:$O,F$1-2011,FALSE),0)+IFERROR(VLOOKUP($A28,MIceHockey!$C:$P,F$1-2011,FALSE),0)+IFERROR(VLOOKUP($A28,MLacrosse!$C:$O,F$1-2011,FALSE),0)+IFERROR(VLOOKUP($A28,MSoccer!$C:$O,F$1-2011,FALSE),0)+IFERROR(VLOOKUP($A28,MVolleyball!$C:$O,F$1-2011,FALSE),0)+IFERROR(VLOOKUP($A28,WBasketball!$C:$O,F$1-2011,FALSE),0)+IFERROR(VLOOKUP($A28,WFieldHockey!$C:$O,F$1-2011,FALSE),0)+IFERROR(VLOOKUP($A28,WIceHockey!$C:$O,F$1-2011,FALSE),0)+IFERROR(VLOOKUP($A28,WLacrosse!$C:$O,F$1-2011,FALSE),0)+IFERROR(VLOOKUP($A28,WSoccer!$C:$O,F$1-2011,FALSE),0)+IFERROR(VLOOKUP($A28,WSoftball!$C:$O,F$1-2011,FALSE),0)+IFERROR(VLOOKUP($A28,WVolleyball!$C:$O,F$1-2011,FALSE),0)</f>
        <v>295115</v>
      </c>
      <c r="G28">
        <f>IFERROR(VLOOKUP($A28,MBaseball!$C:$N,G$1-2010,FALSE),0)+IFERROR(VLOOKUP($A28,MBasketball!$C:$J,G$1-2006,FALSE),0)+IFERROR(VLOOKUP($A28,MFootball!$C:$O,G$1-2011,FALSE),0)+IFERROR(VLOOKUP($A28,MIceHockey!$C:$P,G$1-2011,FALSE),0)+IFERROR(VLOOKUP($A28,MLacrosse!$C:$O,G$1-2011,FALSE),0)+IFERROR(VLOOKUP($A28,MSoccer!$C:$O,G$1-2011,FALSE),0)+IFERROR(VLOOKUP($A28,MVolleyball!$C:$O,G$1-2011,FALSE),0)+IFERROR(VLOOKUP($A28,WBasketball!$C:$O,G$1-2011,FALSE),0)+IFERROR(VLOOKUP($A28,WFieldHockey!$C:$O,G$1-2011,FALSE),0)+IFERROR(VLOOKUP($A28,WIceHockey!$C:$O,G$1-2011,FALSE),0)+IFERROR(VLOOKUP($A28,WLacrosse!$C:$O,G$1-2011,FALSE),0)+IFERROR(VLOOKUP($A28,WSoccer!$C:$O,G$1-2011,FALSE),0)+IFERROR(VLOOKUP($A28,WSoftball!$C:$O,G$1-2011,FALSE),0)+IFERROR(VLOOKUP($A28,WVolleyball!$C:$O,G$1-2011,FALSE),0)</f>
        <v>301236</v>
      </c>
      <c r="H28">
        <f>IFERROR(VLOOKUP($A28,MBaseball!$C:$N,H$1-2010,FALSE),0)+IFERROR(VLOOKUP($A28,MBasketball!$C:$J,H$1-2006,FALSE),0)+IFERROR(VLOOKUP($A28,MFootball!$C:$O,H$1-2011,FALSE),0)+IFERROR(VLOOKUP($A28,MIceHockey!$C:$P,H$1-2011,FALSE),0)+IFERROR(VLOOKUP($A28,MLacrosse!$C:$O,H$1-2011,FALSE),0)+IFERROR(VLOOKUP($A28,MSoccer!$C:$O,H$1-2011,FALSE),0)+IFERROR(VLOOKUP($A28,MVolleyball!$C:$O,H$1-2011,FALSE),0)+IFERROR(VLOOKUP($A28,WBasketball!$C:$O,H$1-2011,FALSE),0)+IFERROR(VLOOKUP($A28,WFieldHockey!$C:$O,H$1-2011,FALSE),0)+IFERROR(VLOOKUP($A28,WIceHockey!$C:$O,H$1-2011,FALSE),0)+IFERROR(VLOOKUP($A28,WLacrosse!$C:$O,H$1-2011,FALSE),0)+IFERROR(VLOOKUP($A28,WSoccer!$C:$O,H$1-2011,FALSE),0)+IFERROR(VLOOKUP($A28,WSoftball!$C:$O,H$1-2011,FALSE),0)+IFERROR(VLOOKUP($A28,WVolleyball!$C:$O,H$1-2011,FALSE),0)</f>
        <v>351226</v>
      </c>
      <c r="I28">
        <f>IFERROR(VLOOKUP($A28,MBaseball!$C:$N,I$1-2010,FALSE),0)+IFERROR(VLOOKUP($A28,MBasketball!$C:$J,I$1-2006,FALSE),0)+IFERROR(VLOOKUP($A28,MFootball!$C:$O,I$1-2011,FALSE),0)+IFERROR(VLOOKUP($A28,MIceHockey!$C:$P,I$1-2011,FALSE),0)+IFERROR(VLOOKUP($A28,MLacrosse!$C:$O,I$1-2011,FALSE),0)+IFERROR(VLOOKUP($A28,MSoccer!$C:$O,I$1-2011,FALSE),0)+IFERROR(VLOOKUP($A28,MVolleyball!$C:$O,I$1-2011,FALSE),0)+IFERROR(VLOOKUP($A28,WBasketball!$C:$O,I$1-2011,FALSE),0)+IFERROR(VLOOKUP($A28,WFieldHockey!$C:$O,I$1-2011,FALSE),0)+IFERROR(VLOOKUP($A28,WIceHockey!$C:$O,I$1-2011,FALSE),0)+IFERROR(VLOOKUP($A28,WLacrosse!$C:$O,I$1-2011,FALSE),0)+IFERROR(VLOOKUP($A28,WSoccer!$C:$O,I$1-2011,FALSE),0)+IFERROR(VLOOKUP($A28,WSoftball!$C:$O,I$1-2011,FALSE),0)+IFERROR(VLOOKUP($A28,WVolleyball!$C:$O,I$1-2011,FALSE),0)</f>
        <v>344020</v>
      </c>
      <c r="J28">
        <f>IFERROR(VLOOKUP($A28,MBaseball!$C:$N,J$1-2010,FALSE),0)+IFERROR(VLOOKUP($A28,MBasketball!$C:$J,J$1-2006,FALSE),0)+IFERROR(VLOOKUP($A28,MFootball!$C:$O,J$1-2011,FALSE),0)+IFERROR(VLOOKUP($A28,MIceHockey!$C:$P,J$1-2011,FALSE),0)+IFERROR(VLOOKUP($A28,MLacrosse!$C:$O,J$1-2011,FALSE),0)+IFERROR(VLOOKUP($A28,MSoccer!$C:$O,J$1-2011,FALSE),0)+IFERROR(VLOOKUP($A28,MVolleyball!$C:$O,J$1-2011,FALSE),0)+IFERROR(VLOOKUP($A28,WBasketball!$C:$O,J$1-2011,FALSE),0)+IFERROR(VLOOKUP($A28,WFieldHockey!$C:$O,J$1-2011,FALSE),0)+IFERROR(VLOOKUP($A28,WIceHockey!$C:$O,J$1-2011,FALSE),0)+IFERROR(VLOOKUP($A28,WLacrosse!$C:$O,J$1-2011,FALSE),0)+IFERROR(VLOOKUP($A28,WSoccer!$C:$O,J$1-2011,FALSE),0)+IFERROR(VLOOKUP($A28,WSoftball!$C:$O,J$1-2011,FALSE),0)+IFERROR(VLOOKUP($A28,WVolleyball!$C:$O,J$1-2011,FALSE),0)</f>
        <v>339747</v>
      </c>
      <c r="K28">
        <f>IFERROR(VLOOKUP($A28,MBaseball!$C:$N,K$1-2010,FALSE),0)+IFERROR(VLOOKUP($A28,MBasketball!$C:$J,K$1-2006,FALSE),0)+IFERROR(VLOOKUP($A28,MFootball!$C:$O,K$1-2011,FALSE),0)+IFERROR(VLOOKUP($A28,MIceHockey!$C:$P,K$1-2011,FALSE),0)+IFERROR(VLOOKUP($A28,MLacrosse!$C:$O,K$1-2011,FALSE),0)+IFERROR(VLOOKUP($A28,MSoccer!$C:$O,K$1-2011,FALSE),0)+IFERROR(VLOOKUP($A28,MVolleyball!$C:$O,K$1-2011,FALSE),0)+IFERROR(VLOOKUP($A28,WBasketball!$C:$O,K$1-2011,FALSE),0)+IFERROR(VLOOKUP($A28,WFieldHockey!$C:$O,K$1-2011,FALSE),0)+IFERROR(VLOOKUP($A28,WIceHockey!$C:$O,K$1-2011,FALSE),0)+IFERROR(VLOOKUP($A28,WLacrosse!$C:$O,K$1-2011,FALSE),0)+IFERROR(VLOOKUP($A28,WSoccer!$C:$O,K$1-2011,FALSE),0)+IFERROR(VLOOKUP($A28,WSoftball!$C:$O,K$1-2011,FALSE),0)+IFERROR(VLOOKUP($A28,WVolleyball!$C:$O,K$1-2011,FALSE),0)</f>
        <v>359954</v>
      </c>
      <c r="L28">
        <f>IFERROR(VLOOKUP($A28,MBaseball!$C:$N,L$1-2010,FALSE),0)+IFERROR(VLOOKUP($A28,MBasketball!$C:$J,L$1-2006,FALSE),0)+IFERROR(VLOOKUP($A28,MFootball!$C:$O,L$1-2011,FALSE),0)+IFERROR(VLOOKUP($A28,MIceHockey!$C:$P,L$1-2011,FALSE),0)+IFERROR(VLOOKUP($A28,MLacrosse!$C:$O,L$1-2011,FALSE),0)+IFERROR(VLOOKUP($A28,MSoccer!$C:$O,L$1-2011,FALSE),0)+IFERROR(VLOOKUP($A28,MVolleyball!$C:$O,L$1-2011,FALSE),0)+IFERROR(VLOOKUP($A28,WBasketball!$C:$O,L$1-2011,FALSE),0)+IFERROR(VLOOKUP($A28,WFieldHockey!$C:$O,L$1-2011,FALSE),0)+IFERROR(VLOOKUP($A28,WIceHockey!$C:$O,L$1-2011,FALSE),0)+IFERROR(VLOOKUP($A28,WLacrosse!$C:$O,L$1-2011,FALSE),0)+IFERROR(VLOOKUP($A28,WSoccer!$C:$O,L$1-2011,FALSE),0)+IFERROR(VLOOKUP($A28,WSoftball!$C:$O,L$1-2011,FALSE),0)+IFERROR(VLOOKUP($A28,WVolleyball!$C:$O,L$1-2011,FALSE),0)</f>
        <v>1588</v>
      </c>
      <c r="M28">
        <f>IFERROR(VLOOKUP($A28,MBaseball!$C:$N,M$1-2010,FALSE),0)+IFERROR(VLOOKUP($A28,MBasketball!$C:$J,M$1-2006,FALSE),0)+IFERROR(VLOOKUP($A28,MFootball!$C:$O,M$1-2011,FALSE),0)+IFERROR(VLOOKUP($A28,MIceHockey!$C:$P,M$1-2011,FALSE),0)+IFERROR(VLOOKUP($A28,MLacrosse!$C:$O,M$1-2011,FALSE),0)+IFERROR(VLOOKUP($A28,MSoccer!$C:$O,M$1-2011,FALSE),0)+IFERROR(VLOOKUP($A28,MVolleyball!$C:$O,M$1-2011,FALSE),0)+IFERROR(VLOOKUP($A28,WBasketball!$C:$O,M$1-2011,FALSE),0)+IFERROR(VLOOKUP($A28,WFieldHockey!$C:$O,M$1-2011,FALSE),0)+IFERROR(VLOOKUP($A28,WIceHockey!$C:$O,M$1-2011,FALSE),0)+IFERROR(VLOOKUP($A28,WLacrosse!$C:$O,M$1-2011,FALSE),0)+IFERROR(VLOOKUP($A28,WSoccer!$C:$O,M$1-2011,FALSE),0)+IFERROR(VLOOKUP($A28,WSoftball!$C:$O,M$1-2011,FALSE),0)+IFERROR(VLOOKUP($A28,WVolleyball!$C:$O,M$1-2011,FALSE),0)</f>
        <v>328750</v>
      </c>
      <c r="N28">
        <f>IFERROR(VLOOKUP($A28,MBaseball!$C:$N,N$1-2010,FALSE),0)+IFERROR(VLOOKUP($A28,MBasketball!$C:$J,N$1-2006,FALSE),0)+IFERROR(VLOOKUP($A28,MFootball!$C:$O,N$1-2011,FALSE),0)+IFERROR(VLOOKUP($A28,MIceHockey!$C:$P,N$1-2011,FALSE),0)+IFERROR(VLOOKUP($A28,MLacrosse!$C:$O,N$1-2011,FALSE),0)+IFERROR(VLOOKUP($A28,MSoccer!$C:$O,N$1-2011,FALSE),0)+IFERROR(VLOOKUP($A28,MVolleyball!$C:$O,N$1-2011,FALSE),0)+IFERROR(VLOOKUP($A28,WBasketball!$C:$O,N$1-2011,FALSE),0)+IFERROR(VLOOKUP($A28,WFieldHockey!$C:$O,N$1-2011,FALSE),0)+IFERROR(VLOOKUP($A28,WIceHockey!$C:$O,N$1-2011,FALSE),0)+IFERROR(VLOOKUP($A28,WLacrosse!$C:$O,N$1-2011,FALSE),0)+IFERROR(VLOOKUP($A28,WSoccer!$C:$O,N$1-2011,FALSE),0)+IFERROR(VLOOKUP($A28,WSoftball!$C:$O,N$1-2011,FALSE),0)+IFERROR(VLOOKUP($A28,WVolleyball!$C:$O,N$1-2011,FALSE),0)</f>
        <v>315103</v>
      </c>
    </row>
    <row r="29" spans="1:14" x14ac:dyDescent="0.2">
      <c r="A29">
        <v>126818</v>
      </c>
      <c r="B29">
        <v>22660</v>
      </c>
      <c r="C29" t="s">
        <v>76</v>
      </c>
      <c r="D29">
        <v>28</v>
      </c>
      <c r="E29">
        <f>IFERROR(VLOOKUP($A29,MBaseball!$C:$N,E$1-2010,FALSE),0)+IFERROR(VLOOKUP($A29,MBasketball!$C:$J,E$1-2006,FALSE),0)+IFERROR(VLOOKUP($A29,MFootball!$C:$O,E$1-2011,FALSE),0)+IFERROR(VLOOKUP($A29,MIceHockey!$C:$P,E$1-2011,FALSE),0)+IFERROR(VLOOKUP($A29,MLacrosse!$C:$O,E$1-2011,FALSE),0)+IFERROR(VLOOKUP($A29,MSoccer!$C:$O,E$1-2011,FALSE),0)+IFERROR(VLOOKUP($A29,MVolleyball!$C:$O,E$1-2011,FALSE),0)+IFERROR(VLOOKUP($A29,WBasketball!$C:$O,E$1-2011,FALSE),0)+IFERROR(VLOOKUP($A29,WFieldHockey!$C:$O,E$1-2011,FALSE),0)+IFERROR(VLOOKUP($A29,WIceHockey!$C:$O,E$1-2011,FALSE),0)+IFERROR(VLOOKUP($A29,WLacrosse!$C:$O,E$1-2011,FALSE),0)+IFERROR(VLOOKUP($A29,WSoccer!$C:$O,E$1-2011,FALSE),0)+IFERROR(VLOOKUP($A29,WSoftball!$C:$O,E$1-2011,FALSE),0)+IFERROR(VLOOKUP($A29,WVolleyball!$C:$O,E$1-2011,FALSE),0)</f>
        <v>121255</v>
      </c>
      <c r="F29">
        <f>IFERROR(VLOOKUP($A29,MBaseball!$C:$N,F$1-2010,FALSE),0)+IFERROR(VLOOKUP($A29,MBasketball!$C:$J,F$1-2006,FALSE),0)+IFERROR(VLOOKUP($A29,MFootball!$C:$O,F$1-2011,FALSE),0)+IFERROR(VLOOKUP($A29,MIceHockey!$C:$P,F$1-2011,FALSE),0)+IFERROR(VLOOKUP($A29,MLacrosse!$C:$O,F$1-2011,FALSE),0)+IFERROR(VLOOKUP($A29,MSoccer!$C:$O,F$1-2011,FALSE),0)+IFERROR(VLOOKUP($A29,MVolleyball!$C:$O,F$1-2011,FALSE),0)+IFERROR(VLOOKUP($A29,WBasketball!$C:$O,F$1-2011,FALSE),0)+IFERROR(VLOOKUP($A29,WFieldHockey!$C:$O,F$1-2011,FALSE),0)+IFERROR(VLOOKUP($A29,WIceHockey!$C:$O,F$1-2011,FALSE),0)+IFERROR(VLOOKUP($A29,WLacrosse!$C:$O,F$1-2011,FALSE),0)+IFERROR(VLOOKUP($A29,WSoccer!$C:$O,F$1-2011,FALSE),0)+IFERROR(VLOOKUP($A29,WSoftball!$C:$O,F$1-2011,FALSE),0)+IFERROR(VLOOKUP($A29,WVolleyball!$C:$O,F$1-2011,FALSE),0)</f>
        <v>239309</v>
      </c>
      <c r="G29">
        <f>IFERROR(VLOOKUP($A29,MBaseball!$C:$N,G$1-2010,FALSE),0)+IFERROR(VLOOKUP($A29,MBasketball!$C:$J,G$1-2006,FALSE),0)+IFERROR(VLOOKUP($A29,MFootball!$C:$O,G$1-2011,FALSE),0)+IFERROR(VLOOKUP($A29,MIceHockey!$C:$P,G$1-2011,FALSE),0)+IFERROR(VLOOKUP($A29,MLacrosse!$C:$O,G$1-2011,FALSE),0)+IFERROR(VLOOKUP($A29,MSoccer!$C:$O,G$1-2011,FALSE),0)+IFERROR(VLOOKUP($A29,MVolleyball!$C:$O,G$1-2011,FALSE),0)+IFERROR(VLOOKUP($A29,WBasketball!$C:$O,G$1-2011,FALSE),0)+IFERROR(VLOOKUP($A29,WFieldHockey!$C:$O,G$1-2011,FALSE),0)+IFERROR(VLOOKUP($A29,WIceHockey!$C:$O,G$1-2011,FALSE),0)+IFERROR(VLOOKUP($A29,WLacrosse!$C:$O,G$1-2011,FALSE),0)+IFERROR(VLOOKUP($A29,WSoccer!$C:$O,G$1-2011,FALSE),0)+IFERROR(VLOOKUP($A29,WSoftball!$C:$O,G$1-2011,FALSE),0)+IFERROR(VLOOKUP($A29,WVolleyball!$C:$O,G$1-2011,FALSE),0)</f>
        <v>219126</v>
      </c>
      <c r="H29">
        <f>IFERROR(VLOOKUP($A29,MBaseball!$C:$N,H$1-2010,FALSE),0)+IFERROR(VLOOKUP($A29,MBasketball!$C:$J,H$1-2006,FALSE),0)+IFERROR(VLOOKUP($A29,MFootball!$C:$O,H$1-2011,FALSE),0)+IFERROR(VLOOKUP($A29,MIceHockey!$C:$P,H$1-2011,FALSE),0)+IFERROR(VLOOKUP($A29,MLacrosse!$C:$O,H$1-2011,FALSE),0)+IFERROR(VLOOKUP($A29,MSoccer!$C:$O,H$1-2011,FALSE),0)+IFERROR(VLOOKUP($A29,MVolleyball!$C:$O,H$1-2011,FALSE),0)+IFERROR(VLOOKUP($A29,WBasketball!$C:$O,H$1-2011,FALSE),0)+IFERROR(VLOOKUP($A29,WFieldHockey!$C:$O,H$1-2011,FALSE),0)+IFERROR(VLOOKUP($A29,WIceHockey!$C:$O,H$1-2011,FALSE),0)+IFERROR(VLOOKUP($A29,WLacrosse!$C:$O,H$1-2011,FALSE),0)+IFERROR(VLOOKUP($A29,WSoccer!$C:$O,H$1-2011,FALSE),0)+IFERROR(VLOOKUP($A29,WSoftball!$C:$O,H$1-2011,FALSE),0)+IFERROR(VLOOKUP($A29,WVolleyball!$C:$O,H$1-2011,FALSE),0)</f>
        <v>231696</v>
      </c>
      <c r="I29">
        <f>IFERROR(VLOOKUP($A29,MBaseball!$C:$N,I$1-2010,FALSE),0)+IFERROR(VLOOKUP($A29,MBasketball!$C:$J,I$1-2006,FALSE),0)+IFERROR(VLOOKUP($A29,MFootball!$C:$O,I$1-2011,FALSE),0)+IFERROR(VLOOKUP($A29,MIceHockey!$C:$P,I$1-2011,FALSE),0)+IFERROR(VLOOKUP($A29,MLacrosse!$C:$O,I$1-2011,FALSE),0)+IFERROR(VLOOKUP($A29,MSoccer!$C:$O,I$1-2011,FALSE),0)+IFERROR(VLOOKUP($A29,MVolleyball!$C:$O,I$1-2011,FALSE),0)+IFERROR(VLOOKUP($A29,WBasketball!$C:$O,I$1-2011,FALSE),0)+IFERROR(VLOOKUP($A29,WFieldHockey!$C:$O,I$1-2011,FALSE),0)+IFERROR(VLOOKUP($A29,WIceHockey!$C:$O,I$1-2011,FALSE),0)+IFERROR(VLOOKUP($A29,WLacrosse!$C:$O,I$1-2011,FALSE),0)+IFERROR(VLOOKUP($A29,WSoccer!$C:$O,I$1-2011,FALSE),0)+IFERROR(VLOOKUP($A29,WSoftball!$C:$O,I$1-2011,FALSE),0)+IFERROR(VLOOKUP($A29,WVolleyball!$C:$O,I$1-2011,FALSE),0)</f>
        <v>275612</v>
      </c>
      <c r="J29">
        <f>IFERROR(VLOOKUP($A29,MBaseball!$C:$N,J$1-2010,FALSE),0)+IFERROR(VLOOKUP($A29,MBasketball!$C:$J,J$1-2006,FALSE),0)+IFERROR(VLOOKUP($A29,MFootball!$C:$O,J$1-2011,FALSE),0)+IFERROR(VLOOKUP($A29,MIceHockey!$C:$P,J$1-2011,FALSE),0)+IFERROR(VLOOKUP($A29,MLacrosse!$C:$O,J$1-2011,FALSE),0)+IFERROR(VLOOKUP($A29,MSoccer!$C:$O,J$1-2011,FALSE),0)+IFERROR(VLOOKUP($A29,MVolleyball!$C:$O,J$1-2011,FALSE),0)+IFERROR(VLOOKUP($A29,WBasketball!$C:$O,J$1-2011,FALSE),0)+IFERROR(VLOOKUP($A29,WFieldHockey!$C:$O,J$1-2011,FALSE),0)+IFERROR(VLOOKUP($A29,WIceHockey!$C:$O,J$1-2011,FALSE),0)+IFERROR(VLOOKUP($A29,WLacrosse!$C:$O,J$1-2011,FALSE),0)+IFERROR(VLOOKUP($A29,WSoccer!$C:$O,J$1-2011,FALSE),0)+IFERROR(VLOOKUP($A29,WSoftball!$C:$O,J$1-2011,FALSE),0)+IFERROR(VLOOKUP($A29,WVolleyball!$C:$O,J$1-2011,FALSE),0)</f>
        <v>256369</v>
      </c>
      <c r="K29">
        <f>IFERROR(VLOOKUP($A29,MBaseball!$C:$N,K$1-2010,FALSE),0)+IFERROR(VLOOKUP($A29,MBasketball!$C:$J,K$1-2006,FALSE),0)+IFERROR(VLOOKUP($A29,MFootball!$C:$O,K$1-2011,FALSE),0)+IFERROR(VLOOKUP($A29,MIceHockey!$C:$P,K$1-2011,FALSE),0)+IFERROR(VLOOKUP($A29,MLacrosse!$C:$O,K$1-2011,FALSE),0)+IFERROR(VLOOKUP($A29,MSoccer!$C:$O,K$1-2011,FALSE),0)+IFERROR(VLOOKUP($A29,MVolleyball!$C:$O,K$1-2011,FALSE),0)+IFERROR(VLOOKUP($A29,WBasketball!$C:$O,K$1-2011,FALSE),0)+IFERROR(VLOOKUP($A29,WFieldHockey!$C:$O,K$1-2011,FALSE),0)+IFERROR(VLOOKUP($A29,WIceHockey!$C:$O,K$1-2011,FALSE),0)+IFERROR(VLOOKUP($A29,WLacrosse!$C:$O,K$1-2011,FALSE),0)+IFERROR(VLOOKUP($A29,WSoccer!$C:$O,K$1-2011,FALSE),0)+IFERROR(VLOOKUP($A29,WSoftball!$C:$O,K$1-2011,FALSE),0)+IFERROR(VLOOKUP($A29,WVolleyball!$C:$O,K$1-2011,FALSE),0)</f>
        <v>207751</v>
      </c>
      <c r="L29">
        <f>IFERROR(VLOOKUP($A29,MBaseball!$C:$N,L$1-2010,FALSE),0)+IFERROR(VLOOKUP($A29,MBasketball!$C:$J,L$1-2006,FALSE),0)+IFERROR(VLOOKUP($A29,MFootball!$C:$O,L$1-2011,FALSE),0)+IFERROR(VLOOKUP($A29,MIceHockey!$C:$P,L$1-2011,FALSE),0)+IFERROR(VLOOKUP($A29,MLacrosse!$C:$O,L$1-2011,FALSE),0)+IFERROR(VLOOKUP($A29,MSoccer!$C:$O,L$1-2011,FALSE),0)+IFERROR(VLOOKUP($A29,MVolleyball!$C:$O,L$1-2011,FALSE),0)+IFERROR(VLOOKUP($A29,WBasketball!$C:$O,L$1-2011,FALSE),0)+IFERROR(VLOOKUP($A29,WFieldHockey!$C:$O,L$1-2011,FALSE),0)+IFERROR(VLOOKUP($A29,WIceHockey!$C:$O,L$1-2011,FALSE),0)+IFERROR(VLOOKUP($A29,WLacrosse!$C:$O,L$1-2011,FALSE),0)+IFERROR(VLOOKUP($A29,WSoccer!$C:$O,L$1-2011,FALSE),0)+IFERROR(VLOOKUP($A29,WSoftball!$C:$O,L$1-2011,FALSE),0)+IFERROR(VLOOKUP($A29,WVolleyball!$C:$O,L$1-2011,FALSE),0)</f>
        <v>1005</v>
      </c>
      <c r="M29">
        <f>IFERROR(VLOOKUP($A29,MBaseball!$C:$N,M$1-2010,FALSE),0)+IFERROR(VLOOKUP($A29,MBasketball!$C:$J,M$1-2006,FALSE),0)+IFERROR(VLOOKUP($A29,MFootball!$C:$O,M$1-2011,FALSE),0)+IFERROR(VLOOKUP($A29,MIceHockey!$C:$P,M$1-2011,FALSE),0)+IFERROR(VLOOKUP($A29,MLacrosse!$C:$O,M$1-2011,FALSE),0)+IFERROR(VLOOKUP($A29,MSoccer!$C:$O,M$1-2011,FALSE),0)+IFERROR(VLOOKUP($A29,MVolleyball!$C:$O,M$1-2011,FALSE),0)+IFERROR(VLOOKUP($A29,WBasketball!$C:$O,M$1-2011,FALSE),0)+IFERROR(VLOOKUP($A29,WFieldHockey!$C:$O,M$1-2011,FALSE),0)+IFERROR(VLOOKUP($A29,WIceHockey!$C:$O,M$1-2011,FALSE),0)+IFERROR(VLOOKUP($A29,WLacrosse!$C:$O,M$1-2011,FALSE),0)+IFERROR(VLOOKUP($A29,WSoccer!$C:$O,M$1-2011,FALSE),0)+IFERROR(VLOOKUP($A29,WSoftball!$C:$O,M$1-2011,FALSE),0)+IFERROR(VLOOKUP($A29,WVolleyball!$C:$O,M$1-2011,FALSE),0)</f>
        <v>232466</v>
      </c>
      <c r="N29">
        <f>IFERROR(VLOOKUP($A29,MBaseball!$C:$N,N$1-2010,FALSE),0)+IFERROR(VLOOKUP($A29,MBasketball!$C:$J,N$1-2006,FALSE),0)+IFERROR(VLOOKUP($A29,MFootball!$C:$O,N$1-2011,FALSE),0)+IFERROR(VLOOKUP($A29,MIceHockey!$C:$P,N$1-2011,FALSE),0)+IFERROR(VLOOKUP($A29,MLacrosse!$C:$O,N$1-2011,FALSE),0)+IFERROR(VLOOKUP($A29,MSoccer!$C:$O,N$1-2011,FALSE),0)+IFERROR(VLOOKUP($A29,MVolleyball!$C:$O,N$1-2011,FALSE),0)+IFERROR(VLOOKUP($A29,WBasketball!$C:$O,N$1-2011,FALSE),0)+IFERROR(VLOOKUP($A29,WFieldHockey!$C:$O,N$1-2011,FALSE),0)+IFERROR(VLOOKUP($A29,WIceHockey!$C:$O,N$1-2011,FALSE),0)+IFERROR(VLOOKUP($A29,WLacrosse!$C:$O,N$1-2011,FALSE),0)+IFERROR(VLOOKUP($A29,WSoccer!$C:$O,N$1-2011,FALSE),0)+IFERROR(VLOOKUP($A29,WSoftball!$C:$O,N$1-2011,FALSE),0)+IFERROR(VLOOKUP($A29,WVolleyball!$C:$O,N$1-2011,FALSE),0)</f>
        <v>247087</v>
      </c>
    </row>
    <row r="30" spans="1:14" x14ac:dyDescent="0.2">
      <c r="A30">
        <v>129020</v>
      </c>
      <c r="B30">
        <v>25540</v>
      </c>
      <c r="C30" t="s">
        <v>77</v>
      </c>
      <c r="D30">
        <v>29</v>
      </c>
      <c r="E30">
        <f>IFERROR(VLOOKUP($A30,MBaseball!$C:$N,E$1-2010,FALSE),0)+IFERROR(VLOOKUP($A30,MBasketball!$C:$J,E$1-2006,FALSE),0)+IFERROR(VLOOKUP($A30,MFootball!$C:$O,E$1-2011,FALSE),0)+IFERROR(VLOOKUP($A30,MIceHockey!$C:$P,E$1-2011,FALSE),0)+IFERROR(VLOOKUP($A30,MLacrosse!$C:$O,E$1-2011,FALSE),0)+IFERROR(VLOOKUP($A30,MSoccer!$C:$O,E$1-2011,FALSE),0)+IFERROR(VLOOKUP($A30,MVolleyball!$C:$O,E$1-2011,FALSE),0)+IFERROR(VLOOKUP($A30,WBasketball!$C:$O,E$1-2011,FALSE),0)+IFERROR(VLOOKUP($A30,WFieldHockey!$C:$O,E$1-2011,FALSE),0)+IFERROR(VLOOKUP($A30,WIceHockey!$C:$O,E$1-2011,FALSE),0)+IFERROR(VLOOKUP($A30,WLacrosse!$C:$O,E$1-2011,FALSE),0)+IFERROR(VLOOKUP($A30,WSoccer!$C:$O,E$1-2011,FALSE),0)+IFERROR(VLOOKUP($A30,WSoftball!$C:$O,E$1-2011,FALSE),0)+IFERROR(VLOOKUP($A30,WVolleyball!$C:$O,E$1-2011,FALSE),0)</f>
        <v>372623</v>
      </c>
      <c r="F30">
        <f>IFERROR(VLOOKUP($A30,MBaseball!$C:$N,F$1-2010,FALSE),0)+IFERROR(VLOOKUP($A30,MBasketball!$C:$J,F$1-2006,FALSE),0)+IFERROR(VLOOKUP($A30,MFootball!$C:$O,F$1-2011,FALSE),0)+IFERROR(VLOOKUP($A30,MIceHockey!$C:$P,F$1-2011,FALSE),0)+IFERROR(VLOOKUP($A30,MLacrosse!$C:$O,F$1-2011,FALSE),0)+IFERROR(VLOOKUP($A30,MSoccer!$C:$O,F$1-2011,FALSE),0)+IFERROR(VLOOKUP($A30,MVolleyball!$C:$O,F$1-2011,FALSE),0)+IFERROR(VLOOKUP($A30,WBasketball!$C:$O,F$1-2011,FALSE),0)+IFERROR(VLOOKUP($A30,WFieldHockey!$C:$O,F$1-2011,FALSE),0)+IFERROR(VLOOKUP($A30,WIceHockey!$C:$O,F$1-2011,FALSE),0)+IFERROR(VLOOKUP($A30,WLacrosse!$C:$O,F$1-2011,FALSE),0)+IFERROR(VLOOKUP($A30,WSoccer!$C:$O,F$1-2011,FALSE),0)+IFERROR(VLOOKUP($A30,WSoftball!$C:$O,F$1-2011,FALSE),0)+IFERROR(VLOOKUP($A30,WVolleyball!$C:$O,F$1-2011,FALSE),0)</f>
        <v>455249</v>
      </c>
      <c r="G30">
        <f>IFERROR(VLOOKUP($A30,MBaseball!$C:$N,G$1-2010,FALSE),0)+IFERROR(VLOOKUP($A30,MBasketball!$C:$J,G$1-2006,FALSE),0)+IFERROR(VLOOKUP($A30,MFootball!$C:$O,G$1-2011,FALSE),0)+IFERROR(VLOOKUP($A30,MIceHockey!$C:$P,G$1-2011,FALSE),0)+IFERROR(VLOOKUP($A30,MLacrosse!$C:$O,G$1-2011,FALSE),0)+IFERROR(VLOOKUP($A30,MSoccer!$C:$O,G$1-2011,FALSE),0)+IFERROR(VLOOKUP($A30,MVolleyball!$C:$O,G$1-2011,FALSE),0)+IFERROR(VLOOKUP($A30,WBasketball!$C:$O,G$1-2011,FALSE),0)+IFERROR(VLOOKUP($A30,WFieldHockey!$C:$O,G$1-2011,FALSE),0)+IFERROR(VLOOKUP($A30,WIceHockey!$C:$O,G$1-2011,FALSE),0)+IFERROR(VLOOKUP($A30,WLacrosse!$C:$O,G$1-2011,FALSE),0)+IFERROR(VLOOKUP($A30,WSoccer!$C:$O,G$1-2011,FALSE),0)+IFERROR(VLOOKUP($A30,WSoftball!$C:$O,G$1-2011,FALSE),0)+IFERROR(VLOOKUP($A30,WVolleyball!$C:$O,G$1-2011,FALSE),0)</f>
        <v>462072</v>
      </c>
      <c r="H30">
        <f>IFERROR(VLOOKUP($A30,MBaseball!$C:$N,H$1-2010,FALSE),0)+IFERROR(VLOOKUP($A30,MBasketball!$C:$J,H$1-2006,FALSE),0)+IFERROR(VLOOKUP($A30,MFootball!$C:$O,H$1-2011,FALSE),0)+IFERROR(VLOOKUP($A30,MIceHockey!$C:$P,H$1-2011,FALSE),0)+IFERROR(VLOOKUP($A30,MLacrosse!$C:$O,H$1-2011,FALSE),0)+IFERROR(VLOOKUP($A30,MSoccer!$C:$O,H$1-2011,FALSE),0)+IFERROR(VLOOKUP($A30,MVolleyball!$C:$O,H$1-2011,FALSE),0)+IFERROR(VLOOKUP($A30,WBasketball!$C:$O,H$1-2011,FALSE),0)+IFERROR(VLOOKUP($A30,WFieldHockey!$C:$O,H$1-2011,FALSE),0)+IFERROR(VLOOKUP($A30,WIceHockey!$C:$O,H$1-2011,FALSE),0)+IFERROR(VLOOKUP($A30,WLacrosse!$C:$O,H$1-2011,FALSE),0)+IFERROR(VLOOKUP($A30,WSoccer!$C:$O,H$1-2011,FALSE),0)+IFERROR(VLOOKUP($A30,WSoftball!$C:$O,H$1-2011,FALSE),0)+IFERROR(VLOOKUP($A30,WVolleyball!$C:$O,H$1-2011,FALSE),0)</f>
        <v>472859</v>
      </c>
      <c r="I30">
        <f>IFERROR(VLOOKUP($A30,MBaseball!$C:$N,I$1-2010,FALSE),0)+IFERROR(VLOOKUP($A30,MBasketball!$C:$J,I$1-2006,FALSE),0)+IFERROR(VLOOKUP($A30,MFootball!$C:$O,I$1-2011,FALSE),0)+IFERROR(VLOOKUP($A30,MIceHockey!$C:$P,I$1-2011,FALSE),0)+IFERROR(VLOOKUP($A30,MLacrosse!$C:$O,I$1-2011,FALSE),0)+IFERROR(VLOOKUP($A30,MSoccer!$C:$O,I$1-2011,FALSE),0)+IFERROR(VLOOKUP($A30,MVolleyball!$C:$O,I$1-2011,FALSE),0)+IFERROR(VLOOKUP($A30,WBasketball!$C:$O,I$1-2011,FALSE),0)+IFERROR(VLOOKUP($A30,WFieldHockey!$C:$O,I$1-2011,FALSE),0)+IFERROR(VLOOKUP($A30,WIceHockey!$C:$O,I$1-2011,FALSE),0)+IFERROR(VLOOKUP($A30,WLacrosse!$C:$O,I$1-2011,FALSE),0)+IFERROR(VLOOKUP($A30,WSoccer!$C:$O,I$1-2011,FALSE),0)+IFERROR(VLOOKUP($A30,WSoftball!$C:$O,I$1-2011,FALSE),0)+IFERROR(VLOOKUP($A30,WVolleyball!$C:$O,I$1-2011,FALSE),0)</f>
        <v>410594</v>
      </c>
      <c r="J30">
        <f>IFERROR(VLOOKUP($A30,MBaseball!$C:$N,J$1-2010,FALSE),0)+IFERROR(VLOOKUP($A30,MBasketball!$C:$J,J$1-2006,FALSE),0)+IFERROR(VLOOKUP($A30,MFootball!$C:$O,J$1-2011,FALSE),0)+IFERROR(VLOOKUP($A30,MIceHockey!$C:$P,J$1-2011,FALSE),0)+IFERROR(VLOOKUP($A30,MLacrosse!$C:$O,J$1-2011,FALSE),0)+IFERROR(VLOOKUP($A30,MSoccer!$C:$O,J$1-2011,FALSE),0)+IFERROR(VLOOKUP($A30,MVolleyball!$C:$O,J$1-2011,FALSE),0)+IFERROR(VLOOKUP($A30,WBasketball!$C:$O,J$1-2011,FALSE),0)+IFERROR(VLOOKUP($A30,WFieldHockey!$C:$O,J$1-2011,FALSE),0)+IFERROR(VLOOKUP($A30,WIceHockey!$C:$O,J$1-2011,FALSE),0)+IFERROR(VLOOKUP($A30,WLacrosse!$C:$O,J$1-2011,FALSE),0)+IFERROR(VLOOKUP($A30,WSoccer!$C:$O,J$1-2011,FALSE),0)+IFERROR(VLOOKUP($A30,WSoftball!$C:$O,J$1-2011,FALSE),0)+IFERROR(VLOOKUP($A30,WVolleyball!$C:$O,J$1-2011,FALSE),0)</f>
        <v>371726</v>
      </c>
      <c r="K30">
        <f>IFERROR(VLOOKUP($A30,MBaseball!$C:$N,K$1-2010,FALSE),0)+IFERROR(VLOOKUP($A30,MBasketball!$C:$J,K$1-2006,FALSE),0)+IFERROR(VLOOKUP($A30,MFootball!$C:$O,K$1-2011,FALSE),0)+IFERROR(VLOOKUP($A30,MIceHockey!$C:$P,K$1-2011,FALSE),0)+IFERROR(VLOOKUP($A30,MLacrosse!$C:$O,K$1-2011,FALSE),0)+IFERROR(VLOOKUP($A30,MSoccer!$C:$O,K$1-2011,FALSE),0)+IFERROR(VLOOKUP($A30,MVolleyball!$C:$O,K$1-2011,FALSE),0)+IFERROR(VLOOKUP($A30,WBasketball!$C:$O,K$1-2011,FALSE),0)+IFERROR(VLOOKUP($A30,WFieldHockey!$C:$O,K$1-2011,FALSE),0)+IFERROR(VLOOKUP($A30,WIceHockey!$C:$O,K$1-2011,FALSE),0)+IFERROR(VLOOKUP($A30,WLacrosse!$C:$O,K$1-2011,FALSE),0)+IFERROR(VLOOKUP($A30,WSoccer!$C:$O,K$1-2011,FALSE),0)+IFERROR(VLOOKUP($A30,WSoftball!$C:$O,K$1-2011,FALSE),0)+IFERROR(VLOOKUP($A30,WVolleyball!$C:$O,K$1-2011,FALSE),0)</f>
        <v>327827</v>
      </c>
      <c r="L30">
        <f>IFERROR(VLOOKUP($A30,MBaseball!$C:$N,L$1-2010,FALSE),0)+IFERROR(VLOOKUP($A30,MBasketball!$C:$J,L$1-2006,FALSE),0)+IFERROR(VLOOKUP($A30,MFootball!$C:$O,L$1-2011,FALSE),0)+IFERROR(VLOOKUP($A30,MIceHockey!$C:$P,L$1-2011,FALSE),0)+IFERROR(VLOOKUP($A30,MLacrosse!$C:$O,L$1-2011,FALSE),0)+IFERROR(VLOOKUP($A30,MSoccer!$C:$O,L$1-2011,FALSE),0)+IFERROR(VLOOKUP($A30,MVolleyball!$C:$O,L$1-2011,FALSE),0)+IFERROR(VLOOKUP($A30,WBasketball!$C:$O,L$1-2011,FALSE),0)+IFERROR(VLOOKUP($A30,WFieldHockey!$C:$O,L$1-2011,FALSE),0)+IFERROR(VLOOKUP($A30,WIceHockey!$C:$O,L$1-2011,FALSE),0)+IFERROR(VLOOKUP($A30,WLacrosse!$C:$O,L$1-2011,FALSE),0)+IFERROR(VLOOKUP($A30,WSoccer!$C:$O,L$1-2011,FALSE),0)+IFERROR(VLOOKUP($A30,WSoftball!$C:$O,L$1-2011,FALSE),0)+IFERROR(VLOOKUP($A30,WVolleyball!$C:$O,L$1-2011,FALSE),0)</f>
        <v>17085</v>
      </c>
      <c r="M30">
        <f>IFERROR(VLOOKUP($A30,MBaseball!$C:$N,M$1-2010,FALSE),0)+IFERROR(VLOOKUP($A30,MBasketball!$C:$J,M$1-2006,FALSE),0)+IFERROR(VLOOKUP($A30,MFootball!$C:$O,M$1-2011,FALSE),0)+IFERROR(VLOOKUP($A30,MIceHockey!$C:$P,M$1-2011,FALSE),0)+IFERROR(VLOOKUP($A30,MLacrosse!$C:$O,M$1-2011,FALSE),0)+IFERROR(VLOOKUP($A30,MSoccer!$C:$O,M$1-2011,FALSE),0)+IFERROR(VLOOKUP($A30,MVolleyball!$C:$O,M$1-2011,FALSE),0)+IFERROR(VLOOKUP($A30,WBasketball!$C:$O,M$1-2011,FALSE),0)+IFERROR(VLOOKUP($A30,WFieldHockey!$C:$O,M$1-2011,FALSE),0)+IFERROR(VLOOKUP($A30,WIceHockey!$C:$O,M$1-2011,FALSE),0)+IFERROR(VLOOKUP($A30,WLacrosse!$C:$O,M$1-2011,FALSE),0)+IFERROR(VLOOKUP($A30,WSoccer!$C:$O,M$1-2011,FALSE),0)+IFERROR(VLOOKUP($A30,WSoftball!$C:$O,M$1-2011,FALSE),0)+IFERROR(VLOOKUP($A30,WVolleyball!$C:$O,M$1-2011,FALSE),0)</f>
        <v>339616</v>
      </c>
      <c r="N30">
        <f>IFERROR(VLOOKUP($A30,MBaseball!$C:$N,N$1-2010,FALSE),0)+IFERROR(VLOOKUP($A30,MBasketball!$C:$J,N$1-2006,FALSE),0)+IFERROR(VLOOKUP($A30,MFootball!$C:$O,N$1-2011,FALSE),0)+IFERROR(VLOOKUP($A30,MIceHockey!$C:$P,N$1-2011,FALSE),0)+IFERROR(VLOOKUP($A30,MLacrosse!$C:$O,N$1-2011,FALSE),0)+IFERROR(VLOOKUP($A30,MSoccer!$C:$O,N$1-2011,FALSE),0)+IFERROR(VLOOKUP($A30,MVolleyball!$C:$O,N$1-2011,FALSE),0)+IFERROR(VLOOKUP($A30,WBasketball!$C:$O,N$1-2011,FALSE),0)+IFERROR(VLOOKUP($A30,WFieldHockey!$C:$O,N$1-2011,FALSE),0)+IFERROR(VLOOKUP($A30,WIceHockey!$C:$O,N$1-2011,FALSE),0)+IFERROR(VLOOKUP($A30,WLacrosse!$C:$O,N$1-2011,FALSE),0)+IFERROR(VLOOKUP($A30,WSoccer!$C:$O,N$1-2011,FALSE),0)+IFERROR(VLOOKUP($A30,WSoftball!$C:$O,N$1-2011,FALSE),0)+IFERROR(VLOOKUP($A30,WVolleyball!$C:$O,N$1-2011,FALSE),0)</f>
        <v>425193</v>
      </c>
    </row>
    <row r="31" spans="1:14" x14ac:dyDescent="0.2">
      <c r="A31">
        <v>162283</v>
      </c>
      <c r="B31">
        <v>12580</v>
      </c>
      <c r="C31" t="s">
        <v>78</v>
      </c>
      <c r="D31">
        <v>30</v>
      </c>
      <c r="E31">
        <f>IFERROR(VLOOKUP($A31,MBaseball!$C:$N,E$1-2010,FALSE),0)+IFERROR(VLOOKUP($A31,MBasketball!$C:$J,E$1-2006,FALSE),0)+IFERROR(VLOOKUP($A31,MFootball!$C:$O,E$1-2011,FALSE),0)+IFERROR(VLOOKUP($A31,MIceHockey!$C:$P,E$1-2011,FALSE),0)+IFERROR(VLOOKUP($A31,MLacrosse!$C:$O,E$1-2011,FALSE),0)+IFERROR(VLOOKUP($A31,MSoccer!$C:$O,E$1-2011,FALSE),0)+IFERROR(VLOOKUP($A31,MVolleyball!$C:$O,E$1-2011,FALSE),0)+IFERROR(VLOOKUP($A31,WBasketball!$C:$O,E$1-2011,FALSE),0)+IFERROR(VLOOKUP($A31,WFieldHockey!$C:$O,E$1-2011,FALSE),0)+IFERROR(VLOOKUP($A31,WIceHockey!$C:$O,E$1-2011,FALSE),0)+IFERROR(VLOOKUP($A31,WLacrosse!$C:$O,E$1-2011,FALSE),0)+IFERROR(VLOOKUP($A31,WSoccer!$C:$O,E$1-2011,FALSE),0)+IFERROR(VLOOKUP($A31,WSoftball!$C:$O,E$1-2011,FALSE),0)+IFERROR(VLOOKUP($A31,WVolleyball!$C:$O,E$1-2011,FALSE),0)</f>
        <v>16598</v>
      </c>
      <c r="F31">
        <f>IFERROR(VLOOKUP($A31,MBaseball!$C:$N,F$1-2010,FALSE),0)+IFERROR(VLOOKUP($A31,MBasketball!$C:$J,F$1-2006,FALSE),0)+IFERROR(VLOOKUP($A31,MFootball!$C:$O,F$1-2011,FALSE),0)+IFERROR(VLOOKUP($A31,MIceHockey!$C:$P,F$1-2011,FALSE),0)+IFERROR(VLOOKUP($A31,MLacrosse!$C:$O,F$1-2011,FALSE),0)+IFERROR(VLOOKUP($A31,MSoccer!$C:$O,F$1-2011,FALSE),0)+IFERROR(VLOOKUP($A31,MVolleyball!$C:$O,F$1-2011,FALSE),0)+IFERROR(VLOOKUP($A31,WBasketball!$C:$O,F$1-2011,FALSE),0)+IFERROR(VLOOKUP($A31,WFieldHockey!$C:$O,F$1-2011,FALSE),0)+IFERROR(VLOOKUP($A31,WIceHockey!$C:$O,F$1-2011,FALSE),0)+IFERROR(VLOOKUP($A31,WLacrosse!$C:$O,F$1-2011,FALSE),0)+IFERROR(VLOOKUP($A31,WSoccer!$C:$O,F$1-2011,FALSE),0)+IFERROR(VLOOKUP($A31,WSoftball!$C:$O,F$1-2011,FALSE),0)+IFERROR(VLOOKUP($A31,WVolleyball!$C:$O,F$1-2011,FALSE),0)</f>
        <v>10642</v>
      </c>
      <c r="G31">
        <f>IFERROR(VLOOKUP($A31,MBaseball!$C:$N,G$1-2010,FALSE),0)+IFERROR(VLOOKUP($A31,MBasketball!$C:$J,G$1-2006,FALSE),0)+IFERROR(VLOOKUP($A31,MFootball!$C:$O,G$1-2011,FALSE),0)+IFERROR(VLOOKUP($A31,MIceHockey!$C:$P,G$1-2011,FALSE),0)+IFERROR(VLOOKUP($A31,MLacrosse!$C:$O,G$1-2011,FALSE),0)+IFERROR(VLOOKUP($A31,MSoccer!$C:$O,G$1-2011,FALSE),0)+IFERROR(VLOOKUP($A31,MVolleyball!$C:$O,G$1-2011,FALSE),0)+IFERROR(VLOOKUP($A31,WBasketball!$C:$O,G$1-2011,FALSE),0)+IFERROR(VLOOKUP($A31,WFieldHockey!$C:$O,G$1-2011,FALSE),0)+IFERROR(VLOOKUP($A31,WIceHockey!$C:$O,G$1-2011,FALSE),0)+IFERROR(VLOOKUP($A31,WLacrosse!$C:$O,G$1-2011,FALSE),0)+IFERROR(VLOOKUP($A31,WSoccer!$C:$O,G$1-2011,FALSE),0)+IFERROR(VLOOKUP($A31,WSoftball!$C:$O,G$1-2011,FALSE),0)+IFERROR(VLOOKUP($A31,WVolleyball!$C:$O,G$1-2011,FALSE),0)</f>
        <v>9296</v>
      </c>
      <c r="H31">
        <f>IFERROR(VLOOKUP($A31,MBaseball!$C:$N,H$1-2010,FALSE),0)+IFERROR(VLOOKUP($A31,MBasketball!$C:$J,H$1-2006,FALSE),0)+IFERROR(VLOOKUP($A31,MFootball!$C:$O,H$1-2011,FALSE),0)+IFERROR(VLOOKUP($A31,MIceHockey!$C:$P,H$1-2011,FALSE),0)+IFERROR(VLOOKUP($A31,MLacrosse!$C:$O,H$1-2011,FALSE),0)+IFERROR(VLOOKUP($A31,MSoccer!$C:$O,H$1-2011,FALSE),0)+IFERROR(VLOOKUP($A31,MVolleyball!$C:$O,H$1-2011,FALSE),0)+IFERROR(VLOOKUP($A31,WBasketball!$C:$O,H$1-2011,FALSE),0)+IFERROR(VLOOKUP($A31,WFieldHockey!$C:$O,H$1-2011,FALSE),0)+IFERROR(VLOOKUP($A31,WIceHockey!$C:$O,H$1-2011,FALSE),0)+IFERROR(VLOOKUP($A31,WLacrosse!$C:$O,H$1-2011,FALSE),0)+IFERROR(VLOOKUP($A31,WSoccer!$C:$O,H$1-2011,FALSE),0)+IFERROR(VLOOKUP($A31,WSoftball!$C:$O,H$1-2011,FALSE),0)+IFERROR(VLOOKUP($A31,WVolleyball!$C:$O,H$1-2011,FALSE),0)</f>
        <v>9415</v>
      </c>
      <c r="I31">
        <f>IFERROR(VLOOKUP($A31,MBaseball!$C:$N,I$1-2010,FALSE),0)+IFERROR(VLOOKUP($A31,MBasketball!$C:$J,I$1-2006,FALSE),0)+IFERROR(VLOOKUP($A31,MFootball!$C:$O,I$1-2011,FALSE),0)+IFERROR(VLOOKUP($A31,MIceHockey!$C:$P,I$1-2011,FALSE),0)+IFERROR(VLOOKUP($A31,MLacrosse!$C:$O,I$1-2011,FALSE),0)+IFERROR(VLOOKUP($A31,MSoccer!$C:$O,I$1-2011,FALSE),0)+IFERROR(VLOOKUP($A31,MVolleyball!$C:$O,I$1-2011,FALSE),0)+IFERROR(VLOOKUP($A31,WBasketball!$C:$O,I$1-2011,FALSE),0)+IFERROR(VLOOKUP($A31,WFieldHockey!$C:$O,I$1-2011,FALSE),0)+IFERROR(VLOOKUP($A31,WIceHockey!$C:$O,I$1-2011,FALSE),0)+IFERROR(VLOOKUP($A31,WLacrosse!$C:$O,I$1-2011,FALSE),0)+IFERROR(VLOOKUP($A31,WSoccer!$C:$O,I$1-2011,FALSE),0)+IFERROR(VLOOKUP($A31,WSoftball!$C:$O,I$1-2011,FALSE),0)+IFERROR(VLOOKUP($A31,WVolleyball!$C:$O,I$1-2011,FALSE),0)</f>
        <v>10706</v>
      </c>
      <c r="J31">
        <f>IFERROR(VLOOKUP($A31,MBaseball!$C:$N,J$1-2010,FALSE),0)+IFERROR(VLOOKUP($A31,MBasketball!$C:$J,J$1-2006,FALSE),0)+IFERROR(VLOOKUP($A31,MFootball!$C:$O,J$1-2011,FALSE),0)+IFERROR(VLOOKUP($A31,MIceHockey!$C:$P,J$1-2011,FALSE),0)+IFERROR(VLOOKUP($A31,MLacrosse!$C:$O,J$1-2011,FALSE),0)+IFERROR(VLOOKUP($A31,MSoccer!$C:$O,J$1-2011,FALSE),0)+IFERROR(VLOOKUP($A31,MVolleyball!$C:$O,J$1-2011,FALSE),0)+IFERROR(VLOOKUP($A31,WBasketball!$C:$O,J$1-2011,FALSE),0)+IFERROR(VLOOKUP($A31,WFieldHockey!$C:$O,J$1-2011,FALSE),0)+IFERROR(VLOOKUP($A31,WIceHockey!$C:$O,J$1-2011,FALSE),0)+IFERROR(VLOOKUP($A31,WLacrosse!$C:$O,J$1-2011,FALSE),0)+IFERROR(VLOOKUP($A31,WSoccer!$C:$O,J$1-2011,FALSE),0)+IFERROR(VLOOKUP($A31,WSoftball!$C:$O,J$1-2011,FALSE),0)+IFERROR(VLOOKUP($A31,WVolleyball!$C:$O,J$1-2011,FALSE),0)</f>
        <v>6363</v>
      </c>
      <c r="K31">
        <f>IFERROR(VLOOKUP($A31,MBaseball!$C:$N,K$1-2010,FALSE),0)+IFERROR(VLOOKUP($A31,MBasketball!$C:$J,K$1-2006,FALSE),0)+IFERROR(VLOOKUP($A31,MFootball!$C:$O,K$1-2011,FALSE),0)+IFERROR(VLOOKUP($A31,MIceHockey!$C:$P,K$1-2011,FALSE),0)+IFERROR(VLOOKUP($A31,MLacrosse!$C:$O,K$1-2011,FALSE),0)+IFERROR(VLOOKUP($A31,MSoccer!$C:$O,K$1-2011,FALSE),0)+IFERROR(VLOOKUP($A31,MVolleyball!$C:$O,K$1-2011,FALSE),0)+IFERROR(VLOOKUP($A31,WBasketball!$C:$O,K$1-2011,FALSE),0)+IFERROR(VLOOKUP($A31,WFieldHockey!$C:$O,K$1-2011,FALSE),0)+IFERROR(VLOOKUP($A31,WIceHockey!$C:$O,K$1-2011,FALSE),0)+IFERROR(VLOOKUP($A31,WLacrosse!$C:$O,K$1-2011,FALSE),0)+IFERROR(VLOOKUP($A31,WSoccer!$C:$O,K$1-2011,FALSE),0)+IFERROR(VLOOKUP($A31,WSoftball!$C:$O,K$1-2011,FALSE),0)+IFERROR(VLOOKUP($A31,WVolleyball!$C:$O,K$1-2011,FALSE),0)</f>
        <v>9514</v>
      </c>
      <c r="L31">
        <f>IFERROR(VLOOKUP($A31,MBaseball!$C:$N,L$1-2010,FALSE),0)+IFERROR(VLOOKUP($A31,MBasketball!$C:$J,L$1-2006,FALSE),0)+IFERROR(VLOOKUP($A31,MFootball!$C:$O,L$1-2011,FALSE),0)+IFERROR(VLOOKUP($A31,MIceHockey!$C:$P,L$1-2011,FALSE),0)+IFERROR(VLOOKUP($A31,MLacrosse!$C:$O,L$1-2011,FALSE),0)+IFERROR(VLOOKUP($A31,MSoccer!$C:$O,L$1-2011,FALSE),0)+IFERROR(VLOOKUP($A31,MVolleyball!$C:$O,L$1-2011,FALSE),0)+IFERROR(VLOOKUP($A31,WBasketball!$C:$O,L$1-2011,FALSE),0)+IFERROR(VLOOKUP($A31,WFieldHockey!$C:$O,L$1-2011,FALSE),0)+IFERROR(VLOOKUP($A31,WIceHockey!$C:$O,L$1-2011,FALSE),0)+IFERROR(VLOOKUP($A31,WLacrosse!$C:$O,L$1-2011,FALSE),0)+IFERROR(VLOOKUP($A31,WSoccer!$C:$O,L$1-2011,FALSE),0)+IFERROR(VLOOKUP($A31,WSoftball!$C:$O,L$1-2011,FALSE),0)+IFERROR(VLOOKUP($A31,WVolleyball!$C:$O,L$1-2011,FALSE),0)</f>
        <v>3409</v>
      </c>
      <c r="M31">
        <f>IFERROR(VLOOKUP($A31,MBaseball!$C:$N,M$1-2010,FALSE),0)+IFERROR(VLOOKUP($A31,MBasketball!$C:$J,M$1-2006,FALSE),0)+IFERROR(VLOOKUP($A31,MFootball!$C:$O,M$1-2011,FALSE),0)+IFERROR(VLOOKUP($A31,MIceHockey!$C:$P,M$1-2011,FALSE),0)+IFERROR(VLOOKUP($A31,MLacrosse!$C:$O,M$1-2011,FALSE),0)+IFERROR(VLOOKUP($A31,MSoccer!$C:$O,M$1-2011,FALSE),0)+IFERROR(VLOOKUP($A31,MVolleyball!$C:$O,M$1-2011,FALSE),0)+IFERROR(VLOOKUP($A31,WBasketball!$C:$O,M$1-2011,FALSE),0)+IFERROR(VLOOKUP($A31,WFieldHockey!$C:$O,M$1-2011,FALSE),0)+IFERROR(VLOOKUP($A31,WIceHockey!$C:$O,M$1-2011,FALSE),0)+IFERROR(VLOOKUP($A31,WLacrosse!$C:$O,M$1-2011,FALSE),0)+IFERROR(VLOOKUP($A31,WSoccer!$C:$O,M$1-2011,FALSE),0)+IFERROR(VLOOKUP($A31,WSoftball!$C:$O,M$1-2011,FALSE),0)+IFERROR(VLOOKUP($A31,WVolleyball!$C:$O,M$1-2011,FALSE),0)</f>
        <v>10104</v>
      </c>
      <c r="N31">
        <f>IFERROR(VLOOKUP($A31,MBaseball!$C:$N,N$1-2010,FALSE),0)+IFERROR(VLOOKUP($A31,MBasketball!$C:$J,N$1-2006,FALSE),0)+IFERROR(VLOOKUP($A31,MFootball!$C:$O,N$1-2011,FALSE),0)+IFERROR(VLOOKUP($A31,MIceHockey!$C:$P,N$1-2011,FALSE),0)+IFERROR(VLOOKUP($A31,MLacrosse!$C:$O,N$1-2011,FALSE),0)+IFERROR(VLOOKUP($A31,MSoccer!$C:$O,N$1-2011,FALSE),0)+IFERROR(VLOOKUP($A31,MVolleyball!$C:$O,N$1-2011,FALSE),0)+IFERROR(VLOOKUP($A31,WBasketball!$C:$O,N$1-2011,FALSE),0)+IFERROR(VLOOKUP($A31,WFieldHockey!$C:$O,N$1-2011,FALSE),0)+IFERROR(VLOOKUP($A31,WIceHockey!$C:$O,N$1-2011,FALSE),0)+IFERROR(VLOOKUP($A31,WLacrosse!$C:$O,N$1-2011,FALSE),0)+IFERROR(VLOOKUP($A31,WSoccer!$C:$O,N$1-2011,FALSE),0)+IFERROR(VLOOKUP($A31,WSoftball!$C:$O,N$1-2011,FALSE),0)+IFERROR(VLOOKUP($A31,WVolleyball!$C:$O,N$1-2011,FALSE),0)</f>
        <v>10291</v>
      </c>
    </row>
    <row r="32" spans="1:14" x14ac:dyDescent="0.2">
      <c r="A32">
        <v>198464</v>
      </c>
      <c r="B32">
        <v>24780</v>
      </c>
      <c r="C32" t="s">
        <v>79</v>
      </c>
      <c r="D32">
        <v>31</v>
      </c>
      <c r="E32">
        <f>IFERROR(VLOOKUP($A32,MBaseball!$C:$N,E$1-2010,FALSE),0)+IFERROR(VLOOKUP($A32,MBasketball!$C:$J,E$1-2006,FALSE),0)+IFERROR(VLOOKUP($A32,MFootball!$C:$O,E$1-2011,FALSE),0)+IFERROR(VLOOKUP($A32,MIceHockey!$C:$P,E$1-2011,FALSE),0)+IFERROR(VLOOKUP($A32,MLacrosse!$C:$O,E$1-2011,FALSE),0)+IFERROR(VLOOKUP($A32,MSoccer!$C:$O,E$1-2011,FALSE),0)+IFERROR(VLOOKUP($A32,MVolleyball!$C:$O,E$1-2011,FALSE),0)+IFERROR(VLOOKUP($A32,WBasketball!$C:$O,E$1-2011,FALSE),0)+IFERROR(VLOOKUP($A32,WFieldHockey!$C:$O,E$1-2011,FALSE),0)+IFERROR(VLOOKUP($A32,WIceHockey!$C:$O,E$1-2011,FALSE),0)+IFERROR(VLOOKUP($A32,WLacrosse!$C:$O,E$1-2011,FALSE),0)+IFERROR(VLOOKUP($A32,WSoccer!$C:$O,E$1-2011,FALSE),0)+IFERROR(VLOOKUP($A32,WSoftball!$C:$O,E$1-2011,FALSE),0)+IFERROR(VLOOKUP($A32,WVolleyball!$C:$O,E$1-2011,FALSE),0)</f>
        <v>161295</v>
      </c>
      <c r="F32">
        <f>IFERROR(VLOOKUP($A32,MBaseball!$C:$N,F$1-2010,FALSE),0)+IFERROR(VLOOKUP($A32,MBasketball!$C:$J,F$1-2006,FALSE),0)+IFERROR(VLOOKUP($A32,MFootball!$C:$O,F$1-2011,FALSE),0)+IFERROR(VLOOKUP($A32,MIceHockey!$C:$P,F$1-2011,FALSE),0)+IFERROR(VLOOKUP($A32,MLacrosse!$C:$O,F$1-2011,FALSE),0)+IFERROR(VLOOKUP($A32,MSoccer!$C:$O,F$1-2011,FALSE),0)+IFERROR(VLOOKUP($A32,MVolleyball!$C:$O,F$1-2011,FALSE),0)+IFERROR(VLOOKUP($A32,WBasketball!$C:$O,F$1-2011,FALSE),0)+IFERROR(VLOOKUP($A32,WFieldHockey!$C:$O,F$1-2011,FALSE),0)+IFERROR(VLOOKUP($A32,WIceHockey!$C:$O,F$1-2011,FALSE),0)+IFERROR(VLOOKUP($A32,WLacrosse!$C:$O,F$1-2011,FALSE),0)+IFERROR(VLOOKUP($A32,WSoccer!$C:$O,F$1-2011,FALSE),0)+IFERROR(VLOOKUP($A32,WSoftball!$C:$O,F$1-2011,FALSE),0)+IFERROR(VLOOKUP($A32,WVolleyball!$C:$O,F$1-2011,FALSE),0)</f>
        <v>387916</v>
      </c>
      <c r="G32">
        <f>IFERROR(VLOOKUP($A32,MBaseball!$C:$N,G$1-2010,FALSE),0)+IFERROR(VLOOKUP($A32,MBasketball!$C:$J,G$1-2006,FALSE),0)+IFERROR(VLOOKUP($A32,MFootball!$C:$O,G$1-2011,FALSE),0)+IFERROR(VLOOKUP($A32,MIceHockey!$C:$P,G$1-2011,FALSE),0)+IFERROR(VLOOKUP($A32,MLacrosse!$C:$O,G$1-2011,FALSE),0)+IFERROR(VLOOKUP($A32,MSoccer!$C:$O,G$1-2011,FALSE),0)+IFERROR(VLOOKUP($A32,MVolleyball!$C:$O,G$1-2011,FALSE),0)+IFERROR(VLOOKUP($A32,WBasketball!$C:$O,G$1-2011,FALSE),0)+IFERROR(VLOOKUP($A32,WFieldHockey!$C:$O,G$1-2011,FALSE),0)+IFERROR(VLOOKUP($A32,WIceHockey!$C:$O,G$1-2011,FALSE),0)+IFERROR(VLOOKUP($A32,WLacrosse!$C:$O,G$1-2011,FALSE),0)+IFERROR(VLOOKUP($A32,WSoccer!$C:$O,G$1-2011,FALSE),0)+IFERROR(VLOOKUP($A32,WSoftball!$C:$O,G$1-2011,FALSE),0)+IFERROR(VLOOKUP($A32,WVolleyball!$C:$O,G$1-2011,FALSE),0)</f>
        <v>400015</v>
      </c>
      <c r="H32">
        <f>IFERROR(VLOOKUP($A32,MBaseball!$C:$N,H$1-2010,FALSE),0)+IFERROR(VLOOKUP($A32,MBasketball!$C:$J,H$1-2006,FALSE),0)+IFERROR(VLOOKUP($A32,MFootball!$C:$O,H$1-2011,FALSE),0)+IFERROR(VLOOKUP($A32,MIceHockey!$C:$P,H$1-2011,FALSE),0)+IFERROR(VLOOKUP($A32,MLacrosse!$C:$O,H$1-2011,FALSE),0)+IFERROR(VLOOKUP($A32,MSoccer!$C:$O,H$1-2011,FALSE),0)+IFERROR(VLOOKUP($A32,MVolleyball!$C:$O,H$1-2011,FALSE),0)+IFERROR(VLOOKUP($A32,WBasketball!$C:$O,H$1-2011,FALSE),0)+IFERROR(VLOOKUP($A32,WFieldHockey!$C:$O,H$1-2011,FALSE),0)+IFERROR(VLOOKUP($A32,WIceHockey!$C:$O,H$1-2011,FALSE),0)+IFERROR(VLOOKUP($A32,WLacrosse!$C:$O,H$1-2011,FALSE),0)+IFERROR(VLOOKUP($A32,WSoccer!$C:$O,H$1-2011,FALSE),0)+IFERROR(VLOOKUP($A32,WSoftball!$C:$O,H$1-2011,FALSE),0)+IFERROR(VLOOKUP($A32,WVolleyball!$C:$O,H$1-2011,FALSE),0)</f>
        <v>404290</v>
      </c>
      <c r="I32">
        <f>IFERROR(VLOOKUP($A32,MBaseball!$C:$N,I$1-2010,FALSE),0)+IFERROR(VLOOKUP($A32,MBasketball!$C:$J,I$1-2006,FALSE),0)+IFERROR(VLOOKUP($A32,MFootball!$C:$O,I$1-2011,FALSE),0)+IFERROR(VLOOKUP($A32,MIceHockey!$C:$P,I$1-2011,FALSE),0)+IFERROR(VLOOKUP($A32,MLacrosse!$C:$O,I$1-2011,FALSE),0)+IFERROR(VLOOKUP($A32,MSoccer!$C:$O,I$1-2011,FALSE),0)+IFERROR(VLOOKUP($A32,MVolleyball!$C:$O,I$1-2011,FALSE),0)+IFERROR(VLOOKUP($A32,WBasketball!$C:$O,I$1-2011,FALSE),0)+IFERROR(VLOOKUP($A32,WFieldHockey!$C:$O,I$1-2011,FALSE),0)+IFERROR(VLOOKUP($A32,WIceHockey!$C:$O,I$1-2011,FALSE),0)+IFERROR(VLOOKUP($A32,WLacrosse!$C:$O,I$1-2011,FALSE),0)+IFERROR(VLOOKUP($A32,WSoccer!$C:$O,I$1-2011,FALSE),0)+IFERROR(VLOOKUP($A32,WSoftball!$C:$O,I$1-2011,FALSE),0)+IFERROR(VLOOKUP($A32,WVolleyball!$C:$O,I$1-2011,FALSE),0)</f>
        <v>401171</v>
      </c>
      <c r="J32">
        <f>IFERROR(VLOOKUP($A32,MBaseball!$C:$N,J$1-2010,FALSE),0)+IFERROR(VLOOKUP($A32,MBasketball!$C:$J,J$1-2006,FALSE),0)+IFERROR(VLOOKUP($A32,MFootball!$C:$O,J$1-2011,FALSE),0)+IFERROR(VLOOKUP($A32,MIceHockey!$C:$P,J$1-2011,FALSE),0)+IFERROR(VLOOKUP($A32,MLacrosse!$C:$O,J$1-2011,FALSE),0)+IFERROR(VLOOKUP($A32,MSoccer!$C:$O,J$1-2011,FALSE),0)+IFERROR(VLOOKUP($A32,MVolleyball!$C:$O,J$1-2011,FALSE),0)+IFERROR(VLOOKUP($A32,WBasketball!$C:$O,J$1-2011,FALSE),0)+IFERROR(VLOOKUP($A32,WFieldHockey!$C:$O,J$1-2011,FALSE),0)+IFERROR(VLOOKUP($A32,WIceHockey!$C:$O,J$1-2011,FALSE),0)+IFERROR(VLOOKUP($A32,WLacrosse!$C:$O,J$1-2011,FALSE),0)+IFERROR(VLOOKUP($A32,WSoccer!$C:$O,J$1-2011,FALSE),0)+IFERROR(VLOOKUP($A32,WSoftball!$C:$O,J$1-2011,FALSE),0)+IFERROR(VLOOKUP($A32,WVolleyball!$C:$O,J$1-2011,FALSE),0)</f>
        <v>300077</v>
      </c>
      <c r="K32">
        <f>IFERROR(VLOOKUP($A32,MBaseball!$C:$N,K$1-2010,FALSE),0)+IFERROR(VLOOKUP($A32,MBasketball!$C:$J,K$1-2006,FALSE),0)+IFERROR(VLOOKUP($A32,MFootball!$C:$O,K$1-2011,FALSE),0)+IFERROR(VLOOKUP($A32,MIceHockey!$C:$P,K$1-2011,FALSE),0)+IFERROR(VLOOKUP($A32,MLacrosse!$C:$O,K$1-2011,FALSE),0)+IFERROR(VLOOKUP($A32,MSoccer!$C:$O,K$1-2011,FALSE),0)+IFERROR(VLOOKUP($A32,MVolleyball!$C:$O,K$1-2011,FALSE),0)+IFERROR(VLOOKUP($A32,WBasketball!$C:$O,K$1-2011,FALSE),0)+IFERROR(VLOOKUP($A32,WFieldHockey!$C:$O,K$1-2011,FALSE),0)+IFERROR(VLOOKUP($A32,WIceHockey!$C:$O,K$1-2011,FALSE),0)+IFERROR(VLOOKUP($A32,WLacrosse!$C:$O,K$1-2011,FALSE),0)+IFERROR(VLOOKUP($A32,WSoccer!$C:$O,K$1-2011,FALSE),0)+IFERROR(VLOOKUP($A32,WSoftball!$C:$O,K$1-2011,FALSE),0)+IFERROR(VLOOKUP($A32,WVolleyball!$C:$O,K$1-2011,FALSE),0)</f>
        <v>267178</v>
      </c>
      <c r="L32">
        <f>IFERROR(VLOOKUP($A32,MBaseball!$C:$N,L$1-2010,FALSE),0)+IFERROR(VLOOKUP($A32,MBasketball!$C:$J,L$1-2006,FALSE),0)+IFERROR(VLOOKUP($A32,MFootball!$C:$O,L$1-2011,FALSE),0)+IFERROR(VLOOKUP($A32,MIceHockey!$C:$P,L$1-2011,FALSE),0)+IFERROR(VLOOKUP($A32,MLacrosse!$C:$O,L$1-2011,FALSE),0)+IFERROR(VLOOKUP($A32,MSoccer!$C:$O,L$1-2011,FALSE),0)+IFERROR(VLOOKUP($A32,MVolleyball!$C:$O,L$1-2011,FALSE),0)+IFERROR(VLOOKUP($A32,WBasketball!$C:$O,L$1-2011,FALSE),0)+IFERROR(VLOOKUP($A32,WFieldHockey!$C:$O,L$1-2011,FALSE),0)+IFERROR(VLOOKUP($A32,WIceHockey!$C:$O,L$1-2011,FALSE),0)+IFERROR(VLOOKUP($A32,WLacrosse!$C:$O,L$1-2011,FALSE),0)+IFERROR(VLOOKUP($A32,WSoccer!$C:$O,L$1-2011,FALSE),0)+IFERROR(VLOOKUP($A32,WSoftball!$C:$O,L$1-2011,FALSE),0)+IFERROR(VLOOKUP($A32,WVolleyball!$C:$O,L$1-2011,FALSE),0)</f>
        <v>155348</v>
      </c>
      <c r="M32">
        <f>IFERROR(VLOOKUP($A32,MBaseball!$C:$N,M$1-2010,FALSE),0)+IFERROR(VLOOKUP($A32,MBasketball!$C:$J,M$1-2006,FALSE),0)+IFERROR(VLOOKUP($A32,MFootball!$C:$O,M$1-2011,FALSE),0)+IFERROR(VLOOKUP($A32,MIceHockey!$C:$P,M$1-2011,FALSE),0)+IFERROR(VLOOKUP($A32,MLacrosse!$C:$O,M$1-2011,FALSE),0)+IFERROR(VLOOKUP($A32,MSoccer!$C:$O,M$1-2011,FALSE),0)+IFERROR(VLOOKUP($A32,MVolleyball!$C:$O,M$1-2011,FALSE),0)+IFERROR(VLOOKUP($A32,WBasketball!$C:$O,M$1-2011,FALSE),0)+IFERROR(VLOOKUP($A32,WFieldHockey!$C:$O,M$1-2011,FALSE),0)+IFERROR(VLOOKUP($A32,WIceHockey!$C:$O,M$1-2011,FALSE),0)+IFERROR(VLOOKUP($A32,WLacrosse!$C:$O,M$1-2011,FALSE),0)+IFERROR(VLOOKUP($A32,WSoccer!$C:$O,M$1-2011,FALSE),0)+IFERROR(VLOOKUP($A32,WSoftball!$C:$O,M$1-2011,FALSE),0)+IFERROR(VLOOKUP($A32,WVolleyball!$C:$O,M$1-2011,FALSE),0)</f>
        <v>396642</v>
      </c>
      <c r="N32">
        <f>IFERROR(VLOOKUP($A32,MBaseball!$C:$N,N$1-2010,FALSE),0)+IFERROR(VLOOKUP($A32,MBasketball!$C:$J,N$1-2006,FALSE),0)+IFERROR(VLOOKUP($A32,MFootball!$C:$O,N$1-2011,FALSE),0)+IFERROR(VLOOKUP($A32,MIceHockey!$C:$P,N$1-2011,FALSE),0)+IFERROR(VLOOKUP($A32,MLacrosse!$C:$O,N$1-2011,FALSE),0)+IFERROR(VLOOKUP($A32,MSoccer!$C:$O,N$1-2011,FALSE),0)+IFERROR(VLOOKUP($A32,MVolleyball!$C:$O,N$1-2011,FALSE),0)+IFERROR(VLOOKUP($A32,WBasketball!$C:$O,N$1-2011,FALSE),0)+IFERROR(VLOOKUP($A32,WFieldHockey!$C:$O,N$1-2011,FALSE),0)+IFERROR(VLOOKUP($A32,WIceHockey!$C:$O,N$1-2011,FALSE),0)+IFERROR(VLOOKUP($A32,WLacrosse!$C:$O,N$1-2011,FALSE),0)+IFERROR(VLOOKUP($A32,WSoccer!$C:$O,N$1-2011,FALSE),0)+IFERROR(VLOOKUP($A32,WSoftball!$C:$O,N$1-2011,FALSE),0)+IFERROR(VLOOKUP($A32,WVolleyball!$C:$O,N$1-2011,FALSE),0)</f>
        <v>323977</v>
      </c>
    </row>
    <row r="33" spans="1:14" x14ac:dyDescent="0.2">
      <c r="A33">
        <v>144892</v>
      </c>
      <c r="B33">
        <v>16660</v>
      </c>
      <c r="C33" t="s">
        <v>81</v>
      </c>
      <c r="D33">
        <v>32</v>
      </c>
      <c r="E33">
        <f>IFERROR(VLOOKUP($A33,MBaseball!$C:$N,E$1-2010,FALSE),0)+IFERROR(VLOOKUP($A33,MBasketball!$C:$J,E$1-2006,FALSE),0)+IFERROR(VLOOKUP($A33,MFootball!$C:$O,E$1-2011,FALSE),0)+IFERROR(VLOOKUP($A33,MIceHockey!$C:$P,E$1-2011,FALSE),0)+IFERROR(VLOOKUP($A33,MLacrosse!$C:$O,E$1-2011,FALSE),0)+IFERROR(VLOOKUP($A33,MSoccer!$C:$O,E$1-2011,FALSE),0)+IFERROR(VLOOKUP($A33,MVolleyball!$C:$O,E$1-2011,FALSE),0)+IFERROR(VLOOKUP($A33,WBasketball!$C:$O,E$1-2011,FALSE),0)+IFERROR(VLOOKUP($A33,WFieldHockey!$C:$O,E$1-2011,FALSE),0)+IFERROR(VLOOKUP($A33,WIceHockey!$C:$O,E$1-2011,FALSE),0)+IFERROR(VLOOKUP($A33,WLacrosse!$C:$O,E$1-2011,FALSE),0)+IFERROR(VLOOKUP($A33,WSoccer!$C:$O,E$1-2011,FALSE),0)+IFERROR(VLOOKUP($A33,WSoftball!$C:$O,E$1-2011,FALSE),0)+IFERROR(VLOOKUP($A33,WVolleyball!$C:$O,E$1-2011,FALSE),0)</f>
        <v>36143</v>
      </c>
      <c r="F33">
        <f>IFERROR(VLOOKUP($A33,MBaseball!$C:$N,F$1-2010,FALSE),0)+IFERROR(VLOOKUP($A33,MBasketball!$C:$J,F$1-2006,FALSE),0)+IFERROR(VLOOKUP($A33,MFootball!$C:$O,F$1-2011,FALSE),0)+IFERROR(VLOOKUP($A33,MIceHockey!$C:$P,F$1-2011,FALSE),0)+IFERROR(VLOOKUP($A33,MLacrosse!$C:$O,F$1-2011,FALSE),0)+IFERROR(VLOOKUP($A33,MSoccer!$C:$O,F$1-2011,FALSE),0)+IFERROR(VLOOKUP($A33,MVolleyball!$C:$O,F$1-2011,FALSE),0)+IFERROR(VLOOKUP($A33,WBasketball!$C:$O,F$1-2011,FALSE),0)+IFERROR(VLOOKUP($A33,WFieldHockey!$C:$O,F$1-2011,FALSE),0)+IFERROR(VLOOKUP($A33,WIceHockey!$C:$O,F$1-2011,FALSE),0)+IFERROR(VLOOKUP($A33,WLacrosse!$C:$O,F$1-2011,FALSE),0)+IFERROR(VLOOKUP($A33,WSoccer!$C:$O,F$1-2011,FALSE),0)+IFERROR(VLOOKUP($A33,WSoftball!$C:$O,F$1-2011,FALSE),0)+IFERROR(VLOOKUP($A33,WVolleyball!$C:$O,F$1-2011,FALSE),0)</f>
        <v>48825</v>
      </c>
      <c r="G33">
        <f>IFERROR(VLOOKUP($A33,MBaseball!$C:$N,G$1-2010,FALSE),0)+IFERROR(VLOOKUP($A33,MBasketball!$C:$J,G$1-2006,FALSE),0)+IFERROR(VLOOKUP($A33,MFootball!$C:$O,G$1-2011,FALSE),0)+IFERROR(VLOOKUP($A33,MIceHockey!$C:$P,G$1-2011,FALSE),0)+IFERROR(VLOOKUP($A33,MLacrosse!$C:$O,G$1-2011,FALSE),0)+IFERROR(VLOOKUP($A33,MSoccer!$C:$O,G$1-2011,FALSE),0)+IFERROR(VLOOKUP($A33,MVolleyball!$C:$O,G$1-2011,FALSE),0)+IFERROR(VLOOKUP($A33,WBasketball!$C:$O,G$1-2011,FALSE),0)+IFERROR(VLOOKUP($A33,WFieldHockey!$C:$O,G$1-2011,FALSE),0)+IFERROR(VLOOKUP($A33,WIceHockey!$C:$O,G$1-2011,FALSE),0)+IFERROR(VLOOKUP($A33,WLacrosse!$C:$O,G$1-2011,FALSE),0)+IFERROR(VLOOKUP($A33,WSoccer!$C:$O,G$1-2011,FALSE),0)+IFERROR(VLOOKUP($A33,WSoftball!$C:$O,G$1-2011,FALSE),0)+IFERROR(VLOOKUP($A33,WVolleyball!$C:$O,G$1-2011,FALSE),0)</f>
        <v>46955</v>
      </c>
      <c r="H33">
        <f>IFERROR(VLOOKUP($A33,MBaseball!$C:$N,H$1-2010,FALSE),0)+IFERROR(VLOOKUP($A33,MBasketball!$C:$J,H$1-2006,FALSE),0)+IFERROR(VLOOKUP($A33,MFootball!$C:$O,H$1-2011,FALSE),0)+IFERROR(VLOOKUP($A33,MIceHockey!$C:$P,H$1-2011,FALSE),0)+IFERROR(VLOOKUP($A33,MLacrosse!$C:$O,H$1-2011,FALSE),0)+IFERROR(VLOOKUP($A33,MSoccer!$C:$O,H$1-2011,FALSE),0)+IFERROR(VLOOKUP($A33,MVolleyball!$C:$O,H$1-2011,FALSE),0)+IFERROR(VLOOKUP($A33,WBasketball!$C:$O,H$1-2011,FALSE),0)+IFERROR(VLOOKUP($A33,WFieldHockey!$C:$O,H$1-2011,FALSE),0)+IFERROR(VLOOKUP($A33,WIceHockey!$C:$O,H$1-2011,FALSE),0)+IFERROR(VLOOKUP($A33,WLacrosse!$C:$O,H$1-2011,FALSE),0)+IFERROR(VLOOKUP($A33,WSoccer!$C:$O,H$1-2011,FALSE),0)+IFERROR(VLOOKUP($A33,WSoftball!$C:$O,H$1-2011,FALSE),0)+IFERROR(VLOOKUP($A33,WVolleyball!$C:$O,H$1-2011,FALSE),0)</f>
        <v>40391</v>
      </c>
      <c r="I33">
        <f>IFERROR(VLOOKUP($A33,MBaseball!$C:$N,I$1-2010,FALSE),0)+IFERROR(VLOOKUP($A33,MBasketball!$C:$J,I$1-2006,FALSE),0)+IFERROR(VLOOKUP($A33,MFootball!$C:$O,I$1-2011,FALSE),0)+IFERROR(VLOOKUP($A33,MIceHockey!$C:$P,I$1-2011,FALSE),0)+IFERROR(VLOOKUP($A33,MLacrosse!$C:$O,I$1-2011,FALSE),0)+IFERROR(VLOOKUP($A33,MSoccer!$C:$O,I$1-2011,FALSE),0)+IFERROR(VLOOKUP($A33,MVolleyball!$C:$O,I$1-2011,FALSE),0)+IFERROR(VLOOKUP($A33,WBasketball!$C:$O,I$1-2011,FALSE),0)+IFERROR(VLOOKUP($A33,WFieldHockey!$C:$O,I$1-2011,FALSE),0)+IFERROR(VLOOKUP($A33,WIceHockey!$C:$O,I$1-2011,FALSE),0)+IFERROR(VLOOKUP($A33,WLacrosse!$C:$O,I$1-2011,FALSE),0)+IFERROR(VLOOKUP($A33,WSoccer!$C:$O,I$1-2011,FALSE),0)+IFERROR(VLOOKUP($A33,WSoftball!$C:$O,I$1-2011,FALSE),0)+IFERROR(VLOOKUP($A33,WVolleyball!$C:$O,I$1-2011,FALSE),0)</f>
        <v>43404</v>
      </c>
      <c r="J33">
        <f>IFERROR(VLOOKUP($A33,MBaseball!$C:$N,J$1-2010,FALSE),0)+IFERROR(VLOOKUP($A33,MBasketball!$C:$J,J$1-2006,FALSE),0)+IFERROR(VLOOKUP($A33,MFootball!$C:$O,J$1-2011,FALSE),0)+IFERROR(VLOOKUP($A33,MIceHockey!$C:$P,J$1-2011,FALSE),0)+IFERROR(VLOOKUP($A33,MLacrosse!$C:$O,J$1-2011,FALSE),0)+IFERROR(VLOOKUP($A33,MSoccer!$C:$O,J$1-2011,FALSE),0)+IFERROR(VLOOKUP($A33,MVolleyball!$C:$O,J$1-2011,FALSE),0)+IFERROR(VLOOKUP($A33,WBasketball!$C:$O,J$1-2011,FALSE),0)+IFERROR(VLOOKUP($A33,WFieldHockey!$C:$O,J$1-2011,FALSE),0)+IFERROR(VLOOKUP($A33,WIceHockey!$C:$O,J$1-2011,FALSE),0)+IFERROR(VLOOKUP($A33,WLacrosse!$C:$O,J$1-2011,FALSE),0)+IFERROR(VLOOKUP($A33,WSoccer!$C:$O,J$1-2011,FALSE),0)+IFERROR(VLOOKUP($A33,WSoftball!$C:$O,J$1-2011,FALSE),0)+IFERROR(VLOOKUP($A33,WVolleyball!$C:$O,J$1-2011,FALSE),0)</f>
        <v>43009</v>
      </c>
      <c r="K33">
        <f>IFERROR(VLOOKUP($A33,MBaseball!$C:$N,K$1-2010,FALSE),0)+IFERROR(VLOOKUP($A33,MBasketball!$C:$J,K$1-2006,FALSE),0)+IFERROR(VLOOKUP($A33,MFootball!$C:$O,K$1-2011,FALSE),0)+IFERROR(VLOOKUP($A33,MIceHockey!$C:$P,K$1-2011,FALSE),0)+IFERROR(VLOOKUP($A33,MLacrosse!$C:$O,K$1-2011,FALSE),0)+IFERROR(VLOOKUP($A33,MSoccer!$C:$O,K$1-2011,FALSE),0)+IFERROR(VLOOKUP($A33,MVolleyball!$C:$O,K$1-2011,FALSE),0)+IFERROR(VLOOKUP($A33,WBasketball!$C:$O,K$1-2011,FALSE),0)+IFERROR(VLOOKUP($A33,WFieldHockey!$C:$O,K$1-2011,FALSE),0)+IFERROR(VLOOKUP($A33,WIceHockey!$C:$O,K$1-2011,FALSE),0)+IFERROR(VLOOKUP($A33,WLacrosse!$C:$O,K$1-2011,FALSE),0)+IFERROR(VLOOKUP($A33,WSoccer!$C:$O,K$1-2011,FALSE),0)+IFERROR(VLOOKUP($A33,WSoftball!$C:$O,K$1-2011,FALSE),0)+IFERROR(VLOOKUP($A33,WVolleyball!$C:$O,K$1-2011,FALSE),0)</f>
        <v>41395</v>
      </c>
      <c r="L33">
        <f>IFERROR(VLOOKUP($A33,MBaseball!$C:$N,L$1-2010,FALSE),0)+IFERROR(VLOOKUP($A33,MBasketball!$C:$J,L$1-2006,FALSE),0)+IFERROR(VLOOKUP($A33,MFootball!$C:$O,L$1-2011,FALSE),0)+IFERROR(VLOOKUP($A33,MIceHockey!$C:$P,L$1-2011,FALSE),0)+IFERROR(VLOOKUP($A33,MLacrosse!$C:$O,L$1-2011,FALSE),0)+IFERROR(VLOOKUP($A33,MSoccer!$C:$O,L$1-2011,FALSE),0)+IFERROR(VLOOKUP($A33,MVolleyball!$C:$O,L$1-2011,FALSE),0)+IFERROR(VLOOKUP($A33,WBasketball!$C:$O,L$1-2011,FALSE),0)+IFERROR(VLOOKUP($A33,WFieldHockey!$C:$O,L$1-2011,FALSE),0)+IFERROR(VLOOKUP($A33,WIceHockey!$C:$O,L$1-2011,FALSE),0)+IFERROR(VLOOKUP($A33,WLacrosse!$C:$O,L$1-2011,FALSE),0)+IFERROR(VLOOKUP($A33,WSoccer!$C:$O,L$1-2011,FALSE),0)+IFERROR(VLOOKUP($A33,WSoftball!$C:$O,L$1-2011,FALSE),0)+IFERROR(VLOOKUP($A33,WVolleyball!$C:$O,L$1-2011,FALSE),0)</f>
        <v>8612</v>
      </c>
      <c r="M33">
        <f>IFERROR(VLOOKUP($A33,MBaseball!$C:$N,M$1-2010,FALSE),0)+IFERROR(VLOOKUP($A33,MBasketball!$C:$J,M$1-2006,FALSE),0)+IFERROR(VLOOKUP($A33,MFootball!$C:$O,M$1-2011,FALSE),0)+IFERROR(VLOOKUP($A33,MIceHockey!$C:$P,M$1-2011,FALSE),0)+IFERROR(VLOOKUP($A33,MLacrosse!$C:$O,M$1-2011,FALSE),0)+IFERROR(VLOOKUP($A33,MSoccer!$C:$O,M$1-2011,FALSE),0)+IFERROR(VLOOKUP($A33,MVolleyball!$C:$O,M$1-2011,FALSE),0)+IFERROR(VLOOKUP($A33,WBasketball!$C:$O,M$1-2011,FALSE),0)+IFERROR(VLOOKUP($A33,WFieldHockey!$C:$O,M$1-2011,FALSE),0)+IFERROR(VLOOKUP($A33,WIceHockey!$C:$O,M$1-2011,FALSE),0)+IFERROR(VLOOKUP($A33,WLacrosse!$C:$O,M$1-2011,FALSE),0)+IFERROR(VLOOKUP($A33,WSoccer!$C:$O,M$1-2011,FALSE),0)+IFERROR(VLOOKUP($A33,WSoftball!$C:$O,M$1-2011,FALSE),0)+IFERROR(VLOOKUP($A33,WVolleyball!$C:$O,M$1-2011,FALSE),0)</f>
        <v>35592</v>
      </c>
      <c r="N33">
        <f>IFERROR(VLOOKUP($A33,MBaseball!$C:$N,N$1-2010,FALSE),0)+IFERROR(VLOOKUP($A33,MBasketball!$C:$J,N$1-2006,FALSE),0)+IFERROR(VLOOKUP($A33,MFootball!$C:$O,N$1-2011,FALSE),0)+IFERROR(VLOOKUP($A33,MIceHockey!$C:$P,N$1-2011,FALSE),0)+IFERROR(VLOOKUP($A33,MLacrosse!$C:$O,N$1-2011,FALSE),0)+IFERROR(VLOOKUP($A33,MSoccer!$C:$O,N$1-2011,FALSE),0)+IFERROR(VLOOKUP($A33,MVolleyball!$C:$O,N$1-2011,FALSE),0)+IFERROR(VLOOKUP($A33,WBasketball!$C:$O,N$1-2011,FALSE),0)+IFERROR(VLOOKUP($A33,WFieldHockey!$C:$O,N$1-2011,FALSE),0)+IFERROR(VLOOKUP($A33,WIceHockey!$C:$O,N$1-2011,FALSE),0)+IFERROR(VLOOKUP($A33,WLacrosse!$C:$O,N$1-2011,FALSE),0)+IFERROR(VLOOKUP($A33,WSoccer!$C:$O,N$1-2011,FALSE),0)+IFERROR(VLOOKUP($A33,WSoftball!$C:$O,N$1-2011,FALSE),0)+IFERROR(VLOOKUP($A33,WVolleyball!$C:$O,N$1-2011,FALSE),0)</f>
        <v>43495</v>
      </c>
    </row>
    <row r="34" spans="1:14" x14ac:dyDescent="0.2">
      <c r="A34">
        <v>156620</v>
      </c>
      <c r="B34">
        <v>40080</v>
      </c>
      <c r="C34" t="s">
        <v>82</v>
      </c>
      <c r="D34">
        <v>33</v>
      </c>
      <c r="E34">
        <f>IFERROR(VLOOKUP($A34,MBaseball!$C:$N,E$1-2010,FALSE),0)+IFERROR(VLOOKUP($A34,MBasketball!$C:$J,E$1-2006,FALSE),0)+IFERROR(VLOOKUP($A34,MFootball!$C:$O,E$1-2011,FALSE),0)+IFERROR(VLOOKUP($A34,MIceHockey!$C:$P,E$1-2011,FALSE),0)+IFERROR(VLOOKUP($A34,MLacrosse!$C:$O,E$1-2011,FALSE),0)+IFERROR(VLOOKUP($A34,MSoccer!$C:$O,E$1-2011,FALSE),0)+IFERROR(VLOOKUP($A34,MVolleyball!$C:$O,E$1-2011,FALSE),0)+IFERROR(VLOOKUP($A34,WBasketball!$C:$O,E$1-2011,FALSE),0)+IFERROR(VLOOKUP($A34,WFieldHockey!$C:$O,E$1-2011,FALSE),0)+IFERROR(VLOOKUP($A34,WIceHockey!$C:$O,E$1-2011,FALSE),0)+IFERROR(VLOOKUP($A34,WLacrosse!$C:$O,E$1-2011,FALSE),0)+IFERROR(VLOOKUP($A34,WSoccer!$C:$O,E$1-2011,FALSE),0)+IFERROR(VLOOKUP($A34,WSoftball!$C:$O,E$1-2011,FALSE),0)+IFERROR(VLOOKUP($A34,WVolleyball!$C:$O,E$1-2011,FALSE),0)</f>
        <v>45904</v>
      </c>
      <c r="F34">
        <f>IFERROR(VLOOKUP($A34,MBaseball!$C:$N,F$1-2010,FALSE),0)+IFERROR(VLOOKUP($A34,MBasketball!$C:$J,F$1-2006,FALSE),0)+IFERROR(VLOOKUP($A34,MFootball!$C:$O,F$1-2011,FALSE),0)+IFERROR(VLOOKUP($A34,MIceHockey!$C:$P,F$1-2011,FALSE),0)+IFERROR(VLOOKUP($A34,MLacrosse!$C:$O,F$1-2011,FALSE),0)+IFERROR(VLOOKUP($A34,MSoccer!$C:$O,F$1-2011,FALSE),0)+IFERROR(VLOOKUP($A34,MVolleyball!$C:$O,F$1-2011,FALSE),0)+IFERROR(VLOOKUP($A34,WBasketball!$C:$O,F$1-2011,FALSE),0)+IFERROR(VLOOKUP($A34,WFieldHockey!$C:$O,F$1-2011,FALSE),0)+IFERROR(VLOOKUP($A34,WIceHockey!$C:$O,F$1-2011,FALSE),0)+IFERROR(VLOOKUP($A34,WLacrosse!$C:$O,F$1-2011,FALSE),0)+IFERROR(VLOOKUP($A34,WSoccer!$C:$O,F$1-2011,FALSE),0)+IFERROR(VLOOKUP($A34,WSoftball!$C:$O,F$1-2011,FALSE),0)+IFERROR(VLOOKUP($A34,WVolleyball!$C:$O,F$1-2011,FALSE),0)</f>
        <v>57191</v>
      </c>
      <c r="G34">
        <f>IFERROR(VLOOKUP($A34,MBaseball!$C:$N,G$1-2010,FALSE),0)+IFERROR(VLOOKUP($A34,MBasketball!$C:$J,G$1-2006,FALSE),0)+IFERROR(VLOOKUP($A34,MFootball!$C:$O,G$1-2011,FALSE),0)+IFERROR(VLOOKUP($A34,MIceHockey!$C:$P,G$1-2011,FALSE),0)+IFERROR(VLOOKUP($A34,MLacrosse!$C:$O,G$1-2011,FALSE),0)+IFERROR(VLOOKUP($A34,MSoccer!$C:$O,G$1-2011,FALSE),0)+IFERROR(VLOOKUP($A34,MVolleyball!$C:$O,G$1-2011,FALSE),0)+IFERROR(VLOOKUP($A34,WBasketball!$C:$O,G$1-2011,FALSE),0)+IFERROR(VLOOKUP($A34,WFieldHockey!$C:$O,G$1-2011,FALSE),0)+IFERROR(VLOOKUP($A34,WIceHockey!$C:$O,G$1-2011,FALSE),0)+IFERROR(VLOOKUP($A34,WLacrosse!$C:$O,G$1-2011,FALSE),0)+IFERROR(VLOOKUP($A34,WSoccer!$C:$O,G$1-2011,FALSE),0)+IFERROR(VLOOKUP($A34,WSoftball!$C:$O,G$1-2011,FALSE),0)+IFERROR(VLOOKUP($A34,WVolleyball!$C:$O,G$1-2011,FALSE),0)</f>
        <v>59635</v>
      </c>
      <c r="H34">
        <f>IFERROR(VLOOKUP($A34,MBaseball!$C:$N,H$1-2010,FALSE),0)+IFERROR(VLOOKUP($A34,MBasketball!$C:$J,H$1-2006,FALSE),0)+IFERROR(VLOOKUP($A34,MFootball!$C:$O,H$1-2011,FALSE),0)+IFERROR(VLOOKUP($A34,MIceHockey!$C:$P,H$1-2011,FALSE),0)+IFERROR(VLOOKUP($A34,MLacrosse!$C:$O,H$1-2011,FALSE),0)+IFERROR(VLOOKUP($A34,MSoccer!$C:$O,H$1-2011,FALSE),0)+IFERROR(VLOOKUP($A34,MVolleyball!$C:$O,H$1-2011,FALSE),0)+IFERROR(VLOOKUP($A34,WBasketball!$C:$O,H$1-2011,FALSE),0)+IFERROR(VLOOKUP($A34,WFieldHockey!$C:$O,H$1-2011,FALSE),0)+IFERROR(VLOOKUP($A34,WIceHockey!$C:$O,H$1-2011,FALSE),0)+IFERROR(VLOOKUP($A34,WLacrosse!$C:$O,H$1-2011,FALSE),0)+IFERROR(VLOOKUP($A34,WSoccer!$C:$O,H$1-2011,FALSE),0)+IFERROR(VLOOKUP($A34,WSoftball!$C:$O,H$1-2011,FALSE),0)+IFERROR(VLOOKUP($A34,WVolleyball!$C:$O,H$1-2011,FALSE),0)</f>
        <v>57384</v>
      </c>
      <c r="I34">
        <f>IFERROR(VLOOKUP($A34,MBaseball!$C:$N,I$1-2010,FALSE),0)+IFERROR(VLOOKUP($A34,MBasketball!$C:$J,I$1-2006,FALSE),0)+IFERROR(VLOOKUP($A34,MFootball!$C:$O,I$1-2011,FALSE),0)+IFERROR(VLOOKUP($A34,MIceHockey!$C:$P,I$1-2011,FALSE),0)+IFERROR(VLOOKUP($A34,MLacrosse!$C:$O,I$1-2011,FALSE),0)+IFERROR(VLOOKUP($A34,MSoccer!$C:$O,I$1-2011,FALSE),0)+IFERROR(VLOOKUP($A34,MVolleyball!$C:$O,I$1-2011,FALSE),0)+IFERROR(VLOOKUP($A34,WBasketball!$C:$O,I$1-2011,FALSE),0)+IFERROR(VLOOKUP($A34,WFieldHockey!$C:$O,I$1-2011,FALSE),0)+IFERROR(VLOOKUP($A34,WIceHockey!$C:$O,I$1-2011,FALSE),0)+IFERROR(VLOOKUP($A34,WLacrosse!$C:$O,I$1-2011,FALSE),0)+IFERROR(VLOOKUP($A34,WSoccer!$C:$O,I$1-2011,FALSE),0)+IFERROR(VLOOKUP($A34,WSoftball!$C:$O,I$1-2011,FALSE),0)+IFERROR(VLOOKUP($A34,WVolleyball!$C:$O,I$1-2011,FALSE),0)</f>
        <v>56127</v>
      </c>
      <c r="J34">
        <f>IFERROR(VLOOKUP($A34,MBaseball!$C:$N,J$1-2010,FALSE),0)+IFERROR(VLOOKUP($A34,MBasketball!$C:$J,J$1-2006,FALSE),0)+IFERROR(VLOOKUP($A34,MFootball!$C:$O,J$1-2011,FALSE),0)+IFERROR(VLOOKUP($A34,MIceHockey!$C:$P,J$1-2011,FALSE),0)+IFERROR(VLOOKUP($A34,MLacrosse!$C:$O,J$1-2011,FALSE),0)+IFERROR(VLOOKUP($A34,MSoccer!$C:$O,J$1-2011,FALSE),0)+IFERROR(VLOOKUP($A34,MVolleyball!$C:$O,J$1-2011,FALSE),0)+IFERROR(VLOOKUP($A34,WBasketball!$C:$O,J$1-2011,FALSE),0)+IFERROR(VLOOKUP($A34,WFieldHockey!$C:$O,J$1-2011,FALSE),0)+IFERROR(VLOOKUP($A34,WIceHockey!$C:$O,J$1-2011,FALSE),0)+IFERROR(VLOOKUP($A34,WLacrosse!$C:$O,J$1-2011,FALSE),0)+IFERROR(VLOOKUP($A34,WSoccer!$C:$O,J$1-2011,FALSE),0)+IFERROR(VLOOKUP($A34,WSoftball!$C:$O,J$1-2011,FALSE),0)+IFERROR(VLOOKUP($A34,WVolleyball!$C:$O,J$1-2011,FALSE),0)</f>
        <v>55850</v>
      </c>
      <c r="K34">
        <f>IFERROR(VLOOKUP($A34,MBaseball!$C:$N,K$1-2010,FALSE),0)+IFERROR(VLOOKUP($A34,MBasketball!$C:$J,K$1-2006,FALSE),0)+IFERROR(VLOOKUP($A34,MFootball!$C:$O,K$1-2011,FALSE),0)+IFERROR(VLOOKUP($A34,MIceHockey!$C:$P,K$1-2011,FALSE),0)+IFERROR(VLOOKUP($A34,MLacrosse!$C:$O,K$1-2011,FALSE),0)+IFERROR(VLOOKUP($A34,MSoccer!$C:$O,K$1-2011,FALSE),0)+IFERROR(VLOOKUP($A34,MVolleyball!$C:$O,K$1-2011,FALSE),0)+IFERROR(VLOOKUP($A34,WBasketball!$C:$O,K$1-2011,FALSE),0)+IFERROR(VLOOKUP($A34,WFieldHockey!$C:$O,K$1-2011,FALSE),0)+IFERROR(VLOOKUP($A34,WIceHockey!$C:$O,K$1-2011,FALSE),0)+IFERROR(VLOOKUP($A34,WLacrosse!$C:$O,K$1-2011,FALSE),0)+IFERROR(VLOOKUP($A34,WSoccer!$C:$O,K$1-2011,FALSE),0)+IFERROR(VLOOKUP($A34,WSoftball!$C:$O,K$1-2011,FALSE),0)+IFERROR(VLOOKUP($A34,WVolleyball!$C:$O,K$1-2011,FALSE),0)</f>
        <v>60748</v>
      </c>
      <c r="L34">
        <f>IFERROR(VLOOKUP($A34,MBaseball!$C:$N,L$1-2010,FALSE),0)+IFERROR(VLOOKUP($A34,MBasketball!$C:$J,L$1-2006,FALSE),0)+IFERROR(VLOOKUP($A34,MFootball!$C:$O,L$1-2011,FALSE),0)+IFERROR(VLOOKUP($A34,MIceHockey!$C:$P,L$1-2011,FALSE),0)+IFERROR(VLOOKUP($A34,MLacrosse!$C:$O,L$1-2011,FALSE),0)+IFERROR(VLOOKUP($A34,MSoccer!$C:$O,L$1-2011,FALSE),0)+IFERROR(VLOOKUP($A34,MVolleyball!$C:$O,L$1-2011,FALSE),0)+IFERROR(VLOOKUP($A34,WBasketball!$C:$O,L$1-2011,FALSE),0)+IFERROR(VLOOKUP($A34,WFieldHockey!$C:$O,L$1-2011,FALSE),0)+IFERROR(VLOOKUP($A34,WIceHockey!$C:$O,L$1-2011,FALSE),0)+IFERROR(VLOOKUP($A34,WLacrosse!$C:$O,L$1-2011,FALSE),0)+IFERROR(VLOOKUP($A34,WSoccer!$C:$O,L$1-2011,FALSE),0)+IFERROR(VLOOKUP($A34,WSoftball!$C:$O,L$1-2011,FALSE),0)+IFERROR(VLOOKUP($A34,WVolleyball!$C:$O,L$1-2011,FALSE),0)</f>
        <v>25543</v>
      </c>
      <c r="M34">
        <f>IFERROR(VLOOKUP($A34,MBaseball!$C:$N,M$1-2010,FALSE),0)+IFERROR(VLOOKUP($A34,MBasketball!$C:$J,M$1-2006,FALSE),0)+IFERROR(VLOOKUP($A34,MFootball!$C:$O,M$1-2011,FALSE),0)+IFERROR(VLOOKUP($A34,MIceHockey!$C:$P,M$1-2011,FALSE),0)+IFERROR(VLOOKUP($A34,MLacrosse!$C:$O,M$1-2011,FALSE),0)+IFERROR(VLOOKUP($A34,MSoccer!$C:$O,M$1-2011,FALSE),0)+IFERROR(VLOOKUP($A34,MVolleyball!$C:$O,M$1-2011,FALSE),0)+IFERROR(VLOOKUP($A34,WBasketball!$C:$O,M$1-2011,FALSE),0)+IFERROR(VLOOKUP($A34,WFieldHockey!$C:$O,M$1-2011,FALSE),0)+IFERROR(VLOOKUP($A34,WIceHockey!$C:$O,M$1-2011,FALSE),0)+IFERROR(VLOOKUP($A34,WLacrosse!$C:$O,M$1-2011,FALSE),0)+IFERROR(VLOOKUP($A34,WSoccer!$C:$O,M$1-2011,FALSE),0)+IFERROR(VLOOKUP($A34,WSoftball!$C:$O,M$1-2011,FALSE),0)+IFERROR(VLOOKUP($A34,WVolleyball!$C:$O,M$1-2011,FALSE),0)</f>
        <v>90770</v>
      </c>
      <c r="N34">
        <f>IFERROR(VLOOKUP($A34,MBaseball!$C:$N,N$1-2010,FALSE),0)+IFERROR(VLOOKUP($A34,MBasketball!$C:$J,N$1-2006,FALSE),0)+IFERROR(VLOOKUP($A34,MFootball!$C:$O,N$1-2011,FALSE),0)+IFERROR(VLOOKUP($A34,MIceHockey!$C:$P,N$1-2011,FALSE),0)+IFERROR(VLOOKUP($A34,MLacrosse!$C:$O,N$1-2011,FALSE),0)+IFERROR(VLOOKUP($A34,MSoccer!$C:$O,N$1-2011,FALSE),0)+IFERROR(VLOOKUP($A34,MVolleyball!$C:$O,N$1-2011,FALSE),0)+IFERROR(VLOOKUP($A34,WBasketball!$C:$O,N$1-2011,FALSE),0)+IFERROR(VLOOKUP($A34,WFieldHockey!$C:$O,N$1-2011,FALSE),0)+IFERROR(VLOOKUP($A34,WIceHockey!$C:$O,N$1-2011,FALSE),0)+IFERROR(VLOOKUP($A34,WLacrosse!$C:$O,N$1-2011,FALSE),0)+IFERROR(VLOOKUP($A34,WSoccer!$C:$O,N$1-2011,FALSE),0)+IFERROR(VLOOKUP($A34,WSoftball!$C:$O,N$1-2011,FALSE),0)+IFERROR(VLOOKUP($A34,WVolleyball!$C:$O,N$1-2011,FALSE),0)</f>
        <v>97797</v>
      </c>
    </row>
    <row r="35" spans="1:14" x14ac:dyDescent="0.2">
      <c r="A35">
        <v>169798</v>
      </c>
      <c r="B35">
        <v>11460</v>
      </c>
      <c r="C35" t="s">
        <v>83</v>
      </c>
      <c r="D35">
        <v>34</v>
      </c>
      <c r="E35">
        <f>IFERROR(VLOOKUP($A35,MBaseball!$C:$N,E$1-2010,FALSE),0)+IFERROR(VLOOKUP($A35,MBasketball!$C:$J,E$1-2006,FALSE),0)+IFERROR(VLOOKUP($A35,MFootball!$C:$O,E$1-2011,FALSE),0)+IFERROR(VLOOKUP($A35,MIceHockey!$C:$P,E$1-2011,FALSE),0)+IFERROR(VLOOKUP($A35,MLacrosse!$C:$O,E$1-2011,FALSE),0)+IFERROR(VLOOKUP($A35,MSoccer!$C:$O,E$1-2011,FALSE),0)+IFERROR(VLOOKUP($A35,MVolleyball!$C:$O,E$1-2011,FALSE),0)+IFERROR(VLOOKUP($A35,WBasketball!$C:$O,E$1-2011,FALSE),0)+IFERROR(VLOOKUP($A35,WFieldHockey!$C:$O,E$1-2011,FALSE),0)+IFERROR(VLOOKUP($A35,WIceHockey!$C:$O,E$1-2011,FALSE),0)+IFERROR(VLOOKUP($A35,WLacrosse!$C:$O,E$1-2011,FALSE),0)+IFERROR(VLOOKUP($A35,WSoccer!$C:$O,E$1-2011,FALSE),0)+IFERROR(VLOOKUP($A35,WSoftball!$C:$O,E$1-2011,FALSE),0)+IFERROR(VLOOKUP($A35,WVolleyball!$C:$O,E$1-2011,FALSE),0)</f>
        <v>48635</v>
      </c>
      <c r="F35">
        <f>IFERROR(VLOOKUP($A35,MBaseball!$C:$N,F$1-2010,FALSE),0)+IFERROR(VLOOKUP($A35,MBasketball!$C:$J,F$1-2006,FALSE),0)+IFERROR(VLOOKUP($A35,MFootball!$C:$O,F$1-2011,FALSE),0)+IFERROR(VLOOKUP($A35,MIceHockey!$C:$P,F$1-2011,FALSE),0)+IFERROR(VLOOKUP($A35,MLacrosse!$C:$O,F$1-2011,FALSE),0)+IFERROR(VLOOKUP($A35,MSoccer!$C:$O,F$1-2011,FALSE),0)+IFERROR(VLOOKUP($A35,MVolleyball!$C:$O,F$1-2011,FALSE),0)+IFERROR(VLOOKUP($A35,WBasketball!$C:$O,F$1-2011,FALSE),0)+IFERROR(VLOOKUP($A35,WFieldHockey!$C:$O,F$1-2011,FALSE),0)+IFERROR(VLOOKUP($A35,WIceHockey!$C:$O,F$1-2011,FALSE),0)+IFERROR(VLOOKUP($A35,WLacrosse!$C:$O,F$1-2011,FALSE),0)+IFERROR(VLOOKUP($A35,WSoccer!$C:$O,F$1-2011,FALSE),0)+IFERROR(VLOOKUP($A35,WSoftball!$C:$O,F$1-2011,FALSE),0)+IFERROR(VLOOKUP($A35,WVolleyball!$C:$O,F$1-2011,FALSE),0)</f>
        <v>91431</v>
      </c>
      <c r="G35">
        <f>IFERROR(VLOOKUP($A35,MBaseball!$C:$N,G$1-2010,FALSE),0)+IFERROR(VLOOKUP($A35,MBasketball!$C:$J,G$1-2006,FALSE),0)+IFERROR(VLOOKUP($A35,MFootball!$C:$O,G$1-2011,FALSE),0)+IFERROR(VLOOKUP($A35,MIceHockey!$C:$P,G$1-2011,FALSE),0)+IFERROR(VLOOKUP($A35,MLacrosse!$C:$O,G$1-2011,FALSE),0)+IFERROR(VLOOKUP($A35,MSoccer!$C:$O,G$1-2011,FALSE),0)+IFERROR(VLOOKUP($A35,MVolleyball!$C:$O,G$1-2011,FALSE),0)+IFERROR(VLOOKUP($A35,WBasketball!$C:$O,G$1-2011,FALSE),0)+IFERROR(VLOOKUP($A35,WFieldHockey!$C:$O,G$1-2011,FALSE),0)+IFERROR(VLOOKUP($A35,WIceHockey!$C:$O,G$1-2011,FALSE),0)+IFERROR(VLOOKUP($A35,WLacrosse!$C:$O,G$1-2011,FALSE),0)+IFERROR(VLOOKUP($A35,WSoccer!$C:$O,G$1-2011,FALSE),0)+IFERROR(VLOOKUP($A35,WSoftball!$C:$O,G$1-2011,FALSE),0)+IFERROR(VLOOKUP($A35,WVolleyball!$C:$O,G$1-2011,FALSE),0)</f>
        <v>56719</v>
      </c>
      <c r="H35">
        <f>IFERROR(VLOOKUP($A35,MBaseball!$C:$N,H$1-2010,FALSE),0)+IFERROR(VLOOKUP($A35,MBasketball!$C:$J,H$1-2006,FALSE),0)+IFERROR(VLOOKUP($A35,MFootball!$C:$O,H$1-2011,FALSE),0)+IFERROR(VLOOKUP($A35,MIceHockey!$C:$P,H$1-2011,FALSE),0)+IFERROR(VLOOKUP($A35,MLacrosse!$C:$O,H$1-2011,FALSE),0)+IFERROR(VLOOKUP($A35,MSoccer!$C:$O,H$1-2011,FALSE),0)+IFERROR(VLOOKUP($A35,MVolleyball!$C:$O,H$1-2011,FALSE),0)+IFERROR(VLOOKUP($A35,WBasketball!$C:$O,H$1-2011,FALSE),0)+IFERROR(VLOOKUP($A35,WFieldHockey!$C:$O,H$1-2011,FALSE),0)+IFERROR(VLOOKUP($A35,WIceHockey!$C:$O,H$1-2011,FALSE),0)+IFERROR(VLOOKUP($A35,WLacrosse!$C:$O,H$1-2011,FALSE),0)+IFERROR(VLOOKUP($A35,WSoccer!$C:$O,H$1-2011,FALSE),0)+IFERROR(VLOOKUP($A35,WSoftball!$C:$O,H$1-2011,FALSE),0)+IFERROR(VLOOKUP($A35,WVolleyball!$C:$O,H$1-2011,FALSE),0)</f>
        <v>133233</v>
      </c>
      <c r="I35">
        <f>IFERROR(VLOOKUP($A35,MBaseball!$C:$N,I$1-2010,FALSE),0)+IFERROR(VLOOKUP($A35,MBasketball!$C:$J,I$1-2006,FALSE),0)+IFERROR(VLOOKUP($A35,MFootball!$C:$O,I$1-2011,FALSE),0)+IFERROR(VLOOKUP($A35,MIceHockey!$C:$P,I$1-2011,FALSE),0)+IFERROR(VLOOKUP($A35,MLacrosse!$C:$O,I$1-2011,FALSE),0)+IFERROR(VLOOKUP($A35,MSoccer!$C:$O,I$1-2011,FALSE),0)+IFERROR(VLOOKUP($A35,MVolleyball!$C:$O,I$1-2011,FALSE),0)+IFERROR(VLOOKUP($A35,WBasketball!$C:$O,I$1-2011,FALSE),0)+IFERROR(VLOOKUP($A35,WFieldHockey!$C:$O,I$1-2011,FALSE),0)+IFERROR(VLOOKUP($A35,WIceHockey!$C:$O,I$1-2011,FALSE),0)+IFERROR(VLOOKUP($A35,WLacrosse!$C:$O,I$1-2011,FALSE),0)+IFERROR(VLOOKUP($A35,WSoccer!$C:$O,I$1-2011,FALSE),0)+IFERROR(VLOOKUP($A35,WSoftball!$C:$O,I$1-2011,FALSE),0)+IFERROR(VLOOKUP($A35,WVolleyball!$C:$O,I$1-2011,FALSE),0)</f>
        <v>103315</v>
      </c>
      <c r="J35">
        <f>IFERROR(VLOOKUP($A35,MBaseball!$C:$N,J$1-2010,FALSE),0)+IFERROR(VLOOKUP($A35,MBasketball!$C:$J,J$1-2006,FALSE),0)+IFERROR(VLOOKUP($A35,MFootball!$C:$O,J$1-2011,FALSE),0)+IFERROR(VLOOKUP($A35,MIceHockey!$C:$P,J$1-2011,FALSE),0)+IFERROR(VLOOKUP($A35,MLacrosse!$C:$O,J$1-2011,FALSE),0)+IFERROR(VLOOKUP($A35,MSoccer!$C:$O,J$1-2011,FALSE),0)+IFERROR(VLOOKUP($A35,MVolleyball!$C:$O,J$1-2011,FALSE),0)+IFERROR(VLOOKUP($A35,WBasketball!$C:$O,J$1-2011,FALSE),0)+IFERROR(VLOOKUP($A35,WFieldHockey!$C:$O,J$1-2011,FALSE),0)+IFERROR(VLOOKUP($A35,WIceHockey!$C:$O,J$1-2011,FALSE),0)+IFERROR(VLOOKUP($A35,WLacrosse!$C:$O,J$1-2011,FALSE),0)+IFERROR(VLOOKUP($A35,WSoccer!$C:$O,J$1-2011,FALSE),0)+IFERROR(VLOOKUP($A35,WSoftball!$C:$O,J$1-2011,FALSE),0)+IFERROR(VLOOKUP($A35,WVolleyball!$C:$O,J$1-2011,FALSE),0)</f>
        <v>126514</v>
      </c>
      <c r="K35">
        <f>IFERROR(VLOOKUP($A35,MBaseball!$C:$N,K$1-2010,FALSE),0)+IFERROR(VLOOKUP($A35,MBasketball!$C:$J,K$1-2006,FALSE),0)+IFERROR(VLOOKUP($A35,MFootball!$C:$O,K$1-2011,FALSE),0)+IFERROR(VLOOKUP($A35,MIceHockey!$C:$P,K$1-2011,FALSE),0)+IFERROR(VLOOKUP($A35,MLacrosse!$C:$O,K$1-2011,FALSE),0)+IFERROR(VLOOKUP($A35,MSoccer!$C:$O,K$1-2011,FALSE),0)+IFERROR(VLOOKUP($A35,MVolleyball!$C:$O,K$1-2011,FALSE),0)+IFERROR(VLOOKUP($A35,WBasketball!$C:$O,K$1-2011,FALSE),0)+IFERROR(VLOOKUP($A35,WFieldHockey!$C:$O,K$1-2011,FALSE),0)+IFERROR(VLOOKUP($A35,WIceHockey!$C:$O,K$1-2011,FALSE),0)+IFERROR(VLOOKUP($A35,WLacrosse!$C:$O,K$1-2011,FALSE),0)+IFERROR(VLOOKUP($A35,WSoccer!$C:$O,K$1-2011,FALSE),0)+IFERROR(VLOOKUP($A35,WSoftball!$C:$O,K$1-2011,FALSE),0)+IFERROR(VLOOKUP($A35,WVolleyball!$C:$O,K$1-2011,FALSE),0)</f>
        <v>114420</v>
      </c>
      <c r="L35">
        <f>IFERROR(VLOOKUP($A35,MBaseball!$C:$N,L$1-2010,FALSE),0)+IFERROR(VLOOKUP($A35,MBasketball!$C:$J,L$1-2006,FALSE),0)+IFERROR(VLOOKUP($A35,MFootball!$C:$O,L$1-2011,FALSE),0)+IFERROR(VLOOKUP($A35,MIceHockey!$C:$P,L$1-2011,FALSE),0)+IFERROR(VLOOKUP($A35,MLacrosse!$C:$O,L$1-2011,FALSE),0)+IFERROR(VLOOKUP($A35,MSoccer!$C:$O,L$1-2011,FALSE),0)+IFERROR(VLOOKUP($A35,MVolleyball!$C:$O,L$1-2011,FALSE),0)+IFERROR(VLOOKUP($A35,WBasketball!$C:$O,L$1-2011,FALSE),0)+IFERROR(VLOOKUP($A35,WFieldHockey!$C:$O,L$1-2011,FALSE),0)+IFERROR(VLOOKUP($A35,WIceHockey!$C:$O,L$1-2011,FALSE),0)+IFERROR(VLOOKUP($A35,WLacrosse!$C:$O,L$1-2011,FALSE),0)+IFERROR(VLOOKUP($A35,WSoccer!$C:$O,L$1-2011,FALSE),0)+IFERROR(VLOOKUP($A35,WSoftball!$C:$O,L$1-2011,FALSE),0)+IFERROR(VLOOKUP($A35,WVolleyball!$C:$O,L$1-2011,FALSE),0)</f>
        <v>7079</v>
      </c>
      <c r="M35">
        <f>IFERROR(VLOOKUP($A35,MBaseball!$C:$N,M$1-2010,FALSE),0)+IFERROR(VLOOKUP($A35,MBasketball!$C:$J,M$1-2006,FALSE),0)+IFERROR(VLOOKUP($A35,MFootball!$C:$O,M$1-2011,FALSE),0)+IFERROR(VLOOKUP($A35,MIceHockey!$C:$P,M$1-2011,FALSE),0)+IFERROR(VLOOKUP($A35,MLacrosse!$C:$O,M$1-2011,FALSE),0)+IFERROR(VLOOKUP($A35,MSoccer!$C:$O,M$1-2011,FALSE),0)+IFERROR(VLOOKUP($A35,MVolleyball!$C:$O,M$1-2011,FALSE),0)+IFERROR(VLOOKUP($A35,WBasketball!$C:$O,M$1-2011,FALSE),0)+IFERROR(VLOOKUP($A35,WFieldHockey!$C:$O,M$1-2011,FALSE),0)+IFERROR(VLOOKUP($A35,WIceHockey!$C:$O,M$1-2011,FALSE),0)+IFERROR(VLOOKUP($A35,WLacrosse!$C:$O,M$1-2011,FALSE),0)+IFERROR(VLOOKUP($A35,WSoccer!$C:$O,M$1-2011,FALSE),0)+IFERROR(VLOOKUP($A35,WSoftball!$C:$O,M$1-2011,FALSE),0)+IFERROR(VLOOKUP($A35,WVolleyball!$C:$O,M$1-2011,FALSE),0)</f>
        <v>118410</v>
      </c>
      <c r="N35">
        <f>IFERROR(VLOOKUP($A35,MBaseball!$C:$N,N$1-2010,FALSE),0)+IFERROR(VLOOKUP($A35,MBasketball!$C:$J,N$1-2006,FALSE),0)+IFERROR(VLOOKUP($A35,MFootball!$C:$O,N$1-2011,FALSE),0)+IFERROR(VLOOKUP($A35,MIceHockey!$C:$P,N$1-2011,FALSE),0)+IFERROR(VLOOKUP($A35,MLacrosse!$C:$O,N$1-2011,FALSE),0)+IFERROR(VLOOKUP($A35,MSoccer!$C:$O,N$1-2011,FALSE),0)+IFERROR(VLOOKUP($A35,MVolleyball!$C:$O,N$1-2011,FALSE),0)+IFERROR(VLOOKUP($A35,WBasketball!$C:$O,N$1-2011,FALSE),0)+IFERROR(VLOOKUP($A35,WFieldHockey!$C:$O,N$1-2011,FALSE),0)+IFERROR(VLOOKUP($A35,WIceHockey!$C:$O,N$1-2011,FALSE),0)+IFERROR(VLOOKUP($A35,WLacrosse!$C:$O,N$1-2011,FALSE),0)+IFERROR(VLOOKUP($A35,WSoccer!$C:$O,N$1-2011,FALSE),0)+IFERROR(VLOOKUP($A35,WSoftball!$C:$O,N$1-2011,FALSE),0)+IFERROR(VLOOKUP($A35,WVolleyball!$C:$O,N$1-2011,FALSE),0)</f>
        <v>125147</v>
      </c>
    </row>
    <row r="36" spans="1:14" x14ac:dyDescent="0.2">
      <c r="A36">
        <v>235097</v>
      </c>
      <c r="B36">
        <v>44060</v>
      </c>
      <c r="C36" t="s">
        <v>84</v>
      </c>
      <c r="D36">
        <v>35</v>
      </c>
      <c r="E36">
        <f>IFERROR(VLOOKUP($A36,MBaseball!$C:$N,E$1-2010,FALSE),0)+IFERROR(VLOOKUP($A36,MBasketball!$C:$J,E$1-2006,FALSE),0)+IFERROR(VLOOKUP($A36,MFootball!$C:$O,E$1-2011,FALSE),0)+IFERROR(VLOOKUP($A36,MIceHockey!$C:$P,E$1-2011,FALSE),0)+IFERROR(VLOOKUP($A36,MLacrosse!$C:$O,E$1-2011,FALSE),0)+IFERROR(VLOOKUP($A36,MSoccer!$C:$O,E$1-2011,FALSE),0)+IFERROR(VLOOKUP($A36,MVolleyball!$C:$O,E$1-2011,FALSE),0)+IFERROR(VLOOKUP($A36,WBasketball!$C:$O,E$1-2011,FALSE),0)+IFERROR(VLOOKUP($A36,WFieldHockey!$C:$O,E$1-2011,FALSE),0)+IFERROR(VLOOKUP($A36,WIceHockey!$C:$O,E$1-2011,FALSE),0)+IFERROR(VLOOKUP($A36,WLacrosse!$C:$O,E$1-2011,FALSE),0)+IFERROR(VLOOKUP($A36,WSoccer!$C:$O,E$1-2011,FALSE),0)+IFERROR(VLOOKUP($A36,WSoftball!$C:$O,E$1-2011,FALSE),0)+IFERROR(VLOOKUP($A36,WVolleyball!$C:$O,E$1-2011,FALSE),0)</f>
        <v>32442</v>
      </c>
      <c r="F36">
        <f>IFERROR(VLOOKUP($A36,MBaseball!$C:$N,F$1-2010,FALSE),0)+IFERROR(VLOOKUP($A36,MBasketball!$C:$J,F$1-2006,FALSE),0)+IFERROR(VLOOKUP($A36,MFootball!$C:$O,F$1-2011,FALSE),0)+IFERROR(VLOOKUP($A36,MIceHockey!$C:$P,F$1-2011,FALSE),0)+IFERROR(VLOOKUP($A36,MLacrosse!$C:$O,F$1-2011,FALSE),0)+IFERROR(VLOOKUP($A36,MSoccer!$C:$O,F$1-2011,FALSE),0)+IFERROR(VLOOKUP($A36,MVolleyball!$C:$O,F$1-2011,FALSE),0)+IFERROR(VLOOKUP($A36,WBasketball!$C:$O,F$1-2011,FALSE),0)+IFERROR(VLOOKUP($A36,WFieldHockey!$C:$O,F$1-2011,FALSE),0)+IFERROR(VLOOKUP($A36,WIceHockey!$C:$O,F$1-2011,FALSE),0)+IFERROR(VLOOKUP($A36,WLacrosse!$C:$O,F$1-2011,FALSE),0)+IFERROR(VLOOKUP($A36,WSoccer!$C:$O,F$1-2011,FALSE),0)+IFERROR(VLOOKUP($A36,WSoftball!$C:$O,F$1-2011,FALSE),0)+IFERROR(VLOOKUP($A36,WVolleyball!$C:$O,F$1-2011,FALSE),0)</f>
        <v>91844</v>
      </c>
      <c r="G36">
        <f>IFERROR(VLOOKUP($A36,MBaseball!$C:$N,G$1-2010,FALSE),0)+IFERROR(VLOOKUP($A36,MBasketball!$C:$J,G$1-2006,FALSE),0)+IFERROR(VLOOKUP($A36,MFootball!$C:$O,G$1-2011,FALSE),0)+IFERROR(VLOOKUP($A36,MIceHockey!$C:$P,G$1-2011,FALSE),0)+IFERROR(VLOOKUP($A36,MLacrosse!$C:$O,G$1-2011,FALSE),0)+IFERROR(VLOOKUP($A36,MSoccer!$C:$O,G$1-2011,FALSE),0)+IFERROR(VLOOKUP($A36,MVolleyball!$C:$O,G$1-2011,FALSE),0)+IFERROR(VLOOKUP($A36,WBasketball!$C:$O,G$1-2011,FALSE),0)+IFERROR(VLOOKUP($A36,WFieldHockey!$C:$O,G$1-2011,FALSE),0)+IFERROR(VLOOKUP($A36,WIceHockey!$C:$O,G$1-2011,FALSE),0)+IFERROR(VLOOKUP($A36,WLacrosse!$C:$O,G$1-2011,FALSE),0)+IFERROR(VLOOKUP($A36,WSoccer!$C:$O,G$1-2011,FALSE),0)+IFERROR(VLOOKUP($A36,WSoftball!$C:$O,G$1-2011,FALSE),0)+IFERROR(VLOOKUP($A36,WVolleyball!$C:$O,G$1-2011,FALSE),0)</f>
        <v>59123</v>
      </c>
      <c r="H36">
        <f>IFERROR(VLOOKUP($A36,MBaseball!$C:$N,H$1-2010,FALSE),0)+IFERROR(VLOOKUP($A36,MBasketball!$C:$J,H$1-2006,FALSE),0)+IFERROR(VLOOKUP($A36,MFootball!$C:$O,H$1-2011,FALSE),0)+IFERROR(VLOOKUP($A36,MIceHockey!$C:$P,H$1-2011,FALSE),0)+IFERROR(VLOOKUP($A36,MLacrosse!$C:$O,H$1-2011,FALSE),0)+IFERROR(VLOOKUP($A36,MSoccer!$C:$O,H$1-2011,FALSE),0)+IFERROR(VLOOKUP($A36,MVolleyball!$C:$O,H$1-2011,FALSE),0)+IFERROR(VLOOKUP($A36,WBasketball!$C:$O,H$1-2011,FALSE),0)+IFERROR(VLOOKUP($A36,WFieldHockey!$C:$O,H$1-2011,FALSE),0)+IFERROR(VLOOKUP($A36,WIceHockey!$C:$O,H$1-2011,FALSE),0)+IFERROR(VLOOKUP($A36,WLacrosse!$C:$O,H$1-2011,FALSE),0)+IFERROR(VLOOKUP($A36,WSoccer!$C:$O,H$1-2011,FALSE),0)+IFERROR(VLOOKUP($A36,WSoftball!$C:$O,H$1-2011,FALSE),0)+IFERROR(VLOOKUP($A36,WVolleyball!$C:$O,H$1-2011,FALSE),0)</f>
        <v>83412</v>
      </c>
      <c r="I36">
        <f>IFERROR(VLOOKUP($A36,MBaseball!$C:$N,I$1-2010,FALSE),0)+IFERROR(VLOOKUP($A36,MBasketball!$C:$J,I$1-2006,FALSE),0)+IFERROR(VLOOKUP($A36,MFootball!$C:$O,I$1-2011,FALSE),0)+IFERROR(VLOOKUP($A36,MIceHockey!$C:$P,I$1-2011,FALSE),0)+IFERROR(VLOOKUP($A36,MLacrosse!$C:$O,I$1-2011,FALSE),0)+IFERROR(VLOOKUP($A36,MSoccer!$C:$O,I$1-2011,FALSE),0)+IFERROR(VLOOKUP($A36,MVolleyball!$C:$O,I$1-2011,FALSE),0)+IFERROR(VLOOKUP($A36,WBasketball!$C:$O,I$1-2011,FALSE),0)+IFERROR(VLOOKUP($A36,WFieldHockey!$C:$O,I$1-2011,FALSE),0)+IFERROR(VLOOKUP($A36,WIceHockey!$C:$O,I$1-2011,FALSE),0)+IFERROR(VLOOKUP($A36,WLacrosse!$C:$O,I$1-2011,FALSE),0)+IFERROR(VLOOKUP($A36,WSoccer!$C:$O,I$1-2011,FALSE),0)+IFERROR(VLOOKUP($A36,WSoftball!$C:$O,I$1-2011,FALSE),0)+IFERROR(VLOOKUP($A36,WVolleyball!$C:$O,I$1-2011,FALSE),0)</f>
        <v>63308</v>
      </c>
      <c r="J36">
        <f>IFERROR(VLOOKUP($A36,MBaseball!$C:$N,J$1-2010,FALSE),0)+IFERROR(VLOOKUP($A36,MBasketball!$C:$J,J$1-2006,FALSE),0)+IFERROR(VLOOKUP($A36,MFootball!$C:$O,J$1-2011,FALSE),0)+IFERROR(VLOOKUP($A36,MIceHockey!$C:$P,J$1-2011,FALSE),0)+IFERROR(VLOOKUP($A36,MLacrosse!$C:$O,J$1-2011,FALSE),0)+IFERROR(VLOOKUP($A36,MSoccer!$C:$O,J$1-2011,FALSE),0)+IFERROR(VLOOKUP($A36,MVolleyball!$C:$O,J$1-2011,FALSE),0)+IFERROR(VLOOKUP($A36,WBasketball!$C:$O,J$1-2011,FALSE),0)+IFERROR(VLOOKUP($A36,WFieldHockey!$C:$O,J$1-2011,FALSE),0)+IFERROR(VLOOKUP($A36,WIceHockey!$C:$O,J$1-2011,FALSE),0)+IFERROR(VLOOKUP($A36,WLacrosse!$C:$O,J$1-2011,FALSE),0)+IFERROR(VLOOKUP($A36,WSoccer!$C:$O,J$1-2011,FALSE),0)+IFERROR(VLOOKUP($A36,WSoftball!$C:$O,J$1-2011,FALSE),0)+IFERROR(VLOOKUP($A36,WVolleyball!$C:$O,J$1-2011,FALSE),0)</f>
        <v>78159</v>
      </c>
      <c r="K36">
        <f>IFERROR(VLOOKUP($A36,MBaseball!$C:$N,K$1-2010,FALSE),0)+IFERROR(VLOOKUP($A36,MBasketball!$C:$J,K$1-2006,FALSE),0)+IFERROR(VLOOKUP($A36,MFootball!$C:$O,K$1-2011,FALSE),0)+IFERROR(VLOOKUP($A36,MIceHockey!$C:$P,K$1-2011,FALSE),0)+IFERROR(VLOOKUP($A36,MLacrosse!$C:$O,K$1-2011,FALSE),0)+IFERROR(VLOOKUP($A36,MSoccer!$C:$O,K$1-2011,FALSE),0)+IFERROR(VLOOKUP($A36,MVolleyball!$C:$O,K$1-2011,FALSE),0)+IFERROR(VLOOKUP($A36,WBasketball!$C:$O,K$1-2011,FALSE),0)+IFERROR(VLOOKUP($A36,WFieldHockey!$C:$O,K$1-2011,FALSE),0)+IFERROR(VLOOKUP($A36,WIceHockey!$C:$O,K$1-2011,FALSE),0)+IFERROR(VLOOKUP($A36,WLacrosse!$C:$O,K$1-2011,FALSE),0)+IFERROR(VLOOKUP($A36,WSoccer!$C:$O,K$1-2011,FALSE),0)+IFERROR(VLOOKUP($A36,WSoftball!$C:$O,K$1-2011,FALSE),0)+IFERROR(VLOOKUP($A36,WVolleyball!$C:$O,K$1-2011,FALSE),0)</f>
        <v>53806</v>
      </c>
      <c r="L36">
        <f>IFERROR(VLOOKUP($A36,MBaseball!$C:$N,L$1-2010,FALSE),0)+IFERROR(VLOOKUP($A36,MBasketball!$C:$J,L$1-2006,FALSE),0)+IFERROR(VLOOKUP($A36,MFootball!$C:$O,L$1-2011,FALSE),0)+IFERROR(VLOOKUP($A36,MIceHockey!$C:$P,L$1-2011,FALSE),0)+IFERROR(VLOOKUP($A36,MLacrosse!$C:$O,L$1-2011,FALSE),0)+IFERROR(VLOOKUP($A36,MSoccer!$C:$O,L$1-2011,FALSE),0)+IFERROR(VLOOKUP($A36,MVolleyball!$C:$O,L$1-2011,FALSE),0)+IFERROR(VLOOKUP($A36,WBasketball!$C:$O,L$1-2011,FALSE),0)+IFERROR(VLOOKUP($A36,WFieldHockey!$C:$O,L$1-2011,FALSE),0)+IFERROR(VLOOKUP($A36,WIceHockey!$C:$O,L$1-2011,FALSE),0)+IFERROR(VLOOKUP($A36,WLacrosse!$C:$O,L$1-2011,FALSE),0)+IFERROR(VLOOKUP($A36,WSoccer!$C:$O,L$1-2011,FALSE),0)+IFERROR(VLOOKUP($A36,WSoftball!$C:$O,L$1-2011,FALSE),0)+IFERROR(VLOOKUP($A36,WVolleyball!$C:$O,L$1-2011,FALSE),0)</f>
        <v>365</v>
      </c>
      <c r="M36">
        <f>IFERROR(VLOOKUP($A36,MBaseball!$C:$N,M$1-2010,FALSE),0)+IFERROR(VLOOKUP($A36,MBasketball!$C:$J,M$1-2006,FALSE),0)+IFERROR(VLOOKUP($A36,MFootball!$C:$O,M$1-2011,FALSE),0)+IFERROR(VLOOKUP($A36,MIceHockey!$C:$P,M$1-2011,FALSE),0)+IFERROR(VLOOKUP($A36,MLacrosse!$C:$O,M$1-2011,FALSE),0)+IFERROR(VLOOKUP($A36,MSoccer!$C:$O,M$1-2011,FALSE),0)+IFERROR(VLOOKUP($A36,MVolleyball!$C:$O,M$1-2011,FALSE),0)+IFERROR(VLOOKUP($A36,WBasketball!$C:$O,M$1-2011,FALSE),0)+IFERROR(VLOOKUP($A36,WFieldHockey!$C:$O,M$1-2011,FALSE),0)+IFERROR(VLOOKUP($A36,WIceHockey!$C:$O,M$1-2011,FALSE),0)+IFERROR(VLOOKUP($A36,WLacrosse!$C:$O,M$1-2011,FALSE),0)+IFERROR(VLOOKUP($A36,WSoccer!$C:$O,M$1-2011,FALSE),0)+IFERROR(VLOOKUP($A36,WSoftball!$C:$O,M$1-2011,FALSE),0)+IFERROR(VLOOKUP($A36,WVolleyball!$C:$O,M$1-2011,FALSE),0)</f>
        <v>43314</v>
      </c>
      <c r="N36">
        <f>IFERROR(VLOOKUP($A36,MBaseball!$C:$N,N$1-2010,FALSE),0)+IFERROR(VLOOKUP($A36,MBasketball!$C:$J,N$1-2006,FALSE),0)+IFERROR(VLOOKUP($A36,MFootball!$C:$O,N$1-2011,FALSE),0)+IFERROR(VLOOKUP($A36,MIceHockey!$C:$P,N$1-2011,FALSE),0)+IFERROR(VLOOKUP($A36,MLacrosse!$C:$O,N$1-2011,FALSE),0)+IFERROR(VLOOKUP($A36,MSoccer!$C:$O,N$1-2011,FALSE),0)+IFERROR(VLOOKUP($A36,MVolleyball!$C:$O,N$1-2011,FALSE),0)+IFERROR(VLOOKUP($A36,WBasketball!$C:$O,N$1-2011,FALSE),0)+IFERROR(VLOOKUP($A36,WFieldHockey!$C:$O,N$1-2011,FALSE),0)+IFERROR(VLOOKUP($A36,WIceHockey!$C:$O,N$1-2011,FALSE),0)+IFERROR(VLOOKUP($A36,WLacrosse!$C:$O,N$1-2011,FALSE),0)+IFERROR(VLOOKUP($A36,WSoccer!$C:$O,N$1-2011,FALSE),0)+IFERROR(VLOOKUP($A36,WSoftball!$C:$O,N$1-2011,FALSE),0)+IFERROR(VLOOKUP($A36,WVolleyball!$C:$O,N$1-2011,FALSE),0)</f>
        <v>39139</v>
      </c>
    </row>
    <row r="37" spans="1:14" x14ac:dyDescent="0.2">
      <c r="A37">
        <v>134130</v>
      </c>
      <c r="B37">
        <v>23540</v>
      </c>
      <c r="C37" t="s">
        <v>85</v>
      </c>
      <c r="D37">
        <v>36</v>
      </c>
      <c r="E37">
        <f>IFERROR(VLOOKUP($A37,MBaseball!$C:$N,E$1-2010,FALSE),0)+IFERROR(VLOOKUP($A37,MBasketball!$C:$J,E$1-2006,FALSE),0)+IFERROR(VLOOKUP($A37,MFootball!$C:$O,E$1-2011,FALSE),0)+IFERROR(VLOOKUP($A37,MIceHockey!$C:$P,E$1-2011,FALSE),0)+IFERROR(VLOOKUP($A37,MLacrosse!$C:$O,E$1-2011,FALSE),0)+IFERROR(VLOOKUP($A37,MSoccer!$C:$O,E$1-2011,FALSE),0)+IFERROR(VLOOKUP($A37,MVolleyball!$C:$O,E$1-2011,FALSE),0)+IFERROR(VLOOKUP($A37,WBasketball!$C:$O,E$1-2011,FALSE),0)+IFERROR(VLOOKUP($A37,WFieldHockey!$C:$O,E$1-2011,FALSE),0)+IFERROR(VLOOKUP($A37,WIceHockey!$C:$O,E$1-2011,FALSE),0)+IFERROR(VLOOKUP($A37,WLacrosse!$C:$O,E$1-2011,FALSE),0)+IFERROR(VLOOKUP($A37,WSoccer!$C:$O,E$1-2011,FALSE),0)+IFERROR(VLOOKUP($A37,WSoftball!$C:$O,E$1-2011,FALSE),0)+IFERROR(VLOOKUP($A37,WVolleyball!$C:$O,E$1-2011,FALSE),0)</f>
        <v>377482</v>
      </c>
      <c r="F37">
        <f>IFERROR(VLOOKUP($A37,MBaseball!$C:$N,F$1-2010,FALSE),0)+IFERROR(VLOOKUP($A37,MBasketball!$C:$J,F$1-2006,FALSE),0)+IFERROR(VLOOKUP($A37,MFootball!$C:$O,F$1-2011,FALSE),0)+IFERROR(VLOOKUP($A37,MIceHockey!$C:$P,F$1-2011,FALSE),0)+IFERROR(VLOOKUP($A37,MLacrosse!$C:$O,F$1-2011,FALSE),0)+IFERROR(VLOOKUP($A37,MSoccer!$C:$O,F$1-2011,FALSE),0)+IFERROR(VLOOKUP($A37,MVolleyball!$C:$O,F$1-2011,FALSE),0)+IFERROR(VLOOKUP($A37,WBasketball!$C:$O,F$1-2011,FALSE),0)+IFERROR(VLOOKUP($A37,WFieldHockey!$C:$O,F$1-2011,FALSE),0)+IFERROR(VLOOKUP($A37,WIceHockey!$C:$O,F$1-2011,FALSE),0)+IFERROR(VLOOKUP($A37,WLacrosse!$C:$O,F$1-2011,FALSE),0)+IFERROR(VLOOKUP($A37,WSoccer!$C:$O,F$1-2011,FALSE),0)+IFERROR(VLOOKUP($A37,WSoftball!$C:$O,F$1-2011,FALSE),0)+IFERROR(VLOOKUP($A37,WVolleyball!$C:$O,F$1-2011,FALSE),0)</f>
        <v>752560</v>
      </c>
      <c r="G37">
        <f>IFERROR(VLOOKUP($A37,MBaseball!$C:$N,G$1-2010,FALSE),0)+IFERROR(VLOOKUP($A37,MBasketball!$C:$J,G$1-2006,FALSE),0)+IFERROR(VLOOKUP($A37,MFootball!$C:$O,G$1-2011,FALSE),0)+IFERROR(VLOOKUP($A37,MIceHockey!$C:$P,G$1-2011,FALSE),0)+IFERROR(VLOOKUP($A37,MLacrosse!$C:$O,G$1-2011,FALSE),0)+IFERROR(VLOOKUP($A37,MSoccer!$C:$O,G$1-2011,FALSE),0)+IFERROR(VLOOKUP($A37,MVolleyball!$C:$O,G$1-2011,FALSE),0)+IFERROR(VLOOKUP($A37,WBasketball!$C:$O,G$1-2011,FALSE),0)+IFERROR(VLOOKUP($A37,WFieldHockey!$C:$O,G$1-2011,FALSE),0)+IFERROR(VLOOKUP($A37,WIceHockey!$C:$O,G$1-2011,FALSE),0)+IFERROR(VLOOKUP($A37,WLacrosse!$C:$O,G$1-2011,FALSE),0)+IFERROR(VLOOKUP($A37,WSoccer!$C:$O,G$1-2011,FALSE),0)+IFERROR(VLOOKUP($A37,WSoftball!$C:$O,G$1-2011,FALSE),0)+IFERROR(VLOOKUP($A37,WVolleyball!$C:$O,G$1-2011,FALSE),0)</f>
        <v>899798</v>
      </c>
      <c r="H37">
        <f>IFERROR(VLOOKUP($A37,MBaseball!$C:$N,H$1-2010,FALSE),0)+IFERROR(VLOOKUP($A37,MBasketball!$C:$J,H$1-2006,FALSE),0)+IFERROR(VLOOKUP($A37,MFootball!$C:$O,H$1-2011,FALSE),0)+IFERROR(VLOOKUP($A37,MIceHockey!$C:$P,H$1-2011,FALSE),0)+IFERROR(VLOOKUP($A37,MLacrosse!$C:$O,H$1-2011,FALSE),0)+IFERROR(VLOOKUP($A37,MSoccer!$C:$O,H$1-2011,FALSE),0)+IFERROR(VLOOKUP($A37,MVolleyball!$C:$O,H$1-2011,FALSE),0)+IFERROR(VLOOKUP($A37,WBasketball!$C:$O,H$1-2011,FALSE),0)+IFERROR(VLOOKUP($A37,WFieldHockey!$C:$O,H$1-2011,FALSE),0)+IFERROR(VLOOKUP($A37,WIceHockey!$C:$O,H$1-2011,FALSE),0)+IFERROR(VLOOKUP($A37,WLacrosse!$C:$O,H$1-2011,FALSE),0)+IFERROR(VLOOKUP($A37,WSoccer!$C:$O,H$1-2011,FALSE),0)+IFERROR(VLOOKUP($A37,WSoftball!$C:$O,H$1-2011,FALSE),0)+IFERROR(VLOOKUP($A37,WVolleyball!$C:$O,H$1-2011,FALSE),0)</f>
        <v>700843</v>
      </c>
      <c r="I37">
        <f>IFERROR(VLOOKUP($A37,MBaseball!$C:$N,I$1-2010,FALSE),0)+IFERROR(VLOOKUP($A37,MBasketball!$C:$J,I$1-2006,FALSE),0)+IFERROR(VLOOKUP($A37,MFootball!$C:$O,I$1-2011,FALSE),0)+IFERROR(VLOOKUP($A37,MIceHockey!$C:$P,I$1-2011,FALSE),0)+IFERROR(VLOOKUP($A37,MLacrosse!$C:$O,I$1-2011,FALSE),0)+IFERROR(VLOOKUP($A37,MSoccer!$C:$O,I$1-2011,FALSE),0)+IFERROR(VLOOKUP($A37,MVolleyball!$C:$O,I$1-2011,FALSE),0)+IFERROR(VLOOKUP($A37,WBasketball!$C:$O,I$1-2011,FALSE),0)+IFERROR(VLOOKUP($A37,WFieldHockey!$C:$O,I$1-2011,FALSE),0)+IFERROR(VLOOKUP($A37,WIceHockey!$C:$O,I$1-2011,FALSE),0)+IFERROR(VLOOKUP($A37,WLacrosse!$C:$O,I$1-2011,FALSE),0)+IFERROR(VLOOKUP($A37,WSoccer!$C:$O,I$1-2011,FALSE),0)+IFERROR(VLOOKUP($A37,WSoftball!$C:$O,I$1-2011,FALSE),0)+IFERROR(VLOOKUP($A37,WVolleyball!$C:$O,I$1-2011,FALSE),0)</f>
        <v>818940</v>
      </c>
      <c r="J37">
        <f>IFERROR(VLOOKUP($A37,MBaseball!$C:$N,J$1-2010,FALSE),0)+IFERROR(VLOOKUP($A37,MBasketball!$C:$J,J$1-2006,FALSE),0)+IFERROR(VLOOKUP($A37,MFootball!$C:$O,J$1-2011,FALSE),0)+IFERROR(VLOOKUP($A37,MIceHockey!$C:$P,J$1-2011,FALSE),0)+IFERROR(VLOOKUP($A37,MLacrosse!$C:$O,J$1-2011,FALSE),0)+IFERROR(VLOOKUP($A37,MSoccer!$C:$O,J$1-2011,FALSE),0)+IFERROR(VLOOKUP($A37,MVolleyball!$C:$O,J$1-2011,FALSE),0)+IFERROR(VLOOKUP($A37,WBasketball!$C:$O,J$1-2011,FALSE),0)+IFERROR(VLOOKUP($A37,WFieldHockey!$C:$O,J$1-2011,FALSE),0)+IFERROR(VLOOKUP($A37,WIceHockey!$C:$O,J$1-2011,FALSE),0)+IFERROR(VLOOKUP($A37,WLacrosse!$C:$O,J$1-2011,FALSE),0)+IFERROR(VLOOKUP($A37,WSoccer!$C:$O,J$1-2011,FALSE),0)+IFERROR(VLOOKUP($A37,WSoftball!$C:$O,J$1-2011,FALSE),0)+IFERROR(VLOOKUP($A37,WVolleyball!$C:$O,J$1-2011,FALSE),0)</f>
        <v>750937</v>
      </c>
      <c r="K37">
        <f>IFERROR(VLOOKUP($A37,MBaseball!$C:$N,K$1-2010,FALSE),0)+IFERROR(VLOOKUP($A37,MBasketball!$C:$J,K$1-2006,FALSE),0)+IFERROR(VLOOKUP($A37,MFootball!$C:$O,K$1-2011,FALSE),0)+IFERROR(VLOOKUP($A37,MIceHockey!$C:$P,K$1-2011,FALSE),0)+IFERROR(VLOOKUP($A37,MLacrosse!$C:$O,K$1-2011,FALSE),0)+IFERROR(VLOOKUP($A37,MSoccer!$C:$O,K$1-2011,FALSE),0)+IFERROR(VLOOKUP($A37,MVolleyball!$C:$O,K$1-2011,FALSE),0)+IFERROR(VLOOKUP($A37,WBasketball!$C:$O,K$1-2011,FALSE),0)+IFERROR(VLOOKUP($A37,WFieldHockey!$C:$O,K$1-2011,FALSE),0)+IFERROR(VLOOKUP($A37,WIceHockey!$C:$O,K$1-2011,FALSE),0)+IFERROR(VLOOKUP($A37,WLacrosse!$C:$O,K$1-2011,FALSE),0)+IFERROR(VLOOKUP($A37,WSoccer!$C:$O,K$1-2011,FALSE),0)+IFERROR(VLOOKUP($A37,WSoftball!$C:$O,K$1-2011,FALSE),0)+IFERROR(VLOOKUP($A37,WVolleyball!$C:$O,K$1-2011,FALSE),0)</f>
        <v>701737</v>
      </c>
      <c r="L37">
        <f>IFERROR(VLOOKUP($A37,MBaseball!$C:$N,L$1-2010,FALSE),0)+IFERROR(VLOOKUP($A37,MBasketball!$C:$J,L$1-2006,FALSE),0)+IFERROR(VLOOKUP($A37,MFootball!$C:$O,L$1-2011,FALSE),0)+IFERROR(VLOOKUP($A37,MIceHockey!$C:$P,L$1-2011,FALSE),0)+IFERROR(VLOOKUP($A37,MLacrosse!$C:$O,L$1-2011,FALSE),0)+IFERROR(VLOOKUP($A37,MSoccer!$C:$O,L$1-2011,FALSE),0)+IFERROR(VLOOKUP($A37,MVolleyball!$C:$O,L$1-2011,FALSE),0)+IFERROR(VLOOKUP($A37,WBasketball!$C:$O,L$1-2011,FALSE),0)+IFERROR(VLOOKUP($A37,WFieldHockey!$C:$O,L$1-2011,FALSE),0)+IFERROR(VLOOKUP($A37,WIceHockey!$C:$O,L$1-2011,FALSE),0)+IFERROR(VLOOKUP($A37,WLacrosse!$C:$O,L$1-2011,FALSE),0)+IFERROR(VLOOKUP($A37,WSoccer!$C:$O,L$1-2011,FALSE),0)+IFERROR(VLOOKUP($A37,WSoftball!$C:$O,L$1-2011,FALSE),0)+IFERROR(VLOOKUP($A37,WVolleyball!$C:$O,L$1-2011,FALSE),0)</f>
        <v>322992</v>
      </c>
      <c r="M37">
        <f>IFERROR(VLOOKUP($A37,MBaseball!$C:$N,M$1-2010,FALSE),0)+IFERROR(VLOOKUP($A37,MBasketball!$C:$J,M$1-2006,FALSE),0)+IFERROR(VLOOKUP($A37,MFootball!$C:$O,M$1-2011,FALSE),0)+IFERROR(VLOOKUP($A37,MIceHockey!$C:$P,M$1-2011,FALSE),0)+IFERROR(VLOOKUP($A37,MLacrosse!$C:$O,M$1-2011,FALSE),0)+IFERROR(VLOOKUP($A37,MSoccer!$C:$O,M$1-2011,FALSE),0)+IFERROR(VLOOKUP($A37,MVolleyball!$C:$O,M$1-2011,FALSE),0)+IFERROR(VLOOKUP($A37,WBasketball!$C:$O,M$1-2011,FALSE),0)+IFERROR(VLOOKUP($A37,WFieldHockey!$C:$O,M$1-2011,FALSE),0)+IFERROR(VLOOKUP($A37,WIceHockey!$C:$O,M$1-2011,FALSE),0)+IFERROR(VLOOKUP($A37,WLacrosse!$C:$O,M$1-2011,FALSE),0)+IFERROR(VLOOKUP($A37,WSoccer!$C:$O,M$1-2011,FALSE),0)+IFERROR(VLOOKUP($A37,WSoftball!$C:$O,M$1-2011,FALSE),0)+IFERROR(VLOOKUP($A37,WVolleyball!$C:$O,M$1-2011,FALSE),0)</f>
        <v>884022</v>
      </c>
      <c r="N37">
        <f>IFERROR(VLOOKUP($A37,MBaseball!$C:$N,N$1-2010,FALSE),0)+IFERROR(VLOOKUP($A37,MBasketball!$C:$J,N$1-2006,FALSE),0)+IFERROR(VLOOKUP($A37,MFootball!$C:$O,N$1-2011,FALSE),0)+IFERROR(VLOOKUP($A37,MIceHockey!$C:$P,N$1-2011,FALSE),0)+IFERROR(VLOOKUP($A37,MLacrosse!$C:$O,N$1-2011,FALSE),0)+IFERROR(VLOOKUP($A37,MSoccer!$C:$O,N$1-2011,FALSE),0)+IFERROR(VLOOKUP($A37,MVolleyball!$C:$O,N$1-2011,FALSE),0)+IFERROR(VLOOKUP($A37,WBasketball!$C:$O,N$1-2011,FALSE),0)+IFERROR(VLOOKUP($A37,WFieldHockey!$C:$O,N$1-2011,FALSE),0)+IFERROR(VLOOKUP($A37,WIceHockey!$C:$O,N$1-2011,FALSE),0)+IFERROR(VLOOKUP($A37,WLacrosse!$C:$O,N$1-2011,FALSE),0)+IFERROR(VLOOKUP($A37,WSoccer!$C:$O,N$1-2011,FALSE),0)+IFERROR(VLOOKUP($A37,WSoftball!$C:$O,N$1-2011,FALSE),0)+IFERROR(VLOOKUP($A37,WVolleyball!$C:$O,N$1-2011,FALSE),0)</f>
        <v>748772</v>
      </c>
    </row>
    <row r="38" spans="1:14" x14ac:dyDescent="0.2">
      <c r="A38">
        <v>133669</v>
      </c>
      <c r="B38">
        <v>33100</v>
      </c>
      <c r="C38" t="s">
        <v>86</v>
      </c>
      <c r="D38">
        <v>37</v>
      </c>
      <c r="E38">
        <f>IFERROR(VLOOKUP($A38,MBaseball!$C:$N,E$1-2010,FALSE),0)+IFERROR(VLOOKUP($A38,MBasketball!$C:$J,E$1-2006,FALSE),0)+IFERROR(VLOOKUP($A38,MFootball!$C:$O,E$1-2011,FALSE),0)+IFERROR(VLOOKUP($A38,MIceHockey!$C:$P,E$1-2011,FALSE),0)+IFERROR(VLOOKUP($A38,MLacrosse!$C:$O,E$1-2011,FALSE),0)+IFERROR(VLOOKUP($A38,MSoccer!$C:$O,E$1-2011,FALSE),0)+IFERROR(VLOOKUP($A38,MVolleyball!$C:$O,E$1-2011,FALSE),0)+IFERROR(VLOOKUP($A38,WBasketball!$C:$O,E$1-2011,FALSE),0)+IFERROR(VLOOKUP($A38,WFieldHockey!$C:$O,E$1-2011,FALSE),0)+IFERROR(VLOOKUP($A38,WIceHockey!$C:$O,E$1-2011,FALSE),0)+IFERROR(VLOOKUP($A38,WLacrosse!$C:$O,E$1-2011,FALSE),0)+IFERROR(VLOOKUP($A38,WSoccer!$C:$O,E$1-2011,FALSE),0)+IFERROR(VLOOKUP($A38,WSoftball!$C:$O,E$1-2011,FALSE),0)+IFERROR(VLOOKUP($A38,WVolleyball!$C:$O,E$1-2011,FALSE),0)</f>
        <v>43053</v>
      </c>
      <c r="F38">
        <f>IFERROR(VLOOKUP($A38,MBaseball!$C:$N,F$1-2010,FALSE),0)+IFERROR(VLOOKUP($A38,MBasketball!$C:$J,F$1-2006,FALSE),0)+IFERROR(VLOOKUP($A38,MFootball!$C:$O,F$1-2011,FALSE),0)+IFERROR(VLOOKUP($A38,MIceHockey!$C:$P,F$1-2011,FALSE),0)+IFERROR(VLOOKUP($A38,MLacrosse!$C:$O,F$1-2011,FALSE),0)+IFERROR(VLOOKUP($A38,MSoccer!$C:$O,F$1-2011,FALSE),0)+IFERROR(VLOOKUP($A38,MVolleyball!$C:$O,F$1-2011,FALSE),0)+IFERROR(VLOOKUP($A38,WBasketball!$C:$O,F$1-2011,FALSE),0)+IFERROR(VLOOKUP($A38,WFieldHockey!$C:$O,F$1-2011,FALSE),0)+IFERROR(VLOOKUP($A38,WIceHockey!$C:$O,F$1-2011,FALSE),0)+IFERROR(VLOOKUP($A38,WLacrosse!$C:$O,F$1-2011,FALSE),0)+IFERROR(VLOOKUP($A38,WSoccer!$C:$O,F$1-2011,FALSE),0)+IFERROR(VLOOKUP($A38,WSoftball!$C:$O,F$1-2011,FALSE),0)+IFERROR(VLOOKUP($A38,WVolleyball!$C:$O,F$1-2011,FALSE),0)</f>
        <v>99982</v>
      </c>
      <c r="G38">
        <f>IFERROR(VLOOKUP($A38,MBaseball!$C:$N,G$1-2010,FALSE),0)+IFERROR(VLOOKUP($A38,MBasketball!$C:$J,G$1-2006,FALSE),0)+IFERROR(VLOOKUP($A38,MFootball!$C:$O,G$1-2011,FALSE),0)+IFERROR(VLOOKUP($A38,MIceHockey!$C:$P,G$1-2011,FALSE),0)+IFERROR(VLOOKUP($A38,MLacrosse!$C:$O,G$1-2011,FALSE),0)+IFERROR(VLOOKUP($A38,MSoccer!$C:$O,G$1-2011,FALSE),0)+IFERROR(VLOOKUP($A38,MVolleyball!$C:$O,G$1-2011,FALSE),0)+IFERROR(VLOOKUP($A38,WBasketball!$C:$O,G$1-2011,FALSE),0)+IFERROR(VLOOKUP($A38,WFieldHockey!$C:$O,G$1-2011,FALSE),0)+IFERROR(VLOOKUP($A38,WIceHockey!$C:$O,G$1-2011,FALSE),0)+IFERROR(VLOOKUP($A38,WLacrosse!$C:$O,G$1-2011,FALSE),0)+IFERROR(VLOOKUP($A38,WSoccer!$C:$O,G$1-2011,FALSE),0)+IFERROR(VLOOKUP($A38,WSoftball!$C:$O,G$1-2011,FALSE),0)+IFERROR(VLOOKUP($A38,WVolleyball!$C:$O,G$1-2011,FALSE),0)</f>
        <v>153125</v>
      </c>
      <c r="H38">
        <f>IFERROR(VLOOKUP($A38,MBaseball!$C:$N,H$1-2010,FALSE),0)+IFERROR(VLOOKUP($A38,MBasketball!$C:$J,H$1-2006,FALSE),0)+IFERROR(VLOOKUP($A38,MFootball!$C:$O,H$1-2011,FALSE),0)+IFERROR(VLOOKUP($A38,MIceHockey!$C:$P,H$1-2011,FALSE),0)+IFERROR(VLOOKUP($A38,MLacrosse!$C:$O,H$1-2011,FALSE),0)+IFERROR(VLOOKUP($A38,MSoccer!$C:$O,H$1-2011,FALSE),0)+IFERROR(VLOOKUP($A38,MVolleyball!$C:$O,H$1-2011,FALSE),0)+IFERROR(VLOOKUP($A38,WBasketball!$C:$O,H$1-2011,FALSE),0)+IFERROR(VLOOKUP($A38,WFieldHockey!$C:$O,H$1-2011,FALSE),0)+IFERROR(VLOOKUP($A38,WIceHockey!$C:$O,H$1-2011,FALSE),0)+IFERROR(VLOOKUP($A38,WLacrosse!$C:$O,H$1-2011,FALSE),0)+IFERROR(VLOOKUP($A38,WSoccer!$C:$O,H$1-2011,FALSE),0)+IFERROR(VLOOKUP($A38,WSoftball!$C:$O,H$1-2011,FALSE),0)+IFERROR(VLOOKUP($A38,WVolleyball!$C:$O,H$1-2011,FALSE),0)</f>
        <v>103586</v>
      </c>
      <c r="I38">
        <f>IFERROR(VLOOKUP($A38,MBaseball!$C:$N,I$1-2010,FALSE),0)+IFERROR(VLOOKUP($A38,MBasketball!$C:$J,I$1-2006,FALSE),0)+IFERROR(VLOOKUP($A38,MFootball!$C:$O,I$1-2011,FALSE),0)+IFERROR(VLOOKUP($A38,MIceHockey!$C:$P,I$1-2011,FALSE),0)+IFERROR(VLOOKUP($A38,MLacrosse!$C:$O,I$1-2011,FALSE),0)+IFERROR(VLOOKUP($A38,MSoccer!$C:$O,I$1-2011,FALSE),0)+IFERROR(VLOOKUP($A38,MVolleyball!$C:$O,I$1-2011,FALSE),0)+IFERROR(VLOOKUP($A38,WBasketball!$C:$O,I$1-2011,FALSE),0)+IFERROR(VLOOKUP($A38,WFieldHockey!$C:$O,I$1-2011,FALSE),0)+IFERROR(VLOOKUP($A38,WIceHockey!$C:$O,I$1-2011,FALSE),0)+IFERROR(VLOOKUP($A38,WLacrosse!$C:$O,I$1-2011,FALSE),0)+IFERROR(VLOOKUP($A38,WSoccer!$C:$O,I$1-2011,FALSE),0)+IFERROR(VLOOKUP($A38,WSoftball!$C:$O,I$1-2011,FALSE),0)+IFERROR(VLOOKUP($A38,WVolleyball!$C:$O,I$1-2011,FALSE),0)</f>
        <v>196644</v>
      </c>
      <c r="J38">
        <f>IFERROR(VLOOKUP($A38,MBaseball!$C:$N,J$1-2010,FALSE),0)+IFERROR(VLOOKUP($A38,MBasketball!$C:$J,J$1-2006,FALSE),0)+IFERROR(VLOOKUP($A38,MFootball!$C:$O,J$1-2011,FALSE),0)+IFERROR(VLOOKUP($A38,MIceHockey!$C:$P,J$1-2011,FALSE),0)+IFERROR(VLOOKUP($A38,MLacrosse!$C:$O,J$1-2011,FALSE),0)+IFERROR(VLOOKUP($A38,MSoccer!$C:$O,J$1-2011,FALSE),0)+IFERROR(VLOOKUP($A38,MVolleyball!$C:$O,J$1-2011,FALSE),0)+IFERROR(VLOOKUP($A38,WBasketball!$C:$O,J$1-2011,FALSE),0)+IFERROR(VLOOKUP($A38,WFieldHockey!$C:$O,J$1-2011,FALSE),0)+IFERROR(VLOOKUP($A38,WIceHockey!$C:$O,J$1-2011,FALSE),0)+IFERROR(VLOOKUP($A38,WLacrosse!$C:$O,J$1-2011,FALSE),0)+IFERROR(VLOOKUP($A38,WSoccer!$C:$O,J$1-2011,FALSE),0)+IFERROR(VLOOKUP($A38,WSoftball!$C:$O,J$1-2011,FALSE),0)+IFERROR(VLOOKUP($A38,WVolleyball!$C:$O,J$1-2011,FALSE),0)</f>
        <v>138737</v>
      </c>
      <c r="K38">
        <f>IFERROR(VLOOKUP($A38,MBaseball!$C:$N,K$1-2010,FALSE),0)+IFERROR(VLOOKUP($A38,MBasketball!$C:$J,K$1-2006,FALSE),0)+IFERROR(VLOOKUP($A38,MFootball!$C:$O,K$1-2011,FALSE),0)+IFERROR(VLOOKUP($A38,MIceHockey!$C:$P,K$1-2011,FALSE),0)+IFERROR(VLOOKUP($A38,MLacrosse!$C:$O,K$1-2011,FALSE),0)+IFERROR(VLOOKUP($A38,MSoccer!$C:$O,K$1-2011,FALSE),0)+IFERROR(VLOOKUP($A38,MVolleyball!$C:$O,K$1-2011,FALSE),0)+IFERROR(VLOOKUP($A38,WBasketball!$C:$O,K$1-2011,FALSE),0)+IFERROR(VLOOKUP($A38,WFieldHockey!$C:$O,K$1-2011,FALSE),0)+IFERROR(VLOOKUP($A38,WIceHockey!$C:$O,K$1-2011,FALSE),0)+IFERROR(VLOOKUP($A38,WLacrosse!$C:$O,K$1-2011,FALSE),0)+IFERROR(VLOOKUP($A38,WSoccer!$C:$O,K$1-2011,FALSE),0)+IFERROR(VLOOKUP($A38,WSoftball!$C:$O,K$1-2011,FALSE),0)+IFERROR(VLOOKUP($A38,WVolleyball!$C:$O,K$1-2011,FALSE),0)</f>
        <v>163054</v>
      </c>
      <c r="L38">
        <f>IFERROR(VLOOKUP($A38,MBaseball!$C:$N,L$1-2010,FALSE),0)+IFERROR(VLOOKUP($A38,MBasketball!$C:$J,L$1-2006,FALSE),0)+IFERROR(VLOOKUP($A38,MFootball!$C:$O,L$1-2011,FALSE),0)+IFERROR(VLOOKUP($A38,MIceHockey!$C:$P,L$1-2011,FALSE),0)+IFERROR(VLOOKUP($A38,MLacrosse!$C:$O,L$1-2011,FALSE),0)+IFERROR(VLOOKUP($A38,MSoccer!$C:$O,L$1-2011,FALSE),0)+IFERROR(VLOOKUP($A38,MVolleyball!$C:$O,L$1-2011,FALSE),0)+IFERROR(VLOOKUP($A38,WBasketball!$C:$O,L$1-2011,FALSE),0)+IFERROR(VLOOKUP($A38,WFieldHockey!$C:$O,L$1-2011,FALSE),0)+IFERROR(VLOOKUP($A38,WIceHockey!$C:$O,L$1-2011,FALSE),0)+IFERROR(VLOOKUP($A38,WLacrosse!$C:$O,L$1-2011,FALSE),0)+IFERROR(VLOOKUP($A38,WSoccer!$C:$O,L$1-2011,FALSE),0)+IFERROR(VLOOKUP($A38,WSoftball!$C:$O,L$1-2011,FALSE),0)+IFERROR(VLOOKUP($A38,WVolleyball!$C:$O,L$1-2011,FALSE),0)</f>
        <v>44539</v>
      </c>
      <c r="M38">
        <f>IFERROR(VLOOKUP($A38,MBaseball!$C:$N,M$1-2010,FALSE),0)+IFERROR(VLOOKUP($A38,MBasketball!$C:$J,M$1-2006,FALSE),0)+IFERROR(VLOOKUP($A38,MFootball!$C:$O,M$1-2011,FALSE),0)+IFERROR(VLOOKUP($A38,MIceHockey!$C:$P,M$1-2011,FALSE),0)+IFERROR(VLOOKUP($A38,MLacrosse!$C:$O,M$1-2011,FALSE),0)+IFERROR(VLOOKUP($A38,MSoccer!$C:$O,M$1-2011,FALSE),0)+IFERROR(VLOOKUP($A38,MVolleyball!$C:$O,M$1-2011,FALSE),0)+IFERROR(VLOOKUP($A38,WBasketball!$C:$O,M$1-2011,FALSE),0)+IFERROR(VLOOKUP($A38,WFieldHockey!$C:$O,M$1-2011,FALSE),0)+IFERROR(VLOOKUP($A38,WIceHockey!$C:$O,M$1-2011,FALSE),0)+IFERROR(VLOOKUP($A38,WLacrosse!$C:$O,M$1-2011,FALSE),0)+IFERROR(VLOOKUP($A38,WSoccer!$C:$O,M$1-2011,FALSE),0)+IFERROR(VLOOKUP($A38,WSoftball!$C:$O,M$1-2011,FALSE),0)+IFERROR(VLOOKUP($A38,WVolleyball!$C:$O,M$1-2011,FALSE),0)</f>
        <v>156361</v>
      </c>
      <c r="N38">
        <f>IFERROR(VLOOKUP($A38,MBaseball!$C:$N,N$1-2010,FALSE),0)+IFERROR(VLOOKUP($A38,MBasketball!$C:$J,N$1-2006,FALSE),0)+IFERROR(VLOOKUP($A38,MFootball!$C:$O,N$1-2011,FALSE),0)+IFERROR(VLOOKUP($A38,MIceHockey!$C:$P,N$1-2011,FALSE),0)+IFERROR(VLOOKUP($A38,MLacrosse!$C:$O,N$1-2011,FALSE),0)+IFERROR(VLOOKUP($A38,MSoccer!$C:$O,N$1-2011,FALSE),0)+IFERROR(VLOOKUP($A38,MVolleyball!$C:$O,N$1-2011,FALSE),0)+IFERROR(VLOOKUP($A38,WBasketball!$C:$O,N$1-2011,FALSE),0)+IFERROR(VLOOKUP($A38,WFieldHockey!$C:$O,N$1-2011,FALSE),0)+IFERROR(VLOOKUP($A38,WIceHockey!$C:$O,N$1-2011,FALSE),0)+IFERROR(VLOOKUP($A38,WLacrosse!$C:$O,N$1-2011,FALSE),0)+IFERROR(VLOOKUP($A38,WSoccer!$C:$O,N$1-2011,FALSE),0)+IFERROR(VLOOKUP($A38,WSoftball!$C:$O,N$1-2011,FALSE),0)+IFERROR(VLOOKUP($A38,WVolleyball!$C:$O,N$1-2011,FALSE),0)</f>
        <v>150708</v>
      </c>
    </row>
    <row r="39" spans="1:14" x14ac:dyDescent="0.2">
      <c r="A39">
        <v>433660</v>
      </c>
      <c r="B39">
        <v>15980</v>
      </c>
      <c r="C39" t="s">
        <v>87</v>
      </c>
      <c r="D39">
        <v>38</v>
      </c>
      <c r="E39">
        <f>IFERROR(VLOOKUP($A39,MBaseball!$C:$N,E$1-2010,FALSE),0)+IFERROR(VLOOKUP($A39,MBasketball!$C:$J,E$1-2006,FALSE),0)+IFERROR(VLOOKUP($A39,MFootball!$C:$O,E$1-2011,FALSE),0)+IFERROR(VLOOKUP($A39,MIceHockey!$C:$P,E$1-2011,FALSE),0)+IFERROR(VLOOKUP($A39,MLacrosse!$C:$O,E$1-2011,FALSE),0)+IFERROR(VLOOKUP($A39,MSoccer!$C:$O,E$1-2011,FALSE),0)+IFERROR(VLOOKUP($A39,MVolleyball!$C:$O,E$1-2011,FALSE),0)+IFERROR(VLOOKUP($A39,WBasketball!$C:$O,E$1-2011,FALSE),0)+IFERROR(VLOOKUP($A39,WFieldHockey!$C:$O,E$1-2011,FALSE),0)+IFERROR(VLOOKUP($A39,WIceHockey!$C:$O,E$1-2011,FALSE),0)+IFERROR(VLOOKUP($A39,WLacrosse!$C:$O,E$1-2011,FALSE),0)+IFERROR(VLOOKUP($A39,WSoccer!$C:$O,E$1-2011,FALSE),0)+IFERROR(VLOOKUP($A39,WSoftball!$C:$O,E$1-2011,FALSE),0)+IFERROR(VLOOKUP($A39,WVolleyball!$C:$O,E$1-2011,FALSE),0)</f>
        <v>105617</v>
      </c>
      <c r="F39">
        <f>IFERROR(VLOOKUP($A39,MBaseball!$C:$N,F$1-2010,FALSE),0)+IFERROR(VLOOKUP($A39,MBasketball!$C:$J,F$1-2006,FALSE),0)+IFERROR(VLOOKUP($A39,MFootball!$C:$O,F$1-2011,FALSE),0)+IFERROR(VLOOKUP($A39,MIceHockey!$C:$P,F$1-2011,FALSE),0)+IFERROR(VLOOKUP($A39,MLacrosse!$C:$O,F$1-2011,FALSE),0)+IFERROR(VLOOKUP($A39,MSoccer!$C:$O,F$1-2011,FALSE),0)+IFERROR(VLOOKUP($A39,MVolleyball!$C:$O,F$1-2011,FALSE),0)+IFERROR(VLOOKUP($A39,WBasketball!$C:$O,F$1-2011,FALSE),0)+IFERROR(VLOOKUP($A39,WFieldHockey!$C:$O,F$1-2011,FALSE),0)+IFERROR(VLOOKUP($A39,WIceHockey!$C:$O,F$1-2011,FALSE),0)+IFERROR(VLOOKUP($A39,WLacrosse!$C:$O,F$1-2011,FALSE),0)+IFERROR(VLOOKUP($A39,WSoccer!$C:$O,F$1-2011,FALSE),0)+IFERROR(VLOOKUP($A39,WSoftball!$C:$O,F$1-2011,FALSE),0)+IFERROR(VLOOKUP($A39,WVolleyball!$C:$O,F$1-2011,FALSE),0)</f>
        <v>62973</v>
      </c>
      <c r="G39">
        <f>IFERROR(VLOOKUP($A39,MBaseball!$C:$N,G$1-2010,FALSE),0)+IFERROR(VLOOKUP($A39,MBasketball!$C:$J,G$1-2006,FALSE),0)+IFERROR(VLOOKUP($A39,MFootball!$C:$O,G$1-2011,FALSE),0)+IFERROR(VLOOKUP($A39,MIceHockey!$C:$P,G$1-2011,FALSE),0)+IFERROR(VLOOKUP($A39,MLacrosse!$C:$O,G$1-2011,FALSE),0)+IFERROR(VLOOKUP($A39,MSoccer!$C:$O,G$1-2011,FALSE),0)+IFERROR(VLOOKUP($A39,MVolleyball!$C:$O,G$1-2011,FALSE),0)+IFERROR(VLOOKUP($A39,WBasketball!$C:$O,G$1-2011,FALSE),0)+IFERROR(VLOOKUP($A39,WFieldHockey!$C:$O,G$1-2011,FALSE),0)+IFERROR(VLOOKUP($A39,WIceHockey!$C:$O,G$1-2011,FALSE),0)+IFERROR(VLOOKUP($A39,WLacrosse!$C:$O,G$1-2011,FALSE),0)+IFERROR(VLOOKUP($A39,WSoccer!$C:$O,G$1-2011,FALSE),0)+IFERROR(VLOOKUP($A39,WSoftball!$C:$O,G$1-2011,FALSE),0)+IFERROR(VLOOKUP($A39,WVolleyball!$C:$O,G$1-2011,FALSE),0)</f>
        <v>84792</v>
      </c>
      <c r="H39">
        <f>IFERROR(VLOOKUP($A39,MBaseball!$C:$N,H$1-2010,FALSE),0)+IFERROR(VLOOKUP($A39,MBasketball!$C:$J,H$1-2006,FALSE),0)+IFERROR(VLOOKUP($A39,MFootball!$C:$O,H$1-2011,FALSE),0)+IFERROR(VLOOKUP($A39,MIceHockey!$C:$P,H$1-2011,FALSE),0)+IFERROR(VLOOKUP($A39,MLacrosse!$C:$O,H$1-2011,FALSE),0)+IFERROR(VLOOKUP($A39,MSoccer!$C:$O,H$1-2011,FALSE),0)+IFERROR(VLOOKUP($A39,MVolleyball!$C:$O,H$1-2011,FALSE),0)+IFERROR(VLOOKUP($A39,WBasketball!$C:$O,H$1-2011,FALSE),0)+IFERROR(VLOOKUP($A39,WFieldHockey!$C:$O,H$1-2011,FALSE),0)+IFERROR(VLOOKUP($A39,WIceHockey!$C:$O,H$1-2011,FALSE),0)+IFERROR(VLOOKUP($A39,WLacrosse!$C:$O,H$1-2011,FALSE),0)+IFERROR(VLOOKUP($A39,WSoccer!$C:$O,H$1-2011,FALSE),0)+IFERROR(VLOOKUP($A39,WSoftball!$C:$O,H$1-2011,FALSE),0)+IFERROR(VLOOKUP($A39,WVolleyball!$C:$O,H$1-2011,FALSE),0)</f>
        <v>63943</v>
      </c>
      <c r="I39">
        <f>IFERROR(VLOOKUP($A39,MBaseball!$C:$N,I$1-2010,FALSE),0)+IFERROR(VLOOKUP($A39,MBasketball!$C:$J,I$1-2006,FALSE),0)+IFERROR(VLOOKUP($A39,MFootball!$C:$O,I$1-2011,FALSE),0)+IFERROR(VLOOKUP($A39,MIceHockey!$C:$P,I$1-2011,FALSE),0)+IFERROR(VLOOKUP($A39,MLacrosse!$C:$O,I$1-2011,FALSE),0)+IFERROR(VLOOKUP($A39,MSoccer!$C:$O,I$1-2011,FALSE),0)+IFERROR(VLOOKUP($A39,MVolleyball!$C:$O,I$1-2011,FALSE),0)+IFERROR(VLOOKUP($A39,WBasketball!$C:$O,I$1-2011,FALSE),0)+IFERROR(VLOOKUP($A39,WFieldHockey!$C:$O,I$1-2011,FALSE),0)+IFERROR(VLOOKUP($A39,WIceHockey!$C:$O,I$1-2011,FALSE),0)+IFERROR(VLOOKUP($A39,WLacrosse!$C:$O,I$1-2011,FALSE),0)+IFERROR(VLOOKUP($A39,WSoccer!$C:$O,I$1-2011,FALSE),0)+IFERROR(VLOOKUP($A39,WSoftball!$C:$O,I$1-2011,FALSE),0)+IFERROR(VLOOKUP($A39,WVolleyball!$C:$O,I$1-2011,FALSE),0)</f>
        <v>72354</v>
      </c>
      <c r="J39">
        <f>IFERROR(VLOOKUP($A39,MBaseball!$C:$N,J$1-2010,FALSE),0)+IFERROR(VLOOKUP($A39,MBasketball!$C:$J,J$1-2006,FALSE),0)+IFERROR(VLOOKUP($A39,MFootball!$C:$O,J$1-2011,FALSE),0)+IFERROR(VLOOKUP($A39,MIceHockey!$C:$P,J$1-2011,FALSE),0)+IFERROR(VLOOKUP($A39,MLacrosse!$C:$O,J$1-2011,FALSE),0)+IFERROR(VLOOKUP($A39,MSoccer!$C:$O,J$1-2011,FALSE),0)+IFERROR(VLOOKUP($A39,MVolleyball!$C:$O,J$1-2011,FALSE),0)+IFERROR(VLOOKUP($A39,WBasketball!$C:$O,J$1-2011,FALSE),0)+IFERROR(VLOOKUP($A39,WFieldHockey!$C:$O,J$1-2011,FALSE),0)+IFERROR(VLOOKUP($A39,WIceHockey!$C:$O,J$1-2011,FALSE),0)+IFERROR(VLOOKUP($A39,WLacrosse!$C:$O,J$1-2011,FALSE),0)+IFERROR(VLOOKUP($A39,WSoccer!$C:$O,J$1-2011,FALSE),0)+IFERROR(VLOOKUP($A39,WSoftball!$C:$O,J$1-2011,FALSE),0)+IFERROR(VLOOKUP($A39,WVolleyball!$C:$O,J$1-2011,FALSE),0)</f>
        <v>60312</v>
      </c>
      <c r="K39">
        <f>IFERROR(VLOOKUP($A39,MBaseball!$C:$N,K$1-2010,FALSE),0)+IFERROR(VLOOKUP($A39,MBasketball!$C:$J,K$1-2006,FALSE),0)+IFERROR(VLOOKUP($A39,MFootball!$C:$O,K$1-2011,FALSE),0)+IFERROR(VLOOKUP($A39,MIceHockey!$C:$P,K$1-2011,FALSE),0)+IFERROR(VLOOKUP($A39,MLacrosse!$C:$O,K$1-2011,FALSE),0)+IFERROR(VLOOKUP($A39,MSoccer!$C:$O,K$1-2011,FALSE),0)+IFERROR(VLOOKUP($A39,MVolleyball!$C:$O,K$1-2011,FALSE),0)+IFERROR(VLOOKUP($A39,WBasketball!$C:$O,K$1-2011,FALSE),0)+IFERROR(VLOOKUP($A39,WFieldHockey!$C:$O,K$1-2011,FALSE),0)+IFERROR(VLOOKUP($A39,WIceHockey!$C:$O,K$1-2011,FALSE),0)+IFERROR(VLOOKUP($A39,WLacrosse!$C:$O,K$1-2011,FALSE),0)+IFERROR(VLOOKUP($A39,WSoccer!$C:$O,K$1-2011,FALSE),0)+IFERROR(VLOOKUP($A39,WSoftball!$C:$O,K$1-2011,FALSE),0)+IFERROR(VLOOKUP($A39,WVolleyball!$C:$O,K$1-2011,FALSE),0)</f>
        <v>58596</v>
      </c>
      <c r="L39">
        <f>IFERROR(VLOOKUP($A39,MBaseball!$C:$N,L$1-2010,FALSE),0)+IFERROR(VLOOKUP($A39,MBasketball!$C:$J,L$1-2006,FALSE),0)+IFERROR(VLOOKUP($A39,MFootball!$C:$O,L$1-2011,FALSE),0)+IFERROR(VLOOKUP($A39,MIceHockey!$C:$P,L$1-2011,FALSE),0)+IFERROR(VLOOKUP($A39,MLacrosse!$C:$O,L$1-2011,FALSE),0)+IFERROR(VLOOKUP($A39,MSoccer!$C:$O,L$1-2011,FALSE),0)+IFERROR(VLOOKUP($A39,MVolleyball!$C:$O,L$1-2011,FALSE),0)+IFERROR(VLOOKUP($A39,WBasketball!$C:$O,L$1-2011,FALSE),0)+IFERROR(VLOOKUP($A39,WFieldHockey!$C:$O,L$1-2011,FALSE),0)+IFERROR(VLOOKUP($A39,WIceHockey!$C:$O,L$1-2011,FALSE),0)+IFERROR(VLOOKUP($A39,WLacrosse!$C:$O,L$1-2011,FALSE),0)+IFERROR(VLOOKUP($A39,WSoccer!$C:$O,L$1-2011,FALSE),0)+IFERROR(VLOOKUP($A39,WSoftball!$C:$O,L$1-2011,FALSE),0)+IFERROR(VLOOKUP($A39,WVolleyball!$C:$O,L$1-2011,FALSE),0)</f>
        <v>27552</v>
      </c>
      <c r="M39">
        <f>IFERROR(VLOOKUP($A39,MBaseball!$C:$N,M$1-2010,FALSE),0)+IFERROR(VLOOKUP($A39,MBasketball!$C:$J,M$1-2006,FALSE),0)+IFERROR(VLOOKUP($A39,MFootball!$C:$O,M$1-2011,FALSE),0)+IFERROR(VLOOKUP($A39,MIceHockey!$C:$P,M$1-2011,FALSE),0)+IFERROR(VLOOKUP($A39,MLacrosse!$C:$O,M$1-2011,FALSE),0)+IFERROR(VLOOKUP($A39,MSoccer!$C:$O,M$1-2011,FALSE),0)+IFERROR(VLOOKUP($A39,MVolleyball!$C:$O,M$1-2011,FALSE),0)+IFERROR(VLOOKUP($A39,WBasketball!$C:$O,M$1-2011,FALSE),0)+IFERROR(VLOOKUP($A39,WFieldHockey!$C:$O,M$1-2011,FALSE),0)+IFERROR(VLOOKUP($A39,WIceHockey!$C:$O,M$1-2011,FALSE),0)+IFERROR(VLOOKUP($A39,WLacrosse!$C:$O,M$1-2011,FALSE),0)+IFERROR(VLOOKUP($A39,WSoccer!$C:$O,M$1-2011,FALSE),0)+IFERROR(VLOOKUP($A39,WSoftball!$C:$O,M$1-2011,FALSE),0)+IFERROR(VLOOKUP($A39,WVolleyball!$C:$O,M$1-2011,FALSE),0)</f>
        <v>51900</v>
      </c>
      <c r="N39">
        <f>IFERROR(VLOOKUP($A39,MBaseball!$C:$N,N$1-2010,FALSE),0)+IFERROR(VLOOKUP($A39,MBasketball!$C:$J,N$1-2006,FALSE),0)+IFERROR(VLOOKUP($A39,MFootball!$C:$O,N$1-2011,FALSE),0)+IFERROR(VLOOKUP($A39,MIceHockey!$C:$P,N$1-2011,FALSE),0)+IFERROR(VLOOKUP($A39,MLacrosse!$C:$O,N$1-2011,FALSE),0)+IFERROR(VLOOKUP($A39,MSoccer!$C:$O,N$1-2011,FALSE),0)+IFERROR(VLOOKUP($A39,MVolleyball!$C:$O,N$1-2011,FALSE),0)+IFERROR(VLOOKUP($A39,WBasketball!$C:$O,N$1-2011,FALSE),0)+IFERROR(VLOOKUP($A39,WFieldHockey!$C:$O,N$1-2011,FALSE),0)+IFERROR(VLOOKUP($A39,WIceHockey!$C:$O,N$1-2011,FALSE),0)+IFERROR(VLOOKUP($A39,WLacrosse!$C:$O,N$1-2011,FALSE),0)+IFERROR(VLOOKUP($A39,WSoccer!$C:$O,N$1-2011,FALSE),0)+IFERROR(VLOOKUP($A39,WSoftball!$C:$O,N$1-2011,FALSE),0)+IFERROR(VLOOKUP($A39,WVolleyball!$C:$O,N$1-2011,FALSE),0)</f>
        <v>48324</v>
      </c>
    </row>
    <row r="40" spans="1:14" x14ac:dyDescent="0.2">
      <c r="A40">
        <v>133951</v>
      </c>
      <c r="B40">
        <v>33100</v>
      </c>
      <c r="C40" t="s">
        <v>88</v>
      </c>
      <c r="D40">
        <v>39</v>
      </c>
      <c r="E40">
        <f>IFERROR(VLOOKUP($A40,MBaseball!$C:$N,E$1-2010,FALSE),0)+IFERROR(VLOOKUP($A40,MBasketball!$C:$J,E$1-2006,FALSE),0)+IFERROR(VLOOKUP($A40,MFootball!$C:$O,E$1-2011,FALSE),0)+IFERROR(VLOOKUP($A40,MIceHockey!$C:$P,E$1-2011,FALSE),0)+IFERROR(VLOOKUP($A40,MLacrosse!$C:$O,E$1-2011,FALSE),0)+IFERROR(VLOOKUP($A40,MSoccer!$C:$O,E$1-2011,FALSE),0)+IFERROR(VLOOKUP($A40,MVolleyball!$C:$O,E$1-2011,FALSE),0)+IFERROR(VLOOKUP($A40,WBasketball!$C:$O,E$1-2011,FALSE),0)+IFERROR(VLOOKUP($A40,WFieldHockey!$C:$O,E$1-2011,FALSE),0)+IFERROR(VLOOKUP($A40,WIceHockey!$C:$O,E$1-2011,FALSE),0)+IFERROR(VLOOKUP($A40,WLacrosse!$C:$O,E$1-2011,FALSE),0)+IFERROR(VLOOKUP($A40,WSoccer!$C:$O,E$1-2011,FALSE),0)+IFERROR(VLOOKUP($A40,WSoftball!$C:$O,E$1-2011,FALSE),0)+IFERROR(VLOOKUP($A40,WVolleyball!$C:$O,E$1-2011,FALSE),0)</f>
        <v>38009</v>
      </c>
      <c r="F40">
        <f>IFERROR(VLOOKUP($A40,MBaseball!$C:$N,F$1-2010,FALSE),0)+IFERROR(VLOOKUP($A40,MBasketball!$C:$J,F$1-2006,FALSE),0)+IFERROR(VLOOKUP($A40,MFootball!$C:$O,F$1-2011,FALSE),0)+IFERROR(VLOOKUP($A40,MIceHockey!$C:$P,F$1-2011,FALSE),0)+IFERROR(VLOOKUP($A40,MLacrosse!$C:$O,F$1-2011,FALSE),0)+IFERROR(VLOOKUP($A40,MSoccer!$C:$O,F$1-2011,FALSE),0)+IFERROR(VLOOKUP($A40,MVolleyball!$C:$O,F$1-2011,FALSE),0)+IFERROR(VLOOKUP($A40,WBasketball!$C:$O,F$1-2011,FALSE),0)+IFERROR(VLOOKUP($A40,WFieldHockey!$C:$O,F$1-2011,FALSE),0)+IFERROR(VLOOKUP($A40,WIceHockey!$C:$O,F$1-2011,FALSE),0)+IFERROR(VLOOKUP($A40,WLacrosse!$C:$O,F$1-2011,FALSE),0)+IFERROR(VLOOKUP($A40,WSoccer!$C:$O,F$1-2011,FALSE),0)+IFERROR(VLOOKUP($A40,WSoftball!$C:$O,F$1-2011,FALSE),0)+IFERROR(VLOOKUP($A40,WVolleyball!$C:$O,F$1-2011,FALSE),0)</f>
        <v>118182</v>
      </c>
      <c r="G40">
        <f>IFERROR(VLOOKUP($A40,MBaseball!$C:$N,G$1-2010,FALSE),0)+IFERROR(VLOOKUP($A40,MBasketball!$C:$J,G$1-2006,FALSE),0)+IFERROR(VLOOKUP($A40,MFootball!$C:$O,G$1-2011,FALSE),0)+IFERROR(VLOOKUP($A40,MIceHockey!$C:$P,G$1-2011,FALSE),0)+IFERROR(VLOOKUP($A40,MLacrosse!$C:$O,G$1-2011,FALSE),0)+IFERROR(VLOOKUP($A40,MSoccer!$C:$O,G$1-2011,FALSE),0)+IFERROR(VLOOKUP($A40,MVolleyball!$C:$O,G$1-2011,FALSE),0)+IFERROR(VLOOKUP($A40,WBasketball!$C:$O,G$1-2011,FALSE),0)+IFERROR(VLOOKUP($A40,WFieldHockey!$C:$O,G$1-2011,FALSE),0)+IFERROR(VLOOKUP($A40,WIceHockey!$C:$O,G$1-2011,FALSE),0)+IFERROR(VLOOKUP($A40,WLacrosse!$C:$O,G$1-2011,FALSE),0)+IFERROR(VLOOKUP($A40,WSoccer!$C:$O,G$1-2011,FALSE),0)+IFERROR(VLOOKUP($A40,WSoftball!$C:$O,G$1-2011,FALSE),0)+IFERROR(VLOOKUP($A40,WVolleyball!$C:$O,G$1-2011,FALSE),0)</f>
        <v>118633</v>
      </c>
      <c r="H40">
        <f>IFERROR(VLOOKUP($A40,MBaseball!$C:$N,H$1-2010,FALSE),0)+IFERROR(VLOOKUP($A40,MBasketball!$C:$J,H$1-2006,FALSE),0)+IFERROR(VLOOKUP($A40,MFootball!$C:$O,H$1-2011,FALSE),0)+IFERROR(VLOOKUP($A40,MIceHockey!$C:$P,H$1-2011,FALSE),0)+IFERROR(VLOOKUP($A40,MLacrosse!$C:$O,H$1-2011,FALSE),0)+IFERROR(VLOOKUP($A40,MSoccer!$C:$O,H$1-2011,FALSE),0)+IFERROR(VLOOKUP($A40,MVolleyball!$C:$O,H$1-2011,FALSE),0)+IFERROR(VLOOKUP($A40,WBasketball!$C:$O,H$1-2011,FALSE),0)+IFERROR(VLOOKUP($A40,WFieldHockey!$C:$O,H$1-2011,FALSE),0)+IFERROR(VLOOKUP($A40,WIceHockey!$C:$O,H$1-2011,FALSE),0)+IFERROR(VLOOKUP($A40,WLacrosse!$C:$O,H$1-2011,FALSE),0)+IFERROR(VLOOKUP($A40,WSoccer!$C:$O,H$1-2011,FALSE),0)+IFERROR(VLOOKUP($A40,WSoftball!$C:$O,H$1-2011,FALSE),0)+IFERROR(VLOOKUP($A40,WVolleyball!$C:$O,H$1-2011,FALSE),0)</f>
        <v>155015</v>
      </c>
      <c r="I40">
        <f>IFERROR(VLOOKUP($A40,MBaseball!$C:$N,I$1-2010,FALSE),0)+IFERROR(VLOOKUP($A40,MBasketball!$C:$J,I$1-2006,FALSE),0)+IFERROR(VLOOKUP($A40,MFootball!$C:$O,I$1-2011,FALSE),0)+IFERROR(VLOOKUP($A40,MIceHockey!$C:$P,I$1-2011,FALSE),0)+IFERROR(VLOOKUP($A40,MLacrosse!$C:$O,I$1-2011,FALSE),0)+IFERROR(VLOOKUP($A40,MSoccer!$C:$O,I$1-2011,FALSE),0)+IFERROR(VLOOKUP($A40,MVolleyball!$C:$O,I$1-2011,FALSE),0)+IFERROR(VLOOKUP($A40,WBasketball!$C:$O,I$1-2011,FALSE),0)+IFERROR(VLOOKUP($A40,WFieldHockey!$C:$O,I$1-2011,FALSE),0)+IFERROR(VLOOKUP($A40,WIceHockey!$C:$O,I$1-2011,FALSE),0)+IFERROR(VLOOKUP($A40,WLacrosse!$C:$O,I$1-2011,FALSE),0)+IFERROR(VLOOKUP($A40,WSoccer!$C:$O,I$1-2011,FALSE),0)+IFERROR(VLOOKUP($A40,WSoftball!$C:$O,I$1-2011,FALSE),0)+IFERROR(VLOOKUP($A40,WVolleyball!$C:$O,I$1-2011,FALSE),0)</f>
        <v>135253</v>
      </c>
      <c r="J40">
        <f>IFERROR(VLOOKUP($A40,MBaseball!$C:$N,J$1-2010,FALSE),0)+IFERROR(VLOOKUP($A40,MBasketball!$C:$J,J$1-2006,FALSE),0)+IFERROR(VLOOKUP($A40,MFootball!$C:$O,J$1-2011,FALSE),0)+IFERROR(VLOOKUP($A40,MIceHockey!$C:$P,J$1-2011,FALSE),0)+IFERROR(VLOOKUP($A40,MLacrosse!$C:$O,J$1-2011,FALSE),0)+IFERROR(VLOOKUP($A40,MSoccer!$C:$O,J$1-2011,FALSE),0)+IFERROR(VLOOKUP($A40,MVolleyball!$C:$O,J$1-2011,FALSE),0)+IFERROR(VLOOKUP($A40,WBasketball!$C:$O,J$1-2011,FALSE),0)+IFERROR(VLOOKUP($A40,WFieldHockey!$C:$O,J$1-2011,FALSE),0)+IFERROR(VLOOKUP($A40,WIceHockey!$C:$O,J$1-2011,FALSE),0)+IFERROR(VLOOKUP($A40,WLacrosse!$C:$O,J$1-2011,FALSE),0)+IFERROR(VLOOKUP($A40,WSoccer!$C:$O,J$1-2011,FALSE),0)+IFERROR(VLOOKUP($A40,WSoftball!$C:$O,J$1-2011,FALSE),0)+IFERROR(VLOOKUP($A40,WVolleyball!$C:$O,J$1-2011,FALSE),0)</f>
        <v>133494</v>
      </c>
      <c r="K40">
        <f>IFERROR(VLOOKUP($A40,MBaseball!$C:$N,K$1-2010,FALSE),0)+IFERROR(VLOOKUP($A40,MBasketball!$C:$J,K$1-2006,FALSE),0)+IFERROR(VLOOKUP($A40,MFootball!$C:$O,K$1-2011,FALSE),0)+IFERROR(VLOOKUP($A40,MIceHockey!$C:$P,K$1-2011,FALSE),0)+IFERROR(VLOOKUP($A40,MLacrosse!$C:$O,K$1-2011,FALSE),0)+IFERROR(VLOOKUP($A40,MSoccer!$C:$O,K$1-2011,FALSE),0)+IFERROR(VLOOKUP($A40,MVolleyball!$C:$O,K$1-2011,FALSE),0)+IFERROR(VLOOKUP($A40,WBasketball!$C:$O,K$1-2011,FALSE),0)+IFERROR(VLOOKUP($A40,WFieldHockey!$C:$O,K$1-2011,FALSE),0)+IFERROR(VLOOKUP($A40,WIceHockey!$C:$O,K$1-2011,FALSE),0)+IFERROR(VLOOKUP($A40,WLacrosse!$C:$O,K$1-2011,FALSE),0)+IFERROR(VLOOKUP($A40,WSoccer!$C:$O,K$1-2011,FALSE),0)+IFERROR(VLOOKUP($A40,WSoftball!$C:$O,K$1-2011,FALSE),0)+IFERROR(VLOOKUP($A40,WVolleyball!$C:$O,K$1-2011,FALSE),0)</f>
        <v>95983</v>
      </c>
      <c r="L40">
        <f>IFERROR(VLOOKUP($A40,MBaseball!$C:$N,L$1-2010,FALSE),0)+IFERROR(VLOOKUP($A40,MBasketball!$C:$J,L$1-2006,FALSE),0)+IFERROR(VLOOKUP($A40,MFootball!$C:$O,L$1-2011,FALSE),0)+IFERROR(VLOOKUP($A40,MIceHockey!$C:$P,L$1-2011,FALSE),0)+IFERROR(VLOOKUP($A40,MLacrosse!$C:$O,L$1-2011,FALSE),0)+IFERROR(VLOOKUP($A40,MSoccer!$C:$O,L$1-2011,FALSE),0)+IFERROR(VLOOKUP($A40,MVolleyball!$C:$O,L$1-2011,FALSE),0)+IFERROR(VLOOKUP($A40,WBasketball!$C:$O,L$1-2011,FALSE),0)+IFERROR(VLOOKUP($A40,WFieldHockey!$C:$O,L$1-2011,FALSE),0)+IFERROR(VLOOKUP($A40,WIceHockey!$C:$O,L$1-2011,FALSE),0)+IFERROR(VLOOKUP($A40,WLacrosse!$C:$O,L$1-2011,FALSE),0)+IFERROR(VLOOKUP($A40,WSoccer!$C:$O,L$1-2011,FALSE),0)+IFERROR(VLOOKUP($A40,WSoftball!$C:$O,L$1-2011,FALSE),0)+IFERROR(VLOOKUP($A40,WVolleyball!$C:$O,L$1-2011,FALSE),0)</f>
        <v>19959</v>
      </c>
      <c r="M40">
        <f>IFERROR(VLOOKUP($A40,MBaseball!$C:$N,M$1-2010,FALSE),0)+IFERROR(VLOOKUP($A40,MBasketball!$C:$J,M$1-2006,FALSE),0)+IFERROR(VLOOKUP($A40,MFootball!$C:$O,M$1-2011,FALSE),0)+IFERROR(VLOOKUP($A40,MIceHockey!$C:$P,M$1-2011,FALSE),0)+IFERROR(VLOOKUP($A40,MLacrosse!$C:$O,M$1-2011,FALSE),0)+IFERROR(VLOOKUP($A40,MSoccer!$C:$O,M$1-2011,FALSE),0)+IFERROR(VLOOKUP($A40,MVolleyball!$C:$O,M$1-2011,FALSE),0)+IFERROR(VLOOKUP($A40,WBasketball!$C:$O,M$1-2011,FALSE),0)+IFERROR(VLOOKUP($A40,WFieldHockey!$C:$O,M$1-2011,FALSE),0)+IFERROR(VLOOKUP($A40,WIceHockey!$C:$O,M$1-2011,FALSE),0)+IFERROR(VLOOKUP($A40,WLacrosse!$C:$O,M$1-2011,FALSE),0)+IFERROR(VLOOKUP($A40,WSoccer!$C:$O,M$1-2011,FALSE),0)+IFERROR(VLOOKUP($A40,WSoftball!$C:$O,M$1-2011,FALSE),0)+IFERROR(VLOOKUP($A40,WVolleyball!$C:$O,M$1-2011,FALSE),0)</f>
        <v>40592</v>
      </c>
      <c r="N40">
        <f>IFERROR(VLOOKUP($A40,MBaseball!$C:$N,N$1-2010,FALSE),0)+IFERROR(VLOOKUP($A40,MBasketball!$C:$J,N$1-2006,FALSE),0)+IFERROR(VLOOKUP($A40,MFootball!$C:$O,N$1-2011,FALSE),0)+IFERROR(VLOOKUP($A40,MIceHockey!$C:$P,N$1-2011,FALSE),0)+IFERROR(VLOOKUP($A40,MLacrosse!$C:$O,N$1-2011,FALSE),0)+IFERROR(VLOOKUP($A40,MSoccer!$C:$O,N$1-2011,FALSE),0)+IFERROR(VLOOKUP($A40,MVolleyball!$C:$O,N$1-2011,FALSE),0)+IFERROR(VLOOKUP($A40,WBasketball!$C:$O,N$1-2011,FALSE),0)+IFERROR(VLOOKUP($A40,WFieldHockey!$C:$O,N$1-2011,FALSE),0)+IFERROR(VLOOKUP($A40,WIceHockey!$C:$O,N$1-2011,FALSE),0)+IFERROR(VLOOKUP($A40,WLacrosse!$C:$O,N$1-2011,FALSE),0)+IFERROR(VLOOKUP($A40,WSoccer!$C:$O,N$1-2011,FALSE),0)+IFERROR(VLOOKUP($A40,WSoftball!$C:$O,N$1-2011,FALSE),0)+IFERROR(VLOOKUP($A40,WVolleyball!$C:$O,N$1-2011,FALSE),0)</f>
        <v>113458</v>
      </c>
    </row>
    <row r="41" spans="1:14" x14ac:dyDescent="0.2">
      <c r="A41">
        <v>134097</v>
      </c>
      <c r="B41">
        <v>45220</v>
      </c>
      <c r="C41" t="s">
        <v>89</v>
      </c>
      <c r="D41">
        <v>40</v>
      </c>
      <c r="E41">
        <f>IFERROR(VLOOKUP($A41,MBaseball!$C:$N,E$1-2010,FALSE),0)+IFERROR(VLOOKUP($A41,MBasketball!$C:$J,E$1-2006,FALSE),0)+IFERROR(VLOOKUP($A41,MFootball!$C:$O,E$1-2011,FALSE),0)+IFERROR(VLOOKUP($A41,MIceHockey!$C:$P,E$1-2011,FALSE),0)+IFERROR(VLOOKUP($A41,MLacrosse!$C:$O,E$1-2011,FALSE),0)+IFERROR(VLOOKUP($A41,MSoccer!$C:$O,E$1-2011,FALSE),0)+IFERROR(VLOOKUP($A41,MVolleyball!$C:$O,E$1-2011,FALSE),0)+IFERROR(VLOOKUP($A41,WBasketball!$C:$O,E$1-2011,FALSE),0)+IFERROR(VLOOKUP($A41,WFieldHockey!$C:$O,E$1-2011,FALSE),0)+IFERROR(VLOOKUP($A41,WIceHockey!$C:$O,E$1-2011,FALSE),0)+IFERROR(VLOOKUP($A41,WLacrosse!$C:$O,E$1-2011,FALSE),0)+IFERROR(VLOOKUP($A41,WSoccer!$C:$O,E$1-2011,FALSE),0)+IFERROR(VLOOKUP($A41,WSoftball!$C:$O,E$1-2011,FALSE),0)+IFERROR(VLOOKUP($A41,WVolleyball!$C:$O,E$1-2011,FALSE),0)</f>
        <v>366803</v>
      </c>
      <c r="F41">
        <f>IFERROR(VLOOKUP($A41,MBaseball!$C:$N,F$1-2010,FALSE),0)+IFERROR(VLOOKUP($A41,MBasketball!$C:$J,F$1-2006,FALSE),0)+IFERROR(VLOOKUP($A41,MFootball!$C:$O,F$1-2011,FALSE),0)+IFERROR(VLOOKUP($A41,MIceHockey!$C:$P,F$1-2011,FALSE),0)+IFERROR(VLOOKUP($A41,MLacrosse!$C:$O,F$1-2011,FALSE),0)+IFERROR(VLOOKUP($A41,MSoccer!$C:$O,F$1-2011,FALSE),0)+IFERROR(VLOOKUP($A41,MVolleyball!$C:$O,F$1-2011,FALSE),0)+IFERROR(VLOOKUP($A41,WBasketball!$C:$O,F$1-2011,FALSE),0)+IFERROR(VLOOKUP($A41,WFieldHockey!$C:$O,F$1-2011,FALSE),0)+IFERROR(VLOOKUP($A41,WIceHockey!$C:$O,F$1-2011,FALSE),0)+IFERROR(VLOOKUP($A41,WLacrosse!$C:$O,F$1-2011,FALSE),0)+IFERROR(VLOOKUP($A41,WSoccer!$C:$O,F$1-2011,FALSE),0)+IFERROR(VLOOKUP($A41,WSoftball!$C:$O,F$1-2011,FALSE),0)+IFERROR(VLOOKUP($A41,WVolleyball!$C:$O,F$1-2011,FALSE),0)</f>
        <v>814105</v>
      </c>
      <c r="G41">
        <f>IFERROR(VLOOKUP($A41,MBaseball!$C:$N,G$1-2010,FALSE),0)+IFERROR(VLOOKUP($A41,MBasketball!$C:$J,G$1-2006,FALSE),0)+IFERROR(VLOOKUP($A41,MFootball!$C:$O,G$1-2011,FALSE),0)+IFERROR(VLOOKUP($A41,MIceHockey!$C:$P,G$1-2011,FALSE),0)+IFERROR(VLOOKUP($A41,MLacrosse!$C:$O,G$1-2011,FALSE),0)+IFERROR(VLOOKUP($A41,MSoccer!$C:$O,G$1-2011,FALSE),0)+IFERROR(VLOOKUP($A41,MVolleyball!$C:$O,G$1-2011,FALSE),0)+IFERROR(VLOOKUP($A41,WBasketball!$C:$O,G$1-2011,FALSE),0)+IFERROR(VLOOKUP($A41,WFieldHockey!$C:$O,G$1-2011,FALSE),0)+IFERROR(VLOOKUP($A41,WIceHockey!$C:$O,G$1-2011,FALSE),0)+IFERROR(VLOOKUP($A41,WLacrosse!$C:$O,G$1-2011,FALSE),0)+IFERROR(VLOOKUP($A41,WSoccer!$C:$O,G$1-2011,FALSE),0)+IFERROR(VLOOKUP($A41,WSoftball!$C:$O,G$1-2011,FALSE),0)+IFERROR(VLOOKUP($A41,WVolleyball!$C:$O,G$1-2011,FALSE),0)</f>
        <v>793677</v>
      </c>
      <c r="H41">
        <f>IFERROR(VLOOKUP($A41,MBaseball!$C:$N,H$1-2010,FALSE),0)+IFERROR(VLOOKUP($A41,MBasketball!$C:$J,H$1-2006,FALSE),0)+IFERROR(VLOOKUP($A41,MFootball!$C:$O,H$1-2011,FALSE),0)+IFERROR(VLOOKUP($A41,MIceHockey!$C:$P,H$1-2011,FALSE),0)+IFERROR(VLOOKUP($A41,MLacrosse!$C:$O,H$1-2011,FALSE),0)+IFERROR(VLOOKUP($A41,MSoccer!$C:$O,H$1-2011,FALSE),0)+IFERROR(VLOOKUP($A41,MVolleyball!$C:$O,H$1-2011,FALSE),0)+IFERROR(VLOOKUP($A41,WBasketball!$C:$O,H$1-2011,FALSE),0)+IFERROR(VLOOKUP($A41,WFieldHockey!$C:$O,H$1-2011,FALSE),0)+IFERROR(VLOOKUP($A41,WIceHockey!$C:$O,H$1-2011,FALSE),0)+IFERROR(VLOOKUP($A41,WLacrosse!$C:$O,H$1-2011,FALSE),0)+IFERROR(VLOOKUP($A41,WSoccer!$C:$O,H$1-2011,FALSE),0)+IFERROR(VLOOKUP($A41,WSoftball!$C:$O,H$1-2011,FALSE),0)+IFERROR(VLOOKUP($A41,WVolleyball!$C:$O,H$1-2011,FALSE),0)</f>
        <v>750413</v>
      </c>
      <c r="I41">
        <f>IFERROR(VLOOKUP($A41,MBaseball!$C:$N,I$1-2010,FALSE),0)+IFERROR(VLOOKUP($A41,MBasketball!$C:$J,I$1-2006,FALSE),0)+IFERROR(VLOOKUP($A41,MFootball!$C:$O,I$1-2011,FALSE),0)+IFERROR(VLOOKUP($A41,MIceHockey!$C:$P,I$1-2011,FALSE),0)+IFERROR(VLOOKUP($A41,MLacrosse!$C:$O,I$1-2011,FALSE),0)+IFERROR(VLOOKUP($A41,MSoccer!$C:$O,I$1-2011,FALSE),0)+IFERROR(VLOOKUP($A41,MVolleyball!$C:$O,I$1-2011,FALSE),0)+IFERROR(VLOOKUP($A41,WBasketball!$C:$O,I$1-2011,FALSE),0)+IFERROR(VLOOKUP($A41,WFieldHockey!$C:$O,I$1-2011,FALSE),0)+IFERROR(VLOOKUP($A41,WIceHockey!$C:$O,I$1-2011,FALSE),0)+IFERROR(VLOOKUP($A41,WLacrosse!$C:$O,I$1-2011,FALSE),0)+IFERROR(VLOOKUP($A41,WSoccer!$C:$O,I$1-2011,FALSE),0)+IFERROR(VLOOKUP($A41,WSoftball!$C:$O,I$1-2011,FALSE),0)+IFERROR(VLOOKUP($A41,WVolleyball!$C:$O,I$1-2011,FALSE),0)</f>
        <v>701243</v>
      </c>
      <c r="J41">
        <f>IFERROR(VLOOKUP($A41,MBaseball!$C:$N,J$1-2010,FALSE),0)+IFERROR(VLOOKUP($A41,MBasketball!$C:$J,J$1-2006,FALSE),0)+IFERROR(VLOOKUP($A41,MFootball!$C:$O,J$1-2011,FALSE),0)+IFERROR(VLOOKUP($A41,MIceHockey!$C:$P,J$1-2011,FALSE),0)+IFERROR(VLOOKUP($A41,MLacrosse!$C:$O,J$1-2011,FALSE),0)+IFERROR(VLOOKUP($A41,MSoccer!$C:$O,J$1-2011,FALSE),0)+IFERROR(VLOOKUP($A41,MVolleyball!$C:$O,J$1-2011,FALSE),0)+IFERROR(VLOOKUP($A41,WBasketball!$C:$O,J$1-2011,FALSE),0)+IFERROR(VLOOKUP($A41,WFieldHockey!$C:$O,J$1-2011,FALSE),0)+IFERROR(VLOOKUP($A41,WIceHockey!$C:$O,J$1-2011,FALSE),0)+IFERROR(VLOOKUP($A41,WLacrosse!$C:$O,J$1-2011,FALSE),0)+IFERROR(VLOOKUP($A41,WSoccer!$C:$O,J$1-2011,FALSE),0)+IFERROR(VLOOKUP($A41,WSoftball!$C:$O,J$1-2011,FALSE),0)+IFERROR(VLOOKUP($A41,WVolleyball!$C:$O,J$1-2011,FALSE),0)</f>
        <v>649447</v>
      </c>
      <c r="K41">
        <f>IFERROR(VLOOKUP($A41,MBaseball!$C:$N,K$1-2010,FALSE),0)+IFERROR(VLOOKUP($A41,MBasketball!$C:$J,K$1-2006,FALSE),0)+IFERROR(VLOOKUP($A41,MFootball!$C:$O,K$1-2011,FALSE),0)+IFERROR(VLOOKUP($A41,MIceHockey!$C:$P,K$1-2011,FALSE),0)+IFERROR(VLOOKUP($A41,MLacrosse!$C:$O,K$1-2011,FALSE),0)+IFERROR(VLOOKUP($A41,MSoccer!$C:$O,K$1-2011,FALSE),0)+IFERROR(VLOOKUP($A41,MVolleyball!$C:$O,K$1-2011,FALSE),0)+IFERROR(VLOOKUP($A41,WBasketball!$C:$O,K$1-2011,FALSE),0)+IFERROR(VLOOKUP($A41,WFieldHockey!$C:$O,K$1-2011,FALSE),0)+IFERROR(VLOOKUP($A41,WIceHockey!$C:$O,K$1-2011,FALSE),0)+IFERROR(VLOOKUP($A41,WLacrosse!$C:$O,K$1-2011,FALSE),0)+IFERROR(VLOOKUP($A41,WSoccer!$C:$O,K$1-2011,FALSE),0)+IFERROR(VLOOKUP($A41,WSoftball!$C:$O,K$1-2011,FALSE),0)+IFERROR(VLOOKUP($A41,WVolleyball!$C:$O,K$1-2011,FALSE),0)</f>
        <v>502063</v>
      </c>
      <c r="L41">
        <f>IFERROR(VLOOKUP($A41,MBaseball!$C:$N,L$1-2010,FALSE),0)+IFERROR(VLOOKUP($A41,MBasketball!$C:$J,L$1-2006,FALSE),0)+IFERROR(VLOOKUP($A41,MFootball!$C:$O,L$1-2011,FALSE),0)+IFERROR(VLOOKUP($A41,MIceHockey!$C:$P,L$1-2011,FALSE),0)+IFERROR(VLOOKUP($A41,MLacrosse!$C:$O,L$1-2011,FALSE),0)+IFERROR(VLOOKUP($A41,MSoccer!$C:$O,L$1-2011,FALSE),0)+IFERROR(VLOOKUP($A41,MVolleyball!$C:$O,L$1-2011,FALSE),0)+IFERROR(VLOOKUP($A41,WBasketball!$C:$O,L$1-2011,FALSE),0)+IFERROR(VLOOKUP($A41,WFieldHockey!$C:$O,L$1-2011,FALSE),0)+IFERROR(VLOOKUP($A41,WIceHockey!$C:$O,L$1-2011,FALSE),0)+IFERROR(VLOOKUP($A41,WLacrosse!$C:$O,L$1-2011,FALSE),0)+IFERROR(VLOOKUP($A41,WSoccer!$C:$O,L$1-2011,FALSE),0)+IFERROR(VLOOKUP($A41,WSoftball!$C:$O,L$1-2011,FALSE),0)+IFERROR(VLOOKUP($A41,WVolleyball!$C:$O,L$1-2011,FALSE),0)</f>
        <v>252706</v>
      </c>
      <c r="M41">
        <f>IFERROR(VLOOKUP($A41,MBaseball!$C:$N,M$1-2010,FALSE),0)+IFERROR(VLOOKUP($A41,MBasketball!$C:$J,M$1-2006,FALSE),0)+IFERROR(VLOOKUP($A41,MFootball!$C:$O,M$1-2011,FALSE),0)+IFERROR(VLOOKUP($A41,MIceHockey!$C:$P,M$1-2011,FALSE),0)+IFERROR(VLOOKUP($A41,MLacrosse!$C:$O,M$1-2011,FALSE),0)+IFERROR(VLOOKUP($A41,MSoccer!$C:$O,M$1-2011,FALSE),0)+IFERROR(VLOOKUP($A41,MVolleyball!$C:$O,M$1-2011,FALSE),0)+IFERROR(VLOOKUP($A41,WBasketball!$C:$O,M$1-2011,FALSE),0)+IFERROR(VLOOKUP($A41,WFieldHockey!$C:$O,M$1-2011,FALSE),0)+IFERROR(VLOOKUP($A41,WIceHockey!$C:$O,M$1-2011,FALSE),0)+IFERROR(VLOOKUP($A41,WLacrosse!$C:$O,M$1-2011,FALSE),0)+IFERROR(VLOOKUP($A41,WSoccer!$C:$O,M$1-2011,FALSE),0)+IFERROR(VLOOKUP($A41,WSoftball!$C:$O,M$1-2011,FALSE),0)+IFERROR(VLOOKUP($A41,WVolleyball!$C:$O,M$1-2011,FALSE),0)</f>
        <v>642775</v>
      </c>
      <c r="N41">
        <f>IFERROR(VLOOKUP($A41,MBaseball!$C:$N,N$1-2010,FALSE),0)+IFERROR(VLOOKUP($A41,MBasketball!$C:$J,N$1-2006,FALSE),0)+IFERROR(VLOOKUP($A41,MFootball!$C:$O,N$1-2011,FALSE),0)+IFERROR(VLOOKUP($A41,MIceHockey!$C:$P,N$1-2011,FALSE),0)+IFERROR(VLOOKUP($A41,MLacrosse!$C:$O,N$1-2011,FALSE),0)+IFERROR(VLOOKUP($A41,MSoccer!$C:$O,N$1-2011,FALSE),0)+IFERROR(VLOOKUP($A41,MVolleyball!$C:$O,N$1-2011,FALSE),0)+IFERROR(VLOOKUP($A41,WBasketball!$C:$O,N$1-2011,FALSE),0)+IFERROR(VLOOKUP($A41,WFieldHockey!$C:$O,N$1-2011,FALSE),0)+IFERROR(VLOOKUP($A41,WIceHockey!$C:$O,N$1-2011,FALSE),0)+IFERROR(VLOOKUP($A41,WLacrosse!$C:$O,N$1-2011,FALSE),0)+IFERROR(VLOOKUP($A41,WSoccer!$C:$O,N$1-2011,FALSE),0)+IFERROR(VLOOKUP($A41,WSoftball!$C:$O,N$1-2011,FALSE),0)+IFERROR(VLOOKUP($A41,WVolleyball!$C:$O,N$1-2011,FALSE),0)</f>
        <v>576849</v>
      </c>
    </row>
    <row r="42" spans="1:14" x14ac:dyDescent="0.2">
      <c r="A42">
        <v>110556</v>
      </c>
      <c r="B42">
        <v>23420</v>
      </c>
      <c r="C42" t="s">
        <v>90</v>
      </c>
      <c r="D42">
        <v>41</v>
      </c>
      <c r="E42">
        <f>IFERROR(VLOOKUP($A42,MBaseball!$C:$N,E$1-2010,FALSE),0)+IFERROR(VLOOKUP($A42,MBasketball!$C:$J,E$1-2006,FALSE),0)+IFERROR(VLOOKUP($A42,MFootball!$C:$O,E$1-2011,FALSE),0)+IFERROR(VLOOKUP($A42,MIceHockey!$C:$P,E$1-2011,FALSE),0)+IFERROR(VLOOKUP($A42,MLacrosse!$C:$O,E$1-2011,FALSE),0)+IFERROR(VLOOKUP($A42,MSoccer!$C:$O,E$1-2011,FALSE),0)+IFERROR(VLOOKUP($A42,MVolleyball!$C:$O,E$1-2011,FALSE),0)+IFERROR(VLOOKUP($A42,WBasketball!$C:$O,E$1-2011,FALSE),0)+IFERROR(VLOOKUP($A42,WFieldHockey!$C:$O,E$1-2011,FALSE),0)+IFERROR(VLOOKUP($A42,WIceHockey!$C:$O,E$1-2011,FALSE),0)+IFERROR(VLOOKUP($A42,WLacrosse!$C:$O,E$1-2011,FALSE),0)+IFERROR(VLOOKUP($A42,WSoccer!$C:$O,E$1-2011,FALSE),0)+IFERROR(VLOOKUP($A42,WSoftball!$C:$O,E$1-2011,FALSE),0)+IFERROR(VLOOKUP($A42,WVolleyball!$C:$O,E$1-2011,FALSE),0)</f>
        <v>195368</v>
      </c>
      <c r="F42">
        <f>IFERROR(VLOOKUP($A42,MBaseball!$C:$N,F$1-2010,FALSE),0)+IFERROR(VLOOKUP($A42,MBasketball!$C:$J,F$1-2006,FALSE),0)+IFERROR(VLOOKUP($A42,MFootball!$C:$O,F$1-2011,FALSE),0)+IFERROR(VLOOKUP($A42,MIceHockey!$C:$P,F$1-2011,FALSE),0)+IFERROR(VLOOKUP($A42,MLacrosse!$C:$O,F$1-2011,FALSE),0)+IFERROR(VLOOKUP($A42,MSoccer!$C:$O,F$1-2011,FALSE),0)+IFERROR(VLOOKUP($A42,MVolleyball!$C:$O,F$1-2011,FALSE),0)+IFERROR(VLOOKUP($A42,WBasketball!$C:$O,F$1-2011,FALSE),0)+IFERROR(VLOOKUP($A42,WFieldHockey!$C:$O,F$1-2011,FALSE),0)+IFERROR(VLOOKUP($A42,WIceHockey!$C:$O,F$1-2011,FALSE),0)+IFERROR(VLOOKUP($A42,WLacrosse!$C:$O,F$1-2011,FALSE),0)+IFERROR(VLOOKUP($A42,WSoccer!$C:$O,F$1-2011,FALSE),0)+IFERROR(VLOOKUP($A42,WSoftball!$C:$O,F$1-2011,FALSE),0)+IFERROR(VLOOKUP($A42,WVolleyball!$C:$O,F$1-2011,FALSE),0)</f>
        <v>298956</v>
      </c>
      <c r="G42">
        <f>IFERROR(VLOOKUP($A42,MBaseball!$C:$N,G$1-2010,FALSE),0)+IFERROR(VLOOKUP($A42,MBasketball!$C:$J,G$1-2006,FALSE),0)+IFERROR(VLOOKUP($A42,MFootball!$C:$O,G$1-2011,FALSE),0)+IFERROR(VLOOKUP($A42,MIceHockey!$C:$P,G$1-2011,FALSE),0)+IFERROR(VLOOKUP($A42,MLacrosse!$C:$O,G$1-2011,FALSE),0)+IFERROR(VLOOKUP($A42,MSoccer!$C:$O,G$1-2011,FALSE),0)+IFERROR(VLOOKUP($A42,MVolleyball!$C:$O,G$1-2011,FALSE),0)+IFERROR(VLOOKUP($A42,WBasketball!$C:$O,G$1-2011,FALSE),0)+IFERROR(VLOOKUP($A42,WFieldHockey!$C:$O,G$1-2011,FALSE),0)+IFERROR(VLOOKUP($A42,WIceHockey!$C:$O,G$1-2011,FALSE),0)+IFERROR(VLOOKUP($A42,WLacrosse!$C:$O,G$1-2011,FALSE),0)+IFERROR(VLOOKUP($A42,WSoccer!$C:$O,G$1-2011,FALSE),0)+IFERROR(VLOOKUP($A42,WSoftball!$C:$O,G$1-2011,FALSE),0)+IFERROR(VLOOKUP($A42,WVolleyball!$C:$O,G$1-2011,FALSE),0)</f>
        <v>302524</v>
      </c>
      <c r="H42">
        <f>IFERROR(VLOOKUP($A42,MBaseball!$C:$N,H$1-2010,FALSE),0)+IFERROR(VLOOKUP($A42,MBasketball!$C:$J,H$1-2006,FALSE),0)+IFERROR(VLOOKUP($A42,MFootball!$C:$O,H$1-2011,FALSE),0)+IFERROR(VLOOKUP($A42,MIceHockey!$C:$P,H$1-2011,FALSE),0)+IFERROR(VLOOKUP($A42,MLacrosse!$C:$O,H$1-2011,FALSE),0)+IFERROR(VLOOKUP($A42,MSoccer!$C:$O,H$1-2011,FALSE),0)+IFERROR(VLOOKUP($A42,MVolleyball!$C:$O,H$1-2011,FALSE),0)+IFERROR(VLOOKUP($A42,WBasketball!$C:$O,H$1-2011,FALSE),0)+IFERROR(VLOOKUP($A42,WFieldHockey!$C:$O,H$1-2011,FALSE),0)+IFERROR(VLOOKUP($A42,WIceHockey!$C:$O,H$1-2011,FALSE),0)+IFERROR(VLOOKUP($A42,WLacrosse!$C:$O,H$1-2011,FALSE),0)+IFERROR(VLOOKUP($A42,WSoccer!$C:$O,H$1-2011,FALSE),0)+IFERROR(VLOOKUP($A42,WSoftball!$C:$O,H$1-2011,FALSE),0)+IFERROR(VLOOKUP($A42,WVolleyball!$C:$O,H$1-2011,FALSE),0)</f>
        <v>276970</v>
      </c>
      <c r="I42">
        <f>IFERROR(VLOOKUP($A42,MBaseball!$C:$N,I$1-2010,FALSE),0)+IFERROR(VLOOKUP($A42,MBasketball!$C:$J,I$1-2006,FALSE),0)+IFERROR(VLOOKUP($A42,MFootball!$C:$O,I$1-2011,FALSE),0)+IFERROR(VLOOKUP($A42,MIceHockey!$C:$P,I$1-2011,FALSE),0)+IFERROR(VLOOKUP($A42,MLacrosse!$C:$O,I$1-2011,FALSE),0)+IFERROR(VLOOKUP($A42,MSoccer!$C:$O,I$1-2011,FALSE),0)+IFERROR(VLOOKUP($A42,MVolleyball!$C:$O,I$1-2011,FALSE),0)+IFERROR(VLOOKUP($A42,WBasketball!$C:$O,I$1-2011,FALSE),0)+IFERROR(VLOOKUP($A42,WFieldHockey!$C:$O,I$1-2011,FALSE),0)+IFERROR(VLOOKUP($A42,WIceHockey!$C:$O,I$1-2011,FALSE),0)+IFERROR(VLOOKUP($A42,WLacrosse!$C:$O,I$1-2011,FALSE),0)+IFERROR(VLOOKUP($A42,WSoccer!$C:$O,I$1-2011,FALSE),0)+IFERROR(VLOOKUP($A42,WSoftball!$C:$O,I$1-2011,FALSE),0)+IFERROR(VLOOKUP($A42,WVolleyball!$C:$O,I$1-2011,FALSE),0)</f>
        <v>283235</v>
      </c>
      <c r="J42">
        <f>IFERROR(VLOOKUP($A42,MBaseball!$C:$N,J$1-2010,FALSE),0)+IFERROR(VLOOKUP($A42,MBasketball!$C:$J,J$1-2006,FALSE),0)+IFERROR(VLOOKUP($A42,MFootball!$C:$O,J$1-2011,FALSE),0)+IFERROR(VLOOKUP($A42,MIceHockey!$C:$P,J$1-2011,FALSE),0)+IFERROR(VLOOKUP($A42,MLacrosse!$C:$O,J$1-2011,FALSE),0)+IFERROR(VLOOKUP($A42,MSoccer!$C:$O,J$1-2011,FALSE),0)+IFERROR(VLOOKUP($A42,MVolleyball!$C:$O,J$1-2011,FALSE),0)+IFERROR(VLOOKUP($A42,WBasketball!$C:$O,J$1-2011,FALSE),0)+IFERROR(VLOOKUP($A42,WFieldHockey!$C:$O,J$1-2011,FALSE),0)+IFERROR(VLOOKUP($A42,WIceHockey!$C:$O,J$1-2011,FALSE),0)+IFERROR(VLOOKUP($A42,WLacrosse!$C:$O,J$1-2011,FALSE),0)+IFERROR(VLOOKUP($A42,WSoccer!$C:$O,J$1-2011,FALSE),0)+IFERROR(VLOOKUP($A42,WSoftball!$C:$O,J$1-2011,FALSE),0)+IFERROR(VLOOKUP($A42,WVolleyball!$C:$O,J$1-2011,FALSE),0)</f>
        <v>283349</v>
      </c>
      <c r="K42">
        <f>IFERROR(VLOOKUP($A42,MBaseball!$C:$N,K$1-2010,FALSE),0)+IFERROR(VLOOKUP($A42,MBasketball!$C:$J,K$1-2006,FALSE),0)+IFERROR(VLOOKUP($A42,MFootball!$C:$O,K$1-2011,FALSE),0)+IFERROR(VLOOKUP($A42,MIceHockey!$C:$P,K$1-2011,FALSE),0)+IFERROR(VLOOKUP($A42,MLacrosse!$C:$O,K$1-2011,FALSE),0)+IFERROR(VLOOKUP($A42,MSoccer!$C:$O,K$1-2011,FALSE),0)+IFERROR(VLOOKUP($A42,MVolleyball!$C:$O,K$1-2011,FALSE),0)+IFERROR(VLOOKUP($A42,WBasketball!$C:$O,K$1-2011,FALSE),0)+IFERROR(VLOOKUP($A42,WFieldHockey!$C:$O,K$1-2011,FALSE),0)+IFERROR(VLOOKUP($A42,WIceHockey!$C:$O,K$1-2011,FALSE),0)+IFERROR(VLOOKUP($A42,WLacrosse!$C:$O,K$1-2011,FALSE),0)+IFERROR(VLOOKUP($A42,WSoccer!$C:$O,K$1-2011,FALSE),0)+IFERROR(VLOOKUP($A42,WSoftball!$C:$O,K$1-2011,FALSE),0)+IFERROR(VLOOKUP($A42,WVolleyball!$C:$O,K$1-2011,FALSE),0)</f>
        <v>260539</v>
      </c>
      <c r="L42">
        <f>IFERROR(VLOOKUP($A42,MBaseball!$C:$N,L$1-2010,FALSE),0)+IFERROR(VLOOKUP($A42,MBasketball!$C:$J,L$1-2006,FALSE),0)+IFERROR(VLOOKUP($A42,MFootball!$C:$O,L$1-2011,FALSE),0)+IFERROR(VLOOKUP($A42,MIceHockey!$C:$P,L$1-2011,FALSE),0)+IFERROR(VLOOKUP($A42,MLacrosse!$C:$O,L$1-2011,FALSE),0)+IFERROR(VLOOKUP($A42,MSoccer!$C:$O,L$1-2011,FALSE),0)+IFERROR(VLOOKUP($A42,MVolleyball!$C:$O,L$1-2011,FALSE),0)+IFERROR(VLOOKUP($A42,WBasketball!$C:$O,L$1-2011,FALSE),0)+IFERROR(VLOOKUP($A42,WFieldHockey!$C:$O,L$1-2011,FALSE),0)+IFERROR(VLOOKUP($A42,WIceHockey!$C:$O,L$1-2011,FALSE),0)+IFERROR(VLOOKUP($A42,WLacrosse!$C:$O,L$1-2011,FALSE),0)+IFERROR(VLOOKUP($A42,WSoccer!$C:$O,L$1-2011,FALSE),0)+IFERROR(VLOOKUP($A42,WSoftball!$C:$O,L$1-2011,FALSE),0)+IFERROR(VLOOKUP($A42,WVolleyball!$C:$O,L$1-2011,FALSE),0)</f>
        <v>43735</v>
      </c>
      <c r="M42">
        <f>IFERROR(VLOOKUP($A42,MBaseball!$C:$N,M$1-2010,FALSE),0)+IFERROR(VLOOKUP($A42,MBasketball!$C:$J,M$1-2006,FALSE),0)+IFERROR(VLOOKUP($A42,MFootball!$C:$O,M$1-2011,FALSE),0)+IFERROR(VLOOKUP($A42,MIceHockey!$C:$P,M$1-2011,FALSE),0)+IFERROR(VLOOKUP($A42,MLacrosse!$C:$O,M$1-2011,FALSE),0)+IFERROR(VLOOKUP($A42,MSoccer!$C:$O,M$1-2011,FALSE),0)+IFERROR(VLOOKUP($A42,MVolleyball!$C:$O,M$1-2011,FALSE),0)+IFERROR(VLOOKUP($A42,WBasketball!$C:$O,M$1-2011,FALSE),0)+IFERROR(VLOOKUP($A42,WFieldHockey!$C:$O,M$1-2011,FALSE),0)+IFERROR(VLOOKUP($A42,WIceHockey!$C:$O,M$1-2011,FALSE),0)+IFERROR(VLOOKUP($A42,WLacrosse!$C:$O,M$1-2011,FALSE),0)+IFERROR(VLOOKUP($A42,WSoccer!$C:$O,M$1-2011,FALSE),0)+IFERROR(VLOOKUP($A42,WSoftball!$C:$O,M$1-2011,FALSE),0)+IFERROR(VLOOKUP($A42,WVolleyball!$C:$O,M$1-2011,FALSE),0)</f>
        <v>296541</v>
      </c>
      <c r="N42">
        <f>IFERROR(VLOOKUP($A42,MBaseball!$C:$N,N$1-2010,FALSE),0)+IFERROR(VLOOKUP($A42,MBasketball!$C:$J,N$1-2006,FALSE),0)+IFERROR(VLOOKUP($A42,MFootball!$C:$O,N$1-2011,FALSE),0)+IFERROR(VLOOKUP($A42,MIceHockey!$C:$P,N$1-2011,FALSE),0)+IFERROR(VLOOKUP($A42,MLacrosse!$C:$O,N$1-2011,FALSE),0)+IFERROR(VLOOKUP($A42,MSoccer!$C:$O,N$1-2011,FALSE),0)+IFERROR(VLOOKUP($A42,MVolleyball!$C:$O,N$1-2011,FALSE),0)+IFERROR(VLOOKUP($A42,WBasketball!$C:$O,N$1-2011,FALSE),0)+IFERROR(VLOOKUP($A42,WFieldHockey!$C:$O,N$1-2011,FALSE),0)+IFERROR(VLOOKUP($A42,WIceHockey!$C:$O,N$1-2011,FALSE),0)+IFERROR(VLOOKUP($A42,WLacrosse!$C:$O,N$1-2011,FALSE),0)+IFERROR(VLOOKUP($A42,WSoccer!$C:$O,N$1-2011,FALSE),0)+IFERROR(VLOOKUP($A42,WSoftball!$C:$O,N$1-2011,FALSE),0)+IFERROR(VLOOKUP($A42,WVolleyball!$C:$O,N$1-2011,FALSE),0)</f>
        <v>300149</v>
      </c>
    </row>
    <row r="43" spans="1:14" x14ac:dyDescent="0.2">
      <c r="A43">
        <v>139959</v>
      </c>
      <c r="B43">
        <v>12020</v>
      </c>
      <c r="C43" t="s">
        <v>92</v>
      </c>
      <c r="D43">
        <v>42</v>
      </c>
      <c r="E43">
        <f>IFERROR(VLOOKUP($A43,MBaseball!$C:$N,E$1-2010,FALSE),0)+IFERROR(VLOOKUP($A43,MBasketball!$C:$J,E$1-2006,FALSE),0)+IFERROR(VLOOKUP($A43,MFootball!$C:$O,E$1-2011,FALSE),0)+IFERROR(VLOOKUP($A43,MIceHockey!$C:$P,E$1-2011,FALSE),0)+IFERROR(VLOOKUP($A43,MLacrosse!$C:$O,E$1-2011,FALSE),0)+IFERROR(VLOOKUP($A43,MSoccer!$C:$O,E$1-2011,FALSE),0)+IFERROR(VLOOKUP($A43,MVolleyball!$C:$O,E$1-2011,FALSE),0)+IFERROR(VLOOKUP($A43,WBasketball!$C:$O,E$1-2011,FALSE),0)+IFERROR(VLOOKUP($A43,WFieldHockey!$C:$O,E$1-2011,FALSE),0)+IFERROR(VLOOKUP($A43,WIceHockey!$C:$O,E$1-2011,FALSE),0)+IFERROR(VLOOKUP($A43,WLacrosse!$C:$O,E$1-2011,FALSE),0)+IFERROR(VLOOKUP($A43,WSoccer!$C:$O,E$1-2011,FALSE),0)+IFERROR(VLOOKUP($A43,WSoftball!$C:$O,E$1-2011,FALSE),0)+IFERROR(VLOOKUP($A43,WVolleyball!$C:$O,E$1-2011,FALSE),0)</f>
        <v>301696</v>
      </c>
      <c r="F43">
        <f>IFERROR(VLOOKUP($A43,MBaseball!$C:$N,F$1-2010,FALSE),0)+IFERROR(VLOOKUP($A43,MBasketball!$C:$J,F$1-2006,FALSE),0)+IFERROR(VLOOKUP($A43,MFootball!$C:$O,F$1-2011,FALSE),0)+IFERROR(VLOOKUP($A43,MIceHockey!$C:$P,F$1-2011,FALSE),0)+IFERROR(VLOOKUP($A43,MLacrosse!$C:$O,F$1-2011,FALSE),0)+IFERROR(VLOOKUP($A43,MSoccer!$C:$O,F$1-2011,FALSE),0)+IFERROR(VLOOKUP($A43,MVolleyball!$C:$O,F$1-2011,FALSE),0)+IFERROR(VLOOKUP($A43,WBasketball!$C:$O,F$1-2011,FALSE),0)+IFERROR(VLOOKUP($A43,WFieldHockey!$C:$O,F$1-2011,FALSE),0)+IFERROR(VLOOKUP($A43,WIceHockey!$C:$O,F$1-2011,FALSE),0)+IFERROR(VLOOKUP($A43,WLacrosse!$C:$O,F$1-2011,FALSE),0)+IFERROR(VLOOKUP($A43,WSoccer!$C:$O,F$1-2011,FALSE),0)+IFERROR(VLOOKUP($A43,WSoftball!$C:$O,F$1-2011,FALSE),0)+IFERROR(VLOOKUP($A43,WVolleyball!$C:$O,F$1-2011,FALSE),0)</f>
        <v>808685</v>
      </c>
      <c r="G43">
        <f>IFERROR(VLOOKUP($A43,MBaseball!$C:$N,G$1-2010,FALSE),0)+IFERROR(VLOOKUP($A43,MBasketball!$C:$J,G$1-2006,FALSE),0)+IFERROR(VLOOKUP($A43,MFootball!$C:$O,G$1-2011,FALSE),0)+IFERROR(VLOOKUP($A43,MIceHockey!$C:$P,G$1-2011,FALSE),0)+IFERROR(VLOOKUP($A43,MLacrosse!$C:$O,G$1-2011,FALSE),0)+IFERROR(VLOOKUP($A43,MSoccer!$C:$O,G$1-2011,FALSE),0)+IFERROR(VLOOKUP($A43,MVolleyball!$C:$O,G$1-2011,FALSE),0)+IFERROR(VLOOKUP($A43,WBasketball!$C:$O,G$1-2011,FALSE),0)+IFERROR(VLOOKUP($A43,WFieldHockey!$C:$O,G$1-2011,FALSE),0)+IFERROR(VLOOKUP($A43,WIceHockey!$C:$O,G$1-2011,FALSE),0)+IFERROR(VLOOKUP($A43,WLacrosse!$C:$O,G$1-2011,FALSE),0)+IFERROR(VLOOKUP($A43,WSoccer!$C:$O,G$1-2011,FALSE),0)+IFERROR(VLOOKUP($A43,WSoftball!$C:$O,G$1-2011,FALSE),0)+IFERROR(VLOOKUP($A43,WVolleyball!$C:$O,G$1-2011,FALSE),0)</f>
        <v>843233</v>
      </c>
      <c r="H43">
        <f>IFERROR(VLOOKUP($A43,MBaseball!$C:$N,H$1-2010,FALSE),0)+IFERROR(VLOOKUP($A43,MBasketball!$C:$J,H$1-2006,FALSE),0)+IFERROR(VLOOKUP($A43,MFootball!$C:$O,H$1-2011,FALSE),0)+IFERROR(VLOOKUP($A43,MIceHockey!$C:$P,H$1-2011,FALSE),0)+IFERROR(VLOOKUP($A43,MLacrosse!$C:$O,H$1-2011,FALSE),0)+IFERROR(VLOOKUP($A43,MSoccer!$C:$O,H$1-2011,FALSE),0)+IFERROR(VLOOKUP($A43,MVolleyball!$C:$O,H$1-2011,FALSE),0)+IFERROR(VLOOKUP($A43,WBasketball!$C:$O,H$1-2011,FALSE),0)+IFERROR(VLOOKUP($A43,WFieldHockey!$C:$O,H$1-2011,FALSE),0)+IFERROR(VLOOKUP($A43,WIceHockey!$C:$O,H$1-2011,FALSE),0)+IFERROR(VLOOKUP($A43,WLacrosse!$C:$O,H$1-2011,FALSE),0)+IFERROR(VLOOKUP($A43,WSoccer!$C:$O,H$1-2011,FALSE),0)+IFERROR(VLOOKUP($A43,WSoftball!$C:$O,H$1-2011,FALSE),0)+IFERROR(VLOOKUP($A43,WVolleyball!$C:$O,H$1-2011,FALSE),0)</f>
        <v>722899</v>
      </c>
      <c r="I43">
        <f>IFERROR(VLOOKUP($A43,MBaseball!$C:$N,I$1-2010,FALSE),0)+IFERROR(VLOOKUP($A43,MBasketball!$C:$J,I$1-2006,FALSE),0)+IFERROR(VLOOKUP($A43,MFootball!$C:$O,I$1-2011,FALSE),0)+IFERROR(VLOOKUP($A43,MIceHockey!$C:$P,I$1-2011,FALSE),0)+IFERROR(VLOOKUP($A43,MLacrosse!$C:$O,I$1-2011,FALSE),0)+IFERROR(VLOOKUP($A43,MSoccer!$C:$O,I$1-2011,FALSE),0)+IFERROR(VLOOKUP($A43,MVolleyball!$C:$O,I$1-2011,FALSE),0)+IFERROR(VLOOKUP($A43,WBasketball!$C:$O,I$1-2011,FALSE),0)+IFERROR(VLOOKUP($A43,WFieldHockey!$C:$O,I$1-2011,FALSE),0)+IFERROR(VLOOKUP($A43,WIceHockey!$C:$O,I$1-2011,FALSE),0)+IFERROR(VLOOKUP($A43,WLacrosse!$C:$O,I$1-2011,FALSE),0)+IFERROR(VLOOKUP($A43,WSoccer!$C:$O,I$1-2011,FALSE),0)+IFERROR(VLOOKUP($A43,WSoftball!$C:$O,I$1-2011,FALSE),0)+IFERROR(VLOOKUP($A43,WVolleyball!$C:$O,I$1-2011,FALSE),0)</f>
        <v>768420</v>
      </c>
      <c r="J43">
        <f>IFERROR(VLOOKUP($A43,MBaseball!$C:$N,J$1-2010,FALSE),0)+IFERROR(VLOOKUP($A43,MBasketball!$C:$J,J$1-2006,FALSE),0)+IFERROR(VLOOKUP($A43,MFootball!$C:$O,J$1-2011,FALSE),0)+IFERROR(VLOOKUP($A43,MIceHockey!$C:$P,J$1-2011,FALSE),0)+IFERROR(VLOOKUP($A43,MLacrosse!$C:$O,J$1-2011,FALSE),0)+IFERROR(VLOOKUP($A43,MSoccer!$C:$O,J$1-2011,FALSE),0)+IFERROR(VLOOKUP($A43,MVolleyball!$C:$O,J$1-2011,FALSE),0)+IFERROR(VLOOKUP($A43,WBasketball!$C:$O,J$1-2011,FALSE),0)+IFERROR(VLOOKUP($A43,WFieldHockey!$C:$O,J$1-2011,FALSE),0)+IFERROR(VLOOKUP($A43,WIceHockey!$C:$O,J$1-2011,FALSE),0)+IFERROR(VLOOKUP($A43,WLacrosse!$C:$O,J$1-2011,FALSE),0)+IFERROR(VLOOKUP($A43,WSoccer!$C:$O,J$1-2011,FALSE),0)+IFERROR(VLOOKUP($A43,WSoftball!$C:$O,J$1-2011,FALSE),0)+IFERROR(VLOOKUP($A43,WVolleyball!$C:$O,J$1-2011,FALSE),0)</f>
        <v>796658</v>
      </c>
      <c r="K43">
        <f>IFERROR(VLOOKUP($A43,MBaseball!$C:$N,K$1-2010,FALSE),0)+IFERROR(VLOOKUP($A43,MBasketball!$C:$J,K$1-2006,FALSE),0)+IFERROR(VLOOKUP($A43,MFootball!$C:$O,K$1-2011,FALSE),0)+IFERROR(VLOOKUP($A43,MIceHockey!$C:$P,K$1-2011,FALSE),0)+IFERROR(VLOOKUP($A43,MLacrosse!$C:$O,K$1-2011,FALSE),0)+IFERROR(VLOOKUP($A43,MSoccer!$C:$O,K$1-2011,FALSE),0)+IFERROR(VLOOKUP($A43,MVolleyball!$C:$O,K$1-2011,FALSE),0)+IFERROR(VLOOKUP($A43,WBasketball!$C:$O,K$1-2011,FALSE),0)+IFERROR(VLOOKUP($A43,WFieldHockey!$C:$O,K$1-2011,FALSE),0)+IFERROR(VLOOKUP($A43,WIceHockey!$C:$O,K$1-2011,FALSE),0)+IFERROR(VLOOKUP($A43,WLacrosse!$C:$O,K$1-2011,FALSE),0)+IFERROR(VLOOKUP($A43,WSoccer!$C:$O,K$1-2011,FALSE),0)+IFERROR(VLOOKUP($A43,WSoftball!$C:$O,K$1-2011,FALSE),0)+IFERROR(VLOOKUP($A43,WVolleyball!$C:$O,K$1-2011,FALSE),0)</f>
        <v>773501</v>
      </c>
      <c r="L43">
        <f>IFERROR(VLOOKUP($A43,MBaseball!$C:$N,L$1-2010,FALSE),0)+IFERROR(VLOOKUP($A43,MBasketball!$C:$J,L$1-2006,FALSE),0)+IFERROR(VLOOKUP($A43,MFootball!$C:$O,L$1-2011,FALSE),0)+IFERROR(VLOOKUP($A43,MIceHockey!$C:$P,L$1-2011,FALSE),0)+IFERROR(VLOOKUP($A43,MLacrosse!$C:$O,L$1-2011,FALSE),0)+IFERROR(VLOOKUP($A43,MSoccer!$C:$O,L$1-2011,FALSE),0)+IFERROR(VLOOKUP($A43,MVolleyball!$C:$O,L$1-2011,FALSE),0)+IFERROR(VLOOKUP($A43,WBasketball!$C:$O,L$1-2011,FALSE),0)+IFERROR(VLOOKUP($A43,WFieldHockey!$C:$O,L$1-2011,FALSE),0)+IFERROR(VLOOKUP($A43,WIceHockey!$C:$O,L$1-2011,FALSE),0)+IFERROR(VLOOKUP($A43,WLacrosse!$C:$O,L$1-2011,FALSE),0)+IFERROR(VLOOKUP($A43,WSoccer!$C:$O,L$1-2011,FALSE),0)+IFERROR(VLOOKUP($A43,WSoftball!$C:$O,L$1-2011,FALSE),0)+IFERROR(VLOOKUP($A43,WVolleyball!$C:$O,L$1-2011,FALSE),0)</f>
        <v>186635</v>
      </c>
      <c r="M43">
        <f>IFERROR(VLOOKUP($A43,MBaseball!$C:$N,M$1-2010,FALSE),0)+IFERROR(VLOOKUP($A43,MBasketball!$C:$J,M$1-2006,FALSE),0)+IFERROR(VLOOKUP($A43,MFootball!$C:$O,M$1-2011,FALSE),0)+IFERROR(VLOOKUP($A43,MIceHockey!$C:$P,M$1-2011,FALSE),0)+IFERROR(VLOOKUP($A43,MLacrosse!$C:$O,M$1-2011,FALSE),0)+IFERROR(VLOOKUP($A43,MSoccer!$C:$O,M$1-2011,FALSE),0)+IFERROR(VLOOKUP($A43,MVolleyball!$C:$O,M$1-2011,FALSE),0)+IFERROR(VLOOKUP($A43,WBasketball!$C:$O,M$1-2011,FALSE),0)+IFERROR(VLOOKUP($A43,WFieldHockey!$C:$O,M$1-2011,FALSE),0)+IFERROR(VLOOKUP($A43,WIceHockey!$C:$O,M$1-2011,FALSE),0)+IFERROR(VLOOKUP($A43,WLacrosse!$C:$O,M$1-2011,FALSE),0)+IFERROR(VLOOKUP($A43,WSoccer!$C:$O,M$1-2011,FALSE),0)+IFERROR(VLOOKUP($A43,WSoftball!$C:$O,M$1-2011,FALSE),0)+IFERROR(VLOOKUP($A43,WVolleyball!$C:$O,M$1-2011,FALSE),0)</f>
        <v>753139</v>
      </c>
      <c r="N43">
        <f>IFERROR(VLOOKUP($A43,MBaseball!$C:$N,N$1-2010,FALSE),0)+IFERROR(VLOOKUP($A43,MBasketball!$C:$J,N$1-2006,FALSE),0)+IFERROR(VLOOKUP($A43,MFootball!$C:$O,N$1-2011,FALSE),0)+IFERROR(VLOOKUP($A43,MIceHockey!$C:$P,N$1-2011,FALSE),0)+IFERROR(VLOOKUP($A43,MLacrosse!$C:$O,N$1-2011,FALSE),0)+IFERROR(VLOOKUP($A43,MSoccer!$C:$O,N$1-2011,FALSE),0)+IFERROR(VLOOKUP($A43,MVolleyball!$C:$O,N$1-2011,FALSE),0)+IFERROR(VLOOKUP($A43,WBasketball!$C:$O,N$1-2011,FALSE),0)+IFERROR(VLOOKUP($A43,WFieldHockey!$C:$O,N$1-2011,FALSE),0)+IFERROR(VLOOKUP($A43,WIceHockey!$C:$O,N$1-2011,FALSE),0)+IFERROR(VLOOKUP($A43,WLacrosse!$C:$O,N$1-2011,FALSE),0)+IFERROR(VLOOKUP($A43,WSoccer!$C:$O,N$1-2011,FALSE),0)+IFERROR(VLOOKUP($A43,WSoftball!$C:$O,N$1-2011,FALSE),0)+IFERROR(VLOOKUP($A43,WVolleyball!$C:$O,N$1-2011,FALSE),0)</f>
        <v>666270</v>
      </c>
    </row>
    <row r="44" spans="1:14" x14ac:dyDescent="0.2">
      <c r="A44">
        <v>139931</v>
      </c>
      <c r="B44">
        <v>44340</v>
      </c>
      <c r="C44" t="s">
        <v>93</v>
      </c>
      <c r="D44">
        <v>43</v>
      </c>
      <c r="E44">
        <f>IFERROR(VLOOKUP($A44,MBaseball!$C:$N,E$1-2010,FALSE),0)+IFERROR(VLOOKUP($A44,MBasketball!$C:$J,E$1-2006,FALSE),0)+IFERROR(VLOOKUP($A44,MFootball!$C:$O,E$1-2011,FALSE),0)+IFERROR(VLOOKUP($A44,MIceHockey!$C:$P,E$1-2011,FALSE),0)+IFERROR(VLOOKUP($A44,MLacrosse!$C:$O,E$1-2011,FALSE),0)+IFERROR(VLOOKUP($A44,MSoccer!$C:$O,E$1-2011,FALSE),0)+IFERROR(VLOOKUP($A44,MVolleyball!$C:$O,E$1-2011,FALSE),0)+IFERROR(VLOOKUP($A44,WBasketball!$C:$O,E$1-2011,FALSE),0)+IFERROR(VLOOKUP($A44,WFieldHockey!$C:$O,E$1-2011,FALSE),0)+IFERROR(VLOOKUP($A44,WIceHockey!$C:$O,E$1-2011,FALSE),0)+IFERROR(VLOOKUP($A44,WLacrosse!$C:$O,E$1-2011,FALSE),0)+IFERROR(VLOOKUP($A44,WSoccer!$C:$O,E$1-2011,FALSE),0)+IFERROR(VLOOKUP($A44,WSoftball!$C:$O,E$1-2011,FALSE),0)+IFERROR(VLOOKUP($A44,WVolleyball!$C:$O,E$1-2011,FALSE),0)</f>
        <v>83094</v>
      </c>
      <c r="F44">
        <f>IFERROR(VLOOKUP($A44,MBaseball!$C:$N,F$1-2010,FALSE),0)+IFERROR(VLOOKUP($A44,MBasketball!$C:$J,F$1-2006,FALSE),0)+IFERROR(VLOOKUP($A44,MFootball!$C:$O,F$1-2011,FALSE),0)+IFERROR(VLOOKUP($A44,MIceHockey!$C:$P,F$1-2011,FALSE),0)+IFERROR(VLOOKUP($A44,MLacrosse!$C:$O,F$1-2011,FALSE),0)+IFERROR(VLOOKUP($A44,MSoccer!$C:$O,F$1-2011,FALSE),0)+IFERROR(VLOOKUP($A44,MVolleyball!$C:$O,F$1-2011,FALSE),0)+IFERROR(VLOOKUP($A44,WBasketball!$C:$O,F$1-2011,FALSE),0)+IFERROR(VLOOKUP($A44,WFieldHockey!$C:$O,F$1-2011,FALSE),0)+IFERROR(VLOOKUP($A44,WIceHockey!$C:$O,F$1-2011,FALSE),0)+IFERROR(VLOOKUP($A44,WLacrosse!$C:$O,F$1-2011,FALSE),0)+IFERROR(VLOOKUP($A44,WSoccer!$C:$O,F$1-2011,FALSE),0)+IFERROR(VLOOKUP($A44,WSoftball!$C:$O,F$1-2011,FALSE),0)+IFERROR(VLOOKUP($A44,WVolleyball!$C:$O,F$1-2011,FALSE),0)</f>
        <v>165267</v>
      </c>
      <c r="G44">
        <f>IFERROR(VLOOKUP($A44,MBaseball!$C:$N,G$1-2010,FALSE),0)+IFERROR(VLOOKUP($A44,MBasketball!$C:$J,G$1-2006,FALSE),0)+IFERROR(VLOOKUP($A44,MFootball!$C:$O,G$1-2011,FALSE),0)+IFERROR(VLOOKUP($A44,MIceHockey!$C:$P,G$1-2011,FALSE),0)+IFERROR(VLOOKUP($A44,MLacrosse!$C:$O,G$1-2011,FALSE),0)+IFERROR(VLOOKUP($A44,MSoccer!$C:$O,G$1-2011,FALSE),0)+IFERROR(VLOOKUP($A44,MVolleyball!$C:$O,G$1-2011,FALSE),0)+IFERROR(VLOOKUP($A44,WBasketball!$C:$O,G$1-2011,FALSE),0)+IFERROR(VLOOKUP($A44,WFieldHockey!$C:$O,G$1-2011,FALSE),0)+IFERROR(VLOOKUP($A44,WIceHockey!$C:$O,G$1-2011,FALSE),0)+IFERROR(VLOOKUP($A44,WLacrosse!$C:$O,G$1-2011,FALSE),0)+IFERROR(VLOOKUP($A44,WSoccer!$C:$O,G$1-2011,FALSE),0)+IFERROR(VLOOKUP($A44,WSoftball!$C:$O,G$1-2011,FALSE),0)+IFERROR(VLOOKUP($A44,WVolleyball!$C:$O,G$1-2011,FALSE),0)</f>
        <v>176641</v>
      </c>
      <c r="H44">
        <f>IFERROR(VLOOKUP($A44,MBaseball!$C:$N,H$1-2010,FALSE),0)+IFERROR(VLOOKUP($A44,MBasketball!$C:$J,H$1-2006,FALSE),0)+IFERROR(VLOOKUP($A44,MFootball!$C:$O,H$1-2011,FALSE),0)+IFERROR(VLOOKUP($A44,MIceHockey!$C:$P,H$1-2011,FALSE),0)+IFERROR(VLOOKUP($A44,MLacrosse!$C:$O,H$1-2011,FALSE),0)+IFERROR(VLOOKUP($A44,MSoccer!$C:$O,H$1-2011,FALSE),0)+IFERROR(VLOOKUP($A44,MVolleyball!$C:$O,H$1-2011,FALSE),0)+IFERROR(VLOOKUP($A44,WBasketball!$C:$O,H$1-2011,FALSE),0)+IFERROR(VLOOKUP($A44,WFieldHockey!$C:$O,H$1-2011,FALSE),0)+IFERROR(VLOOKUP($A44,WIceHockey!$C:$O,H$1-2011,FALSE),0)+IFERROR(VLOOKUP($A44,WLacrosse!$C:$O,H$1-2011,FALSE),0)+IFERROR(VLOOKUP($A44,WSoccer!$C:$O,H$1-2011,FALSE),0)+IFERROR(VLOOKUP($A44,WSoftball!$C:$O,H$1-2011,FALSE),0)+IFERROR(VLOOKUP($A44,WVolleyball!$C:$O,H$1-2011,FALSE),0)</f>
        <v>145123</v>
      </c>
      <c r="I44">
        <f>IFERROR(VLOOKUP($A44,MBaseball!$C:$N,I$1-2010,FALSE),0)+IFERROR(VLOOKUP($A44,MBasketball!$C:$J,I$1-2006,FALSE),0)+IFERROR(VLOOKUP($A44,MFootball!$C:$O,I$1-2011,FALSE),0)+IFERROR(VLOOKUP($A44,MIceHockey!$C:$P,I$1-2011,FALSE),0)+IFERROR(VLOOKUP($A44,MLacrosse!$C:$O,I$1-2011,FALSE),0)+IFERROR(VLOOKUP($A44,MSoccer!$C:$O,I$1-2011,FALSE),0)+IFERROR(VLOOKUP($A44,MVolleyball!$C:$O,I$1-2011,FALSE),0)+IFERROR(VLOOKUP($A44,WBasketball!$C:$O,I$1-2011,FALSE),0)+IFERROR(VLOOKUP($A44,WFieldHockey!$C:$O,I$1-2011,FALSE),0)+IFERROR(VLOOKUP($A44,WIceHockey!$C:$O,I$1-2011,FALSE),0)+IFERROR(VLOOKUP($A44,WLacrosse!$C:$O,I$1-2011,FALSE),0)+IFERROR(VLOOKUP($A44,WSoccer!$C:$O,I$1-2011,FALSE),0)+IFERROR(VLOOKUP($A44,WSoftball!$C:$O,I$1-2011,FALSE),0)+IFERROR(VLOOKUP($A44,WVolleyball!$C:$O,I$1-2011,FALSE),0)</f>
        <v>106778</v>
      </c>
      <c r="J44">
        <f>IFERROR(VLOOKUP($A44,MBaseball!$C:$N,J$1-2010,FALSE),0)+IFERROR(VLOOKUP($A44,MBasketball!$C:$J,J$1-2006,FALSE),0)+IFERROR(VLOOKUP($A44,MFootball!$C:$O,J$1-2011,FALSE),0)+IFERROR(VLOOKUP($A44,MIceHockey!$C:$P,J$1-2011,FALSE),0)+IFERROR(VLOOKUP($A44,MLacrosse!$C:$O,J$1-2011,FALSE),0)+IFERROR(VLOOKUP($A44,MSoccer!$C:$O,J$1-2011,FALSE),0)+IFERROR(VLOOKUP($A44,MVolleyball!$C:$O,J$1-2011,FALSE),0)+IFERROR(VLOOKUP($A44,WBasketball!$C:$O,J$1-2011,FALSE),0)+IFERROR(VLOOKUP($A44,WFieldHockey!$C:$O,J$1-2011,FALSE),0)+IFERROR(VLOOKUP($A44,WIceHockey!$C:$O,J$1-2011,FALSE),0)+IFERROR(VLOOKUP($A44,WLacrosse!$C:$O,J$1-2011,FALSE),0)+IFERROR(VLOOKUP($A44,WSoccer!$C:$O,J$1-2011,FALSE),0)+IFERROR(VLOOKUP($A44,WSoftball!$C:$O,J$1-2011,FALSE),0)+IFERROR(VLOOKUP($A44,WVolleyball!$C:$O,J$1-2011,FALSE),0)</f>
        <v>135658</v>
      </c>
      <c r="K44">
        <f>IFERROR(VLOOKUP($A44,MBaseball!$C:$N,K$1-2010,FALSE),0)+IFERROR(VLOOKUP($A44,MBasketball!$C:$J,K$1-2006,FALSE),0)+IFERROR(VLOOKUP($A44,MFootball!$C:$O,K$1-2011,FALSE),0)+IFERROR(VLOOKUP($A44,MIceHockey!$C:$P,K$1-2011,FALSE),0)+IFERROR(VLOOKUP($A44,MLacrosse!$C:$O,K$1-2011,FALSE),0)+IFERROR(VLOOKUP($A44,MSoccer!$C:$O,K$1-2011,FALSE),0)+IFERROR(VLOOKUP($A44,MVolleyball!$C:$O,K$1-2011,FALSE),0)+IFERROR(VLOOKUP($A44,WBasketball!$C:$O,K$1-2011,FALSE),0)+IFERROR(VLOOKUP($A44,WFieldHockey!$C:$O,K$1-2011,FALSE),0)+IFERROR(VLOOKUP($A44,WIceHockey!$C:$O,K$1-2011,FALSE),0)+IFERROR(VLOOKUP($A44,WLacrosse!$C:$O,K$1-2011,FALSE),0)+IFERROR(VLOOKUP($A44,WSoccer!$C:$O,K$1-2011,FALSE),0)+IFERROR(VLOOKUP($A44,WSoftball!$C:$O,K$1-2011,FALSE),0)+IFERROR(VLOOKUP($A44,WVolleyball!$C:$O,K$1-2011,FALSE),0)</f>
        <v>118723</v>
      </c>
      <c r="L44">
        <f>IFERROR(VLOOKUP($A44,MBaseball!$C:$N,L$1-2010,FALSE),0)+IFERROR(VLOOKUP($A44,MBasketball!$C:$J,L$1-2006,FALSE),0)+IFERROR(VLOOKUP($A44,MFootball!$C:$O,L$1-2011,FALSE),0)+IFERROR(VLOOKUP($A44,MIceHockey!$C:$P,L$1-2011,FALSE),0)+IFERROR(VLOOKUP($A44,MLacrosse!$C:$O,L$1-2011,FALSE),0)+IFERROR(VLOOKUP($A44,MSoccer!$C:$O,L$1-2011,FALSE),0)+IFERROR(VLOOKUP($A44,MVolleyball!$C:$O,L$1-2011,FALSE),0)+IFERROR(VLOOKUP($A44,WBasketball!$C:$O,L$1-2011,FALSE),0)+IFERROR(VLOOKUP($A44,WFieldHockey!$C:$O,L$1-2011,FALSE),0)+IFERROR(VLOOKUP($A44,WIceHockey!$C:$O,L$1-2011,FALSE),0)+IFERROR(VLOOKUP($A44,WLacrosse!$C:$O,L$1-2011,FALSE),0)+IFERROR(VLOOKUP($A44,WSoccer!$C:$O,L$1-2011,FALSE),0)+IFERROR(VLOOKUP($A44,WSoftball!$C:$O,L$1-2011,FALSE),0)+IFERROR(VLOOKUP($A44,WVolleyball!$C:$O,L$1-2011,FALSE),0)</f>
        <v>96392</v>
      </c>
      <c r="M44">
        <f>IFERROR(VLOOKUP($A44,MBaseball!$C:$N,M$1-2010,FALSE),0)+IFERROR(VLOOKUP($A44,MBasketball!$C:$J,M$1-2006,FALSE),0)+IFERROR(VLOOKUP($A44,MFootball!$C:$O,M$1-2011,FALSE),0)+IFERROR(VLOOKUP($A44,MIceHockey!$C:$P,M$1-2011,FALSE),0)+IFERROR(VLOOKUP($A44,MLacrosse!$C:$O,M$1-2011,FALSE),0)+IFERROR(VLOOKUP($A44,MSoccer!$C:$O,M$1-2011,FALSE),0)+IFERROR(VLOOKUP($A44,MVolleyball!$C:$O,M$1-2011,FALSE),0)+IFERROR(VLOOKUP($A44,WBasketball!$C:$O,M$1-2011,FALSE),0)+IFERROR(VLOOKUP($A44,WFieldHockey!$C:$O,M$1-2011,FALSE),0)+IFERROR(VLOOKUP($A44,WIceHockey!$C:$O,M$1-2011,FALSE),0)+IFERROR(VLOOKUP($A44,WLacrosse!$C:$O,M$1-2011,FALSE),0)+IFERROR(VLOOKUP($A44,WSoccer!$C:$O,M$1-2011,FALSE),0)+IFERROR(VLOOKUP($A44,WSoftball!$C:$O,M$1-2011,FALSE),0)+IFERROR(VLOOKUP($A44,WVolleyball!$C:$O,M$1-2011,FALSE),0)</f>
        <v>195358</v>
      </c>
      <c r="N44">
        <f>IFERROR(VLOOKUP($A44,MBaseball!$C:$N,N$1-2010,FALSE),0)+IFERROR(VLOOKUP($A44,MBasketball!$C:$J,N$1-2006,FALSE),0)+IFERROR(VLOOKUP($A44,MFootball!$C:$O,N$1-2011,FALSE),0)+IFERROR(VLOOKUP($A44,MIceHockey!$C:$P,N$1-2011,FALSE),0)+IFERROR(VLOOKUP($A44,MLacrosse!$C:$O,N$1-2011,FALSE),0)+IFERROR(VLOOKUP($A44,MSoccer!$C:$O,N$1-2011,FALSE),0)+IFERROR(VLOOKUP($A44,MVolleyball!$C:$O,N$1-2011,FALSE),0)+IFERROR(VLOOKUP($A44,WBasketball!$C:$O,N$1-2011,FALSE),0)+IFERROR(VLOOKUP($A44,WFieldHockey!$C:$O,N$1-2011,FALSE),0)+IFERROR(VLOOKUP($A44,WIceHockey!$C:$O,N$1-2011,FALSE),0)+IFERROR(VLOOKUP($A44,WLacrosse!$C:$O,N$1-2011,FALSE),0)+IFERROR(VLOOKUP($A44,WSoccer!$C:$O,N$1-2011,FALSE),0)+IFERROR(VLOOKUP($A44,WSoftball!$C:$O,N$1-2011,FALSE),0)+IFERROR(VLOOKUP($A44,WVolleyball!$C:$O,N$1-2011,FALSE),0)</f>
        <v>128315</v>
      </c>
    </row>
    <row r="45" spans="1:14" x14ac:dyDescent="0.2">
      <c r="A45">
        <v>139940</v>
      </c>
      <c r="B45">
        <v>12060</v>
      </c>
      <c r="C45" t="s">
        <v>94</v>
      </c>
      <c r="D45">
        <v>44</v>
      </c>
      <c r="E45">
        <f>IFERROR(VLOOKUP($A45,MBaseball!$C:$N,E$1-2010,FALSE),0)+IFERROR(VLOOKUP($A45,MBasketball!$C:$J,E$1-2006,FALSE),0)+IFERROR(VLOOKUP($A45,MFootball!$C:$O,E$1-2011,FALSE),0)+IFERROR(VLOOKUP($A45,MIceHockey!$C:$P,E$1-2011,FALSE),0)+IFERROR(VLOOKUP($A45,MLacrosse!$C:$O,E$1-2011,FALSE),0)+IFERROR(VLOOKUP($A45,MSoccer!$C:$O,E$1-2011,FALSE),0)+IFERROR(VLOOKUP($A45,MVolleyball!$C:$O,E$1-2011,FALSE),0)+IFERROR(VLOOKUP($A45,WBasketball!$C:$O,E$1-2011,FALSE),0)+IFERROR(VLOOKUP($A45,WFieldHockey!$C:$O,E$1-2011,FALSE),0)+IFERROR(VLOOKUP($A45,WIceHockey!$C:$O,E$1-2011,FALSE),0)+IFERROR(VLOOKUP($A45,WLacrosse!$C:$O,E$1-2011,FALSE),0)+IFERROR(VLOOKUP($A45,WSoccer!$C:$O,E$1-2011,FALSE),0)+IFERROR(VLOOKUP($A45,WSoftball!$C:$O,E$1-2011,FALSE),0)+IFERROR(VLOOKUP($A45,WVolleyball!$C:$O,E$1-2011,FALSE),0)</f>
        <v>55259</v>
      </c>
      <c r="F45">
        <f>IFERROR(VLOOKUP($A45,MBaseball!$C:$N,F$1-2010,FALSE),0)+IFERROR(VLOOKUP($A45,MBasketball!$C:$J,F$1-2006,FALSE),0)+IFERROR(VLOOKUP($A45,MFootball!$C:$O,F$1-2011,FALSE),0)+IFERROR(VLOOKUP($A45,MIceHockey!$C:$P,F$1-2011,FALSE),0)+IFERROR(VLOOKUP($A45,MLacrosse!$C:$O,F$1-2011,FALSE),0)+IFERROR(VLOOKUP($A45,MSoccer!$C:$O,F$1-2011,FALSE),0)+IFERROR(VLOOKUP($A45,MVolleyball!$C:$O,F$1-2011,FALSE),0)+IFERROR(VLOOKUP($A45,WBasketball!$C:$O,F$1-2011,FALSE),0)+IFERROR(VLOOKUP($A45,WFieldHockey!$C:$O,F$1-2011,FALSE),0)+IFERROR(VLOOKUP($A45,WIceHockey!$C:$O,F$1-2011,FALSE),0)+IFERROR(VLOOKUP($A45,WLacrosse!$C:$O,F$1-2011,FALSE),0)+IFERROR(VLOOKUP($A45,WSoccer!$C:$O,F$1-2011,FALSE),0)+IFERROR(VLOOKUP($A45,WSoftball!$C:$O,F$1-2011,FALSE),0)+IFERROR(VLOOKUP($A45,WVolleyball!$C:$O,F$1-2011,FALSE),0)</f>
        <v>118031</v>
      </c>
      <c r="G45">
        <f>IFERROR(VLOOKUP($A45,MBaseball!$C:$N,G$1-2010,FALSE),0)+IFERROR(VLOOKUP($A45,MBasketball!$C:$J,G$1-2006,FALSE),0)+IFERROR(VLOOKUP($A45,MFootball!$C:$O,G$1-2011,FALSE),0)+IFERROR(VLOOKUP($A45,MIceHockey!$C:$P,G$1-2011,FALSE),0)+IFERROR(VLOOKUP($A45,MLacrosse!$C:$O,G$1-2011,FALSE),0)+IFERROR(VLOOKUP($A45,MSoccer!$C:$O,G$1-2011,FALSE),0)+IFERROR(VLOOKUP($A45,MVolleyball!$C:$O,G$1-2011,FALSE),0)+IFERROR(VLOOKUP($A45,WBasketball!$C:$O,G$1-2011,FALSE),0)+IFERROR(VLOOKUP($A45,WFieldHockey!$C:$O,G$1-2011,FALSE),0)+IFERROR(VLOOKUP($A45,WIceHockey!$C:$O,G$1-2011,FALSE),0)+IFERROR(VLOOKUP($A45,WLacrosse!$C:$O,G$1-2011,FALSE),0)+IFERROR(VLOOKUP($A45,WSoccer!$C:$O,G$1-2011,FALSE),0)+IFERROR(VLOOKUP($A45,WSoftball!$C:$O,G$1-2011,FALSE),0)+IFERROR(VLOOKUP($A45,WVolleyball!$C:$O,G$1-2011,FALSE),0)</f>
        <v>90010</v>
      </c>
      <c r="H45">
        <f>IFERROR(VLOOKUP($A45,MBaseball!$C:$N,H$1-2010,FALSE),0)+IFERROR(VLOOKUP($A45,MBasketball!$C:$J,H$1-2006,FALSE),0)+IFERROR(VLOOKUP($A45,MFootball!$C:$O,H$1-2011,FALSE),0)+IFERROR(VLOOKUP($A45,MIceHockey!$C:$P,H$1-2011,FALSE),0)+IFERROR(VLOOKUP($A45,MLacrosse!$C:$O,H$1-2011,FALSE),0)+IFERROR(VLOOKUP($A45,MSoccer!$C:$O,H$1-2011,FALSE),0)+IFERROR(VLOOKUP($A45,MVolleyball!$C:$O,H$1-2011,FALSE),0)+IFERROR(VLOOKUP($A45,WBasketball!$C:$O,H$1-2011,FALSE),0)+IFERROR(VLOOKUP($A45,WFieldHockey!$C:$O,H$1-2011,FALSE),0)+IFERROR(VLOOKUP($A45,WIceHockey!$C:$O,H$1-2011,FALSE),0)+IFERROR(VLOOKUP($A45,WLacrosse!$C:$O,H$1-2011,FALSE),0)+IFERROR(VLOOKUP($A45,WSoccer!$C:$O,H$1-2011,FALSE),0)+IFERROR(VLOOKUP($A45,WSoftball!$C:$O,H$1-2011,FALSE),0)+IFERROR(VLOOKUP($A45,WVolleyball!$C:$O,H$1-2011,FALSE),0)</f>
        <v>121706</v>
      </c>
      <c r="I45">
        <f>IFERROR(VLOOKUP($A45,MBaseball!$C:$N,I$1-2010,FALSE),0)+IFERROR(VLOOKUP($A45,MBasketball!$C:$J,I$1-2006,FALSE),0)+IFERROR(VLOOKUP($A45,MFootball!$C:$O,I$1-2011,FALSE),0)+IFERROR(VLOOKUP($A45,MIceHockey!$C:$P,I$1-2011,FALSE),0)+IFERROR(VLOOKUP($A45,MLacrosse!$C:$O,I$1-2011,FALSE),0)+IFERROR(VLOOKUP($A45,MSoccer!$C:$O,I$1-2011,FALSE),0)+IFERROR(VLOOKUP($A45,MVolleyball!$C:$O,I$1-2011,FALSE),0)+IFERROR(VLOOKUP($A45,WBasketball!$C:$O,I$1-2011,FALSE),0)+IFERROR(VLOOKUP($A45,WFieldHockey!$C:$O,I$1-2011,FALSE),0)+IFERROR(VLOOKUP($A45,WIceHockey!$C:$O,I$1-2011,FALSE),0)+IFERROR(VLOOKUP($A45,WLacrosse!$C:$O,I$1-2011,FALSE),0)+IFERROR(VLOOKUP($A45,WSoccer!$C:$O,I$1-2011,FALSE),0)+IFERROR(VLOOKUP($A45,WSoftball!$C:$O,I$1-2011,FALSE),0)+IFERROR(VLOOKUP($A45,WVolleyball!$C:$O,I$1-2011,FALSE),0)</f>
        <v>107273</v>
      </c>
      <c r="J45">
        <f>IFERROR(VLOOKUP($A45,MBaseball!$C:$N,J$1-2010,FALSE),0)+IFERROR(VLOOKUP($A45,MBasketball!$C:$J,J$1-2006,FALSE),0)+IFERROR(VLOOKUP($A45,MFootball!$C:$O,J$1-2011,FALSE),0)+IFERROR(VLOOKUP($A45,MIceHockey!$C:$P,J$1-2011,FALSE),0)+IFERROR(VLOOKUP($A45,MLacrosse!$C:$O,J$1-2011,FALSE),0)+IFERROR(VLOOKUP($A45,MSoccer!$C:$O,J$1-2011,FALSE),0)+IFERROR(VLOOKUP($A45,MVolleyball!$C:$O,J$1-2011,FALSE),0)+IFERROR(VLOOKUP($A45,WBasketball!$C:$O,J$1-2011,FALSE),0)+IFERROR(VLOOKUP($A45,WFieldHockey!$C:$O,J$1-2011,FALSE),0)+IFERROR(VLOOKUP($A45,WIceHockey!$C:$O,J$1-2011,FALSE),0)+IFERROR(VLOOKUP($A45,WLacrosse!$C:$O,J$1-2011,FALSE),0)+IFERROR(VLOOKUP($A45,WSoccer!$C:$O,J$1-2011,FALSE),0)+IFERROR(VLOOKUP($A45,WSoftball!$C:$O,J$1-2011,FALSE),0)+IFERROR(VLOOKUP($A45,WVolleyball!$C:$O,J$1-2011,FALSE),0)</f>
        <v>118838</v>
      </c>
      <c r="K45">
        <f>IFERROR(VLOOKUP($A45,MBaseball!$C:$N,K$1-2010,FALSE),0)+IFERROR(VLOOKUP($A45,MBasketball!$C:$J,K$1-2006,FALSE),0)+IFERROR(VLOOKUP($A45,MFootball!$C:$O,K$1-2011,FALSE),0)+IFERROR(VLOOKUP($A45,MIceHockey!$C:$P,K$1-2011,FALSE),0)+IFERROR(VLOOKUP($A45,MLacrosse!$C:$O,K$1-2011,FALSE),0)+IFERROR(VLOOKUP($A45,MSoccer!$C:$O,K$1-2011,FALSE),0)+IFERROR(VLOOKUP($A45,MVolleyball!$C:$O,K$1-2011,FALSE),0)+IFERROR(VLOOKUP($A45,WBasketball!$C:$O,K$1-2011,FALSE),0)+IFERROR(VLOOKUP($A45,WFieldHockey!$C:$O,K$1-2011,FALSE),0)+IFERROR(VLOOKUP($A45,WIceHockey!$C:$O,K$1-2011,FALSE),0)+IFERROR(VLOOKUP($A45,WLacrosse!$C:$O,K$1-2011,FALSE),0)+IFERROR(VLOOKUP($A45,WSoccer!$C:$O,K$1-2011,FALSE),0)+IFERROR(VLOOKUP($A45,WSoftball!$C:$O,K$1-2011,FALSE),0)+IFERROR(VLOOKUP($A45,WVolleyball!$C:$O,K$1-2011,FALSE),0)</f>
        <v>123743</v>
      </c>
      <c r="L45">
        <f>IFERROR(VLOOKUP($A45,MBaseball!$C:$N,L$1-2010,FALSE),0)+IFERROR(VLOOKUP($A45,MBasketball!$C:$J,L$1-2006,FALSE),0)+IFERROR(VLOOKUP($A45,MFootball!$C:$O,L$1-2011,FALSE),0)+IFERROR(VLOOKUP($A45,MIceHockey!$C:$P,L$1-2011,FALSE),0)+IFERROR(VLOOKUP($A45,MLacrosse!$C:$O,L$1-2011,FALSE),0)+IFERROR(VLOOKUP($A45,MSoccer!$C:$O,L$1-2011,FALSE),0)+IFERROR(VLOOKUP($A45,MVolleyball!$C:$O,L$1-2011,FALSE),0)+IFERROR(VLOOKUP($A45,WBasketball!$C:$O,L$1-2011,FALSE),0)+IFERROR(VLOOKUP($A45,WFieldHockey!$C:$O,L$1-2011,FALSE),0)+IFERROR(VLOOKUP($A45,WIceHockey!$C:$O,L$1-2011,FALSE),0)+IFERROR(VLOOKUP($A45,WLacrosse!$C:$O,L$1-2011,FALSE),0)+IFERROR(VLOOKUP($A45,WSoccer!$C:$O,L$1-2011,FALSE),0)+IFERROR(VLOOKUP($A45,WSoftball!$C:$O,L$1-2011,FALSE),0)+IFERROR(VLOOKUP($A45,WVolleyball!$C:$O,L$1-2011,FALSE),0)</f>
        <v>43939</v>
      </c>
      <c r="M45">
        <f>IFERROR(VLOOKUP($A45,MBaseball!$C:$N,M$1-2010,FALSE),0)+IFERROR(VLOOKUP($A45,MBasketball!$C:$J,M$1-2006,FALSE),0)+IFERROR(VLOOKUP($A45,MFootball!$C:$O,M$1-2011,FALSE),0)+IFERROR(VLOOKUP($A45,MIceHockey!$C:$P,M$1-2011,FALSE),0)+IFERROR(VLOOKUP($A45,MLacrosse!$C:$O,M$1-2011,FALSE),0)+IFERROR(VLOOKUP($A45,MSoccer!$C:$O,M$1-2011,FALSE),0)+IFERROR(VLOOKUP($A45,MVolleyball!$C:$O,M$1-2011,FALSE),0)+IFERROR(VLOOKUP($A45,WBasketball!$C:$O,M$1-2011,FALSE),0)+IFERROR(VLOOKUP($A45,WFieldHockey!$C:$O,M$1-2011,FALSE),0)+IFERROR(VLOOKUP($A45,WIceHockey!$C:$O,M$1-2011,FALSE),0)+IFERROR(VLOOKUP($A45,WLacrosse!$C:$O,M$1-2011,FALSE),0)+IFERROR(VLOOKUP($A45,WSoccer!$C:$O,M$1-2011,FALSE),0)+IFERROR(VLOOKUP($A45,WSoftball!$C:$O,M$1-2011,FALSE),0)+IFERROR(VLOOKUP($A45,WVolleyball!$C:$O,M$1-2011,FALSE),0)</f>
        <v>117064</v>
      </c>
      <c r="N45">
        <f>IFERROR(VLOOKUP($A45,MBaseball!$C:$N,N$1-2010,FALSE),0)+IFERROR(VLOOKUP($A45,MBasketball!$C:$J,N$1-2006,FALSE),0)+IFERROR(VLOOKUP($A45,MFootball!$C:$O,N$1-2011,FALSE),0)+IFERROR(VLOOKUP($A45,MIceHockey!$C:$P,N$1-2011,FALSE),0)+IFERROR(VLOOKUP($A45,MLacrosse!$C:$O,N$1-2011,FALSE),0)+IFERROR(VLOOKUP($A45,MSoccer!$C:$O,N$1-2011,FALSE),0)+IFERROR(VLOOKUP($A45,MVolleyball!$C:$O,N$1-2011,FALSE),0)+IFERROR(VLOOKUP($A45,WBasketball!$C:$O,N$1-2011,FALSE),0)+IFERROR(VLOOKUP($A45,WFieldHockey!$C:$O,N$1-2011,FALSE),0)+IFERROR(VLOOKUP($A45,WIceHockey!$C:$O,N$1-2011,FALSE),0)+IFERROR(VLOOKUP($A45,WLacrosse!$C:$O,N$1-2011,FALSE),0)+IFERROR(VLOOKUP($A45,WSoccer!$C:$O,N$1-2011,FALSE),0)+IFERROR(VLOOKUP($A45,WSoftball!$C:$O,N$1-2011,FALSE),0)+IFERROR(VLOOKUP($A45,WVolleyball!$C:$O,N$1-2011,FALSE),0)</f>
        <v>117853</v>
      </c>
    </row>
    <row r="46" spans="1:14" x14ac:dyDescent="0.2">
      <c r="A46">
        <v>139755</v>
      </c>
      <c r="B46">
        <v>12060</v>
      </c>
      <c r="C46" t="s">
        <v>95</v>
      </c>
      <c r="D46">
        <v>45</v>
      </c>
      <c r="E46">
        <f>IFERROR(VLOOKUP($A46,MBaseball!$C:$N,E$1-2010,FALSE),0)+IFERROR(VLOOKUP($A46,MBasketball!$C:$J,E$1-2006,FALSE),0)+IFERROR(VLOOKUP($A46,MFootball!$C:$O,E$1-2011,FALSE),0)+IFERROR(VLOOKUP($A46,MIceHockey!$C:$P,E$1-2011,FALSE),0)+IFERROR(VLOOKUP($A46,MLacrosse!$C:$O,E$1-2011,FALSE),0)+IFERROR(VLOOKUP($A46,MSoccer!$C:$O,E$1-2011,FALSE),0)+IFERROR(VLOOKUP($A46,MVolleyball!$C:$O,E$1-2011,FALSE),0)+IFERROR(VLOOKUP($A46,WBasketball!$C:$O,E$1-2011,FALSE),0)+IFERROR(VLOOKUP($A46,WFieldHockey!$C:$O,E$1-2011,FALSE),0)+IFERROR(VLOOKUP($A46,WIceHockey!$C:$O,E$1-2011,FALSE),0)+IFERROR(VLOOKUP($A46,WLacrosse!$C:$O,E$1-2011,FALSE),0)+IFERROR(VLOOKUP($A46,WSoccer!$C:$O,E$1-2011,FALSE),0)+IFERROR(VLOOKUP($A46,WSoftball!$C:$O,E$1-2011,FALSE),0)+IFERROR(VLOOKUP($A46,WVolleyball!$C:$O,E$1-2011,FALSE),0)</f>
        <v>178733</v>
      </c>
      <c r="F46">
        <f>IFERROR(VLOOKUP($A46,MBaseball!$C:$N,F$1-2010,FALSE),0)+IFERROR(VLOOKUP($A46,MBasketball!$C:$J,F$1-2006,FALSE),0)+IFERROR(VLOOKUP($A46,MFootball!$C:$O,F$1-2011,FALSE),0)+IFERROR(VLOOKUP($A46,MIceHockey!$C:$P,F$1-2011,FALSE),0)+IFERROR(VLOOKUP($A46,MLacrosse!$C:$O,F$1-2011,FALSE),0)+IFERROR(VLOOKUP($A46,MSoccer!$C:$O,F$1-2011,FALSE),0)+IFERROR(VLOOKUP($A46,MVolleyball!$C:$O,F$1-2011,FALSE),0)+IFERROR(VLOOKUP($A46,WBasketball!$C:$O,F$1-2011,FALSE),0)+IFERROR(VLOOKUP($A46,WFieldHockey!$C:$O,F$1-2011,FALSE),0)+IFERROR(VLOOKUP($A46,WIceHockey!$C:$O,F$1-2011,FALSE),0)+IFERROR(VLOOKUP($A46,WLacrosse!$C:$O,F$1-2011,FALSE),0)+IFERROR(VLOOKUP($A46,WSoccer!$C:$O,F$1-2011,FALSE),0)+IFERROR(VLOOKUP($A46,WSoftball!$C:$O,F$1-2011,FALSE),0)+IFERROR(VLOOKUP($A46,WVolleyball!$C:$O,F$1-2011,FALSE),0)</f>
        <v>365356</v>
      </c>
      <c r="G46">
        <f>IFERROR(VLOOKUP($A46,MBaseball!$C:$N,G$1-2010,FALSE),0)+IFERROR(VLOOKUP($A46,MBasketball!$C:$J,G$1-2006,FALSE),0)+IFERROR(VLOOKUP($A46,MFootball!$C:$O,G$1-2011,FALSE),0)+IFERROR(VLOOKUP($A46,MIceHockey!$C:$P,G$1-2011,FALSE),0)+IFERROR(VLOOKUP($A46,MLacrosse!$C:$O,G$1-2011,FALSE),0)+IFERROR(VLOOKUP($A46,MSoccer!$C:$O,G$1-2011,FALSE),0)+IFERROR(VLOOKUP($A46,MVolleyball!$C:$O,G$1-2011,FALSE),0)+IFERROR(VLOOKUP($A46,WBasketball!$C:$O,G$1-2011,FALSE),0)+IFERROR(VLOOKUP($A46,WFieldHockey!$C:$O,G$1-2011,FALSE),0)+IFERROR(VLOOKUP($A46,WIceHockey!$C:$O,G$1-2011,FALSE),0)+IFERROR(VLOOKUP($A46,WLacrosse!$C:$O,G$1-2011,FALSE),0)+IFERROR(VLOOKUP($A46,WSoccer!$C:$O,G$1-2011,FALSE),0)+IFERROR(VLOOKUP($A46,WSoftball!$C:$O,G$1-2011,FALSE),0)+IFERROR(VLOOKUP($A46,WVolleyball!$C:$O,G$1-2011,FALSE),0)</f>
        <v>435308</v>
      </c>
      <c r="H46">
        <f>IFERROR(VLOOKUP($A46,MBaseball!$C:$N,H$1-2010,FALSE),0)+IFERROR(VLOOKUP($A46,MBasketball!$C:$J,H$1-2006,FALSE),0)+IFERROR(VLOOKUP($A46,MFootball!$C:$O,H$1-2011,FALSE),0)+IFERROR(VLOOKUP($A46,MIceHockey!$C:$P,H$1-2011,FALSE),0)+IFERROR(VLOOKUP($A46,MLacrosse!$C:$O,H$1-2011,FALSE),0)+IFERROR(VLOOKUP($A46,MSoccer!$C:$O,H$1-2011,FALSE),0)+IFERROR(VLOOKUP($A46,MVolleyball!$C:$O,H$1-2011,FALSE),0)+IFERROR(VLOOKUP($A46,WBasketball!$C:$O,H$1-2011,FALSE),0)+IFERROR(VLOOKUP($A46,WFieldHockey!$C:$O,H$1-2011,FALSE),0)+IFERROR(VLOOKUP($A46,WIceHockey!$C:$O,H$1-2011,FALSE),0)+IFERROR(VLOOKUP($A46,WLacrosse!$C:$O,H$1-2011,FALSE),0)+IFERROR(VLOOKUP($A46,WSoccer!$C:$O,H$1-2011,FALSE),0)+IFERROR(VLOOKUP($A46,WSoftball!$C:$O,H$1-2011,FALSE),0)+IFERROR(VLOOKUP($A46,WVolleyball!$C:$O,H$1-2011,FALSE),0)</f>
        <v>412541</v>
      </c>
      <c r="I46">
        <f>IFERROR(VLOOKUP($A46,MBaseball!$C:$N,I$1-2010,FALSE),0)+IFERROR(VLOOKUP($A46,MBasketball!$C:$J,I$1-2006,FALSE),0)+IFERROR(VLOOKUP($A46,MFootball!$C:$O,I$1-2011,FALSE),0)+IFERROR(VLOOKUP($A46,MIceHockey!$C:$P,I$1-2011,FALSE),0)+IFERROR(VLOOKUP($A46,MLacrosse!$C:$O,I$1-2011,FALSE),0)+IFERROR(VLOOKUP($A46,MSoccer!$C:$O,I$1-2011,FALSE),0)+IFERROR(VLOOKUP($A46,MVolleyball!$C:$O,I$1-2011,FALSE),0)+IFERROR(VLOOKUP($A46,WBasketball!$C:$O,I$1-2011,FALSE),0)+IFERROR(VLOOKUP($A46,WFieldHockey!$C:$O,I$1-2011,FALSE),0)+IFERROR(VLOOKUP($A46,WIceHockey!$C:$O,I$1-2011,FALSE),0)+IFERROR(VLOOKUP($A46,WLacrosse!$C:$O,I$1-2011,FALSE),0)+IFERROR(VLOOKUP($A46,WSoccer!$C:$O,I$1-2011,FALSE),0)+IFERROR(VLOOKUP($A46,WSoftball!$C:$O,I$1-2011,FALSE),0)+IFERROR(VLOOKUP($A46,WVolleyball!$C:$O,I$1-2011,FALSE),0)</f>
        <v>377094</v>
      </c>
      <c r="J46">
        <f>IFERROR(VLOOKUP($A46,MBaseball!$C:$N,J$1-2010,FALSE),0)+IFERROR(VLOOKUP($A46,MBasketball!$C:$J,J$1-2006,FALSE),0)+IFERROR(VLOOKUP($A46,MFootball!$C:$O,J$1-2011,FALSE),0)+IFERROR(VLOOKUP($A46,MIceHockey!$C:$P,J$1-2011,FALSE),0)+IFERROR(VLOOKUP($A46,MLacrosse!$C:$O,J$1-2011,FALSE),0)+IFERROR(VLOOKUP($A46,MSoccer!$C:$O,J$1-2011,FALSE),0)+IFERROR(VLOOKUP($A46,MVolleyball!$C:$O,J$1-2011,FALSE),0)+IFERROR(VLOOKUP($A46,WBasketball!$C:$O,J$1-2011,FALSE),0)+IFERROR(VLOOKUP($A46,WFieldHockey!$C:$O,J$1-2011,FALSE),0)+IFERROR(VLOOKUP($A46,WIceHockey!$C:$O,J$1-2011,FALSE),0)+IFERROR(VLOOKUP($A46,WLacrosse!$C:$O,J$1-2011,FALSE),0)+IFERROR(VLOOKUP($A46,WSoccer!$C:$O,J$1-2011,FALSE),0)+IFERROR(VLOOKUP($A46,WSoftball!$C:$O,J$1-2011,FALSE),0)+IFERROR(VLOOKUP($A46,WVolleyball!$C:$O,J$1-2011,FALSE),0)</f>
        <v>311814</v>
      </c>
      <c r="K46">
        <f>IFERROR(VLOOKUP($A46,MBaseball!$C:$N,K$1-2010,FALSE),0)+IFERROR(VLOOKUP($A46,MBasketball!$C:$J,K$1-2006,FALSE),0)+IFERROR(VLOOKUP($A46,MFootball!$C:$O,K$1-2011,FALSE),0)+IFERROR(VLOOKUP($A46,MIceHockey!$C:$P,K$1-2011,FALSE),0)+IFERROR(VLOOKUP($A46,MLacrosse!$C:$O,K$1-2011,FALSE),0)+IFERROR(VLOOKUP($A46,MSoccer!$C:$O,K$1-2011,FALSE),0)+IFERROR(VLOOKUP($A46,MVolleyball!$C:$O,K$1-2011,FALSE),0)+IFERROR(VLOOKUP($A46,WBasketball!$C:$O,K$1-2011,FALSE),0)+IFERROR(VLOOKUP($A46,WFieldHockey!$C:$O,K$1-2011,FALSE),0)+IFERROR(VLOOKUP($A46,WIceHockey!$C:$O,K$1-2011,FALSE),0)+IFERROR(VLOOKUP($A46,WLacrosse!$C:$O,K$1-2011,FALSE),0)+IFERROR(VLOOKUP($A46,WSoccer!$C:$O,K$1-2011,FALSE),0)+IFERROR(VLOOKUP($A46,WSoftball!$C:$O,K$1-2011,FALSE),0)+IFERROR(VLOOKUP($A46,WVolleyball!$C:$O,K$1-2011,FALSE),0)</f>
        <v>369999</v>
      </c>
      <c r="L46">
        <f>IFERROR(VLOOKUP($A46,MBaseball!$C:$N,L$1-2010,FALSE),0)+IFERROR(VLOOKUP($A46,MBasketball!$C:$J,L$1-2006,FALSE),0)+IFERROR(VLOOKUP($A46,MFootball!$C:$O,L$1-2011,FALSE),0)+IFERROR(VLOOKUP($A46,MIceHockey!$C:$P,L$1-2011,FALSE),0)+IFERROR(VLOOKUP($A46,MLacrosse!$C:$O,L$1-2011,FALSE),0)+IFERROR(VLOOKUP($A46,MSoccer!$C:$O,L$1-2011,FALSE),0)+IFERROR(VLOOKUP($A46,MVolleyball!$C:$O,L$1-2011,FALSE),0)+IFERROR(VLOOKUP($A46,WBasketball!$C:$O,L$1-2011,FALSE),0)+IFERROR(VLOOKUP($A46,WFieldHockey!$C:$O,L$1-2011,FALSE),0)+IFERROR(VLOOKUP($A46,WIceHockey!$C:$O,L$1-2011,FALSE),0)+IFERROR(VLOOKUP($A46,WLacrosse!$C:$O,L$1-2011,FALSE),0)+IFERROR(VLOOKUP($A46,WSoccer!$C:$O,L$1-2011,FALSE),0)+IFERROR(VLOOKUP($A46,WSoftball!$C:$O,L$1-2011,FALSE),0)+IFERROR(VLOOKUP($A46,WVolleyball!$C:$O,L$1-2011,FALSE),0)</f>
        <v>129459</v>
      </c>
      <c r="M46">
        <f>IFERROR(VLOOKUP($A46,MBaseball!$C:$N,M$1-2010,FALSE),0)+IFERROR(VLOOKUP($A46,MBasketball!$C:$J,M$1-2006,FALSE),0)+IFERROR(VLOOKUP($A46,MFootball!$C:$O,M$1-2011,FALSE),0)+IFERROR(VLOOKUP($A46,MIceHockey!$C:$P,M$1-2011,FALSE),0)+IFERROR(VLOOKUP($A46,MLacrosse!$C:$O,M$1-2011,FALSE),0)+IFERROR(VLOOKUP($A46,MSoccer!$C:$O,M$1-2011,FALSE),0)+IFERROR(VLOOKUP($A46,MVolleyball!$C:$O,M$1-2011,FALSE),0)+IFERROR(VLOOKUP($A46,WBasketball!$C:$O,M$1-2011,FALSE),0)+IFERROR(VLOOKUP($A46,WFieldHockey!$C:$O,M$1-2011,FALSE),0)+IFERROR(VLOOKUP($A46,WIceHockey!$C:$O,M$1-2011,FALSE),0)+IFERROR(VLOOKUP($A46,WLacrosse!$C:$O,M$1-2011,FALSE),0)+IFERROR(VLOOKUP($A46,WSoccer!$C:$O,M$1-2011,FALSE),0)+IFERROR(VLOOKUP($A46,WSoftball!$C:$O,M$1-2011,FALSE),0)+IFERROR(VLOOKUP($A46,WVolleyball!$C:$O,M$1-2011,FALSE),0)</f>
        <v>368130</v>
      </c>
      <c r="N46">
        <f>IFERROR(VLOOKUP($A46,MBaseball!$C:$N,N$1-2010,FALSE),0)+IFERROR(VLOOKUP($A46,MBasketball!$C:$J,N$1-2006,FALSE),0)+IFERROR(VLOOKUP($A46,MFootball!$C:$O,N$1-2011,FALSE),0)+IFERROR(VLOOKUP($A46,MIceHockey!$C:$P,N$1-2011,FALSE),0)+IFERROR(VLOOKUP($A46,MLacrosse!$C:$O,N$1-2011,FALSE),0)+IFERROR(VLOOKUP($A46,MSoccer!$C:$O,N$1-2011,FALSE),0)+IFERROR(VLOOKUP($A46,MVolleyball!$C:$O,N$1-2011,FALSE),0)+IFERROR(VLOOKUP($A46,WBasketball!$C:$O,N$1-2011,FALSE),0)+IFERROR(VLOOKUP($A46,WFieldHockey!$C:$O,N$1-2011,FALSE),0)+IFERROR(VLOOKUP($A46,WIceHockey!$C:$O,N$1-2011,FALSE),0)+IFERROR(VLOOKUP($A46,WLacrosse!$C:$O,N$1-2011,FALSE),0)+IFERROR(VLOOKUP($A46,WSoccer!$C:$O,N$1-2011,FALSE),0)+IFERROR(VLOOKUP($A46,WSoftball!$C:$O,N$1-2011,FALSE),0)+IFERROR(VLOOKUP($A46,WVolleyball!$C:$O,N$1-2011,FALSE),0)</f>
        <v>273276</v>
      </c>
    </row>
    <row r="47" spans="1:14" x14ac:dyDescent="0.2">
      <c r="A47">
        <v>159009</v>
      </c>
      <c r="B47">
        <v>33740</v>
      </c>
      <c r="C47" t="s">
        <v>96</v>
      </c>
      <c r="D47">
        <v>46</v>
      </c>
      <c r="E47">
        <f>IFERROR(VLOOKUP($A47,MBaseball!$C:$N,E$1-2010,FALSE),0)+IFERROR(VLOOKUP($A47,MBasketball!$C:$J,E$1-2006,FALSE),0)+IFERROR(VLOOKUP($A47,MFootball!$C:$O,E$1-2011,FALSE),0)+IFERROR(VLOOKUP($A47,MIceHockey!$C:$P,E$1-2011,FALSE),0)+IFERROR(VLOOKUP($A47,MLacrosse!$C:$O,E$1-2011,FALSE),0)+IFERROR(VLOOKUP($A47,MSoccer!$C:$O,E$1-2011,FALSE),0)+IFERROR(VLOOKUP($A47,MVolleyball!$C:$O,E$1-2011,FALSE),0)+IFERROR(VLOOKUP($A47,WBasketball!$C:$O,E$1-2011,FALSE),0)+IFERROR(VLOOKUP($A47,WFieldHockey!$C:$O,E$1-2011,FALSE),0)+IFERROR(VLOOKUP($A47,WIceHockey!$C:$O,E$1-2011,FALSE),0)+IFERROR(VLOOKUP($A47,WLacrosse!$C:$O,E$1-2011,FALSE),0)+IFERROR(VLOOKUP($A47,WSoccer!$C:$O,E$1-2011,FALSE),0)+IFERROR(VLOOKUP($A47,WSoftball!$C:$O,E$1-2011,FALSE),0)+IFERROR(VLOOKUP($A47,WVolleyball!$C:$O,E$1-2011,FALSE),0)</f>
        <v>31672</v>
      </c>
      <c r="F47">
        <f>IFERROR(VLOOKUP($A47,MBaseball!$C:$N,F$1-2010,FALSE),0)+IFERROR(VLOOKUP($A47,MBasketball!$C:$J,F$1-2006,FALSE),0)+IFERROR(VLOOKUP($A47,MFootball!$C:$O,F$1-2011,FALSE),0)+IFERROR(VLOOKUP($A47,MIceHockey!$C:$P,F$1-2011,FALSE),0)+IFERROR(VLOOKUP($A47,MLacrosse!$C:$O,F$1-2011,FALSE),0)+IFERROR(VLOOKUP($A47,MSoccer!$C:$O,F$1-2011,FALSE),0)+IFERROR(VLOOKUP($A47,MVolleyball!$C:$O,F$1-2011,FALSE),0)+IFERROR(VLOOKUP($A47,WBasketball!$C:$O,F$1-2011,FALSE),0)+IFERROR(VLOOKUP($A47,WFieldHockey!$C:$O,F$1-2011,FALSE),0)+IFERROR(VLOOKUP($A47,WIceHockey!$C:$O,F$1-2011,FALSE),0)+IFERROR(VLOOKUP($A47,WLacrosse!$C:$O,F$1-2011,FALSE),0)+IFERROR(VLOOKUP($A47,WSoccer!$C:$O,F$1-2011,FALSE),0)+IFERROR(VLOOKUP($A47,WSoftball!$C:$O,F$1-2011,FALSE),0)+IFERROR(VLOOKUP($A47,WVolleyball!$C:$O,F$1-2011,FALSE),0)</f>
        <v>35555</v>
      </c>
      <c r="G47">
        <f>IFERROR(VLOOKUP($A47,MBaseball!$C:$N,G$1-2010,FALSE),0)+IFERROR(VLOOKUP($A47,MBasketball!$C:$J,G$1-2006,FALSE),0)+IFERROR(VLOOKUP($A47,MFootball!$C:$O,G$1-2011,FALSE),0)+IFERROR(VLOOKUP($A47,MIceHockey!$C:$P,G$1-2011,FALSE),0)+IFERROR(VLOOKUP($A47,MLacrosse!$C:$O,G$1-2011,FALSE),0)+IFERROR(VLOOKUP($A47,MSoccer!$C:$O,G$1-2011,FALSE),0)+IFERROR(VLOOKUP($A47,MVolleyball!$C:$O,G$1-2011,FALSE),0)+IFERROR(VLOOKUP($A47,WBasketball!$C:$O,G$1-2011,FALSE),0)+IFERROR(VLOOKUP($A47,WFieldHockey!$C:$O,G$1-2011,FALSE),0)+IFERROR(VLOOKUP($A47,WIceHockey!$C:$O,G$1-2011,FALSE),0)+IFERROR(VLOOKUP($A47,WLacrosse!$C:$O,G$1-2011,FALSE),0)+IFERROR(VLOOKUP($A47,WSoccer!$C:$O,G$1-2011,FALSE),0)+IFERROR(VLOOKUP($A47,WSoftball!$C:$O,G$1-2011,FALSE),0)+IFERROR(VLOOKUP($A47,WVolleyball!$C:$O,G$1-2011,FALSE),0)</f>
        <v>39456</v>
      </c>
      <c r="H47">
        <f>IFERROR(VLOOKUP($A47,MBaseball!$C:$N,H$1-2010,FALSE),0)+IFERROR(VLOOKUP($A47,MBasketball!$C:$J,H$1-2006,FALSE),0)+IFERROR(VLOOKUP($A47,MFootball!$C:$O,H$1-2011,FALSE),0)+IFERROR(VLOOKUP($A47,MIceHockey!$C:$P,H$1-2011,FALSE),0)+IFERROR(VLOOKUP($A47,MLacrosse!$C:$O,H$1-2011,FALSE),0)+IFERROR(VLOOKUP($A47,MSoccer!$C:$O,H$1-2011,FALSE),0)+IFERROR(VLOOKUP($A47,MVolleyball!$C:$O,H$1-2011,FALSE),0)+IFERROR(VLOOKUP($A47,WBasketball!$C:$O,H$1-2011,FALSE),0)+IFERROR(VLOOKUP($A47,WFieldHockey!$C:$O,H$1-2011,FALSE),0)+IFERROR(VLOOKUP($A47,WIceHockey!$C:$O,H$1-2011,FALSE),0)+IFERROR(VLOOKUP($A47,WLacrosse!$C:$O,H$1-2011,FALSE),0)+IFERROR(VLOOKUP($A47,WSoccer!$C:$O,H$1-2011,FALSE),0)+IFERROR(VLOOKUP($A47,WSoftball!$C:$O,H$1-2011,FALSE),0)+IFERROR(VLOOKUP($A47,WVolleyball!$C:$O,H$1-2011,FALSE),0)</f>
        <v>45008</v>
      </c>
      <c r="I47">
        <f>IFERROR(VLOOKUP($A47,MBaseball!$C:$N,I$1-2010,FALSE),0)+IFERROR(VLOOKUP($A47,MBasketball!$C:$J,I$1-2006,FALSE),0)+IFERROR(VLOOKUP($A47,MFootball!$C:$O,I$1-2011,FALSE),0)+IFERROR(VLOOKUP($A47,MIceHockey!$C:$P,I$1-2011,FALSE),0)+IFERROR(VLOOKUP($A47,MLacrosse!$C:$O,I$1-2011,FALSE),0)+IFERROR(VLOOKUP($A47,MSoccer!$C:$O,I$1-2011,FALSE),0)+IFERROR(VLOOKUP($A47,MVolleyball!$C:$O,I$1-2011,FALSE),0)+IFERROR(VLOOKUP($A47,WBasketball!$C:$O,I$1-2011,FALSE),0)+IFERROR(VLOOKUP($A47,WFieldHockey!$C:$O,I$1-2011,FALSE),0)+IFERROR(VLOOKUP($A47,WIceHockey!$C:$O,I$1-2011,FALSE),0)+IFERROR(VLOOKUP($A47,WLacrosse!$C:$O,I$1-2011,FALSE),0)+IFERROR(VLOOKUP($A47,WSoccer!$C:$O,I$1-2011,FALSE),0)+IFERROR(VLOOKUP($A47,WSoftball!$C:$O,I$1-2011,FALSE),0)+IFERROR(VLOOKUP($A47,WVolleyball!$C:$O,I$1-2011,FALSE),0)</f>
        <v>78886</v>
      </c>
      <c r="J47">
        <f>IFERROR(VLOOKUP($A47,MBaseball!$C:$N,J$1-2010,FALSE),0)+IFERROR(VLOOKUP($A47,MBasketball!$C:$J,J$1-2006,FALSE),0)+IFERROR(VLOOKUP($A47,MFootball!$C:$O,J$1-2011,FALSE),0)+IFERROR(VLOOKUP($A47,MIceHockey!$C:$P,J$1-2011,FALSE),0)+IFERROR(VLOOKUP($A47,MLacrosse!$C:$O,J$1-2011,FALSE),0)+IFERROR(VLOOKUP($A47,MSoccer!$C:$O,J$1-2011,FALSE),0)+IFERROR(VLOOKUP($A47,MVolleyball!$C:$O,J$1-2011,FALSE),0)+IFERROR(VLOOKUP($A47,WBasketball!$C:$O,J$1-2011,FALSE),0)+IFERROR(VLOOKUP($A47,WFieldHockey!$C:$O,J$1-2011,FALSE),0)+IFERROR(VLOOKUP($A47,WIceHockey!$C:$O,J$1-2011,FALSE),0)+IFERROR(VLOOKUP($A47,WLacrosse!$C:$O,J$1-2011,FALSE),0)+IFERROR(VLOOKUP($A47,WSoccer!$C:$O,J$1-2011,FALSE),0)+IFERROR(VLOOKUP($A47,WSoftball!$C:$O,J$1-2011,FALSE),0)+IFERROR(VLOOKUP($A47,WVolleyball!$C:$O,J$1-2011,FALSE),0)</f>
        <v>47306</v>
      </c>
      <c r="K47">
        <f>IFERROR(VLOOKUP($A47,MBaseball!$C:$N,K$1-2010,FALSE),0)+IFERROR(VLOOKUP($A47,MBasketball!$C:$J,K$1-2006,FALSE),0)+IFERROR(VLOOKUP($A47,MFootball!$C:$O,K$1-2011,FALSE),0)+IFERROR(VLOOKUP($A47,MIceHockey!$C:$P,K$1-2011,FALSE),0)+IFERROR(VLOOKUP($A47,MLacrosse!$C:$O,K$1-2011,FALSE),0)+IFERROR(VLOOKUP($A47,MSoccer!$C:$O,K$1-2011,FALSE),0)+IFERROR(VLOOKUP($A47,MVolleyball!$C:$O,K$1-2011,FALSE),0)+IFERROR(VLOOKUP($A47,WBasketball!$C:$O,K$1-2011,FALSE),0)+IFERROR(VLOOKUP($A47,WFieldHockey!$C:$O,K$1-2011,FALSE),0)+IFERROR(VLOOKUP($A47,WIceHockey!$C:$O,K$1-2011,FALSE),0)+IFERROR(VLOOKUP($A47,WLacrosse!$C:$O,K$1-2011,FALSE),0)+IFERROR(VLOOKUP($A47,WSoccer!$C:$O,K$1-2011,FALSE),0)+IFERROR(VLOOKUP($A47,WSoftball!$C:$O,K$1-2011,FALSE),0)+IFERROR(VLOOKUP($A47,WVolleyball!$C:$O,K$1-2011,FALSE),0)</f>
        <v>44774</v>
      </c>
      <c r="L47">
        <f>IFERROR(VLOOKUP($A47,MBaseball!$C:$N,L$1-2010,FALSE),0)+IFERROR(VLOOKUP($A47,MBasketball!$C:$J,L$1-2006,FALSE),0)+IFERROR(VLOOKUP($A47,MFootball!$C:$O,L$1-2011,FALSE),0)+IFERROR(VLOOKUP($A47,MIceHockey!$C:$P,L$1-2011,FALSE),0)+IFERROR(VLOOKUP($A47,MLacrosse!$C:$O,L$1-2011,FALSE),0)+IFERROR(VLOOKUP($A47,MSoccer!$C:$O,L$1-2011,FALSE),0)+IFERROR(VLOOKUP($A47,MVolleyball!$C:$O,L$1-2011,FALSE),0)+IFERROR(VLOOKUP($A47,WBasketball!$C:$O,L$1-2011,FALSE),0)+IFERROR(VLOOKUP($A47,WFieldHockey!$C:$O,L$1-2011,FALSE),0)+IFERROR(VLOOKUP($A47,WIceHockey!$C:$O,L$1-2011,FALSE),0)+IFERROR(VLOOKUP($A47,WLacrosse!$C:$O,L$1-2011,FALSE),0)+IFERROR(VLOOKUP($A47,WSoccer!$C:$O,L$1-2011,FALSE),0)+IFERROR(VLOOKUP($A47,WSoftball!$C:$O,L$1-2011,FALSE),0)+IFERROR(VLOOKUP($A47,WVolleyball!$C:$O,L$1-2011,FALSE),0)</f>
        <v>29270</v>
      </c>
      <c r="M47">
        <f>IFERROR(VLOOKUP($A47,MBaseball!$C:$N,M$1-2010,FALSE),0)+IFERROR(VLOOKUP($A47,MBasketball!$C:$J,M$1-2006,FALSE),0)+IFERROR(VLOOKUP($A47,MFootball!$C:$O,M$1-2011,FALSE),0)+IFERROR(VLOOKUP($A47,MIceHockey!$C:$P,M$1-2011,FALSE),0)+IFERROR(VLOOKUP($A47,MLacrosse!$C:$O,M$1-2011,FALSE),0)+IFERROR(VLOOKUP($A47,MSoccer!$C:$O,M$1-2011,FALSE),0)+IFERROR(VLOOKUP($A47,MVolleyball!$C:$O,M$1-2011,FALSE),0)+IFERROR(VLOOKUP($A47,WBasketball!$C:$O,M$1-2011,FALSE),0)+IFERROR(VLOOKUP($A47,WFieldHockey!$C:$O,M$1-2011,FALSE),0)+IFERROR(VLOOKUP($A47,WIceHockey!$C:$O,M$1-2011,FALSE),0)+IFERROR(VLOOKUP($A47,WLacrosse!$C:$O,M$1-2011,FALSE),0)+IFERROR(VLOOKUP($A47,WSoccer!$C:$O,M$1-2011,FALSE),0)+IFERROR(VLOOKUP($A47,WSoftball!$C:$O,M$1-2011,FALSE),0)+IFERROR(VLOOKUP($A47,WVolleyball!$C:$O,M$1-2011,FALSE),0)</f>
        <v>41629</v>
      </c>
      <c r="N47">
        <f>IFERROR(VLOOKUP($A47,MBaseball!$C:$N,N$1-2010,FALSE),0)+IFERROR(VLOOKUP($A47,MBasketball!$C:$J,N$1-2006,FALSE),0)+IFERROR(VLOOKUP($A47,MFootball!$C:$O,N$1-2011,FALSE),0)+IFERROR(VLOOKUP($A47,MIceHockey!$C:$P,N$1-2011,FALSE),0)+IFERROR(VLOOKUP($A47,MLacrosse!$C:$O,N$1-2011,FALSE),0)+IFERROR(VLOOKUP($A47,MSoccer!$C:$O,N$1-2011,FALSE),0)+IFERROR(VLOOKUP($A47,MVolleyball!$C:$O,N$1-2011,FALSE),0)+IFERROR(VLOOKUP($A47,WBasketball!$C:$O,N$1-2011,FALSE),0)+IFERROR(VLOOKUP($A47,WFieldHockey!$C:$O,N$1-2011,FALSE),0)+IFERROR(VLOOKUP($A47,WIceHockey!$C:$O,N$1-2011,FALSE),0)+IFERROR(VLOOKUP($A47,WLacrosse!$C:$O,N$1-2011,FALSE),0)+IFERROR(VLOOKUP($A47,WSoccer!$C:$O,N$1-2011,FALSE),0)+IFERROR(VLOOKUP($A47,WSoftball!$C:$O,N$1-2011,FALSE),0)+IFERROR(VLOOKUP($A47,WVolleyball!$C:$O,N$1-2011,FALSE),0)</f>
        <v>39033</v>
      </c>
    </row>
    <row r="48" spans="1:14" x14ac:dyDescent="0.2">
      <c r="A48">
        <v>141574</v>
      </c>
      <c r="B48">
        <v>46520</v>
      </c>
      <c r="C48" t="s">
        <v>97</v>
      </c>
      <c r="D48">
        <v>47</v>
      </c>
      <c r="E48">
        <f>IFERROR(VLOOKUP($A48,MBaseball!$C:$N,E$1-2010,FALSE),0)+IFERROR(VLOOKUP($A48,MBasketball!$C:$J,E$1-2006,FALSE),0)+IFERROR(VLOOKUP($A48,MFootball!$C:$O,E$1-2011,FALSE),0)+IFERROR(VLOOKUP($A48,MIceHockey!$C:$P,E$1-2011,FALSE),0)+IFERROR(VLOOKUP($A48,MLacrosse!$C:$O,E$1-2011,FALSE),0)+IFERROR(VLOOKUP($A48,MSoccer!$C:$O,E$1-2011,FALSE),0)+IFERROR(VLOOKUP($A48,MVolleyball!$C:$O,E$1-2011,FALSE),0)+IFERROR(VLOOKUP($A48,WBasketball!$C:$O,E$1-2011,FALSE),0)+IFERROR(VLOOKUP($A48,WFieldHockey!$C:$O,E$1-2011,FALSE),0)+IFERROR(VLOOKUP($A48,WIceHockey!$C:$O,E$1-2011,FALSE),0)+IFERROR(VLOOKUP($A48,WLacrosse!$C:$O,E$1-2011,FALSE),0)+IFERROR(VLOOKUP($A48,WSoccer!$C:$O,E$1-2011,FALSE),0)+IFERROR(VLOOKUP($A48,WSoftball!$C:$O,E$1-2011,FALSE),0)+IFERROR(VLOOKUP($A48,WVolleyball!$C:$O,E$1-2011,FALSE),0)</f>
        <v>419609</v>
      </c>
      <c r="F48">
        <f>IFERROR(VLOOKUP($A48,MBaseball!$C:$N,F$1-2010,FALSE),0)+IFERROR(VLOOKUP($A48,MBasketball!$C:$J,F$1-2006,FALSE),0)+IFERROR(VLOOKUP($A48,MFootball!$C:$O,F$1-2011,FALSE),0)+IFERROR(VLOOKUP($A48,MIceHockey!$C:$P,F$1-2011,FALSE),0)+IFERROR(VLOOKUP($A48,MLacrosse!$C:$O,F$1-2011,FALSE),0)+IFERROR(VLOOKUP($A48,MSoccer!$C:$O,F$1-2011,FALSE),0)+IFERROR(VLOOKUP($A48,MVolleyball!$C:$O,F$1-2011,FALSE),0)+IFERROR(VLOOKUP($A48,WBasketball!$C:$O,F$1-2011,FALSE),0)+IFERROR(VLOOKUP($A48,WFieldHockey!$C:$O,F$1-2011,FALSE),0)+IFERROR(VLOOKUP($A48,WIceHockey!$C:$O,F$1-2011,FALSE),0)+IFERROR(VLOOKUP($A48,WLacrosse!$C:$O,F$1-2011,FALSE),0)+IFERROR(VLOOKUP($A48,WSoccer!$C:$O,F$1-2011,FALSE),0)+IFERROR(VLOOKUP($A48,WSoftball!$C:$O,F$1-2011,FALSE),0)+IFERROR(VLOOKUP($A48,WVolleyball!$C:$O,F$1-2011,FALSE),0)</f>
        <v>527614</v>
      </c>
      <c r="G48">
        <f>IFERROR(VLOOKUP($A48,MBaseball!$C:$N,G$1-2010,FALSE),0)+IFERROR(VLOOKUP($A48,MBasketball!$C:$J,G$1-2006,FALSE),0)+IFERROR(VLOOKUP($A48,MFootball!$C:$O,G$1-2011,FALSE),0)+IFERROR(VLOOKUP($A48,MIceHockey!$C:$P,G$1-2011,FALSE),0)+IFERROR(VLOOKUP($A48,MLacrosse!$C:$O,G$1-2011,FALSE),0)+IFERROR(VLOOKUP($A48,MSoccer!$C:$O,G$1-2011,FALSE),0)+IFERROR(VLOOKUP($A48,MVolleyball!$C:$O,G$1-2011,FALSE),0)+IFERROR(VLOOKUP($A48,WBasketball!$C:$O,G$1-2011,FALSE),0)+IFERROR(VLOOKUP($A48,WFieldHockey!$C:$O,G$1-2011,FALSE),0)+IFERROR(VLOOKUP($A48,WIceHockey!$C:$O,G$1-2011,FALSE),0)+IFERROR(VLOOKUP($A48,WLacrosse!$C:$O,G$1-2011,FALSE),0)+IFERROR(VLOOKUP($A48,WSoccer!$C:$O,G$1-2011,FALSE),0)+IFERROR(VLOOKUP($A48,WSoftball!$C:$O,G$1-2011,FALSE),0)+IFERROR(VLOOKUP($A48,WVolleyball!$C:$O,G$1-2011,FALSE),0)</f>
        <v>505519</v>
      </c>
      <c r="H48">
        <f>IFERROR(VLOOKUP($A48,MBaseball!$C:$N,H$1-2010,FALSE),0)+IFERROR(VLOOKUP($A48,MBasketball!$C:$J,H$1-2006,FALSE),0)+IFERROR(VLOOKUP($A48,MFootball!$C:$O,H$1-2011,FALSE),0)+IFERROR(VLOOKUP($A48,MIceHockey!$C:$P,H$1-2011,FALSE),0)+IFERROR(VLOOKUP($A48,MLacrosse!$C:$O,H$1-2011,FALSE),0)+IFERROR(VLOOKUP($A48,MSoccer!$C:$O,H$1-2011,FALSE),0)+IFERROR(VLOOKUP($A48,MVolleyball!$C:$O,H$1-2011,FALSE),0)+IFERROR(VLOOKUP($A48,WBasketball!$C:$O,H$1-2011,FALSE),0)+IFERROR(VLOOKUP($A48,WFieldHockey!$C:$O,H$1-2011,FALSE),0)+IFERROR(VLOOKUP($A48,WIceHockey!$C:$O,H$1-2011,FALSE),0)+IFERROR(VLOOKUP($A48,WLacrosse!$C:$O,H$1-2011,FALSE),0)+IFERROR(VLOOKUP($A48,WSoccer!$C:$O,H$1-2011,FALSE),0)+IFERROR(VLOOKUP($A48,WSoftball!$C:$O,H$1-2011,FALSE),0)+IFERROR(VLOOKUP($A48,WVolleyball!$C:$O,H$1-2011,FALSE),0)</f>
        <v>531230</v>
      </c>
      <c r="I48">
        <f>IFERROR(VLOOKUP($A48,MBaseball!$C:$N,I$1-2010,FALSE),0)+IFERROR(VLOOKUP($A48,MBasketball!$C:$J,I$1-2006,FALSE),0)+IFERROR(VLOOKUP($A48,MFootball!$C:$O,I$1-2011,FALSE),0)+IFERROR(VLOOKUP($A48,MIceHockey!$C:$P,I$1-2011,FALSE),0)+IFERROR(VLOOKUP($A48,MLacrosse!$C:$O,I$1-2011,FALSE),0)+IFERROR(VLOOKUP($A48,MSoccer!$C:$O,I$1-2011,FALSE),0)+IFERROR(VLOOKUP($A48,MVolleyball!$C:$O,I$1-2011,FALSE),0)+IFERROR(VLOOKUP($A48,WBasketball!$C:$O,I$1-2011,FALSE),0)+IFERROR(VLOOKUP($A48,WFieldHockey!$C:$O,I$1-2011,FALSE),0)+IFERROR(VLOOKUP($A48,WIceHockey!$C:$O,I$1-2011,FALSE),0)+IFERROR(VLOOKUP($A48,WLacrosse!$C:$O,I$1-2011,FALSE),0)+IFERROR(VLOOKUP($A48,WSoccer!$C:$O,I$1-2011,FALSE),0)+IFERROR(VLOOKUP($A48,WSoftball!$C:$O,I$1-2011,FALSE),0)+IFERROR(VLOOKUP($A48,WVolleyball!$C:$O,I$1-2011,FALSE),0)</f>
        <v>474504</v>
      </c>
      <c r="J48">
        <f>IFERROR(VLOOKUP($A48,MBaseball!$C:$N,J$1-2010,FALSE),0)+IFERROR(VLOOKUP($A48,MBasketball!$C:$J,J$1-2006,FALSE),0)+IFERROR(VLOOKUP($A48,MFootball!$C:$O,J$1-2011,FALSE),0)+IFERROR(VLOOKUP($A48,MIceHockey!$C:$P,J$1-2011,FALSE),0)+IFERROR(VLOOKUP($A48,MLacrosse!$C:$O,J$1-2011,FALSE),0)+IFERROR(VLOOKUP($A48,MSoccer!$C:$O,J$1-2011,FALSE),0)+IFERROR(VLOOKUP($A48,MVolleyball!$C:$O,J$1-2011,FALSE),0)+IFERROR(VLOOKUP($A48,WBasketball!$C:$O,J$1-2011,FALSE),0)+IFERROR(VLOOKUP($A48,WFieldHockey!$C:$O,J$1-2011,FALSE),0)+IFERROR(VLOOKUP($A48,WIceHockey!$C:$O,J$1-2011,FALSE),0)+IFERROR(VLOOKUP($A48,WLacrosse!$C:$O,J$1-2011,FALSE),0)+IFERROR(VLOOKUP($A48,WSoccer!$C:$O,J$1-2011,FALSE),0)+IFERROR(VLOOKUP($A48,WSoftball!$C:$O,J$1-2011,FALSE),0)+IFERROR(VLOOKUP($A48,WVolleyball!$C:$O,J$1-2011,FALSE),0)</f>
        <v>460111</v>
      </c>
      <c r="K48">
        <f>IFERROR(VLOOKUP($A48,MBaseball!$C:$N,K$1-2010,FALSE),0)+IFERROR(VLOOKUP($A48,MBasketball!$C:$J,K$1-2006,FALSE),0)+IFERROR(VLOOKUP($A48,MFootball!$C:$O,K$1-2011,FALSE),0)+IFERROR(VLOOKUP($A48,MIceHockey!$C:$P,K$1-2011,FALSE),0)+IFERROR(VLOOKUP($A48,MLacrosse!$C:$O,K$1-2011,FALSE),0)+IFERROR(VLOOKUP($A48,MSoccer!$C:$O,K$1-2011,FALSE),0)+IFERROR(VLOOKUP($A48,MVolleyball!$C:$O,K$1-2011,FALSE),0)+IFERROR(VLOOKUP($A48,WBasketball!$C:$O,K$1-2011,FALSE),0)+IFERROR(VLOOKUP($A48,WFieldHockey!$C:$O,K$1-2011,FALSE),0)+IFERROR(VLOOKUP($A48,WIceHockey!$C:$O,K$1-2011,FALSE),0)+IFERROR(VLOOKUP($A48,WLacrosse!$C:$O,K$1-2011,FALSE),0)+IFERROR(VLOOKUP($A48,WSoccer!$C:$O,K$1-2011,FALSE),0)+IFERROR(VLOOKUP($A48,WSoftball!$C:$O,K$1-2011,FALSE),0)+IFERROR(VLOOKUP($A48,WVolleyball!$C:$O,K$1-2011,FALSE),0)</f>
        <v>448071</v>
      </c>
      <c r="L48">
        <f>IFERROR(VLOOKUP($A48,MBaseball!$C:$N,L$1-2010,FALSE),0)+IFERROR(VLOOKUP($A48,MBasketball!$C:$J,L$1-2006,FALSE),0)+IFERROR(VLOOKUP($A48,MFootball!$C:$O,L$1-2011,FALSE),0)+IFERROR(VLOOKUP($A48,MIceHockey!$C:$P,L$1-2011,FALSE),0)+IFERROR(VLOOKUP($A48,MLacrosse!$C:$O,L$1-2011,FALSE),0)+IFERROR(VLOOKUP($A48,MSoccer!$C:$O,L$1-2011,FALSE),0)+IFERROR(VLOOKUP($A48,MVolleyball!$C:$O,L$1-2011,FALSE),0)+IFERROR(VLOOKUP($A48,WBasketball!$C:$O,L$1-2011,FALSE),0)+IFERROR(VLOOKUP($A48,WFieldHockey!$C:$O,L$1-2011,FALSE),0)+IFERROR(VLOOKUP($A48,WIceHockey!$C:$O,L$1-2011,FALSE),0)+IFERROR(VLOOKUP($A48,WLacrosse!$C:$O,L$1-2011,FALSE),0)+IFERROR(VLOOKUP($A48,WSoccer!$C:$O,L$1-2011,FALSE),0)+IFERROR(VLOOKUP($A48,WSoftball!$C:$O,L$1-2011,FALSE),0)+IFERROR(VLOOKUP($A48,WVolleyball!$C:$O,L$1-2011,FALSE),0)</f>
        <v>54772</v>
      </c>
      <c r="M48">
        <f>IFERROR(VLOOKUP($A48,MBaseball!$C:$N,M$1-2010,FALSE),0)+IFERROR(VLOOKUP($A48,MBasketball!$C:$J,M$1-2006,FALSE),0)+IFERROR(VLOOKUP($A48,MFootball!$C:$O,M$1-2011,FALSE),0)+IFERROR(VLOOKUP($A48,MIceHockey!$C:$P,M$1-2011,FALSE),0)+IFERROR(VLOOKUP($A48,MLacrosse!$C:$O,M$1-2011,FALSE),0)+IFERROR(VLOOKUP($A48,MSoccer!$C:$O,M$1-2011,FALSE),0)+IFERROR(VLOOKUP($A48,MVolleyball!$C:$O,M$1-2011,FALSE),0)+IFERROR(VLOOKUP($A48,WBasketball!$C:$O,M$1-2011,FALSE),0)+IFERROR(VLOOKUP($A48,WFieldHockey!$C:$O,M$1-2011,FALSE),0)+IFERROR(VLOOKUP($A48,WIceHockey!$C:$O,M$1-2011,FALSE),0)+IFERROR(VLOOKUP($A48,WLacrosse!$C:$O,M$1-2011,FALSE),0)+IFERROR(VLOOKUP($A48,WSoccer!$C:$O,M$1-2011,FALSE),0)+IFERROR(VLOOKUP($A48,WSoftball!$C:$O,M$1-2011,FALSE),0)+IFERROR(VLOOKUP($A48,WVolleyball!$C:$O,M$1-2011,FALSE),0)</f>
        <v>206045</v>
      </c>
      <c r="N48">
        <f>IFERROR(VLOOKUP($A48,MBaseball!$C:$N,N$1-2010,FALSE),0)+IFERROR(VLOOKUP($A48,MBasketball!$C:$J,N$1-2006,FALSE),0)+IFERROR(VLOOKUP($A48,MFootball!$C:$O,N$1-2011,FALSE),0)+IFERROR(VLOOKUP($A48,MIceHockey!$C:$P,N$1-2011,FALSE),0)+IFERROR(VLOOKUP($A48,MLacrosse!$C:$O,N$1-2011,FALSE),0)+IFERROR(VLOOKUP($A48,MSoccer!$C:$O,N$1-2011,FALSE),0)+IFERROR(VLOOKUP($A48,MVolleyball!$C:$O,N$1-2011,FALSE),0)+IFERROR(VLOOKUP($A48,WBasketball!$C:$O,N$1-2011,FALSE),0)+IFERROR(VLOOKUP($A48,WFieldHockey!$C:$O,N$1-2011,FALSE),0)+IFERROR(VLOOKUP($A48,WIceHockey!$C:$O,N$1-2011,FALSE),0)+IFERROR(VLOOKUP($A48,WLacrosse!$C:$O,N$1-2011,FALSE),0)+IFERROR(VLOOKUP($A48,WSoccer!$C:$O,N$1-2011,FALSE),0)+IFERROR(VLOOKUP($A48,WSoftball!$C:$O,N$1-2011,FALSE),0)+IFERROR(VLOOKUP($A48,WVolleyball!$C:$O,N$1-2011,FALSE),0)</f>
        <v>320174</v>
      </c>
    </row>
    <row r="49" spans="1:14" x14ac:dyDescent="0.2">
      <c r="A49">
        <v>225511</v>
      </c>
      <c r="B49">
        <v>26420</v>
      </c>
      <c r="C49" t="s">
        <v>98</v>
      </c>
      <c r="D49">
        <v>48</v>
      </c>
      <c r="E49">
        <f>IFERROR(VLOOKUP($A49,MBaseball!$C:$N,E$1-2010,FALSE),0)+IFERROR(VLOOKUP($A49,MBasketball!$C:$J,E$1-2006,FALSE),0)+IFERROR(VLOOKUP($A49,MFootball!$C:$O,E$1-2011,FALSE),0)+IFERROR(VLOOKUP($A49,MIceHockey!$C:$P,E$1-2011,FALSE),0)+IFERROR(VLOOKUP($A49,MLacrosse!$C:$O,E$1-2011,FALSE),0)+IFERROR(VLOOKUP($A49,MSoccer!$C:$O,E$1-2011,FALSE),0)+IFERROR(VLOOKUP($A49,MVolleyball!$C:$O,E$1-2011,FALSE),0)+IFERROR(VLOOKUP($A49,WBasketball!$C:$O,E$1-2011,FALSE),0)+IFERROR(VLOOKUP($A49,WFieldHockey!$C:$O,E$1-2011,FALSE),0)+IFERROR(VLOOKUP($A49,WIceHockey!$C:$O,E$1-2011,FALSE),0)+IFERROR(VLOOKUP($A49,WLacrosse!$C:$O,E$1-2011,FALSE),0)+IFERROR(VLOOKUP($A49,WSoccer!$C:$O,E$1-2011,FALSE),0)+IFERROR(VLOOKUP($A49,WSoftball!$C:$O,E$1-2011,FALSE),0)+IFERROR(VLOOKUP($A49,WVolleyball!$C:$O,E$1-2011,FALSE),0)</f>
        <v>201183</v>
      </c>
      <c r="F49">
        <f>IFERROR(VLOOKUP($A49,MBaseball!$C:$N,F$1-2010,FALSE),0)+IFERROR(VLOOKUP($A49,MBasketball!$C:$J,F$1-2006,FALSE),0)+IFERROR(VLOOKUP($A49,MFootball!$C:$O,F$1-2011,FALSE),0)+IFERROR(VLOOKUP($A49,MIceHockey!$C:$P,F$1-2011,FALSE),0)+IFERROR(VLOOKUP($A49,MLacrosse!$C:$O,F$1-2011,FALSE),0)+IFERROR(VLOOKUP($A49,MSoccer!$C:$O,F$1-2011,FALSE),0)+IFERROR(VLOOKUP($A49,MVolleyball!$C:$O,F$1-2011,FALSE),0)+IFERROR(VLOOKUP($A49,WBasketball!$C:$O,F$1-2011,FALSE),0)+IFERROR(VLOOKUP($A49,WFieldHockey!$C:$O,F$1-2011,FALSE),0)+IFERROR(VLOOKUP($A49,WIceHockey!$C:$O,F$1-2011,FALSE),0)+IFERROR(VLOOKUP($A49,WLacrosse!$C:$O,F$1-2011,FALSE),0)+IFERROR(VLOOKUP($A49,WSoccer!$C:$O,F$1-2011,FALSE),0)+IFERROR(VLOOKUP($A49,WSoftball!$C:$O,F$1-2011,FALSE),0)+IFERROR(VLOOKUP($A49,WVolleyball!$C:$O,F$1-2011,FALSE),0)</f>
        <v>246505</v>
      </c>
      <c r="G49">
        <f>IFERROR(VLOOKUP($A49,MBaseball!$C:$N,G$1-2010,FALSE),0)+IFERROR(VLOOKUP($A49,MBasketball!$C:$J,G$1-2006,FALSE),0)+IFERROR(VLOOKUP($A49,MFootball!$C:$O,G$1-2011,FALSE),0)+IFERROR(VLOOKUP($A49,MIceHockey!$C:$P,G$1-2011,FALSE),0)+IFERROR(VLOOKUP($A49,MLacrosse!$C:$O,G$1-2011,FALSE),0)+IFERROR(VLOOKUP($A49,MSoccer!$C:$O,G$1-2011,FALSE),0)+IFERROR(VLOOKUP($A49,MVolleyball!$C:$O,G$1-2011,FALSE),0)+IFERROR(VLOOKUP($A49,WBasketball!$C:$O,G$1-2011,FALSE),0)+IFERROR(VLOOKUP($A49,WFieldHockey!$C:$O,G$1-2011,FALSE),0)+IFERROR(VLOOKUP($A49,WIceHockey!$C:$O,G$1-2011,FALSE),0)+IFERROR(VLOOKUP($A49,WLacrosse!$C:$O,G$1-2011,FALSE),0)+IFERROR(VLOOKUP($A49,WSoccer!$C:$O,G$1-2011,FALSE),0)+IFERROR(VLOOKUP($A49,WSoftball!$C:$O,G$1-2011,FALSE),0)+IFERROR(VLOOKUP($A49,WVolleyball!$C:$O,G$1-2011,FALSE),0)</f>
        <v>357760</v>
      </c>
      <c r="H49">
        <f>IFERROR(VLOOKUP($A49,MBaseball!$C:$N,H$1-2010,FALSE),0)+IFERROR(VLOOKUP($A49,MBasketball!$C:$J,H$1-2006,FALSE),0)+IFERROR(VLOOKUP($A49,MFootball!$C:$O,H$1-2011,FALSE),0)+IFERROR(VLOOKUP($A49,MIceHockey!$C:$P,H$1-2011,FALSE),0)+IFERROR(VLOOKUP($A49,MLacrosse!$C:$O,H$1-2011,FALSE),0)+IFERROR(VLOOKUP($A49,MSoccer!$C:$O,H$1-2011,FALSE),0)+IFERROR(VLOOKUP($A49,MVolleyball!$C:$O,H$1-2011,FALSE),0)+IFERROR(VLOOKUP($A49,WBasketball!$C:$O,H$1-2011,FALSE),0)+IFERROR(VLOOKUP($A49,WFieldHockey!$C:$O,H$1-2011,FALSE),0)+IFERROR(VLOOKUP($A49,WIceHockey!$C:$O,H$1-2011,FALSE),0)+IFERROR(VLOOKUP($A49,WLacrosse!$C:$O,H$1-2011,FALSE),0)+IFERROR(VLOOKUP($A49,WSoccer!$C:$O,H$1-2011,FALSE),0)+IFERROR(VLOOKUP($A49,WSoftball!$C:$O,H$1-2011,FALSE),0)+IFERROR(VLOOKUP($A49,WVolleyball!$C:$O,H$1-2011,FALSE),0)</f>
        <v>302833</v>
      </c>
      <c r="I49">
        <f>IFERROR(VLOOKUP($A49,MBaseball!$C:$N,I$1-2010,FALSE),0)+IFERROR(VLOOKUP($A49,MBasketball!$C:$J,I$1-2006,FALSE),0)+IFERROR(VLOOKUP($A49,MFootball!$C:$O,I$1-2011,FALSE),0)+IFERROR(VLOOKUP($A49,MIceHockey!$C:$P,I$1-2011,FALSE),0)+IFERROR(VLOOKUP($A49,MLacrosse!$C:$O,I$1-2011,FALSE),0)+IFERROR(VLOOKUP($A49,MSoccer!$C:$O,I$1-2011,FALSE),0)+IFERROR(VLOOKUP($A49,MVolleyball!$C:$O,I$1-2011,FALSE),0)+IFERROR(VLOOKUP($A49,WBasketball!$C:$O,I$1-2011,FALSE),0)+IFERROR(VLOOKUP($A49,WFieldHockey!$C:$O,I$1-2011,FALSE),0)+IFERROR(VLOOKUP($A49,WIceHockey!$C:$O,I$1-2011,FALSE),0)+IFERROR(VLOOKUP($A49,WLacrosse!$C:$O,I$1-2011,FALSE),0)+IFERROR(VLOOKUP($A49,WSoccer!$C:$O,I$1-2011,FALSE),0)+IFERROR(VLOOKUP($A49,WSoftball!$C:$O,I$1-2011,FALSE),0)+IFERROR(VLOOKUP($A49,WVolleyball!$C:$O,I$1-2011,FALSE),0)</f>
        <v>263891</v>
      </c>
      <c r="J49">
        <f>IFERROR(VLOOKUP($A49,MBaseball!$C:$N,J$1-2010,FALSE),0)+IFERROR(VLOOKUP($A49,MBasketball!$C:$J,J$1-2006,FALSE),0)+IFERROR(VLOOKUP($A49,MFootball!$C:$O,J$1-2011,FALSE),0)+IFERROR(VLOOKUP($A49,MIceHockey!$C:$P,J$1-2011,FALSE),0)+IFERROR(VLOOKUP($A49,MLacrosse!$C:$O,J$1-2011,FALSE),0)+IFERROR(VLOOKUP($A49,MSoccer!$C:$O,J$1-2011,FALSE),0)+IFERROR(VLOOKUP($A49,MVolleyball!$C:$O,J$1-2011,FALSE),0)+IFERROR(VLOOKUP($A49,WBasketball!$C:$O,J$1-2011,FALSE),0)+IFERROR(VLOOKUP($A49,WFieldHockey!$C:$O,J$1-2011,FALSE),0)+IFERROR(VLOOKUP($A49,WIceHockey!$C:$O,J$1-2011,FALSE),0)+IFERROR(VLOOKUP($A49,WLacrosse!$C:$O,J$1-2011,FALSE),0)+IFERROR(VLOOKUP($A49,WSoccer!$C:$O,J$1-2011,FALSE),0)+IFERROR(VLOOKUP($A49,WSoftball!$C:$O,J$1-2011,FALSE),0)+IFERROR(VLOOKUP($A49,WVolleyball!$C:$O,J$1-2011,FALSE),0)</f>
        <v>224533</v>
      </c>
      <c r="K49">
        <f>IFERROR(VLOOKUP($A49,MBaseball!$C:$N,K$1-2010,FALSE),0)+IFERROR(VLOOKUP($A49,MBasketball!$C:$J,K$1-2006,FALSE),0)+IFERROR(VLOOKUP($A49,MFootball!$C:$O,K$1-2011,FALSE),0)+IFERROR(VLOOKUP($A49,MIceHockey!$C:$P,K$1-2011,FALSE),0)+IFERROR(VLOOKUP($A49,MLacrosse!$C:$O,K$1-2011,FALSE),0)+IFERROR(VLOOKUP($A49,MSoccer!$C:$O,K$1-2011,FALSE),0)+IFERROR(VLOOKUP($A49,MVolleyball!$C:$O,K$1-2011,FALSE),0)+IFERROR(VLOOKUP($A49,WBasketball!$C:$O,K$1-2011,FALSE),0)+IFERROR(VLOOKUP($A49,WFieldHockey!$C:$O,K$1-2011,FALSE),0)+IFERROR(VLOOKUP($A49,WIceHockey!$C:$O,K$1-2011,FALSE),0)+IFERROR(VLOOKUP($A49,WLacrosse!$C:$O,K$1-2011,FALSE),0)+IFERROR(VLOOKUP($A49,WSoccer!$C:$O,K$1-2011,FALSE),0)+IFERROR(VLOOKUP($A49,WSoftball!$C:$O,K$1-2011,FALSE),0)+IFERROR(VLOOKUP($A49,WVolleyball!$C:$O,K$1-2011,FALSE),0)</f>
        <v>164921</v>
      </c>
      <c r="L49">
        <f>IFERROR(VLOOKUP($A49,MBaseball!$C:$N,L$1-2010,FALSE),0)+IFERROR(VLOOKUP($A49,MBasketball!$C:$J,L$1-2006,FALSE),0)+IFERROR(VLOOKUP($A49,MFootball!$C:$O,L$1-2011,FALSE),0)+IFERROR(VLOOKUP($A49,MIceHockey!$C:$P,L$1-2011,FALSE),0)+IFERROR(VLOOKUP($A49,MLacrosse!$C:$O,L$1-2011,FALSE),0)+IFERROR(VLOOKUP($A49,MSoccer!$C:$O,L$1-2011,FALSE),0)+IFERROR(VLOOKUP($A49,MVolleyball!$C:$O,L$1-2011,FALSE),0)+IFERROR(VLOOKUP($A49,WBasketball!$C:$O,L$1-2011,FALSE),0)+IFERROR(VLOOKUP($A49,WFieldHockey!$C:$O,L$1-2011,FALSE),0)+IFERROR(VLOOKUP($A49,WIceHockey!$C:$O,L$1-2011,FALSE),0)+IFERROR(VLOOKUP($A49,WLacrosse!$C:$O,L$1-2011,FALSE),0)+IFERROR(VLOOKUP($A49,WSoccer!$C:$O,L$1-2011,FALSE),0)+IFERROR(VLOOKUP($A49,WSoftball!$C:$O,L$1-2011,FALSE),0)+IFERROR(VLOOKUP($A49,WVolleyball!$C:$O,L$1-2011,FALSE),0)</f>
        <v>76668</v>
      </c>
      <c r="M49">
        <f>IFERROR(VLOOKUP($A49,MBaseball!$C:$N,M$1-2010,FALSE),0)+IFERROR(VLOOKUP($A49,MBasketball!$C:$J,M$1-2006,FALSE),0)+IFERROR(VLOOKUP($A49,MFootball!$C:$O,M$1-2011,FALSE),0)+IFERROR(VLOOKUP($A49,MIceHockey!$C:$P,M$1-2011,FALSE),0)+IFERROR(VLOOKUP($A49,MLacrosse!$C:$O,M$1-2011,FALSE),0)+IFERROR(VLOOKUP($A49,MSoccer!$C:$O,M$1-2011,FALSE),0)+IFERROR(VLOOKUP($A49,MVolleyball!$C:$O,M$1-2011,FALSE),0)+IFERROR(VLOOKUP($A49,WBasketball!$C:$O,M$1-2011,FALSE),0)+IFERROR(VLOOKUP($A49,WFieldHockey!$C:$O,M$1-2011,FALSE),0)+IFERROR(VLOOKUP($A49,WIceHockey!$C:$O,M$1-2011,FALSE),0)+IFERROR(VLOOKUP($A49,WLacrosse!$C:$O,M$1-2011,FALSE),0)+IFERROR(VLOOKUP($A49,WSoccer!$C:$O,M$1-2011,FALSE),0)+IFERROR(VLOOKUP($A49,WSoftball!$C:$O,M$1-2011,FALSE),0)+IFERROR(VLOOKUP($A49,WVolleyball!$C:$O,M$1-2011,FALSE),0)</f>
        <v>191059</v>
      </c>
      <c r="N49">
        <f>IFERROR(VLOOKUP($A49,MBaseball!$C:$N,N$1-2010,FALSE),0)+IFERROR(VLOOKUP($A49,MBasketball!$C:$J,N$1-2006,FALSE),0)+IFERROR(VLOOKUP($A49,MFootball!$C:$O,N$1-2011,FALSE),0)+IFERROR(VLOOKUP($A49,MIceHockey!$C:$P,N$1-2011,FALSE),0)+IFERROR(VLOOKUP($A49,MLacrosse!$C:$O,N$1-2011,FALSE),0)+IFERROR(VLOOKUP($A49,MSoccer!$C:$O,N$1-2011,FALSE),0)+IFERROR(VLOOKUP($A49,MVolleyball!$C:$O,N$1-2011,FALSE),0)+IFERROR(VLOOKUP($A49,WBasketball!$C:$O,N$1-2011,FALSE),0)+IFERROR(VLOOKUP($A49,WFieldHockey!$C:$O,N$1-2011,FALSE),0)+IFERROR(VLOOKUP($A49,WIceHockey!$C:$O,N$1-2011,FALSE),0)+IFERROR(VLOOKUP($A49,WLacrosse!$C:$O,N$1-2011,FALSE),0)+IFERROR(VLOOKUP($A49,WSoccer!$C:$O,N$1-2011,FALSE),0)+IFERROR(VLOOKUP($A49,WSoftball!$C:$O,N$1-2011,FALSE),0)+IFERROR(VLOOKUP($A49,WVolleyball!$C:$O,N$1-2011,FALSE),0)</f>
        <v>187036</v>
      </c>
    </row>
    <row r="50" spans="1:14" x14ac:dyDescent="0.2">
      <c r="A50">
        <v>142285</v>
      </c>
      <c r="B50">
        <v>34140</v>
      </c>
      <c r="C50" t="s">
        <v>99</v>
      </c>
      <c r="D50">
        <v>49</v>
      </c>
      <c r="E50">
        <f>IFERROR(VLOOKUP($A50,MBaseball!$C:$N,E$1-2010,FALSE),0)+IFERROR(VLOOKUP($A50,MBasketball!$C:$J,E$1-2006,FALSE),0)+IFERROR(VLOOKUP($A50,MFootball!$C:$O,E$1-2011,FALSE),0)+IFERROR(VLOOKUP($A50,MIceHockey!$C:$P,E$1-2011,FALSE),0)+IFERROR(VLOOKUP($A50,MLacrosse!$C:$O,E$1-2011,FALSE),0)+IFERROR(VLOOKUP($A50,MSoccer!$C:$O,E$1-2011,FALSE),0)+IFERROR(VLOOKUP($A50,MVolleyball!$C:$O,E$1-2011,FALSE),0)+IFERROR(VLOOKUP($A50,WBasketball!$C:$O,E$1-2011,FALSE),0)+IFERROR(VLOOKUP($A50,WFieldHockey!$C:$O,E$1-2011,FALSE),0)+IFERROR(VLOOKUP($A50,WIceHockey!$C:$O,E$1-2011,FALSE),0)+IFERROR(VLOOKUP($A50,WLacrosse!$C:$O,E$1-2011,FALSE),0)+IFERROR(VLOOKUP($A50,WSoccer!$C:$O,E$1-2011,FALSE),0)+IFERROR(VLOOKUP($A50,WSoftball!$C:$O,E$1-2011,FALSE),0)+IFERROR(VLOOKUP($A50,WVolleyball!$C:$O,E$1-2011,FALSE),0)</f>
        <v>25091</v>
      </c>
      <c r="F50">
        <f>IFERROR(VLOOKUP($A50,MBaseball!$C:$N,F$1-2010,FALSE),0)+IFERROR(VLOOKUP($A50,MBasketball!$C:$J,F$1-2006,FALSE),0)+IFERROR(VLOOKUP($A50,MFootball!$C:$O,F$1-2011,FALSE),0)+IFERROR(VLOOKUP($A50,MIceHockey!$C:$P,F$1-2011,FALSE),0)+IFERROR(VLOOKUP($A50,MLacrosse!$C:$O,F$1-2011,FALSE),0)+IFERROR(VLOOKUP($A50,MSoccer!$C:$O,F$1-2011,FALSE),0)+IFERROR(VLOOKUP($A50,MVolleyball!$C:$O,F$1-2011,FALSE),0)+IFERROR(VLOOKUP($A50,WBasketball!$C:$O,F$1-2011,FALSE),0)+IFERROR(VLOOKUP($A50,WFieldHockey!$C:$O,F$1-2011,FALSE),0)+IFERROR(VLOOKUP($A50,WIceHockey!$C:$O,F$1-2011,FALSE),0)+IFERROR(VLOOKUP($A50,WLacrosse!$C:$O,F$1-2011,FALSE),0)+IFERROR(VLOOKUP($A50,WSoccer!$C:$O,F$1-2011,FALSE),0)+IFERROR(VLOOKUP($A50,WSoftball!$C:$O,F$1-2011,FALSE),0)+IFERROR(VLOOKUP($A50,WVolleyball!$C:$O,F$1-2011,FALSE),0)</f>
        <v>81862</v>
      </c>
      <c r="G50">
        <f>IFERROR(VLOOKUP($A50,MBaseball!$C:$N,G$1-2010,FALSE),0)+IFERROR(VLOOKUP($A50,MBasketball!$C:$J,G$1-2006,FALSE),0)+IFERROR(VLOOKUP($A50,MFootball!$C:$O,G$1-2011,FALSE),0)+IFERROR(VLOOKUP($A50,MIceHockey!$C:$P,G$1-2011,FALSE),0)+IFERROR(VLOOKUP($A50,MLacrosse!$C:$O,G$1-2011,FALSE),0)+IFERROR(VLOOKUP($A50,MSoccer!$C:$O,G$1-2011,FALSE),0)+IFERROR(VLOOKUP($A50,MVolleyball!$C:$O,G$1-2011,FALSE),0)+IFERROR(VLOOKUP($A50,WBasketball!$C:$O,G$1-2011,FALSE),0)+IFERROR(VLOOKUP($A50,WFieldHockey!$C:$O,G$1-2011,FALSE),0)+IFERROR(VLOOKUP($A50,WIceHockey!$C:$O,G$1-2011,FALSE),0)+IFERROR(VLOOKUP($A50,WLacrosse!$C:$O,G$1-2011,FALSE),0)+IFERROR(VLOOKUP($A50,WSoccer!$C:$O,G$1-2011,FALSE),0)+IFERROR(VLOOKUP($A50,WSoftball!$C:$O,G$1-2011,FALSE),0)+IFERROR(VLOOKUP($A50,WVolleyball!$C:$O,G$1-2011,FALSE),0)</f>
        <v>86408</v>
      </c>
      <c r="H50">
        <f>IFERROR(VLOOKUP($A50,MBaseball!$C:$N,H$1-2010,FALSE),0)+IFERROR(VLOOKUP($A50,MBasketball!$C:$J,H$1-2006,FALSE),0)+IFERROR(VLOOKUP($A50,MFootball!$C:$O,H$1-2011,FALSE),0)+IFERROR(VLOOKUP($A50,MIceHockey!$C:$P,H$1-2011,FALSE),0)+IFERROR(VLOOKUP($A50,MLacrosse!$C:$O,H$1-2011,FALSE),0)+IFERROR(VLOOKUP($A50,MSoccer!$C:$O,H$1-2011,FALSE),0)+IFERROR(VLOOKUP($A50,MVolleyball!$C:$O,H$1-2011,FALSE),0)+IFERROR(VLOOKUP($A50,WBasketball!$C:$O,H$1-2011,FALSE),0)+IFERROR(VLOOKUP($A50,WFieldHockey!$C:$O,H$1-2011,FALSE),0)+IFERROR(VLOOKUP($A50,WIceHockey!$C:$O,H$1-2011,FALSE),0)+IFERROR(VLOOKUP($A50,WLacrosse!$C:$O,H$1-2011,FALSE),0)+IFERROR(VLOOKUP($A50,WSoccer!$C:$O,H$1-2011,FALSE),0)+IFERROR(VLOOKUP($A50,WSoftball!$C:$O,H$1-2011,FALSE),0)+IFERROR(VLOOKUP($A50,WVolleyball!$C:$O,H$1-2011,FALSE),0)</f>
        <v>72325</v>
      </c>
      <c r="I50">
        <f>IFERROR(VLOOKUP($A50,MBaseball!$C:$N,I$1-2010,FALSE),0)+IFERROR(VLOOKUP($A50,MBasketball!$C:$J,I$1-2006,FALSE),0)+IFERROR(VLOOKUP($A50,MFootball!$C:$O,I$1-2011,FALSE),0)+IFERROR(VLOOKUP($A50,MIceHockey!$C:$P,I$1-2011,FALSE),0)+IFERROR(VLOOKUP($A50,MLacrosse!$C:$O,I$1-2011,FALSE),0)+IFERROR(VLOOKUP($A50,MSoccer!$C:$O,I$1-2011,FALSE),0)+IFERROR(VLOOKUP($A50,MVolleyball!$C:$O,I$1-2011,FALSE),0)+IFERROR(VLOOKUP($A50,WBasketball!$C:$O,I$1-2011,FALSE),0)+IFERROR(VLOOKUP($A50,WFieldHockey!$C:$O,I$1-2011,FALSE),0)+IFERROR(VLOOKUP($A50,WIceHockey!$C:$O,I$1-2011,FALSE),0)+IFERROR(VLOOKUP($A50,WLacrosse!$C:$O,I$1-2011,FALSE),0)+IFERROR(VLOOKUP($A50,WSoccer!$C:$O,I$1-2011,FALSE),0)+IFERROR(VLOOKUP($A50,WSoftball!$C:$O,I$1-2011,FALSE),0)+IFERROR(VLOOKUP($A50,WVolleyball!$C:$O,I$1-2011,FALSE),0)</f>
        <v>85251</v>
      </c>
      <c r="J50">
        <f>IFERROR(VLOOKUP($A50,MBaseball!$C:$N,J$1-2010,FALSE),0)+IFERROR(VLOOKUP($A50,MBasketball!$C:$J,J$1-2006,FALSE),0)+IFERROR(VLOOKUP($A50,MFootball!$C:$O,J$1-2011,FALSE),0)+IFERROR(VLOOKUP($A50,MIceHockey!$C:$P,J$1-2011,FALSE),0)+IFERROR(VLOOKUP($A50,MLacrosse!$C:$O,J$1-2011,FALSE),0)+IFERROR(VLOOKUP($A50,MSoccer!$C:$O,J$1-2011,FALSE),0)+IFERROR(VLOOKUP($A50,MVolleyball!$C:$O,J$1-2011,FALSE),0)+IFERROR(VLOOKUP($A50,WBasketball!$C:$O,J$1-2011,FALSE),0)+IFERROR(VLOOKUP($A50,WFieldHockey!$C:$O,J$1-2011,FALSE),0)+IFERROR(VLOOKUP($A50,WIceHockey!$C:$O,J$1-2011,FALSE),0)+IFERROR(VLOOKUP($A50,WLacrosse!$C:$O,J$1-2011,FALSE),0)+IFERROR(VLOOKUP($A50,WSoccer!$C:$O,J$1-2011,FALSE),0)+IFERROR(VLOOKUP($A50,WSoftball!$C:$O,J$1-2011,FALSE),0)+IFERROR(VLOOKUP($A50,WVolleyball!$C:$O,J$1-2011,FALSE),0)</f>
        <v>72533</v>
      </c>
      <c r="K50">
        <f>IFERROR(VLOOKUP($A50,MBaseball!$C:$N,K$1-2010,FALSE),0)+IFERROR(VLOOKUP($A50,MBasketball!$C:$J,K$1-2006,FALSE),0)+IFERROR(VLOOKUP($A50,MFootball!$C:$O,K$1-2011,FALSE),0)+IFERROR(VLOOKUP($A50,MIceHockey!$C:$P,K$1-2011,FALSE),0)+IFERROR(VLOOKUP($A50,MLacrosse!$C:$O,K$1-2011,FALSE),0)+IFERROR(VLOOKUP($A50,MSoccer!$C:$O,K$1-2011,FALSE),0)+IFERROR(VLOOKUP($A50,MVolleyball!$C:$O,K$1-2011,FALSE),0)+IFERROR(VLOOKUP($A50,WBasketball!$C:$O,K$1-2011,FALSE),0)+IFERROR(VLOOKUP($A50,WFieldHockey!$C:$O,K$1-2011,FALSE),0)+IFERROR(VLOOKUP($A50,WIceHockey!$C:$O,K$1-2011,FALSE),0)+IFERROR(VLOOKUP($A50,WLacrosse!$C:$O,K$1-2011,FALSE),0)+IFERROR(VLOOKUP($A50,WSoccer!$C:$O,K$1-2011,FALSE),0)+IFERROR(VLOOKUP($A50,WSoftball!$C:$O,K$1-2011,FALSE),0)+IFERROR(VLOOKUP($A50,WVolleyball!$C:$O,K$1-2011,FALSE),0)</f>
        <v>59666</v>
      </c>
      <c r="L50">
        <f>IFERROR(VLOOKUP($A50,MBaseball!$C:$N,L$1-2010,FALSE),0)+IFERROR(VLOOKUP($A50,MBasketball!$C:$J,L$1-2006,FALSE),0)+IFERROR(VLOOKUP($A50,MFootball!$C:$O,L$1-2011,FALSE),0)+IFERROR(VLOOKUP($A50,MIceHockey!$C:$P,L$1-2011,FALSE),0)+IFERROR(VLOOKUP($A50,MLacrosse!$C:$O,L$1-2011,FALSE),0)+IFERROR(VLOOKUP($A50,MSoccer!$C:$O,L$1-2011,FALSE),0)+IFERROR(VLOOKUP($A50,MVolleyball!$C:$O,L$1-2011,FALSE),0)+IFERROR(VLOOKUP($A50,WBasketball!$C:$O,L$1-2011,FALSE),0)+IFERROR(VLOOKUP($A50,WFieldHockey!$C:$O,L$1-2011,FALSE),0)+IFERROR(VLOOKUP($A50,WIceHockey!$C:$O,L$1-2011,FALSE),0)+IFERROR(VLOOKUP($A50,WLacrosse!$C:$O,L$1-2011,FALSE),0)+IFERROR(VLOOKUP($A50,WSoccer!$C:$O,L$1-2011,FALSE),0)+IFERROR(VLOOKUP($A50,WSoftball!$C:$O,L$1-2011,FALSE),0)+IFERROR(VLOOKUP($A50,WVolleyball!$C:$O,L$1-2011,FALSE),0)</f>
        <v>7176</v>
      </c>
      <c r="M50">
        <f>IFERROR(VLOOKUP($A50,MBaseball!$C:$N,M$1-2010,FALSE),0)+IFERROR(VLOOKUP($A50,MBasketball!$C:$J,M$1-2006,FALSE),0)+IFERROR(VLOOKUP($A50,MFootball!$C:$O,M$1-2011,FALSE),0)+IFERROR(VLOOKUP($A50,MIceHockey!$C:$P,M$1-2011,FALSE),0)+IFERROR(VLOOKUP($A50,MLacrosse!$C:$O,M$1-2011,FALSE),0)+IFERROR(VLOOKUP($A50,MSoccer!$C:$O,M$1-2011,FALSE),0)+IFERROR(VLOOKUP($A50,MVolleyball!$C:$O,M$1-2011,FALSE),0)+IFERROR(VLOOKUP($A50,WBasketball!$C:$O,M$1-2011,FALSE),0)+IFERROR(VLOOKUP($A50,WFieldHockey!$C:$O,M$1-2011,FALSE),0)+IFERROR(VLOOKUP($A50,WIceHockey!$C:$O,M$1-2011,FALSE),0)+IFERROR(VLOOKUP($A50,WLacrosse!$C:$O,M$1-2011,FALSE),0)+IFERROR(VLOOKUP($A50,WSoccer!$C:$O,M$1-2011,FALSE),0)+IFERROR(VLOOKUP($A50,WSoftball!$C:$O,M$1-2011,FALSE),0)+IFERROR(VLOOKUP($A50,WVolleyball!$C:$O,M$1-2011,FALSE),0)</f>
        <v>42121</v>
      </c>
      <c r="N50">
        <f>IFERROR(VLOOKUP($A50,MBaseball!$C:$N,N$1-2010,FALSE),0)+IFERROR(VLOOKUP($A50,MBasketball!$C:$J,N$1-2006,FALSE),0)+IFERROR(VLOOKUP($A50,MFootball!$C:$O,N$1-2011,FALSE),0)+IFERROR(VLOOKUP($A50,MIceHockey!$C:$P,N$1-2011,FALSE),0)+IFERROR(VLOOKUP($A50,MLacrosse!$C:$O,N$1-2011,FALSE),0)+IFERROR(VLOOKUP($A50,MSoccer!$C:$O,N$1-2011,FALSE),0)+IFERROR(VLOOKUP($A50,MVolleyball!$C:$O,N$1-2011,FALSE),0)+IFERROR(VLOOKUP($A50,WBasketball!$C:$O,N$1-2011,FALSE),0)+IFERROR(VLOOKUP($A50,WFieldHockey!$C:$O,N$1-2011,FALSE),0)+IFERROR(VLOOKUP($A50,WIceHockey!$C:$O,N$1-2011,FALSE),0)+IFERROR(VLOOKUP($A50,WLacrosse!$C:$O,N$1-2011,FALSE),0)+IFERROR(VLOOKUP($A50,WSoccer!$C:$O,N$1-2011,FALSE),0)+IFERROR(VLOOKUP($A50,WSoftball!$C:$O,N$1-2011,FALSE),0)+IFERROR(VLOOKUP($A50,WVolleyball!$C:$O,N$1-2011,FALSE),0)</f>
        <v>63074</v>
      </c>
    </row>
    <row r="51" spans="1:14" x14ac:dyDescent="0.2">
      <c r="A51">
        <v>142276</v>
      </c>
      <c r="B51">
        <v>38540</v>
      </c>
      <c r="C51" t="s">
        <v>100</v>
      </c>
      <c r="D51">
        <v>50</v>
      </c>
      <c r="E51">
        <f>IFERROR(VLOOKUP($A51,MBaseball!$C:$N,E$1-2010,FALSE),0)+IFERROR(VLOOKUP($A51,MBasketball!$C:$J,E$1-2006,FALSE),0)+IFERROR(VLOOKUP($A51,MFootball!$C:$O,E$1-2011,FALSE),0)+IFERROR(VLOOKUP($A51,MIceHockey!$C:$P,E$1-2011,FALSE),0)+IFERROR(VLOOKUP($A51,MLacrosse!$C:$O,E$1-2011,FALSE),0)+IFERROR(VLOOKUP($A51,MSoccer!$C:$O,E$1-2011,FALSE),0)+IFERROR(VLOOKUP($A51,MVolleyball!$C:$O,E$1-2011,FALSE),0)+IFERROR(VLOOKUP($A51,WBasketball!$C:$O,E$1-2011,FALSE),0)+IFERROR(VLOOKUP($A51,WFieldHockey!$C:$O,E$1-2011,FALSE),0)+IFERROR(VLOOKUP($A51,WIceHockey!$C:$O,E$1-2011,FALSE),0)+IFERROR(VLOOKUP($A51,WLacrosse!$C:$O,E$1-2011,FALSE),0)+IFERROR(VLOOKUP($A51,WSoccer!$C:$O,E$1-2011,FALSE),0)+IFERROR(VLOOKUP($A51,WSoftball!$C:$O,E$1-2011,FALSE),0)+IFERROR(VLOOKUP($A51,WVolleyball!$C:$O,E$1-2011,FALSE),0)</f>
        <v>40008</v>
      </c>
      <c r="F51">
        <f>IFERROR(VLOOKUP($A51,MBaseball!$C:$N,F$1-2010,FALSE),0)+IFERROR(VLOOKUP($A51,MBasketball!$C:$J,F$1-2006,FALSE),0)+IFERROR(VLOOKUP($A51,MFootball!$C:$O,F$1-2011,FALSE),0)+IFERROR(VLOOKUP($A51,MIceHockey!$C:$P,F$1-2011,FALSE),0)+IFERROR(VLOOKUP($A51,MLacrosse!$C:$O,F$1-2011,FALSE),0)+IFERROR(VLOOKUP($A51,MSoccer!$C:$O,F$1-2011,FALSE),0)+IFERROR(VLOOKUP($A51,MVolleyball!$C:$O,F$1-2011,FALSE),0)+IFERROR(VLOOKUP($A51,WBasketball!$C:$O,F$1-2011,FALSE),0)+IFERROR(VLOOKUP($A51,WFieldHockey!$C:$O,F$1-2011,FALSE),0)+IFERROR(VLOOKUP($A51,WIceHockey!$C:$O,F$1-2011,FALSE),0)+IFERROR(VLOOKUP($A51,WLacrosse!$C:$O,F$1-2011,FALSE),0)+IFERROR(VLOOKUP($A51,WSoccer!$C:$O,F$1-2011,FALSE),0)+IFERROR(VLOOKUP($A51,WSoftball!$C:$O,F$1-2011,FALSE),0)+IFERROR(VLOOKUP($A51,WVolleyball!$C:$O,F$1-2011,FALSE),0)</f>
        <v>65126</v>
      </c>
      <c r="G51">
        <f>IFERROR(VLOOKUP($A51,MBaseball!$C:$N,G$1-2010,FALSE),0)+IFERROR(VLOOKUP($A51,MBasketball!$C:$J,G$1-2006,FALSE),0)+IFERROR(VLOOKUP($A51,MFootball!$C:$O,G$1-2011,FALSE),0)+IFERROR(VLOOKUP($A51,MIceHockey!$C:$P,G$1-2011,FALSE),0)+IFERROR(VLOOKUP($A51,MLacrosse!$C:$O,G$1-2011,FALSE),0)+IFERROR(VLOOKUP($A51,MSoccer!$C:$O,G$1-2011,FALSE),0)+IFERROR(VLOOKUP($A51,MVolleyball!$C:$O,G$1-2011,FALSE),0)+IFERROR(VLOOKUP($A51,WBasketball!$C:$O,G$1-2011,FALSE),0)+IFERROR(VLOOKUP($A51,WFieldHockey!$C:$O,G$1-2011,FALSE),0)+IFERROR(VLOOKUP($A51,WIceHockey!$C:$O,G$1-2011,FALSE),0)+IFERROR(VLOOKUP($A51,WLacrosse!$C:$O,G$1-2011,FALSE),0)+IFERROR(VLOOKUP($A51,WSoccer!$C:$O,G$1-2011,FALSE),0)+IFERROR(VLOOKUP($A51,WSoftball!$C:$O,G$1-2011,FALSE),0)+IFERROR(VLOOKUP($A51,WVolleyball!$C:$O,G$1-2011,FALSE),0)</f>
        <v>60453</v>
      </c>
      <c r="H51">
        <f>IFERROR(VLOOKUP($A51,MBaseball!$C:$N,H$1-2010,FALSE),0)+IFERROR(VLOOKUP($A51,MBasketball!$C:$J,H$1-2006,FALSE),0)+IFERROR(VLOOKUP($A51,MFootball!$C:$O,H$1-2011,FALSE),0)+IFERROR(VLOOKUP($A51,MIceHockey!$C:$P,H$1-2011,FALSE),0)+IFERROR(VLOOKUP($A51,MLacrosse!$C:$O,H$1-2011,FALSE),0)+IFERROR(VLOOKUP($A51,MSoccer!$C:$O,H$1-2011,FALSE),0)+IFERROR(VLOOKUP($A51,MVolleyball!$C:$O,H$1-2011,FALSE),0)+IFERROR(VLOOKUP($A51,WBasketball!$C:$O,H$1-2011,FALSE),0)+IFERROR(VLOOKUP($A51,WFieldHockey!$C:$O,H$1-2011,FALSE),0)+IFERROR(VLOOKUP($A51,WIceHockey!$C:$O,H$1-2011,FALSE),0)+IFERROR(VLOOKUP($A51,WLacrosse!$C:$O,H$1-2011,FALSE),0)+IFERROR(VLOOKUP($A51,WSoccer!$C:$O,H$1-2011,FALSE),0)+IFERROR(VLOOKUP($A51,WSoftball!$C:$O,H$1-2011,FALSE),0)+IFERROR(VLOOKUP($A51,WVolleyball!$C:$O,H$1-2011,FALSE),0)</f>
        <v>52934</v>
      </c>
      <c r="I51">
        <f>IFERROR(VLOOKUP($A51,MBaseball!$C:$N,I$1-2010,FALSE),0)+IFERROR(VLOOKUP($A51,MBasketball!$C:$J,I$1-2006,FALSE),0)+IFERROR(VLOOKUP($A51,MFootball!$C:$O,I$1-2011,FALSE),0)+IFERROR(VLOOKUP($A51,MIceHockey!$C:$P,I$1-2011,FALSE),0)+IFERROR(VLOOKUP($A51,MLacrosse!$C:$O,I$1-2011,FALSE),0)+IFERROR(VLOOKUP($A51,MSoccer!$C:$O,I$1-2011,FALSE),0)+IFERROR(VLOOKUP($A51,MVolleyball!$C:$O,I$1-2011,FALSE),0)+IFERROR(VLOOKUP($A51,WBasketball!$C:$O,I$1-2011,FALSE),0)+IFERROR(VLOOKUP($A51,WFieldHockey!$C:$O,I$1-2011,FALSE),0)+IFERROR(VLOOKUP($A51,WIceHockey!$C:$O,I$1-2011,FALSE),0)+IFERROR(VLOOKUP($A51,WLacrosse!$C:$O,I$1-2011,FALSE),0)+IFERROR(VLOOKUP($A51,WSoccer!$C:$O,I$1-2011,FALSE),0)+IFERROR(VLOOKUP($A51,WSoftball!$C:$O,I$1-2011,FALSE),0)+IFERROR(VLOOKUP($A51,WVolleyball!$C:$O,I$1-2011,FALSE),0)</f>
        <v>54399</v>
      </c>
      <c r="J51">
        <f>IFERROR(VLOOKUP($A51,MBaseball!$C:$N,J$1-2010,FALSE),0)+IFERROR(VLOOKUP($A51,MBasketball!$C:$J,J$1-2006,FALSE),0)+IFERROR(VLOOKUP($A51,MFootball!$C:$O,J$1-2011,FALSE),0)+IFERROR(VLOOKUP($A51,MIceHockey!$C:$P,J$1-2011,FALSE),0)+IFERROR(VLOOKUP($A51,MLacrosse!$C:$O,J$1-2011,FALSE),0)+IFERROR(VLOOKUP($A51,MSoccer!$C:$O,J$1-2011,FALSE),0)+IFERROR(VLOOKUP($A51,MVolleyball!$C:$O,J$1-2011,FALSE),0)+IFERROR(VLOOKUP($A51,WBasketball!$C:$O,J$1-2011,FALSE),0)+IFERROR(VLOOKUP($A51,WFieldHockey!$C:$O,J$1-2011,FALSE),0)+IFERROR(VLOOKUP($A51,WIceHockey!$C:$O,J$1-2011,FALSE),0)+IFERROR(VLOOKUP($A51,WLacrosse!$C:$O,J$1-2011,FALSE),0)+IFERROR(VLOOKUP($A51,WSoccer!$C:$O,J$1-2011,FALSE),0)+IFERROR(VLOOKUP($A51,WSoftball!$C:$O,J$1-2011,FALSE),0)+IFERROR(VLOOKUP($A51,WVolleyball!$C:$O,J$1-2011,FALSE),0)</f>
        <v>68795</v>
      </c>
      <c r="K51">
        <f>IFERROR(VLOOKUP($A51,MBaseball!$C:$N,K$1-2010,FALSE),0)+IFERROR(VLOOKUP($A51,MBasketball!$C:$J,K$1-2006,FALSE),0)+IFERROR(VLOOKUP($A51,MFootball!$C:$O,K$1-2011,FALSE),0)+IFERROR(VLOOKUP($A51,MIceHockey!$C:$P,K$1-2011,FALSE),0)+IFERROR(VLOOKUP($A51,MLacrosse!$C:$O,K$1-2011,FALSE),0)+IFERROR(VLOOKUP($A51,MSoccer!$C:$O,K$1-2011,FALSE),0)+IFERROR(VLOOKUP($A51,MVolleyball!$C:$O,K$1-2011,FALSE),0)+IFERROR(VLOOKUP($A51,WBasketball!$C:$O,K$1-2011,FALSE),0)+IFERROR(VLOOKUP($A51,WFieldHockey!$C:$O,K$1-2011,FALSE),0)+IFERROR(VLOOKUP($A51,WIceHockey!$C:$O,K$1-2011,FALSE),0)+IFERROR(VLOOKUP($A51,WLacrosse!$C:$O,K$1-2011,FALSE),0)+IFERROR(VLOOKUP($A51,WSoccer!$C:$O,K$1-2011,FALSE),0)+IFERROR(VLOOKUP($A51,WSoftball!$C:$O,K$1-2011,FALSE),0)+IFERROR(VLOOKUP($A51,WVolleyball!$C:$O,K$1-2011,FALSE),0)</f>
        <v>50527</v>
      </c>
      <c r="L51">
        <f>IFERROR(VLOOKUP($A51,MBaseball!$C:$N,L$1-2010,FALSE),0)+IFERROR(VLOOKUP($A51,MBasketball!$C:$J,L$1-2006,FALSE),0)+IFERROR(VLOOKUP($A51,MFootball!$C:$O,L$1-2011,FALSE),0)+IFERROR(VLOOKUP($A51,MIceHockey!$C:$P,L$1-2011,FALSE),0)+IFERROR(VLOOKUP($A51,MLacrosse!$C:$O,L$1-2011,FALSE),0)+IFERROR(VLOOKUP($A51,MSoccer!$C:$O,L$1-2011,FALSE),0)+IFERROR(VLOOKUP($A51,MVolleyball!$C:$O,L$1-2011,FALSE),0)+IFERROR(VLOOKUP($A51,WBasketball!$C:$O,L$1-2011,FALSE),0)+IFERROR(VLOOKUP($A51,WFieldHockey!$C:$O,L$1-2011,FALSE),0)+IFERROR(VLOOKUP($A51,WIceHockey!$C:$O,L$1-2011,FALSE),0)+IFERROR(VLOOKUP($A51,WLacrosse!$C:$O,L$1-2011,FALSE),0)+IFERROR(VLOOKUP($A51,WSoccer!$C:$O,L$1-2011,FALSE),0)+IFERROR(VLOOKUP($A51,WSoftball!$C:$O,L$1-2011,FALSE),0)+IFERROR(VLOOKUP($A51,WVolleyball!$C:$O,L$1-2011,FALSE),0)</f>
        <v>9640</v>
      </c>
      <c r="M51">
        <f>IFERROR(VLOOKUP($A51,MBaseball!$C:$N,M$1-2010,FALSE),0)+IFERROR(VLOOKUP($A51,MBasketball!$C:$J,M$1-2006,FALSE),0)+IFERROR(VLOOKUP($A51,MFootball!$C:$O,M$1-2011,FALSE),0)+IFERROR(VLOOKUP($A51,MIceHockey!$C:$P,M$1-2011,FALSE),0)+IFERROR(VLOOKUP($A51,MLacrosse!$C:$O,M$1-2011,FALSE),0)+IFERROR(VLOOKUP($A51,MSoccer!$C:$O,M$1-2011,FALSE),0)+IFERROR(VLOOKUP($A51,MVolleyball!$C:$O,M$1-2011,FALSE),0)+IFERROR(VLOOKUP($A51,WBasketball!$C:$O,M$1-2011,FALSE),0)+IFERROR(VLOOKUP($A51,WFieldHockey!$C:$O,M$1-2011,FALSE),0)+IFERROR(VLOOKUP($A51,WIceHockey!$C:$O,M$1-2011,FALSE),0)+IFERROR(VLOOKUP($A51,WLacrosse!$C:$O,M$1-2011,FALSE),0)+IFERROR(VLOOKUP($A51,WSoccer!$C:$O,M$1-2011,FALSE),0)+IFERROR(VLOOKUP($A51,WSoftball!$C:$O,M$1-2011,FALSE),0)+IFERROR(VLOOKUP($A51,WVolleyball!$C:$O,M$1-2011,FALSE),0)</f>
        <v>38936</v>
      </c>
      <c r="N51">
        <f>IFERROR(VLOOKUP($A51,MBaseball!$C:$N,N$1-2010,FALSE),0)+IFERROR(VLOOKUP($A51,MBasketball!$C:$J,N$1-2006,FALSE),0)+IFERROR(VLOOKUP($A51,MFootball!$C:$O,N$1-2011,FALSE),0)+IFERROR(VLOOKUP($A51,MIceHockey!$C:$P,N$1-2011,FALSE),0)+IFERROR(VLOOKUP($A51,MLacrosse!$C:$O,N$1-2011,FALSE),0)+IFERROR(VLOOKUP($A51,MSoccer!$C:$O,N$1-2011,FALSE),0)+IFERROR(VLOOKUP($A51,MVolleyball!$C:$O,N$1-2011,FALSE),0)+IFERROR(VLOOKUP($A51,WBasketball!$C:$O,N$1-2011,FALSE),0)+IFERROR(VLOOKUP($A51,WFieldHockey!$C:$O,N$1-2011,FALSE),0)+IFERROR(VLOOKUP($A51,WIceHockey!$C:$O,N$1-2011,FALSE),0)+IFERROR(VLOOKUP($A51,WLacrosse!$C:$O,N$1-2011,FALSE),0)+IFERROR(VLOOKUP($A51,WSoccer!$C:$O,N$1-2011,FALSE),0)+IFERROR(VLOOKUP($A51,WSoftball!$C:$O,N$1-2011,FALSE),0)+IFERROR(VLOOKUP($A51,WVolleyball!$C:$O,N$1-2011,FALSE),0)</f>
        <v>43609</v>
      </c>
    </row>
    <row r="52" spans="1:14" x14ac:dyDescent="0.2">
      <c r="A52">
        <v>145637</v>
      </c>
      <c r="B52">
        <v>16580</v>
      </c>
      <c r="C52" t="s">
        <v>101</v>
      </c>
      <c r="D52">
        <v>51</v>
      </c>
      <c r="E52">
        <f>IFERROR(VLOOKUP($A52,MBaseball!$C:$N,E$1-2010,FALSE),0)+IFERROR(VLOOKUP($A52,MBasketball!$C:$J,E$1-2006,FALSE),0)+IFERROR(VLOOKUP($A52,MFootball!$C:$O,E$1-2011,FALSE),0)+IFERROR(VLOOKUP($A52,MIceHockey!$C:$P,E$1-2011,FALSE),0)+IFERROR(VLOOKUP($A52,MLacrosse!$C:$O,E$1-2011,FALSE),0)+IFERROR(VLOOKUP($A52,MSoccer!$C:$O,E$1-2011,FALSE),0)+IFERROR(VLOOKUP($A52,MVolleyball!$C:$O,E$1-2011,FALSE),0)+IFERROR(VLOOKUP($A52,WBasketball!$C:$O,E$1-2011,FALSE),0)+IFERROR(VLOOKUP($A52,WFieldHockey!$C:$O,E$1-2011,FALSE),0)+IFERROR(VLOOKUP($A52,WIceHockey!$C:$O,E$1-2011,FALSE),0)+IFERROR(VLOOKUP($A52,WLacrosse!$C:$O,E$1-2011,FALSE),0)+IFERROR(VLOOKUP($A52,WSoccer!$C:$O,E$1-2011,FALSE),0)+IFERROR(VLOOKUP($A52,WSoftball!$C:$O,E$1-2011,FALSE),0)+IFERROR(VLOOKUP($A52,WVolleyball!$C:$O,E$1-2011,FALSE),0)</f>
        <v>330403</v>
      </c>
      <c r="F52">
        <f>IFERROR(VLOOKUP($A52,MBaseball!$C:$N,F$1-2010,FALSE),0)+IFERROR(VLOOKUP($A52,MBasketball!$C:$J,F$1-2006,FALSE),0)+IFERROR(VLOOKUP($A52,MFootball!$C:$O,F$1-2011,FALSE),0)+IFERROR(VLOOKUP($A52,MIceHockey!$C:$P,F$1-2011,FALSE),0)+IFERROR(VLOOKUP($A52,MLacrosse!$C:$O,F$1-2011,FALSE),0)+IFERROR(VLOOKUP($A52,MSoccer!$C:$O,F$1-2011,FALSE),0)+IFERROR(VLOOKUP($A52,MVolleyball!$C:$O,F$1-2011,FALSE),0)+IFERROR(VLOOKUP($A52,WBasketball!$C:$O,F$1-2011,FALSE),0)+IFERROR(VLOOKUP($A52,WFieldHockey!$C:$O,F$1-2011,FALSE),0)+IFERROR(VLOOKUP($A52,WIceHockey!$C:$O,F$1-2011,FALSE),0)+IFERROR(VLOOKUP($A52,WLacrosse!$C:$O,F$1-2011,FALSE),0)+IFERROR(VLOOKUP($A52,WSoccer!$C:$O,F$1-2011,FALSE),0)+IFERROR(VLOOKUP($A52,WSoftball!$C:$O,F$1-2011,FALSE),0)+IFERROR(VLOOKUP($A52,WVolleyball!$C:$O,F$1-2011,FALSE),0)</f>
        <v>393801</v>
      </c>
      <c r="G52">
        <f>IFERROR(VLOOKUP($A52,MBaseball!$C:$N,G$1-2010,FALSE),0)+IFERROR(VLOOKUP($A52,MBasketball!$C:$J,G$1-2006,FALSE),0)+IFERROR(VLOOKUP($A52,MFootball!$C:$O,G$1-2011,FALSE),0)+IFERROR(VLOOKUP($A52,MIceHockey!$C:$P,G$1-2011,FALSE),0)+IFERROR(VLOOKUP($A52,MLacrosse!$C:$O,G$1-2011,FALSE),0)+IFERROR(VLOOKUP($A52,MSoccer!$C:$O,G$1-2011,FALSE),0)+IFERROR(VLOOKUP($A52,MVolleyball!$C:$O,G$1-2011,FALSE),0)+IFERROR(VLOOKUP($A52,WBasketball!$C:$O,G$1-2011,FALSE),0)+IFERROR(VLOOKUP($A52,WFieldHockey!$C:$O,G$1-2011,FALSE),0)+IFERROR(VLOOKUP($A52,WIceHockey!$C:$O,G$1-2011,FALSE),0)+IFERROR(VLOOKUP($A52,WLacrosse!$C:$O,G$1-2011,FALSE),0)+IFERROR(VLOOKUP($A52,WSoccer!$C:$O,G$1-2011,FALSE),0)+IFERROR(VLOOKUP($A52,WSoftball!$C:$O,G$1-2011,FALSE),0)+IFERROR(VLOOKUP($A52,WVolleyball!$C:$O,G$1-2011,FALSE),0)</f>
        <v>389764</v>
      </c>
      <c r="H52">
        <f>IFERROR(VLOOKUP($A52,MBaseball!$C:$N,H$1-2010,FALSE),0)+IFERROR(VLOOKUP($A52,MBasketball!$C:$J,H$1-2006,FALSE),0)+IFERROR(VLOOKUP($A52,MFootball!$C:$O,H$1-2011,FALSE),0)+IFERROR(VLOOKUP($A52,MIceHockey!$C:$P,H$1-2011,FALSE),0)+IFERROR(VLOOKUP($A52,MLacrosse!$C:$O,H$1-2011,FALSE),0)+IFERROR(VLOOKUP($A52,MSoccer!$C:$O,H$1-2011,FALSE),0)+IFERROR(VLOOKUP($A52,MVolleyball!$C:$O,H$1-2011,FALSE),0)+IFERROR(VLOOKUP($A52,WBasketball!$C:$O,H$1-2011,FALSE),0)+IFERROR(VLOOKUP($A52,WFieldHockey!$C:$O,H$1-2011,FALSE),0)+IFERROR(VLOOKUP($A52,WIceHockey!$C:$O,H$1-2011,FALSE),0)+IFERROR(VLOOKUP($A52,WLacrosse!$C:$O,H$1-2011,FALSE),0)+IFERROR(VLOOKUP($A52,WSoccer!$C:$O,H$1-2011,FALSE),0)+IFERROR(VLOOKUP($A52,WSoftball!$C:$O,H$1-2011,FALSE),0)+IFERROR(VLOOKUP($A52,WVolleyball!$C:$O,H$1-2011,FALSE),0)</f>
        <v>413741</v>
      </c>
      <c r="I52">
        <f>IFERROR(VLOOKUP($A52,MBaseball!$C:$N,I$1-2010,FALSE),0)+IFERROR(VLOOKUP($A52,MBasketball!$C:$J,I$1-2006,FALSE),0)+IFERROR(VLOOKUP($A52,MFootball!$C:$O,I$1-2011,FALSE),0)+IFERROR(VLOOKUP($A52,MIceHockey!$C:$P,I$1-2011,FALSE),0)+IFERROR(VLOOKUP($A52,MLacrosse!$C:$O,I$1-2011,FALSE),0)+IFERROR(VLOOKUP($A52,MSoccer!$C:$O,I$1-2011,FALSE),0)+IFERROR(VLOOKUP($A52,MVolleyball!$C:$O,I$1-2011,FALSE),0)+IFERROR(VLOOKUP($A52,WBasketball!$C:$O,I$1-2011,FALSE),0)+IFERROR(VLOOKUP($A52,WFieldHockey!$C:$O,I$1-2011,FALSE),0)+IFERROR(VLOOKUP($A52,WIceHockey!$C:$O,I$1-2011,FALSE),0)+IFERROR(VLOOKUP($A52,WLacrosse!$C:$O,I$1-2011,FALSE),0)+IFERROR(VLOOKUP($A52,WSoccer!$C:$O,I$1-2011,FALSE),0)+IFERROR(VLOOKUP($A52,WSoftball!$C:$O,I$1-2011,FALSE),0)+IFERROR(VLOOKUP($A52,WVolleyball!$C:$O,I$1-2011,FALSE),0)</f>
        <v>366499</v>
      </c>
      <c r="J52">
        <f>IFERROR(VLOOKUP($A52,MBaseball!$C:$N,J$1-2010,FALSE),0)+IFERROR(VLOOKUP($A52,MBasketball!$C:$J,J$1-2006,FALSE),0)+IFERROR(VLOOKUP($A52,MFootball!$C:$O,J$1-2011,FALSE),0)+IFERROR(VLOOKUP($A52,MIceHockey!$C:$P,J$1-2011,FALSE),0)+IFERROR(VLOOKUP($A52,MLacrosse!$C:$O,J$1-2011,FALSE),0)+IFERROR(VLOOKUP($A52,MSoccer!$C:$O,J$1-2011,FALSE),0)+IFERROR(VLOOKUP($A52,MVolleyball!$C:$O,J$1-2011,FALSE),0)+IFERROR(VLOOKUP($A52,WBasketball!$C:$O,J$1-2011,FALSE),0)+IFERROR(VLOOKUP($A52,WFieldHockey!$C:$O,J$1-2011,FALSE),0)+IFERROR(VLOOKUP($A52,WIceHockey!$C:$O,J$1-2011,FALSE),0)+IFERROR(VLOOKUP($A52,WLacrosse!$C:$O,J$1-2011,FALSE),0)+IFERROR(VLOOKUP($A52,WSoccer!$C:$O,J$1-2011,FALSE),0)+IFERROR(VLOOKUP($A52,WSoftball!$C:$O,J$1-2011,FALSE),0)+IFERROR(VLOOKUP($A52,WVolleyball!$C:$O,J$1-2011,FALSE),0)</f>
        <v>306948</v>
      </c>
      <c r="K52">
        <f>IFERROR(VLOOKUP($A52,MBaseball!$C:$N,K$1-2010,FALSE),0)+IFERROR(VLOOKUP($A52,MBasketball!$C:$J,K$1-2006,FALSE),0)+IFERROR(VLOOKUP($A52,MFootball!$C:$O,K$1-2011,FALSE),0)+IFERROR(VLOOKUP($A52,MIceHockey!$C:$P,K$1-2011,FALSE),0)+IFERROR(VLOOKUP($A52,MLacrosse!$C:$O,K$1-2011,FALSE),0)+IFERROR(VLOOKUP($A52,MSoccer!$C:$O,K$1-2011,FALSE),0)+IFERROR(VLOOKUP($A52,MVolleyball!$C:$O,K$1-2011,FALSE),0)+IFERROR(VLOOKUP($A52,WBasketball!$C:$O,K$1-2011,FALSE),0)+IFERROR(VLOOKUP($A52,WFieldHockey!$C:$O,K$1-2011,FALSE),0)+IFERROR(VLOOKUP($A52,WIceHockey!$C:$O,K$1-2011,FALSE),0)+IFERROR(VLOOKUP($A52,WLacrosse!$C:$O,K$1-2011,FALSE),0)+IFERROR(VLOOKUP($A52,WSoccer!$C:$O,K$1-2011,FALSE),0)+IFERROR(VLOOKUP($A52,WSoftball!$C:$O,K$1-2011,FALSE),0)+IFERROR(VLOOKUP($A52,WVolleyball!$C:$O,K$1-2011,FALSE),0)</f>
        <v>323694</v>
      </c>
      <c r="L52">
        <f>IFERROR(VLOOKUP($A52,MBaseball!$C:$N,L$1-2010,FALSE),0)+IFERROR(VLOOKUP($A52,MBasketball!$C:$J,L$1-2006,FALSE),0)+IFERROR(VLOOKUP($A52,MFootball!$C:$O,L$1-2011,FALSE),0)+IFERROR(VLOOKUP($A52,MIceHockey!$C:$P,L$1-2011,FALSE),0)+IFERROR(VLOOKUP($A52,MLacrosse!$C:$O,L$1-2011,FALSE),0)+IFERROR(VLOOKUP($A52,MSoccer!$C:$O,L$1-2011,FALSE),0)+IFERROR(VLOOKUP($A52,MVolleyball!$C:$O,L$1-2011,FALSE),0)+IFERROR(VLOOKUP($A52,WBasketball!$C:$O,L$1-2011,FALSE),0)+IFERROR(VLOOKUP($A52,WFieldHockey!$C:$O,L$1-2011,FALSE),0)+IFERROR(VLOOKUP($A52,WIceHockey!$C:$O,L$1-2011,FALSE),0)+IFERROR(VLOOKUP($A52,WLacrosse!$C:$O,L$1-2011,FALSE),0)+IFERROR(VLOOKUP($A52,WSoccer!$C:$O,L$1-2011,FALSE),0)+IFERROR(VLOOKUP($A52,WSoftball!$C:$O,L$1-2011,FALSE),0)+IFERROR(VLOOKUP($A52,WVolleyball!$C:$O,L$1-2011,FALSE),0)</f>
        <v>22918</v>
      </c>
      <c r="M52">
        <f>IFERROR(VLOOKUP($A52,MBaseball!$C:$N,M$1-2010,FALSE),0)+IFERROR(VLOOKUP($A52,MBasketball!$C:$J,M$1-2006,FALSE),0)+IFERROR(VLOOKUP($A52,MFootball!$C:$O,M$1-2011,FALSE),0)+IFERROR(VLOOKUP($A52,MIceHockey!$C:$P,M$1-2011,FALSE),0)+IFERROR(VLOOKUP($A52,MLacrosse!$C:$O,M$1-2011,FALSE),0)+IFERROR(VLOOKUP($A52,MSoccer!$C:$O,M$1-2011,FALSE),0)+IFERROR(VLOOKUP($A52,MVolleyball!$C:$O,M$1-2011,FALSE),0)+IFERROR(VLOOKUP($A52,WBasketball!$C:$O,M$1-2011,FALSE),0)+IFERROR(VLOOKUP($A52,WFieldHockey!$C:$O,M$1-2011,FALSE),0)+IFERROR(VLOOKUP($A52,WIceHockey!$C:$O,M$1-2011,FALSE),0)+IFERROR(VLOOKUP($A52,WLacrosse!$C:$O,M$1-2011,FALSE),0)+IFERROR(VLOOKUP($A52,WSoccer!$C:$O,M$1-2011,FALSE),0)+IFERROR(VLOOKUP($A52,WSoftball!$C:$O,M$1-2011,FALSE),0)+IFERROR(VLOOKUP($A52,WVolleyball!$C:$O,M$1-2011,FALSE),0)</f>
        <v>321604</v>
      </c>
      <c r="N52">
        <f>IFERROR(VLOOKUP($A52,MBaseball!$C:$N,N$1-2010,FALSE),0)+IFERROR(VLOOKUP($A52,MBasketball!$C:$J,N$1-2006,FALSE),0)+IFERROR(VLOOKUP($A52,MFootball!$C:$O,N$1-2011,FALSE),0)+IFERROR(VLOOKUP($A52,MIceHockey!$C:$P,N$1-2011,FALSE),0)+IFERROR(VLOOKUP($A52,MLacrosse!$C:$O,N$1-2011,FALSE),0)+IFERROR(VLOOKUP($A52,MSoccer!$C:$O,N$1-2011,FALSE),0)+IFERROR(VLOOKUP($A52,MVolleyball!$C:$O,N$1-2011,FALSE),0)+IFERROR(VLOOKUP($A52,WBasketball!$C:$O,N$1-2011,FALSE),0)+IFERROR(VLOOKUP($A52,WFieldHockey!$C:$O,N$1-2011,FALSE),0)+IFERROR(VLOOKUP($A52,WIceHockey!$C:$O,N$1-2011,FALSE),0)+IFERROR(VLOOKUP($A52,WLacrosse!$C:$O,N$1-2011,FALSE),0)+IFERROR(VLOOKUP($A52,WSoccer!$C:$O,N$1-2011,FALSE),0)+IFERROR(VLOOKUP($A52,WSoftball!$C:$O,N$1-2011,FALSE),0)+IFERROR(VLOOKUP($A52,WVolleyball!$C:$O,N$1-2011,FALSE),0)</f>
        <v>395403</v>
      </c>
    </row>
    <row r="53" spans="1:14" x14ac:dyDescent="0.2">
      <c r="A53">
        <v>145600</v>
      </c>
      <c r="B53">
        <v>16980</v>
      </c>
      <c r="C53" t="s">
        <v>102</v>
      </c>
      <c r="D53">
        <v>52</v>
      </c>
      <c r="E53">
        <f>IFERROR(VLOOKUP($A53,MBaseball!$C:$N,E$1-2010,FALSE),0)+IFERROR(VLOOKUP($A53,MBasketball!$C:$J,E$1-2006,FALSE),0)+IFERROR(VLOOKUP($A53,MFootball!$C:$O,E$1-2011,FALSE),0)+IFERROR(VLOOKUP($A53,MIceHockey!$C:$P,E$1-2011,FALSE),0)+IFERROR(VLOOKUP($A53,MLacrosse!$C:$O,E$1-2011,FALSE),0)+IFERROR(VLOOKUP($A53,MSoccer!$C:$O,E$1-2011,FALSE),0)+IFERROR(VLOOKUP($A53,MVolleyball!$C:$O,E$1-2011,FALSE),0)+IFERROR(VLOOKUP($A53,WBasketball!$C:$O,E$1-2011,FALSE),0)+IFERROR(VLOOKUP($A53,WFieldHockey!$C:$O,E$1-2011,FALSE),0)+IFERROR(VLOOKUP($A53,WIceHockey!$C:$O,E$1-2011,FALSE),0)+IFERROR(VLOOKUP($A53,WLacrosse!$C:$O,E$1-2011,FALSE),0)+IFERROR(VLOOKUP($A53,WSoccer!$C:$O,E$1-2011,FALSE),0)+IFERROR(VLOOKUP($A53,WSoftball!$C:$O,E$1-2011,FALSE),0)+IFERROR(VLOOKUP($A53,WVolleyball!$C:$O,E$1-2011,FALSE),0)</f>
        <v>54687</v>
      </c>
      <c r="F53">
        <f>IFERROR(VLOOKUP($A53,MBaseball!$C:$N,F$1-2010,FALSE),0)+IFERROR(VLOOKUP($A53,MBasketball!$C:$J,F$1-2006,FALSE),0)+IFERROR(VLOOKUP($A53,MFootball!$C:$O,F$1-2011,FALSE),0)+IFERROR(VLOOKUP($A53,MIceHockey!$C:$P,F$1-2011,FALSE),0)+IFERROR(VLOOKUP($A53,MLacrosse!$C:$O,F$1-2011,FALSE),0)+IFERROR(VLOOKUP($A53,MSoccer!$C:$O,F$1-2011,FALSE),0)+IFERROR(VLOOKUP($A53,MVolleyball!$C:$O,F$1-2011,FALSE),0)+IFERROR(VLOOKUP($A53,WBasketball!$C:$O,F$1-2011,FALSE),0)+IFERROR(VLOOKUP($A53,WFieldHockey!$C:$O,F$1-2011,FALSE),0)+IFERROR(VLOOKUP($A53,WIceHockey!$C:$O,F$1-2011,FALSE),0)+IFERROR(VLOOKUP($A53,WLacrosse!$C:$O,F$1-2011,FALSE),0)+IFERROR(VLOOKUP($A53,WSoccer!$C:$O,F$1-2011,FALSE),0)+IFERROR(VLOOKUP($A53,WSoftball!$C:$O,F$1-2011,FALSE),0)+IFERROR(VLOOKUP($A53,WVolleyball!$C:$O,F$1-2011,FALSE),0)</f>
        <v>19983</v>
      </c>
      <c r="G53">
        <f>IFERROR(VLOOKUP($A53,MBaseball!$C:$N,G$1-2010,FALSE),0)+IFERROR(VLOOKUP($A53,MBasketball!$C:$J,G$1-2006,FALSE),0)+IFERROR(VLOOKUP($A53,MFootball!$C:$O,G$1-2011,FALSE),0)+IFERROR(VLOOKUP($A53,MIceHockey!$C:$P,G$1-2011,FALSE),0)+IFERROR(VLOOKUP($A53,MLacrosse!$C:$O,G$1-2011,FALSE),0)+IFERROR(VLOOKUP($A53,MSoccer!$C:$O,G$1-2011,FALSE),0)+IFERROR(VLOOKUP($A53,MVolleyball!$C:$O,G$1-2011,FALSE),0)+IFERROR(VLOOKUP($A53,WBasketball!$C:$O,G$1-2011,FALSE),0)+IFERROR(VLOOKUP($A53,WFieldHockey!$C:$O,G$1-2011,FALSE),0)+IFERROR(VLOOKUP($A53,WIceHockey!$C:$O,G$1-2011,FALSE),0)+IFERROR(VLOOKUP($A53,WLacrosse!$C:$O,G$1-2011,FALSE),0)+IFERROR(VLOOKUP($A53,WSoccer!$C:$O,G$1-2011,FALSE),0)+IFERROR(VLOOKUP($A53,WSoftball!$C:$O,G$1-2011,FALSE),0)+IFERROR(VLOOKUP($A53,WVolleyball!$C:$O,G$1-2011,FALSE),0)</f>
        <v>23505</v>
      </c>
      <c r="H53">
        <f>IFERROR(VLOOKUP($A53,MBaseball!$C:$N,H$1-2010,FALSE),0)+IFERROR(VLOOKUP($A53,MBasketball!$C:$J,H$1-2006,FALSE),0)+IFERROR(VLOOKUP($A53,MFootball!$C:$O,H$1-2011,FALSE),0)+IFERROR(VLOOKUP($A53,MIceHockey!$C:$P,H$1-2011,FALSE),0)+IFERROR(VLOOKUP($A53,MLacrosse!$C:$O,H$1-2011,FALSE),0)+IFERROR(VLOOKUP($A53,MSoccer!$C:$O,H$1-2011,FALSE),0)+IFERROR(VLOOKUP($A53,MVolleyball!$C:$O,H$1-2011,FALSE),0)+IFERROR(VLOOKUP($A53,WBasketball!$C:$O,H$1-2011,FALSE),0)+IFERROR(VLOOKUP($A53,WFieldHockey!$C:$O,H$1-2011,FALSE),0)+IFERROR(VLOOKUP($A53,WIceHockey!$C:$O,H$1-2011,FALSE),0)+IFERROR(VLOOKUP($A53,WLacrosse!$C:$O,H$1-2011,FALSE),0)+IFERROR(VLOOKUP($A53,WSoccer!$C:$O,H$1-2011,FALSE),0)+IFERROR(VLOOKUP($A53,WSoftball!$C:$O,H$1-2011,FALSE),0)+IFERROR(VLOOKUP($A53,WVolleyball!$C:$O,H$1-2011,FALSE),0)</f>
        <v>21818</v>
      </c>
      <c r="I53">
        <f>IFERROR(VLOOKUP($A53,MBaseball!$C:$N,I$1-2010,FALSE),0)+IFERROR(VLOOKUP($A53,MBasketball!$C:$J,I$1-2006,FALSE),0)+IFERROR(VLOOKUP($A53,MFootball!$C:$O,I$1-2011,FALSE),0)+IFERROR(VLOOKUP($A53,MIceHockey!$C:$P,I$1-2011,FALSE),0)+IFERROR(VLOOKUP($A53,MLacrosse!$C:$O,I$1-2011,FALSE),0)+IFERROR(VLOOKUP($A53,MSoccer!$C:$O,I$1-2011,FALSE),0)+IFERROR(VLOOKUP($A53,MVolleyball!$C:$O,I$1-2011,FALSE),0)+IFERROR(VLOOKUP($A53,WBasketball!$C:$O,I$1-2011,FALSE),0)+IFERROR(VLOOKUP($A53,WFieldHockey!$C:$O,I$1-2011,FALSE),0)+IFERROR(VLOOKUP($A53,WIceHockey!$C:$O,I$1-2011,FALSE),0)+IFERROR(VLOOKUP($A53,WLacrosse!$C:$O,I$1-2011,FALSE),0)+IFERROR(VLOOKUP($A53,WSoccer!$C:$O,I$1-2011,FALSE),0)+IFERROR(VLOOKUP($A53,WSoftball!$C:$O,I$1-2011,FALSE),0)+IFERROR(VLOOKUP($A53,WVolleyball!$C:$O,I$1-2011,FALSE),0)</f>
        <v>20901</v>
      </c>
      <c r="J53">
        <f>IFERROR(VLOOKUP($A53,MBaseball!$C:$N,J$1-2010,FALSE),0)+IFERROR(VLOOKUP($A53,MBasketball!$C:$J,J$1-2006,FALSE),0)+IFERROR(VLOOKUP($A53,MFootball!$C:$O,J$1-2011,FALSE),0)+IFERROR(VLOOKUP($A53,MIceHockey!$C:$P,J$1-2011,FALSE),0)+IFERROR(VLOOKUP($A53,MLacrosse!$C:$O,J$1-2011,FALSE),0)+IFERROR(VLOOKUP($A53,MSoccer!$C:$O,J$1-2011,FALSE),0)+IFERROR(VLOOKUP($A53,MVolleyball!$C:$O,J$1-2011,FALSE),0)+IFERROR(VLOOKUP($A53,WBasketball!$C:$O,J$1-2011,FALSE),0)+IFERROR(VLOOKUP($A53,WFieldHockey!$C:$O,J$1-2011,FALSE),0)+IFERROR(VLOOKUP($A53,WIceHockey!$C:$O,J$1-2011,FALSE),0)+IFERROR(VLOOKUP($A53,WLacrosse!$C:$O,J$1-2011,FALSE),0)+IFERROR(VLOOKUP($A53,WSoccer!$C:$O,J$1-2011,FALSE),0)+IFERROR(VLOOKUP($A53,WSoftball!$C:$O,J$1-2011,FALSE),0)+IFERROR(VLOOKUP($A53,WVolleyball!$C:$O,J$1-2011,FALSE),0)</f>
        <v>15505</v>
      </c>
      <c r="K53">
        <f>IFERROR(VLOOKUP($A53,MBaseball!$C:$N,K$1-2010,FALSE),0)+IFERROR(VLOOKUP($A53,MBasketball!$C:$J,K$1-2006,FALSE),0)+IFERROR(VLOOKUP($A53,MFootball!$C:$O,K$1-2011,FALSE),0)+IFERROR(VLOOKUP($A53,MIceHockey!$C:$P,K$1-2011,FALSE),0)+IFERROR(VLOOKUP($A53,MLacrosse!$C:$O,K$1-2011,FALSE),0)+IFERROR(VLOOKUP($A53,MSoccer!$C:$O,K$1-2011,FALSE),0)+IFERROR(VLOOKUP($A53,MVolleyball!$C:$O,K$1-2011,FALSE),0)+IFERROR(VLOOKUP($A53,WBasketball!$C:$O,K$1-2011,FALSE),0)+IFERROR(VLOOKUP($A53,WFieldHockey!$C:$O,K$1-2011,FALSE),0)+IFERROR(VLOOKUP($A53,WIceHockey!$C:$O,K$1-2011,FALSE),0)+IFERROR(VLOOKUP($A53,WLacrosse!$C:$O,K$1-2011,FALSE),0)+IFERROR(VLOOKUP($A53,WSoccer!$C:$O,K$1-2011,FALSE),0)+IFERROR(VLOOKUP($A53,WSoftball!$C:$O,K$1-2011,FALSE),0)+IFERROR(VLOOKUP($A53,WVolleyball!$C:$O,K$1-2011,FALSE),0)</f>
        <v>14717</v>
      </c>
      <c r="L53">
        <f>IFERROR(VLOOKUP($A53,MBaseball!$C:$N,L$1-2010,FALSE),0)+IFERROR(VLOOKUP($A53,MBasketball!$C:$J,L$1-2006,FALSE),0)+IFERROR(VLOOKUP($A53,MFootball!$C:$O,L$1-2011,FALSE),0)+IFERROR(VLOOKUP($A53,MIceHockey!$C:$P,L$1-2011,FALSE),0)+IFERROR(VLOOKUP($A53,MLacrosse!$C:$O,L$1-2011,FALSE),0)+IFERROR(VLOOKUP($A53,MSoccer!$C:$O,L$1-2011,FALSE),0)+IFERROR(VLOOKUP($A53,MVolleyball!$C:$O,L$1-2011,FALSE),0)+IFERROR(VLOOKUP($A53,WBasketball!$C:$O,L$1-2011,FALSE),0)+IFERROR(VLOOKUP($A53,WFieldHockey!$C:$O,L$1-2011,FALSE),0)+IFERROR(VLOOKUP($A53,WIceHockey!$C:$O,L$1-2011,FALSE),0)+IFERROR(VLOOKUP($A53,WLacrosse!$C:$O,L$1-2011,FALSE),0)+IFERROR(VLOOKUP($A53,WSoccer!$C:$O,L$1-2011,FALSE),0)+IFERROR(VLOOKUP($A53,WSoftball!$C:$O,L$1-2011,FALSE),0)+IFERROR(VLOOKUP($A53,WVolleyball!$C:$O,L$1-2011,FALSE),0)</f>
        <v>4277</v>
      </c>
      <c r="M53">
        <f>IFERROR(VLOOKUP($A53,MBaseball!$C:$N,M$1-2010,FALSE),0)+IFERROR(VLOOKUP($A53,MBasketball!$C:$J,M$1-2006,FALSE),0)+IFERROR(VLOOKUP($A53,MFootball!$C:$O,M$1-2011,FALSE),0)+IFERROR(VLOOKUP($A53,MIceHockey!$C:$P,M$1-2011,FALSE),0)+IFERROR(VLOOKUP($A53,MLacrosse!$C:$O,M$1-2011,FALSE),0)+IFERROR(VLOOKUP($A53,MSoccer!$C:$O,M$1-2011,FALSE),0)+IFERROR(VLOOKUP($A53,MVolleyball!$C:$O,M$1-2011,FALSE),0)+IFERROR(VLOOKUP($A53,WBasketball!$C:$O,M$1-2011,FALSE),0)+IFERROR(VLOOKUP($A53,WFieldHockey!$C:$O,M$1-2011,FALSE),0)+IFERROR(VLOOKUP($A53,WIceHockey!$C:$O,M$1-2011,FALSE),0)+IFERROR(VLOOKUP($A53,WLacrosse!$C:$O,M$1-2011,FALSE),0)+IFERROR(VLOOKUP($A53,WSoccer!$C:$O,M$1-2011,FALSE),0)+IFERROR(VLOOKUP($A53,WSoftball!$C:$O,M$1-2011,FALSE),0)+IFERROR(VLOOKUP($A53,WVolleyball!$C:$O,M$1-2011,FALSE),0)</f>
        <v>22591</v>
      </c>
      <c r="N53">
        <f>IFERROR(VLOOKUP($A53,MBaseball!$C:$N,N$1-2010,FALSE),0)+IFERROR(VLOOKUP($A53,MBasketball!$C:$J,N$1-2006,FALSE),0)+IFERROR(VLOOKUP($A53,MFootball!$C:$O,N$1-2011,FALSE),0)+IFERROR(VLOOKUP($A53,MIceHockey!$C:$P,N$1-2011,FALSE),0)+IFERROR(VLOOKUP($A53,MLacrosse!$C:$O,N$1-2011,FALSE),0)+IFERROR(VLOOKUP($A53,MSoccer!$C:$O,N$1-2011,FALSE),0)+IFERROR(VLOOKUP($A53,MVolleyball!$C:$O,N$1-2011,FALSE),0)+IFERROR(VLOOKUP($A53,WBasketball!$C:$O,N$1-2011,FALSE),0)+IFERROR(VLOOKUP($A53,WFieldHockey!$C:$O,N$1-2011,FALSE),0)+IFERROR(VLOOKUP($A53,WIceHockey!$C:$O,N$1-2011,FALSE),0)+IFERROR(VLOOKUP($A53,WLacrosse!$C:$O,N$1-2011,FALSE),0)+IFERROR(VLOOKUP($A53,WSoccer!$C:$O,N$1-2011,FALSE),0)+IFERROR(VLOOKUP($A53,WSoftball!$C:$O,N$1-2011,FALSE),0)+IFERROR(VLOOKUP($A53,WVolleyball!$C:$O,N$1-2011,FALSE),0)</f>
        <v>24232</v>
      </c>
    </row>
    <row r="54" spans="1:14" x14ac:dyDescent="0.2">
      <c r="A54">
        <v>145813</v>
      </c>
      <c r="B54">
        <v>14010</v>
      </c>
      <c r="C54" t="s">
        <v>103</v>
      </c>
      <c r="D54">
        <v>53</v>
      </c>
      <c r="E54">
        <f>IFERROR(VLOOKUP($A54,MBaseball!$C:$N,E$1-2010,FALSE),0)+IFERROR(VLOOKUP($A54,MBasketball!$C:$J,E$1-2006,FALSE),0)+IFERROR(VLOOKUP($A54,MFootball!$C:$O,E$1-2011,FALSE),0)+IFERROR(VLOOKUP($A54,MIceHockey!$C:$P,E$1-2011,FALSE),0)+IFERROR(VLOOKUP($A54,MLacrosse!$C:$O,E$1-2011,FALSE),0)+IFERROR(VLOOKUP($A54,MSoccer!$C:$O,E$1-2011,FALSE),0)+IFERROR(VLOOKUP($A54,MVolleyball!$C:$O,E$1-2011,FALSE),0)+IFERROR(VLOOKUP($A54,WBasketball!$C:$O,E$1-2011,FALSE),0)+IFERROR(VLOOKUP($A54,WFieldHockey!$C:$O,E$1-2011,FALSE),0)+IFERROR(VLOOKUP($A54,WIceHockey!$C:$O,E$1-2011,FALSE),0)+IFERROR(VLOOKUP($A54,WLacrosse!$C:$O,E$1-2011,FALSE),0)+IFERROR(VLOOKUP($A54,WSoccer!$C:$O,E$1-2011,FALSE),0)+IFERROR(VLOOKUP($A54,WSoftball!$C:$O,E$1-2011,FALSE),0)+IFERROR(VLOOKUP($A54,WVolleyball!$C:$O,E$1-2011,FALSE),0)</f>
        <v>119729</v>
      </c>
      <c r="F54">
        <f>IFERROR(VLOOKUP($A54,MBaseball!$C:$N,F$1-2010,FALSE),0)+IFERROR(VLOOKUP($A54,MBasketball!$C:$J,F$1-2006,FALSE),0)+IFERROR(VLOOKUP($A54,MFootball!$C:$O,F$1-2011,FALSE),0)+IFERROR(VLOOKUP($A54,MIceHockey!$C:$P,F$1-2011,FALSE),0)+IFERROR(VLOOKUP($A54,MLacrosse!$C:$O,F$1-2011,FALSE),0)+IFERROR(VLOOKUP($A54,MSoccer!$C:$O,F$1-2011,FALSE),0)+IFERROR(VLOOKUP($A54,MVolleyball!$C:$O,F$1-2011,FALSE),0)+IFERROR(VLOOKUP($A54,WBasketball!$C:$O,F$1-2011,FALSE),0)+IFERROR(VLOOKUP($A54,WFieldHockey!$C:$O,F$1-2011,FALSE),0)+IFERROR(VLOOKUP($A54,WIceHockey!$C:$O,F$1-2011,FALSE),0)+IFERROR(VLOOKUP($A54,WLacrosse!$C:$O,F$1-2011,FALSE),0)+IFERROR(VLOOKUP($A54,WSoccer!$C:$O,F$1-2011,FALSE),0)+IFERROR(VLOOKUP($A54,WSoftball!$C:$O,F$1-2011,FALSE),0)+IFERROR(VLOOKUP($A54,WVolleyball!$C:$O,F$1-2011,FALSE),0)</f>
        <v>111954</v>
      </c>
      <c r="G54">
        <f>IFERROR(VLOOKUP($A54,MBaseball!$C:$N,G$1-2010,FALSE),0)+IFERROR(VLOOKUP($A54,MBasketball!$C:$J,G$1-2006,FALSE),0)+IFERROR(VLOOKUP($A54,MFootball!$C:$O,G$1-2011,FALSE),0)+IFERROR(VLOOKUP($A54,MIceHockey!$C:$P,G$1-2011,FALSE),0)+IFERROR(VLOOKUP($A54,MLacrosse!$C:$O,G$1-2011,FALSE),0)+IFERROR(VLOOKUP($A54,MSoccer!$C:$O,G$1-2011,FALSE),0)+IFERROR(VLOOKUP($A54,MVolleyball!$C:$O,G$1-2011,FALSE),0)+IFERROR(VLOOKUP($A54,WBasketball!$C:$O,G$1-2011,FALSE),0)+IFERROR(VLOOKUP($A54,WFieldHockey!$C:$O,G$1-2011,FALSE),0)+IFERROR(VLOOKUP($A54,WIceHockey!$C:$O,G$1-2011,FALSE),0)+IFERROR(VLOOKUP($A54,WLacrosse!$C:$O,G$1-2011,FALSE),0)+IFERROR(VLOOKUP($A54,WSoccer!$C:$O,G$1-2011,FALSE),0)+IFERROR(VLOOKUP($A54,WSoftball!$C:$O,G$1-2011,FALSE),0)+IFERROR(VLOOKUP($A54,WVolleyball!$C:$O,G$1-2011,FALSE),0)</f>
        <v>102068</v>
      </c>
      <c r="H54">
        <f>IFERROR(VLOOKUP($A54,MBaseball!$C:$N,H$1-2010,FALSE),0)+IFERROR(VLOOKUP($A54,MBasketball!$C:$J,H$1-2006,FALSE),0)+IFERROR(VLOOKUP($A54,MFootball!$C:$O,H$1-2011,FALSE),0)+IFERROR(VLOOKUP($A54,MIceHockey!$C:$P,H$1-2011,FALSE),0)+IFERROR(VLOOKUP($A54,MLacrosse!$C:$O,H$1-2011,FALSE),0)+IFERROR(VLOOKUP($A54,MSoccer!$C:$O,H$1-2011,FALSE),0)+IFERROR(VLOOKUP($A54,MVolleyball!$C:$O,H$1-2011,FALSE),0)+IFERROR(VLOOKUP($A54,WBasketball!$C:$O,H$1-2011,FALSE),0)+IFERROR(VLOOKUP($A54,WFieldHockey!$C:$O,H$1-2011,FALSE),0)+IFERROR(VLOOKUP($A54,WIceHockey!$C:$O,H$1-2011,FALSE),0)+IFERROR(VLOOKUP($A54,WLacrosse!$C:$O,H$1-2011,FALSE),0)+IFERROR(VLOOKUP($A54,WSoccer!$C:$O,H$1-2011,FALSE),0)+IFERROR(VLOOKUP($A54,WSoftball!$C:$O,H$1-2011,FALSE),0)+IFERROR(VLOOKUP($A54,WVolleyball!$C:$O,H$1-2011,FALSE),0)</f>
        <v>95888</v>
      </c>
      <c r="I54">
        <f>IFERROR(VLOOKUP($A54,MBaseball!$C:$N,I$1-2010,FALSE),0)+IFERROR(VLOOKUP($A54,MBasketball!$C:$J,I$1-2006,FALSE),0)+IFERROR(VLOOKUP($A54,MFootball!$C:$O,I$1-2011,FALSE),0)+IFERROR(VLOOKUP($A54,MIceHockey!$C:$P,I$1-2011,FALSE),0)+IFERROR(VLOOKUP($A54,MLacrosse!$C:$O,I$1-2011,FALSE),0)+IFERROR(VLOOKUP($A54,MSoccer!$C:$O,I$1-2011,FALSE),0)+IFERROR(VLOOKUP($A54,MVolleyball!$C:$O,I$1-2011,FALSE),0)+IFERROR(VLOOKUP($A54,WBasketball!$C:$O,I$1-2011,FALSE),0)+IFERROR(VLOOKUP($A54,WFieldHockey!$C:$O,I$1-2011,FALSE),0)+IFERROR(VLOOKUP($A54,WIceHockey!$C:$O,I$1-2011,FALSE),0)+IFERROR(VLOOKUP($A54,WLacrosse!$C:$O,I$1-2011,FALSE),0)+IFERROR(VLOOKUP($A54,WSoccer!$C:$O,I$1-2011,FALSE),0)+IFERROR(VLOOKUP($A54,WSoftball!$C:$O,I$1-2011,FALSE),0)+IFERROR(VLOOKUP($A54,WVolleyball!$C:$O,I$1-2011,FALSE),0)</f>
        <v>92596</v>
      </c>
      <c r="J54">
        <f>IFERROR(VLOOKUP($A54,MBaseball!$C:$N,J$1-2010,FALSE),0)+IFERROR(VLOOKUP($A54,MBasketball!$C:$J,J$1-2006,FALSE),0)+IFERROR(VLOOKUP($A54,MFootball!$C:$O,J$1-2011,FALSE),0)+IFERROR(VLOOKUP($A54,MIceHockey!$C:$P,J$1-2011,FALSE),0)+IFERROR(VLOOKUP($A54,MLacrosse!$C:$O,J$1-2011,FALSE),0)+IFERROR(VLOOKUP($A54,MSoccer!$C:$O,J$1-2011,FALSE),0)+IFERROR(VLOOKUP($A54,MVolleyball!$C:$O,J$1-2011,FALSE),0)+IFERROR(VLOOKUP($A54,WBasketball!$C:$O,J$1-2011,FALSE),0)+IFERROR(VLOOKUP($A54,WFieldHockey!$C:$O,J$1-2011,FALSE),0)+IFERROR(VLOOKUP($A54,WIceHockey!$C:$O,J$1-2011,FALSE),0)+IFERROR(VLOOKUP($A54,WLacrosse!$C:$O,J$1-2011,FALSE),0)+IFERROR(VLOOKUP($A54,WSoccer!$C:$O,J$1-2011,FALSE),0)+IFERROR(VLOOKUP($A54,WSoftball!$C:$O,J$1-2011,FALSE),0)+IFERROR(VLOOKUP($A54,WVolleyball!$C:$O,J$1-2011,FALSE),0)</f>
        <v>80699</v>
      </c>
      <c r="K54">
        <f>IFERROR(VLOOKUP($A54,MBaseball!$C:$N,K$1-2010,FALSE),0)+IFERROR(VLOOKUP($A54,MBasketball!$C:$J,K$1-2006,FALSE),0)+IFERROR(VLOOKUP($A54,MFootball!$C:$O,K$1-2011,FALSE),0)+IFERROR(VLOOKUP($A54,MIceHockey!$C:$P,K$1-2011,FALSE),0)+IFERROR(VLOOKUP($A54,MLacrosse!$C:$O,K$1-2011,FALSE),0)+IFERROR(VLOOKUP($A54,MSoccer!$C:$O,K$1-2011,FALSE),0)+IFERROR(VLOOKUP($A54,MVolleyball!$C:$O,K$1-2011,FALSE),0)+IFERROR(VLOOKUP($A54,WBasketball!$C:$O,K$1-2011,FALSE),0)+IFERROR(VLOOKUP($A54,WFieldHockey!$C:$O,K$1-2011,FALSE),0)+IFERROR(VLOOKUP($A54,WIceHockey!$C:$O,K$1-2011,FALSE),0)+IFERROR(VLOOKUP($A54,WLacrosse!$C:$O,K$1-2011,FALSE),0)+IFERROR(VLOOKUP($A54,WSoccer!$C:$O,K$1-2011,FALSE),0)+IFERROR(VLOOKUP($A54,WSoftball!$C:$O,K$1-2011,FALSE),0)+IFERROR(VLOOKUP($A54,WVolleyball!$C:$O,K$1-2011,FALSE),0)</f>
        <v>84811</v>
      </c>
      <c r="L54">
        <f>IFERROR(VLOOKUP($A54,MBaseball!$C:$N,L$1-2010,FALSE),0)+IFERROR(VLOOKUP($A54,MBasketball!$C:$J,L$1-2006,FALSE),0)+IFERROR(VLOOKUP($A54,MFootball!$C:$O,L$1-2011,FALSE),0)+IFERROR(VLOOKUP($A54,MIceHockey!$C:$P,L$1-2011,FALSE),0)+IFERROR(VLOOKUP($A54,MLacrosse!$C:$O,L$1-2011,FALSE),0)+IFERROR(VLOOKUP($A54,MSoccer!$C:$O,L$1-2011,FALSE),0)+IFERROR(VLOOKUP($A54,MVolleyball!$C:$O,L$1-2011,FALSE),0)+IFERROR(VLOOKUP($A54,WBasketball!$C:$O,L$1-2011,FALSE),0)+IFERROR(VLOOKUP($A54,WFieldHockey!$C:$O,L$1-2011,FALSE),0)+IFERROR(VLOOKUP($A54,WIceHockey!$C:$O,L$1-2011,FALSE),0)+IFERROR(VLOOKUP($A54,WLacrosse!$C:$O,L$1-2011,FALSE),0)+IFERROR(VLOOKUP($A54,WSoccer!$C:$O,L$1-2011,FALSE),0)+IFERROR(VLOOKUP($A54,WSoftball!$C:$O,L$1-2011,FALSE),0)+IFERROR(VLOOKUP($A54,WVolleyball!$C:$O,L$1-2011,FALSE),0)</f>
        <v>13729</v>
      </c>
      <c r="M54">
        <f>IFERROR(VLOOKUP($A54,MBaseball!$C:$N,M$1-2010,FALSE),0)+IFERROR(VLOOKUP($A54,MBasketball!$C:$J,M$1-2006,FALSE),0)+IFERROR(VLOOKUP($A54,MFootball!$C:$O,M$1-2011,FALSE),0)+IFERROR(VLOOKUP($A54,MIceHockey!$C:$P,M$1-2011,FALSE),0)+IFERROR(VLOOKUP($A54,MLacrosse!$C:$O,M$1-2011,FALSE),0)+IFERROR(VLOOKUP($A54,MSoccer!$C:$O,M$1-2011,FALSE),0)+IFERROR(VLOOKUP($A54,MVolleyball!$C:$O,M$1-2011,FALSE),0)+IFERROR(VLOOKUP($A54,WBasketball!$C:$O,M$1-2011,FALSE),0)+IFERROR(VLOOKUP($A54,WFieldHockey!$C:$O,M$1-2011,FALSE),0)+IFERROR(VLOOKUP($A54,WIceHockey!$C:$O,M$1-2011,FALSE),0)+IFERROR(VLOOKUP($A54,WLacrosse!$C:$O,M$1-2011,FALSE),0)+IFERROR(VLOOKUP($A54,WSoccer!$C:$O,M$1-2011,FALSE),0)+IFERROR(VLOOKUP($A54,WSoftball!$C:$O,M$1-2011,FALSE),0)+IFERROR(VLOOKUP($A54,WVolleyball!$C:$O,M$1-2011,FALSE),0)</f>
        <v>75222</v>
      </c>
      <c r="N54">
        <f>IFERROR(VLOOKUP($A54,MBaseball!$C:$N,N$1-2010,FALSE),0)+IFERROR(VLOOKUP($A54,MBasketball!$C:$J,N$1-2006,FALSE),0)+IFERROR(VLOOKUP($A54,MFootball!$C:$O,N$1-2011,FALSE),0)+IFERROR(VLOOKUP($A54,MIceHockey!$C:$P,N$1-2011,FALSE),0)+IFERROR(VLOOKUP($A54,MLacrosse!$C:$O,N$1-2011,FALSE),0)+IFERROR(VLOOKUP($A54,MSoccer!$C:$O,N$1-2011,FALSE),0)+IFERROR(VLOOKUP($A54,MVolleyball!$C:$O,N$1-2011,FALSE),0)+IFERROR(VLOOKUP($A54,WBasketball!$C:$O,N$1-2011,FALSE),0)+IFERROR(VLOOKUP($A54,WFieldHockey!$C:$O,N$1-2011,FALSE),0)+IFERROR(VLOOKUP($A54,WIceHockey!$C:$O,N$1-2011,FALSE),0)+IFERROR(VLOOKUP($A54,WLacrosse!$C:$O,N$1-2011,FALSE),0)+IFERROR(VLOOKUP($A54,WSoccer!$C:$O,N$1-2011,FALSE),0)+IFERROR(VLOOKUP($A54,WSoftball!$C:$O,N$1-2011,FALSE),0)+IFERROR(VLOOKUP($A54,WVolleyball!$C:$O,N$1-2011,FALSE),0)</f>
        <v>85647</v>
      </c>
    </row>
    <row r="55" spans="1:14" x14ac:dyDescent="0.2">
      <c r="A55">
        <v>151351</v>
      </c>
      <c r="B55">
        <v>14020</v>
      </c>
      <c r="C55" t="s">
        <v>104</v>
      </c>
      <c r="D55">
        <v>54</v>
      </c>
      <c r="E55">
        <f>IFERROR(VLOOKUP($A55,MBaseball!$C:$N,E$1-2010,FALSE),0)+IFERROR(VLOOKUP($A55,MBasketball!$C:$J,E$1-2006,FALSE),0)+IFERROR(VLOOKUP($A55,MFootball!$C:$O,E$1-2011,FALSE),0)+IFERROR(VLOOKUP($A55,MIceHockey!$C:$P,E$1-2011,FALSE),0)+IFERROR(VLOOKUP($A55,MLacrosse!$C:$O,E$1-2011,FALSE),0)+IFERROR(VLOOKUP($A55,MSoccer!$C:$O,E$1-2011,FALSE),0)+IFERROR(VLOOKUP($A55,MVolleyball!$C:$O,E$1-2011,FALSE),0)+IFERROR(VLOOKUP($A55,WBasketball!$C:$O,E$1-2011,FALSE),0)+IFERROR(VLOOKUP($A55,WFieldHockey!$C:$O,E$1-2011,FALSE),0)+IFERROR(VLOOKUP($A55,WIceHockey!$C:$O,E$1-2011,FALSE),0)+IFERROR(VLOOKUP($A55,WLacrosse!$C:$O,E$1-2011,FALSE),0)+IFERROR(VLOOKUP($A55,WSoccer!$C:$O,E$1-2011,FALSE),0)+IFERROR(VLOOKUP($A55,WSoftball!$C:$O,E$1-2011,FALSE),0)+IFERROR(VLOOKUP($A55,WVolleyball!$C:$O,E$1-2011,FALSE),0)</f>
        <v>469643</v>
      </c>
      <c r="F55">
        <f>IFERROR(VLOOKUP($A55,MBaseball!$C:$N,F$1-2010,FALSE),0)+IFERROR(VLOOKUP($A55,MBasketball!$C:$J,F$1-2006,FALSE),0)+IFERROR(VLOOKUP($A55,MFootball!$C:$O,F$1-2011,FALSE),0)+IFERROR(VLOOKUP($A55,MIceHockey!$C:$P,F$1-2011,FALSE),0)+IFERROR(VLOOKUP($A55,MLacrosse!$C:$O,F$1-2011,FALSE),0)+IFERROR(VLOOKUP($A55,MSoccer!$C:$O,F$1-2011,FALSE),0)+IFERROR(VLOOKUP($A55,MVolleyball!$C:$O,F$1-2011,FALSE),0)+IFERROR(VLOOKUP($A55,WBasketball!$C:$O,F$1-2011,FALSE),0)+IFERROR(VLOOKUP($A55,WFieldHockey!$C:$O,F$1-2011,FALSE),0)+IFERROR(VLOOKUP($A55,WIceHockey!$C:$O,F$1-2011,FALSE),0)+IFERROR(VLOOKUP($A55,WLacrosse!$C:$O,F$1-2011,FALSE),0)+IFERROR(VLOOKUP($A55,WSoccer!$C:$O,F$1-2011,FALSE),0)+IFERROR(VLOOKUP($A55,WSoftball!$C:$O,F$1-2011,FALSE),0)+IFERROR(VLOOKUP($A55,WVolleyball!$C:$O,F$1-2011,FALSE),0)</f>
        <v>389074</v>
      </c>
      <c r="G55">
        <f>IFERROR(VLOOKUP($A55,MBaseball!$C:$N,G$1-2010,FALSE),0)+IFERROR(VLOOKUP($A55,MBasketball!$C:$J,G$1-2006,FALSE),0)+IFERROR(VLOOKUP($A55,MFootball!$C:$O,G$1-2011,FALSE),0)+IFERROR(VLOOKUP($A55,MIceHockey!$C:$P,G$1-2011,FALSE),0)+IFERROR(VLOOKUP($A55,MLacrosse!$C:$O,G$1-2011,FALSE),0)+IFERROR(VLOOKUP($A55,MSoccer!$C:$O,G$1-2011,FALSE),0)+IFERROR(VLOOKUP($A55,MVolleyball!$C:$O,G$1-2011,FALSE),0)+IFERROR(VLOOKUP($A55,WBasketball!$C:$O,G$1-2011,FALSE),0)+IFERROR(VLOOKUP($A55,WFieldHockey!$C:$O,G$1-2011,FALSE),0)+IFERROR(VLOOKUP($A55,WIceHockey!$C:$O,G$1-2011,FALSE),0)+IFERROR(VLOOKUP($A55,WLacrosse!$C:$O,G$1-2011,FALSE),0)+IFERROR(VLOOKUP($A55,WSoccer!$C:$O,G$1-2011,FALSE),0)+IFERROR(VLOOKUP($A55,WSoftball!$C:$O,G$1-2011,FALSE),0)+IFERROR(VLOOKUP($A55,WVolleyball!$C:$O,G$1-2011,FALSE),0)</f>
        <v>446902</v>
      </c>
      <c r="H55">
        <f>IFERROR(VLOOKUP($A55,MBaseball!$C:$N,H$1-2010,FALSE),0)+IFERROR(VLOOKUP($A55,MBasketball!$C:$J,H$1-2006,FALSE),0)+IFERROR(VLOOKUP($A55,MFootball!$C:$O,H$1-2011,FALSE),0)+IFERROR(VLOOKUP($A55,MIceHockey!$C:$P,H$1-2011,FALSE),0)+IFERROR(VLOOKUP($A55,MLacrosse!$C:$O,H$1-2011,FALSE),0)+IFERROR(VLOOKUP($A55,MSoccer!$C:$O,H$1-2011,FALSE),0)+IFERROR(VLOOKUP($A55,MVolleyball!$C:$O,H$1-2011,FALSE),0)+IFERROR(VLOOKUP($A55,WBasketball!$C:$O,H$1-2011,FALSE),0)+IFERROR(VLOOKUP($A55,WFieldHockey!$C:$O,H$1-2011,FALSE),0)+IFERROR(VLOOKUP($A55,WIceHockey!$C:$O,H$1-2011,FALSE),0)+IFERROR(VLOOKUP($A55,WLacrosse!$C:$O,H$1-2011,FALSE),0)+IFERROR(VLOOKUP($A55,WSoccer!$C:$O,H$1-2011,FALSE),0)+IFERROR(VLOOKUP($A55,WSoftball!$C:$O,H$1-2011,FALSE),0)+IFERROR(VLOOKUP($A55,WVolleyball!$C:$O,H$1-2011,FALSE),0)</f>
        <v>457372</v>
      </c>
      <c r="I55">
        <f>IFERROR(VLOOKUP($A55,MBaseball!$C:$N,I$1-2010,FALSE),0)+IFERROR(VLOOKUP($A55,MBasketball!$C:$J,I$1-2006,FALSE),0)+IFERROR(VLOOKUP($A55,MFootball!$C:$O,I$1-2011,FALSE),0)+IFERROR(VLOOKUP($A55,MIceHockey!$C:$P,I$1-2011,FALSE),0)+IFERROR(VLOOKUP($A55,MLacrosse!$C:$O,I$1-2011,FALSE),0)+IFERROR(VLOOKUP($A55,MSoccer!$C:$O,I$1-2011,FALSE),0)+IFERROR(VLOOKUP($A55,MVolleyball!$C:$O,I$1-2011,FALSE),0)+IFERROR(VLOOKUP($A55,WBasketball!$C:$O,I$1-2011,FALSE),0)+IFERROR(VLOOKUP($A55,WFieldHockey!$C:$O,I$1-2011,FALSE),0)+IFERROR(VLOOKUP($A55,WIceHockey!$C:$O,I$1-2011,FALSE),0)+IFERROR(VLOOKUP($A55,WLacrosse!$C:$O,I$1-2011,FALSE),0)+IFERROR(VLOOKUP($A55,WSoccer!$C:$O,I$1-2011,FALSE),0)+IFERROR(VLOOKUP($A55,WSoftball!$C:$O,I$1-2011,FALSE),0)+IFERROR(VLOOKUP($A55,WVolleyball!$C:$O,I$1-2011,FALSE),0)</f>
        <v>458969</v>
      </c>
      <c r="J55">
        <f>IFERROR(VLOOKUP($A55,MBaseball!$C:$N,J$1-2010,FALSE),0)+IFERROR(VLOOKUP($A55,MBasketball!$C:$J,J$1-2006,FALSE),0)+IFERROR(VLOOKUP($A55,MFootball!$C:$O,J$1-2011,FALSE),0)+IFERROR(VLOOKUP($A55,MIceHockey!$C:$P,J$1-2011,FALSE),0)+IFERROR(VLOOKUP($A55,MLacrosse!$C:$O,J$1-2011,FALSE),0)+IFERROR(VLOOKUP($A55,MSoccer!$C:$O,J$1-2011,FALSE),0)+IFERROR(VLOOKUP($A55,MVolleyball!$C:$O,J$1-2011,FALSE),0)+IFERROR(VLOOKUP($A55,WBasketball!$C:$O,J$1-2011,FALSE),0)+IFERROR(VLOOKUP($A55,WFieldHockey!$C:$O,J$1-2011,FALSE),0)+IFERROR(VLOOKUP($A55,WIceHockey!$C:$O,J$1-2011,FALSE),0)+IFERROR(VLOOKUP($A55,WLacrosse!$C:$O,J$1-2011,FALSE),0)+IFERROR(VLOOKUP($A55,WSoccer!$C:$O,J$1-2011,FALSE),0)+IFERROR(VLOOKUP($A55,WSoftball!$C:$O,J$1-2011,FALSE),0)+IFERROR(VLOOKUP($A55,WVolleyball!$C:$O,J$1-2011,FALSE),0)</f>
        <v>410319</v>
      </c>
      <c r="K55">
        <f>IFERROR(VLOOKUP($A55,MBaseball!$C:$N,K$1-2010,FALSE),0)+IFERROR(VLOOKUP($A55,MBasketball!$C:$J,K$1-2006,FALSE),0)+IFERROR(VLOOKUP($A55,MFootball!$C:$O,K$1-2011,FALSE),0)+IFERROR(VLOOKUP($A55,MIceHockey!$C:$P,K$1-2011,FALSE),0)+IFERROR(VLOOKUP($A55,MLacrosse!$C:$O,K$1-2011,FALSE),0)+IFERROR(VLOOKUP($A55,MSoccer!$C:$O,K$1-2011,FALSE),0)+IFERROR(VLOOKUP($A55,MVolleyball!$C:$O,K$1-2011,FALSE),0)+IFERROR(VLOOKUP($A55,WBasketball!$C:$O,K$1-2011,FALSE),0)+IFERROR(VLOOKUP($A55,WFieldHockey!$C:$O,K$1-2011,FALSE),0)+IFERROR(VLOOKUP($A55,WIceHockey!$C:$O,K$1-2011,FALSE),0)+IFERROR(VLOOKUP($A55,WLacrosse!$C:$O,K$1-2011,FALSE),0)+IFERROR(VLOOKUP($A55,WSoccer!$C:$O,K$1-2011,FALSE),0)+IFERROR(VLOOKUP($A55,WSoftball!$C:$O,K$1-2011,FALSE),0)+IFERROR(VLOOKUP($A55,WVolleyball!$C:$O,K$1-2011,FALSE),0)</f>
        <v>342083</v>
      </c>
      <c r="L55">
        <f>IFERROR(VLOOKUP($A55,MBaseball!$C:$N,L$1-2010,FALSE),0)+IFERROR(VLOOKUP($A55,MBasketball!$C:$J,L$1-2006,FALSE),0)+IFERROR(VLOOKUP($A55,MFootball!$C:$O,L$1-2011,FALSE),0)+IFERROR(VLOOKUP($A55,MIceHockey!$C:$P,L$1-2011,FALSE),0)+IFERROR(VLOOKUP($A55,MLacrosse!$C:$O,L$1-2011,FALSE),0)+IFERROR(VLOOKUP($A55,MSoccer!$C:$O,L$1-2011,FALSE),0)+IFERROR(VLOOKUP($A55,MVolleyball!$C:$O,L$1-2011,FALSE),0)+IFERROR(VLOOKUP($A55,WBasketball!$C:$O,L$1-2011,FALSE),0)+IFERROR(VLOOKUP($A55,WFieldHockey!$C:$O,L$1-2011,FALSE),0)+IFERROR(VLOOKUP($A55,WIceHockey!$C:$O,L$1-2011,FALSE),0)+IFERROR(VLOOKUP($A55,WLacrosse!$C:$O,L$1-2011,FALSE),0)+IFERROR(VLOOKUP($A55,WSoccer!$C:$O,L$1-2011,FALSE),0)+IFERROR(VLOOKUP($A55,WSoftball!$C:$O,L$1-2011,FALSE),0)+IFERROR(VLOOKUP($A55,WVolleyball!$C:$O,L$1-2011,FALSE),0)</f>
        <v>43725</v>
      </c>
      <c r="M55">
        <f>IFERROR(VLOOKUP($A55,MBaseball!$C:$N,M$1-2010,FALSE),0)+IFERROR(VLOOKUP($A55,MBasketball!$C:$J,M$1-2006,FALSE),0)+IFERROR(VLOOKUP($A55,MFootball!$C:$O,M$1-2011,FALSE),0)+IFERROR(VLOOKUP($A55,MIceHockey!$C:$P,M$1-2011,FALSE),0)+IFERROR(VLOOKUP($A55,MLacrosse!$C:$O,M$1-2011,FALSE),0)+IFERROR(VLOOKUP($A55,MSoccer!$C:$O,M$1-2011,FALSE),0)+IFERROR(VLOOKUP($A55,MVolleyball!$C:$O,M$1-2011,FALSE),0)+IFERROR(VLOOKUP($A55,WBasketball!$C:$O,M$1-2011,FALSE),0)+IFERROR(VLOOKUP($A55,WFieldHockey!$C:$O,M$1-2011,FALSE),0)+IFERROR(VLOOKUP($A55,WIceHockey!$C:$O,M$1-2011,FALSE),0)+IFERROR(VLOOKUP($A55,WLacrosse!$C:$O,M$1-2011,FALSE),0)+IFERROR(VLOOKUP($A55,WSoccer!$C:$O,M$1-2011,FALSE),0)+IFERROR(VLOOKUP($A55,WSoftball!$C:$O,M$1-2011,FALSE),0)+IFERROR(VLOOKUP($A55,WVolleyball!$C:$O,M$1-2011,FALSE),0)</f>
        <v>460826</v>
      </c>
      <c r="N55">
        <f>IFERROR(VLOOKUP($A55,MBaseball!$C:$N,N$1-2010,FALSE),0)+IFERROR(VLOOKUP($A55,MBasketball!$C:$J,N$1-2006,FALSE),0)+IFERROR(VLOOKUP($A55,MFootball!$C:$O,N$1-2011,FALSE),0)+IFERROR(VLOOKUP($A55,MIceHockey!$C:$P,N$1-2011,FALSE),0)+IFERROR(VLOOKUP($A55,MLacrosse!$C:$O,N$1-2011,FALSE),0)+IFERROR(VLOOKUP($A55,MSoccer!$C:$O,N$1-2011,FALSE),0)+IFERROR(VLOOKUP($A55,MVolleyball!$C:$O,N$1-2011,FALSE),0)+IFERROR(VLOOKUP($A55,WBasketball!$C:$O,N$1-2011,FALSE),0)+IFERROR(VLOOKUP($A55,WFieldHockey!$C:$O,N$1-2011,FALSE),0)+IFERROR(VLOOKUP($A55,WIceHockey!$C:$O,N$1-2011,FALSE),0)+IFERROR(VLOOKUP($A55,WLacrosse!$C:$O,N$1-2011,FALSE),0)+IFERROR(VLOOKUP($A55,WSoccer!$C:$O,N$1-2011,FALSE),0)+IFERROR(VLOOKUP($A55,WSoftball!$C:$O,N$1-2011,FALSE),0)+IFERROR(VLOOKUP($A55,WVolleyball!$C:$O,N$1-2011,FALSE),0)</f>
        <v>536340</v>
      </c>
    </row>
    <row r="56" spans="1:14" x14ac:dyDescent="0.2">
      <c r="A56">
        <v>151324</v>
      </c>
      <c r="B56">
        <v>45460</v>
      </c>
      <c r="C56" t="s">
        <v>105</v>
      </c>
      <c r="D56">
        <v>55</v>
      </c>
      <c r="E56">
        <f>IFERROR(VLOOKUP($A56,MBaseball!$C:$N,E$1-2010,FALSE),0)+IFERROR(VLOOKUP($A56,MBasketball!$C:$J,E$1-2006,FALSE),0)+IFERROR(VLOOKUP($A56,MFootball!$C:$O,E$1-2011,FALSE),0)+IFERROR(VLOOKUP($A56,MIceHockey!$C:$P,E$1-2011,FALSE),0)+IFERROR(VLOOKUP($A56,MLacrosse!$C:$O,E$1-2011,FALSE),0)+IFERROR(VLOOKUP($A56,MSoccer!$C:$O,E$1-2011,FALSE),0)+IFERROR(VLOOKUP($A56,MVolleyball!$C:$O,E$1-2011,FALSE),0)+IFERROR(VLOOKUP($A56,WBasketball!$C:$O,E$1-2011,FALSE),0)+IFERROR(VLOOKUP($A56,WFieldHockey!$C:$O,E$1-2011,FALSE),0)+IFERROR(VLOOKUP($A56,WIceHockey!$C:$O,E$1-2011,FALSE),0)+IFERROR(VLOOKUP($A56,WLacrosse!$C:$O,E$1-2011,FALSE),0)+IFERROR(VLOOKUP($A56,WSoccer!$C:$O,E$1-2011,FALSE),0)+IFERROR(VLOOKUP($A56,WSoftball!$C:$O,E$1-2011,FALSE),0)+IFERROR(VLOOKUP($A56,WVolleyball!$C:$O,E$1-2011,FALSE),0)</f>
        <v>95115</v>
      </c>
      <c r="F56">
        <f>IFERROR(VLOOKUP($A56,MBaseball!$C:$N,F$1-2010,FALSE),0)+IFERROR(VLOOKUP($A56,MBasketball!$C:$J,F$1-2006,FALSE),0)+IFERROR(VLOOKUP($A56,MFootball!$C:$O,F$1-2011,FALSE),0)+IFERROR(VLOOKUP($A56,MIceHockey!$C:$P,F$1-2011,FALSE),0)+IFERROR(VLOOKUP($A56,MLacrosse!$C:$O,F$1-2011,FALSE),0)+IFERROR(VLOOKUP($A56,MSoccer!$C:$O,F$1-2011,FALSE),0)+IFERROR(VLOOKUP($A56,MVolleyball!$C:$O,F$1-2011,FALSE),0)+IFERROR(VLOOKUP($A56,WBasketball!$C:$O,F$1-2011,FALSE),0)+IFERROR(VLOOKUP($A56,WFieldHockey!$C:$O,F$1-2011,FALSE),0)+IFERROR(VLOOKUP($A56,WIceHockey!$C:$O,F$1-2011,FALSE),0)+IFERROR(VLOOKUP($A56,WLacrosse!$C:$O,F$1-2011,FALSE),0)+IFERROR(VLOOKUP($A56,WSoccer!$C:$O,F$1-2011,FALSE),0)+IFERROR(VLOOKUP($A56,WSoftball!$C:$O,F$1-2011,FALSE),0)+IFERROR(VLOOKUP($A56,WVolleyball!$C:$O,F$1-2011,FALSE),0)</f>
        <v>83936</v>
      </c>
      <c r="G56">
        <f>IFERROR(VLOOKUP($A56,MBaseball!$C:$N,G$1-2010,FALSE),0)+IFERROR(VLOOKUP($A56,MBasketball!$C:$J,G$1-2006,FALSE),0)+IFERROR(VLOOKUP($A56,MFootball!$C:$O,G$1-2011,FALSE),0)+IFERROR(VLOOKUP($A56,MIceHockey!$C:$P,G$1-2011,FALSE),0)+IFERROR(VLOOKUP($A56,MLacrosse!$C:$O,G$1-2011,FALSE),0)+IFERROR(VLOOKUP($A56,MSoccer!$C:$O,G$1-2011,FALSE),0)+IFERROR(VLOOKUP($A56,MVolleyball!$C:$O,G$1-2011,FALSE),0)+IFERROR(VLOOKUP($A56,WBasketball!$C:$O,G$1-2011,FALSE),0)+IFERROR(VLOOKUP($A56,WFieldHockey!$C:$O,G$1-2011,FALSE),0)+IFERROR(VLOOKUP($A56,WIceHockey!$C:$O,G$1-2011,FALSE),0)+IFERROR(VLOOKUP($A56,WLacrosse!$C:$O,G$1-2011,FALSE),0)+IFERROR(VLOOKUP($A56,WSoccer!$C:$O,G$1-2011,FALSE),0)+IFERROR(VLOOKUP($A56,WSoftball!$C:$O,G$1-2011,FALSE),0)+IFERROR(VLOOKUP($A56,WVolleyball!$C:$O,G$1-2011,FALSE),0)</f>
        <v>74963</v>
      </c>
      <c r="H56">
        <f>IFERROR(VLOOKUP($A56,MBaseball!$C:$N,H$1-2010,FALSE),0)+IFERROR(VLOOKUP($A56,MBasketball!$C:$J,H$1-2006,FALSE),0)+IFERROR(VLOOKUP($A56,MFootball!$C:$O,H$1-2011,FALSE),0)+IFERROR(VLOOKUP($A56,MIceHockey!$C:$P,H$1-2011,FALSE),0)+IFERROR(VLOOKUP($A56,MLacrosse!$C:$O,H$1-2011,FALSE),0)+IFERROR(VLOOKUP($A56,MSoccer!$C:$O,H$1-2011,FALSE),0)+IFERROR(VLOOKUP($A56,MVolleyball!$C:$O,H$1-2011,FALSE),0)+IFERROR(VLOOKUP($A56,WBasketball!$C:$O,H$1-2011,FALSE),0)+IFERROR(VLOOKUP($A56,WFieldHockey!$C:$O,H$1-2011,FALSE),0)+IFERROR(VLOOKUP($A56,WIceHockey!$C:$O,H$1-2011,FALSE),0)+IFERROR(VLOOKUP($A56,WLacrosse!$C:$O,H$1-2011,FALSE),0)+IFERROR(VLOOKUP($A56,WSoccer!$C:$O,H$1-2011,FALSE),0)+IFERROR(VLOOKUP($A56,WSoftball!$C:$O,H$1-2011,FALSE),0)+IFERROR(VLOOKUP($A56,WVolleyball!$C:$O,H$1-2011,FALSE),0)</f>
        <v>59155</v>
      </c>
      <c r="I56">
        <f>IFERROR(VLOOKUP($A56,MBaseball!$C:$N,I$1-2010,FALSE),0)+IFERROR(VLOOKUP($A56,MBasketball!$C:$J,I$1-2006,FALSE),0)+IFERROR(VLOOKUP($A56,MFootball!$C:$O,I$1-2011,FALSE),0)+IFERROR(VLOOKUP($A56,MIceHockey!$C:$P,I$1-2011,FALSE),0)+IFERROR(VLOOKUP($A56,MLacrosse!$C:$O,I$1-2011,FALSE),0)+IFERROR(VLOOKUP($A56,MSoccer!$C:$O,I$1-2011,FALSE),0)+IFERROR(VLOOKUP($A56,MVolleyball!$C:$O,I$1-2011,FALSE),0)+IFERROR(VLOOKUP($A56,WBasketball!$C:$O,I$1-2011,FALSE),0)+IFERROR(VLOOKUP($A56,WFieldHockey!$C:$O,I$1-2011,FALSE),0)+IFERROR(VLOOKUP($A56,WIceHockey!$C:$O,I$1-2011,FALSE),0)+IFERROR(VLOOKUP($A56,WLacrosse!$C:$O,I$1-2011,FALSE),0)+IFERROR(VLOOKUP($A56,WSoccer!$C:$O,I$1-2011,FALSE),0)+IFERROR(VLOOKUP($A56,WSoftball!$C:$O,I$1-2011,FALSE),0)+IFERROR(VLOOKUP($A56,WVolleyball!$C:$O,I$1-2011,FALSE),0)</f>
        <v>60867</v>
      </c>
      <c r="J56">
        <f>IFERROR(VLOOKUP($A56,MBaseball!$C:$N,J$1-2010,FALSE),0)+IFERROR(VLOOKUP($A56,MBasketball!$C:$J,J$1-2006,FALSE),0)+IFERROR(VLOOKUP($A56,MFootball!$C:$O,J$1-2011,FALSE),0)+IFERROR(VLOOKUP($A56,MIceHockey!$C:$P,J$1-2011,FALSE),0)+IFERROR(VLOOKUP($A56,MLacrosse!$C:$O,J$1-2011,FALSE),0)+IFERROR(VLOOKUP($A56,MSoccer!$C:$O,J$1-2011,FALSE),0)+IFERROR(VLOOKUP($A56,MVolleyball!$C:$O,J$1-2011,FALSE),0)+IFERROR(VLOOKUP($A56,WBasketball!$C:$O,J$1-2011,FALSE),0)+IFERROR(VLOOKUP($A56,WFieldHockey!$C:$O,J$1-2011,FALSE),0)+IFERROR(VLOOKUP($A56,WIceHockey!$C:$O,J$1-2011,FALSE),0)+IFERROR(VLOOKUP($A56,WLacrosse!$C:$O,J$1-2011,FALSE),0)+IFERROR(VLOOKUP($A56,WSoccer!$C:$O,J$1-2011,FALSE),0)+IFERROR(VLOOKUP($A56,WSoftball!$C:$O,J$1-2011,FALSE),0)+IFERROR(VLOOKUP($A56,WVolleyball!$C:$O,J$1-2011,FALSE),0)</f>
        <v>55180</v>
      </c>
      <c r="K56">
        <f>IFERROR(VLOOKUP($A56,MBaseball!$C:$N,K$1-2010,FALSE),0)+IFERROR(VLOOKUP($A56,MBasketball!$C:$J,K$1-2006,FALSE),0)+IFERROR(VLOOKUP($A56,MFootball!$C:$O,K$1-2011,FALSE),0)+IFERROR(VLOOKUP($A56,MIceHockey!$C:$P,K$1-2011,FALSE),0)+IFERROR(VLOOKUP($A56,MLacrosse!$C:$O,K$1-2011,FALSE),0)+IFERROR(VLOOKUP($A56,MSoccer!$C:$O,K$1-2011,FALSE),0)+IFERROR(VLOOKUP($A56,MVolleyball!$C:$O,K$1-2011,FALSE),0)+IFERROR(VLOOKUP($A56,WBasketball!$C:$O,K$1-2011,FALSE),0)+IFERROR(VLOOKUP($A56,WFieldHockey!$C:$O,K$1-2011,FALSE),0)+IFERROR(VLOOKUP($A56,WIceHockey!$C:$O,K$1-2011,FALSE),0)+IFERROR(VLOOKUP($A56,WLacrosse!$C:$O,K$1-2011,FALSE),0)+IFERROR(VLOOKUP($A56,WSoccer!$C:$O,K$1-2011,FALSE),0)+IFERROR(VLOOKUP($A56,WSoftball!$C:$O,K$1-2011,FALSE),0)+IFERROR(VLOOKUP($A56,WVolleyball!$C:$O,K$1-2011,FALSE),0)</f>
        <v>58918</v>
      </c>
      <c r="L56">
        <f>IFERROR(VLOOKUP($A56,MBaseball!$C:$N,L$1-2010,FALSE),0)+IFERROR(VLOOKUP($A56,MBasketball!$C:$J,L$1-2006,FALSE),0)+IFERROR(VLOOKUP($A56,MFootball!$C:$O,L$1-2011,FALSE),0)+IFERROR(VLOOKUP($A56,MIceHockey!$C:$P,L$1-2011,FALSE),0)+IFERROR(VLOOKUP($A56,MLacrosse!$C:$O,L$1-2011,FALSE),0)+IFERROR(VLOOKUP($A56,MSoccer!$C:$O,L$1-2011,FALSE),0)+IFERROR(VLOOKUP($A56,MVolleyball!$C:$O,L$1-2011,FALSE),0)+IFERROR(VLOOKUP($A56,WBasketball!$C:$O,L$1-2011,FALSE),0)+IFERROR(VLOOKUP($A56,WFieldHockey!$C:$O,L$1-2011,FALSE),0)+IFERROR(VLOOKUP($A56,WIceHockey!$C:$O,L$1-2011,FALSE),0)+IFERROR(VLOOKUP($A56,WLacrosse!$C:$O,L$1-2011,FALSE),0)+IFERROR(VLOOKUP($A56,WSoccer!$C:$O,L$1-2011,FALSE),0)+IFERROR(VLOOKUP($A56,WSoftball!$C:$O,L$1-2011,FALSE),0)+IFERROR(VLOOKUP($A56,WVolleyball!$C:$O,L$1-2011,FALSE),0)</f>
        <v>16788</v>
      </c>
      <c r="M56">
        <f>IFERROR(VLOOKUP($A56,MBaseball!$C:$N,M$1-2010,FALSE),0)+IFERROR(VLOOKUP($A56,MBasketball!$C:$J,M$1-2006,FALSE),0)+IFERROR(VLOOKUP($A56,MFootball!$C:$O,M$1-2011,FALSE),0)+IFERROR(VLOOKUP($A56,MIceHockey!$C:$P,M$1-2011,FALSE),0)+IFERROR(VLOOKUP($A56,MLacrosse!$C:$O,M$1-2011,FALSE),0)+IFERROR(VLOOKUP($A56,MSoccer!$C:$O,M$1-2011,FALSE),0)+IFERROR(VLOOKUP($A56,MVolleyball!$C:$O,M$1-2011,FALSE),0)+IFERROR(VLOOKUP($A56,WBasketball!$C:$O,M$1-2011,FALSE),0)+IFERROR(VLOOKUP($A56,WFieldHockey!$C:$O,M$1-2011,FALSE),0)+IFERROR(VLOOKUP($A56,WIceHockey!$C:$O,M$1-2011,FALSE),0)+IFERROR(VLOOKUP($A56,WLacrosse!$C:$O,M$1-2011,FALSE),0)+IFERROR(VLOOKUP($A56,WSoccer!$C:$O,M$1-2011,FALSE),0)+IFERROR(VLOOKUP($A56,WSoftball!$C:$O,M$1-2011,FALSE),0)+IFERROR(VLOOKUP($A56,WVolleyball!$C:$O,M$1-2011,FALSE),0)</f>
        <v>73399</v>
      </c>
      <c r="N56">
        <f>IFERROR(VLOOKUP($A56,MBaseball!$C:$N,N$1-2010,FALSE),0)+IFERROR(VLOOKUP($A56,MBasketball!$C:$J,N$1-2006,FALSE),0)+IFERROR(VLOOKUP($A56,MFootball!$C:$O,N$1-2011,FALSE),0)+IFERROR(VLOOKUP($A56,MIceHockey!$C:$P,N$1-2011,FALSE),0)+IFERROR(VLOOKUP($A56,MLacrosse!$C:$O,N$1-2011,FALSE),0)+IFERROR(VLOOKUP($A56,MSoccer!$C:$O,N$1-2011,FALSE),0)+IFERROR(VLOOKUP($A56,MVolleyball!$C:$O,N$1-2011,FALSE),0)+IFERROR(VLOOKUP($A56,WBasketball!$C:$O,N$1-2011,FALSE),0)+IFERROR(VLOOKUP($A56,WFieldHockey!$C:$O,N$1-2011,FALSE),0)+IFERROR(VLOOKUP($A56,WIceHockey!$C:$O,N$1-2011,FALSE),0)+IFERROR(VLOOKUP($A56,WLacrosse!$C:$O,N$1-2011,FALSE),0)+IFERROR(VLOOKUP($A56,WSoccer!$C:$O,N$1-2011,FALSE),0)+IFERROR(VLOOKUP($A56,WSoftball!$C:$O,N$1-2011,FALSE),0)+IFERROR(VLOOKUP($A56,WVolleyball!$C:$O,N$1-2011,FALSE),0)</f>
        <v>53991</v>
      </c>
    </row>
    <row r="57" spans="1:14" x14ac:dyDescent="0.2">
      <c r="A57">
        <v>153658</v>
      </c>
      <c r="B57">
        <v>26980</v>
      </c>
      <c r="C57" t="s">
        <v>106</v>
      </c>
      <c r="D57">
        <v>56</v>
      </c>
      <c r="E57">
        <f>IFERROR(VLOOKUP($A57,MBaseball!$C:$N,E$1-2010,FALSE),0)+IFERROR(VLOOKUP($A57,MBasketball!$C:$J,E$1-2006,FALSE),0)+IFERROR(VLOOKUP($A57,MFootball!$C:$O,E$1-2011,FALSE),0)+IFERROR(VLOOKUP($A57,MIceHockey!$C:$P,E$1-2011,FALSE),0)+IFERROR(VLOOKUP($A57,MLacrosse!$C:$O,E$1-2011,FALSE),0)+IFERROR(VLOOKUP($A57,MSoccer!$C:$O,E$1-2011,FALSE),0)+IFERROR(VLOOKUP($A57,MVolleyball!$C:$O,E$1-2011,FALSE),0)+IFERROR(VLOOKUP($A57,WBasketball!$C:$O,E$1-2011,FALSE),0)+IFERROR(VLOOKUP($A57,WFieldHockey!$C:$O,E$1-2011,FALSE),0)+IFERROR(VLOOKUP($A57,WIceHockey!$C:$O,E$1-2011,FALSE),0)+IFERROR(VLOOKUP($A57,WLacrosse!$C:$O,E$1-2011,FALSE),0)+IFERROR(VLOOKUP($A57,WSoccer!$C:$O,E$1-2011,FALSE),0)+IFERROR(VLOOKUP($A57,WSoftball!$C:$O,E$1-2011,FALSE),0)+IFERROR(VLOOKUP($A57,WVolleyball!$C:$O,E$1-2011,FALSE),0)</f>
        <v>352899</v>
      </c>
      <c r="F57">
        <f>IFERROR(VLOOKUP($A57,MBaseball!$C:$N,F$1-2010,FALSE),0)+IFERROR(VLOOKUP($A57,MBasketball!$C:$J,F$1-2006,FALSE),0)+IFERROR(VLOOKUP($A57,MFootball!$C:$O,F$1-2011,FALSE),0)+IFERROR(VLOOKUP($A57,MIceHockey!$C:$P,F$1-2011,FALSE),0)+IFERROR(VLOOKUP($A57,MLacrosse!$C:$O,F$1-2011,FALSE),0)+IFERROR(VLOOKUP($A57,MSoccer!$C:$O,F$1-2011,FALSE),0)+IFERROR(VLOOKUP($A57,MVolleyball!$C:$O,F$1-2011,FALSE),0)+IFERROR(VLOOKUP($A57,WBasketball!$C:$O,F$1-2011,FALSE),0)+IFERROR(VLOOKUP($A57,WFieldHockey!$C:$O,F$1-2011,FALSE),0)+IFERROR(VLOOKUP($A57,WIceHockey!$C:$O,F$1-2011,FALSE),0)+IFERROR(VLOOKUP($A57,WLacrosse!$C:$O,F$1-2011,FALSE),0)+IFERROR(VLOOKUP($A57,WSoccer!$C:$O,F$1-2011,FALSE),0)+IFERROR(VLOOKUP($A57,WSoftball!$C:$O,F$1-2011,FALSE),0)+IFERROR(VLOOKUP($A57,WVolleyball!$C:$O,F$1-2011,FALSE),0)</f>
        <v>604849</v>
      </c>
      <c r="G57">
        <f>IFERROR(VLOOKUP($A57,MBaseball!$C:$N,G$1-2010,FALSE),0)+IFERROR(VLOOKUP($A57,MBasketball!$C:$J,G$1-2006,FALSE),0)+IFERROR(VLOOKUP($A57,MFootball!$C:$O,G$1-2011,FALSE),0)+IFERROR(VLOOKUP($A57,MIceHockey!$C:$P,G$1-2011,FALSE),0)+IFERROR(VLOOKUP($A57,MLacrosse!$C:$O,G$1-2011,FALSE),0)+IFERROR(VLOOKUP($A57,MSoccer!$C:$O,G$1-2011,FALSE),0)+IFERROR(VLOOKUP($A57,MVolleyball!$C:$O,G$1-2011,FALSE),0)+IFERROR(VLOOKUP($A57,WBasketball!$C:$O,G$1-2011,FALSE),0)+IFERROR(VLOOKUP($A57,WFieldHockey!$C:$O,G$1-2011,FALSE),0)+IFERROR(VLOOKUP($A57,WIceHockey!$C:$O,G$1-2011,FALSE),0)+IFERROR(VLOOKUP($A57,WLacrosse!$C:$O,G$1-2011,FALSE),0)+IFERROR(VLOOKUP($A57,WSoccer!$C:$O,G$1-2011,FALSE),0)+IFERROR(VLOOKUP($A57,WSoftball!$C:$O,G$1-2011,FALSE),0)+IFERROR(VLOOKUP($A57,WVolleyball!$C:$O,G$1-2011,FALSE),0)</f>
        <v>571703</v>
      </c>
      <c r="H57">
        <f>IFERROR(VLOOKUP($A57,MBaseball!$C:$N,H$1-2010,FALSE),0)+IFERROR(VLOOKUP($A57,MBasketball!$C:$J,H$1-2006,FALSE),0)+IFERROR(VLOOKUP($A57,MFootball!$C:$O,H$1-2011,FALSE),0)+IFERROR(VLOOKUP($A57,MIceHockey!$C:$P,H$1-2011,FALSE),0)+IFERROR(VLOOKUP($A57,MLacrosse!$C:$O,H$1-2011,FALSE),0)+IFERROR(VLOOKUP($A57,MSoccer!$C:$O,H$1-2011,FALSE),0)+IFERROR(VLOOKUP($A57,MVolleyball!$C:$O,H$1-2011,FALSE),0)+IFERROR(VLOOKUP($A57,WBasketball!$C:$O,H$1-2011,FALSE),0)+IFERROR(VLOOKUP($A57,WFieldHockey!$C:$O,H$1-2011,FALSE),0)+IFERROR(VLOOKUP($A57,WIceHockey!$C:$O,H$1-2011,FALSE),0)+IFERROR(VLOOKUP($A57,WLacrosse!$C:$O,H$1-2011,FALSE),0)+IFERROR(VLOOKUP($A57,WSoccer!$C:$O,H$1-2011,FALSE),0)+IFERROR(VLOOKUP($A57,WSoftball!$C:$O,H$1-2011,FALSE),0)+IFERROR(VLOOKUP($A57,WVolleyball!$C:$O,H$1-2011,FALSE),0)</f>
        <v>646661</v>
      </c>
      <c r="I57">
        <f>IFERROR(VLOOKUP($A57,MBaseball!$C:$N,I$1-2010,FALSE),0)+IFERROR(VLOOKUP($A57,MBasketball!$C:$J,I$1-2006,FALSE),0)+IFERROR(VLOOKUP($A57,MFootball!$C:$O,I$1-2011,FALSE),0)+IFERROR(VLOOKUP($A57,MIceHockey!$C:$P,I$1-2011,FALSE),0)+IFERROR(VLOOKUP($A57,MLacrosse!$C:$O,I$1-2011,FALSE),0)+IFERROR(VLOOKUP($A57,MSoccer!$C:$O,I$1-2011,FALSE),0)+IFERROR(VLOOKUP($A57,MVolleyball!$C:$O,I$1-2011,FALSE),0)+IFERROR(VLOOKUP($A57,WBasketball!$C:$O,I$1-2011,FALSE),0)+IFERROR(VLOOKUP($A57,WFieldHockey!$C:$O,I$1-2011,FALSE),0)+IFERROR(VLOOKUP($A57,WIceHockey!$C:$O,I$1-2011,FALSE),0)+IFERROR(VLOOKUP($A57,WLacrosse!$C:$O,I$1-2011,FALSE),0)+IFERROR(VLOOKUP($A57,WSoccer!$C:$O,I$1-2011,FALSE),0)+IFERROR(VLOOKUP($A57,WSoftball!$C:$O,I$1-2011,FALSE),0)+IFERROR(VLOOKUP($A57,WVolleyball!$C:$O,I$1-2011,FALSE),0)</f>
        <v>621390</v>
      </c>
      <c r="J57">
        <f>IFERROR(VLOOKUP($A57,MBaseball!$C:$N,J$1-2010,FALSE),0)+IFERROR(VLOOKUP($A57,MBasketball!$C:$J,J$1-2006,FALSE),0)+IFERROR(VLOOKUP($A57,MFootball!$C:$O,J$1-2011,FALSE),0)+IFERROR(VLOOKUP($A57,MIceHockey!$C:$P,J$1-2011,FALSE),0)+IFERROR(VLOOKUP($A57,MLacrosse!$C:$O,J$1-2011,FALSE),0)+IFERROR(VLOOKUP($A57,MSoccer!$C:$O,J$1-2011,FALSE),0)+IFERROR(VLOOKUP($A57,MVolleyball!$C:$O,J$1-2011,FALSE),0)+IFERROR(VLOOKUP($A57,WBasketball!$C:$O,J$1-2011,FALSE),0)+IFERROR(VLOOKUP($A57,WFieldHockey!$C:$O,J$1-2011,FALSE),0)+IFERROR(VLOOKUP($A57,WIceHockey!$C:$O,J$1-2011,FALSE),0)+IFERROR(VLOOKUP($A57,WLacrosse!$C:$O,J$1-2011,FALSE),0)+IFERROR(VLOOKUP($A57,WSoccer!$C:$O,J$1-2011,FALSE),0)+IFERROR(VLOOKUP($A57,WSoftball!$C:$O,J$1-2011,FALSE),0)+IFERROR(VLOOKUP($A57,WVolleyball!$C:$O,J$1-2011,FALSE),0)</f>
        <v>630826</v>
      </c>
      <c r="K57">
        <f>IFERROR(VLOOKUP($A57,MBaseball!$C:$N,K$1-2010,FALSE),0)+IFERROR(VLOOKUP($A57,MBasketball!$C:$J,K$1-2006,FALSE),0)+IFERROR(VLOOKUP($A57,MFootball!$C:$O,K$1-2011,FALSE),0)+IFERROR(VLOOKUP($A57,MIceHockey!$C:$P,K$1-2011,FALSE),0)+IFERROR(VLOOKUP($A57,MLacrosse!$C:$O,K$1-2011,FALSE),0)+IFERROR(VLOOKUP($A57,MSoccer!$C:$O,K$1-2011,FALSE),0)+IFERROR(VLOOKUP($A57,MVolleyball!$C:$O,K$1-2011,FALSE),0)+IFERROR(VLOOKUP($A57,WBasketball!$C:$O,K$1-2011,FALSE),0)+IFERROR(VLOOKUP($A57,WFieldHockey!$C:$O,K$1-2011,FALSE),0)+IFERROR(VLOOKUP($A57,WIceHockey!$C:$O,K$1-2011,FALSE),0)+IFERROR(VLOOKUP($A57,WLacrosse!$C:$O,K$1-2011,FALSE),0)+IFERROR(VLOOKUP($A57,WSoccer!$C:$O,K$1-2011,FALSE),0)+IFERROR(VLOOKUP($A57,WSoftball!$C:$O,K$1-2011,FALSE),0)+IFERROR(VLOOKUP($A57,WVolleyball!$C:$O,K$1-2011,FALSE),0)</f>
        <v>605466</v>
      </c>
      <c r="L57">
        <f>IFERROR(VLOOKUP($A57,MBaseball!$C:$N,L$1-2010,FALSE),0)+IFERROR(VLOOKUP($A57,MBasketball!$C:$J,L$1-2006,FALSE),0)+IFERROR(VLOOKUP($A57,MFootball!$C:$O,L$1-2011,FALSE),0)+IFERROR(VLOOKUP($A57,MIceHockey!$C:$P,L$1-2011,FALSE),0)+IFERROR(VLOOKUP($A57,MLacrosse!$C:$O,L$1-2011,FALSE),0)+IFERROR(VLOOKUP($A57,MSoccer!$C:$O,L$1-2011,FALSE),0)+IFERROR(VLOOKUP($A57,MVolleyball!$C:$O,L$1-2011,FALSE),0)+IFERROR(VLOOKUP($A57,WBasketball!$C:$O,L$1-2011,FALSE),0)+IFERROR(VLOOKUP($A57,WFieldHockey!$C:$O,L$1-2011,FALSE),0)+IFERROR(VLOOKUP($A57,WIceHockey!$C:$O,L$1-2011,FALSE),0)+IFERROR(VLOOKUP($A57,WLacrosse!$C:$O,L$1-2011,FALSE),0)+IFERROR(VLOOKUP($A57,WSoccer!$C:$O,L$1-2011,FALSE),0)+IFERROR(VLOOKUP($A57,WSoftball!$C:$O,L$1-2011,FALSE),0)+IFERROR(VLOOKUP($A57,WVolleyball!$C:$O,L$1-2011,FALSE),0)</f>
        <v>40101</v>
      </c>
      <c r="M57">
        <f>IFERROR(VLOOKUP($A57,MBaseball!$C:$N,M$1-2010,FALSE),0)+IFERROR(VLOOKUP($A57,MBasketball!$C:$J,M$1-2006,FALSE),0)+IFERROR(VLOOKUP($A57,MFootball!$C:$O,M$1-2011,FALSE),0)+IFERROR(VLOOKUP($A57,MIceHockey!$C:$P,M$1-2011,FALSE),0)+IFERROR(VLOOKUP($A57,MLacrosse!$C:$O,M$1-2011,FALSE),0)+IFERROR(VLOOKUP($A57,MSoccer!$C:$O,M$1-2011,FALSE),0)+IFERROR(VLOOKUP($A57,MVolleyball!$C:$O,M$1-2011,FALSE),0)+IFERROR(VLOOKUP($A57,WBasketball!$C:$O,M$1-2011,FALSE),0)+IFERROR(VLOOKUP($A57,WFieldHockey!$C:$O,M$1-2011,FALSE),0)+IFERROR(VLOOKUP($A57,WIceHockey!$C:$O,M$1-2011,FALSE),0)+IFERROR(VLOOKUP($A57,WLacrosse!$C:$O,M$1-2011,FALSE),0)+IFERROR(VLOOKUP($A57,WSoccer!$C:$O,M$1-2011,FALSE),0)+IFERROR(VLOOKUP($A57,WSoftball!$C:$O,M$1-2011,FALSE),0)+IFERROR(VLOOKUP($A57,WVolleyball!$C:$O,M$1-2011,FALSE),0)</f>
        <v>664183</v>
      </c>
      <c r="N57">
        <f>IFERROR(VLOOKUP($A57,MBaseball!$C:$N,N$1-2010,FALSE),0)+IFERROR(VLOOKUP($A57,MBasketball!$C:$J,N$1-2006,FALSE),0)+IFERROR(VLOOKUP($A57,MFootball!$C:$O,N$1-2011,FALSE),0)+IFERROR(VLOOKUP($A57,MIceHockey!$C:$P,N$1-2011,FALSE),0)+IFERROR(VLOOKUP($A57,MLacrosse!$C:$O,N$1-2011,FALSE),0)+IFERROR(VLOOKUP($A57,MSoccer!$C:$O,N$1-2011,FALSE),0)+IFERROR(VLOOKUP($A57,MVolleyball!$C:$O,N$1-2011,FALSE),0)+IFERROR(VLOOKUP($A57,WBasketball!$C:$O,N$1-2011,FALSE),0)+IFERROR(VLOOKUP($A57,WFieldHockey!$C:$O,N$1-2011,FALSE),0)+IFERROR(VLOOKUP($A57,WIceHockey!$C:$O,N$1-2011,FALSE),0)+IFERROR(VLOOKUP($A57,WLacrosse!$C:$O,N$1-2011,FALSE),0)+IFERROR(VLOOKUP($A57,WSoccer!$C:$O,N$1-2011,FALSE),0)+IFERROR(VLOOKUP($A57,WSoftball!$C:$O,N$1-2011,FALSE),0)+IFERROR(VLOOKUP($A57,WVolleyball!$C:$O,N$1-2011,FALSE),0)</f>
        <v>721194</v>
      </c>
    </row>
    <row r="58" spans="1:14" x14ac:dyDescent="0.2">
      <c r="A58">
        <v>153603</v>
      </c>
      <c r="B58">
        <v>11180</v>
      </c>
      <c r="C58" t="s">
        <v>107</v>
      </c>
      <c r="D58">
        <v>57</v>
      </c>
      <c r="E58">
        <f>IFERROR(VLOOKUP($A58,MBaseball!$C:$N,E$1-2010,FALSE),0)+IFERROR(VLOOKUP($A58,MBasketball!$C:$J,E$1-2006,FALSE),0)+IFERROR(VLOOKUP($A58,MFootball!$C:$O,E$1-2011,FALSE),0)+IFERROR(VLOOKUP($A58,MIceHockey!$C:$P,E$1-2011,FALSE),0)+IFERROR(VLOOKUP($A58,MLacrosse!$C:$O,E$1-2011,FALSE),0)+IFERROR(VLOOKUP($A58,MSoccer!$C:$O,E$1-2011,FALSE),0)+IFERROR(VLOOKUP($A58,MVolleyball!$C:$O,E$1-2011,FALSE),0)+IFERROR(VLOOKUP($A58,WBasketball!$C:$O,E$1-2011,FALSE),0)+IFERROR(VLOOKUP($A58,WFieldHockey!$C:$O,E$1-2011,FALSE),0)+IFERROR(VLOOKUP($A58,WIceHockey!$C:$O,E$1-2011,FALSE),0)+IFERROR(VLOOKUP($A58,WLacrosse!$C:$O,E$1-2011,FALSE),0)+IFERROR(VLOOKUP($A58,WSoccer!$C:$O,E$1-2011,FALSE),0)+IFERROR(VLOOKUP($A58,WSoftball!$C:$O,E$1-2011,FALSE),0)+IFERROR(VLOOKUP($A58,WVolleyball!$C:$O,E$1-2011,FALSE),0)</f>
        <v>430226</v>
      </c>
      <c r="F58">
        <f>IFERROR(VLOOKUP($A58,MBaseball!$C:$N,F$1-2010,FALSE),0)+IFERROR(VLOOKUP($A58,MBasketball!$C:$J,F$1-2006,FALSE),0)+IFERROR(VLOOKUP($A58,MFootball!$C:$O,F$1-2011,FALSE),0)+IFERROR(VLOOKUP($A58,MIceHockey!$C:$P,F$1-2011,FALSE),0)+IFERROR(VLOOKUP($A58,MLacrosse!$C:$O,F$1-2011,FALSE),0)+IFERROR(VLOOKUP($A58,MSoccer!$C:$O,F$1-2011,FALSE),0)+IFERROR(VLOOKUP($A58,MVolleyball!$C:$O,F$1-2011,FALSE),0)+IFERROR(VLOOKUP($A58,WBasketball!$C:$O,F$1-2011,FALSE),0)+IFERROR(VLOOKUP($A58,WFieldHockey!$C:$O,F$1-2011,FALSE),0)+IFERROR(VLOOKUP($A58,WIceHockey!$C:$O,F$1-2011,FALSE),0)+IFERROR(VLOOKUP($A58,WLacrosse!$C:$O,F$1-2011,FALSE),0)+IFERROR(VLOOKUP($A58,WSoccer!$C:$O,F$1-2011,FALSE),0)+IFERROR(VLOOKUP($A58,WSoftball!$C:$O,F$1-2011,FALSE),0)+IFERROR(VLOOKUP($A58,WVolleyball!$C:$O,F$1-2011,FALSE),0)</f>
        <v>563849</v>
      </c>
      <c r="G58">
        <f>IFERROR(VLOOKUP($A58,MBaseball!$C:$N,G$1-2010,FALSE),0)+IFERROR(VLOOKUP($A58,MBasketball!$C:$J,G$1-2006,FALSE),0)+IFERROR(VLOOKUP($A58,MFootball!$C:$O,G$1-2011,FALSE),0)+IFERROR(VLOOKUP($A58,MIceHockey!$C:$P,G$1-2011,FALSE),0)+IFERROR(VLOOKUP($A58,MLacrosse!$C:$O,G$1-2011,FALSE),0)+IFERROR(VLOOKUP($A58,MSoccer!$C:$O,G$1-2011,FALSE),0)+IFERROR(VLOOKUP($A58,MVolleyball!$C:$O,G$1-2011,FALSE),0)+IFERROR(VLOOKUP($A58,WBasketball!$C:$O,G$1-2011,FALSE),0)+IFERROR(VLOOKUP($A58,WFieldHockey!$C:$O,G$1-2011,FALSE),0)+IFERROR(VLOOKUP($A58,WIceHockey!$C:$O,G$1-2011,FALSE),0)+IFERROR(VLOOKUP($A58,WLacrosse!$C:$O,G$1-2011,FALSE),0)+IFERROR(VLOOKUP($A58,WSoccer!$C:$O,G$1-2011,FALSE),0)+IFERROR(VLOOKUP($A58,WSoftball!$C:$O,G$1-2011,FALSE),0)+IFERROR(VLOOKUP($A58,WVolleyball!$C:$O,G$1-2011,FALSE),0)</f>
        <v>529252</v>
      </c>
      <c r="H58">
        <f>IFERROR(VLOOKUP($A58,MBaseball!$C:$N,H$1-2010,FALSE),0)+IFERROR(VLOOKUP($A58,MBasketball!$C:$J,H$1-2006,FALSE),0)+IFERROR(VLOOKUP($A58,MFootball!$C:$O,H$1-2011,FALSE),0)+IFERROR(VLOOKUP($A58,MIceHockey!$C:$P,H$1-2011,FALSE),0)+IFERROR(VLOOKUP($A58,MLacrosse!$C:$O,H$1-2011,FALSE),0)+IFERROR(VLOOKUP($A58,MSoccer!$C:$O,H$1-2011,FALSE),0)+IFERROR(VLOOKUP($A58,MVolleyball!$C:$O,H$1-2011,FALSE),0)+IFERROR(VLOOKUP($A58,WBasketball!$C:$O,H$1-2011,FALSE),0)+IFERROR(VLOOKUP($A58,WFieldHockey!$C:$O,H$1-2011,FALSE),0)+IFERROR(VLOOKUP($A58,WIceHockey!$C:$O,H$1-2011,FALSE),0)+IFERROR(VLOOKUP($A58,WLacrosse!$C:$O,H$1-2011,FALSE),0)+IFERROR(VLOOKUP($A58,WSoccer!$C:$O,H$1-2011,FALSE),0)+IFERROR(VLOOKUP($A58,WSoftball!$C:$O,H$1-2011,FALSE),0)+IFERROR(VLOOKUP($A58,WVolleyball!$C:$O,H$1-2011,FALSE),0)</f>
        <v>579384</v>
      </c>
      <c r="I58">
        <f>IFERROR(VLOOKUP($A58,MBaseball!$C:$N,I$1-2010,FALSE),0)+IFERROR(VLOOKUP($A58,MBasketball!$C:$J,I$1-2006,FALSE),0)+IFERROR(VLOOKUP($A58,MFootball!$C:$O,I$1-2011,FALSE),0)+IFERROR(VLOOKUP($A58,MIceHockey!$C:$P,I$1-2011,FALSE),0)+IFERROR(VLOOKUP($A58,MLacrosse!$C:$O,I$1-2011,FALSE),0)+IFERROR(VLOOKUP($A58,MSoccer!$C:$O,I$1-2011,FALSE),0)+IFERROR(VLOOKUP($A58,MVolleyball!$C:$O,I$1-2011,FALSE),0)+IFERROR(VLOOKUP($A58,WBasketball!$C:$O,I$1-2011,FALSE),0)+IFERROR(VLOOKUP($A58,WFieldHockey!$C:$O,I$1-2011,FALSE),0)+IFERROR(VLOOKUP($A58,WIceHockey!$C:$O,I$1-2011,FALSE),0)+IFERROR(VLOOKUP($A58,WLacrosse!$C:$O,I$1-2011,FALSE),0)+IFERROR(VLOOKUP($A58,WSoccer!$C:$O,I$1-2011,FALSE),0)+IFERROR(VLOOKUP($A58,WSoftball!$C:$O,I$1-2011,FALSE),0)+IFERROR(VLOOKUP($A58,WVolleyball!$C:$O,I$1-2011,FALSE),0)</f>
        <v>540087</v>
      </c>
      <c r="J58">
        <f>IFERROR(VLOOKUP($A58,MBaseball!$C:$N,J$1-2010,FALSE),0)+IFERROR(VLOOKUP($A58,MBasketball!$C:$J,J$1-2006,FALSE),0)+IFERROR(VLOOKUP($A58,MFootball!$C:$O,J$1-2011,FALSE),0)+IFERROR(VLOOKUP($A58,MIceHockey!$C:$P,J$1-2011,FALSE),0)+IFERROR(VLOOKUP($A58,MLacrosse!$C:$O,J$1-2011,FALSE),0)+IFERROR(VLOOKUP($A58,MSoccer!$C:$O,J$1-2011,FALSE),0)+IFERROR(VLOOKUP($A58,MVolleyball!$C:$O,J$1-2011,FALSE),0)+IFERROR(VLOOKUP($A58,WBasketball!$C:$O,J$1-2011,FALSE),0)+IFERROR(VLOOKUP($A58,WFieldHockey!$C:$O,J$1-2011,FALSE),0)+IFERROR(VLOOKUP($A58,WIceHockey!$C:$O,J$1-2011,FALSE),0)+IFERROR(VLOOKUP($A58,WLacrosse!$C:$O,J$1-2011,FALSE),0)+IFERROR(VLOOKUP($A58,WSoccer!$C:$O,J$1-2011,FALSE),0)+IFERROR(VLOOKUP($A58,WSoftball!$C:$O,J$1-2011,FALSE),0)+IFERROR(VLOOKUP($A58,WVolleyball!$C:$O,J$1-2011,FALSE),0)</f>
        <v>632746</v>
      </c>
      <c r="K58">
        <f>IFERROR(VLOOKUP($A58,MBaseball!$C:$N,K$1-2010,FALSE),0)+IFERROR(VLOOKUP($A58,MBasketball!$C:$J,K$1-2006,FALSE),0)+IFERROR(VLOOKUP($A58,MFootball!$C:$O,K$1-2011,FALSE),0)+IFERROR(VLOOKUP($A58,MIceHockey!$C:$P,K$1-2011,FALSE),0)+IFERROR(VLOOKUP($A58,MLacrosse!$C:$O,K$1-2011,FALSE),0)+IFERROR(VLOOKUP($A58,MSoccer!$C:$O,K$1-2011,FALSE),0)+IFERROR(VLOOKUP($A58,MVolleyball!$C:$O,K$1-2011,FALSE),0)+IFERROR(VLOOKUP($A58,WBasketball!$C:$O,K$1-2011,FALSE),0)+IFERROR(VLOOKUP($A58,WFieldHockey!$C:$O,K$1-2011,FALSE),0)+IFERROR(VLOOKUP($A58,WIceHockey!$C:$O,K$1-2011,FALSE),0)+IFERROR(VLOOKUP($A58,WLacrosse!$C:$O,K$1-2011,FALSE),0)+IFERROR(VLOOKUP($A58,WSoccer!$C:$O,K$1-2011,FALSE),0)+IFERROR(VLOOKUP($A58,WSoftball!$C:$O,K$1-2011,FALSE),0)+IFERROR(VLOOKUP($A58,WVolleyball!$C:$O,K$1-2011,FALSE),0)</f>
        <v>612504</v>
      </c>
      <c r="L58">
        <f>IFERROR(VLOOKUP($A58,MBaseball!$C:$N,L$1-2010,FALSE),0)+IFERROR(VLOOKUP($A58,MBasketball!$C:$J,L$1-2006,FALSE),0)+IFERROR(VLOOKUP($A58,MFootball!$C:$O,L$1-2011,FALSE),0)+IFERROR(VLOOKUP($A58,MIceHockey!$C:$P,L$1-2011,FALSE),0)+IFERROR(VLOOKUP($A58,MLacrosse!$C:$O,L$1-2011,FALSE),0)+IFERROR(VLOOKUP($A58,MSoccer!$C:$O,L$1-2011,FALSE),0)+IFERROR(VLOOKUP($A58,MVolleyball!$C:$O,L$1-2011,FALSE),0)+IFERROR(VLOOKUP($A58,WBasketball!$C:$O,L$1-2011,FALSE),0)+IFERROR(VLOOKUP($A58,WFieldHockey!$C:$O,L$1-2011,FALSE),0)+IFERROR(VLOOKUP($A58,WIceHockey!$C:$O,L$1-2011,FALSE),0)+IFERROR(VLOOKUP($A58,WLacrosse!$C:$O,L$1-2011,FALSE),0)+IFERROR(VLOOKUP($A58,WSoccer!$C:$O,L$1-2011,FALSE),0)+IFERROR(VLOOKUP($A58,WSoftball!$C:$O,L$1-2011,FALSE),0)+IFERROR(VLOOKUP($A58,WVolleyball!$C:$O,L$1-2011,FALSE),0)</f>
        <v>69284</v>
      </c>
      <c r="M58">
        <f>IFERROR(VLOOKUP($A58,MBaseball!$C:$N,M$1-2010,FALSE),0)+IFERROR(VLOOKUP($A58,MBasketball!$C:$J,M$1-2006,FALSE),0)+IFERROR(VLOOKUP($A58,MFootball!$C:$O,M$1-2011,FALSE),0)+IFERROR(VLOOKUP($A58,MIceHockey!$C:$P,M$1-2011,FALSE),0)+IFERROR(VLOOKUP($A58,MLacrosse!$C:$O,M$1-2011,FALSE),0)+IFERROR(VLOOKUP($A58,MSoccer!$C:$O,M$1-2011,FALSE),0)+IFERROR(VLOOKUP($A58,MVolleyball!$C:$O,M$1-2011,FALSE),0)+IFERROR(VLOOKUP($A58,WBasketball!$C:$O,M$1-2011,FALSE),0)+IFERROR(VLOOKUP($A58,WFieldHockey!$C:$O,M$1-2011,FALSE),0)+IFERROR(VLOOKUP($A58,WIceHockey!$C:$O,M$1-2011,FALSE),0)+IFERROR(VLOOKUP($A58,WLacrosse!$C:$O,M$1-2011,FALSE),0)+IFERROR(VLOOKUP($A58,WSoccer!$C:$O,M$1-2011,FALSE),0)+IFERROR(VLOOKUP($A58,WSoftball!$C:$O,M$1-2011,FALSE),0)+IFERROR(VLOOKUP($A58,WVolleyball!$C:$O,M$1-2011,FALSE),0)</f>
        <v>564525</v>
      </c>
      <c r="N58">
        <f>IFERROR(VLOOKUP($A58,MBaseball!$C:$N,N$1-2010,FALSE),0)+IFERROR(VLOOKUP($A58,MBasketball!$C:$J,N$1-2006,FALSE),0)+IFERROR(VLOOKUP($A58,MFootball!$C:$O,N$1-2011,FALSE),0)+IFERROR(VLOOKUP($A58,MIceHockey!$C:$P,N$1-2011,FALSE),0)+IFERROR(VLOOKUP($A58,MLacrosse!$C:$O,N$1-2011,FALSE),0)+IFERROR(VLOOKUP($A58,MSoccer!$C:$O,N$1-2011,FALSE),0)+IFERROR(VLOOKUP($A58,MVolleyball!$C:$O,N$1-2011,FALSE),0)+IFERROR(VLOOKUP($A58,WBasketball!$C:$O,N$1-2011,FALSE),0)+IFERROR(VLOOKUP($A58,WFieldHockey!$C:$O,N$1-2011,FALSE),0)+IFERROR(VLOOKUP($A58,WIceHockey!$C:$O,N$1-2011,FALSE),0)+IFERROR(VLOOKUP($A58,WLacrosse!$C:$O,N$1-2011,FALSE),0)+IFERROR(VLOOKUP($A58,WSoccer!$C:$O,N$1-2011,FALSE),0)+IFERROR(VLOOKUP($A58,WSoftball!$C:$O,N$1-2011,FALSE),0)+IFERROR(VLOOKUP($A58,WVolleyball!$C:$O,N$1-2011,FALSE),0)</f>
        <v>598158</v>
      </c>
    </row>
    <row r="59" spans="1:14" x14ac:dyDescent="0.2">
      <c r="A59">
        <v>151111</v>
      </c>
      <c r="B59">
        <v>26900</v>
      </c>
      <c r="C59" t="s">
        <v>108</v>
      </c>
      <c r="D59">
        <v>58</v>
      </c>
      <c r="E59">
        <f>IFERROR(VLOOKUP($A59,MBaseball!$C:$N,E$1-2010,FALSE),0)+IFERROR(VLOOKUP($A59,MBasketball!$C:$J,E$1-2006,FALSE),0)+IFERROR(VLOOKUP($A59,MFootball!$C:$O,E$1-2011,FALSE),0)+IFERROR(VLOOKUP($A59,MIceHockey!$C:$P,E$1-2011,FALSE),0)+IFERROR(VLOOKUP($A59,MLacrosse!$C:$O,E$1-2011,FALSE),0)+IFERROR(VLOOKUP($A59,MSoccer!$C:$O,E$1-2011,FALSE),0)+IFERROR(VLOOKUP($A59,MVolleyball!$C:$O,E$1-2011,FALSE),0)+IFERROR(VLOOKUP($A59,WBasketball!$C:$O,E$1-2011,FALSE),0)+IFERROR(VLOOKUP($A59,WFieldHockey!$C:$O,E$1-2011,FALSE),0)+IFERROR(VLOOKUP($A59,WIceHockey!$C:$O,E$1-2011,FALSE),0)+IFERROR(VLOOKUP($A59,WLacrosse!$C:$O,E$1-2011,FALSE),0)+IFERROR(VLOOKUP($A59,WSoccer!$C:$O,E$1-2011,FALSE),0)+IFERROR(VLOOKUP($A59,WSoftball!$C:$O,E$1-2011,FALSE),0)+IFERROR(VLOOKUP($A59,WVolleyball!$C:$O,E$1-2011,FALSE),0)</f>
        <v>38373</v>
      </c>
      <c r="F59">
        <f>IFERROR(VLOOKUP($A59,MBaseball!$C:$N,F$1-2010,FALSE),0)+IFERROR(VLOOKUP($A59,MBasketball!$C:$J,F$1-2006,FALSE),0)+IFERROR(VLOOKUP($A59,MFootball!$C:$O,F$1-2011,FALSE),0)+IFERROR(VLOOKUP($A59,MIceHockey!$C:$P,F$1-2011,FALSE),0)+IFERROR(VLOOKUP($A59,MLacrosse!$C:$O,F$1-2011,FALSE),0)+IFERROR(VLOOKUP($A59,MSoccer!$C:$O,F$1-2011,FALSE),0)+IFERROR(VLOOKUP($A59,MVolleyball!$C:$O,F$1-2011,FALSE),0)+IFERROR(VLOOKUP($A59,WBasketball!$C:$O,F$1-2011,FALSE),0)+IFERROR(VLOOKUP($A59,WFieldHockey!$C:$O,F$1-2011,FALSE),0)+IFERROR(VLOOKUP($A59,WIceHockey!$C:$O,F$1-2011,FALSE),0)+IFERROR(VLOOKUP($A59,WLacrosse!$C:$O,F$1-2011,FALSE),0)+IFERROR(VLOOKUP($A59,WSoccer!$C:$O,F$1-2011,FALSE),0)+IFERROR(VLOOKUP($A59,WSoftball!$C:$O,F$1-2011,FALSE),0)+IFERROR(VLOOKUP($A59,WVolleyball!$C:$O,F$1-2011,FALSE),0)</f>
        <v>19858</v>
      </c>
      <c r="G59">
        <f>IFERROR(VLOOKUP($A59,MBaseball!$C:$N,G$1-2010,FALSE),0)+IFERROR(VLOOKUP($A59,MBasketball!$C:$J,G$1-2006,FALSE),0)+IFERROR(VLOOKUP($A59,MFootball!$C:$O,G$1-2011,FALSE),0)+IFERROR(VLOOKUP($A59,MIceHockey!$C:$P,G$1-2011,FALSE),0)+IFERROR(VLOOKUP($A59,MLacrosse!$C:$O,G$1-2011,FALSE),0)+IFERROR(VLOOKUP($A59,MSoccer!$C:$O,G$1-2011,FALSE),0)+IFERROR(VLOOKUP($A59,MVolleyball!$C:$O,G$1-2011,FALSE),0)+IFERROR(VLOOKUP($A59,WBasketball!$C:$O,G$1-2011,FALSE),0)+IFERROR(VLOOKUP($A59,WFieldHockey!$C:$O,G$1-2011,FALSE),0)+IFERROR(VLOOKUP($A59,WIceHockey!$C:$O,G$1-2011,FALSE),0)+IFERROR(VLOOKUP($A59,WLacrosse!$C:$O,G$1-2011,FALSE),0)+IFERROR(VLOOKUP($A59,WSoccer!$C:$O,G$1-2011,FALSE),0)+IFERROR(VLOOKUP($A59,WSoftball!$C:$O,G$1-2011,FALSE),0)+IFERROR(VLOOKUP($A59,WVolleyball!$C:$O,G$1-2011,FALSE),0)</f>
        <v>17939</v>
      </c>
      <c r="H59">
        <f>IFERROR(VLOOKUP($A59,MBaseball!$C:$N,H$1-2010,FALSE),0)+IFERROR(VLOOKUP($A59,MBasketball!$C:$J,H$1-2006,FALSE),0)+IFERROR(VLOOKUP($A59,MFootball!$C:$O,H$1-2011,FALSE),0)+IFERROR(VLOOKUP($A59,MIceHockey!$C:$P,H$1-2011,FALSE),0)+IFERROR(VLOOKUP($A59,MLacrosse!$C:$O,H$1-2011,FALSE),0)+IFERROR(VLOOKUP($A59,MSoccer!$C:$O,H$1-2011,FALSE),0)+IFERROR(VLOOKUP($A59,MVolleyball!$C:$O,H$1-2011,FALSE),0)+IFERROR(VLOOKUP($A59,WBasketball!$C:$O,H$1-2011,FALSE),0)+IFERROR(VLOOKUP($A59,WFieldHockey!$C:$O,H$1-2011,FALSE),0)+IFERROR(VLOOKUP($A59,WIceHockey!$C:$O,H$1-2011,FALSE),0)+IFERROR(VLOOKUP($A59,WLacrosse!$C:$O,H$1-2011,FALSE),0)+IFERROR(VLOOKUP($A59,WSoccer!$C:$O,H$1-2011,FALSE),0)+IFERROR(VLOOKUP($A59,WSoftball!$C:$O,H$1-2011,FALSE),0)+IFERROR(VLOOKUP($A59,WVolleyball!$C:$O,H$1-2011,FALSE),0)</f>
        <v>15263</v>
      </c>
      <c r="I59">
        <f>IFERROR(VLOOKUP($A59,MBaseball!$C:$N,I$1-2010,FALSE),0)+IFERROR(VLOOKUP($A59,MBasketball!$C:$J,I$1-2006,FALSE),0)+IFERROR(VLOOKUP($A59,MFootball!$C:$O,I$1-2011,FALSE),0)+IFERROR(VLOOKUP($A59,MIceHockey!$C:$P,I$1-2011,FALSE),0)+IFERROR(VLOOKUP($A59,MLacrosse!$C:$O,I$1-2011,FALSE),0)+IFERROR(VLOOKUP($A59,MSoccer!$C:$O,I$1-2011,FALSE),0)+IFERROR(VLOOKUP($A59,MVolleyball!$C:$O,I$1-2011,FALSE),0)+IFERROR(VLOOKUP($A59,WBasketball!$C:$O,I$1-2011,FALSE),0)+IFERROR(VLOOKUP($A59,WFieldHockey!$C:$O,I$1-2011,FALSE),0)+IFERROR(VLOOKUP($A59,WIceHockey!$C:$O,I$1-2011,FALSE),0)+IFERROR(VLOOKUP($A59,WLacrosse!$C:$O,I$1-2011,FALSE),0)+IFERROR(VLOOKUP($A59,WSoccer!$C:$O,I$1-2011,FALSE),0)+IFERROR(VLOOKUP($A59,WSoftball!$C:$O,I$1-2011,FALSE),0)+IFERROR(VLOOKUP($A59,WVolleyball!$C:$O,I$1-2011,FALSE),0)</f>
        <v>16857</v>
      </c>
      <c r="J59">
        <f>IFERROR(VLOOKUP($A59,MBaseball!$C:$N,J$1-2010,FALSE),0)+IFERROR(VLOOKUP($A59,MBasketball!$C:$J,J$1-2006,FALSE),0)+IFERROR(VLOOKUP($A59,MFootball!$C:$O,J$1-2011,FALSE),0)+IFERROR(VLOOKUP($A59,MIceHockey!$C:$P,J$1-2011,FALSE),0)+IFERROR(VLOOKUP($A59,MLacrosse!$C:$O,J$1-2011,FALSE),0)+IFERROR(VLOOKUP($A59,MSoccer!$C:$O,J$1-2011,FALSE),0)+IFERROR(VLOOKUP($A59,MVolleyball!$C:$O,J$1-2011,FALSE),0)+IFERROR(VLOOKUP($A59,WBasketball!$C:$O,J$1-2011,FALSE),0)+IFERROR(VLOOKUP($A59,WFieldHockey!$C:$O,J$1-2011,FALSE),0)+IFERROR(VLOOKUP($A59,WIceHockey!$C:$O,J$1-2011,FALSE),0)+IFERROR(VLOOKUP($A59,WLacrosse!$C:$O,J$1-2011,FALSE),0)+IFERROR(VLOOKUP($A59,WSoccer!$C:$O,J$1-2011,FALSE),0)+IFERROR(VLOOKUP($A59,WSoftball!$C:$O,J$1-2011,FALSE),0)+IFERROR(VLOOKUP($A59,WVolleyball!$C:$O,J$1-2011,FALSE),0)</f>
        <v>14091</v>
      </c>
      <c r="K59">
        <f>IFERROR(VLOOKUP($A59,MBaseball!$C:$N,K$1-2010,FALSE),0)+IFERROR(VLOOKUP($A59,MBasketball!$C:$J,K$1-2006,FALSE),0)+IFERROR(VLOOKUP($A59,MFootball!$C:$O,K$1-2011,FALSE),0)+IFERROR(VLOOKUP($A59,MIceHockey!$C:$P,K$1-2011,FALSE),0)+IFERROR(VLOOKUP($A59,MLacrosse!$C:$O,K$1-2011,FALSE),0)+IFERROR(VLOOKUP($A59,MSoccer!$C:$O,K$1-2011,FALSE),0)+IFERROR(VLOOKUP($A59,MVolleyball!$C:$O,K$1-2011,FALSE),0)+IFERROR(VLOOKUP($A59,WBasketball!$C:$O,K$1-2011,FALSE),0)+IFERROR(VLOOKUP($A59,WFieldHockey!$C:$O,K$1-2011,FALSE),0)+IFERROR(VLOOKUP($A59,WIceHockey!$C:$O,K$1-2011,FALSE),0)+IFERROR(VLOOKUP($A59,WLacrosse!$C:$O,K$1-2011,FALSE),0)+IFERROR(VLOOKUP($A59,WSoccer!$C:$O,K$1-2011,FALSE),0)+IFERROR(VLOOKUP($A59,WSoftball!$C:$O,K$1-2011,FALSE),0)+IFERROR(VLOOKUP($A59,WVolleyball!$C:$O,K$1-2011,FALSE),0)</f>
        <v>12020</v>
      </c>
      <c r="L59">
        <f>IFERROR(VLOOKUP($A59,MBaseball!$C:$N,L$1-2010,FALSE),0)+IFERROR(VLOOKUP($A59,MBasketball!$C:$J,L$1-2006,FALSE),0)+IFERROR(VLOOKUP($A59,MFootball!$C:$O,L$1-2011,FALSE),0)+IFERROR(VLOOKUP($A59,MIceHockey!$C:$P,L$1-2011,FALSE),0)+IFERROR(VLOOKUP($A59,MLacrosse!$C:$O,L$1-2011,FALSE),0)+IFERROR(VLOOKUP($A59,MSoccer!$C:$O,L$1-2011,FALSE),0)+IFERROR(VLOOKUP($A59,MVolleyball!$C:$O,L$1-2011,FALSE),0)+IFERROR(VLOOKUP($A59,WBasketball!$C:$O,L$1-2011,FALSE),0)+IFERROR(VLOOKUP($A59,WFieldHockey!$C:$O,L$1-2011,FALSE),0)+IFERROR(VLOOKUP($A59,WIceHockey!$C:$O,L$1-2011,FALSE),0)+IFERROR(VLOOKUP($A59,WLacrosse!$C:$O,L$1-2011,FALSE),0)+IFERROR(VLOOKUP($A59,WSoccer!$C:$O,L$1-2011,FALSE),0)+IFERROR(VLOOKUP($A59,WSoftball!$C:$O,L$1-2011,FALSE),0)+IFERROR(VLOOKUP($A59,WVolleyball!$C:$O,L$1-2011,FALSE),0)</f>
        <v>1163</v>
      </c>
      <c r="M59">
        <f>IFERROR(VLOOKUP($A59,MBaseball!$C:$N,M$1-2010,FALSE),0)+IFERROR(VLOOKUP($A59,MBasketball!$C:$J,M$1-2006,FALSE),0)+IFERROR(VLOOKUP($A59,MFootball!$C:$O,M$1-2011,FALSE),0)+IFERROR(VLOOKUP($A59,MIceHockey!$C:$P,M$1-2011,FALSE),0)+IFERROR(VLOOKUP($A59,MLacrosse!$C:$O,M$1-2011,FALSE),0)+IFERROR(VLOOKUP($A59,MSoccer!$C:$O,M$1-2011,FALSE),0)+IFERROR(VLOOKUP($A59,MVolleyball!$C:$O,M$1-2011,FALSE),0)+IFERROR(VLOOKUP($A59,WBasketball!$C:$O,M$1-2011,FALSE),0)+IFERROR(VLOOKUP($A59,WFieldHockey!$C:$O,M$1-2011,FALSE),0)+IFERROR(VLOOKUP($A59,WIceHockey!$C:$O,M$1-2011,FALSE),0)+IFERROR(VLOOKUP($A59,WLacrosse!$C:$O,M$1-2011,FALSE),0)+IFERROR(VLOOKUP($A59,WSoccer!$C:$O,M$1-2011,FALSE),0)+IFERROR(VLOOKUP($A59,WSoftball!$C:$O,M$1-2011,FALSE),0)+IFERROR(VLOOKUP($A59,WVolleyball!$C:$O,M$1-2011,FALSE),0)</f>
        <v>16175</v>
      </c>
      <c r="N59">
        <f>IFERROR(VLOOKUP($A59,MBaseball!$C:$N,N$1-2010,FALSE),0)+IFERROR(VLOOKUP($A59,MBasketball!$C:$J,N$1-2006,FALSE),0)+IFERROR(VLOOKUP($A59,MFootball!$C:$O,N$1-2011,FALSE),0)+IFERROR(VLOOKUP($A59,MIceHockey!$C:$P,N$1-2011,FALSE),0)+IFERROR(VLOOKUP($A59,MLacrosse!$C:$O,N$1-2011,FALSE),0)+IFERROR(VLOOKUP($A59,MSoccer!$C:$O,N$1-2011,FALSE),0)+IFERROR(VLOOKUP($A59,MVolleyball!$C:$O,N$1-2011,FALSE),0)+IFERROR(VLOOKUP($A59,WBasketball!$C:$O,N$1-2011,FALSE),0)+IFERROR(VLOOKUP($A59,WFieldHockey!$C:$O,N$1-2011,FALSE),0)+IFERROR(VLOOKUP($A59,WIceHockey!$C:$O,N$1-2011,FALSE),0)+IFERROR(VLOOKUP($A59,WLacrosse!$C:$O,N$1-2011,FALSE),0)+IFERROR(VLOOKUP($A59,WSoccer!$C:$O,N$1-2011,FALSE),0)+IFERROR(VLOOKUP($A59,WSoftball!$C:$O,N$1-2011,FALSE),0)+IFERROR(VLOOKUP($A59,WVolleyball!$C:$O,N$1-2011,FALSE),0)</f>
        <v>18745</v>
      </c>
    </row>
    <row r="60" spans="1:14" x14ac:dyDescent="0.2">
      <c r="A60">
        <v>232423</v>
      </c>
      <c r="B60">
        <v>25500</v>
      </c>
      <c r="C60" t="s">
        <v>110</v>
      </c>
      <c r="D60">
        <v>59</v>
      </c>
      <c r="E60">
        <f>IFERROR(VLOOKUP($A60,MBaseball!$C:$N,E$1-2010,FALSE),0)+IFERROR(VLOOKUP($A60,MBasketball!$C:$J,E$1-2006,FALSE),0)+IFERROR(VLOOKUP($A60,MFootball!$C:$O,E$1-2011,FALSE),0)+IFERROR(VLOOKUP($A60,MIceHockey!$C:$P,E$1-2011,FALSE),0)+IFERROR(VLOOKUP($A60,MLacrosse!$C:$O,E$1-2011,FALSE),0)+IFERROR(VLOOKUP($A60,MSoccer!$C:$O,E$1-2011,FALSE),0)+IFERROR(VLOOKUP($A60,MVolleyball!$C:$O,E$1-2011,FALSE),0)+IFERROR(VLOOKUP($A60,WBasketball!$C:$O,E$1-2011,FALSE),0)+IFERROR(VLOOKUP($A60,WFieldHockey!$C:$O,E$1-2011,FALSE),0)+IFERROR(VLOOKUP($A60,WIceHockey!$C:$O,E$1-2011,FALSE),0)+IFERROR(VLOOKUP($A60,WLacrosse!$C:$O,E$1-2011,FALSE),0)+IFERROR(VLOOKUP($A60,WSoccer!$C:$O,E$1-2011,FALSE),0)+IFERROR(VLOOKUP($A60,WSoftball!$C:$O,E$1-2011,FALSE),0)+IFERROR(VLOOKUP($A60,WVolleyball!$C:$O,E$1-2011,FALSE),0)</f>
        <v>102055</v>
      </c>
      <c r="F60">
        <f>IFERROR(VLOOKUP($A60,MBaseball!$C:$N,F$1-2010,FALSE),0)+IFERROR(VLOOKUP($A60,MBasketball!$C:$J,F$1-2006,FALSE),0)+IFERROR(VLOOKUP($A60,MFootball!$C:$O,F$1-2011,FALSE),0)+IFERROR(VLOOKUP($A60,MIceHockey!$C:$P,F$1-2011,FALSE),0)+IFERROR(VLOOKUP($A60,MLacrosse!$C:$O,F$1-2011,FALSE),0)+IFERROR(VLOOKUP($A60,MSoccer!$C:$O,F$1-2011,FALSE),0)+IFERROR(VLOOKUP($A60,MVolleyball!$C:$O,F$1-2011,FALSE),0)+IFERROR(VLOOKUP($A60,WBasketball!$C:$O,F$1-2011,FALSE),0)+IFERROR(VLOOKUP($A60,WFieldHockey!$C:$O,F$1-2011,FALSE),0)+IFERROR(VLOOKUP($A60,WIceHockey!$C:$O,F$1-2011,FALSE),0)+IFERROR(VLOOKUP($A60,WLacrosse!$C:$O,F$1-2011,FALSE),0)+IFERROR(VLOOKUP($A60,WSoccer!$C:$O,F$1-2011,FALSE),0)+IFERROR(VLOOKUP($A60,WSoftball!$C:$O,F$1-2011,FALSE),0)+IFERROR(VLOOKUP($A60,WVolleyball!$C:$O,F$1-2011,FALSE),0)</f>
        <v>189173</v>
      </c>
      <c r="G60">
        <f>IFERROR(VLOOKUP($A60,MBaseball!$C:$N,G$1-2010,FALSE),0)+IFERROR(VLOOKUP($A60,MBasketball!$C:$J,G$1-2006,FALSE),0)+IFERROR(VLOOKUP($A60,MFootball!$C:$O,G$1-2011,FALSE),0)+IFERROR(VLOOKUP($A60,MIceHockey!$C:$P,G$1-2011,FALSE),0)+IFERROR(VLOOKUP($A60,MLacrosse!$C:$O,G$1-2011,FALSE),0)+IFERROR(VLOOKUP($A60,MSoccer!$C:$O,G$1-2011,FALSE),0)+IFERROR(VLOOKUP($A60,MVolleyball!$C:$O,G$1-2011,FALSE),0)+IFERROR(VLOOKUP($A60,WBasketball!$C:$O,G$1-2011,FALSE),0)+IFERROR(VLOOKUP($A60,WFieldHockey!$C:$O,G$1-2011,FALSE),0)+IFERROR(VLOOKUP($A60,WIceHockey!$C:$O,G$1-2011,FALSE),0)+IFERROR(VLOOKUP($A60,WLacrosse!$C:$O,G$1-2011,FALSE),0)+IFERROR(VLOOKUP($A60,WSoccer!$C:$O,G$1-2011,FALSE),0)+IFERROR(VLOOKUP($A60,WSoftball!$C:$O,G$1-2011,FALSE),0)+IFERROR(VLOOKUP($A60,WVolleyball!$C:$O,G$1-2011,FALSE),0)</f>
        <v>216912</v>
      </c>
      <c r="H60">
        <f>IFERROR(VLOOKUP($A60,MBaseball!$C:$N,H$1-2010,FALSE),0)+IFERROR(VLOOKUP($A60,MBasketball!$C:$J,H$1-2006,FALSE),0)+IFERROR(VLOOKUP($A60,MFootball!$C:$O,H$1-2011,FALSE),0)+IFERROR(VLOOKUP($A60,MIceHockey!$C:$P,H$1-2011,FALSE),0)+IFERROR(VLOOKUP($A60,MLacrosse!$C:$O,H$1-2011,FALSE),0)+IFERROR(VLOOKUP($A60,MSoccer!$C:$O,H$1-2011,FALSE),0)+IFERROR(VLOOKUP($A60,MVolleyball!$C:$O,H$1-2011,FALSE),0)+IFERROR(VLOOKUP($A60,WBasketball!$C:$O,H$1-2011,FALSE),0)+IFERROR(VLOOKUP($A60,WFieldHockey!$C:$O,H$1-2011,FALSE),0)+IFERROR(VLOOKUP($A60,WIceHockey!$C:$O,H$1-2011,FALSE),0)+IFERROR(VLOOKUP($A60,WLacrosse!$C:$O,H$1-2011,FALSE),0)+IFERROR(VLOOKUP($A60,WSoccer!$C:$O,H$1-2011,FALSE),0)+IFERROR(VLOOKUP($A60,WSoftball!$C:$O,H$1-2011,FALSE),0)+IFERROR(VLOOKUP($A60,WVolleyball!$C:$O,H$1-2011,FALSE),0)</f>
        <v>246428</v>
      </c>
      <c r="I60">
        <f>IFERROR(VLOOKUP($A60,MBaseball!$C:$N,I$1-2010,FALSE),0)+IFERROR(VLOOKUP($A60,MBasketball!$C:$J,I$1-2006,FALSE),0)+IFERROR(VLOOKUP($A60,MFootball!$C:$O,I$1-2011,FALSE),0)+IFERROR(VLOOKUP($A60,MIceHockey!$C:$P,I$1-2011,FALSE),0)+IFERROR(VLOOKUP($A60,MLacrosse!$C:$O,I$1-2011,FALSE),0)+IFERROR(VLOOKUP($A60,MSoccer!$C:$O,I$1-2011,FALSE),0)+IFERROR(VLOOKUP($A60,MVolleyball!$C:$O,I$1-2011,FALSE),0)+IFERROR(VLOOKUP($A60,WBasketball!$C:$O,I$1-2011,FALSE),0)+IFERROR(VLOOKUP($A60,WFieldHockey!$C:$O,I$1-2011,FALSE),0)+IFERROR(VLOOKUP($A60,WIceHockey!$C:$O,I$1-2011,FALSE),0)+IFERROR(VLOOKUP($A60,WLacrosse!$C:$O,I$1-2011,FALSE),0)+IFERROR(VLOOKUP($A60,WSoccer!$C:$O,I$1-2011,FALSE),0)+IFERROR(VLOOKUP($A60,WSoftball!$C:$O,I$1-2011,FALSE),0)+IFERROR(VLOOKUP($A60,WVolleyball!$C:$O,I$1-2011,FALSE),0)</f>
        <v>271979</v>
      </c>
      <c r="J60">
        <f>IFERROR(VLOOKUP($A60,MBaseball!$C:$N,J$1-2010,FALSE),0)+IFERROR(VLOOKUP($A60,MBasketball!$C:$J,J$1-2006,FALSE),0)+IFERROR(VLOOKUP($A60,MFootball!$C:$O,J$1-2011,FALSE),0)+IFERROR(VLOOKUP($A60,MIceHockey!$C:$P,J$1-2011,FALSE),0)+IFERROR(VLOOKUP($A60,MLacrosse!$C:$O,J$1-2011,FALSE),0)+IFERROR(VLOOKUP($A60,MSoccer!$C:$O,J$1-2011,FALSE),0)+IFERROR(VLOOKUP($A60,MVolleyball!$C:$O,J$1-2011,FALSE),0)+IFERROR(VLOOKUP($A60,WBasketball!$C:$O,J$1-2011,FALSE),0)+IFERROR(VLOOKUP($A60,WFieldHockey!$C:$O,J$1-2011,FALSE),0)+IFERROR(VLOOKUP($A60,WIceHockey!$C:$O,J$1-2011,FALSE),0)+IFERROR(VLOOKUP($A60,WLacrosse!$C:$O,J$1-2011,FALSE),0)+IFERROR(VLOOKUP($A60,WSoccer!$C:$O,J$1-2011,FALSE),0)+IFERROR(VLOOKUP($A60,WSoftball!$C:$O,J$1-2011,FALSE),0)+IFERROR(VLOOKUP($A60,WVolleyball!$C:$O,J$1-2011,FALSE),0)</f>
        <v>202738</v>
      </c>
      <c r="K60">
        <f>IFERROR(VLOOKUP($A60,MBaseball!$C:$N,K$1-2010,FALSE),0)+IFERROR(VLOOKUP($A60,MBasketball!$C:$J,K$1-2006,FALSE),0)+IFERROR(VLOOKUP($A60,MFootball!$C:$O,K$1-2011,FALSE),0)+IFERROR(VLOOKUP($A60,MIceHockey!$C:$P,K$1-2011,FALSE),0)+IFERROR(VLOOKUP($A60,MLacrosse!$C:$O,K$1-2011,FALSE),0)+IFERROR(VLOOKUP($A60,MSoccer!$C:$O,K$1-2011,FALSE),0)+IFERROR(VLOOKUP($A60,MVolleyball!$C:$O,K$1-2011,FALSE),0)+IFERROR(VLOOKUP($A60,WBasketball!$C:$O,K$1-2011,FALSE),0)+IFERROR(VLOOKUP($A60,WFieldHockey!$C:$O,K$1-2011,FALSE),0)+IFERROR(VLOOKUP($A60,WIceHockey!$C:$O,K$1-2011,FALSE),0)+IFERROR(VLOOKUP($A60,WLacrosse!$C:$O,K$1-2011,FALSE),0)+IFERROR(VLOOKUP($A60,WSoccer!$C:$O,K$1-2011,FALSE),0)+IFERROR(VLOOKUP($A60,WSoftball!$C:$O,K$1-2011,FALSE),0)+IFERROR(VLOOKUP($A60,WVolleyball!$C:$O,K$1-2011,FALSE),0)</f>
        <v>210763</v>
      </c>
      <c r="L60">
        <f>IFERROR(VLOOKUP($A60,MBaseball!$C:$N,L$1-2010,FALSE),0)+IFERROR(VLOOKUP($A60,MBasketball!$C:$J,L$1-2006,FALSE),0)+IFERROR(VLOOKUP($A60,MFootball!$C:$O,L$1-2011,FALSE),0)+IFERROR(VLOOKUP($A60,MIceHockey!$C:$P,L$1-2011,FALSE),0)+IFERROR(VLOOKUP($A60,MLacrosse!$C:$O,L$1-2011,FALSE),0)+IFERROR(VLOOKUP($A60,MSoccer!$C:$O,L$1-2011,FALSE),0)+IFERROR(VLOOKUP($A60,MVolleyball!$C:$O,L$1-2011,FALSE),0)+IFERROR(VLOOKUP($A60,WBasketball!$C:$O,L$1-2011,FALSE),0)+IFERROR(VLOOKUP($A60,WFieldHockey!$C:$O,L$1-2011,FALSE),0)+IFERROR(VLOOKUP($A60,WIceHockey!$C:$O,L$1-2011,FALSE),0)+IFERROR(VLOOKUP($A60,WLacrosse!$C:$O,L$1-2011,FALSE),0)+IFERROR(VLOOKUP($A60,WSoccer!$C:$O,L$1-2011,FALSE),0)+IFERROR(VLOOKUP($A60,WSoftball!$C:$O,L$1-2011,FALSE),0)+IFERROR(VLOOKUP($A60,WVolleyball!$C:$O,L$1-2011,FALSE),0)</f>
        <v>37324</v>
      </c>
      <c r="M60">
        <f>IFERROR(VLOOKUP($A60,MBaseball!$C:$N,M$1-2010,FALSE),0)+IFERROR(VLOOKUP($A60,MBasketball!$C:$J,M$1-2006,FALSE),0)+IFERROR(VLOOKUP($A60,MFootball!$C:$O,M$1-2011,FALSE),0)+IFERROR(VLOOKUP($A60,MIceHockey!$C:$P,M$1-2011,FALSE),0)+IFERROR(VLOOKUP($A60,MLacrosse!$C:$O,M$1-2011,FALSE),0)+IFERROR(VLOOKUP($A60,MSoccer!$C:$O,M$1-2011,FALSE),0)+IFERROR(VLOOKUP($A60,MVolleyball!$C:$O,M$1-2011,FALSE),0)+IFERROR(VLOOKUP($A60,WBasketball!$C:$O,M$1-2011,FALSE),0)+IFERROR(VLOOKUP($A60,WFieldHockey!$C:$O,M$1-2011,FALSE),0)+IFERROR(VLOOKUP($A60,WIceHockey!$C:$O,M$1-2011,FALSE),0)+IFERROR(VLOOKUP($A60,WLacrosse!$C:$O,M$1-2011,FALSE),0)+IFERROR(VLOOKUP($A60,WSoccer!$C:$O,M$1-2011,FALSE),0)+IFERROR(VLOOKUP($A60,WSoftball!$C:$O,M$1-2011,FALSE),0)+IFERROR(VLOOKUP($A60,WVolleyball!$C:$O,M$1-2011,FALSE),0)</f>
        <v>219186</v>
      </c>
      <c r="N60">
        <f>IFERROR(VLOOKUP($A60,MBaseball!$C:$N,N$1-2010,FALSE),0)+IFERROR(VLOOKUP($A60,MBasketball!$C:$J,N$1-2006,FALSE),0)+IFERROR(VLOOKUP($A60,MFootball!$C:$O,N$1-2011,FALSE),0)+IFERROR(VLOOKUP($A60,MIceHockey!$C:$P,N$1-2011,FALSE),0)+IFERROR(VLOOKUP($A60,MLacrosse!$C:$O,N$1-2011,FALSE),0)+IFERROR(VLOOKUP($A60,MSoccer!$C:$O,N$1-2011,FALSE),0)+IFERROR(VLOOKUP($A60,MVolleyball!$C:$O,N$1-2011,FALSE),0)+IFERROR(VLOOKUP($A60,WBasketball!$C:$O,N$1-2011,FALSE),0)+IFERROR(VLOOKUP($A60,WFieldHockey!$C:$O,N$1-2011,FALSE),0)+IFERROR(VLOOKUP($A60,WIceHockey!$C:$O,N$1-2011,FALSE),0)+IFERROR(VLOOKUP($A60,WLacrosse!$C:$O,N$1-2011,FALSE),0)+IFERROR(VLOOKUP($A60,WSoccer!$C:$O,N$1-2011,FALSE),0)+IFERROR(VLOOKUP($A60,WSoftball!$C:$O,N$1-2011,FALSE),0)+IFERROR(VLOOKUP($A60,WVolleyball!$C:$O,N$1-2011,FALSE),0)</f>
        <v>191323</v>
      </c>
    </row>
    <row r="61" spans="1:14" x14ac:dyDescent="0.2">
      <c r="A61">
        <v>155317</v>
      </c>
      <c r="B61">
        <v>29940</v>
      </c>
      <c r="C61" t="s">
        <v>111</v>
      </c>
      <c r="D61">
        <v>60</v>
      </c>
      <c r="E61">
        <f>IFERROR(VLOOKUP($A61,MBaseball!$C:$N,E$1-2010,FALSE),0)+IFERROR(VLOOKUP($A61,MBasketball!$C:$J,E$1-2006,FALSE),0)+IFERROR(VLOOKUP($A61,MFootball!$C:$O,E$1-2011,FALSE),0)+IFERROR(VLOOKUP($A61,MIceHockey!$C:$P,E$1-2011,FALSE),0)+IFERROR(VLOOKUP($A61,MLacrosse!$C:$O,E$1-2011,FALSE),0)+IFERROR(VLOOKUP($A61,MSoccer!$C:$O,E$1-2011,FALSE),0)+IFERROR(VLOOKUP($A61,MVolleyball!$C:$O,E$1-2011,FALSE),0)+IFERROR(VLOOKUP($A61,WBasketball!$C:$O,E$1-2011,FALSE),0)+IFERROR(VLOOKUP($A61,WFieldHockey!$C:$O,E$1-2011,FALSE),0)+IFERROR(VLOOKUP($A61,WIceHockey!$C:$O,E$1-2011,FALSE),0)+IFERROR(VLOOKUP($A61,WLacrosse!$C:$O,E$1-2011,FALSE),0)+IFERROR(VLOOKUP($A61,WSoccer!$C:$O,E$1-2011,FALSE),0)+IFERROR(VLOOKUP($A61,WSoftball!$C:$O,E$1-2011,FALSE),0)+IFERROR(VLOOKUP($A61,WVolleyball!$C:$O,E$1-2011,FALSE),0)</f>
        <v>372934</v>
      </c>
      <c r="F61">
        <f>IFERROR(VLOOKUP($A61,MBaseball!$C:$N,F$1-2010,FALSE),0)+IFERROR(VLOOKUP($A61,MBasketball!$C:$J,F$1-2006,FALSE),0)+IFERROR(VLOOKUP($A61,MFootball!$C:$O,F$1-2011,FALSE),0)+IFERROR(VLOOKUP($A61,MIceHockey!$C:$P,F$1-2011,FALSE),0)+IFERROR(VLOOKUP($A61,MLacrosse!$C:$O,F$1-2011,FALSE),0)+IFERROR(VLOOKUP($A61,MSoccer!$C:$O,F$1-2011,FALSE),0)+IFERROR(VLOOKUP($A61,MVolleyball!$C:$O,F$1-2011,FALSE),0)+IFERROR(VLOOKUP($A61,WBasketball!$C:$O,F$1-2011,FALSE),0)+IFERROR(VLOOKUP($A61,WFieldHockey!$C:$O,F$1-2011,FALSE),0)+IFERROR(VLOOKUP($A61,WIceHockey!$C:$O,F$1-2011,FALSE),0)+IFERROR(VLOOKUP($A61,WLacrosse!$C:$O,F$1-2011,FALSE),0)+IFERROR(VLOOKUP($A61,WSoccer!$C:$O,F$1-2011,FALSE),0)+IFERROR(VLOOKUP($A61,WSoftball!$C:$O,F$1-2011,FALSE),0)+IFERROR(VLOOKUP($A61,WVolleyball!$C:$O,F$1-2011,FALSE),0)</f>
        <v>306186</v>
      </c>
      <c r="G61">
        <f>IFERROR(VLOOKUP($A61,MBaseball!$C:$N,G$1-2010,FALSE),0)+IFERROR(VLOOKUP($A61,MBasketball!$C:$J,G$1-2006,FALSE),0)+IFERROR(VLOOKUP($A61,MFootball!$C:$O,G$1-2011,FALSE),0)+IFERROR(VLOOKUP($A61,MIceHockey!$C:$P,G$1-2011,FALSE),0)+IFERROR(VLOOKUP($A61,MLacrosse!$C:$O,G$1-2011,FALSE),0)+IFERROR(VLOOKUP($A61,MSoccer!$C:$O,G$1-2011,FALSE),0)+IFERROR(VLOOKUP($A61,MVolleyball!$C:$O,G$1-2011,FALSE),0)+IFERROR(VLOOKUP($A61,WBasketball!$C:$O,G$1-2011,FALSE),0)+IFERROR(VLOOKUP($A61,WFieldHockey!$C:$O,G$1-2011,FALSE),0)+IFERROR(VLOOKUP($A61,WIceHockey!$C:$O,G$1-2011,FALSE),0)+IFERROR(VLOOKUP($A61,WLacrosse!$C:$O,G$1-2011,FALSE),0)+IFERROR(VLOOKUP($A61,WSoccer!$C:$O,G$1-2011,FALSE),0)+IFERROR(VLOOKUP($A61,WSoftball!$C:$O,G$1-2011,FALSE),0)+IFERROR(VLOOKUP($A61,WVolleyball!$C:$O,G$1-2011,FALSE),0)</f>
        <v>311246</v>
      </c>
      <c r="H61">
        <f>IFERROR(VLOOKUP($A61,MBaseball!$C:$N,H$1-2010,FALSE),0)+IFERROR(VLOOKUP($A61,MBasketball!$C:$J,H$1-2006,FALSE),0)+IFERROR(VLOOKUP($A61,MFootball!$C:$O,H$1-2011,FALSE),0)+IFERROR(VLOOKUP($A61,MIceHockey!$C:$P,H$1-2011,FALSE),0)+IFERROR(VLOOKUP($A61,MLacrosse!$C:$O,H$1-2011,FALSE),0)+IFERROR(VLOOKUP($A61,MSoccer!$C:$O,H$1-2011,FALSE),0)+IFERROR(VLOOKUP($A61,MVolleyball!$C:$O,H$1-2011,FALSE),0)+IFERROR(VLOOKUP($A61,WBasketball!$C:$O,H$1-2011,FALSE),0)+IFERROR(VLOOKUP($A61,WFieldHockey!$C:$O,H$1-2011,FALSE),0)+IFERROR(VLOOKUP($A61,WIceHockey!$C:$O,H$1-2011,FALSE),0)+IFERROR(VLOOKUP($A61,WLacrosse!$C:$O,H$1-2011,FALSE),0)+IFERROR(VLOOKUP($A61,WSoccer!$C:$O,H$1-2011,FALSE),0)+IFERROR(VLOOKUP($A61,WSoftball!$C:$O,H$1-2011,FALSE),0)+IFERROR(VLOOKUP($A61,WVolleyball!$C:$O,H$1-2011,FALSE),0)</f>
        <v>262314</v>
      </c>
      <c r="I61">
        <f>IFERROR(VLOOKUP($A61,MBaseball!$C:$N,I$1-2010,FALSE),0)+IFERROR(VLOOKUP($A61,MBasketball!$C:$J,I$1-2006,FALSE),0)+IFERROR(VLOOKUP($A61,MFootball!$C:$O,I$1-2011,FALSE),0)+IFERROR(VLOOKUP($A61,MIceHockey!$C:$P,I$1-2011,FALSE),0)+IFERROR(VLOOKUP($A61,MLacrosse!$C:$O,I$1-2011,FALSE),0)+IFERROR(VLOOKUP($A61,MSoccer!$C:$O,I$1-2011,FALSE),0)+IFERROR(VLOOKUP($A61,MVolleyball!$C:$O,I$1-2011,FALSE),0)+IFERROR(VLOOKUP($A61,WBasketball!$C:$O,I$1-2011,FALSE),0)+IFERROR(VLOOKUP($A61,WFieldHockey!$C:$O,I$1-2011,FALSE),0)+IFERROR(VLOOKUP($A61,WIceHockey!$C:$O,I$1-2011,FALSE),0)+IFERROR(VLOOKUP($A61,WLacrosse!$C:$O,I$1-2011,FALSE),0)+IFERROR(VLOOKUP($A61,WSoccer!$C:$O,I$1-2011,FALSE),0)+IFERROR(VLOOKUP($A61,WSoftball!$C:$O,I$1-2011,FALSE),0)+IFERROR(VLOOKUP($A61,WVolleyball!$C:$O,I$1-2011,FALSE),0)</f>
        <v>275555</v>
      </c>
      <c r="J61">
        <f>IFERROR(VLOOKUP($A61,MBaseball!$C:$N,J$1-2010,FALSE),0)+IFERROR(VLOOKUP($A61,MBasketball!$C:$J,J$1-2006,FALSE),0)+IFERROR(VLOOKUP($A61,MFootball!$C:$O,J$1-2011,FALSE),0)+IFERROR(VLOOKUP($A61,MIceHockey!$C:$P,J$1-2011,FALSE),0)+IFERROR(VLOOKUP($A61,MLacrosse!$C:$O,J$1-2011,FALSE),0)+IFERROR(VLOOKUP($A61,MSoccer!$C:$O,J$1-2011,FALSE),0)+IFERROR(VLOOKUP($A61,MVolleyball!$C:$O,J$1-2011,FALSE),0)+IFERROR(VLOOKUP($A61,WBasketball!$C:$O,J$1-2011,FALSE),0)+IFERROR(VLOOKUP($A61,WFieldHockey!$C:$O,J$1-2011,FALSE),0)+IFERROR(VLOOKUP($A61,WIceHockey!$C:$O,J$1-2011,FALSE),0)+IFERROR(VLOOKUP($A61,WLacrosse!$C:$O,J$1-2011,FALSE),0)+IFERROR(VLOOKUP($A61,WSoccer!$C:$O,J$1-2011,FALSE),0)+IFERROR(VLOOKUP($A61,WSoftball!$C:$O,J$1-2011,FALSE),0)+IFERROR(VLOOKUP($A61,WVolleyball!$C:$O,J$1-2011,FALSE),0)</f>
        <v>202979</v>
      </c>
      <c r="K61">
        <f>IFERROR(VLOOKUP($A61,MBaseball!$C:$N,K$1-2010,FALSE),0)+IFERROR(VLOOKUP($A61,MBasketball!$C:$J,K$1-2006,FALSE),0)+IFERROR(VLOOKUP($A61,MFootball!$C:$O,K$1-2011,FALSE),0)+IFERROR(VLOOKUP($A61,MIceHockey!$C:$P,K$1-2011,FALSE),0)+IFERROR(VLOOKUP($A61,MLacrosse!$C:$O,K$1-2011,FALSE),0)+IFERROR(VLOOKUP($A61,MSoccer!$C:$O,K$1-2011,FALSE),0)+IFERROR(VLOOKUP($A61,MVolleyball!$C:$O,K$1-2011,FALSE),0)+IFERROR(VLOOKUP($A61,WBasketball!$C:$O,K$1-2011,FALSE),0)+IFERROR(VLOOKUP($A61,WFieldHockey!$C:$O,K$1-2011,FALSE),0)+IFERROR(VLOOKUP($A61,WIceHockey!$C:$O,K$1-2011,FALSE),0)+IFERROR(VLOOKUP($A61,WLacrosse!$C:$O,K$1-2011,FALSE),0)+IFERROR(VLOOKUP($A61,WSoccer!$C:$O,K$1-2011,FALSE),0)+IFERROR(VLOOKUP($A61,WSoftball!$C:$O,K$1-2011,FALSE),0)+IFERROR(VLOOKUP($A61,WVolleyball!$C:$O,K$1-2011,FALSE),0)</f>
        <v>303502</v>
      </c>
      <c r="L61">
        <f>IFERROR(VLOOKUP($A61,MBaseball!$C:$N,L$1-2010,FALSE),0)+IFERROR(VLOOKUP($A61,MBasketball!$C:$J,L$1-2006,FALSE),0)+IFERROR(VLOOKUP($A61,MFootball!$C:$O,L$1-2011,FALSE),0)+IFERROR(VLOOKUP($A61,MIceHockey!$C:$P,L$1-2011,FALSE),0)+IFERROR(VLOOKUP($A61,MLacrosse!$C:$O,L$1-2011,FALSE),0)+IFERROR(VLOOKUP($A61,MSoccer!$C:$O,L$1-2011,FALSE),0)+IFERROR(VLOOKUP($A61,MVolleyball!$C:$O,L$1-2011,FALSE),0)+IFERROR(VLOOKUP($A61,WBasketball!$C:$O,L$1-2011,FALSE),0)+IFERROR(VLOOKUP($A61,WFieldHockey!$C:$O,L$1-2011,FALSE),0)+IFERROR(VLOOKUP($A61,WIceHockey!$C:$O,L$1-2011,FALSE),0)+IFERROR(VLOOKUP($A61,WLacrosse!$C:$O,L$1-2011,FALSE),0)+IFERROR(VLOOKUP($A61,WSoccer!$C:$O,L$1-2011,FALSE),0)+IFERROR(VLOOKUP($A61,WSoftball!$C:$O,L$1-2011,FALSE),0)+IFERROR(VLOOKUP($A61,WVolleyball!$C:$O,L$1-2011,FALSE),0)</f>
        <v>47883</v>
      </c>
      <c r="M61">
        <f>IFERROR(VLOOKUP($A61,MBaseball!$C:$N,M$1-2010,FALSE),0)+IFERROR(VLOOKUP($A61,MBasketball!$C:$J,M$1-2006,FALSE),0)+IFERROR(VLOOKUP($A61,MFootball!$C:$O,M$1-2011,FALSE),0)+IFERROR(VLOOKUP($A61,MIceHockey!$C:$P,M$1-2011,FALSE),0)+IFERROR(VLOOKUP($A61,MLacrosse!$C:$O,M$1-2011,FALSE),0)+IFERROR(VLOOKUP($A61,MSoccer!$C:$O,M$1-2011,FALSE),0)+IFERROR(VLOOKUP($A61,MVolleyball!$C:$O,M$1-2011,FALSE),0)+IFERROR(VLOOKUP($A61,WBasketball!$C:$O,M$1-2011,FALSE),0)+IFERROR(VLOOKUP($A61,WFieldHockey!$C:$O,M$1-2011,FALSE),0)+IFERROR(VLOOKUP($A61,WIceHockey!$C:$O,M$1-2011,FALSE),0)+IFERROR(VLOOKUP($A61,WLacrosse!$C:$O,M$1-2011,FALSE),0)+IFERROR(VLOOKUP($A61,WSoccer!$C:$O,M$1-2011,FALSE),0)+IFERROR(VLOOKUP($A61,WSoftball!$C:$O,M$1-2011,FALSE),0)+IFERROR(VLOOKUP($A61,WVolleyball!$C:$O,M$1-2011,FALSE),0)</f>
        <v>207601</v>
      </c>
      <c r="N61">
        <f>IFERROR(VLOOKUP($A61,MBaseball!$C:$N,N$1-2010,FALSE),0)+IFERROR(VLOOKUP($A61,MBasketball!$C:$J,N$1-2006,FALSE),0)+IFERROR(VLOOKUP($A61,MFootball!$C:$O,N$1-2011,FALSE),0)+IFERROR(VLOOKUP($A61,MIceHockey!$C:$P,N$1-2011,FALSE),0)+IFERROR(VLOOKUP($A61,MLacrosse!$C:$O,N$1-2011,FALSE),0)+IFERROR(VLOOKUP($A61,MSoccer!$C:$O,N$1-2011,FALSE),0)+IFERROR(VLOOKUP($A61,MVolleyball!$C:$O,N$1-2011,FALSE),0)+IFERROR(VLOOKUP($A61,WBasketball!$C:$O,N$1-2011,FALSE),0)+IFERROR(VLOOKUP($A61,WFieldHockey!$C:$O,N$1-2011,FALSE),0)+IFERROR(VLOOKUP($A61,WIceHockey!$C:$O,N$1-2011,FALSE),0)+IFERROR(VLOOKUP($A61,WLacrosse!$C:$O,N$1-2011,FALSE),0)+IFERROR(VLOOKUP($A61,WSoccer!$C:$O,N$1-2011,FALSE),0)+IFERROR(VLOOKUP($A61,WSoftball!$C:$O,N$1-2011,FALSE),0)+IFERROR(VLOOKUP($A61,WVolleyball!$C:$O,N$1-2011,FALSE),0)</f>
        <v>369599</v>
      </c>
    </row>
    <row r="62" spans="1:14" x14ac:dyDescent="0.2">
      <c r="A62">
        <v>155399</v>
      </c>
      <c r="B62">
        <v>31740</v>
      </c>
      <c r="C62" t="s">
        <v>112</v>
      </c>
      <c r="D62">
        <v>61</v>
      </c>
      <c r="E62">
        <f>IFERROR(VLOOKUP($A62,MBaseball!$C:$N,E$1-2010,FALSE),0)+IFERROR(VLOOKUP($A62,MBasketball!$C:$J,E$1-2006,FALSE),0)+IFERROR(VLOOKUP($A62,MFootball!$C:$O,E$1-2011,FALSE),0)+IFERROR(VLOOKUP($A62,MIceHockey!$C:$P,E$1-2011,FALSE),0)+IFERROR(VLOOKUP($A62,MLacrosse!$C:$O,E$1-2011,FALSE),0)+IFERROR(VLOOKUP($A62,MSoccer!$C:$O,E$1-2011,FALSE),0)+IFERROR(VLOOKUP($A62,MVolleyball!$C:$O,E$1-2011,FALSE),0)+IFERROR(VLOOKUP($A62,WBasketball!$C:$O,E$1-2011,FALSE),0)+IFERROR(VLOOKUP($A62,WFieldHockey!$C:$O,E$1-2011,FALSE),0)+IFERROR(VLOOKUP($A62,WIceHockey!$C:$O,E$1-2011,FALSE),0)+IFERROR(VLOOKUP($A62,WLacrosse!$C:$O,E$1-2011,FALSE),0)+IFERROR(VLOOKUP($A62,WSoccer!$C:$O,E$1-2011,FALSE),0)+IFERROR(VLOOKUP($A62,WSoftball!$C:$O,E$1-2011,FALSE),0)+IFERROR(VLOOKUP($A62,WVolleyball!$C:$O,E$1-2011,FALSE),0)</f>
        <v>325346</v>
      </c>
      <c r="F62">
        <f>IFERROR(VLOOKUP($A62,MBaseball!$C:$N,F$1-2010,FALSE),0)+IFERROR(VLOOKUP($A62,MBasketball!$C:$J,F$1-2006,FALSE),0)+IFERROR(VLOOKUP($A62,MFootball!$C:$O,F$1-2011,FALSE),0)+IFERROR(VLOOKUP($A62,MIceHockey!$C:$P,F$1-2011,FALSE),0)+IFERROR(VLOOKUP($A62,MLacrosse!$C:$O,F$1-2011,FALSE),0)+IFERROR(VLOOKUP($A62,MSoccer!$C:$O,F$1-2011,FALSE),0)+IFERROR(VLOOKUP($A62,MVolleyball!$C:$O,F$1-2011,FALSE),0)+IFERROR(VLOOKUP($A62,WBasketball!$C:$O,F$1-2011,FALSE),0)+IFERROR(VLOOKUP($A62,WFieldHockey!$C:$O,F$1-2011,FALSE),0)+IFERROR(VLOOKUP($A62,WIceHockey!$C:$O,F$1-2011,FALSE),0)+IFERROR(VLOOKUP($A62,WLacrosse!$C:$O,F$1-2011,FALSE),0)+IFERROR(VLOOKUP($A62,WSoccer!$C:$O,F$1-2011,FALSE),0)+IFERROR(VLOOKUP($A62,WSoftball!$C:$O,F$1-2011,FALSE),0)+IFERROR(VLOOKUP($A62,WVolleyball!$C:$O,F$1-2011,FALSE),0)</f>
        <v>544298</v>
      </c>
      <c r="G62">
        <f>IFERROR(VLOOKUP($A62,MBaseball!$C:$N,G$1-2010,FALSE),0)+IFERROR(VLOOKUP($A62,MBasketball!$C:$J,G$1-2006,FALSE),0)+IFERROR(VLOOKUP($A62,MFootball!$C:$O,G$1-2011,FALSE),0)+IFERROR(VLOOKUP($A62,MIceHockey!$C:$P,G$1-2011,FALSE),0)+IFERROR(VLOOKUP($A62,MLacrosse!$C:$O,G$1-2011,FALSE),0)+IFERROR(VLOOKUP($A62,MSoccer!$C:$O,G$1-2011,FALSE),0)+IFERROR(VLOOKUP($A62,MVolleyball!$C:$O,G$1-2011,FALSE),0)+IFERROR(VLOOKUP($A62,WBasketball!$C:$O,G$1-2011,FALSE),0)+IFERROR(VLOOKUP($A62,WFieldHockey!$C:$O,G$1-2011,FALSE),0)+IFERROR(VLOOKUP($A62,WIceHockey!$C:$O,G$1-2011,FALSE),0)+IFERROR(VLOOKUP($A62,WLacrosse!$C:$O,G$1-2011,FALSE),0)+IFERROR(VLOOKUP($A62,WSoccer!$C:$O,G$1-2011,FALSE),0)+IFERROR(VLOOKUP($A62,WSoftball!$C:$O,G$1-2011,FALSE),0)+IFERROR(VLOOKUP($A62,WVolleyball!$C:$O,G$1-2011,FALSE),0)</f>
        <v>524639</v>
      </c>
      <c r="H62">
        <f>IFERROR(VLOOKUP($A62,MBaseball!$C:$N,H$1-2010,FALSE),0)+IFERROR(VLOOKUP($A62,MBasketball!$C:$J,H$1-2006,FALSE),0)+IFERROR(VLOOKUP($A62,MFootball!$C:$O,H$1-2011,FALSE),0)+IFERROR(VLOOKUP($A62,MIceHockey!$C:$P,H$1-2011,FALSE),0)+IFERROR(VLOOKUP($A62,MLacrosse!$C:$O,H$1-2011,FALSE),0)+IFERROR(VLOOKUP($A62,MSoccer!$C:$O,H$1-2011,FALSE),0)+IFERROR(VLOOKUP($A62,MVolleyball!$C:$O,H$1-2011,FALSE),0)+IFERROR(VLOOKUP($A62,WBasketball!$C:$O,H$1-2011,FALSE),0)+IFERROR(VLOOKUP($A62,WFieldHockey!$C:$O,H$1-2011,FALSE),0)+IFERROR(VLOOKUP($A62,WIceHockey!$C:$O,H$1-2011,FALSE),0)+IFERROR(VLOOKUP($A62,WLacrosse!$C:$O,H$1-2011,FALSE),0)+IFERROR(VLOOKUP($A62,WSoccer!$C:$O,H$1-2011,FALSE),0)+IFERROR(VLOOKUP($A62,WSoftball!$C:$O,H$1-2011,FALSE),0)+IFERROR(VLOOKUP($A62,WVolleyball!$C:$O,H$1-2011,FALSE),0)</f>
        <v>489436</v>
      </c>
      <c r="I62">
        <f>IFERROR(VLOOKUP($A62,MBaseball!$C:$N,I$1-2010,FALSE),0)+IFERROR(VLOOKUP($A62,MBasketball!$C:$J,I$1-2006,FALSE),0)+IFERROR(VLOOKUP($A62,MFootball!$C:$O,I$1-2011,FALSE),0)+IFERROR(VLOOKUP($A62,MIceHockey!$C:$P,I$1-2011,FALSE),0)+IFERROR(VLOOKUP($A62,MLacrosse!$C:$O,I$1-2011,FALSE),0)+IFERROR(VLOOKUP($A62,MSoccer!$C:$O,I$1-2011,FALSE),0)+IFERROR(VLOOKUP($A62,MVolleyball!$C:$O,I$1-2011,FALSE),0)+IFERROR(VLOOKUP($A62,WBasketball!$C:$O,I$1-2011,FALSE),0)+IFERROR(VLOOKUP($A62,WFieldHockey!$C:$O,I$1-2011,FALSE),0)+IFERROR(VLOOKUP($A62,WIceHockey!$C:$O,I$1-2011,FALSE),0)+IFERROR(VLOOKUP($A62,WLacrosse!$C:$O,I$1-2011,FALSE),0)+IFERROR(VLOOKUP($A62,WSoccer!$C:$O,I$1-2011,FALSE),0)+IFERROR(VLOOKUP($A62,WSoftball!$C:$O,I$1-2011,FALSE),0)+IFERROR(VLOOKUP($A62,WVolleyball!$C:$O,I$1-2011,FALSE),0)</f>
        <v>490181</v>
      </c>
      <c r="J62">
        <f>IFERROR(VLOOKUP($A62,MBaseball!$C:$N,J$1-2010,FALSE),0)+IFERROR(VLOOKUP($A62,MBasketball!$C:$J,J$1-2006,FALSE),0)+IFERROR(VLOOKUP($A62,MFootball!$C:$O,J$1-2011,FALSE),0)+IFERROR(VLOOKUP($A62,MIceHockey!$C:$P,J$1-2011,FALSE),0)+IFERROR(VLOOKUP($A62,MLacrosse!$C:$O,J$1-2011,FALSE),0)+IFERROR(VLOOKUP($A62,MSoccer!$C:$O,J$1-2011,FALSE),0)+IFERROR(VLOOKUP($A62,MVolleyball!$C:$O,J$1-2011,FALSE),0)+IFERROR(VLOOKUP($A62,WBasketball!$C:$O,J$1-2011,FALSE),0)+IFERROR(VLOOKUP($A62,WFieldHockey!$C:$O,J$1-2011,FALSE),0)+IFERROR(VLOOKUP($A62,WIceHockey!$C:$O,J$1-2011,FALSE),0)+IFERROR(VLOOKUP($A62,WLacrosse!$C:$O,J$1-2011,FALSE),0)+IFERROR(VLOOKUP($A62,WSoccer!$C:$O,J$1-2011,FALSE),0)+IFERROR(VLOOKUP($A62,WSoftball!$C:$O,J$1-2011,FALSE),0)+IFERROR(VLOOKUP($A62,WVolleyball!$C:$O,J$1-2011,FALSE),0)</f>
        <v>434261</v>
      </c>
      <c r="K62">
        <f>IFERROR(VLOOKUP($A62,MBaseball!$C:$N,K$1-2010,FALSE),0)+IFERROR(VLOOKUP($A62,MBasketball!$C:$J,K$1-2006,FALSE),0)+IFERROR(VLOOKUP($A62,MFootball!$C:$O,K$1-2011,FALSE),0)+IFERROR(VLOOKUP($A62,MIceHockey!$C:$P,K$1-2011,FALSE),0)+IFERROR(VLOOKUP($A62,MLacrosse!$C:$O,K$1-2011,FALSE),0)+IFERROR(VLOOKUP($A62,MSoccer!$C:$O,K$1-2011,FALSE),0)+IFERROR(VLOOKUP($A62,MVolleyball!$C:$O,K$1-2011,FALSE),0)+IFERROR(VLOOKUP($A62,WBasketball!$C:$O,K$1-2011,FALSE),0)+IFERROR(VLOOKUP($A62,WFieldHockey!$C:$O,K$1-2011,FALSE),0)+IFERROR(VLOOKUP($A62,WIceHockey!$C:$O,K$1-2011,FALSE),0)+IFERROR(VLOOKUP($A62,WLacrosse!$C:$O,K$1-2011,FALSE),0)+IFERROR(VLOOKUP($A62,WSoccer!$C:$O,K$1-2011,FALSE),0)+IFERROR(VLOOKUP($A62,WSoftball!$C:$O,K$1-2011,FALSE),0)+IFERROR(VLOOKUP($A62,WVolleyball!$C:$O,K$1-2011,FALSE),0)</f>
        <v>426500</v>
      </c>
      <c r="L62">
        <f>IFERROR(VLOOKUP($A62,MBaseball!$C:$N,L$1-2010,FALSE),0)+IFERROR(VLOOKUP($A62,MBasketball!$C:$J,L$1-2006,FALSE),0)+IFERROR(VLOOKUP($A62,MFootball!$C:$O,L$1-2011,FALSE),0)+IFERROR(VLOOKUP($A62,MIceHockey!$C:$P,L$1-2011,FALSE),0)+IFERROR(VLOOKUP($A62,MLacrosse!$C:$O,L$1-2011,FALSE),0)+IFERROR(VLOOKUP($A62,MSoccer!$C:$O,L$1-2011,FALSE),0)+IFERROR(VLOOKUP($A62,MVolleyball!$C:$O,L$1-2011,FALSE),0)+IFERROR(VLOOKUP($A62,WBasketball!$C:$O,L$1-2011,FALSE),0)+IFERROR(VLOOKUP($A62,WFieldHockey!$C:$O,L$1-2011,FALSE),0)+IFERROR(VLOOKUP($A62,WIceHockey!$C:$O,L$1-2011,FALSE),0)+IFERROR(VLOOKUP($A62,WLacrosse!$C:$O,L$1-2011,FALSE),0)+IFERROR(VLOOKUP($A62,WSoccer!$C:$O,L$1-2011,FALSE),0)+IFERROR(VLOOKUP($A62,WSoftball!$C:$O,L$1-2011,FALSE),0)+IFERROR(VLOOKUP($A62,WVolleyball!$C:$O,L$1-2011,FALSE),0)</f>
        <v>111522</v>
      </c>
      <c r="M62">
        <f>IFERROR(VLOOKUP($A62,MBaseball!$C:$N,M$1-2010,FALSE),0)+IFERROR(VLOOKUP($A62,MBasketball!$C:$J,M$1-2006,FALSE),0)+IFERROR(VLOOKUP($A62,MFootball!$C:$O,M$1-2011,FALSE),0)+IFERROR(VLOOKUP($A62,MIceHockey!$C:$P,M$1-2011,FALSE),0)+IFERROR(VLOOKUP($A62,MLacrosse!$C:$O,M$1-2011,FALSE),0)+IFERROR(VLOOKUP($A62,MSoccer!$C:$O,M$1-2011,FALSE),0)+IFERROR(VLOOKUP($A62,MVolleyball!$C:$O,M$1-2011,FALSE),0)+IFERROR(VLOOKUP($A62,WBasketball!$C:$O,M$1-2011,FALSE),0)+IFERROR(VLOOKUP($A62,WFieldHockey!$C:$O,M$1-2011,FALSE),0)+IFERROR(VLOOKUP($A62,WIceHockey!$C:$O,M$1-2011,FALSE),0)+IFERROR(VLOOKUP($A62,WLacrosse!$C:$O,M$1-2011,FALSE),0)+IFERROR(VLOOKUP($A62,WSoccer!$C:$O,M$1-2011,FALSE),0)+IFERROR(VLOOKUP($A62,WSoftball!$C:$O,M$1-2011,FALSE),0)+IFERROR(VLOOKUP($A62,WVolleyball!$C:$O,M$1-2011,FALSE),0)</f>
        <v>452393</v>
      </c>
      <c r="N62">
        <f>IFERROR(VLOOKUP($A62,MBaseball!$C:$N,N$1-2010,FALSE),0)+IFERROR(VLOOKUP($A62,MBasketball!$C:$J,N$1-2006,FALSE),0)+IFERROR(VLOOKUP($A62,MFootball!$C:$O,N$1-2011,FALSE),0)+IFERROR(VLOOKUP($A62,MIceHockey!$C:$P,N$1-2011,FALSE),0)+IFERROR(VLOOKUP($A62,MLacrosse!$C:$O,N$1-2011,FALSE),0)+IFERROR(VLOOKUP($A62,MSoccer!$C:$O,N$1-2011,FALSE),0)+IFERROR(VLOOKUP($A62,MVolleyball!$C:$O,N$1-2011,FALSE),0)+IFERROR(VLOOKUP($A62,WBasketball!$C:$O,N$1-2011,FALSE),0)+IFERROR(VLOOKUP($A62,WFieldHockey!$C:$O,N$1-2011,FALSE),0)+IFERROR(VLOOKUP($A62,WIceHockey!$C:$O,N$1-2011,FALSE),0)+IFERROR(VLOOKUP($A62,WLacrosse!$C:$O,N$1-2011,FALSE),0)+IFERROR(VLOOKUP($A62,WSoccer!$C:$O,N$1-2011,FALSE),0)+IFERROR(VLOOKUP($A62,WSoftball!$C:$O,N$1-2011,FALSE),0)+IFERROR(VLOOKUP($A62,WVolleyball!$C:$O,N$1-2011,FALSE),0)</f>
        <v>443981</v>
      </c>
    </row>
    <row r="63" spans="1:14" x14ac:dyDescent="0.2">
      <c r="A63">
        <v>486840</v>
      </c>
      <c r="B63">
        <v>12060</v>
      </c>
      <c r="C63" t="s">
        <v>113</v>
      </c>
      <c r="D63">
        <v>62</v>
      </c>
      <c r="E63">
        <f>IFERROR(VLOOKUP($A63,MBaseball!$C:$N,E$1-2010,FALSE),0)+IFERROR(VLOOKUP($A63,MBasketball!$C:$J,E$1-2006,FALSE),0)+IFERROR(VLOOKUP($A63,MFootball!$C:$O,E$1-2011,FALSE),0)+IFERROR(VLOOKUP($A63,MIceHockey!$C:$P,E$1-2011,FALSE),0)+IFERROR(VLOOKUP($A63,MLacrosse!$C:$O,E$1-2011,FALSE),0)+IFERROR(VLOOKUP($A63,MSoccer!$C:$O,E$1-2011,FALSE),0)+IFERROR(VLOOKUP($A63,MVolleyball!$C:$O,E$1-2011,FALSE),0)+IFERROR(VLOOKUP($A63,WBasketball!$C:$O,E$1-2011,FALSE),0)+IFERROR(VLOOKUP($A63,WFieldHockey!$C:$O,E$1-2011,FALSE),0)+IFERROR(VLOOKUP($A63,WIceHockey!$C:$O,E$1-2011,FALSE),0)+IFERROR(VLOOKUP($A63,WLacrosse!$C:$O,E$1-2011,FALSE),0)+IFERROR(VLOOKUP($A63,WSoccer!$C:$O,E$1-2011,FALSE),0)+IFERROR(VLOOKUP($A63,WSoftball!$C:$O,E$1-2011,FALSE),0)+IFERROR(VLOOKUP($A63,WVolleyball!$C:$O,E$1-2011,FALSE),0)</f>
        <v>47556</v>
      </c>
      <c r="F63">
        <f>IFERROR(VLOOKUP($A63,MBaseball!$C:$N,F$1-2010,FALSE),0)+IFERROR(VLOOKUP($A63,MBasketball!$C:$J,F$1-2006,FALSE),0)+IFERROR(VLOOKUP($A63,MFootball!$C:$O,F$1-2011,FALSE),0)+IFERROR(VLOOKUP($A63,MIceHockey!$C:$P,F$1-2011,FALSE),0)+IFERROR(VLOOKUP($A63,MLacrosse!$C:$O,F$1-2011,FALSE),0)+IFERROR(VLOOKUP($A63,MSoccer!$C:$O,F$1-2011,FALSE),0)+IFERROR(VLOOKUP($A63,MVolleyball!$C:$O,F$1-2011,FALSE),0)+IFERROR(VLOOKUP($A63,WBasketball!$C:$O,F$1-2011,FALSE),0)+IFERROR(VLOOKUP($A63,WFieldHockey!$C:$O,F$1-2011,FALSE),0)+IFERROR(VLOOKUP($A63,WIceHockey!$C:$O,F$1-2011,FALSE),0)+IFERROR(VLOOKUP($A63,WLacrosse!$C:$O,F$1-2011,FALSE),0)+IFERROR(VLOOKUP($A63,WSoccer!$C:$O,F$1-2011,FALSE),0)+IFERROR(VLOOKUP($A63,WSoftball!$C:$O,F$1-2011,FALSE),0)+IFERROR(VLOOKUP($A63,WVolleyball!$C:$O,F$1-2011,FALSE),0)</f>
        <v>37049</v>
      </c>
      <c r="G63">
        <f>IFERROR(VLOOKUP($A63,MBaseball!$C:$N,G$1-2010,FALSE),0)+IFERROR(VLOOKUP($A63,MBasketball!$C:$J,G$1-2006,FALSE),0)+IFERROR(VLOOKUP($A63,MFootball!$C:$O,G$1-2011,FALSE),0)+IFERROR(VLOOKUP($A63,MIceHockey!$C:$P,G$1-2011,FALSE),0)+IFERROR(VLOOKUP($A63,MLacrosse!$C:$O,G$1-2011,FALSE),0)+IFERROR(VLOOKUP($A63,MSoccer!$C:$O,G$1-2011,FALSE),0)+IFERROR(VLOOKUP($A63,MVolleyball!$C:$O,G$1-2011,FALSE),0)+IFERROR(VLOOKUP($A63,WBasketball!$C:$O,G$1-2011,FALSE),0)+IFERROR(VLOOKUP($A63,WFieldHockey!$C:$O,G$1-2011,FALSE),0)+IFERROR(VLOOKUP($A63,WIceHockey!$C:$O,G$1-2011,FALSE),0)+IFERROR(VLOOKUP($A63,WLacrosse!$C:$O,G$1-2011,FALSE),0)+IFERROR(VLOOKUP($A63,WSoccer!$C:$O,G$1-2011,FALSE),0)+IFERROR(VLOOKUP($A63,WSoftball!$C:$O,G$1-2011,FALSE),0)+IFERROR(VLOOKUP($A63,WVolleyball!$C:$O,G$1-2011,FALSE),0)</f>
        <v>95852</v>
      </c>
      <c r="H63">
        <f>IFERROR(VLOOKUP($A63,MBaseball!$C:$N,H$1-2010,FALSE),0)+IFERROR(VLOOKUP($A63,MBasketball!$C:$J,H$1-2006,FALSE),0)+IFERROR(VLOOKUP($A63,MFootball!$C:$O,H$1-2011,FALSE),0)+IFERROR(VLOOKUP($A63,MIceHockey!$C:$P,H$1-2011,FALSE),0)+IFERROR(VLOOKUP($A63,MLacrosse!$C:$O,H$1-2011,FALSE),0)+IFERROR(VLOOKUP($A63,MSoccer!$C:$O,H$1-2011,FALSE),0)+IFERROR(VLOOKUP($A63,MVolleyball!$C:$O,H$1-2011,FALSE),0)+IFERROR(VLOOKUP($A63,WBasketball!$C:$O,H$1-2011,FALSE),0)+IFERROR(VLOOKUP($A63,WFieldHockey!$C:$O,H$1-2011,FALSE),0)+IFERROR(VLOOKUP($A63,WIceHockey!$C:$O,H$1-2011,FALSE),0)+IFERROR(VLOOKUP($A63,WLacrosse!$C:$O,H$1-2011,FALSE),0)+IFERROR(VLOOKUP($A63,WSoccer!$C:$O,H$1-2011,FALSE),0)+IFERROR(VLOOKUP($A63,WSoftball!$C:$O,H$1-2011,FALSE),0)+IFERROR(VLOOKUP($A63,WVolleyball!$C:$O,H$1-2011,FALSE),0)</f>
        <v>96931</v>
      </c>
      <c r="I63">
        <f>IFERROR(VLOOKUP($A63,MBaseball!$C:$N,I$1-2010,FALSE),0)+IFERROR(VLOOKUP($A63,MBasketball!$C:$J,I$1-2006,FALSE),0)+IFERROR(VLOOKUP($A63,MFootball!$C:$O,I$1-2011,FALSE),0)+IFERROR(VLOOKUP($A63,MIceHockey!$C:$P,I$1-2011,FALSE),0)+IFERROR(VLOOKUP($A63,MLacrosse!$C:$O,I$1-2011,FALSE),0)+IFERROR(VLOOKUP($A63,MSoccer!$C:$O,I$1-2011,FALSE),0)+IFERROR(VLOOKUP($A63,MVolleyball!$C:$O,I$1-2011,FALSE),0)+IFERROR(VLOOKUP($A63,WBasketball!$C:$O,I$1-2011,FALSE),0)+IFERROR(VLOOKUP($A63,WFieldHockey!$C:$O,I$1-2011,FALSE),0)+IFERROR(VLOOKUP($A63,WIceHockey!$C:$O,I$1-2011,FALSE),0)+IFERROR(VLOOKUP($A63,WLacrosse!$C:$O,I$1-2011,FALSE),0)+IFERROR(VLOOKUP($A63,WSoccer!$C:$O,I$1-2011,FALSE),0)+IFERROR(VLOOKUP($A63,WSoftball!$C:$O,I$1-2011,FALSE),0)+IFERROR(VLOOKUP($A63,WVolleyball!$C:$O,I$1-2011,FALSE),0)</f>
        <v>87492</v>
      </c>
      <c r="J63">
        <f>IFERROR(VLOOKUP($A63,MBaseball!$C:$N,J$1-2010,FALSE),0)+IFERROR(VLOOKUP($A63,MBasketball!$C:$J,J$1-2006,FALSE),0)+IFERROR(VLOOKUP($A63,MFootball!$C:$O,J$1-2011,FALSE),0)+IFERROR(VLOOKUP($A63,MIceHockey!$C:$P,J$1-2011,FALSE),0)+IFERROR(VLOOKUP($A63,MLacrosse!$C:$O,J$1-2011,FALSE),0)+IFERROR(VLOOKUP($A63,MSoccer!$C:$O,J$1-2011,FALSE),0)+IFERROR(VLOOKUP($A63,MVolleyball!$C:$O,J$1-2011,FALSE),0)+IFERROR(VLOOKUP($A63,WBasketball!$C:$O,J$1-2011,FALSE),0)+IFERROR(VLOOKUP($A63,WFieldHockey!$C:$O,J$1-2011,FALSE),0)+IFERROR(VLOOKUP($A63,WIceHockey!$C:$O,J$1-2011,FALSE),0)+IFERROR(VLOOKUP($A63,WLacrosse!$C:$O,J$1-2011,FALSE),0)+IFERROR(VLOOKUP($A63,WSoccer!$C:$O,J$1-2011,FALSE),0)+IFERROR(VLOOKUP($A63,WSoftball!$C:$O,J$1-2011,FALSE),0)+IFERROR(VLOOKUP($A63,WVolleyball!$C:$O,J$1-2011,FALSE),0)</f>
        <v>71664</v>
      </c>
      <c r="K63">
        <f>IFERROR(VLOOKUP($A63,MBaseball!$C:$N,K$1-2010,FALSE),0)+IFERROR(VLOOKUP($A63,MBasketball!$C:$J,K$1-2006,FALSE),0)+IFERROR(VLOOKUP($A63,MFootball!$C:$O,K$1-2011,FALSE),0)+IFERROR(VLOOKUP($A63,MIceHockey!$C:$P,K$1-2011,FALSE),0)+IFERROR(VLOOKUP($A63,MLacrosse!$C:$O,K$1-2011,FALSE),0)+IFERROR(VLOOKUP($A63,MSoccer!$C:$O,K$1-2011,FALSE),0)+IFERROR(VLOOKUP($A63,MVolleyball!$C:$O,K$1-2011,FALSE),0)+IFERROR(VLOOKUP($A63,WBasketball!$C:$O,K$1-2011,FALSE),0)+IFERROR(VLOOKUP($A63,WFieldHockey!$C:$O,K$1-2011,FALSE),0)+IFERROR(VLOOKUP($A63,WIceHockey!$C:$O,K$1-2011,FALSE),0)+IFERROR(VLOOKUP($A63,WLacrosse!$C:$O,K$1-2011,FALSE),0)+IFERROR(VLOOKUP($A63,WSoccer!$C:$O,K$1-2011,FALSE),0)+IFERROR(VLOOKUP($A63,WSoftball!$C:$O,K$1-2011,FALSE),0)+IFERROR(VLOOKUP($A63,WVolleyball!$C:$O,K$1-2011,FALSE),0)</f>
        <v>60623</v>
      </c>
      <c r="L63">
        <f>IFERROR(VLOOKUP($A63,MBaseball!$C:$N,L$1-2010,FALSE),0)+IFERROR(VLOOKUP($A63,MBasketball!$C:$J,L$1-2006,FALSE),0)+IFERROR(VLOOKUP($A63,MFootball!$C:$O,L$1-2011,FALSE),0)+IFERROR(VLOOKUP($A63,MIceHockey!$C:$P,L$1-2011,FALSE),0)+IFERROR(VLOOKUP($A63,MLacrosse!$C:$O,L$1-2011,FALSE),0)+IFERROR(VLOOKUP($A63,MSoccer!$C:$O,L$1-2011,FALSE),0)+IFERROR(VLOOKUP($A63,MVolleyball!$C:$O,L$1-2011,FALSE),0)+IFERROR(VLOOKUP($A63,WBasketball!$C:$O,L$1-2011,FALSE),0)+IFERROR(VLOOKUP($A63,WFieldHockey!$C:$O,L$1-2011,FALSE),0)+IFERROR(VLOOKUP($A63,WIceHockey!$C:$O,L$1-2011,FALSE),0)+IFERROR(VLOOKUP($A63,WLacrosse!$C:$O,L$1-2011,FALSE),0)+IFERROR(VLOOKUP($A63,WSoccer!$C:$O,L$1-2011,FALSE),0)+IFERROR(VLOOKUP($A63,WSoftball!$C:$O,L$1-2011,FALSE),0)+IFERROR(VLOOKUP($A63,WVolleyball!$C:$O,L$1-2011,FALSE),0)</f>
        <v>28239</v>
      </c>
      <c r="M63">
        <f>IFERROR(VLOOKUP($A63,MBaseball!$C:$N,M$1-2010,FALSE),0)+IFERROR(VLOOKUP($A63,MBasketball!$C:$J,M$1-2006,FALSE),0)+IFERROR(VLOOKUP($A63,MFootball!$C:$O,M$1-2011,FALSE),0)+IFERROR(VLOOKUP($A63,MIceHockey!$C:$P,M$1-2011,FALSE),0)+IFERROR(VLOOKUP($A63,MLacrosse!$C:$O,M$1-2011,FALSE),0)+IFERROR(VLOOKUP($A63,MSoccer!$C:$O,M$1-2011,FALSE),0)+IFERROR(VLOOKUP($A63,MVolleyball!$C:$O,M$1-2011,FALSE),0)+IFERROR(VLOOKUP($A63,WBasketball!$C:$O,M$1-2011,FALSE),0)+IFERROR(VLOOKUP($A63,WFieldHockey!$C:$O,M$1-2011,FALSE),0)+IFERROR(VLOOKUP($A63,WIceHockey!$C:$O,M$1-2011,FALSE),0)+IFERROR(VLOOKUP($A63,WLacrosse!$C:$O,M$1-2011,FALSE),0)+IFERROR(VLOOKUP($A63,WSoccer!$C:$O,M$1-2011,FALSE),0)+IFERROR(VLOOKUP($A63,WSoftball!$C:$O,M$1-2011,FALSE),0)+IFERROR(VLOOKUP($A63,WVolleyball!$C:$O,M$1-2011,FALSE),0)</f>
        <v>75932</v>
      </c>
      <c r="N63">
        <f>IFERROR(VLOOKUP($A63,MBaseball!$C:$N,N$1-2010,FALSE),0)+IFERROR(VLOOKUP($A63,MBasketball!$C:$J,N$1-2006,FALSE),0)+IFERROR(VLOOKUP($A63,MFootball!$C:$O,N$1-2011,FALSE),0)+IFERROR(VLOOKUP($A63,MIceHockey!$C:$P,N$1-2011,FALSE),0)+IFERROR(VLOOKUP($A63,MLacrosse!$C:$O,N$1-2011,FALSE),0)+IFERROR(VLOOKUP($A63,MSoccer!$C:$O,N$1-2011,FALSE),0)+IFERROR(VLOOKUP($A63,MVolleyball!$C:$O,N$1-2011,FALSE),0)+IFERROR(VLOOKUP($A63,WBasketball!$C:$O,N$1-2011,FALSE),0)+IFERROR(VLOOKUP($A63,WFieldHockey!$C:$O,N$1-2011,FALSE),0)+IFERROR(VLOOKUP($A63,WIceHockey!$C:$O,N$1-2011,FALSE),0)+IFERROR(VLOOKUP($A63,WLacrosse!$C:$O,N$1-2011,FALSE),0)+IFERROR(VLOOKUP($A63,WSoccer!$C:$O,N$1-2011,FALSE),0)+IFERROR(VLOOKUP($A63,WSoftball!$C:$O,N$1-2011,FALSE),0)+IFERROR(VLOOKUP($A63,WVolleyball!$C:$O,N$1-2011,FALSE),0)</f>
        <v>54635</v>
      </c>
    </row>
    <row r="64" spans="1:14" x14ac:dyDescent="0.2">
      <c r="A64">
        <v>203517</v>
      </c>
      <c r="B64">
        <v>10420</v>
      </c>
      <c r="C64" t="s">
        <v>114</v>
      </c>
      <c r="D64">
        <v>63</v>
      </c>
      <c r="E64">
        <f>IFERROR(VLOOKUP($A64,MBaseball!$C:$N,E$1-2010,FALSE),0)+IFERROR(VLOOKUP($A64,MBasketball!$C:$J,E$1-2006,FALSE),0)+IFERROR(VLOOKUP($A64,MFootball!$C:$O,E$1-2011,FALSE),0)+IFERROR(VLOOKUP($A64,MIceHockey!$C:$P,E$1-2011,FALSE),0)+IFERROR(VLOOKUP($A64,MLacrosse!$C:$O,E$1-2011,FALSE),0)+IFERROR(VLOOKUP($A64,MSoccer!$C:$O,E$1-2011,FALSE),0)+IFERROR(VLOOKUP($A64,MVolleyball!$C:$O,E$1-2011,FALSE),0)+IFERROR(VLOOKUP($A64,WBasketball!$C:$O,E$1-2011,FALSE),0)+IFERROR(VLOOKUP($A64,WFieldHockey!$C:$O,E$1-2011,FALSE),0)+IFERROR(VLOOKUP($A64,WIceHockey!$C:$O,E$1-2011,FALSE),0)+IFERROR(VLOOKUP($A64,WLacrosse!$C:$O,E$1-2011,FALSE),0)+IFERROR(VLOOKUP($A64,WSoccer!$C:$O,E$1-2011,FALSE),0)+IFERROR(VLOOKUP($A64,WSoftball!$C:$O,E$1-2011,FALSE),0)+IFERROR(VLOOKUP($A64,WVolleyball!$C:$O,E$1-2011,FALSE),0)</f>
        <v>63336</v>
      </c>
      <c r="F64">
        <f>IFERROR(VLOOKUP($A64,MBaseball!$C:$N,F$1-2010,FALSE),0)+IFERROR(VLOOKUP($A64,MBasketball!$C:$J,F$1-2006,FALSE),0)+IFERROR(VLOOKUP($A64,MFootball!$C:$O,F$1-2011,FALSE),0)+IFERROR(VLOOKUP($A64,MIceHockey!$C:$P,F$1-2011,FALSE),0)+IFERROR(VLOOKUP($A64,MLacrosse!$C:$O,F$1-2011,FALSE),0)+IFERROR(VLOOKUP($A64,MSoccer!$C:$O,F$1-2011,FALSE),0)+IFERROR(VLOOKUP($A64,MVolleyball!$C:$O,F$1-2011,FALSE),0)+IFERROR(VLOOKUP($A64,WBasketball!$C:$O,F$1-2011,FALSE),0)+IFERROR(VLOOKUP($A64,WFieldHockey!$C:$O,F$1-2011,FALSE),0)+IFERROR(VLOOKUP($A64,WIceHockey!$C:$O,F$1-2011,FALSE),0)+IFERROR(VLOOKUP($A64,WLacrosse!$C:$O,F$1-2011,FALSE),0)+IFERROR(VLOOKUP($A64,WSoccer!$C:$O,F$1-2011,FALSE),0)+IFERROR(VLOOKUP($A64,WSoftball!$C:$O,F$1-2011,FALSE),0)+IFERROR(VLOOKUP($A64,WVolleyball!$C:$O,F$1-2011,FALSE),0)</f>
        <v>101334</v>
      </c>
      <c r="G64">
        <f>IFERROR(VLOOKUP($A64,MBaseball!$C:$N,G$1-2010,FALSE),0)+IFERROR(VLOOKUP($A64,MBasketball!$C:$J,G$1-2006,FALSE),0)+IFERROR(VLOOKUP($A64,MFootball!$C:$O,G$1-2011,FALSE),0)+IFERROR(VLOOKUP($A64,MIceHockey!$C:$P,G$1-2011,FALSE),0)+IFERROR(VLOOKUP($A64,MLacrosse!$C:$O,G$1-2011,FALSE),0)+IFERROR(VLOOKUP($A64,MSoccer!$C:$O,G$1-2011,FALSE),0)+IFERROR(VLOOKUP($A64,MVolleyball!$C:$O,G$1-2011,FALSE),0)+IFERROR(VLOOKUP($A64,WBasketball!$C:$O,G$1-2011,FALSE),0)+IFERROR(VLOOKUP($A64,WFieldHockey!$C:$O,G$1-2011,FALSE),0)+IFERROR(VLOOKUP($A64,WIceHockey!$C:$O,G$1-2011,FALSE),0)+IFERROR(VLOOKUP($A64,WLacrosse!$C:$O,G$1-2011,FALSE),0)+IFERROR(VLOOKUP($A64,WSoccer!$C:$O,G$1-2011,FALSE),0)+IFERROR(VLOOKUP($A64,WSoftball!$C:$O,G$1-2011,FALSE),0)+IFERROR(VLOOKUP($A64,WVolleyball!$C:$O,G$1-2011,FALSE),0)</f>
        <v>98587</v>
      </c>
      <c r="H64">
        <f>IFERROR(VLOOKUP($A64,MBaseball!$C:$N,H$1-2010,FALSE),0)+IFERROR(VLOOKUP($A64,MBasketball!$C:$J,H$1-2006,FALSE),0)+IFERROR(VLOOKUP($A64,MFootball!$C:$O,H$1-2011,FALSE),0)+IFERROR(VLOOKUP($A64,MIceHockey!$C:$P,H$1-2011,FALSE),0)+IFERROR(VLOOKUP($A64,MLacrosse!$C:$O,H$1-2011,FALSE),0)+IFERROR(VLOOKUP($A64,MSoccer!$C:$O,H$1-2011,FALSE),0)+IFERROR(VLOOKUP($A64,MVolleyball!$C:$O,H$1-2011,FALSE),0)+IFERROR(VLOOKUP($A64,WBasketball!$C:$O,H$1-2011,FALSE),0)+IFERROR(VLOOKUP($A64,WFieldHockey!$C:$O,H$1-2011,FALSE),0)+IFERROR(VLOOKUP($A64,WIceHockey!$C:$O,H$1-2011,FALSE),0)+IFERROR(VLOOKUP($A64,WLacrosse!$C:$O,H$1-2011,FALSE),0)+IFERROR(VLOOKUP($A64,WSoccer!$C:$O,H$1-2011,FALSE),0)+IFERROR(VLOOKUP($A64,WSoftball!$C:$O,H$1-2011,FALSE),0)+IFERROR(VLOOKUP($A64,WVolleyball!$C:$O,H$1-2011,FALSE),0)</f>
        <v>89122</v>
      </c>
      <c r="I64">
        <f>IFERROR(VLOOKUP($A64,MBaseball!$C:$N,I$1-2010,FALSE),0)+IFERROR(VLOOKUP($A64,MBasketball!$C:$J,I$1-2006,FALSE),0)+IFERROR(VLOOKUP($A64,MFootball!$C:$O,I$1-2011,FALSE),0)+IFERROR(VLOOKUP($A64,MIceHockey!$C:$P,I$1-2011,FALSE),0)+IFERROR(VLOOKUP($A64,MLacrosse!$C:$O,I$1-2011,FALSE),0)+IFERROR(VLOOKUP($A64,MSoccer!$C:$O,I$1-2011,FALSE),0)+IFERROR(VLOOKUP($A64,MVolleyball!$C:$O,I$1-2011,FALSE),0)+IFERROR(VLOOKUP($A64,WBasketball!$C:$O,I$1-2011,FALSE),0)+IFERROR(VLOOKUP($A64,WFieldHockey!$C:$O,I$1-2011,FALSE),0)+IFERROR(VLOOKUP($A64,WIceHockey!$C:$O,I$1-2011,FALSE),0)+IFERROR(VLOOKUP($A64,WLacrosse!$C:$O,I$1-2011,FALSE),0)+IFERROR(VLOOKUP($A64,WSoccer!$C:$O,I$1-2011,FALSE),0)+IFERROR(VLOOKUP($A64,WSoftball!$C:$O,I$1-2011,FALSE),0)+IFERROR(VLOOKUP($A64,WVolleyball!$C:$O,I$1-2011,FALSE),0)</f>
        <v>99198</v>
      </c>
      <c r="J64">
        <f>IFERROR(VLOOKUP($A64,MBaseball!$C:$N,J$1-2010,FALSE),0)+IFERROR(VLOOKUP($A64,MBasketball!$C:$J,J$1-2006,FALSE),0)+IFERROR(VLOOKUP($A64,MFootball!$C:$O,J$1-2011,FALSE),0)+IFERROR(VLOOKUP($A64,MIceHockey!$C:$P,J$1-2011,FALSE),0)+IFERROR(VLOOKUP($A64,MLacrosse!$C:$O,J$1-2011,FALSE),0)+IFERROR(VLOOKUP($A64,MSoccer!$C:$O,J$1-2011,FALSE),0)+IFERROR(VLOOKUP($A64,MVolleyball!$C:$O,J$1-2011,FALSE),0)+IFERROR(VLOOKUP($A64,WBasketball!$C:$O,J$1-2011,FALSE),0)+IFERROR(VLOOKUP($A64,WFieldHockey!$C:$O,J$1-2011,FALSE),0)+IFERROR(VLOOKUP($A64,WIceHockey!$C:$O,J$1-2011,FALSE),0)+IFERROR(VLOOKUP($A64,WLacrosse!$C:$O,J$1-2011,FALSE),0)+IFERROR(VLOOKUP($A64,WSoccer!$C:$O,J$1-2011,FALSE),0)+IFERROR(VLOOKUP($A64,WSoftball!$C:$O,J$1-2011,FALSE),0)+IFERROR(VLOOKUP($A64,WVolleyball!$C:$O,J$1-2011,FALSE),0)</f>
        <v>91103</v>
      </c>
      <c r="K64">
        <f>IFERROR(VLOOKUP($A64,MBaseball!$C:$N,K$1-2010,FALSE),0)+IFERROR(VLOOKUP($A64,MBasketball!$C:$J,K$1-2006,FALSE),0)+IFERROR(VLOOKUP($A64,MFootball!$C:$O,K$1-2011,FALSE),0)+IFERROR(VLOOKUP($A64,MIceHockey!$C:$P,K$1-2011,FALSE),0)+IFERROR(VLOOKUP($A64,MLacrosse!$C:$O,K$1-2011,FALSE),0)+IFERROR(VLOOKUP($A64,MSoccer!$C:$O,K$1-2011,FALSE),0)+IFERROR(VLOOKUP($A64,MVolleyball!$C:$O,K$1-2011,FALSE),0)+IFERROR(VLOOKUP($A64,WBasketball!$C:$O,K$1-2011,FALSE),0)+IFERROR(VLOOKUP($A64,WFieldHockey!$C:$O,K$1-2011,FALSE),0)+IFERROR(VLOOKUP($A64,WIceHockey!$C:$O,K$1-2011,FALSE),0)+IFERROR(VLOOKUP($A64,WLacrosse!$C:$O,K$1-2011,FALSE),0)+IFERROR(VLOOKUP($A64,WSoccer!$C:$O,K$1-2011,FALSE),0)+IFERROR(VLOOKUP($A64,WSoftball!$C:$O,K$1-2011,FALSE),0)+IFERROR(VLOOKUP($A64,WVolleyball!$C:$O,K$1-2011,FALSE),0)</f>
        <v>99966</v>
      </c>
      <c r="L64">
        <f>IFERROR(VLOOKUP($A64,MBaseball!$C:$N,L$1-2010,FALSE),0)+IFERROR(VLOOKUP($A64,MBasketball!$C:$J,L$1-2006,FALSE),0)+IFERROR(VLOOKUP($A64,MFootball!$C:$O,L$1-2011,FALSE),0)+IFERROR(VLOOKUP($A64,MIceHockey!$C:$P,L$1-2011,FALSE),0)+IFERROR(VLOOKUP($A64,MLacrosse!$C:$O,L$1-2011,FALSE),0)+IFERROR(VLOOKUP($A64,MSoccer!$C:$O,L$1-2011,FALSE),0)+IFERROR(VLOOKUP($A64,MVolleyball!$C:$O,L$1-2011,FALSE),0)+IFERROR(VLOOKUP($A64,WBasketball!$C:$O,L$1-2011,FALSE),0)+IFERROR(VLOOKUP($A64,WFieldHockey!$C:$O,L$1-2011,FALSE),0)+IFERROR(VLOOKUP($A64,WIceHockey!$C:$O,L$1-2011,FALSE),0)+IFERROR(VLOOKUP($A64,WLacrosse!$C:$O,L$1-2011,FALSE),0)+IFERROR(VLOOKUP($A64,WSoccer!$C:$O,L$1-2011,FALSE),0)+IFERROR(VLOOKUP($A64,WSoftball!$C:$O,L$1-2011,FALSE),0)+IFERROR(VLOOKUP($A64,WVolleyball!$C:$O,L$1-2011,FALSE),0)</f>
        <v>10751</v>
      </c>
      <c r="M64">
        <f>IFERROR(VLOOKUP($A64,MBaseball!$C:$N,M$1-2010,FALSE),0)+IFERROR(VLOOKUP($A64,MBasketball!$C:$J,M$1-2006,FALSE),0)+IFERROR(VLOOKUP($A64,MFootball!$C:$O,M$1-2011,FALSE),0)+IFERROR(VLOOKUP($A64,MIceHockey!$C:$P,M$1-2011,FALSE),0)+IFERROR(VLOOKUP($A64,MLacrosse!$C:$O,M$1-2011,FALSE),0)+IFERROR(VLOOKUP($A64,MSoccer!$C:$O,M$1-2011,FALSE),0)+IFERROR(VLOOKUP($A64,MVolleyball!$C:$O,M$1-2011,FALSE),0)+IFERROR(VLOOKUP($A64,WBasketball!$C:$O,M$1-2011,FALSE),0)+IFERROR(VLOOKUP($A64,WFieldHockey!$C:$O,M$1-2011,FALSE),0)+IFERROR(VLOOKUP($A64,WIceHockey!$C:$O,M$1-2011,FALSE),0)+IFERROR(VLOOKUP($A64,WLacrosse!$C:$O,M$1-2011,FALSE),0)+IFERROR(VLOOKUP($A64,WSoccer!$C:$O,M$1-2011,FALSE),0)+IFERROR(VLOOKUP($A64,WSoftball!$C:$O,M$1-2011,FALSE),0)+IFERROR(VLOOKUP($A64,WVolleyball!$C:$O,M$1-2011,FALSE),0)</f>
        <v>94623</v>
      </c>
      <c r="N64">
        <f>IFERROR(VLOOKUP($A64,MBaseball!$C:$N,N$1-2010,FALSE),0)+IFERROR(VLOOKUP($A64,MBasketball!$C:$J,N$1-2006,FALSE),0)+IFERROR(VLOOKUP($A64,MFootball!$C:$O,N$1-2011,FALSE),0)+IFERROR(VLOOKUP($A64,MIceHockey!$C:$P,N$1-2011,FALSE),0)+IFERROR(VLOOKUP($A64,MLacrosse!$C:$O,N$1-2011,FALSE),0)+IFERROR(VLOOKUP($A64,MSoccer!$C:$O,N$1-2011,FALSE),0)+IFERROR(VLOOKUP($A64,MVolleyball!$C:$O,N$1-2011,FALSE),0)+IFERROR(VLOOKUP($A64,WBasketball!$C:$O,N$1-2011,FALSE),0)+IFERROR(VLOOKUP($A64,WFieldHockey!$C:$O,N$1-2011,FALSE),0)+IFERROR(VLOOKUP($A64,WIceHockey!$C:$O,N$1-2011,FALSE),0)+IFERROR(VLOOKUP($A64,WLacrosse!$C:$O,N$1-2011,FALSE),0)+IFERROR(VLOOKUP($A64,WSoccer!$C:$O,N$1-2011,FALSE),0)+IFERROR(VLOOKUP($A64,WSoftball!$C:$O,N$1-2011,FALSE),0)+IFERROR(VLOOKUP($A64,WVolleyball!$C:$O,N$1-2011,FALSE),0)</f>
        <v>102003</v>
      </c>
    </row>
    <row r="65" spans="1:14" x14ac:dyDescent="0.2">
      <c r="A65">
        <v>157085</v>
      </c>
      <c r="B65">
        <v>30460</v>
      </c>
      <c r="C65" t="s">
        <v>115</v>
      </c>
      <c r="D65">
        <v>64</v>
      </c>
      <c r="E65">
        <f>IFERROR(VLOOKUP($A65,MBaseball!$C:$N,E$1-2010,FALSE),0)+IFERROR(VLOOKUP($A65,MBasketball!$C:$J,E$1-2006,FALSE),0)+IFERROR(VLOOKUP($A65,MFootball!$C:$O,E$1-2011,FALSE),0)+IFERROR(VLOOKUP($A65,MIceHockey!$C:$P,E$1-2011,FALSE),0)+IFERROR(VLOOKUP($A65,MLacrosse!$C:$O,E$1-2011,FALSE),0)+IFERROR(VLOOKUP($A65,MSoccer!$C:$O,E$1-2011,FALSE),0)+IFERROR(VLOOKUP($A65,MVolleyball!$C:$O,E$1-2011,FALSE),0)+IFERROR(VLOOKUP($A65,WBasketball!$C:$O,E$1-2011,FALSE),0)+IFERROR(VLOOKUP($A65,WFieldHockey!$C:$O,E$1-2011,FALSE),0)+IFERROR(VLOOKUP($A65,WIceHockey!$C:$O,E$1-2011,FALSE),0)+IFERROR(VLOOKUP($A65,WLacrosse!$C:$O,E$1-2011,FALSE),0)+IFERROR(VLOOKUP($A65,WSoccer!$C:$O,E$1-2011,FALSE),0)+IFERROR(VLOOKUP($A65,WSoftball!$C:$O,E$1-2011,FALSE),0)+IFERROR(VLOOKUP($A65,WVolleyball!$C:$O,E$1-2011,FALSE),0)</f>
        <v>597279</v>
      </c>
      <c r="F65">
        <f>IFERROR(VLOOKUP($A65,MBaseball!$C:$N,F$1-2010,FALSE),0)+IFERROR(VLOOKUP($A65,MBasketball!$C:$J,F$1-2006,FALSE),0)+IFERROR(VLOOKUP($A65,MFootball!$C:$O,F$1-2011,FALSE),0)+IFERROR(VLOOKUP($A65,MIceHockey!$C:$P,F$1-2011,FALSE),0)+IFERROR(VLOOKUP($A65,MLacrosse!$C:$O,F$1-2011,FALSE),0)+IFERROR(VLOOKUP($A65,MSoccer!$C:$O,F$1-2011,FALSE),0)+IFERROR(VLOOKUP($A65,MVolleyball!$C:$O,F$1-2011,FALSE),0)+IFERROR(VLOOKUP($A65,WBasketball!$C:$O,F$1-2011,FALSE),0)+IFERROR(VLOOKUP($A65,WFieldHockey!$C:$O,F$1-2011,FALSE),0)+IFERROR(VLOOKUP($A65,WIceHockey!$C:$O,F$1-2011,FALSE),0)+IFERROR(VLOOKUP($A65,WLacrosse!$C:$O,F$1-2011,FALSE),0)+IFERROR(VLOOKUP($A65,WSoccer!$C:$O,F$1-2011,FALSE),0)+IFERROR(VLOOKUP($A65,WSoftball!$C:$O,F$1-2011,FALSE),0)+IFERROR(VLOOKUP($A65,WVolleyball!$C:$O,F$1-2011,FALSE),0)</f>
        <v>624706</v>
      </c>
      <c r="G65">
        <f>IFERROR(VLOOKUP($A65,MBaseball!$C:$N,G$1-2010,FALSE),0)+IFERROR(VLOOKUP($A65,MBasketball!$C:$J,G$1-2006,FALSE),0)+IFERROR(VLOOKUP($A65,MFootball!$C:$O,G$1-2011,FALSE),0)+IFERROR(VLOOKUP($A65,MIceHockey!$C:$P,G$1-2011,FALSE),0)+IFERROR(VLOOKUP($A65,MLacrosse!$C:$O,G$1-2011,FALSE),0)+IFERROR(VLOOKUP($A65,MSoccer!$C:$O,G$1-2011,FALSE),0)+IFERROR(VLOOKUP($A65,MVolleyball!$C:$O,G$1-2011,FALSE),0)+IFERROR(VLOOKUP($A65,WBasketball!$C:$O,G$1-2011,FALSE),0)+IFERROR(VLOOKUP($A65,WFieldHockey!$C:$O,G$1-2011,FALSE),0)+IFERROR(VLOOKUP($A65,WIceHockey!$C:$O,G$1-2011,FALSE),0)+IFERROR(VLOOKUP($A65,WLacrosse!$C:$O,G$1-2011,FALSE),0)+IFERROR(VLOOKUP($A65,WSoccer!$C:$O,G$1-2011,FALSE),0)+IFERROR(VLOOKUP($A65,WSoftball!$C:$O,G$1-2011,FALSE),0)+IFERROR(VLOOKUP($A65,WVolleyball!$C:$O,G$1-2011,FALSE),0)</f>
        <v>783784</v>
      </c>
      <c r="H65">
        <f>IFERROR(VLOOKUP($A65,MBaseball!$C:$N,H$1-2010,FALSE),0)+IFERROR(VLOOKUP($A65,MBasketball!$C:$J,H$1-2006,FALSE),0)+IFERROR(VLOOKUP($A65,MFootball!$C:$O,H$1-2011,FALSE),0)+IFERROR(VLOOKUP($A65,MIceHockey!$C:$P,H$1-2011,FALSE),0)+IFERROR(VLOOKUP($A65,MLacrosse!$C:$O,H$1-2011,FALSE),0)+IFERROR(VLOOKUP($A65,MSoccer!$C:$O,H$1-2011,FALSE),0)+IFERROR(VLOOKUP($A65,MVolleyball!$C:$O,H$1-2011,FALSE),0)+IFERROR(VLOOKUP($A65,WBasketball!$C:$O,H$1-2011,FALSE),0)+IFERROR(VLOOKUP($A65,WFieldHockey!$C:$O,H$1-2011,FALSE),0)+IFERROR(VLOOKUP($A65,WIceHockey!$C:$O,H$1-2011,FALSE),0)+IFERROR(VLOOKUP($A65,WLacrosse!$C:$O,H$1-2011,FALSE),0)+IFERROR(VLOOKUP($A65,WSoccer!$C:$O,H$1-2011,FALSE),0)+IFERROR(VLOOKUP($A65,WSoftball!$C:$O,H$1-2011,FALSE),0)+IFERROR(VLOOKUP($A65,WVolleyball!$C:$O,H$1-2011,FALSE),0)</f>
        <v>643236</v>
      </c>
      <c r="I65">
        <f>IFERROR(VLOOKUP($A65,MBaseball!$C:$N,I$1-2010,FALSE),0)+IFERROR(VLOOKUP($A65,MBasketball!$C:$J,I$1-2006,FALSE),0)+IFERROR(VLOOKUP($A65,MFootball!$C:$O,I$1-2011,FALSE),0)+IFERROR(VLOOKUP($A65,MIceHockey!$C:$P,I$1-2011,FALSE),0)+IFERROR(VLOOKUP($A65,MLacrosse!$C:$O,I$1-2011,FALSE),0)+IFERROR(VLOOKUP($A65,MSoccer!$C:$O,I$1-2011,FALSE),0)+IFERROR(VLOOKUP($A65,MVolleyball!$C:$O,I$1-2011,FALSE),0)+IFERROR(VLOOKUP($A65,WBasketball!$C:$O,I$1-2011,FALSE),0)+IFERROR(VLOOKUP($A65,WFieldHockey!$C:$O,I$1-2011,FALSE),0)+IFERROR(VLOOKUP($A65,WIceHockey!$C:$O,I$1-2011,FALSE),0)+IFERROR(VLOOKUP($A65,WLacrosse!$C:$O,I$1-2011,FALSE),0)+IFERROR(VLOOKUP($A65,WSoccer!$C:$O,I$1-2011,FALSE),0)+IFERROR(VLOOKUP($A65,WSoftball!$C:$O,I$1-2011,FALSE),0)+IFERROR(VLOOKUP($A65,WVolleyball!$C:$O,I$1-2011,FALSE),0)</f>
        <v>673932</v>
      </c>
      <c r="J65">
        <f>IFERROR(VLOOKUP($A65,MBaseball!$C:$N,J$1-2010,FALSE),0)+IFERROR(VLOOKUP($A65,MBasketball!$C:$J,J$1-2006,FALSE),0)+IFERROR(VLOOKUP($A65,MFootball!$C:$O,J$1-2011,FALSE),0)+IFERROR(VLOOKUP($A65,MIceHockey!$C:$P,J$1-2011,FALSE),0)+IFERROR(VLOOKUP($A65,MLacrosse!$C:$O,J$1-2011,FALSE),0)+IFERROR(VLOOKUP($A65,MSoccer!$C:$O,J$1-2011,FALSE),0)+IFERROR(VLOOKUP($A65,MVolleyball!$C:$O,J$1-2011,FALSE),0)+IFERROR(VLOOKUP($A65,WBasketball!$C:$O,J$1-2011,FALSE),0)+IFERROR(VLOOKUP($A65,WFieldHockey!$C:$O,J$1-2011,FALSE),0)+IFERROR(VLOOKUP($A65,WIceHockey!$C:$O,J$1-2011,FALSE),0)+IFERROR(VLOOKUP($A65,WLacrosse!$C:$O,J$1-2011,FALSE),0)+IFERROR(VLOOKUP($A65,WSoccer!$C:$O,J$1-2011,FALSE),0)+IFERROR(VLOOKUP($A65,WSoftball!$C:$O,J$1-2011,FALSE),0)+IFERROR(VLOOKUP($A65,WVolleyball!$C:$O,J$1-2011,FALSE),0)</f>
        <v>589103</v>
      </c>
      <c r="K65">
        <f>IFERROR(VLOOKUP($A65,MBaseball!$C:$N,K$1-2010,FALSE),0)+IFERROR(VLOOKUP($A65,MBasketball!$C:$J,K$1-2006,FALSE),0)+IFERROR(VLOOKUP($A65,MFootball!$C:$O,K$1-2011,FALSE),0)+IFERROR(VLOOKUP($A65,MIceHockey!$C:$P,K$1-2011,FALSE),0)+IFERROR(VLOOKUP($A65,MLacrosse!$C:$O,K$1-2011,FALSE),0)+IFERROR(VLOOKUP($A65,MSoccer!$C:$O,K$1-2011,FALSE),0)+IFERROR(VLOOKUP($A65,MVolleyball!$C:$O,K$1-2011,FALSE),0)+IFERROR(VLOOKUP($A65,WBasketball!$C:$O,K$1-2011,FALSE),0)+IFERROR(VLOOKUP($A65,WFieldHockey!$C:$O,K$1-2011,FALSE),0)+IFERROR(VLOOKUP($A65,WIceHockey!$C:$O,K$1-2011,FALSE),0)+IFERROR(VLOOKUP($A65,WLacrosse!$C:$O,K$1-2011,FALSE),0)+IFERROR(VLOOKUP($A65,WSoccer!$C:$O,K$1-2011,FALSE),0)+IFERROR(VLOOKUP($A65,WSoftball!$C:$O,K$1-2011,FALSE),0)+IFERROR(VLOOKUP($A65,WVolleyball!$C:$O,K$1-2011,FALSE),0)</f>
        <v>585228</v>
      </c>
      <c r="L65">
        <f>IFERROR(VLOOKUP($A65,MBaseball!$C:$N,L$1-2010,FALSE),0)+IFERROR(VLOOKUP($A65,MBasketball!$C:$J,L$1-2006,FALSE),0)+IFERROR(VLOOKUP($A65,MFootball!$C:$O,L$1-2011,FALSE),0)+IFERROR(VLOOKUP($A65,MIceHockey!$C:$P,L$1-2011,FALSE),0)+IFERROR(VLOOKUP($A65,MLacrosse!$C:$O,L$1-2011,FALSE),0)+IFERROR(VLOOKUP($A65,MSoccer!$C:$O,L$1-2011,FALSE),0)+IFERROR(VLOOKUP($A65,MVolleyball!$C:$O,L$1-2011,FALSE),0)+IFERROR(VLOOKUP($A65,WBasketball!$C:$O,L$1-2011,FALSE),0)+IFERROR(VLOOKUP($A65,WFieldHockey!$C:$O,L$1-2011,FALSE),0)+IFERROR(VLOOKUP($A65,WIceHockey!$C:$O,L$1-2011,FALSE),0)+IFERROR(VLOOKUP($A65,WLacrosse!$C:$O,L$1-2011,FALSE),0)+IFERROR(VLOOKUP($A65,WSoccer!$C:$O,L$1-2011,FALSE),0)+IFERROR(VLOOKUP($A65,WSoftball!$C:$O,L$1-2011,FALSE),0)+IFERROR(VLOOKUP($A65,WVolleyball!$C:$O,L$1-2011,FALSE),0)</f>
        <v>167752</v>
      </c>
      <c r="M65">
        <f>IFERROR(VLOOKUP($A65,MBaseball!$C:$N,M$1-2010,FALSE),0)+IFERROR(VLOOKUP($A65,MBasketball!$C:$J,M$1-2006,FALSE),0)+IFERROR(VLOOKUP($A65,MFootball!$C:$O,M$1-2011,FALSE),0)+IFERROR(VLOOKUP($A65,MIceHockey!$C:$P,M$1-2011,FALSE),0)+IFERROR(VLOOKUP($A65,MLacrosse!$C:$O,M$1-2011,FALSE),0)+IFERROR(VLOOKUP($A65,MSoccer!$C:$O,M$1-2011,FALSE),0)+IFERROR(VLOOKUP($A65,MVolleyball!$C:$O,M$1-2011,FALSE),0)+IFERROR(VLOOKUP($A65,WBasketball!$C:$O,M$1-2011,FALSE),0)+IFERROR(VLOOKUP($A65,WFieldHockey!$C:$O,M$1-2011,FALSE),0)+IFERROR(VLOOKUP($A65,WIceHockey!$C:$O,M$1-2011,FALSE),0)+IFERROR(VLOOKUP($A65,WLacrosse!$C:$O,M$1-2011,FALSE),0)+IFERROR(VLOOKUP($A65,WSoccer!$C:$O,M$1-2011,FALSE),0)+IFERROR(VLOOKUP($A65,WSoftball!$C:$O,M$1-2011,FALSE),0)+IFERROR(VLOOKUP($A65,WVolleyball!$C:$O,M$1-2011,FALSE),0)</f>
        <v>628983</v>
      </c>
      <c r="N65">
        <f>IFERROR(VLOOKUP($A65,MBaseball!$C:$N,N$1-2010,FALSE),0)+IFERROR(VLOOKUP($A65,MBasketball!$C:$J,N$1-2006,FALSE),0)+IFERROR(VLOOKUP($A65,MFootball!$C:$O,N$1-2011,FALSE),0)+IFERROR(VLOOKUP($A65,MIceHockey!$C:$P,N$1-2011,FALSE),0)+IFERROR(VLOOKUP($A65,MLacrosse!$C:$O,N$1-2011,FALSE),0)+IFERROR(VLOOKUP($A65,MSoccer!$C:$O,N$1-2011,FALSE),0)+IFERROR(VLOOKUP($A65,MVolleyball!$C:$O,N$1-2011,FALSE),0)+IFERROR(VLOOKUP($A65,WBasketball!$C:$O,N$1-2011,FALSE),0)+IFERROR(VLOOKUP($A65,WFieldHockey!$C:$O,N$1-2011,FALSE),0)+IFERROR(VLOOKUP($A65,WIceHockey!$C:$O,N$1-2011,FALSE),0)+IFERROR(VLOOKUP($A65,WLacrosse!$C:$O,N$1-2011,FALSE),0)+IFERROR(VLOOKUP($A65,WSoccer!$C:$O,N$1-2011,FALSE),0)+IFERROR(VLOOKUP($A65,WSoftball!$C:$O,N$1-2011,FALSE),0)+IFERROR(VLOOKUP($A65,WVolleyball!$C:$O,N$1-2011,FALSE),0)</f>
        <v>639570</v>
      </c>
    </row>
    <row r="66" spans="1:14" x14ac:dyDescent="0.2">
      <c r="A66">
        <v>226091</v>
      </c>
      <c r="B66">
        <v>13140</v>
      </c>
      <c r="C66" t="s">
        <v>116</v>
      </c>
      <c r="D66">
        <v>65</v>
      </c>
      <c r="E66">
        <f>IFERROR(VLOOKUP($A66,MBaseball!$C:$N,E$1-2010,FALSE),0)+IFERROR(VLOOKUP($A66,MBasketball!$C:$J,E$1-2006,FALSE),0)+IFERROR(VLOOKUP($A66,MFootball!$C:$O,E$1-2011,FALSE),0)+IFERROR(VLOOKUP($A66,MIceHockey!$C:$P,E$1-2011,FALSE),0)+IFERROR(VLOOKUP($A66,MLacrosse!$C:$O,E$1-2011,FALSE),0)+IFERROR(VLOOKUP($A66,MSoccer!$C:$O,E$1-2011,FALSE),0)+IFERROR(VLOOKUP($A66,MVolleyball!$C:$O,E$1-2011,FALSE),0)+IFERROR(VLOOKUP($A66,WBasketball!$C:$O,E$1-2011,FALSE),0)+IFERROR(VLOOKUP($A66,WFieldHockey!$C:$O,E$1-2011,FALSE),0)+IFERROR(VLOOKUP($A66,WIceHockey!$C:$O,E$1-2011,FALSE),0)+IFERROR(VLOOKUP($A66,WLacrosse!$C:$O,E$1-2011,FALSE),0)+IFERROR(VLOOKUP($A66,WSoccer!$C:$O,E$1-2011,FALSE),0)+IFERROR(VLOOKUP($A66,WSoftball!$C:$O,E$1-2011,FALSE),0)+IFERROR(VLOOKUP($A66,WVolleyball!$C:$O,E$1-2011,FALSE),0)</f>
        <v>72532</v>
      </c>
      <c r="F66">
        <f>IFERROR(VLOOKUP($A66,MBaseball!$C:$N,F$1-2010,FALSE),0)+IFERROR(VLOOKUP($A66,MBasketball!$C:$J,F$1-2006,FALSE),0)+IFERROR(VLOOKUP($A66,MFootball!$C:$O,F$1-2011,FALSE),0)+IFERROR(VLOOKUP($A66,MIceHockey!$C:$P,F$1-2011,FALSE),0)+IFERROR(VLOOKUP($A66,MLacrosse!$C:$O,F$1-2011,FALSE),0)+IFERROR(VLOOKUP($A66,MSoccer!$C:$O,F$1-2011,FALSE),0)+IFERROR(VLOOKUP($A66,MVolleyball!$C:$O,F$1-2011,FALSE),0)+IFERROR(VLOOKUP($A66,WBasketball!$C:$O,F$1-2011,FALSE),0)+IFERROR(VLOOKUP($A66,WFieldHockey!$C:$O,F$1-2011,FALSE),0)+IFERROR(VLOOKUP($A66,WIceHockey!$C:$O,F$1-2011,FALSE),0)+IFERROR(VLOOKUP($A66,WLacrosse!$C:$O,F$1-2011,FALSE),0)+IFERROR(VLOOKUP($A66,WSoccer!$C:$O,F$1-2011,FALSE),0)+IFERROR(VLOOKUP($A66,WSoftball!$C:$O,F$1-2011,FALSE),0)+IFERROR(VLOOKUP($A66,WVolleyball!$C:$O,F$1-2011,FALSE),0)</f>
        <v>98639</v>
      </c>
      <c r="G66">
        <f>IFERROR(VLOOKUP($A66,MBaseball!$C:$N,G$1-2010,FALSE),0)+IFERROR(VLOOKUP($A66,MBasketball!$C:$J,G$1-2006,FALSE),0)+IFERROR(VLOOKUP($A66,MFootball!$C:$O,G$1-2011,FALSE),0)+IFERROR(VLOOKUP($A66,MIceHockey!$C:$P,G$1-2011,FALSE),0)+IFERROR(VLOOKUP($A66,MLacrosse!$C:$O,G$1-2011,FALSE),0)+IFERROR(VLOOKUP($A66,MSoccer!$C:$O,G$1-2011,FALSE),0)+IFERROR(VLOOKUP($A66,MVolleyball!$C:$O,G$1-2011,FALSE),0)+IFERROR(VLOOKUP($A66,WBasketball!$C:$O,G$1-2011,FALSE),0)+IFERROR(VLOOKUP($A66,WFieldHockey!$C:$O,G$1-2011,FALSE),0)+IFERROR(VLOOKUP($A66,WIceHockey!$C:$O,G$1-2011,FALSE),0)+IFERROR(VLOOKUP($A66,WLacrosse!$C:$O,G$1-2011,FALSE),0)+IFERROR(VLOOKUP($A66,WSoccer!$C:$O,G$1-2011,FALSE),0)+IFERROR(VLOOKUP($A66,WSoftball!$C:$O,G$1-2011,FALSE),0)+IFERROR(VLOOKUP($A66,WVolleyball!$C:$O,G$1-2011,FALSE),0)</f>
        <v>88455</v>
      </c>
      <c r="H66">
        <f>IFERROR(VLOOKUP($A66,MBaseball!$C:$N,H$1-2010,FALSE),0)+IFERROR(VLOOKUP($A66,MBasketball!$C:$J,H$1-2006,FALSE),0)+IFERROR(VLOOKUP($A66,MFootball!$C:$O,H$1-2011,FALSE),0)+IFERROR(VLOOKUP($A66,MIceHockey!$C:$P,H$1-2011,FALSE),0)+IFERROR(VLOOKUP($A66,MLacrosse!$C:$O,H$1-2011,FALSE),0)+IFERROR(VLOOKUP($A66,MSoccer!$C:$O,H$1-2011,FALSE),0)+IFERROR(VLOOKUP($A66,MVolleyball!$C:$O,H$1-2011,FALSE),0)+IFERROR(VLOOKUP($A66,WBasketball!$C:$O,H$1-2011,FALSE),0)+IFERROR(VLOOKUP($A66,WFieldHockey!$C:$O,H$1-2011,FALSE),0)+IFERROR(VLOOKUP($A66,WIceHockey!$C:$O,H$1-2011,FALSE),0)+IFERROR(VLOOKUP($A66,WLacrosse!$C:$O,H$1-2011,FALSE),0)+IFERROR(VLOOKUP($A66,WSoccer!$C:$O,H$1-2011,FALSE),0)+IFERROR(VLOOKUP($A66,WSoftball!$C:$O,H$1-2011,FALSE),0)+IFERROR(VLOOKUP($A66,WVolleyball!$C:$O,H$1-2011,FALSE),0)</f>
        <v>80853</v>
      </c>
      <c r="I66">
        <f>IFERROR(VLOOKUP($A66,MBaseball!$C:$N,I$1-2010,FALSE),0)+IFERROR(VLOOKUP($A66,MBasketball!$C:$J,I$1-2006,FALSE),0)+IFERROR(VLOOKUP($A66,MFootball!$C:$O,I$1-2011,FALSE),0)+IFERROR(VLOOKUP($A66,MIceHockey!$C:$P,I$1-2011,FALSE),0)+IFERROR(VLOOKUP($A66,MLacrosse!$C:$O,I$1-2011,FALSE),0)+IFERROR(VLOOKUP($A66,MSoccer!$C:$O,I$1-2011,FALSE),0)+IFERROR(VLOOKUP($A66,MVolleyball!$C:$O,I$1-2011,FALSE),0)+IFERROR(VLOOKUP($A66,WBasketball!$C:$O,I$1-2011,FALSE),0)+IFERROR(VLOOKUP($A66,WFieldHockey!$C:$O,I$1-2011,FALSE),0)+IFERROR(VLOOKUP($A66,WIceHockey!$C:$O,I$1-2011,FALSE),0)+IFERROR(VLOOKUP($A66,WLacrosse!$C:$O,I$1-2011,FALSE),0)+IFERROR(VLOOKUP($A66,WSoccer!$C:$O,I$1-2011,FALSE),0)+IFERROR(VLOOKUP($A66,WSoftball!$C:$O,I$1-2011,FALSE),0)+IFERROR(VLOOKUP($A66,WVolleyball!$C:$O,I$1-2011,FALSE),0)</f>
        <v>73564</v>
      </c>
      <c r="J66">
        <f>IFERROR(VLOOKUP($A66,MBaseball!$C:$N,J$1-2010,FALSE),0)+IFERROR(VLOOKUP($A66,MBasketball!$C:$J,J$1-2006,FALSE),0)+IFERROR(VLOOKUP($A66,MFootball!$C:$O,J$1-2011,FALSE),0)+IFERROR(VLOOKUP($A66,MIceHockey!$C:$P,J$1-2011,FALSE),0)+IFERROR(VLOOKUP($A66,MLacrosse!$C:$O,J$1-2011,FALSE),0)+IFERROR(VLOOKUP($A66,MSoccer!$C:$O,J$1-2011,FALSE),0)+IFERROR(VLOOKUP($A66,MVolleyball!$C:$O,J$1-2011,FALSE),0)+IFERROR(VLOOKUP($A66,WBasketball!$C:$O,J$1-2011,FALSE),0)+IFERROR(VLOOKUP($A66,WFieldHockey!$C:$O,J$1-2011,FALSE),0)+IFERROR(VLOOKUP($A66,WIceHockey!$C:$O,J$1-2011,FALSE),0)+IFERROR(VLOOKUP($A66,WLacrosse!$C:$O,J$1-2011,FALSE),0)+IFERROR(VLOOKUP($A66,WSoccer!$C:$O,J$1-2011,FALSE),0)+IFERROR(VLOOKUP($A66,WSoftball!$C:$O,J$1-2011,FALSE),0)+IFERROR(VLOOKUP($A66,WVolleyball!$C:$O,J$1-2011,FALSE),0)</f>
        <v>90677</v>
      </c>
      <c r="K66">
        <f>IFERROR(VLOOKUP($A66,MBaseball!$C:$N,K$1-2010,FALSE),0)+IFERROR(VLOOKUP($A66,MBasketball!$C:$J,K$1-2006,FALSE),0)+IFERROR(VLOOKUP($A66,MFootball!$C:$O,K$1-2011,FALSE),0)+IFERROR(VLOOKUP($A66,MIceHockey!$C:$P,K$1-2011,FALSE),0)+IFERROR(VLOOKUP($A66,MLacrosse!$C:$O,K$1-2011,FALSE),0)+IFERROR(VLOOKUP($A66,MSoccer!$C:$O,K$1-2011,FALSE),0)+IFERROR(VLOOKUP($A66,MVolleyball!$C:$O,K$1-2011,FALSE),0)+IFERROR(VLOOKUP($A66,WBasketball!$C:$O,K$1-2011,FALSE),0)+IFERROR(VLOOKUP($A66,WFieldHockey!$C:$O,K$1-2011,FALSE),0)+IFERROR(VLOOKUP($A66,WIceHockey!$C:$O,K$1-2011,FALSE),0)+IFERROR(VLOOKUP($A66,WLacrosse!$C:$O,K$1-2011,FALSE),0)+IFERROR(VLOOKUP($A66,WSoccer!$C:$O,K$1-2011,FALSE),0)+IFERROR(VLOOKUP($A66,WSoftball!$C:$O,K$1-2011,FALSE),0)+IFERROR(VLOOKUP($A66,WVolleyball!$C:$O,K$1-2011,FALSE),0)</f>
        <v>83503</v>
      </c>
      <c r="L66">
        <f>IFERROR(VLOOKUP($A66,MBaseball!$C:$N,L$1-2010,FALSE),0)+IFERROR(VLOOKUP($A66,MBasketball!$C:$J,L$1-2006,FALSE),0)+IFERROR(VLOOKUP($A66,MFootball!$C:$O,L$1-2011,FALSE),0)+IFERROR(VLOOKUP($A66,MIceHockey!$C:$P,L$1-2011,FALSE),0)+IFERROR(VLOOKUP($A66,MLacrosse!$C:$O,L$1-2011,FALSE),0)+IFERROR(VLOOKUP($A66,MSoccer!$C:$O,L$1-2011,FALSE),0)+IFERROR(VLOOKUP($A66,MVolleyball!$C:$O,L$1-2011,FALSE),0)+IFERROR(VLOOKUP($A66,WBasketball!$C:$O,L$1-2011,FALSE),0)+IFERROR(VLOOKUP($A66,WFieldHockey!$C:$O,L$1-2011,FALSE),0)+IFERROR(VLOOKUP($A66,WIceHockey!$C:$O,L$1-2011,FALSE),0)+IFERROR(VLOOKUP($A66,WLacrosse!$C:$O,L$1-2011,FALSE),0)+IFERROR(VLOOKUP($A66,WSoccer!$C:$O,L$1-2011,FALSE),0)+IFERROR(VLOOKUP($A66,WSoftball!$C:$O,L$1-2011,FALSE),0)+IFERROR(VLOOKUP($A66,WVolleyball!$C:$O,L$1-2011,FALSE),0)</f>
        <v>49179</v>
      </c>
      <c r="M66">
        <f>IFERROR(VLOOKUP($A66,MBaseball!$C:$N,M$1-2010,FALSE),0)+IFERROR(VLOOKUP($A66,MBasketball!$C:$J,M$1-2006,FALSE),0)+IFERROR(VLOOKUP($A66,MFootball!$C:$O,M$1-2011,FALSE),0)+IFERROR(VLOOKUP($A66,MIceHockey!$C:$P,M$1-2011,FALSE),0)+IFERROR(VLOOKUP($A66,MLacrosse!$C:$O,M$1-2011,FALSE),0)+IFERROR(VLOOKUP($A66,MSoccer!$C:$O,M$1-2011,FALSE),0)+IFERROR(VLOOKUP($A66,MVolleyball!$C:$O,M$1-2011,FALSE),0)+IFERROR(VLOOKUP($A66,WBasketball!$C:$O,M$1-2011,FALSE),0)+IFERROR(VLOOKUP($A66,WFieldHockey!$C:$O,M$1-2011,FALSE),0)+IFERROR(VLOOKUP($A66,WIceHockey!$C:$O,M$1-2011,FALSE),0)+IFERROR(VLOOKUP($A66,WLacrosse!$C:$O,M$1-2011,FALSE),0)+IFERROR(VLOOKUP($A66,WSoccer!$C:$O,M$1-2011,FALSE),0)+IFERROR(VLOOKUP($A66,WSoftball!$C:$O,M$1-2011,FALSE),0)+IFERROR(VLOOKUP($A66,WVolleyball!$C:$O,M$1-2011,FALSE),0)</f>
        <v>82602</v>
      </c>
      <c r="N66">
        <f>IFERROR(VLOOKUP($A66,MBaseball!$C:$N,N$1-2010,FALSE),0)+IFERROR(VLOOKUP($A66,MBasketball!$C:$J,N$1-2006,FALSE),0)+IFERROR(VLOOKUP($A66,MFootball!$C:$O,N$1-2011,FALSE),0)+IFERROR(VLOOKUP($A66,MIceHockey!$C:$P,N$1-2011,FALSE),0)+IFERROR(VLOOKUP($A66,MLacrosse!$C:$O,N$1-2011,FALSE),0)+IFERROR(VLOOKUP($A66,MSoccer!$C:$O,N$1-2011,FALSE),0)+IFERROR(VLOOKUP($A66,MVolleyball!$C:$O,N$1-2011,FALSE),0)+IFERROR(VLOOKUP($A66,WBasketball!$C:$O,N$1-2011,FALSE),0)+IFERROR(VLOOKUP($A66,WFieldHockey!$C:$O,N$1-2011,FALSE),0)+IFERROR(VLOOKUP($A66,WIceHockey!$C:$O,N$1-2011,FALSE),0)+IFERROR(VLOOKUP($A66,WLacrosse!$C:$O,N$1-2011,FALSE),0)+IFERROR(VLOOKUP($A66,WSoccer!$C:$O,N$1-2011,FALSE),0)+IFERROR(VLOOKUP($A66,WSoftball!$C:$O,N$1-2011,FALSE),0)+IFERROR(VLOOKUP($A66,WVolleyball!$C:$O,N$1-2011,FALSE),0)</f>
        <v>53841</v>
      </c>
    </row>
    <row r="67" spans="1:14" x14ac:dyDescent="0.2">
      <c r="A67">
        <v>110583</v>
      </c>
      <c r="B67">
        <v>31080</v>
      </c>
      <c r="C67" t="s">
        <v>117</v>
      </c>
      <c r="D67">
        <v>66</v>
      </c>
      <c r="E67">
        <f>IFERROR(VLOOKUP($A67,MBaseball!$C:$N,E$1-2010,FALSE),0)+IFERROR(VLOOKUP($A67,MBasketball!$C:$J,E$1-2006,FALSE),0)+IFERROR(VLOOKUP($A67,MFootball!$C:$O,E$1-2011,FALSE),0)+IFERROR(VLOOKUP($A67,MIceHockey!$C:$P,E$1-2011,FALSE),0)+IFERROR(VLOOKUP($A67,MLacrosse!$C:$O,E$1-2011,FALSE),0)+IFERROR(VLOOKUP($A67,MSoccer!$C:$O,E$1-2011,FALSE),0)+IFERROR(VLOOKUP($A67,MVolleyball!$C:$O,E$1-2011,FALSE),0)+IFERROR(VLOOKUP($A67,WBasketball!$C:$O,E$1-2011,FALSE),0)+IFERROR(VLOOKUP($A67,WFieldHockey!$C:$O,E$1-2011,FALSE),0)+IFERROR(VLOOKUP($A67,WIceHockey!$C:$O,E$1-2011,FALSE),0)+IFERROR(VLOOKUP($A67,WLacrosse!$C:$O,E$1-2011,FALSE),0)+IFERROR(VLOOKUP($A67,WSoccer!$C:$O,E$1-2011,FALSE),0)+IFERROR(VLOOKUP($A67,WSoftball!$C:$O,E$1-2011,FALSE),0)+IFERROR(VLOOKUP($A67,WVolleyball!$C:$O,E$1-2011,FALSE),0)</f>
        <v>124154</v>
      </c>
      <c r="F67">
        <f>IFERROR(VLOOKUP($A67,MBaseball!$C:$N,F$1-2010,FALSE),0)+IFERROR(VLOOKUP($A67,MBasketball!$C:$J,F$1-2006,FALSE),0)+IFERROR(VLOOKUP($A67,MFootball!$C:$O,F$1-2011,FALSE),0)+IFERROR(VLOOKUP($A67,MIceHockey!$C:$P,F$1-2011,FALSE),0)+IFERROR(VLOOKUP($A67,MLacrosse!$C:$O,F$1-2011,FALSE),0)+IFERROR(VLOOKUP($A67,MSoccer!$C:$O,F$1-2011,FALSE),0)+IFERROR(VLOOKUP($A67,MVolleyball!$C:$O,F$1-2011,FALSE),0)+IFERROR(VLOOKUP($A67,WBasketball!$C:$O,F$1-2011,FALSE),0)+IFERROR(VLOOKUP($A67,WFieldHockey!$C:$O,F$1-2011,FALSE),0)+IFERROR(VLOOKUP($A67,WIceHockey!$C:$O,F$1-2011,FALSE),0)+IFERROR(VLOOKUP($A67,WLacrosse!$C:$O,F$1-2011,FALSE),0)+IFERROR(VLOOKUP($A67,WSoccer!$C:$O,F$1-2011,FALSE),0)+IFERROR(VLOOKUP($A67,WSoftball!$C:$O,F$1-2011,FALSE),0)+IFERROR(VLOOKUP($A67,WVolleyball!$C:$O,F$1-2011,FALSE),0)</f>
        <v>100427</v>
      </c>
      <c r="G67">
        <f>IFERROR(VLOOKUP($A67,MBaseball!$C:$N,G$1-2010,FALSE),0)+IFERROR(VLOOKUP($A67,MBasketball!$C:$J,G$1-2006,FALSE),0)+IFERROR(VLOOKUP($A67,MFootball!$C:$O,G$1-2011,FALSE),0)+IFERROR(VLOOKUP($A67,MIceHockey!$C:$P,G$1-2011,FALSE),0)+IFERROR(VLOOKUP($A67,MLacrosse!$C:$O,G$1-2011,FALSE),0)+IFERROR(VLOOKUP($A67,MSoccer!$C:$O,G$1-2011,FALSE),0)+IFERROR(VLOOKUP($A67,MVolleyball!$C:$O,G$1-2011,FALSE),0)+IFERROR(VLOOKUP($A67,WBasketball!$C:$O,G$1-2011,FALSE),0)+IFERROR(VLOOKUP($A67,WFieldHockey!$C:$O,G$1-2011,FALSE),0)+IFERROR(VLOOKUP($A67,WIceHockey!$C:$O,G$1-2011,FALSE),0)+IFERROR(VLOOKUP($A67,WLacrosse!$C:$O,G$1-2011,FALSE),0)+IFERROR(VLOOKUP($A67,WSoccer!$C:$O,G$1-2011,FALSE),0)+IFERROR(VLOOKUP($A67,WSoftball!$C:$O,G$1-2011,FALSE),0)+IFERROR(VLOOKUP($A67,WVolleyball!$C:$O,G$1-2011,FALSE),0)</f>
        <v>120216</v>
      </c>
      <c r="H67">
        <f>IFERROR(VLOOKUP($A67,MBaseball!$C:$N,H$1-2010,FALSE),0)+IFERROR(VLOOKUP($A67,MBasketball!$C:$J,H$1-2006,FALSE),0)+IFERROR(VLOOKUP($A67,MFootball!$C:$O,H$1-2011,FALSE),0)+IFERROR(VLOOKUP($A67,MIceHockey!$C:$P,H$1-2011,FALSE),0)+IFERROR(VLOOKUP($A67,MLacrosse!$C:$O,H$1-2011,FALSE),0)+IFERROR(VLOOKUP($A67,MSoccer!$C:$O,H$1-2011,FALSE),0)+IFERROR(VLOOKUP($A67,MVolleyball!$C:$O,H$1-2011,FALSE),0)+IFERROR(VLOOKUP($A67,WBasketball!$C:$O,H$1-2011,FALSE),0)+IFERROR(VLOOKUP($A67,WFieldHockey!$C:$O,H$1-2011,FALSE),0)+IFERROR(VLOOKUP($A67,WIceHockey!$C:$O,H$1-2011,FALSE),0)+IFERROR(VLOOKUP($A67,WLacrosse!$C:$O,H$1-2011,FALSE),0)+IFERROR(VLOOKUP($A67,WSoccer!$C:$O,H$1-2011,FALSE),0)+IFERROR(VLOOKUP($A67,WSoftball!$C:$O,H$1-2011,FALSE),0)+IFERROR(VLOOKUP($A67,WVolleyball!$C:$O,H$1-2011,FALSE),0)</f>
        <v>124855</v>
      </c>
      <c r="I67">
        <f>IFERROR(VLOOKUP($A67,MBaseball!$C:$N,I$1-2010,FALSE),0)+IFERROR(VLOOKUP($A67,MBasketball!$C:$J,I$1-2006,FALSE),0)+IFERROR(VLOOKUP($A67,MFootball!$C:$O,I$1-2011,FALSE),0)+IFERROR(VLOOKUP($A67,MIceHockey!$C:$P,I$1-2011,FALSE),0)+IFERROR(VLOOKUP($A67,MLacrosse!$C:$O,I$1-2011,FALSE),0)+IFERROR(VLOOKUP($A67,MSoccer!$C:$O,I$1-2011,FALSE),0)+IFERROR(VLOOKUP($A67,MVolleyball!$C:$O,I$1-2011,FALSE),0)+IFERROR(VLOOKUP($A67,WBasketball!$C:$O,I$1-2011,FALSE),0)+IFERROR(VLOOKUP($A67,WFieldHockey!$C:$O,I$1-2011,FALSE),0)+IFERROR(VLOOKUP($A67,WIceHockey!$C:$O,I$1-2011,FALSE),0)+IFERROR(VLOOKUP($A67,WLacrosse!$C:$O,I$1-2011,FALSE),0)+IFERROR(VLOOKUP($A67,WSoccer!$C:$O,I$1-2011,FALSE),0)+IFERROR(VLOOKUP($A67,WSoftball!$C:$O,I$1-2011,FALSE),0)+IFERROR(VLOOKUP($A67,WVolleyball!$C:$O,I$1-2011,FALSE),0)</f>
        <v>105624</v>
      </c>
      <c r="J67">
        <f>IFERROR(VLOOKUP($A67,MBaseball!$C:$N,J$1-2010,FALSE),0)+IFERROR(VLOOKUP($A67,MBasketball!$C:$J,J$1-2006,FALSE),0)+IFERROR(VLOOKUP($A67,MFootball!$C:$O,J$1-2011,FALSE),0)+IFERROR(VLOOKUP($A67,MIceHockey!$C:$P,J$1-2011,FALSE),0)+IFERROR(VLOOKUP($A67,MLacrosse!$C:$O,J$1-2011,FALSE),0)+IFERROR(VLOOKUP($A67,MSoccer!$C:$O,J$1-2011,FALSE),0)+IFERROR(VLOOKUP($A67,MVolleyball!$C:$O,J$1-2011,FALSE),0)+IFERROR(VLOOKUP($A67,WBasketball!$C:$O,J$1-2011,FALSE),0)+IFERROR(VLOOKUP($A67,WFieldHockey!$C:$O,J$1-2011,FALSE),0)+IFERROR(VLOOKUP($A67,WIceHockey!$C:$O,J$1-2011,FALSE),0)+IFERROR(VLOOKUP($A67,WLacrosse!$C:$O,J$1-2011,FALSE),0)+IFERROR(VLOOKUP($A67,WSoccer!$C:$O,J$1-2011,FALSE),0)+IFERROR(VLOOKUP($A67,WSoftball!$C:$O,J$1-2011,FALSE),0)+IFERROR(VLOOKUP($A67,WVolleyball!$C:$O,J$1-2011,FALSE),0)</f>
        <v>94624</v>
      </c>
      <c r="K67">
        <f>IFERROR(VLOOKUP($A67,MBaseball!$C:$N,K$1-2010,FALSE),0)+IFERROR(VLOOKUP($A67,MBasketball!$C:$J,K$1-2006,FALSE),0)+IFERROR(VLOOKUP($A67,MFootball!$C:$O,K$1-2011,FALSE),0)+IFERROR(VLOOKUP($A67,MIceHockey!$C:$P,K$1-2011,FALSE),0)+IFERROR(VLOOKUP($A67,MLacrosse!$C:$O,K$1-2011,FALSE),0)+IFERROR(VLOOKUP($A67,MSoccer!$C:$O,K$1-2011,FALSE),0)+IFERROR(VLOOKUP($A67,MVolleyball!$C:$O,K$1-2011,FALSE),0)+IFERROR(VLOOKUP($A67,WBasketball!$C:$O,K$1-2011,FALSE),0)+IFERROR(VLOOKUP($A67,WFieldHockey!$C:$O,K$1-2011,FALSE),0)+IFERROR(VLOOKUP($A67,WIceHockey!$C:$O,K$1-2011,FALSE),0)+IFERROR(VLOOKUP($A67,WLacrosse!$C:$O,K$1-2011,FALSE),0)+IFERROR(VLOOKUP($A67,WSoccer!$C:$O,K$1-2011,FALSE),0)+IFERROR(VLOOKUP($A67,WSoftball!$C:$O,K$1-2011,FALSE),0)+IFERROR(VLOOKUP($A67,WVolleyball!$C:$O,K$1-2011,FALSE),0)</f>
        <v>44593</v>
      </c>
      <c r="L67">
        <f>IFERROR(VLOOKUP($A67,MBaseball!$C:$N,L$1-2010,FALSE),0)+IFERROR(VLOOKUP($A67,MBasketball!$C:$J,L$1-2006,FALSE),0)+IFERROR(VLOOKUP($A67,MFootball!$C:$O,L$1-2011,FALSE),0)+IFERROR(VLOOKUP($A67,MIceHockey!$C:$P,L$1-2011,FALSE),0)+IFERROR(VLOOKUP($A67,MLacrosse!$C:$O,L$1-2011,FALSE),0)+IFERROR(VLOOKUP($A67,MSoccer!$C:$O,L$1-2011,FALSE),0)+IFERROR(VLOOKUP($A67,MVolleyball!$C:$O,L$1-2011,FALSE),0)+IFERROR(VLOOKUP($A67,WBasketball!$C:$O,L$1-2011,FALSE),0)+IFERROR(VLOOKUP($A67,WFieldHockey!$C:$O,L$1-2011,FALSE),0)+IFERROR(VLOOKUP($A67,WIceHockey!$C:$O,L$1-2011,FALSE),0)+IFERROR(VLOOKUP($A67,WLacrosse!$C:$O,L$1-2011,FALSE),0)+IFERROR(VLOOKUP($A67,WSoccer!$C:$O,L$1-2011,FALSE),0)+IFERROR(VLOOKUP($A67,WSoftball!$C:$O,L$1-2011,FALSE),0)+IFERROR(VLOOKUP($A67,WVolleyball!$C:$O,L$1-2011,FALSE),0)</f>
        <v>57770</v>
      </c>
      <c r="M67">
        <f>IFERROR(VLOOKUP($A67,MBaseball!$C:$N,M$1-2010,FALSE),0)+IFERROR(VLOOKUP($A67,MBasketball!$C:$J,M$1-2006,FALSE),0)+IFERROR(VLOOKUP($A67,MFootball!$C:$O,M$1-2011,FALSE),0)+IFERROR(VLOOKUP($A67,MIceHockey!$C:$P,M$1-2011,FALSE),0)+IFERROR(VLOOKUP($A67,MLacrosse!$C:$O,M$1-2011,FALSE),0)+IFERROR(VLOOKUP($A67,MSoccer!$C:$O,M$1-2011,FALSE),0)+IFERROR(VLOOKUP($A67,MVolleyball!$C:$O,M$1-2011,FALSE),0)+IFERROR(VLOOKUP($A67,WBasketball!$C:$O,M$1-2011,FALSE),0)+IFERROR(VLOOKUP($A67,WFieldHockey!$C:$O,M$1-2011,FALSE),0)+IFERROR(VLOOKUP($A67,WIceHockey!$C:$O,M$1-2011,FALSE),0)+IFERROR(VLOOKUP($A67,WLacrosse!$C:$O,M$1-2011,FALSE),0)+IFERROR(VLOOKUP($A67,WSoccer!$C:$O,M$1-2011,FALSE),0)+IFERROR(VLOOKUP($A67,WSoftball!$C:$O,M$1-2011,FALSE),0)+IFERROR(VLOOKUP($A67,WVolleyball!$C:$O,M$1-2011,FALSE),0)</f>
        <v>111363</v>
      </c>
      <c r="N67">
        <f>IFERROR(VLOOKUP($A67,MBaseball!$C:$N,N$1-2010,FALSE),0)+IFERROR(VLOOKUP($A67,MBasketball!$C:$J,N$1-2006,FALSE),0)+IFERROR(VLOOKUP($A67,MFootball!$C:$O,N$1-2011,FALSE),0)+IFERROR(VLOOKUP($A67,MIceHockey!$C:$P,N$1-2011,FALSE),0)+IFERROR(VLOOKUP($A67,MLacrosse!$C:$O,N$1-2011,FALSE),0)+IFERROR(VLOOKUP($A67,MSoccer!$C:$O,N$1-2011,FALSE),0)+IFERROR(VLOOKUP($A67,MVolleyball!$C:$O,N$1-2011,FALSE),0)+IFERROR(VLOOKUP($A67,WBasketball!$C:$O,N$1-2011,FALSE),0)+IFERROR(VLOOKUP($A67,WFieldHockey!$C:$O,N$1-2011,FALSE),0)+IFERROR(VLOOKUP($A67,WIceHockey!$C:$O,N$1-2011,FALSE),0)+IFERROR(VLOOKUP($A67,WLacrosse!$C:$O,N$1-2011,FALSE),0)+IFERROR(VLOOKUP($A67,WSoccer!$C:$O,N$1-2011,FALSE),0)+IFERROR(VLOOKUP($A67,WSoftball!$C:$O,N$1-2011,FALSE),0)+IFERROR(VLOOKUP($A67,WVolleyball!$C:$O,N$1-2011,FALSE),0)</f>
        <v>66584</v>
      </c>
    </row>
    <row r="68" spans="1:14" x14ac:dyDescent="0.2">
      <c r="A68">
        <v>232566</v>
      </c>
      <c r="B68">
        <v>40060</v>
      </c>
      <c r="C68" t="s">
        <v>118</v>
      </c>
      <c r="D68">
        <v>67</v>
      </c>
      <c r="E68">
        <f>IFERROR(VLOOKUP($A68,MBaseball!$C:$N,E$1-2010,FALSE),0)+IFERROR(VLOOKUP($A68,MBasketball!$C:$J,E$1-2006,FALSE),0)+IFERROR(VLOOKUP($A68,MFootball!$C:$O,E$1-2011,FALSE),0)+IFERROR(VLOOKUP($A68,MIceHockey!$C:$P,E$1-2011,FALSE),0)+IFERROR(VLOOKUP($A68,MLacrosse!$C:$O,E$1-2011,FALSE),0)+IFERROR(VLOOKUP($A68,MSoccer!$C:$O,E$1-2011,FALSE),0)+IFERROR(VLOOKUP($A68,MVolleyball!$C:$O,E$1-2011,FALSE),0)+IFERROR(VLOOKUP($A68,WBasketball!$C:$O,E$1-2011,FALSE),0)+IFERROR(VLOOKUP($A68,WFieldHockey!$C:$O,E$1-2011,FALSE),0)+IFERROR(VLOOKUP($A68,WIceHockey!$C:$O,E$1-2011,FALSE),0)+IFERROR(VLOOKUP($A68,WLacrosse!$C:$O,E$1-2011,FALSE),0)+IFERROR(VLOOKUP($A68,WSoccer!$C:$O,E$1-2011,FALSE),0)+IFERROR(VLOOKUP($A68,WSoftball!$C:$O,E$1-2011,FALSE),0)+IFERROR(VLOOKUP($A68,WVolleyball!$C:$O,E$1-2011,FALSE),0)</f>
        <v>38581</v>
      </c>
      <c r="F68">
        <f>IFERROR(VLOOKUP($A68,MBaseball!$C:$N,F$1-2010,FALSE),0)+IFERROR(VLOOKUP($A68,MBasketball!$C:$J,F$1-2006,FALSE),0)+IFERROR(VLOOKUP($A68,MFootball!$C:$O,F$1-2011,FALSE),0)+IFERROR(VLOOKUP($A68,MIceHockey!$C:$P,F$1-2011,FALSE),0)+IFERROR(VLOOKUP($A68,MLacrosse!$C:$O,F$1-2011,FALSE),0)+IFERROR(VLOOKUP($A68,MSoccer!$C:$O,F$1-2011,FALSE),0)+IFERROR(VLOOKUP($A68,MVolleyball!$C:$O,F$1-2011,FALSE),0)+IFERROR(VLOOKUP($A68,WBasketball!$C:$O,F$1-2011,FALSE),0)+IFERROR(VLOOKUP($A68,WFieldHockey!$C:$O,F$1-2011,FALSE),0)+IFERROR(VLOOKUP($A68,WIceHockey!$C:$O,F$1-2011,FALSE),0)+IFERROR(VLOOKUP($A68,WLacrosse!$C:$O,F$1-2011,FALSE),0)+IFERROR(VLOOKUP($A68,WSoccer!$C:$O,F$1-2011,FALSE),0)+IFERROR(VLOOKUP($A68,WSoftball!$C:$O,F$1-2011,FALSE),0)+IFERROR(VLOOKUP($A68,WVolleyball!$C:$O,F$1-2011,FALSE),0)</f>
        <v>24483</v>
      </c>
      <c r="G68">
        <f>IFERROR(VLOOKUP($A68,MBaseball!$C:$N,G$1-2010,FALSE),0)+IFERROR(VLOOKUP($A68,MBasketball!$C:$J,G$1-2006,FALSE),0)+IFERROR(VLOOKUP($A68,MFootball!$C:$O,G$1-2011,FALSE),0)+IFERROR(VLOOKUP($A68,MIceHockey!$C:$P,G$1-2011,FALSE),0)+IFERROR(VLOOKUP($A68,MLacrosse!$C:$O,G$1-2011,FALSE),0)+IFERROR(VLOOKUP($A68,MSoccer!$C:$O,G$1-2011,FALSE),0)+IFERROR(VLOOKUP($A68,MVolleyball!$C:$O,G$1-2011,FALSE),0)+IFERROR(VLOOKUP($A68,WBasketball!$C:$O,G$1-2011,FALSE),0)+IFERROR(VLOOKUP($A68,WFieldHockey!$C:$O,G$1-2011,FALSE),0)+IFERROR(VLOOKUP($A68,WIceHockey!$C:$O,G$1-2011,FALSE),0)+IFERROR(VLOOKUP($A68,WLacrosse!$C:$O,G$1-2011,FALSE),0)+IFERROR(VLOOKUP($A68,WSoccer!$C:$O,G$1-2011,FALSE),0)+IFERROR(VLOOKUP($A68,WSoftball!$C:$O,G$1-2011,FALSE),0)+IFERROR(VLOOKUP($A68,WVolleyball!$C:$O,G$1-2011,FALSE),0)</f>
        <v>26344</v>
      </c>
      <c r="H68">
        <f>IFERROR(VLOOKUP($A68,MBaseball!$C:$N,H$1-2010,FALSE),0)+IFERROR(VLOOKUP($A68,MBasketball!$C:$J,H$1-2006,FALSE),0)+IFERROR(VLOOKUP($A68,MFootball!$C:$O,H$1-2011,FALSE),0)+IFERROR(VLOOKUP($A68,MIceHockey!$C:$P,H$1-2011,FALSE),0)+IFERROR(VLOOKUP($A68,MLacrosse!$C:$O,H$1-2011,FALSE),0)+IFERROR(VLOOKUP($A68,MSoccer!$C:$O,H$1-2011,FALSE),0)+IFERROR(VLOOKUP($A68,MVolleyball!$C:$O,H$1-2011,FALSE),0)+IFERROR(VLOOKUP($A68,WBasketball!$C:$O,H$1-2011,FALSE),0)+IFERROR(VLOOKUP($A68,WFieldHockey!$C:$O,H$1-2011,FALSE),0)+IFERROR(VLOOKUP($A68,WIceHockey!$C:$O,H$1-2011,FALSE),0)+IFERROR(VLOOKUP($A68,WLacrosse!$C:$O,H$1-2011,FALSE),0)+IFERROR(VLOOKUP($A68,WSoccer!$C:$O,H$1-2011,FALSE),0)+IFERROR(VLOOKUP($A68,WSoftball!$C:$O,H$1-2011,FALSE),0)+IFERROR(VLOOKUP($A68,WVolleyball!$C:$O,H$1-2011,FALSE),0)</f>
        <v>25624</v>
      </c>
      <c r="I68">
        <f>IFERROR(VLOOKUP($A68,MBaseball!$C:$N,I$1-2010,FALSE),0)+IFERROR(VLOOKUP($A68,MBasketball!$C:$J,I$1-2006,FALSE),0)+IFERROR(VLOOKUP($A68,MFootball!$C:$O,I$1-2011,FALSE),0)+IFERROR(VLOOKUP($A68,MIceHockey!$C:$P,I$1-2011,FALSE),0)+IFERROR(VLOOKUP($A68,MLacrosse!$C:$O,I$1-2011,FALSE),0)+IFERROR(VLOOKUP($A68,MSoccer!$C:$O,I$1-2011,FALSE),0)+IFERROR(VLOOKUP($A68,MVolleyball!$C:$O,I$1-2011,FALSE),0)+IFERROR(VLOOKUP($A68,WBasketball!$C:$O,I$1-2011,FALSE),0)+IFERROR(VLOOKUP($A68,WFieldHockey!$C:$O,I$1-2011,FALSE),0)+IFERROR(VLOOKUP($A68,WIceHockey!$C:$O,I$1-2011,FALSE),0)+IFERROR(VLOOKUP($A68,WLacrosse!$C:$O,I$1-2011,FALSE),0)+IFERROR(VLOOKUP($A68,WSoccer!$C:$O,I$1-2011,FALSE),0)+IFERROR(VLOOKUP($A68,WSoftball!$C:$O,I$1-2011,FALSE),0)+IFERROR(VLOOKUP($A68,WVolleyball!$C:$O,I$1-2011,FALSE),0)</f>
        <v>28333</v>
      </c>
      <c r="J68">
        <f>IFERROR(VLOOKUP($A68,MBaseball!$C:$N,J$1-2010,FALSE),0)+IFERROR(VLOOKUP($A68,MBasketball!$C:$J,J$1-2006,FALSE),0)+IFERROR(VLOOKUP($A68,MFootball!$C:$O,J$1-2011,FALSE),0)+IFERROR(VLOOKUP($A68,MIceHockey!$C:$P,J$1-2011,FALSE),0)+IFERROR(VLOOKUP($A68,MLacrosse!$C:$O,J$1-2011,FALSE),0)+IFERROR(VLOOKUP($A68,MSoccer!$C:$O,J$1-2011,FALSE),0)+IFERROR(VLOOKUP($A68,MVolleyball!$C:$O,J$1-2011,FALSE),0)+IFERROR(VLOOKUP($A68,WBasketball!$C:$O,J$1-2011,FALSE),0)+IFERROR(VLOOKUP($A68,WFieldHockey!$C:$O,J$1-2011,FALSE),0)+IFERROR(VLOOKUP($A68,WIceHockey!$C:$O,J$1-2011,FALSE),0)+IFERROR(VLOOKUP($A68,WLacrosse!$C:$O,J$1-2011,FALSE),0)+IFERROR(VLOOKUP($A68,WSoccer!$C:$O,J$1-2011,FALSE),0)+IFERROR(VLOOKUP($A68,WSoftball!$C:$O,J$1-2011,FALSE),0)+IFERROR(VLOOKUP($A68,WVolleyball!$C:$O,J$1-2011,FALSE),0)</f>
        <v>18739</v>
      </c>
      <c r="K68">
        <f>IFERROR(VLOOKUP($A68,MBaseball!$C:$N,K$1-2010,FALSE),0)+IFERROR(VLOOKUP($A68,MBasketball!$C:$J,K$1-2006,FALSE),0)+IFERROR(VLOOKUP($A68,MFootball!$C:$O,K$1-2011,FALSE),0)+IFERROR(VLOOKUP($A68,MIceHockey!$C:$P,K$1-2011,FALSE),0)+IFERROR(VLOOKUP($A68,MLacrosse!$C:$O,K$1-2011,FALSE),0)+IFERROR(VLOOKUP($A68,MSoccer!$C:$O,K$1-2011,FALSE),0)+IFERROR(VLOOKUP($A68,MVolleyball!$C:$O,K$1-2011,FALSE),0)+IFERROR(VLOOKUP($A68,WBasketball!$C:$O,K$1-2011,FALSE),0)+IFERROR(VLOOKUP($A68,WFieldHockey!$C:$O,K$1-2011,FALSE),0)+IFERROR(VLOOKUP($A68,WIceHockey!$C:$O,K$1-2011,FALSE),0)+IFERROR(VLOOKUP($A68,WLacrosse!$C:$O,K$1-2011,FALSE),0)+IFERROR(VLOOKUP($A68,WSoccer!$C:$O,K$1-2011,FALSE),0)+IFERROR(VLOOKUP($A68,WSoftball!$C:$O,K$1-2011,FALSE),0)+IFERROR(VLOOKUP($A68,WVolleyball!$C:$O,K$1-2011,FALSE),0)</f>
        <v>14820</v>
      </c>
      <c r="L68">
        <f>IFERROR(VLOOKUP($A68,MBaseball!$C:$N,L$1-2010,FALSE),0)+IFERROR(VLOOKUP($A68,MBasketball!$C:$J,L$1-2006,FALSE),0)+IFERROR(VLOOKUP($A68,MFootball!$C:$O,L$1-2011,FALSE),0)+IFERROR(VLOOKUP($A68,MIceHockey!$C:$P,L$1-2011,FALSE),0)+IFERROR(VLOOKUP($A68,MLacrosse!$C:$O,L$1-2011,FALSE),0)+IFERROR(VLOOKUP($A68,MSoccer!$C:$O,L$1-2011,FALSE),0)+IFERROR(VLOOKUP($A68,MVolleyball!$C:$O,L$1-2011,FALSE),0)+IFERROR(VLOOKUP($A68,WBasketball!$C:$O,L$1-2011,FALSE),0)+IFERROR(VLOOKUP($A68,WFieldHockey!$C:$O,L$1-2011,FALSE),0)+IFERROR(VLOOKUP($A68,WIceHockey!$C:$O,L$1-2011,FALSE),0)+IFERROR(VLOOKUP($A68,WLacrosse!$C:$O,L$1-2011,FALSE),0)+IFERROR(VLOOKUP($A68,WSoccer!$C:$O,L$1-2011,FALSE),0)+IFERROR(VLOOKUP($A68,WSoftball!$C:$O,L$1-2011,FALSE),0)+IFERROR(VLOOKUP($A68,WVolleyball!$C:$O,L$1-2011,FALSE),0)</f>
        <v>6362</v>
      </c>
      <c r="M68">
        <f>IFERROR(VLOOKUP($A68,MBaseball!$C:$N,M$1-2010,FALSE),0)+IFERROR(VLOOKUP($A68,MBasketball!$C:$J,M$1-2006,FALSE),0)+IFERROR(VLOOKUP($A68,MFootball!$C:$O,M$1-2011,FALSE),0)+IFERROR(VLOOKUP($A68,MIceHockey!$C:$P,M$1-2011,FALSE),0)+IFERROR(VLOOKUP($A68,MLacrosse!$C:$O,M$1-2011,FALSE),0)+IFERROR(VLOOKUP($A68,MSoccer!$C:$O,M$1-2011,FALSE),0)+IFERROR(VLOOKUP($A68,MVolleyball!$C:$O,M$1-2011,FALSE),0)+IFERROR(VLOOKUP($A68,WBasketball!$C:$O,M$1-2011,FALSE),0)+IFERROR(VLOOKUP($A68,WFieldHockey!$C:$O,M$1-2011,FALSE),0)+IFERROR(VLOOKUP($A68,WIceHockey!$C:$O,M$1-2011,FALSE),0)+IFERROR(VLOOKUP($A68,WLacrosse!$C:$O,M$1-2011,FALSE),0)+IFERROR(VLOOKUP($A68,WSoccer!$C:$O,M$1-2011,FALSE),0)+IFERROR(VLOOKUP($A68,WSoftball!$C:$O,M$1-2011,FALSE),0)+IFERROR(VLOOKUP($A68,WVolleyball!$C:$O,M$1-2011,FALSE),0)</f>
        <v>19359</v>
      </c>
      <c r="N68">
        <f>IFERROR(VLOOKUP($A68,MBaseball!$C:$N,N$1-2010,FALSE),0)+IFERROR(VLOOKUP($A68,MBasketball!$C:$J,N$1-2006,FALSE),0)+IFERROR(VLOOKUP($A68,MFootball!$C:$O,N$1-2011,FALSE),0)+IFERROR(VLOOKUP($A68,MIceHockey!$C:$P,N$1-2011,FALSE),0)+IFERROR(VLOOKUP($A68,MLacrosse!$C:$O,N$1-2011,FALSE),0)+IFERROR(VLOOKUP($A68,MSoccer!$C:$O,N$1-2011,FALSE),0)+IFERROR(VLOOKUP($A68,MVolleyball!$C:$O,N$1-2011,FALSE),0)+IFERROR(VLOOKUP($A68,WBasketball!$C:$O,N$1-2011,FALSE),0)+IFERROR(VLOOKUP($A68,WFieldHockey!$C:$O,N$1-2011,FALSE),0)+IFERROR(VLOOKUP($A68,WIceHockey!$C:$O,N$1-2011,FALSE),0)+IFERROR(VLOOKUP($A68,WLacrosse!$C:$O,N$1-2011,FALSE),0)+IFERROR(VLOOKUP($A68,WSoccer!$C:$O,N$1-2011,FALSE),0)+IFERROR(VLOOKUP($A68,WSoftball!$C:$O,N$1-2011,FALSE),0)+IFERROR(VLOOKUP($A68,WVolleyball!$C:$O,N$1-2011,FALSE),0)</f>
        <v>17291</v>
      </c>
    </row>
    <row r="69" spans="1:14" x14ac:dyDescent="0.2">
      <c r="A69">
        <v>160658</v>
      </c>
      <c r="B69">
        <v>29180</v>
      </c>
      <c r="C69" t="s">
        <v>330</v>
      </c>
      <c r="D69">
        <v>68</v>
      </c>
      <c r="E69">
        <f>IFERROR(VLOOKUP($A69,MBaseball!$C:$N,E$1-2010,FALSE),0)+IFERROR(VLOOKUP($A69,MBasketball!$C:$J,E$1-2006,FALSE),0)+IFERROR(VLOOKUP($A69,MFootball!$C:$O,E$1-2011,FALSE),0)+IFERROR(VLOOKUP($A69,MIceHockey!$C:$P,E$1-2011,FALSE),0)+IFERROR(VLOOKUP($A69,MLacrosse!$C:$O,E$1-2011,FALSE),0)+IFERROR(VLOOKUP($A69,MSoccer!$C:$O,E$1-2011,FALSE),0)+IFERROR(VLOOKUP($A69,MVolleyball!$C:$O,E$1-2011,FALSE),0)+IFERROR(VLOOKUP($A69,WBasketball!$C:$O,E$1-2011,FALSE),0)+IFERROR(VLOOKUP($A69,WFieldHockey!$C:$O,E$1-2011,FALSE),0)+IFERROR(VLOOKUP($A69,WIceHockey!$C:$O,E$1-2011,FALSE),0)+IFERROR(VLOOKUP($A69,WLacrosse!$C:$O,E$1-2011,FALSE),0)+IFERROR(VLOOKUP($A69,WSoccer!$C:$O,E$1-2011,FALSE),0)+IFERROR(VLOOKUP($A69,WSoftball!$C:$O,E$1-2011,FALSE),0)+IFERROR(VLOOKUP($A69,WVolleyball!$C:$O,E$1-2011,FALSE),0)</f>
        <v>170516</v>
      </c>
      <c r="F69">
        <f>IFERROR(VLOOKUP($A69,MBaseball!$C:$N,F$1-2010,FALSE),0)+IFERROR(VLOOKUP($A69,MBasketball!$C:$J,F$1-2006,FALSE),0)+IFERROR(VLOOKUP($A69,MFootball!$C:$O,F$1-2011,FALSE),0)+IFERROR(VLOOKUP($A69,MIceHockey!$C:$P,F$1-2011,FALSE),0)+IFERROR(VLOOKUP($A69,MLacrosse!$C:$O,F$1-2011,FALSE),0)+IFERROR(VLOOKUP($A69,MSoccer!$C:$O,F$1-2011,FALSE),0)+IFERROR(VLOOKUP($A69,MVolleyball!$C:$O,F$1-2011,FALSE),0)+IFERROR(VLOOKUP($A69,WBasketball!$C:$O,F$1-2011,FALSE),0)+IFERROR(VLOOKUP($A69,WFieldHockey!$C:$O,F$1-2011,FALSE),0)+IFERROR(VLOOKUP($A69,WIceHockey!$C:$O,F$1-2011,FALSE),0)+IFERROR(VLOOKUP($A69,WLacrosse!$C:$O,F$1-2011,FALSE),0)+IFERROR(VLOOKUP($A69,WSoccer!$C:$O,F$1-2011,FALSE),0)+IFERROR(VLOOKUP($A69,WSoftball!$C:$O,F$1-2011,FALSE),0)+IFERROR(VLOOKUP($A69,WVolleyball!$C:$O,F$1-2011,FALSE),0)</f>
        <v>307105</v>
      </c>
      <c r="G69">
        <f>IFERROR(VLOOKUP($A69,MBaseball!$C:$N,G$1-2010,FALSE),0)+IFERROR(VLOOKUP($A69,MBasketball!$C:$J,G$1-2006,FALSE),0)+IFERROR(VLOOKUP($A69,MFootball!$C:$O,G$1-2011,FALSE),0)+IFERROR(VLOOKUP($A69,MIceHockey!$C:$P,G$1-2011,FALSE),0)+IFERROR(VLOOKUP($A69,MLacrosse!$C:$O,G$1-2011,FALSE),0)+IFERROR(VLOOKUP($A69,MSoccer!$C:$O,G$1-2011,FALSE),0)+IFERROR(VLOOKUP($A69,MVolleyball!$C:$O,G$1-2011,FALSE),0)+IFERROR(VLOOKUP($A69,WBasketball!$C:$O,G$1-2011,FALSE),0)+IFERROR(VLOOKUP($A69,WFieldHockey!$C:$O,G$1-2011,FALSE),0)+IFERROR(VLOOKUP($A69,WIceHockey!$C:$O,G$1-2011,FALSE),0)+IFERROR(VLOOKUP($A69,WLacrosse!$C:$O,G$1-2011,FALSE),0)+IFERROR(VLOOKUP($A69,WSoccer!$C:$O,G$1-2011,FALSE),0)+IFERROR(VLOOKUP($A69,WSoftball!$C:$O,G$1-2011,FALSE),0)+IFERROR(VLOOKUP($A69,WVolleyball!$C:$O,G$1-2011,FALSE),0)</f>
        <v>317145</v>
      </c>
      <c r="H69">
        <f>IFERROR(VLOOKUP($A69,MBaseball!$C:$N,H$1-2010,FALSE),0)+IFERROR(VLOOKUP($A69,MBasketball!$C:$J,H$1-2006,FALSE),0)+IFERROR(VLOOKUP($A69,MFootball!$C:$O,H$1-2011,FALSE),0)+IFERROR(VLOOKUP($A69,MIceHockey!$C:$P,H$1-2011,FALSE),0)+IFERROR(VLOOKUP($A69,MLacrosse!$C:$O,H$1-2011,FALSE),0)+IFERROR(VLOOKUP($A69,MSoccer!$C:$O,H$1-2011,FALSE),0)+IFERROR(VLOOKUP($A69,MVolleyball!$C:$O,H$1-2011,FALSE),0)+IFERROR(VLOOKUP($A69,WBasketball!$C:$O,H$1-2011,FALSE),0)+IFERROR(VLOOKUP($A69,WFieldHockey!$C:$O,H$1-2011,FALSE),0)+IFERROR(VLOOKUP($A69,WIceHockey!$C:$O,H$1-2011,FALSE),0)+IFERROR(VLOOKUP($A69,WLacrosse!$C:$O,H$1-2011,FALSE),0)+IFERROR(VLOOKUP($A69,WSoccer!$C:$O,H$1-2011,FALSE),0)+IFERROR(VLOOKUP($A69,WSoftball!$C:$O,H$1-2011,FALSE),0)+IFERROR(VLOOKUP($A69,WVolleyball!$C:$O,H$1-2011,FALSE),0)</f>
        <v>319339</v>
      </c>
      <c r="I69">
        <f>IFERROR(VLOOKUP($A69,MBaseball!$C:$N,I$1-2010,FALSE),0)+IFERROR(VLOOKUP($A69,MBasketball!$C:$J,I$1-2006,FALSE),0)+IFERROR(VLOOKUP($A69,MFootball!$C:$O,I$1-2011,FALSE),0)+IFERROR(VLOOKUP($A69,MIceHockey!$C:$P,I$1-2011,FALSE),0)+IFERROR(VLOOKUP($A69,MLacrosse!$C:$O,I$1-2011,FALSE),0)+IFERROR(VLOOKUP($A69,MSoccer!$C:$O,I$1-2011,FALSE),0)+IFERROR(VLOOKUP($A69,MVolleyball!$C:$O,I$1-2011,FALSE),0)+IFERROR(VLOOKUP($A69,WBasketball!$C:$O,I$1-2011,FALSE),0)+IFERROR(VLOOKUP($A69,WFieldHockey!$C:$O,I$1-2011,FALSE),0)+IFERROR(VLOOKUP($A69,WIceHockey!$C:$O,I$1-2011,FALSE),0)+IFERROR(VLOOKUP($A69,WLacrosse!$C:$O,I$1-2011,FALSE),0)+IFERROR(VLOOKUP($A69,WSoccer!$C:$O,I$1-2011,FALSE),0)+IFERROR(VLOOKUP($A69,WSoftball!$C:$O,I$1-2011,FALSE),0)+IFERROR(VLOOKUP($A69,WVolleyball!$C:$O,I$1-2011,FALSE),0)</f>
        <v>287992</v>
      </c>
      <c r="J69">
        <f>IFERROR(VLOOKUP($A69,MBaseball!$C:$N,J$1-2010,FALSE),0)+IFERROR(VLOOKUP($A69,MBasketball!$C:$J,J$1-2006,FALSE),0)+IFERROR(VLOOKUP($A69,MFootball!$C:$O,J$1-2011,FALSE),0)+IFERROR(VLOOKUP($A69,MIceHockey!$C:$P,J$1-2011,FALSE),0)+IFERROR(VLOOKUP($A69,MLacrosse!$C:$O,J$1-2011,FALSE),0)+IFERROR(VLOOKUP($A69,MSoccer!$C:$O,J$1-2011,FALSE),0)+IFERROR(VLOOKUP($A69,MVolleyball!$C:$O,J$1-2011,FALSE),0)+IFERROR(VLOOKUP($A69,WBasketball!$C:$O,J$1-2011,FALSE),0)+IFERROR(VLOOKUP($A69,WFieldHockey!$C:$O,J$1-2011,FALSE),0)+IFERROR(VLOOKUP($A69,WIceHockey!$C:$O,J$1-2011,FALSE),0)+IFERROR(VLOOKUP($A69,WLacrosse!$C:$O,J$1-2011,FALSE),0)+IFERROR(VLOOKUP($A69,WSoccer!$C:$O,J$1-2011,FALSE),0)+IFERROR(VLOOKUP($A69,WSoftball!$C:$O,J$1-2011,FALSE),0)+IFERROR(VLOOKUP($A69,WVolleyball!$C:$O,J$1-2011,FALSE),0)</f>
        <v>229825</v>
      </c>
      <c r="K69">
        <f>IFERROR(VLOOKUP($A69,MBaseball!$C:$N,K$1-2010,FALSE),0)+IFERROR(VLOOKUP($A69,MBasketball!$C:$J,K$1-2006,FALSE),0)+IFERROR(VLOOKUP($A69,MFootball!$C:$O,K$1-2011,FALSE),0)+IFERROR(VLOOKUP($A69,MIceHockey!$C:$P,K$1-2011,FALSE),0)+IFERROR(VLOOKUP($A69,MLacrosse!$C:$O,K$1-2011,FALSE),0)+IFERROR(VLOOKUP($A69,MSoccer!$C:$O,K$1-2011,FALSE),0)+IFERROR(VLOOKUP($A69,MVolleyball!$C:$O,K$1-2011,FALSE),0)+IFERROR(VLOOKUP($A69,WBasketball!$C:$O,K$1-2011,FALSE),0)+IFERROR(VLOOKUP($A69,WFieldHockey!$C:$O,K$1-2011,FALSE),0)+IFERROR(VLOOKUP($A69,WIceHockey!$C:$O,K$1-2011,FALSE),0)+IFERROR(VLOOKUP($A69,WLacrosse!$C:$O,K$1-2011,FALSE),0)+IFERROR(VLOOKUP($A69,WSoccer!$C:$O,K$1-2011,FALSE),0)+IFERROR(VLOOKUP($A69,WSoftball!$C:$O,K$1-2011,FALSE),0)+IFERROR(VLOOKUP($A69,WVolleyball!$C:$O,K$1-2011,FALSE),0)</f>
        <v>186792</v>
      </c>
      <c r="L69">
        <f>IFERROR(VLOOKUP($A69,MBaseball!$C:$N,L$1-2010,FALSE),0)+IFERROR(VLOOKUP($A69,MBasketball!$C:$J,L$1-2006,FALSE),0)+IFERROR(VLOOKUP($A69,MFootball!$C:$O,L$1-2011,FALSE),0)+IFERROR(VLOOKUP($A69,MIceHockey!$C:$P,L$1-2011,FALSE),0)+IFERROR(VLOOKUP($A69,MLacrosse!$C:$O,L$1-2011,FALSE),0)+IFERROR(VLOOKUP($A69,MSoccer!$C:$O,L$1-2011,FALSE),0)+IFERROR(VLOOKUP($A69,MVolleyball!$C:$O,L$1-2011,FALSE),0)+IFERROR(VLOOKUP($A69,WBasketball!$C:$O,L$1-2011,FALSE),0)+IFERROR(VLOOKUP($A69,WFieldHockey!$C:$O,L$1-2011,FALSE),0)+IFERROR(VLOOKUP($A69,WIceHockey!$C:$O,L$1-2011,FALSE),0)+IFERROR(VLOOKUP($A69,WLacrosse!$C:$O,L$1-2011,FALSE),0)+IFERROR(VLOOKUP($A69,WSoccer!$C:$O,L$1-2011,FALSE),0)+IFERROR(VLOOKUP($A69,WSoftball!$C:$O,L$1-2011,FALSE),0)+IFERROR(VLOOKUP($A69,WVolleyball!$C:$O,L$1-2011,FALSE),0)</f>
        <v>146077</v>
      </c>
      <c r="M69">
        <f>IFERROR(VLOOKUP($A69,MBaseball!$C:$N,M$1-2010,FALSE),0)+IFERROR(VLOOKUP($A69,MBasketball!$C:$J,M$1-2006,FALSE),0)+IFERROR(VLOOKUP($A69,MFootball!$C:$O,M$1-2011,FALSE),0)+IFERROR(VLOOKUP($A69,MIceHockey!$C:$P,M$1-2011,FALSE),0)+IFERROR(VLOOKUP($A69,MLacrosse!$C:$O,M$1-2011,FALSE),0)+IFERROR(VLOOKUP($A69,MSoccer!$C:$O,M$1-2011,FALSE),0)+IFERROR(VLOOKUP($A69,MVolleyball!$C:$O,M$1-2011,FALSE),0)+IFERROR(VLOOKUP($A69,WBasketball!$C:$O,M$1-2011,FALSE),0)+IFERROR(VLOOKUP($A69,WFieldHockey!$C:$O,M$1-2011,FALSE),0)+IFERROR(VLOOKUP($A69,WIceHockey!$C:$O,M$1-2011,FALSE),0)+IFERROR(VLOOKUP($A69,WLacrosse!$C:$O,M$1-2011,FALSE),0)+IFERROR(VLOOKUP($A69,WSoccer!$C:$O,M$1-2011,FALSE),0)+IFERROR(VLOOKUP($A69,WSoftball!$C:$O,M$1-2011,FALSE),0)+IFERROR(VLOOKUP($A69,WVolleyball!$C:$O,M$1-2011,FALSE),0)</f>
        <v>343380</v>
      </c>
      <c r="N69">
        <f>IFERROR(VLOOKUP($A69,MBaseball!$C:$N,N$1-2010,FALSE),0)+IFERROR(VLOOKUP($A69,MBasketball!$C:$J,N$1-2006,FALSE),0)+IFERROR(VLOOKUP($A69,MFootball!$C:$O,N$1-2011,FALSE),0)+IFERROR(VLOOKUP($A69,MIceHockey!$C:$P,N$1-2011,FALSE),0)+IFERROR(VLOOKUP($A69,MLacrosse!$C:$O,N$1-2011,FALSE),0)+IFERROR(VLOOKUP($A69,MSoccer!$C:$O,N$1-2011,FALSE),0)+IFERROR(VLOOKUP($A69,MVolleyball!$C:$O,N$1-2011,FALSE),0)+IFERROR(VLOOKUP($A69,WBasketball!$C:$O,N$1-2011,FALSE),0)+IFERROR(VLOOKUP($A69,WFieldHockey!$C:$O,N$1-2011,FALSE),0)+IFERROR(VLOOKUP($A69,WIceHockey!$C:$O,N$1-2011,FALSE),0)+IFERROR(VLOOKUP($A69,WLacrosse!$C:$O,N$1-2011,FALSE),0)+IFERROR(VLOOKUP($A69,WSoccer!$C:$O,N$1-2011,FALSE),0)+IFERROR(VLOOKUP($A69,WSoftball!$C:$O,N$1-2011,FALSE),0)+IFERROR(VLOOKUP($A69,WVolleyball!$C:$O,N$1-2011,FALSE),0)</f>
        <v>141819</v>
      </c>
    </row>
    <row r="70" spans="1:14" x14ac:dyDescent="0.2">
      <c r="A70">
        <v>159647</v>
      </c>
      <c r="B70">
        <v>40820</v>
      </c>
      <c r="C70" t="s">
        <v>121</v>
      </c>
      <c r="D70">
        <v>69</v>
      </c>
      <c r="E70">
        <f>IFERROR(VLOOKUP($A70,MBaseball!$C:$N,E$1-2010,FALSE),0)+IFERROR(VLOOKUP($A70,MBasketball!$C:$J,E$1-2006,FALSE),0)+IFERROR(VLOOKUP($A70,MFootball!$C:$O,E$1-2011,FALSE),0)+IFERROR(VLOOKUP($A70,MIceHockey!$C:$P,E$1-2011,FALSE),0)+IFERROR(VLOOKUP($A70,MLacrosse!$C:$O,E$1-2011,FALSE),0)+IFERROR(VLOOKUP($A70,MSoccer!$C:$O,E$1-2011,FALSE),0)+IFERROR(VLOOKUP($A70,MVolleyball!$C:$O,E$1-2011,FALSE),0)+IFERROR(VLOOKUP($A70,WBasketball!$C:$O,E$1-2011,FALSE),0)+IFERROR(VLOOKUP($A70,WFieldHockey!$C:$O,E$1-2011,FALSE),0)+IFERROR(VLOOKUP($A70,WIceHockey!$C:$O,E$1-2011,FALSE),0)+IFERROR(VLOOKUP($A70,WLacrosse!$C:$O,E$1-2011,FALSE),0)+IFERROR(VLOOKUP($A70,WSoccer!$C:$O,E$1-2011,FALSE),0)+IFERROR(VLOOKUP($A70,WSoftball!$C:$O,E$1-2011,FALSE),0)+IFERROR(VLOOKUP($A70,WVolleyball!$C:$O,E$1-2011,FALSE),0)</f>
        <v>85709</v>
      </c>
      <c r="F70">
        <f>IFERROR(VLOOKUP($A70,MBaseball!$C:$N,F$1-2010,FALSE),0)+IFERROR(VLOOKUP($A70,MBasketball!$C:$J,F$1-2006,FALSE),0)+IFERROR(VLOOKUP($A70,MFootball!$C:$O,F$1-2011,FALSE),0)+IFERROR(VLOOKUP($A70,MIceHockey!$C:$P,F$1-2011,FALSE),0)+IFERROR(VLOOKUP($A70,MLacrosse!$C:$O,F$1-2011,FALSE),0)+IFERROR(VLOOKUP($A70,MSoccer!$C:$O,F$1-2011,FALSE),0)+IFERROR(VLOOKUP($A70,MVolleyball!$C:$O,F$1-2011,FALSE),0)+IFERROR(VLOOKUP($A70,WBasketball!$C:$O,F$1-2011,FALSE),0)+IFERROR(VLOOKUP($A70,WFieldHockey!$C:$O,F$1-2011,FALSE),0)+IFERROR(VLOOKUP($A70,WIceHockey!$C:$O,F$1-2011,FALSE),0)+IFERROR(VLOOKUP($A70,WLacrosse!$C:$O,F$1-2011,FALSE),0)+IFERROR(VLOOKUP($A70,WSoccer!$C:$O,F$1-2011,FALSE),0)+IFERROR(VLOOKUP($A70,WSoftball!$C:$O,F$1-2011,FALSE),0)+IFERROR(VLOOKUP($A70,WVolleyball!$C:$O,F$1-2011,FALSE),0)</f>
        <v>155911</v>
      </c>
      <c r="G70">
        <f>IFERROR(VLOOKUP($A70,MBaseball!$C:$N,G$1-2010,FALSE),0)+IFERROR(VLOOKUP($A70,MBasketball!$C:$J,G$1-2006,FALSE),0)+IFERROR(VLOOKUP($A70,MFootball!$C:$O,G$1-2011,FALSE),0)+IFERROR(VLOOKUP($A70,MIceHockey!$C:$P,G$1-2011,FALSE),0)+IFERROR(VLOOKUP($A70,MLacrosse!$C:$O,G$1-2011,FALSE),0)+IFERROR(VLOOKUP($A70,MSoccer!$C:$O,G$1-2011,FALSE),0)+IFERROR(VLOOKUP($A70,MVolleyball!$C:$O,G$1-2011,FALSE),0)+IFERROR(VLOOKUP($A70,WBasketball!$C:$O,G$1-2011,FALSE),0)+IFERROR(VLOOKUP($A70,WFieldHockey!$C:$O,G$1-2011,FALSE),0)+IFERROR(VLOOKUP($A70,WIceHockey!$C:$O,G$1-2011,FALSE),0)+IFERROR(VLOOKUP($A70,WLacrosse!$C:$O,G$1-2011,FALSE),0)+IFERROR(VLOOKUP($A70,WSoccer!$C:$O,G$1-2011,FALSE),0)+IFERROR(VLOOKUP($A70,WSoftball!$C:$O,G$1-2011,FALSE),0)+IFERROR(VLOOKUP($A70,WVolleyball!$C:$O,G$1-2011,FALSE),0)</f>
        <v>217778</v>
      </c>
      <c r="H70">
        <f>IFERROR(VLOOKUP($A70,MBaseball!$C:$N,H$1-2010,FALSE),0)+IFERROR(VLOOKUP($A70,MBasketball!$C:$J,H$1-2006,FALSE),0)+IFERROR(VLOOKUP($A70,MFootball!$C:$O,H$1-2011,FALSE),0)+IFERROR(VLOOKUP($A70,MIceHockey!$C:$P,H$1-2011,FALSE),0)+IFERROR(VLOOKUP($A70,MLacrosse!$C:$O,H$1-2011,FALSE),0)+IFERROR(VLOOKUP($A70,MSoccer!$C:$O,H$1-2011,FALSE),0)+IFERROR(VLOOKUP($A70,MVolleyball!$C:$O,H$1-2011,FALSE),0)+IFERROR(VLOOKUP($A70,WBasketball!$C:$O,H$1-2011,FALSE),0)+IFERROR(VLOOKUP($A70,WFieldHockey!$C:$O,H$1-2011,FALSE),0)+IFERROR(VLOOKUP($A70,WIceHockey!$C:$O,H$1-2011,FALSE),0)+IFERROR(VLOOKUP($A70,WLacrosse!$C:$O,H$1-2011,FALSE),0)+IFERROR(VLOOKUP($A70,WSoccer!$C:$O,H$1-2011,FALSE),0)+IFERROR(VLOOKUP($A70,WSoftball!$C:$O,H$1-2011,FALSE),0)+IFERROR(VLOOKUP($A70,WVolleyball!$C:$O,H$1-2011,FALSE),0)</f>
        <v>187806</v>
      </c>
      <c r="I70">
        <f>IFERROR(VLOOKUP($A70,MBaseball!$C:$N,I$1-2010,FALSE),0)+IFERROR(VLOOKUP($A70,MBasketball!$C:$J,I$1-2006,FALSE),0)+IFERROR(VLOOKUP($A70,MFootball!$C:$O,I$1-2011,FALSE),0)+IFERROR(VLOOKUP($A70,MIceHockey!$C:$P,I$1-2011,FALSE),0)+IFERROR(VLOOKUP($A70,MLacrosse!$C:$O,I$1-2011,FALSE),0)+IFERROR(VLOOKUP($A70,MSoccer!$C:$O,I$1-2011,FALSE),0)+IFERROR(VLOOKUP($A70,MVolleyball!$C:$O,I$1-2011,FALSE),0)+IFERROR(VLOOKUP($A70,WBasketball!$C:$O,I$1-2011,FALSE),0)+IFERROR(VLOOKUP($A70,WFieldHockey!$C:$O,I$1-2011,FALSE),0)+IFERROR(VLOOKUP($A70,WIceHockey!$C:$O,I$1-2011,FALSE),0)+IFERROR(VLOOKUP($A70,WLacrosse!$C:$O,I$1-2011,FALSE),0)+IFERROR(VLOOKUP($A70,WSoccer!$C:$O,I$1-2011,FALSE),0)+IFERROR(VLOOKUP($A70,WSoftball!$C:$O,I$1-2011,FALSE),0)+IFERROR(VLOOKUP($A70,WVolleyball!$C:$O,I$1-2011,FALSE),0)</f>
        <v>229947</v>
      </c>
      <c r="J70">
        <f>IFERROR(VLOOKUP($A70,MBaseball!$C:$N,J$1-2010,FALSE),0)+IFERROR(VLOOKUP($A70,MBasketball!$C:$J,J$1-2006,FALSE),0)+IFERROR(VLOOKUP($A70,MFootball!$C:$O,J$1-2011,FALSE),0)+IFERROR(VLOOKUP($A70,MIceHockey!$C:$P,J$1-2011,FALSE),0)+IFERROR(VLOOKUP($A70,MLacrosse!$C:$O,J$1-2011,FALSE),0)+IFERROR(VLOOKUP($A70,MSoccer!$C:$O,J$1-2011,FALSE),0)+IFERROR(VLOOKUP($A70,MVolleyball!$C:$O,J$1-2011,FALSE),0)+IFERROR(VLOOKUP($A70,WBasketball!$C:$O,J$1-2011,FALSE),0)+IFERROR(VLOOKUP($A70,WFieldHockey!$C:$O,J$1-2011,FALSE),0)+IFERROR(VLOOKUP($A70,WIceHockey!$C:$O,J$1-2011,FALSE),0)+IFERROR(VLOOKUP($A70,WLacrosse!$C:$O,J$1-2011,FALSE),0)+IFERROR(VLOOKUP($A70,WSoccer!$C:$O,J$1-2011,FALSE),0)+IFERROR(VLOOKUP($A70,WSoftball!$C:$O,J$1-2011,FALSE),0)+IFERROR(VLOOKUP($A70,WVolleyball!$C:$O,J$1-2011,FALSE),0)</f>
        <v>123768</v>
      </c>
      <c r="K70">
        <f>IFERROR(VLOOKUP($A70,MBaseball!$C:$N,K$1-2010,FALSE),0)+IFERROR(VLOOKUP($A70,MBasketball!$C:$J,K$1-2006,FALSE),0)+IFERROR(VLOOKUP($A70,MFootball!$C:$O,K$1-2011,FALSE),0)+IFERROR(VLOOKUP($A70,MIceHockey!$C:$P,K$1-2011,FALSE),0)+IFERROR(VLOOKUP($A70,MLacrosse!$C:$O,K$1-2011,FALSE),0)+IFERROR(VLOOKUP($A70,MSoccer!$C:$O,K$1-2011,FALSE),0)+IFERROR(VLOOKUP($A70,MVolleyball!$C:$O,K$1-2011,FALSE),0)+IFERROR(VLOOKUP($A70,WBasketball!$C:$O,K$1-2011,FALSE),0)+IFERROR(VLOOKUP($A70,WFieldHockey!$C:$O,K$1-2011,FALSE),0)+IFERROR(VLOOKUP($A70,WIceHockey!$C:$O,K$1-2011,FALSE),0)+IFERROR(VLOOKUP($A70,WLacrosse!$C:$O,K$1-2011,FALSE),0)+IFERROR(VLOOKUP($A70,WSoccer!$C:$O,K$1-2011,FALSE),0)+IFERROR(VLOOKUP($A70,WSoftball!$C:$O,K$1-2011,FALSE),0)+IFERROR(VLOOKUP($A70,WVolleyball!$C:$O,K$1-2011,FALSE),0)</f>
        <v>202106</v>
      </c>
      <c r="L70">
        <f>IFERROR(VLOOKUP($A70,MBaseball!$C:$N,L$1-2010,FALSE),0)+IFERROR(VLOOKUP($A70,MBasketball!$C:$J,L$1-2006,FALSE),0)+IFERROR(VLOOKUP($A70,MFootball!$C:$O,L$1-2011,FALSE),0)+IFERROR(VLOOKUP($A70,MIceHockey!$C:$P,L$1-2011,FALSE),0)+IFERROR(VLOOKUP($A70,MLacrosse!$C:$O,L$1-2011,FALSE),0)+IFERROR(VLOOKUP($A70,MSoccer!$C:$O,L$1-2011,FALSE),0)+IFERROR(VLOOKUP($A70,MVolleyball!$C:$O,L$1-2011,FALSE),0)+IFERROR(VLOOKUP($A70,WBasketball!$C:$O,L$1-2011,FALSE),0)+IFERROR(VLOOKUP($A70,WFieldHockey!$C:$O,L$1-2011,FALSE),0)+IFERROR(VLOOKUP($A70,WIceHockey!$C:$O,L$1-2011,FALSE),0)+IFERROR(VLOOKUP($A70,WLacrosse!$C:$O,L$1-2011,FALSE),0)+IFERROR(VLOOKUP($A70,WSoccer!$C:$O,L$1-2011,FALSE),0)+IFERROR(VLOOKUP($A70,WSoftball!$C:$O,L$1-2011,FALSE),0)+IFERROR(VLOOKUP($A70,WVolleyball!$C:$O,L$1-2011,FALSE),0)</f>
        <v>133210</v>
      </c>
      <c r="M70">
        <f>IFERROR(VLOOKUP($A70,MBaseball!$C:$N,M$1-2010,FALSE),0)+IFERROR(VLOOKUP($A70,MBasketball!$C:$J,M$1-2006,FALSE),0)+IFERROR(VLOOKUP($A70,MFootball!$C:$O,M$1-2011,FALSE),0)+IFERROR(VLOOKUP($A70,MIceHockey!$C:$P,M$1-2011,FALSE),0)+IFERROR(VLOOKUP($A70,MLacrosse!$C:$O,M$1-2011,FALSE),0)+IFERROR(VLOOKUP($A70,MSoccer!$C:$O,M$1-2011,FALSE),0)+IFERROR(VLOOKUP($A70,MVolleyball!$C:$O,M$1-2011,FALSE),0)+IFERROR(VLOOKUP($A70,WBasketball!$C:$O,M$1-2011,FALSE),0)+IFERROR(VLOOKUP($A70,WFieldHockey!$C:$O,M$1-2011,FALSE),0)+IFERROR(VLOOKUP($A70,WIceHockey!$C:$O,M$1-2011,FALSE),0)+IFERROR(VLOOKUP($A70,WLacrosse!$C:$O,M$1-2011,FALSE),0)+IFERROR(VLOOKUP($A70,WSoccer!$C:$O,M$1-2011,FALSE),0)+IFERROR(VLOOKUP($A70,WSoftball!$C:$O,M$1-2011,FALSE),0)+IFERROR(VLOOKUP($A70,WVolleyball!$C:$O,M$1-2011,FALSE),0)</f>
        <v>189077</v>
      </c>
      <c r="N70">
        <f>IFERROR(VLOOKUP($A70,MBaseball!$C:$N,N$1-2010,FALSE),0)+IFERROR(VLOOKUP($A70,MBasketball!$C:$J,N$1-2006,FALSE),0)+IFERROR(VLOOKUP($A70,MFootball!$C:$O,N$1-2011,FALSE),0)+IFERROR(VLOOKUP($A70,MIceHockey!$C:$P,N$1-2011,FALSE),0)+IFERROR(VLOOKUP($A70,MLacrosse!$C:$O,N$1-2011,FALSE),0)+IFERROR(VLOOKUP($A70,MSoccer!$C:$O,N$1-2011,FALSE),0)+IFERROR(VLOOKUP($A70,MVolleyball!$C:$O,N$1-2011,FALSE),0)+IFERROR(VLOOKUP($A70,WBasketball!$C:$O,N$1-2011,FALSE),0)+IFERROR(VLOOKUP($A70,WFieldHockey!$C:$O,N$1-2011,FALSE),0)+IFERROR(VLOOKUP($A70,WIceHockey!$C:$O,N$1-2011,FALSE),0)+IFERROR(VLOOKUP($A70,WLacrosse!$C:$O,N$1-2011,FALSE),0)+IFERROR(VLOOKUP($A70,WSoccer!$C:$O,N$1-2011,FALSE),0)+IFERROR(VLOOKUP($A70,WSoftball!$C:$O,N$1-2011,FALSE),0)+IFERROR(VLOOKUP($A70,WVolleyball!$C:$O,N$1-2011,FALSE),0)</f>
        <v>119230</v>
      </c>
    </row>
    <row r="71" spans="1:14" x14ac:dyDescent="0.2">
      <c r="A71">
        <v>157289</v>
      </c>
      <c r="B71">
        <v>31140</v>
      </c>
      <c r="C71" t="s">
        <v>122</v>
      </c>
      <c r="D71">
        <v>70</v>
      </c>
      <c r="E71">
        <f>IFERROR(VLOOKUP($A71,MBaseball!$C:$N,E$1-2010,FALSE),0)+IFERROR(VLOOKUP($A71,MBasketball!$C:$J,E$1-2006,FALSE),0)+IFERROR(VLOOKUP($A71,MFootball!$C:$O,E$1-2011,FALSE),0)+IFERROR(VLOOKUP($A71,MIceHockey!$C:$P,E$1-2011,FALSE),0)+IFERROR(VLOOKUP($A71,MLacrosse!$C:$O,E$1-2011,FALSE),0)+IFERROR(VLOOKUP($A71,MSoccer!$C:$O,E$1-2011,FALSE),0)+IFERROR(VLOOKUP($A71,MVolleyball!$C:$O,E$1-2011,FALSE),0)+IFERROR(VLOOKUP($A71,WBasketball!$C:$O,E$1-2011,FALSE),0)+IFERROR(VLOOKUP($A71,WFieldHockey!$C:$O,E$1-2011,FALSE),0)+IFERROR(VLOOKUP($A71,WIceHockey!$C:$O,E$1-2011,FALSE),0)+IFERROR(VLOOKUP($A71,WLacrosse!$C:$O,E$1-2011,FALSE),0)+IFERROR(VLOOKUP($A71,WSoccer!$C:$O,E$1-2011,FALSE),0)+IFERROR(VLOOKUP($A71,WSoftball!$C:$O,E$1-2011,FALSE),0)+IFERROR(VLOOKUP($A71,WVolleyball!$C:$O,E$1-2011,FALSE),0)</f>
        <v>610648</v>
      </c>
      <c r="F71">
        <f>IFERROR(VLOOKUP($A71,MBaseball!$C:$N,F$1-2010,FALSE),0)+IFERROR(VLOOKUP($A71,MBasketball!$C:$J,F$1-2006,FALSE),0)+IFERROR(VLOOKUP($A71,MFootball!$C:$O,F$1-2011,FALSE),0)+IFERROR(VLOOKUP($A71,MIceHockey!$C:$P,F$1-2011,FALSE),0)+IFERROR(VLOOKUP($A71,MLacrosse!$C:$O,F$1-2011,FALSE),0)+IFERROR(VLOOKUP($A71,MSoccer!$C:$O,F$1-2011,FALSE),0)+IFERROR(VLOOKUP($A71,MVolleyball!$C:$O,F$1-2011,FALSE),0)+IFERROR(VLOOKUP($A71,WBasketball!$C:$O,F$1-2011,FALSE),0)+IFERROR(VLOOKUP($A71,WFieldHockey!$C:$O,F$1-2011,FALSE),0)+IFERROR(VLOOKUP($A71,WIceHockey!$C:$O,F$1-2011,FALSE),0)+IFERROR(VLOOKUP($A71,WLacrosse!$C:$O,F$1-2011,FALSE),0)+IFERROR(VLOOKUP($A71,WSoccer!$C:$O,F$1-2011,FALSE),0)+IFERROR(VLOOKUP($A71,WSoftball!$C:$O,F$1-2011,FALSE),0)+IFERROR(VLOOKUP($A71,WVolleyball!$C:$O,F$1-2011,FALSE),0)</f>
        <v>684992</v>
      </c>
      <c r="G71">
        <f>IFERROR(VLOOKUP($A71,MBaseball!$C:$N,G$1-2010,FALSE),0)+IFERROR(VLOOKUP($A71,MBasketball!$C:$J,G$1-2006,FALSE),0)+IFERROR(VLOOKUP($A71,MFootball!$C:$O,G$1-2011,FALSE),0)+IFERROR(VLOOKUP($A71,MIceHockey!$C:$P,G$1-2011,FALSE),0)+IFERROR(VLOOKUP($A71,MLacrosse!$C:$O,G$1-2011,FALSE),0)+IFERROR(VLOOKUP($A71,MSoccer!$C:$O,G$1-2011,FALSE),0)+IFERROR(VLOOKUP($A71,MVolleyball!$C:$O,G$1-2011,FALSE),0)+IFERROR(VLOOKUP($A71,WBasketball!$C:$O,G$1-2011,FALSE),0)+IFERROR(VLOOKUP($A71,WFieldHockey!$C:$O,G$1-2011,FALSE),0)+IFERROR(VLOOKUP($A71,WIceHockey!$C:$O,G$1-2011,FALSE),0)+IFERROR(VLOOKUP($A71,WLacrosse!$C:$O,G$1-2011,FALSE),0)+IFERROR(VLOOKUP($A71,WSoccer!$C:$O,G$1-2011,FALSE),0)+IFERROR(VLOOKUP($A71,WSoftball!$C:$O,G$1-2011,FALSE),0)+IFERROR(VLOOKUP($A71,WVolleyball!$C:$O,G$1-2011,FALSE),0)</f>
        <v>628208</v>
      </c>
      <c r="H71">
        <f>IFERROR(VLOOKUP($A71,MBaseball!$C:$N,H$1-2010,FALSE),0)+IFERROR(VLOOKUP($A71,MBasketball!$C:$J,H$1-2006,FALSE),0)+IFERROR(VLOOKUP($A71,MFootball!$C:$O,H$1-2011,FALSE),0)+IFERROR(VLOOKUP($A71,MIceHockey!$C:$P,H$1-2011,FALSE),0)+IFERROR(VLOOKUP($A71,MLacrosse!$C:$O,H$1-2011,FALSE),0)+IFERROR(VLOOKUP($A71,MSoccer!$C:$O,H$1-2011,FALSE),0)+IFERROR(VLOOKUP($A71,MVolleyball!$C:$O,H$1-2011,FALSE),0)+IFERROR(VLOOKUP($A71,WBasketball!$C:$O,H$1-2011,FALSE),0)+IFERROR(VLOOKUP($A71,WFieldHockey!$C:$O,H$1-2011,FALSE),0)+IFERROR(VLOOKUP($A71,WIceHockey!$C:$O,H$1-2011,FALSE),0)+IFERROR(VLOOKUP($A71,WLacrosse!$C:$O,H$1-2011,FALSE),0)+IFERROR(VLOOKUP($A71,WSoccer!$C:$O,H$1-2011,FALSE),0)+IFERROR(VLOOKUP($A71,WSoftball!$C:$O,H$1-2011,FALSE),0)+IFERROR(VLOOKUP($A71,WVolleyball!$C:$O,H$1-2011,FALSE),0)</f>
        <v>663781</v>
      </c>
      <c r="I71">
        <f>IFERROR(VLOOKUP($A71,MBaseball!$C:$N,I$1-2010,FALSE),0)+IFERROR(VLOOKUP($A71,MBasketball!$C:$J,I$1-2006,FALSE),0)+IFERROR(VLOOKUP($A71,MFootball!$C:$O,I$1-2011,FALSE),0)+IFERROR(VLOOKUP($A71,MIceHockey!$C:$P,I$1-2011,FALSE),0)+IFERROR(VLOOKUP($A71,MLacrosse!$C:$O,I$1-2011,FALSE),0)+IFERROR(VLOOKUP($A71,MSoccer!$C:$O,I$1-2011,FALSE),0)+IFERROR(VLOOKUP($A71,MVolleyball!$C:$O,I$1-2011,FALSE),0)+IFERROR(VLOOKUP($A71,WBasketball!$C:$O,I$1-2011,FALSE),0)+IFERROR(VLOOKUP($A71,WFieldHockey!$C:$O,I$1-2011,FALSE),0)+IFERROR(VLOOKUP($A71,WIceHockey!$C:$O,I$1-2011,FALSE),0)+IFERROR(VLOOKUP($A71,WLacrosse!$C:$O,I$1-2011,FALSE),0)+IFERROR(VLOOKUP($A71,WSoccer!$C:$O,I$1-2011,FALSE),0)+IFERROR(VLOOKUP($A71,WSoftball!$C:$O,I$1-2011,FALSE),0)+IFERROR(VLOOKUP($A71,WVolleyball!$C:$O,I$1-2011,FALSE),0)</f>
        <v>543009</v>
      </c>
      <c r="J71">
        <f>IFERROR(VLOOKUP($A71,MBaseball!$C:$N,J$1-2010,FALSE),0)+IFERROR(VLOOKUP($A71,MBasketball!$C:$J,J$1-2006,FALSE),0)+IFERROR(VLOOKUP($A71,MFootball!$C:$O,J$1-2011,FALSE),0)+IFERROR(VLOOKUP($A71,MIceHockey!$C:$P,J$1-2011,FALSE),0)+IFERROR(VLOOKUP($A71,MLacrosse!$C:$O,J$1-2011,FALSE),0)+IFERROR(VLOOKUP($A71,MSoccer!$C:$O,J$1-2011,FALSE),0)+IFERROR(VLOOKUP($A71,MVolleyball!$C:$O,J$1-2011,FALSE),0)+IFERROR(VLOOKUP($A71,WBasketball!$C:$O,J$1-2011,FALSE),0)+IFERROR(VLOOKUP($A71,WFieldHockey!$C:$O,J$1-2011,FALSE),0)+IFERROR(VLOOKUP($A71,WIceHockey!$C:$O,J$1-2011,FALSE),0)+IFERROR(VLOOKUP($A71,WLacrosse!$C:$O,J$1-2011,FALSE),0)+IFERROR(VLOOKUP($A71,WSoccer!$C:$O,J$1-2011,FALSE),0)+IFERROR(VLOOKUP($A71,WSoftball!$C:$O,J$1-2011,FALSE),0)+IFERROR(VLOOKUP($A71,WVolleyball!$C:$O,J$1-2011,FALSE),0)</f>
        <v>570311</v>
      </c>
      <c r="K71">
        <f>IFERROR(VLOOKUP($A71,MBaseball!$C:$N,K$1-2010,FALSE),0)+IFERROR(VLOOKUP($A71,MBasketball!$C:$J,K$1-2006,FALSE),0)+IFERROR(VLOOKUP($A71,MFootball!$C:$O,K$1-2011,FALSE),0)+IFERROR(VLOOKUP($A71,MIceHockey!$C:$P,K$1-2011,FALSE),0)+IFERROR(VLOOKUP($A71,MLacrosse!$C:$O,K$1-2011,FALSE),0)+IFERROR(VLOOKUP($A71,MSoccer!$C:$O,K$1-2011,FALSE),0)+IFERROR(VLOOKUP($A71,MVolleyball!$C:$O,K$1-2011,FALSE),0)+IFERROR(VLOOKUP($A71,WBasketball!$C:$O,K$1-2011,FALSE),0)+IFERROR(VLOOKUP($A71,WFieldHockey!$C:$O,K$1-2011,FALSE),0)+IFERROR(VLOOKUP($A71,WIceHockey!$C:$O,K$1-2011,FALSE),0)+IFERROR(VLOOKUP($A71,WLacrosse!$C:$O,K$1-2011,FALSE),0)+IFERROR(VLOOKUP($A71,WSoccer!$C:$O,K$1-2011,FALSE),0)+IFERROR(VLOOKUP($A71,WSoftball!$C:$O,K$1-2011,FALSE),0)+IFERROR(VLOOKUP($A71,WVolleyball!$C:$O,K$1-2011,FALSE),0)</f>
        <v>476891</v>
      </c>
      <c r="L71">
        <f>IFERROR(VLOOKUP($A71,MBaseball!$C:$N,L$1-2010,FALSE),0)+IFERROR(VLOOKUP($A71,MBasketball!$C:$J,L$1-2006,FALSE),0)+IFERROR(VLOOKUP($A71,MFootball!$C:$O,L$1-2011,FALSE),0)+IFERROR(VLOOKUP($A71,MIceHockey!$C:$P,L$1-2011,FALSE),0)+IFERROR(VLOOKUP($A71,MLacrosse!$C:$O,L$1-2011,FALSE),0)+IFERROR(VLOOKUP($A71,MSoccer!$C:$O,L$1-2011,FALSE),0)+IFERROR(VLOOKUP($A71,MVolleyball!$C:$O,L$1-2011,FALSE),0)+IFERROR(VLOOKUP($A71,WBasketball!$C:$O,L$1-2011,FALSE),0)+IFERROR(VLOOKUP($A71,WFieldHockey!$C:$O,L$1-2011,FALSE),0)+IFERROR(VLOOKUP($A71,WIceHockey!$C:$O,L$1-2011,FALSE),0)+IFERROR(VLOOKUP($A71,WLacrosse!$C:$O,L$1-2011,FALSE),0)+IFERROR(VLOOKUP($A71,WSoccer!$C:$O,L$1-2011,FALSE),0)+IFERROR(VLOOKUP($A71,WSoftball!$C:$O,L$1-2011,FALSE),0)+IFERROR(VLOOKUP($A71,WVolleyball!$C:$O,L$1-2011,FALSE),0)</f>
        <v>190808</v>
      </c>
      <c r="M71">
        <f>IFERROR(VLOOKUP($A71,MBaseball!$C:$N,M$1-2010,FALSE),0)+IFERROR(VLOOKUP($A71,MBasketball!$C:$J,M$1-2006,FALSE),0)+IFERROR(VLOOKUP($A71,MFootball!$C:$O,M$1-2011,FALSE),0)+IFERROR(VLOOKUP($A71,MIceHockey!$C:$P,M$1-2011,FALSE),0)+IFERROR(VLOOKUP($A71,MLacrosse!$C:$O,M$1-2011,FALSE),0)+IFERROR(VLOOKUP($A71,MSoccer!$C:$O,M$1-2011,FALSE),0)+IFERROR(VLOOKUP($A71,MVolleyball!$C:$O,M$1-2011,FALSE),0)+IFERROR(VLOOKUP($A71,WBasketball!$C:$O,M$1-2011,FALSE),0)+IFERROR(VLOOKUP($A71,WFieldHockey!$C:$O,M$1-2011,FALSE),0)+IFERROR(VLOOKUP($A71,WIceHockey!$C:$O,M$1-2011,FALSE),0)+IFERROR(VLOOKUP($A71,WLacrosse!$C:$O,M$1-2011,FALSE),0)+IFERROR(VLOOKUP($A71,WSoccer!$C:$O,M$1-2011,FALSE),0)+IFERROR(VLOOKUP($A71,WSoftball!$C:$O,M$1-2011,FALSE),0)+IFERROR(VLOOKUP($A71,WVolleyball!$C:$O,M$1-2011,FALSE),0)</f>
        <v>560779</v>
      </c>
      <c r="N71">
        <f>IFERROR(VLOOKUP($A71,MBaseball!$C:$N,N$1-2010,FALSE),0)+IFERROR(VLOOKUP($A71,MBasketball!$C:$J,N$1-2006,FALSE),0)+IFERROR(VLOOKUP($A71,MFootball!$C:$O,N$1-2011,FALSE),0)+IFERROR(VLOOKUP($A71,MIceHockey!$C:$P,N$1-2011,FALSE),0)+IFERROR(VLOOKUP($A71,MLacrosse!$C:$O,N$1-2011,FALSE),0)+IFERROR(VLOOKUP($A71,MSoccer!$C:$O,N$1-2011,FALSE),0)+IFERROR(VLOOKUP($A71,MVolleyball!$C:$O,N$1-2011,FALSE),0)+IFERROR(VLOOKUP($A71,WBasketball!$C:$O,N$1-2011,FALSE),0)+IFERROR(VLOOKUP($A71,WFieldHockey!$C:$O,N$1-2011,FALSE),0)+IFERROR(VLOOKUP($A71,WIceHockey!$C:$O,N$1-2011,FALSE),0)+IFERROR(VLOOKUP($A71,WLacrosse!$C:$O,N$1-2011,FALSE),0)+IFERROR(VLOOKUP($A71,WSoccer!$C:$O,N$1-2011,FALSE),0)+IFERROR(VLOOKUP($A71,WSoftball!$C:$O,N$1-2011,FALSE),0)+IFERROR(VLOOKUP($A71,WVolleyball!$C:$O,N$1-2011,FALSE),0)</f>
        <v>433326</v>
      </c>
    </row>
    <row r="72" spans="1:14" x14ac:dyDescent="0.2">
      <c r="A72">
        <v>159391</v>
      </c>
      <c r="B72">
        <v>12940</v>
      </c>
      <c r="C72" t="s">
        <v>123</v>
      </c>
      <c r="D72">
        <v>71</v>
      </c>
      <c r="E72">
        <f>IFERROR(VLOOKUP($A72,MBaseball!$C:$N,E$1-2010,FALSE),0)+IFERROR(VLOOKUP($A72,MBasketball!$C:$J,E$1-2006,FALSE),0)+IFERROR(VLOOKUP($A72,MFootball!$C:$O,E$1-2011,FALSE),0)+IFERROR(VLOOKUP($A72,MIceHockey!$C:$P,E$1-2011,FALSE),0)+IFERROR(VLOOKUP($A72,MLacrosse!$C:$O,E$1-2011,FALSE),0)+IFERROR(VLOOKUP($A72,MSoccer!$C:$O,E$1-2011,FALSE),0)+IFERROR(VLOOKUP($A72,MVolleyball!$C:$O,E$1-2011,FALSE),0)+IFERROR(VLOOKUP($A72,WBasketball!$C:$O,E$1-2011,FALSE),0)+IFERROR(VLOOKUP($A72,WFieldHockey!$C:$O,E$1-2011,FALSE),0)+IFERROR(VLOOKUP($A72,WIceHockey!$C:$O,E$1-2011,FALSE),0)+IFERROR(VLOOKUP($A72,WLacrosse!$C:$O,E$1-2011,FALSE),0)+IFERROR(VLOOKUP($A72,WSoccer!$C:$O,E$1-2011,FALSE),0)+IFERROR(VLOOKUP($A72,WSoftball!$C:$O,E$1-2011,FALSE),0)+IFERROR(VLOOKUP($A72,WVolleyball!$C:$O,E$1-2011,FALSE),0)</f>
        <v>666943</v>
      </c>
      <c r="F72">
        <f>IFERROR(VLOOKUP($A72,MBaseball!$C:$N,F$1-2010,FALSE),0)+IFERROR(VLOOKUP($A72,MBasketball!$C:$J,F$1-2006,FALSE),0)+IFERROR(VLOOKUP($A72,MFootball!$C:$O,F$1-2011,FALSE),0)+IFERROR(VLOOKUP($A72,MIceHockey!$C:$P,F$1-2011,FALSE),0)+IFERROR(VLOOKUP($A72,MLacrosse!$C:$O,F$1-2011,FALSE),0)+IFERROR(VLOOKUP($A72,MSoccer!$C:$O,F$1-2011,FALSE),0)+IFERROR(VLOOKUP($A72,MVolleyball!$C:$O,F$1-2011,FALSE),0)+IFERROR(VLOOKUP($A72,WBasketball!$C:$O,F$1-2011,FALSE),0)+IFERROR(VLOOKUP($A72,WFieldHockey!$C:$O,F$1-2011,FALSE),0)+IFERROR(VLOOKUP($A72,WIceHockey!$C:$O,F$1-2011,FALSE),0)+IFERROR(VLOOKUP($A72,WLacrosse!$C:$O,F$1-2011,FALSE),0)+IFERROR(VLOOKUP($A72,WSoccer!$C:$O,F$1-2011,FALSE),0)+IFERROR(VLOOKUP($A72,WSoftball!$C:$O,F$1-2011,FALSE),0)+IFERROR(VLOOKUP($A72,WVolleyball!$C:$O,F$1-2011,FALSE),0)</f>
        <v>1204504</v>
      </c>
      <c r="G72">
        <f>IFERROR(VLOOKUP($A72,MBaseball!$C:$N,G$1-2010,FALSE),0)+IFERROR(VLOOKUP($A72,MBasketball!$C:$J,G$1-2006,FALSE),0)+IFERROR(VLOOKUP($A72,MFootball!$C:$O,G$1-2011,FALSE),0)+IFERROR(VLOOKUP($A72,MIceHockey!$C:$P,G$1-2011,FALSE),0)+IFERROR(VLOOKUP($A72,MLacrosse!$C:$O,G$1-2011,FALSE),0)+IFERROR(VLOOKUP($A72,MSoccer!$C:$O,G$1-2011,FALSE),0)+IFERROR(VLOOKUP($A72,MVolleyball!$C:$O,G$1-2011,FALSE),0)+IFERROR(VLOOKUP($A72,WBasketball!$C:$O,G$1-2011,FALSE),0)+IFERROR(VLOOKUP($A72,WFieldHockey!$C:$O,G$1-2011,FALSE),0)+IFERROR(VLOOKUP($A72,WIceHockey!$C:$O,G$1-2011,FALSE),0)+IFERROR(VLOOKUP($A72,WLacrosse!$C:$O,G$1-2011,FALSE),0)+IFERROR(VLOOKUP($A72,WSoccer!$C:$O,G$1-2011,FALSE),0)+IFERROR(VLOOKUP($A72,WSoftball!$C:$O,G$1-2011,FALSE),0)+IFERROR(VLOOKUP($A72,WVolleyball!$C:$O,G$1-2011,FALSE),0)</f>
        <v>1208679</v>
      </c>
      <c r="H72">
        <f>IFERROR(VLOOKUP($A72,MBaseball!$C:$N,H$1-2010,FALSE),0)+IFERROR(VLOOKUP($A72,MBasketball!$C:$J,H$1-2006,FALSE),0)+IFERROR(VLOOKUP($A72,MFootball!$C:$O,H$1-2011,FALSE),0)+IFERROR(VLOOKUP($A72,MIceHockey!$C:$P,H$1-2011,FALSE),0)+IFERROR(VLOOKUP($A72,MLacrosse!$C:$O,H$1-2011,FALSE),0)+IFERROR(VLOOKUP($A72,MSoccer!$C:$O,H$1-2011,FALSE),0)+IFERROR(VLOOKUP($A72,MVolleyball!$C:$O,H$1-2011,FALSE),0)+IFERROR(VLOOKUP($A72,WBasketball!$C:$O,H$1-2011,FALSE),0)+IFERROR(VLOOKUP($A72,WFieldHockey!$C:$O,H$1-2011,FALSE),0)+IFERROR(VLOOKUP($A72,WIceHockey!$C:$O,H$1-2011,FALSE),0)+IFERROR(VLOOKUP($A72,WLacrosse!$C:$O,H$1-2011,FALSE),0)+IFERROR(VLOOKUP($A72,WSoccer!$C:$O,H$1-2011,FALSE),0)+IFERROR(VLOOKUP($A72,WSoftball!$C:$O,H$1-2011,FALSE),0)+IFERROR(VLOOKUP($A72,WVolleyball!$C:$O,H$1-2011,FALSE),0)</f>
        <v>1228912</v>
      </c>
      <c r="I72">
        <f>IFERROR(VLOOKUP($A72,MBaseball!$C:$N,I$1-2010,FALSE),0)+IFERROR(VLOOKUP($A72,MBasketball!$C:$J,I$1-2006,FALSE),0)+IFERROR(VLOOKUP($A72,MFootball!$C:$O,I$1-2011,FALSE),0)+IFERROR(VLOOKUP($A72,MIceHockey!$C:$P,I$1-2011,FALSE),0)+IFERROR(VLOOKUP($A72,MLacrosse!$C:$O,I$1-2011,FALSE),0)+IFERROR(VLOOKUP($A72,MSoccer!$C:$O,I$1-2011,FALSE),0)+IFERROR(VLOOKUP($A72,MVolleyball!$C:$O,I$1-2011,FALSE),0)+IFERROR(VLOOKUP($A72,WBasketball!$C:$O,I$1-2011,FALSE),0)+IFERROR(VLOOKUP($A72,WFieldHockey!$C:$O,I$1-2011,FALSE),0)+IFERROR(VLOOKUP($A72,WIceHockey!$C:$O,I$1-2011,FALSE),0)+IFERROR(VLOOKUP($A72,WLacrosse!$C:$O,I$1-2011,FALSE),0)+IFERROR(VLOOKUP($A72,WSoccer!$C:$O,I$1-2011,FALSE),0)+IFERROR(VLOOKUP($A72,WSoftball!$C:$O,I$1-2011,FALSE),0)+IFERROR(VLOOKUP($A72,WVolleyball!$C:$O,I$1-2011,FALSE),0)</f>
        <v>1112813</v>
      </c>
      <c r="J72">
        <f>IFERROR(VLOOKUP($A72,MBaseball!$C:$N,J$1-2010,FALSE),0)+IFERROR(VLOOKUP($A72,MBasketball!$C:$J,J$1-2006,FALSE),0)+IFERROR(VLOOKUP($A72,MFootball!$C:$O,J$1-2011,FALSE),0)+IFERROR(VLOOKUP($A72,MIceHockey!$C:$P,J$1-2011,FALSE),0)+IFERROR(VLOOKUP($A72,MLacrosse!$C:$O,J$1-2011,FALSE),0)+IFERROR(VLOOKUP($A72,MSoccer!$C:$O,J$1-2011,FALSE),0)+IFERROR(VLOOKUP($A72,MVolleyball!$C:$O,J$1-2011,FALSE),0)+IFERROR(VLOOKUP($A72,WBasketball!$C:$O,J$1-2011,FALSE),0)+IFERROR(VLOOKUP($A72,WFieldHockey!$C:$O,J$1-2011,FALSE),0)+IFERROR(VLOOKUP($A72,WIceHockey!$C:$O,J$1-2011,FALSE),0)+IFERROR(VLOOKUP($A72,WLacrosse!$C:$O,J$1-2011,FALSE),0)+IFERROR(VLOOKUP($A72,WSoccer!$C:$O,J$1-2011,FALSE),0)+IFERROR(VLOOKUP($A72,WSoftball!$C:$O,J$1-2011,FALSE),0)+IFERROR(VLOOKUP($A72,WVolleyball!$C:$O,J$1-2011,FALSE),0)</f>
        <v>953150</v>
      </c>
      <c r="K72">
        <f>IFERROR(VLOOKUP($A72,MBaseball!$C:$N,K$1-2010,FALSE),0)+IFERROR(VLOOKUP($A72,MBasketball!$C:$J,K$1-2006,FALSE),0)+IFERROR(VLOOKUP($A72,MFootball!$C:$O,K$1-2011,FALSE),0)+IFERROR(VLOOKUP($A72,MIceHockey!$C:$P,K$1-2011,FALSE),0)+IFERROR(VLOOKUP($A72,MLacrosse!$C:$O,K$1-2011,FALSE),0)+IFERROR(VLOOKUP($A72,MSoccer!$C:$O,K$1-2011,FALSE),0)+IFERROR(VLOOKUP($A72,MVolleyball!$C:$O,K$1-2011,FALSE),0)+IFERROR(VLOOKUP($A72,WBasketball!$C:$O,K$1-2011,FALSE),0)+IFERROR(VLOOKUP($A72,WFieldHockey!$C:$O,K$1-2011,FALSE),0)+IFERROR(VLOOKUP($A72,WIceHockey!$C:$O,K$1-2011,FALSE),0)+IFERROR(VLOOKUP($A72,WLacrosse!$C:$O,K$1-2011,FALSE),0)+IFERROR(VLOOKUP($A72,WSoccer!$C:$O,K$1-2011,FALSE),0)+IFERROR(VLOOKUP($A72,WSoftball!$C:$O,K$1-2011,FALSE),0)+IFERROR(VLOOKUP($A72,WVolleyball!$C:$O,K$1-2011,FALSE),0)</f>
        <v>921696</v>
      </c>
      <c r="L72">
        <f>IFERROR(VLOOKUP($A72,MBaseball!$C:$N,L$1-2010,FALSE),0)+IFERROR(VLOOKUP($A72,MBasketball!$C:$J,L$1-2006,FALSE),0)+IFERROR(VLOOKUP($A72,MFootball!$C:$O,L$1-2011,FALSE),0)+IFERROR(VLOOKUP($A72,MIceHockey!$C:$P,L$1-2011,FALSE),0)+IFERROR(VLOOKUP($A72,MLacrosse!$C:$O,L$1-2011,FALSE),0)+IFERROR(VLOOKUP($A72,MSoccer!$C:$O,L$1-2011,FALSE),0)+IFERROR(VLOOKUP($A72,MVolleyball!$C:$O,L$1-2011,FALSE),0)+IFERROR(VLOOKUP($A72,WBasketball!$C:$O,L$1-2011,FALSE),0)+IFERROR(VLOOKUP($A72,WFieldHockey!$C:$O,L$1-2011,FALSE),0)+IFERROR(VLOOKUP($A72,WIceHockey!$C:$O,L$1-2011,FALSE),0)+IFERROR(VLOOKUP($A72,WLacrosse!$C:$O,L$1-2011,FALSE),0)+IFERROR(VLOOKUP($A72,WSoccer!$C:$O,L$1-2011,FALSE),0)+IFERROR(VLOOKUP($A72,WSoftball!$C:$O,L$1-2011,FALSE),0)+IFERROR(VLOOKUP($A72,WVolleyball!$C:$O,L$1-2011,FALSE),0)</f>
        <v>495923</v>
      </c>
      <c r="M72">
        <f>IFERROR(VLOOKUP($A72,MBaseball!$C:$N,M$1-2010,FALSE),0)+IFERROR(VLOOKUP($A72,MBasketball!$C:$J,M$1-2006,FALSE),0)+IFERROR(VLOOKUP($A72,MFootball!$C:$O,M$1-2011,FALSE),0)+IFERROR(VLOOKUP($A72,MIceHockey!$C:$P,M$1-2011,FALSE),0)+IFERROR(VLOOKUP($A72,MLacrosse!$C:$O,M$1-2011,FALSE),0)+IFERROR(VLOOKUP($A72,MSoccer!$C:$O,M$1-2011,FALSE),0)+IFERROR(VLOOKUP($A72,MVolleyball!$C:$O,M$1-2011,FALSE),0)+IFERROR(VLOOKUP($A72,WBasketball!$C:$O,M$1-2011,FALSE),0)+IFERROR(VLOOKUP($A72,WFieldHockey!$C:$O,M$1-2011,FALSE),0)+IFERROR(VLOOKUP($A72,WIceHockey!$C:$O,M$1-2011,FALSE),0)+IFERROR(VLOOKUP($A72,WLacrosse!$C:$O,M$1-2011,FALSE),0)+IFERROR(VLOOKUP($A72,WSoccer!$C:$O,M$1-2011,FALSE),0)+IFERROR(VLOOKUP($A72,WSoftball!$C:$O,M$1-2011,FALSE),0)+IFERROR(VLOOKUP($A72,WVolleyball!$C:$O,M$1-2011,FALSE),0)</f>
        <v>1322643</v>
      </c>
      <c r="N72">
        <f>IFERROR(VLOOKUP($A72,MBaseball!$C:$N,N$1-2010,FALSE),0)+IFERROR(VLOOKUP($A72,MBasketball!$C:$J,N$1-2006,FALSE),0)+IFERROR(VLOOKUP($A72,MFootball!$C:$O,N$1-2011,FALSE),0)+IFERROR(VLOOKUP($A72,MIceHockey!$C:$P,N$1-2011,FALSE),0)+IFERROR(VLOOKUP($A72,MLacrosse!$C:$O,N$1-2011,FALSE),0)+IFERROR(VLOOKUP($A72,MSoccer!$C:$O,N$1-2011,FALSE),0)+IFERROR(VLOOKUP($A72,MVolleyball!$C:$O,N$1-2011,FALSE),0)+IFERROR(VLOOKUP($A72,WBasketball!$C:$O,N$1-2011,FALSE),0)+IFERROR(VLOOKUP($A72,WFieldHockey!$C:$O,N$1-2011,FALSE),0)+IFERROR(VLOOKUP($A72,WIceHockey!$C:$O,N$1-2011,FALSE),0)+IFERROR(VLOOKUP($A72,WLacrosse!$C:$O,N$1-2011,FALSE),0)+IFERROR(VLOOKUP($A72,WSoccer!$C:$O,N$1-2011,FALSE),0)+IFERROR(VLOOKUP($A72,WSoftball!$C:$O,N$1-2011,FALSE),0)+IFERROR(VLOOKUP($A72,WVolleyball!$C:$O,N$1-2011,FALSE),0)</f>
        <v>945776</v>
      </c>
    </row>
    <row r="73" spans="1:14" x14ac:dyDescent="0.2">
      <c r="A73">
        <v>161253</v>
      </c>
      <c r="B73">
        <v>12620</v>
      </c>
      <c r="C73" t="s">
        <v>124</v>
      </c>
      <c r="D73">
        <v>72</v>
      </c>
      <c r="E73">
        <f>IFERROR(VLOOKUP($A73,MBaseball!$C:$N,E$1-2010,FALSE),0)+IFERROR(VLOOKUP($A73,MBasketball!$C:$J,E$1-2006,FALSE),0)+IFERROR(VLOOKUP($A73,MFootball!$C:$O,E$1-2011,FALSE),0)+IFERROR(VLOOKUP($A73,MIceHockey!$C:$P,E$1-2011,FALSE),0)+IFERROR(VLOOKUP($A73,MLacrosse!$C:$O,E$1-2011,FALSE),0)+IFERROR(VLOOKUP($A73,MSoccer!$C:$O,E$1-2011,FALSE),0)+IFERROR(VLOOKUP($A73,MVolleyball!$C:$O,E$1-2011,FALSE),0)+IFERROR(VLOOKUP($A73,WBasketball!$C:$O,E$1-2011,FALSE),0)+IFERROR(VLOOKUP($A73,WFieldHockey!$C:$O,E$1-2011,FALSE),0)+IFERROR(VLOOKUP($A73,WIceHockey!$C:$O,E$1-2011,FALSE),0)+IFERROR(VLOOKUP($A73,WLacrosse!$C:$O,E$1-2011,FALSE),0)+IFERROR(VLOOKUP($A73,WSoccer!$C:$O,E$1-2011,FALSE),0)+IFERROR(VLOOKUP($A73,WSoftball!$C:$O,E$1-2011,FALSE),0)+IFERROR(VLOOKUP($A73,WVolleyball!$C:$O,E$1-2011,FALSE),0)</f>
        <v>41701</v>
      </c>
      <c r="F73">
        <f>IFERROR(VLOOKUP($A73,MBaseball!$C:$N,F$1-2010,FALSE),0)+IFERROR(VLOOKUP($A73,MBasketball!$C:$J,F$1-2006,FALSE),0)+IFERROR(VLOOKUP($A73,MFootball!$C:$O,F$1-2011,FALSE),0)+IFERROR(VLOOKUP($A73,MIceHockey!$C:$P,F$1-2011,FALSE),0)+IFERROR(VLOOKUP($A73,MLacrosse!$C:$O,F$1-2011,FALSE),0)+IFERROR(VLOOKUP($A73,MSoccer!$C:$O,F$1-2011,FALSE),0)+IFERROR(VLOOKUP($A73,MVolleyball!$C:$O,F$1-2011,FALSE),0)+IFERROR(VLOOKUP($A73,WBasketball!$C:$O,F$1-2011,FALSE),0)+IFERROR(VLOOKUP($A73,WFieldHockey!$C:$O,F$1-2011,FALSE),0)+IFERROR(VLOOKUP($A73,WIceHockey!$C:$O,F$1-2011,FALSE),0)+IFERROR(VLOOKUP($A73,WLacrosse!$C:$O,F$1-2011,FALSE),0)+IFERROR(VLOOKUP($A73,WSoccer!$C:$O,F$1-2011,FALSE),0)+IFERROR(VLOOKUP($A73,WSoftball!$C:$O,F$1-2011,FALSE),0)+IFERROR(VLOOKUP($A73,WVolleyball!$C:$O,F$1-2011,FALSE),0)</f>
        <v>152297</v>
      </c>
      <c r="G73">
        <f>IFERROR(VLOOKUP($A73,MBaseball!$C:$N,G$1-2010,FALSE),0)+IFERROR(VLOOKUP($A73,MBasketball!$C:$J,G$1-2006,FALSE),0)+IFERROR(VLOOKUP($A73,MFootball!$C:$O,G$1-2011,FALSE),0)+IFERROR(VLOOKUP($A73,MIceHockey!$C:$P,G$1-2011,FALSE),0)+IFERROR(VLOOKUP($A73,MLacrosse!$C:$O,G$1-2011,FALSE),0)+IFERROR(VLOOKUP($A73,MSoccer!$C:$O,G$1-2011,FALSE),0)+IFERROR(VLOOKUP($A73,MVolleyball!$C:$O,G$1-2011,FALSE),0)+IFERROR(VLOOKUP($A73,WBasketball!$C:$O,G$1-2011,FALSE),0)+IFERROR(VLOOKUP($A73,WFieldHockey!$C:$O,G$1-2011,FALSE),0)+IFERROR(VLOOKUP($A73,WIceHockey!$C:$O,G$1-2011,FALSE),0)+IFERROR(VLOOKUP($A73,WLacrosse!$C:$O,G$1-2011,FALSE),0)+IFERROR(VLOOKUP($A73,WSoccer!$C:$O,G$1-2011,FALSE),0)+IFERROR(VLOOKUP($A73,WSoftball!$C:$O,G$1-2011,FALSE),0)+IFERROR(VLOOKUP($A73,WVolleyball!$C:$O,G$1-2011,FALSE),0)</f>
        <v>128655</v>
      </c>
      <c r="H73">
        <f>IFERROR(VLOOKUP($A73,MBaseball!$C:$N,H$1-2010,FALSE),0)+IFERROR(VLOOKUP($A73,MBasketball!$C:$J,H$1-2006,FALSE),0)+IFERROR(VLOOKUP($A73,MFootball!$C:$O,H$1-2011,FALSE),0)+IFERROR(VLOOKUP($A73,MIceHockey!$C:$P,H$1-2011,FALSE),0)+IFERROR(VLOOKUP($A73,MLacrosse!$C:$O,H$1-2011,FALSE),0)+IFERROR(VLOOKUP($A73,MSoccer!$C:$O,H$1-2011,FALSE),0)+IFERROR(VLOOKUP($A73,MVolleyball!$C:$O,H$1-2011,FALSE),0)+IFERROR(VLOOKUP($A73,WBasketball!$C:$O,H$1-2011,FALSE),0)+IFERROR(VLOOKUP($A73,WFieldHockey!$C:$O,H$1-2011,FALSE),0)+IFERROR(VLOOKUP($A73,WIceHockey!$C:$O,H$1-2011,FALSE),0)+IFERROR(VLOOKUP($A73,WLacrosse!$C:$O,H$1-2011,FALSE),0)+IFERROR(VLOOKUP($A73,WSoccer!$C:$O,H$1-2011,FALSE),0)+IFERROR(VLOOKUP($A73,WSoftball!$C:$O,H$1-2011,FALSE),0)+IFERROR(VLOOKUP($A73,WVolleyball!$C:$O,H$1-2011,FALSE),0)</f>
        <v>146879</v>
      </c>
      <c r="I73">
        <f>IFERROR(VLOOKUP($A73,MBaseball!$C:$N,I$1-2010,FALSE),0)+IFERROR(VLOOKUP($A73,MBasketball!$C:$J,I$1-2006,FALSE),0)+IFERROR(VLOOKUP($A73,MFootball!$C:$O,I$1-2011,FALSE),0)+IFERROR(VLOOKUP($A73,MIceHockey!$C:$P,I$1-2011,FALSE),0)+IFERROR(VLOOKUP($A73,MLacrosse!$C:$O,I$1-2011,FALSE),0)+IFERROR(VLOOKUP($A73,MSoccer!$C:$O,I$1-2011,FALSE),0)+IFERROR(VLOOKUP($A73,MVolleyball!$C:$O,I$1-2011,FALSE),0)+IFERROR(VLOOKUP($A73,WBasketball!$C:$O,I$1-2011,FALSE),0)+IFERROR(VLOOKUP($A73,WFieldHockey!$C:$O,I$1-2011,FALSE),0)+IFERROR(VLOOKUP($A73,WIceHockey!$C:$O,I$1-2011,FALSE),0)+IFERROR(VLOOKUP($A73,WLacrosse!$C:$O,I$1-2011,FALSE),0)+IFERROR(VLOOKUP($A73,WSoccer!$C:$O,I$1-2011,FALSE),0)+IFERROR(VLOOKUP($A73,WSoftball!$C:$O,I$1-2011,FALSE),0)+IFERROR(VLOOKUP($A73,WVolleyball!$C:$O,I$1-2011,FALSE),0)</f>
        <v>142311</v>
      </c>
      <c r="J73">
        <f>IFERROR(VLOOKUP($A73,MBaseball!$C:$N,J$1-2010,FALSE),0)+IFERROR(VLOOKUP($A73,MBasketball!$C:$J,J$1-2006,FALSE),0)+IFERROR(VLOOKUP($A73,MFootball!$C:$O,J$1-2011,FALSE),0)+IFERROR(VLOOKUP($A73,MIceHockey!$C:$P,J$1-2011,FALSE),0)+IFERROR(VLOOKUP($A73,MLacrosse!$C:$O,J$1-2011,FALSE),0)+IFERROR(VLOOKUP($A73,MSoccer!$C:$O,J$1-2011,FALSE),0)+IFERROR(VLOOKUP($A73,MVolleyball!$C:$O,J$1-2011,FALSE),0)+IFERROR(VLOOKUP($A73,WBasketball!$C:$O,J$1-2011,FALSE),0)+IFERROR(VLOOKUP($A73,WFieldHockey!$C:$O,J$1-2011,FALSE),0)+IFERROR(VLOOKUP($A73,WIceHockey!$C:$O,J$1-2011,FALSE),0)+IFERROR(VLOOKUP($A73,WLacrosse!$C:$O,J$1-2011,FALSE),0)+IFERROR(VLOOKUP($A73,WSoccer!$C:$O,J$1-2011,FALSE),0)+IFERROR(VLOOKUP($A73,WSoftball!$C:$O,J$1-2011,FALSE),0)+IFERROR(VLOOKUP($A73,WVolleyball!$C:$O,J$1-2011,FALSE),0)</f>
        <v>136890</v>
      </c>
      <c r="K73">
        <f>IFERROR(VLOOKUP($A73,MBaseball!$C:$N,K$1-2010,FALSE),0)+IFERROR(VLOOKUP($A73,MBasketball!$C:$J,K$1-2006,FALSE),0)+IFERROR(VLOOKUP($A73,MFootball!$C:$O,K$1-2011,FALSE),0)+IFERROR(VLOOKUP($A73,MIceHockey!$C:$P,K$1-2011,FALSE),0)+IFERROR(VLOOKUP($A73,MLacrosse!$C:$O,K$1-2011,FALSE),0)+IFERROR(VLOOKUP($A73,MSoccer!$C:$O,K$1-2011,FALSE),0)+IFERROR(VLOOKUP($A73,MVolleyball!$C:$O,K$1-2011,FALSE),0)+IFERROR(VLOOKUP($A73,WBasketball!$C:$O,K$1-2011,FALSE),0)+IFERROR(VLOOKUP($A73,WFieldHockey!$C:$O,K$1-2011,FALSE),0)+IFERROR(VLOOKUP($A73,WIceHockey!$C:$O,K$1-2011,FALSE),0)+IFERROR(VLOOKUP($A73,WLacrosse!$C:$O,K$1-2011,FALSE),0)+IFERROR(VLOOKUP($A73,WSoccer!$C:$O,K$1-2011,FALSE),0)+IFERROR(VLOOKUP($A73,WSoftball!$C:$O,K$1-2011,FALSE),0)+IFERROR(VLOOKUP($A73,WVolleyball!$C:$O,K$1-2011,FALSE),0)</f>
        <v>126044</v>
      </c>
      <c r="L73">
        <f>IFERROR(VLOOKUP($A73,MBaseball!$C:$N,L$1-2010,FALSE),0)+IFERROR(VLOOKUP($A73,MBasketball!$C:$J,L$1-2006,FALSE),0)+IFERROR(VLOOKUP($A73,MFootball!$C:$O,L$1-2011,FALSE),0)+IFERROR(VLOOKUP($A73,MIceHockey!$C:$P,L$1-2011,FALSE),0)+IFERROR(VLOOKUP($A73,MLacrosse!$C:$O,L$1-2011,FALSE),0)+IFERROR(VLOOKUP($A73,MSoccer!$C:$O,L$1-2011,FALSE),0)+IFERROR(VLOOKUP($A73,MVolleyball!$C:$O,L$1-2011,FALSE),0)+IFERROR(VLOOKUP($A73,WBasketball!$C:$O,L$1-2011,FALSE),0)+IFERROR(VLOOKUP($A73,WFieldHockey!$C:$O,L$1-2011,FALSE),0)+IFERROR(VLOOKUP($A73,WIceHockey!$C:$O,L$1-2011,FALSE),0)+IFERROR(VLOOKUP($A73,WLacrosse!$C:$O,L$1-2011,FALSE),0)+IFERROR(VLOOKUP($A73,WSoccer!$C:$O,L$1-2011,FALSE),0)+IFERROR(VLOOKUP($A73,WSoftball!$C:$O,L$1-2011,FALSE),0)+IFERROR(VLOOKUP($A73,WVolleyball!$C:$O,L$1-2011,FALSE),0)</f>
        <v>9087</v>
      </c>
      <c r="M73">
        <f>IFERROR(VLOOKUP($A73,MBaseball!$C:$N,M$1-2010,FALSE),0)+IFERROR(VLOOKUP($A73,MBasketball!$C:$J,M$1-2006,FALSE),0)+IFERROR(VLOOKUP($A73,MFootball!$C:$O,M$1-2011,FALSE),0)+IFERROR(VLOOKUP($A73,MIceHockey!$C:$P,M$1-2011,FALSE),0)+IFERROR(VLOOKUP($A73,MLacrosse!$C:$O,M$1-2011,FALSE),0)+IFERROR(VLOOKUP($A73,MSoccer!$C:$O,M$1-2011,FALSE),0)+IFERROR(VLOOKUP($A73,MVolleyball!$C:$O,M$1-2011,FALSE),0)+IFERROR(VLOOKUP($A73,WBasketball!$C:$O,M$1-2011,FALSE),0)+IFERROR(VLOOKUP($A73,WFieldHockey!$C:$O,M$1-2011,FALSE),0)+IFERROR(VLOOKUP($A73,WIceHockey!$C:$O,M$1-2011,FALSE),0)+IFERROR(VLOOKUP($A73,WLacrosse!$C:$O,M$1-2011,FALSE),0)+IFERROR(VLOOKUP($A73,WSoccer!$C:$O,M$1-2011,FALSE),0)+IFERROR(VLOOKUP($A73,WSoftball!$C:$O,M$1-2011,FALSE),0)+IFERROR(VLOOKUP($A73,WVolleyball!$C:$O,M$1-2011,FALSE),0)</f>
        <v>121333</v>
      </c>
      <c r="N73">
        <f>IFERROR(VLOOKUP($A73,MBaseball!$C:$N,N$1-2010,FALSE),0)+IFERROR(VLOOKUP($A73,MBasketball!$C:$J,N$1-2006,FALSE),0)+IFERROR(VLOOKUP($A73,MFootball!$C:$O,N$1-2011,FALSE),0)+IFERROR(VLOOKUP($A73,MIceHockey!$C:$P,N$1-2011,FALSE),0)+IFERROR(VLOOKUP($A73,MLacrosse!$C:$O,N$1-2011,FALSE),0)+IFERROR(VLOOKUP($A73,MSoccer!$C:$O,N$1-2011,FALSE),0)+IFERROR(VLOOKUP($A73,MVolleyball!$C:$O,N$1-2011,FALSE),0)+IFERROR(VLOOKUP($A73,WBasketball!$C:$O,N$1-2011,FALSE),0)+IFERROR(VLOOKUP($A73,WFieldHockey!$C:$O,N$1-2011,FALSE),0)+IFERROR(VLOOKUP($A73,WIceHockey!$C:$O,N$1-2011,FALSE),0)+IFERROR(VLOOKUP($A73,WLacrosse!$C:$O,N$1-2011,FALSE),0)+IFERROR(VLOOKUP($A73,WSoccer!$C:$O,N$1-2011,FALSE),0)+IFERROR(VLOOKUP($A73,WSoftball!$C:$O,N$1-2011,FALSE),0)+IFERROR(VLOOKUP($A73,WVolleyball!$C:$O,N$1-2011,FALSE),0)</f>
        <v>122875</v>
      </c>
    </row>
    <row r="74" spans="1:14" x14ac:dyDescent="0.2">
      <c r="A74">
        <v>237525</v>
      </c>
      <c r="B74">
        <v>26580</v>
      </c>
      <c r="C74" t="s">
        <v>125</v>
      </c>
      <c r="D74">
        <v>73</v>
      </c>
      <c r="E74">
        <f>IFERROR(VLOOKUP($A74,MBaseball!$C:$N,E$1-2010,FALSE),0)+IFERROR(VLOOKUP($A74,MBasketball!$C:$J,E$1-2006,FALSE),0)+IFERROR(VLOOKUP($A74,MFootball!$C:$O,E$1-2011,FALSE),0)+IFERROR(VLOOKUP($A74,MIceHockey!$C:$P,E$1-2011,FALSE),0)+IFERROR(VLOOKUP($A74,MLacrosse!$C:$O,E$1-2011,FALSE),0)+IFERROR(VLOOKUP($A74,MSoccer!$C:$O,E$1-2011,FALSE),0)+IFERROR(VLOOKUP($A74,MVolleyball!$C:$O,E$1-2011,FALSE),0)+IFERROR(VLOOKUP($A74,WBasketball!$C:$O,E$1-2011,FALSE),0)+IFERROR(VLOOKUP($A74,WFieldHockey!$C:$O,E$1-2011,FALSE),0)+IFERROR(VLOOKUP($A74,WIceHockey!$C:$O,E$1-2011,FALSE),0)+IFERROR(VLOOKUP($A74,WLacrosse!$C:$O,E$1-2011,FALSE),0)+IFERROR(VLOOKUP($A74,WSoccer!$C:$O,E$1-2011,FALSE),0)+IFERROR(VLOOKUP($A74,WSoftball!$C:$O,E$1-2011,FALSE),0)+IFERROR(VLOOKUP($A74,WVolleyball!$C:$O,E$1-2011,FALSE),0)</f>
        <v>148987</v>
      </c>
      <c r="F74">
        <f>IFERROR(VLOOKUP($A74,MBaseball!$C:$N,F$1-2010,FALSE),0)+IFERROR(VLOOKUP($A74,MBasketball!$C:$J,F$1-2006,FALSE),0)+IFERROR(VLOOKUP($A74,MFootball!$C:$O,F$1-2011,FALSE),0)+IFERROR(VLOOKUP($A74,MIceHockey!$C:$P,F$1-2011,FALSE),0)+IFERROR(VLOOKUP($A74,MLacrosse!$C:$O,F$1-2011,FALSE),0)+IFERROR(VLOOKUP($A74,MSoccer!$C:$O,F$1-2011,FALSE),0)+IFERROR(VLOOKUP($A74,MVolleyball!$C:$O,F$1-2011,FALSE),0)+IFERROR(VLOOKUP($A74,WBasketball!$C:$O,F$1-2011,FALSE),0)+IFERROR(VLOOKUP($A74,WFieldHockey!$C:$O,F$1-2011,FALSE),0)+IFERROR(VLOOKUP($A74,WIceHockey!$C:$O,F$1-2011,FALSE),0)+IFERROR(VLOOKUP($A74,WLacrosse!$C:$O,F$1-2011,FALSE),0)+IFERROR(VLOOKUP($A74,WSoccer!$C:$O,F$1-2011,FALSE),0)+IFERROR(VLOOKUP($A74,WSoftball!$C:$O,F$1-2011,FALSE),0)+IFERROR(VLOOKUP($A74,WVolleyball!$C:$O,F$1-2011,FALSE),0)</f>
        <v>223071</v>
      </c>
      <c r="G74">
        <f>IFERROR(VLOOKUP($A74,MBaseball!$C:$N,G$1-2010,FALSE),0)+IFERROR(VLOOKUP($A74,MBasketball!$C:$J,G$1-2006,FALSE),0)+IFERROR(VLOOKUP($A74,MFootball!$C:$O,G$1-2011,FALSE),0)+IFERROR(VLOOKUP($A74,MIceHockey!$C:$P,G$1-2011,FALSE),0)+IFERROR(VLOOKUP($A74,MLacrosse!$C:$O,G$1-2011,FALSE),0)+IFERROR(VLOOKUP($A74,MSoccer!$C:$O,G$1-2011,FALSE),0)+IFERROR(VLOOKUP($A74,MVolleyball!$C:$O,G$1-2011,FALSE),0)+IFERROR(VLOOKUP($A74,WBasketball!$C:$O,G$1-2011,FALSE),0)+IFERROR(VLOOKUP($A74,WFieldHockey!$C:$O,G$1-2011,FALSE),0)+IFERROR(VLOOKUP($A74,WIceHockey!$C:$O,G$1-2011,FALSE),0)+IFERROR(VLOOKUP($A74,WLacrosse!$C:$O,G$1-2011,FALSE),0)+IFERROR(VLOOKUP($A74,WSoccer!$C:$O,G$1-2011,FALSE),0)+IFERROR(VLOOKUP($A74,WSoftball!$C:$O,G$1-2011,FALSE),0)+IFERROR(VLOOKUP($A74,WVolleyball!$C:$O,G$1-2011,FALSE),0)</f>
        <v>203869</v>
      </c>
      <c r="H74">
        <f>IFERROR(VLOOKUP($A74,MBaseball!$C:$N,H$1-2010,FALSE),0)+IFERROR(VLOOKUP($A74,MBasketball!$C:$J,H$1-2006,FALSE),0)+IFERROR(VLOOKUP($A74,MFootball!$C:$O,H$1-2011,FALSE),0)+IFERROR(VLOOKUP($A74,MIceHockey!$C:$P,H$1-2011,FALSE),0)+IFERROR(VLOOKUP($A74,MLacrosse!$C:$O,H$1-2011,FALSE),0)+IFERROR(VLOOKUP($A74,MSoccer!$C:$O,H$1-2011,FALSE),0)+IFERROR(VLOOKUP($A74,MVolleyball!$C:$O,H$1-2011,FALSE),0)+IFERROR(VLOOKUP($A74,WBasketball!$C:$O,H$1-2011,FALSE),0)+IFERROR(VLOOKUP($A74,WFieldHockey!$C:$O,H$1-2011,FALSE),0)+IFERROR(VLOOKUP($A74,WIceHockey!$C:$O,H$1-2011,FALSE),0)+IFERROR(VLOOKUP($A74,WLacrosse!$C:$O,H$1-2011,FALSE),0)+IFERROR(VLOOKUP($A74,WSoccer!$C:$O,H$1-2011,FALSE),0)+IFERROR(VLOOKUP($A74,WSoftball!$C:$O,H$1-2011,FALSE),0)+IFERROR(VLOOKUP($A74,WVolleyball!$C:$O,H$1-2011,FALSE),0)</f>
        <v>203932</v>
      </c>
      <c r="I74">
        <f>IFERROR(VLOOKUP($A74,MBaseball!$C:$N,I$1-2010,FALSE),0)+IFERROR(VLOOKUP($A74,MBasketball!$C:$J,I$1-2006,FALSE),0)+IFERROR(VLOOKUP($A74,MFootball!$C:$O,I$1-2011,FALSE),0)+IFERROR(VLOOKUP($A74,MIceHockey!$C:$P,I$1-2011,FALSE),0)+IFERROR(VLOOKUP($A74,MLacrosse!$C:$O,I$1-2011,FALSE),0)+IFERROR(VLOOKUP($A74,MSoccer!$C:$O,I$1-2011,FALSE),0)+IFERROR(VLOOKUP($A74,MVolleyball!$C:$O,I$1-2011,FALSE),0)+IFERROR(VLOOKUP($A74,WBasketball!$C:$O,I$1-2011,FALSE),0)+IFERROR(VLOOKUP($A74,WFieldHockey!$C:$O,I$1-2011,FALSE),0)+IFERROR(VLOOKUP($A74,WIceHockey!$C:$O,I$1-2011,FALSE),0)+IFERROR(VLOOKUP($A74,WLacrosse!$C:$O,I$1-2011,FALSE),0)+IFERROR(VLOOKUP($A74,WSoccer!$C:$O,I$1-2011,FALSE),0)+IFERROR(VLOOKUP($A74,WSoftball!$C:$O,I$1-2011,FALSE),0)+IFERROR(VLOOKUP($A74,WVolleyball!$C:$O,I$1-2011,FALSE),0)</f>
        <v>164408</v>
      </c>
      <c r="J74">
        <f>IFERROR(VLOOKUP($A74,MBaseball!$C:$N,J$1-2010,FALSE),0)+IFERROR(VLOOKUP($A74,MBasketball!$C:$J,J$1-2006,FALSE),0)+IFERROR(VLOOKUP($A74,MFootball!$C:$O,J$1-2011,FALSE),0)+IFERROR(VLOOKUP($A74,MIceHockey!$C:$P,J$1-2011,FALSE),0)+IFERROR(VLOOKUP($A74,MLacrosse!$C:$O,J$1-2011,FALSE),0)+IFERROR(VLOOKUP($A74,MSoccer!$C:$O,J$1-2011,FALSE),0)+IFERROR(VLOOKUP($A74,MVolleyball!$C:$O,J$1-2011,FALSE),0)+IFERROR(VLOOKUP($A74,WBasketball!$C:$O,J$1-2011,FALSE),0)+IFERROR(VLOOKUP($A74,WFieldHockey!$C:$O,J$1-2011,FALSE),0)+IFERROR(VLOOKUP($A74,WIceHockey!$C:$O,J$1-2011,FALSE),0)+IFERROR(VLOOKUP($A74,WLacrosse!$C:$O,J$1-2011,FALSE),0)+IFERROR(VLOOKUP($A74,WSoccer!$C:$O,J$1-2011,FALSE),0)+IFERROR(VLOOKUP($A74,WSoftball!$C:$O,J$1-2011,FALSE),0)+IFERROR(VLOOKUP($A74,WVolleyball!$C:$O,J$1-2011,FALSE),0)</f>
        <v>182669</v>
      </c>
      <c r="K74">
        <f>IFERROR(VLOOKUP($A74,MBaseball!$C:$N,K$1-2010,FALSE),0)+IFERROR(VLOOKUP($A74,MBasketball!$C:$J,K$1-2006,FALSE),0)+IFERROR(VLOOKUP($A74,MFootball!$C:$O,K$1-2011,FALSE),0)+IFERROR(VLOOKUP($A74,MIceHockey!$C:$P,K$1-2011,FALSE),0)+IFERROR(VLOOKUP($A74,MLacrosse!$C:$O,K$1-2011,FALSE),0)+IFERROR(VLOOKUP($A74,MSoccer!$C:$O,K$1-2011,FALSE),0)+IFERROR(VLOOKUP($A74,MVolleyball!$C:$O,K$1-2011,FALSE),0)+IFERROR(VLOOKUP($A74,WBasketball!$C:$O,K$1-2011,FALSE),0)+IFERROR(VLOOKUP($A74,WFieldHockey!$C:$O,K$1-2011,FALSE),0)+IFERROR(VLOOKUP($A74,WIceHockey!$C:$O,K$1-2011,FALSE),0)+IFERROR(VLOOKUP($A74,WLacrosse!$C:$O,K$1-2011,FALSE),0)+IFERROR(VLOOKUP($A74,WSoccer!$C:$O,K$1-2011,FALSE),0)+IFERROR(VLOOKUP($A74,WSoftball!$C:$O,K$1-2011,FALSE),0)+IFERROR(VLOOKUP($A74,WVolleyball!$C:$O,K$1-2011,FALSE),0)</f>
        <v>187963</v>
      </c>
      <c r="L74">
        <f>IFERROR(VLOOKUP($A74,MBaseball!$C:$N,L$1-2010,FALSE),0)+IFERROR(VLOOKUP($A74,MBasketball!$C:$J,L$1-2006,FALSE),0)+IFERROR(VLOOKUP($A74,MFootball!$C:$O,L$1-2011,FALSE),0)+IFERROR(VLOOKUP($A74,MIceHockey!$C:$P,L$1-2011,FALSE),0)+IFERROR(VLOOKUP($A74,MLacrosse!$C:$O,L$1-2011,FALSE),0)+IFERROR(VLOOKUP($A74,MSoccer!$C:$O,L$1-2011,FALSE),0)+IFERROR(VLOOKUP($A74,MVolleyball!$C:$O,L$1-2011,FALSE),0)+IFERROR(VLOOKUP($A74,WBasketball!$C:$O,L$1-2011,FALSE),0)+IFERROR(VLOOKUP($A74,WFieldHockey!$C:$O,L$1-2011,FALSE),0)+IFERROR(VLOOKUP($A74,WIceHockey!$C:$O,L$1-2011,FALSE),0)+IFERROR(VLOOKUP($A74,WLacrosse!$C:$O,L$1-2011,FALSE),0)+IFERROR(VLOOKUP($A74,WSoccer!$C:$O,L$1-2011,FALSE),0)+IFERROR(VLOOKUP($A74,WSoftball!$C:$O,L$1-2011,FALSE),0)+IFERROR(VLOOKUP($A74,WVolleyball!$C:$O,L$1-2011,FALSE),0)</f>
        <v>93918</v>
      </c>
      <c r="M74">
        <f>IFERROR(VLOOKUP($A74,MBaseball!$C:$N,M$1-2010,FALSE),0)+IFERROR(VLOOKUP($A74,MBasketball!$C:$J,M$1-2006,FALSE),0)+IFERROR(VLOOKUP($A74,MFootball!$C:$O,M$1-2011,FALSE),0)+IFERROR(VLOOKUP($A74,MIceHockey!$C:$P,M$1-2011,FALSE),0)+IFERROR(VLOOKUP($A74,MLacrosse!$C:$O,M$1-2011,FALSE),0)+IFERROR(VLOOKUP($A74,MSoccer!$C:$O,M$1-2011,FALSE),0)+IFERROR(VLOOKUP($A74,MVolleyball!$C:$O,M$1-2011,FALSE),0)+IFERROR(VLOOKUP($A74,WBasketball!$C:$O,M$1-2011,FALSE),0)+IFERROR(VLOOKUP($A74,WFieldHockey!$C:$O,M$1-2011,FALSE),0)+IFERROR(VLOOKUP($A74,WIceHockey!$C:$O,M$1-2011,FALSE),0)+IFERROR(VLOOKUP($A74,WLacrosse!$C:$O,M$1-2011,FALSE),0)+IFERROR(VLOOKUP($A74,WSoccer!$C:$O,M$1-2011,FALSE),0)+IFERROR(VLOOKUP($A74,WSoftball!$C:$O,M$1-2011,FALSE),0)+IFERROR(VLOOKUP($A74,WVolleyball!$C:$O,M$1-2011,FALSE),0)</f>
        <v>170058</v>
      </c>
      <c r="N74">
        <f>IFERROR(VLOOKUP($A74,MBaseball!$C:$N,N$1-2010,FALSE),0)+IFERROR(VLOOKUP($A74,MBasketball!$C:$J,N$1-2006,FALSE),0)+IFERROR(VLOOKUP($A74,MFootball!$C:$O,N$1-2011,FALSE),0)+IFERROR(VLOOKUP($A74,MIceHockey!$C:$P,N$1-2011,FALSE),0)+IFERROR(VLOOKUP($A74,MLacrosse!$C:$O,N$1-2011,FALSE),0)+IFERROR(VLOOKUP($A74,MSoccer!$C:$O,N$1-2011,FALSE),0)+IFERROR(VLOOKUP($A74,MVolleyball!$C:$O,N$1-2011,FALSE),0)+IFERROR(VLOOKUP($A74,WBasketball!$C:$O,N$1-2011,FALSE),0)+IFERROR(VLOOKUP($A74,WFieldHockey!$C:$O,N$1-2011,FALSE),0)+IFERROR(VLOOKUP($A74,WIceHockey!$C:$O,N$1-2011,FALSE),0)+IFERROR(VLOOKUP($A74,WLacrosse!$C:$O,N$1-2011,FALSE),0)+IFERROR(VLOOKUP($A74,WSoccer!$C:$O,N$1-2011,FALSE),0)+IFERROR(VLOOKUP($A74,WSoftball!$C:$O,N$1-2011,FALSE),0)+IFERROR(VLOOKUP($A74,WVolleyball!$C:$O,N$1-2011,FALSE),0)</f>
        <v>180055</v>
      </c>
    </row>
    <row r="75" spans="1:14" x14ac:dyDescent="0.2">
      <c r="A75">
        <v>163286</v>
      </c>
      <c r="B75">
        <v>47900</v>
      </c>
      <c r="C75" t="s">
        <v>126</v>
      </c>
      <c r="D75">
        <v>74</v>
      </c>
      <c r="E75">
        <f>IFERROR(VLOOKUP($A75,MBaseball!$C:$N,E$1-2010,FALSE),0)+IFERROR(VLOOKUP($A75,MBasketball!$C:$J,E$1-2006,FALSE),0)+IFERROR(VLOOKUP($A75,MFootball!$C:$O,E$1-2011,FALSE),0)+IFERROR(VLOOKUP($A75,MIceHockey!$C:$P,E$1-2011,FALSE),0)+IFERROR(VLOOKUP($A75,MLacrosse!$C:$O,E$1-2011,FALSE),0)+IFERROR(VLOOKUP($A75,MSoccer!$C:$O,E$1-2011,FALSE),0)+IFERROR(VLOOKUP($A75,MVolleyball!$C:$O,E$1-2011,FALSE),0)+IFERROR(VLOOKUP($A75,WBasketball!$C:$O,E$1-2011,FALSE),0)+IFERROR(VLOOKUP($A75,WFieldHockey!$C:$O,E$1-2011,FALSE),0)+IFERROR(VLOOKUP($A75,WIceHockey!$C:$O,E$1-2011,FALSE),0)+IFERROR(VLOOKUP($A75,WLacrosse!$C:$O,E$1-2011,FALSE),0)+IFERROR(VLOOKUP($A75,WSoccer!$C:$O,E$1-2011,FALSE),0)+IFERROR(VLOOKUP($A75,WSoftball!$C:$O,E$1-2011,FALSE),0)+IFERROR(VLOOKUP($A75,WVolleyball!$C:$O,E$1-2011,FALSE),0)</f>
        <v>446977</v>
      </c>
      <c r="F75">
        <f>IFERROR(VLOOKUP($A75,MBaseball!$C:$N,F$1-2010,FALSE),0)+IFERROR(VLOOKUP($A75,MBasketball!$C:$J,F$1-2006,FALSE),0)+IFERROR(VLOOKUP($A75,MFootball!$C:$O,F$1-2011,FALSE),0)+IFERROR(VLOOKUP($A75,MIceHockey!$C:$P,F$1-2011,FALSE),0)+IFERROR(VLOOKUP($A75,MLacrosse!$C:$O,F$1-2011,FALSE),0)+IFERROR(VLOOKUP($A75,MSoccer!$C:$O,F$1-2011,FALSE),0)+IFERROR(VLOOKUP($A75,MVolleyball!$C:$O,F$1-2011,FALSE),0)+IFERROR(VLOOKUP($A75,WBasketball!$C:$O,F$1-2011,FALSE),0)+IFERROR(VLOOKUP($A75,WFieldHockey!$C:$O,F$1-2011,FALSE),0)+IFERROR(VLOOKUP($A75,WIceHockey!$C:$O,F$1-2011,FALSE),0)+IFERROR(VLOOKUP($A75,WLacrosse!$C:$O,F$1-2011,FALSE),0)+IFERROR(VLOOKUP($A75,WSoccer!$C:$O,F$1-2011,FALSE),0)+IFERROR(VLOOKUP($A75,WSoftball!$C:$O,F$1-2011,FALSE),0)+IFERROR(VLOOKUP($A75,WVolleyball!$C:$O,F$1-2011,FALSE),0)</f>
        <v>494329</v>
      </c>
      <c r="G75">
        <f>IFERROR(VLOOKUP($A75,MBaseball!$C:$N,G$1-2010,FALSE),0)+IFERROR(VLOOKUP($A75,MBasketball!$C:$J,G$1-2006,FALSE),0)+IFERROR(VLOOKUP($A75,MFootball!$C:$O,G$1-2011,FALSE),0)+IFERROR(VLOOKUP($A75,MIceHockey!$C:$P,G$1-2011,FALSE),0)+IFERROR(VLOOKUP($A75,MLacrosse!$C:$O,G$1-2011,FALSE),0)+IFERROR(VLOOKUP($A75,MSoccer!$C:$O,G$1-2011,FALSE),0)+IFERROR(VLOOKUP($A75,MVolleyball!$C:$O,G$1-2011,FALSE),0)+IFERROR(VLOOKUP($A75,WBasketball!$C:$O,G$1-2011,FALSE),0)+IFERROR(VLOOKUP($A75,WFieldHockey!$C:$O,G$1-2011,FALSE),0)+IFERROR(VLOOKUP($A75,WIceHockey!$C:$O,G$1-2011,FALSE),0)+IFERROR(VLOOKUP($A75,WLacrosse!$C:$O,G$1-2011,FALSE),0)+IFERROR(VLOOKUP($A75,WSoccer!$C:$O,G$1-2011,FALSE),0)+IFERROR(VLOOKUP($A75,WSoftball!$C:$O,G$1-2011,FALSE),0)+IFERROR(VLOOKUP($A75,WVolleyball!$C:$O,G$1-2011,FALSE),0)</f>
        <v>526682</v>
      </c>
      <c r="H75">
        <f>IFERROR(VLOOKUP($A75,MBaseball!$C:$N,H$1-2010,FALSE),0)+IFERROR(VLOOKUP($A75,MBasketball!$C:$J,H$1-2006,FALSE),0)+IFERROR(VLOOKUP($A75,MFootball!$C:$O,H$1-2011,FALSE),0)+IFERROR(VLOOKUP($A75,MIceHockey!$C:$P,H$1-2011,FALSE),0)+IFERROR(VLOOKUP($A75,MLacrosse!$C:$O,H$1-2011,FALSE),0)+IFERROR(VLOOKUP($A75,MSoccer!$C:$O,H$1-2011,FALSE),0)+IFERROR(VLOOKUP($A75,MVolleyball!$C:$O,H$1-2011,FALSE),0)+IFERROR(VLOOKUP($A75,WBasketball!$C:$O,H$1-2011,FALSE),0)+IFERROR(VLOOKUP($A75,WFieldHockey!$C:$O,H$1-2011,FALSE),0)+IFERROR(VLOOKUP($A75,WIceHockey!$C:$O,H$1-2011,FALSE),0)+IFERROR(VLOOKUP($A75,WLacrosse!$C:$O,H$1-2011,FALSE),0)+IFERROR(VLOOKUP($A75,WSoccer!$C:$O,H$1-2011,FALSE),0)+IFERROR(VLOOKUP($A75,WSoftball!$C:$O,H$1-2011,FALSE),0)+IFERROR(VLOOKUP($A75,WVolleyball!$C:$O,H$1-2011,FALSE),0)</f>
        <v>490499</v>
      </c>
      <c r="I75">
        <f>IFERROR(VLOOKUP($A75,MBaseball!$C:$N,I$1-2010,FALSE),0)+IFERROR(VLOOKUP($A75,MBasketball!$C:$J,I$1-2006,FALSE),0)+IFERROR(VLOOKUP($A75,MFootball!$C:$O,I$1-2011,FALSE),0)+IFERROR(VLOOKUP($A75,MIceHockey!$C:$P,I$1-2011,FALSE),0)+IFERROR(VLOOKUP($A75,MLacrosse!$C:$O,I$1-2011,FALSE),0)+IFERROR(VLOOKUP($A75,MSoccer!$C:$O,I$1-2011,FALSE),0)+IFERROR(VLOOKUP($A75,MVolleyball!$C:$O,I$1-2011,FALSE),0)+IFERROR(VLOOKUP($A75,WBasketball!$C:$O,I$1-2011,FALSE),0)+IFERROR(VLOOKUP($A75,WFieldHockey!$C:$O,I$1-2011,FALSE),0)+IFERROR(VLOOKUP($A75,WIceHockey!$C:$O,I$1-2011,FALSE),0)+IFERROR(VLOOKUP($A75,WLacrosse!$C:$O,I$1-2011,FALSE),0)+IFERROR(VLOOKUP($A75,WSoccer!$C:$O,I$1-2011,FALSE),0)+IFERROR(VLOOKUP($A75,WSoftball!$C:$O,I$1-2011,FALSE),0)+IFERROR(VLOOKUP($A75,WVolleyball!$C:$O,I$1-2011,FALSE),0)</f>
        <v>452991</v>
      </c>
      <c r="J75">
        <f>IFERROR(VLOOKUP($A75,MBaseball!$C:$N,J$1-2010,FALSE),0)+IFERROR(VLOOKUP($A75,MBasketball!$C:$J,J$1-2006,FALSE),0)+IFERROR(VLOOKUP($A75,MFootball!$C:$O,J$1-2011,FALSE),0)+IFERROR(VLOOKUP($A75,MIceHockey!$C:$P,J$1-2011,FALSE),0)+IFERROR(VLOOKUP($A75,MLacrosse!$C:$O,J$1-2011,FALSE),0)+IFERROR(VLOOKUP($A75,MSoccer!$C:$O,J$1-2011,FALSE),0)+IFERROR(VLOOKUP($A75,MVolleyball!$C:$O,J$1-2011,FALSE),0)+IFERROR(VLOOKUP($A75,WBasketball!$C:$O,J$1-2011,FALSE),0)+IFERROR(VLOOKUP($A75,WFieldHockey!$C:$O,J$1-2011,FALSE),0)+IFERROR(VLOOKUP($A75,WIceHockey!$C:$O,J$1-2011,FALSE),0)+IFERROR(VLOOKUP($A75,WLacrosse!$C:$O,J$1-2011,FALSE),0)+IFERROR(VLOOKUP($A75,WSoccer!$C:$O,J$1-2011,FALSE),0)+IFERROR(VLOOKUP($A75,WSoftball!$C:$O,J$1-2011,FALSE),0)+IFERROR(VLOOKUP($A75,WVolleyball!$C:$O,J$1-2011,FALSE),0)</f>
        <v>425065</v>
      </c>
      <c r="K75">
        <f>IFERROR(VLOOKUP($A75,MBaseball!$C:$N,K$1-2010,FALSE),0)+IFERROR(VLOOKUP($A75,MBasketball!$C:$J,K$1-2006,FALSE),0)+IFERROR(VLOOKUP($A75,MFootball!$C:$O,K$1-2011,FALSE),0)+IFERROR(VLOOKUP($A75,MIceHockey!$C:$P,K$1-2011,FALSE),0)+IFERROR(VLOOKUP($A75,MLacrosse!$C:$O,K$1-2011,FALSE),0)+IFERROR(VLOOKUP($A75,MSoccer!$C:$O,K$1-2011,FALSE),0)+IFERROR(VLOOKUP($A75,MVolleyball!$C:$O,K$1-2011,FALSE),0)+IFERROR(VLOOKUP($A75,WBasketball!$C:$O,K$1-2011,FALSE),0)+IFERROR(VLOOKUP($A75,WFieldHockey!$C:$O,K$1-2011,FALSE),0)+IFERROR(VLOOKUP($A75,WIceHockey!$C:$O,K$1-2011,FALSE),0)+IFERROR(VLOOKUP($A75,WLacrosse!$C:$O,K$1-2011,FALSE),0)+IFERROR(VLOOKUP($A75,WSoccer!$C:$O,K$1-2011,FALSE),0)+IFERROR(VLOOKUP($A75,WSoftball!$C:$O,K$1-2011,FALSE),0)+IFERROR(VLOOKUP($A75,WVolleyball!$C:$O,K$1-2011,FALSE),0)</f>
        <v>361191</v>
      </c>
      <c r="L75">
        <f>IFERROR(VLOOKUP($A75,MBaseball!$C:$N,L$1-2010,FALSE),0)+IFERROR(VLOOKUP($A75,MBasketball!$C:$J,L$1-2006,FALSE),0)+IFERROR(VLOOKUP($A75,MFootball!$C:$O,L$1-2011,FALSE),0)+IFERROR(VLOOKUP($A75,MIceHockey!$C:$P,L$1-2011,FALSE),0)+IFERROR(VLOOKUP($A75,MLacrosse!$C:$O,L$1-2011,FALSE),0)+IFERROR(VLOOKUP($A75,MSoccer!$C:$O,L$1-2011,FALSE),0)+IFERROR(VLOOKUP($A75,MVolleyball!$C:$O,L$1-2011,FALSE),0)+IFERROR(VLOOKUP($A75,WBasketball!$C:$O,L$1-2011,FALSE),0)+IFERROR(VLOOKUP($A75,WFieldHockey!$C:$O,L$1-2011,FALSE),0)+IFERROR(VLOOKUP($A75,WIceHockey!$C:$O,L$1-2011,FALSE),0)+IFERROR(VLOOKUP($A75,WLacrosse!$C:$O,L$1-2011,FALSE),0)+IFERROR(VLOOKUP($A75,WSoccer!$C:$O,L$1-2011,FALSE),0)+IFERROR(VLOOKUP($A75,WSoftball!$C:$O,L$1-2011,FALSE),0)+IFERROR(VLOOKUP($A75,WVolleyball!$C:$O,L$1-2011,FALSE),0)</f>
        <v>52119</v>
      </c>
      <c r="M75">
        <f>IFERROR(VLOOKUP($A75,MBaseball!$C:$N,M$1-2010,FALSE),0)+IFERROR(VLOOKUP($A75,MBasketball!$C:$J,M$1-2006,FALSE),0)+IFERROR(VLOOKUP($A75,MFootball!$C:$O,M$1-2011,FALSE),0)+IFERROR(VLOOKUP($A75,MIceHockey!$C:$P,M$1-2011,FALSE),0)+IFERROR(VLOOKUP($A75,MLacrosse!$C:$O,M$1-2011,FALSE),0)+IFERROR(VLOOKUP($A75,MSoccer!$C:$O,M$1-2011,FALSE),0)+IFERROR(VLOOKUP($A75,MVolleyball!$C:$O,M$1-2011,FALSE),0)+IFERROR(VLOOKUP($A75,WBasketball!$C:$O,M$1-2011,FALSE),0)+IFERROR(VLOOKUP($A75,WFieldHockey!$C:$O,M$1-2011,FALSE),0)+IFERROR(VLOOKUP($A75,WIceHockey!$C:$O,M$1-2011,FALSE),0)+IFERROR(VLOOKUP($A75,WLacrosse!$C:$O,M$1-2011,FALSE),0)+IFERROR(VLOOKUP($A75,WSoccer!$C:$O,M$1-2011,FALSE),0)+IFERROR(VLOOKUP($A75,WSoftball!$C:$O,M$1-2011,FALSE),0)+IFERROR(VLOOKUP($A75,WVolleyball!$C:$O,M$1-2011,FALSE),0)</f>
        <v>475110</v>
      </c>
      <c r="N75">
        <f>IFERROR(VLOOKUP($A75,MBaseball!$C:$N,N$1-2010,FALSE),0)+IFERROR(VLOOKUP($A75,MBasketball!$C:$J,N$1-2006,FALSE),0)+IFERROR(VLOOKUP($A75,MFootball!$C:$O,N$1-2011,FALSE),0)+IFERROR(VLOOKUP($A75,MIceHockey!$C:$P,N$1-2011,FALSE),0)+IFERROR(VLOOKUP($A75,MLacrosse!$C:$O,N$1-2011,FALSE),0)+IFERROR(VLOOKUP($A75,MSoccer!$C:$O,N$1-2011,FALSE),0)+IFERROR(VLOOKUP($A75,MVolleyball!$C:$O,N$1-2011,FALSE),0)+IFERROR(VLOOKUP($A75,WBasketball!$C:$O,N$1-2011,FALSE),0)+IFERROR(VLOOKUP($A75,WFieldHockey!$C:$O,N$1-2011,FALSE),0)+IFERROR(VLOOKUP($A75,WIceHockey!$C:$O,N$1-2011,FALSE),0)+IFERROR(VLOOKUP($A75,WLacrosse!$C:$O,N$1-2011,FALSE),0)+IFERROR(VLOOKUP($A75,WSoccer!$C:$O,N$1-2011,FALSE),0)+IFERROR(VLOOKUP($A75,WSoftball!$C:$O,N$1-2011,FALSE),0)+IFERROR(VLOOKUP($A75,WVolleyball!$C:$O,N$1-2011,FALSE),0)</f>
        <v>435463</v>
      </c>
    </row>
    <row r="76" spans="1:14" x14ac:dyDescent="0.2">
      <c r="A76">
        <v>163268</v>
      </c>
      <c r="B76">
        <v>12580</v>
      </c>
      <c r="C76" t="s">
        <v>127</v>
      </c>
      <c r="D76">
        <v>75</v>
      </c>
      <c r="E76">
        <f>IFERROR(VLOOKUP($A76,MBaseball!$C:$N,E$1-2010,FALSE),0)+IFERROR(VLOOKUP($A76,MBasketball!$C:$J,E$1-2006,FALSE),0)+IFERROR(VLOOKUP($A76,MFootball!$C:$O,E$1-2011,FALSE),0)+IFERROR(VLOOKUP($A76,MIceHockey!$C:$P,E$1-2011,FALSE),0)+IFERROR(VLOOKUP($A76,MLacrosse!$C:$O,E$1-2011,FALSE),0)+IFERROR(VLOOKUP($A76,MSoccer!$C:$O,E$1-2011,FALSE),0)+IFERROR(VLOOKUP($A76,MVolleyball!$C:$O,E$1-2011,FALSE),0)+IFERROR(VLOOKUP($A76,WBasketball!$C:$O,E$1-2011,FALSE),0)+IFERROR(VLOOKUP($A76,WFieldHockey!$C:$O,E$1-2011,FALSE),0)+IFERROR(VLOOKUP($A76,WIceHockey!$C:$O,E$1-2011,FALSE),0)+IFERROR(VLOOKUP($A76,WLacrosse!$C:$O,E$1-2011,FALSE),0)+IFERROR(VLOOKUP($A76,WSoccer!$C:$O,E$1-2011,FALSE),0)+IFERROR(VLOOKUP($A76,WSoftball!$C:$O,E$1-2011,FALSE),0)+IFERROR(VLOOKUP($A76,WVolleyball!$C:$O,E$1-2011,FALSE),0)</f>
        <v>79161</v>
      </c>
      <c r="F76">
        <f>IFERROR(VLOOKUP($A76,MBaseball!$C:$N,F$1-2010,FALSE),0)+IFERROR(VLOOKUP($A76,MBasketball!$C:$J,F$1-2006,FALSE),0)+IFERROR(VLOOKUP($A76,MFootball!$C:$O,F$1-2011,FALSE),0)+IFERROR(VLOOKUP($A76,MIceHockey!$C:$P,F$1-2011,FALSE),0)+IFERROR(VLOOKUP($A76,MLacrosse!$C:$O,F$1-2011,FALSE),0)+IFERROR(VLOOKUP($A76,MSoccer!$C:$O,F$1-2011,FALSE),0)+IFERROR(VLOOKUP($A76,MVolleyball!$C:$O,F$1-2011,FALSE),0)+IFERROR(VLOOKUP($A76,WBasketball!$C:$O,F$1-2011,FALSE),0)+IFERROR(VLOOKUP($A76,WFieldHockey!$C:$O,F$1-2011,FALSE),0)+IFERROR(VLOOKUP($A76,WIceHockey!$C:$O,F$1-2011,FALSE),0)+IFERROR(VLOOKUP($A76,WLacrosse!$C:$O,F$1-2011,FALSE),0)+IFERROR(VLOOKUP($A76,WSoccer!$C:$O,F$1-2011,FALSE),0)+IFERROR(VLOOKUP($A76,WSoftball!$C:$O,F$1-2011,FALSE),0)+IFERROR(VLOOKUP($A76,WVolleyball!$C:$O,F$1-2011,FALSE),0)</f>
        <v>33464</v>
      </c>
      <c r="G76">
        <f>IFERROR(VLOOKUP($A76,MBaseball!$C:$N,G$1-2010,FALSE),0)+IFERROR(VLOOKUP($A76,MBasketball!$C:$J,G$1-2006,FALSE),0)+IFERROR(VLOOKUP($A76,MFootball!$C:$O,G$1-2011,FALSE),0)+IFERROR(VLOOKUP($A76,MIceHockey!$C:$P,G$1-2011,FALSE),0)+IFERROR(VLOOKUP($A76,MLacrosse!$C:$O,G$1-2011,FALSE),0)+IFERROR(VLOOKUP($A76,MSoccer!$C:$O,G$1-2011,FALSE),0)+IFERROR(VLOOKUP($A76,MVolleyball!$C:$O,G$1-2011,FALSE),0)+IFERROR(VLOOKUP($A76,WBasketball!$C:$O,G$1-2011,FALSE),0)+IFERROR(VLOOKUP($A76,WFieldHockey!$C:$O,G$1-2011,FALSE),0)+IFERROR(VLOOKUP($A76,WIceHockey!$C:$O,G$1-2011,FALSE),0)+IFERROR(VLOOKUP($A76,WLacrosse!$C:$O,G$1-2011,FALSE),0)+IFERROR(VLOOKUP($A76,WSoccer!$C:$O,G$1-2011,FALSE),0)+IFERROR(VLOOKUP($A76,WSoftball!$C:$O,G$1-2011,FALSE),0)+IFERROR(VLOOKUP($A76,WVolleyball!$C:$O,G$1-2011,FALSE),0)</f>
        <v>49500</v>
      </c>
      <c r="H76">
        <f>IFERROR(VLOOKUP($A76,MBaseball!$C:$N,H$1-2010,FALSE),0)+IFERROR(VLOOKUP($A76,MBasketball!$C:$J,H$1-2006,FALSE),0)+IFERROR(VLOOKUP($A76,MFootball!$C:$O,H$1-2011,FALSE),0)+IFERROR(VLOOKUP($A76,MIceHockey!$C:$P,H$1-2011,FALSE),0)+IFERROR(VLOOKUP($A76,MLacrosse!$C:$O,H$1-2011,FALSE),0)+IFERROR(VLOOKUP($A76,MSoccer!$C:$O,H$1-2011,FALSE),0)+IFERROR(VLOOKUP($A76,MVolleyball!$C:$O,H$1-2011,FALSE),0)+IFERROR(VLOOKUP($A76,WBasketball!$C:$O,H$1-2011,FALSE),0)+IFERROR(VLOOKUP($A76,WFieldHockey!$C:$O,H$1-2011,FALSE),0)+IFERROR(VLOOKUP($A76,WIceHockey!$C:$O,H$1-2011,FALSE),0)+IFERROR(VLOOKUP($A76,WLacrosse!$C:$O,H$1-2011,FALSE),0)+IFERROR(VLOOKUP($A76,WSoccer!$C:$O,H$1-2011,FALSE),0)+IFERROR(VLOOKUP($A76,WSoftball!$C:$O,H$1-2011,FALSE),0)+IFERROR(VLOOKUP($A76,WVolleyball!$C:$O,H$1-2011,FALSE),0)</f>
        <v>33569</v>
      </c>
      <c r="I76">
        <f>IFERROR(VLOOKUP($A76,MBaseball!$C:$N,I$1-2010,FALSE),0)+IFERROR(VLOOKUP($A76,MBasketball!$C:$J,I$1-2006,FALSE),0)+IFERROR(VLOOKUP($A76,MFootball!$C:$O,I$1-2011,FALSE),0)+IFERROR(VLOOKUP($A76,MIceHockey!$C:$P,I$1-2011,FALSE),0)+IFERROR(VLOOKUP($A76,MLacrosse!$C:$O,I$1-2011,FALSE),0)+IFERROR(VLOOKUP($A76,MSoccer!$C:$O,I$1-2011,FALSE),0)+IFERROR(VLOOKUP($A76,MVolleyball!$C:$O,I$1-2011,FALSE),0)+IFERROR(VLOOKUP($A76,WBasketball!$C:$O,I$1-2011,FALSE),0)+IFERROR(VLOOKUP($A76,WFieldHockey!$C:$O,I$1-2011,FALSE),0)+IFERROR(VLOOKUP($A76,WIceHockey!$C:$O,I$1-2011,FALSE),0)+IFERROR(VLOOKUP($A76,WLacrosse!$C:$O,I$1-2011,FALSE),0)+IFERROR(VLOOKUP($A76,WSoccer!$C:$O,I$1-2011,FALSE),0)+IFERROR(VLOOKUP($A76,WSoftball!$C:$O,I$1-2011,FALSE),0)+IFERROR(VLOOKUP($A76,WVolleyball!$C:$O,I$1-2011,FALSE),0)</f>
        <v>37456</v>
      </c>
      <c r="J76">
        <f>IFERROR(VLOOKUP($A76,MBaseball!$C:$N,J$1-2010,FALSE),0)+IFERROR(VLOOKUP($A76,MBasketball!$C:$J,J$1-2006,FALSE),0)+IFERROR(VLOOKUP($A76,MFootball!$C:$O,J$1-2011,FALSE),0)+IFERROR(VLOOKUP($A76,MIceHockey!$C:$P,J$1-2011,FALSE),0)+IFERROR(VLOOKUP($A76,MLacrosse!$C:$O,J$1-2011,FALSE),0)+IFERROR(VLOOKUP($A76,MSoccer!$C:$O,J$1-2011,FALSE),0)+IFERROR(VLOOKUP($A76,MVolleyball!$C:$O,J$1-2011,FALSE),0)+IFERROR(VLOOKUP($A76,WBasketball!$C:$O,J$1-2011,FALSE),0)+IFERROR(VLOOKUP($A76,WFieldHockey!$C:$O,J$1-2011,FALSE),0)+IFERROR(VLOOKUP($A76,WIceHockey!$C:$O,J$1-2011,FALSE),0)+IFERROR(VLOOKUP($A76,WLacrosse!$C:$O,J$1-2011,FALSE),0)+IFERROR(VLOOKUP($A76,WSoccer!$C:$O,J$1-2011,FALSE),0)+IFERROR(VLOOKUP($A76,WSoftball!$C:$O,J$1-2011,FALSE),0)+IFERROR(VLOOKUP($A76,WVolleyball!$C:$O,J$1-2011,FALSE),0)</f>
        <v>40248</v>
      </c>
      <c r="K76">
        <f>IFERROR(VLOOKUP($A76,MBaseball!$C:$N,K$1-2010,FALSE),0)+IFERROR(VLOOKUP($A76,MBasketball!$C:$J,K$1-2006,FALSE),0)+IFERROR(VLOOKUP($A76,MFootball!$C:$O,K$1-2011,FALSE),0)+IFERROR(VLOOKUP($A76,MIceHockey!$C:$P,K$1-2011,FALSE),0)+IFERROR(VLOOKUP($A76,MLacrosse!$C:$O,K$1-2011,FALSE),0)+IFERROR(VLOOKUP($A76,MSoccer!$C:$O,K$1-2011,FALSE),0)+IFERROR(VLOOKUP($A76,MVolleyball!$C:$O,K$1-2011,FALSE),0)+IFERROR(VLOOKUP($A76,WBasketball!$C:$O,K$1-2011,FALSE),0)+IFERROR(VLOOKUP($A76,WFieldHockey!$C:$O,K$1-2011,FALSE),0)+IFERROR(VLOOKUP($A76,WIceHockey!$C:$O,K$1-2011,FALSE),0)+IFERROR(VLOOKUP($A76,WLacrosse!$C:$O,K$1-2011,FALSE),0)+IFERROR(VLOOKUP($A76,WSoccer!$C:$O,K$1-2011,FALSE),0)+IFERROR(VLOOKUP($A76,WSoftball!$C:$O,K$1-2011,FALSE),0)+IFERROR(VLOOKUP($A76,WVolleyball!$C:$O,K$1-2011,FALSE),0)</f>
        <v>19692</v>
      </c>
      <c r="L76">
        <f>IFERROR(VLOOKUP($A76,MBaseball!$C:$N,L$1-2010,FALSE),0)+IFERROR(VLOOKUP($A76,MBasketball!$C:$J,L$1-2006,FALSE),0)+IFERROR(VLOOKUP($A76,MFootball!$C:$O,L$1-2011,FALSE),0)+IFERROR(VLOOKUP($A76,MIceHockey!$C:$P,L$1-2011,FALSE),0)+IFERROR(VLOOKUP($A76,MLacrosse!$C:$O,L$1-2011,FALSE),0)+IFERROR(VLOOKUP($A76,MSoccer!$C:$O,L$1-2011,FALSE),0)+IFERROR(VLOOKUP($A76,MVolleyball!$C:$O,L$1-2011,FALSE),0)+IFERROR(VLOOKUP($A76,WBasketball!$C:$O,L$1-2011,FALSE),0)+IFERROR(VLOOKUP($A76,WFieldHockey!$C:$O,L$1-2011,FALSE),0)+IFERROR(VLOOKUP($A76,WIceHockey!$C:$O,L$1-2011,FALSE),0)+IFERROR(VLOOKUP($A76,WLacrosse!$C:$O,L$1-2011,FALSE),0)+IFERROR(VLOOKUP($A76,WSoccer!$C:$O,L$1-2011,FALSE),0)+IFERROR(VLOOKUP($A76,WSoftball!$C:$O,L$1-2011,FALSE),0)+IFERROR(VLOOKUP($A76,WVolleyball!$C:$O,L$1-2011,FALSE),0)</f>
        <v>6144</v>
      </c>
      <c r="M76">
        <f>IFERROR(VLOOKUP($A76,MBaseball!$C:$N,M$1-2010,FALSE),0)+IFERROR(VLOOKUP($A76,MBasketball!$C:$J,M$1-2006,FALSE),0)+IFERROR(VLOOKUP($A76,MFootball!$C:$O,M$1-2011,FALSE),0)+IFERROR(VLOOKUP($A76,MIceHockey!$C:$P,M$1-2011,FALSE),0)+IFERROR(VLOOKUP($A76,MLacrosse!$C:$O,M$1-2011,FALSE),0)+IFERROR(VLOOKUP($A76,MSoccer!$C:$O,M$1-2011,FALSE),0)+IFERROR(VLOOKUP($A76,MVolleyball!$C:$O,M$1-2011,FALSE),0)+IFERROR(VLOOKUP($A76,WBasketball!$C:$O,M$1-2011,FALSE),0)+IFERROR(VLOOKUP($A76,WFieldHockey!$C:$O,M$1-2011,FALSE),0)+IFERROR(VLOOKUP($A76,WIceHockey!$C:$O,M$1-2011,FALSE),0)+IFERROR(VLOOKUP($A76,WLacrosse!$C:$O,M$1-2011,FALSE),0)+IFERROR(VLOOKUP($A76,WSoccer!$C:$O,M$1-2011,FALSE),0)+IFERROR(VLOOKUP($A76,WSoftball!$C:$O,M$1-2011,FALSE),0)+IFERROR(VLOOKUP($A76,WVolleyball!$C:$O,M$1-2011,FALSE),0)</f>
        <v>44218</v>
      </c>
      <c r="N76">
        <f>IFERROR(VLOOKUP($A76,MBaseball!$C:$N,N$1-2010,FALSE),0)+IFERROR(VLOOKUP($A76,MBasketball!$C:$J,N$1-2006,FALSE),0)+IFERROR(VLOOKUP($A76,MFootball!$C:$O,N$1-2011,FALSE),0)+IFERROR(VLOOKUP($A76,MIceHockey!$C:$P,N$1-2011,FALSE),0)+IFERROR(VLOOKUP($A76,MLacrosse!$C:$O,N$1-2011,FALSE),0)+IFERROR(VLOOKUP($A76,MSoccer!$C:$O,N$1-2011,FALSE),0)+IFERROR(VLOOKUP($A76,MVolleyball!$C:$O,N$1-2011,FALSE),0)+IFERROR(VLOOKUP($A76,WBasketball!$C:$O,N$1-2011,FALSE),0)+IFERROR(VLOOKUP($A76,WFieldHockey!$C:$O,N$1-2011,FALSE),0)+IFERROR(VLOOKUP($A76,WIceHockey!$C:$O,N$1-2011,FALSE),0)+IFERROR(VLOOKUP($A76,WLacrosse!$C:$O,N$1-2011,FALSE),0)+IFERROR(VLOOKUP($A76,WSoccer!$C:$O,N$1-2011,FALSE),0)+IFERROR(VLOOKUP($A76,WSoftball!$C:$O,N$1-2011,FALSE),0)+IFERROR(VLOOKUP($A76,WVolleyball!$C:$O,N$1-2011,FALSE),0)</f>
        <v>46741</v>
      </c>
    </row>
    <row r="77" spans="1:14" x14ac:dyDescent="0.2">
      <c r="A77">
        <v>163338</v>
      </c>
      <c r="B77">
        <v>41540</v>
      </c>
      <c r="C77" t="s">
        <v>128</v>
      </c>
      <c r="D77">
        <v>76</v>
      </c>
      <c r="E77">
        <f>IFERROR(VLOOKUP($A77,MBaseball!$C:$N,E$1-2010,FALSE),0)+IFERROR(VLOOKUP($A77,MBasketball!$C:$J,E$1-2006,FALSE),0)+IFERROR(VLOOKUP($A77,MFootball!$C:$O,E$1-2011,FALSE),0)+IFERROR(VLOOKUP($A77,MIceHockey!$C:$P,E$1-2011,FALSE),0)+IFERROR(VLOOKUP($A77,MLacrosse!$C:$O,E$1-2011,FALSE),0)+IFERROR(VLOOKUP($A77,MSoccer!$C:$O,E$1-2011,FALSE),0)+IFERROR(VLOOKUP($A77,MVolleyball!$C:$O,E$1-2011,FALSE),0)+IFERROR(VLOOKUP($A77,WBasketball!$C:$O,E$1-2011,FALSE),0)+IFERROR(VLOOKUP($A77,WFieldHockey!$C:$O,E$1-2011,FALSE),0)+IFERROR(VLOOKUP($A77,WIceHockey!$C:$O,E$1-2011,FALSE),0)+IFERROR(VLOOKUP($A77,WLacrosse!$C:$O,E$1-2011,FALSE),0)+IFERROR(VLOOKUP($A77,WSoccer!$C:$O,E$1-2011,FALSE),0)+IFERROR(VLOOKUP($A77,WSoftball!$C:$O,E$1-2011,FALSE),0)+IFERROR(VLOOKUP($A77,WVolleyball!$C:$O,E$1-2011,FALSE),0)</f>
        <v>40280</v>
      </c>
      <c r="F77">
        <f>IFERROR(VLOOKUP($A77,MBaseball!$C:$N,F$1-2010,FALSE),0)+IFERROR(VLOOKUP($A77,MBasketball!$C:$J,F$1-2006,FALSE),0)+IFERROR(VLOOKUP($A77,MFootball!$C:$O,F$1-2011,FALSE),0)+IFERROR(VLOOKUP($A77,MIceHockey!$C:$P,F$1-2011,FALSE),0)+IFERROR(VLOOKUP($A77,MLacrosse!$C:$O,F$1-2011,FALSE),0)+IFERROR(VLOOKUP($A77,MSoccer!$C:$O,F$1-2011,FALSE),0)+IFERROR(VLOOKUP($A77,MVolleyball!$C:$O,F$1-2011,FALSE),0)+IFERROR(VLOOKUP($A77,WBasketball!$C:$O,F$1-2011,FALSE),0)+IFERROR(VLOOKUP($A77,WFieldHockey!$C:$O,F$1-2011,FALSE),0)+IFERROR(VLOOKUP($A77,WIceHockey!$C:$O,F$1-2011,FALSE),0)+IFERROR(VLOOKUP($A77,WLacrosse!$C:$O,F$1-2011,FALSE),0)+IFERROR(VLOOKUP($A77,WSoccer!$C:$O,F$1-2011,FALSE),0)+IFERROR(VLOOKUP($A77,WSoftball!$C:$O,F$1-2011,FALSE),0)+IFERROR(VLOOKUP($A77,WVolleyball!$C:$O,F$1-2011,FALSE),0)</f>
        <v>23832</v>
      </c>
      <c r="G77">
        <f>IFERROR(VLOOKUP($A77,MBaseball!$C:$N,G$1-2010,FALSE),0)+IFERROR(VLOOKUP($A77,MBasketball!$C:$J,G$1-2006,FALSE),0)+IFERROR(VLOOKUP($A77,MFootball!$C:$O,G$1-2011,FALSE),0)+IFERROR(VLOOKUP($A77,MIceHockey!$C:$P,G$1-2011,FALSE),0)+IFERROR(VLOOKUP($A77,MLacrosse!$C:$O,G$1-2011,FALSE),0)+IFERROR(VLOOKUP($A77,MSoccer!$C:$O,G$1-2011,FALSE),0)+IFERROR(VLOOKUP($A77,MVolleyball!$C:$O,G$1-2011,FALSE),0)+IFERROR(VLOOKUP($A77,WBasketball!$C:$O,G$1-2011,FALSE),0)+IFERROR(VLOOKUP($A77,WFieldHockey!$C:$O,G$1-2011,FALSE),0)+IFERROR(VLOOKUP($A77,WIceHockey!$C:$O,G$1-2011,FALSE),0)+IFERROR(VLOOKUP($A77,WLacrosse!$C:$O,G$1-2011,FALSE),0)+IFERROR(VLOOKUP($A77,WSoccer!$C:$O,G$1-2011,FALSE),0)+IFERROR(VLOOKUP($A77,WSoftball!$C:$O,G$1-2011,FALSE),0)+IFERROR(VLOOKUP($A77,WVolleyball!$C:$O,G$1-2011,FALSE),0)</f>
        <v>22443</v>
      </c>
      <c r="H77">
        <f>IFERROR(VLOOKUP($A77,MBaseball!$C:$N,H$1-2010,FALSE),0)+IFERROR(VLOOKUP($A77,MBasketball!$C:$J,H$1-2006,FALSE),0)+IFERROR(VLOOKUP($A77,MFootball!$C:$O,H$1-2011,FALSE),0)+IFERROR(VLOOKUP($A77,MIceHockey!$C:$P,H$1-2011,FALSE),0)+IFERROR(VLOOKUP($A77,MLacrosse!$C:$O,H$1-2011,FALSE),0)+IFERROR(VLOOKUP($A77,MSoccer!$C:$O,H$1-2011,FALSE),0)+IFERROR(VLOOKUP($A77,MVolleyball!$C:$O,H$1-2011,FALSE),0)+IFERROR(VLOOKUP($A77,WBasketball!$C:$O,H$1-2011,FALSE),0)+IFERROR(VLOOKUP($A77,WFieldHockey!$C:$O,H$1-2011,FALSE),0)+IFERROR(VLOOKUP($A77,WIceHockey!$C:$O,H$1-2011,FALSE),0)+IFERROR(VLOOKUP($A77,WLacrosse!$C:$O,H$1-2011,FALSE),0)+IFERROR(VLOOKUP($A77,WSoccer!$C:$O,H$1-2011,FALSE),0)+IFERROR(VLOOKUP($A77,WSoftball!$C:$O,H$1-2011,FALSE),0)+IFERROR(VLOOKUP($A77,WVolleyball!$C:$O,H$1-2011,FALSE),0)</f>
        <v>25901</v>
      </c>
      <c r="I77">
        <f>IFERROR(VLOOKUP($A77,MBaseball!$C:$N,I$1-2010,FALSE),0)+IFERROR(VLOOKUP($A77,MBasketball!$C:$J,I$1-2006,FALSE),0)+IFERROR(VLOOKUP($A77,MFootball!$C:$O,I$1-2011,FALSE),0)+IFERROR(VLOOKUP($A77,MIceHockey!$C:$P,I$1-2011,FALSE),0)+IFERROR(VLOOKUP($A77,MLacrosse!$C:$O,I$1-2011,FALSE),0)+IFERROR(VLOOKUP($A77,MSoccer!$C:$O,I$1-2011,FALSE),0)+IFERROR(VLOOKUP($A77,MVolleyball!$C:$O,I$1-2011,FALSE),0)+IFERROR(VLOOKUP($A77,WBasketball!$C:$O,I$1-2011,FALSE),0)+IFERROR(VLOOKUP($A77,WFieldHockey!$C:$O,I$1-2011,FALSE),0)+IFERROR(VLOOKUP($A77,WIceHockey!$C:$O,I$1-2011,FALSE),0)+IFERROR(VLOOKUP($A77,WLacrosse!$C:$O,I$1-2011,FALSE),0)+IFERROR(VLOOKUP($A77,WSoccer!$C:$O,I$1-2011,FALSE),0)+IFERROR(VLOOKUP($A77,WSoftball!$C:$O,I$1-2011,FALSE),0)+IFERROR(VLOOKUP($A77,WVolleyball!$C:$O,I$1-2011,FALSE),0)</f>
        <v>18864</v>
      </c>
      <c r="J77">
        <f>IFERROR(VLOOKUP($A77,MBaseball!$C:$N,J$1-2010,FALSE),0)+IFERROR(VLOOKUP($A77,MBasketball!$C:$J,J$1-2006,FALSE),0)+IFERROR(VLOOKUP($A77,MFootball!$C:$O,J$1-2011,FALSE),0)+IFERROR(VLOOKUP($A77,MIceHockey!$C:$P,J$1-2011,FALSE),0)+IFERROR(VLOOKUP($A77,MLacrosse!$C:$O,J$1-2011,FALSE),0)+IFERROR(VLOOKUP($A77,MSoccer!$C:$O,J$1-2011,FALSE),0)+IFERROR(VLOOKUP($A77,MVolleyball!$C:$O,J$1-2011,FALSE),0)+IFERROR(VLOOKUP($A77,WBasketball!$C:$O,J$1-2011,FALSE),0)+IFERROR(VLOOKUP($A77,WFieldHockey!$C:$O,J$1-2011,FALSE),0)+IFERROR(VLOOKUP($A77,WIceHockey!$C:$O,J$1-2011,FALSE),0)+IFERROR(VLOOKUP($A77,WLacrosse!$C:$O,J$1-2011,FALSE),0)+IFERROR(VLOOKUP($A77,WSoccer!$C:$O,J$1-2011,FALSE),0)+IFERROR(VLOOKUP($A77,WSoftball!$C:$O,J$1-2011,FALSE),0)+IFERROR(VLOOKUP($A77,WVolleyball!$C:$O,J$1-2011,FALSE),0)</f>
        <v>14959</v>
      </c>
      <c r="K77">
        <f>IFERROR(VLOOKUP($A77,MBaseball!$C:$N,K$1-2010,FALSE),0)+IFERROR(VLOOKUP($A77,MBasketball!$C:$J,K$1-2006,FALSE),0)+IFERROR(VLOOKUP($A77,MFootball!$C:$O,K$1-2011,FALSE),0)+IFERROR(VLOOKUP($A77,MIceHockey!$C:$P,K$1-2011,FALSE),0)+IFERROR(VLOOKUP($A77,MLacrosse!$C:$O,K$1-2011,FALSE),0)+IFERROR(VLOOKUP($A77,MSoccer!$C:$O,K$1-2011,FALSE),0)+IFERROR(VLOOKUP($A77,MVolleyball!$C:$O,K$1-2011,FALSE),0)+IFERROR(VLOOKUP($A77,WBasketball!$C:$O,K$1-2011,FALSE),0)+IFERROR(VLOOKUP($A77,WFieldHockey!$C:$O,K$1-2011,FALSE),0)+IFERROR(VLOOKUP($A77,WIceHockey!$C:$O,K$1-2011,FALSE),0)+IFERROR(VLOOKUP($A77,WLacrosse!$C:$O,K$1-2011,FALSE),0)+IFERROR(VLOOKUP($A77,WSoccer!$C:$O,K$1-2011,FALSE),0)+IFERROR(VLOOKUP($A77,WSoftball!$C:$O,K$1-2011,FALSE),0)+IFERROR(VLOOKUP($A77,WVolleyball!$C:$O,K$1-2011,FALSE),0)</f>
        <v>7765</v>
      </c>
      <c r="L77">
        <f>IFERROR(VLOOKUP($A77,MBaseball!$C:$N,L$1-2010,FALSE),0)+IFERROR(VLOOKUP($A77,MBasketball!$C:$J,L$1-2006,FALSE),0)+IFERROR(VLOOKUP($A77,MFootball!$C:$O,L$1-2011,FALSE),0)+IFERROR(VLOOKUP($A77,MIceHockey!$C:$P,L$1-2011,FALSE),0)+IFERROR(VLOOKUP($A77,MLacrosse!$C:$O,L$1-2011,FALSE),0)+IFERROR(VLOOKUP($A77,MSoccer!$C:$O,L$1-2011,FALSE),0)+IFERROR(VLOOKUP($A77,MVolleyball!$C:$O,L$1-2011,FALSE),0)+IFERROR(VLOOKUP($A77,WBasketball!$C:$O,L$1-2011,FALSE),0)+IFERROR(VLOOKUP($A77,WFieldHockey!$C:$O,L$1-2011,FALSE),0)+IFERROR(VLOOKUP($A77,WIceHockey!$C:$O,L$1-2011,FALSE),0)+IFERROR(VLOOKUP($A77,WLacrosse!$C:$O,L$1-2011,FALSE),0)+IFERROR(VLOOKUP($A77,WSoccer!$C:$O,L$1-2011,FALSE),0)+IFERROR(VLOOKUP($A77,WSoftball!$C:$O,L$1-2011,FALSE),0)+IFERROR(VLOOKUP($A77,WVolleyball!$C:$O,L$1-2011,FALSE),0)</f>
        <v>2994</v>
      </c>
      <c r="M77">
        <f>IFERROR(VLOOKUP($A77,MBaseball!$C:$N,M$1-2010,FALSE),0)+IFERROR(VLOOKUP($A77,MBasketball!$C:$J,M$1-2006,FALSE),0)+IFERROR(VLOOKUP($A77,MFootball!$C:$O,M$1-2011,FALSE),0)+IFERROR(VLOOKUP($A77,MIceHockey!$C:$P,M$1-2011,FALSE),0)+IFERROR(VLOOKUP($A77,MLacrosse!$C:$O,M$1-2011,FALSE),0)+IFERROR(VLOOKUP($A77,MSoccer!$C:$O,M$1-2011,FALSE),0)+IFERROR(VLOOKUP($A77,MVolleyball!$C:$O,M$1-2011,FALSE),0)+IFERROR(VLOOKUP($A77,WBasketball!$C:$O,M$1-2011,FALSE),0)+IFERROR(VLOOKUP($A77,WFieldHockey!$C:$O,M$1-2011,FALSE),0)+IFERROR(VLOOKUP($A77,WIceHockey!$C:$O,M$1-2011,FALSE),0)+IFERROR(VLOOKUP($A77,WLacrosse!$C:$O,M$1-2011,FALSE),0)+IFERROR(VLOOKUP($A77,WSoccer!$C:$O,M$1-2011,FALSE),0)+IFERROR(VLOOKUP($A77,WSoftball!$C:$O,M$1-2011,FALSE),0)+IFERROR(VLOOKUP($A77,WVolleyball!$C:$O,M$1-2011,FALSE),0)</f>
        <v>10708</v>
      </c>
      <c r="N77">
        <f>IFERROR(VLOOKUP($A77,MBaseball!$C:$N,N$1-2010,FALSE),0)+IFERROR(VLOOKUP($A77,MBasketball!$C:$J,N$1-2006,FALSE),0)+IFERROR(VLOOKUP($A77,MFootball!$C:$O,N$1-2011,FALSE),0)+IFERROR(VLOOKUP($A77,MIceHockey!$C:$P,N$1-2011,FALSE),0)+IFERROR(VLOOKUP($A77,MLacrosse!$C:$O,N$1-2011,FALSE),0)+IFERROR(VLOOKUP($A77,MSoccer!$C:$O,N$1-2011,FALSE),0)+IFERROR(VLOOKUP($A77,MVolleyball!$C:$O,N$1-2011,FALSE),0)+IFERROR(VLOOKUP($A77,WBasketball!$C:$O,N$1-2011,FALSE),0)+IFERROR(VLOOKUP($A77,WFieldHockey!$C:$O,N$1-2011,FALSE),0)+IFERROR(VLOOKUP($A77,WIceHockey!$C:$O,N$1-2011,FALSE),0)+IFERROR(VLOOKUP($A77,WLacrosse!$C:$O,N$1-2011,FALSE),0)+IFERROR(VLOOKUP($A77,WSoccer!$C:$O,N$1-2011,FALSE),0)+IFERROR(VLOOKUP($A77,WSoftball!$C:$O,N$1-2011,FALSE),0)+IFERROR(VLOOKUP($A77,WVolleyball!$C:$O,N$1-2011,FALSE),0)</f>
        <v>5917</v>
      </c>
    </row>
    <row r="78" spans="1:14" x14ac:dyDescent="0.2">
      <c r="A78">
        <v>166629</v>
      </c>
      <c r="B78">
        <v>44140</v>
      </c>
      <c r="C78" t="s">
        <v>129</v>
      </c>
      <c r="D78">
        <v>77</v>
      </c>
      <c r="E78">
        <f>IFERROR(VLOOKUP($A78,MBaseball!$C:$N,E$1-2010,FALSE),0)+IFERROR(VLOOKUP($A78,MBasketball!$C:$J,E$1-2006,FALSE),0)+IFERROR(VLOOKUP($A78,MFootball!$C:$O,E$1-2011,FALSE),0)+IFERROR(VLOOKUP($A78,MIceHockey!$C:$P,E$1-2011,FALSE),0)+IFERROR(VLOOKUP($A78,MLacrosse!$C:$O,E$1-2011,FALSE),0)+IFERROR(VLOOKUP($A78,MSoccer!$C:$O,E$1-2011,FALSE),0)+IFERROR(VLOOKUP($A78,MVolleyball!$C:$O,E$1-2011,FALSE),0)+IFERROR(VLOOKUP($A78,WBasketball!$C:$O,E$1-2011,FALSE),0)+IFERROR(VLOOKUP($A78,WFieldHockey!$C:$O,E$1-2011,FALSE),0)+IFERROR(VLOOKUP($A78,WIceHockey!$C:$O,E$1-2011,FALSE),0)+IFERROR(VLOOKUP($A78,WLacrosse!$C:$O,E$1-2011,FALSE),0)+IFERROR(VLOOKUP($A78,WSoccer!$C:$O,E$1-2011,FALSE),0)+IFERROR(VLOOKUP($A78,WSoftball!$C:$O,E$1-2011,FALSE),0)+IFERROR(VLOOKUP($A78,WVolleyball!$C:$O,E$1-2011,FALSE),0)</f>
        <v>73298</v>
      </c>
      <c r="F78">
        <f>IFERROR(VLOOKUP($A78,MBaseball!$C:$N,F$1-2010,FALSE),0)+IFERROR(VLOOKUP($A78,MBasketball!$C:$J,F$1-2006,FALSE),0)+IFERROR(VLOOKUP($A78,MFootball!$C:$O,F$1-2011,FALSE),0)+IFERROR(VLOOKUP($A78,MIceHockey!$C:$P,F$1-2011,FALSE),0)+IFERROR(VLOOKUP($A78,MLacrosse!$C:$O,F$1-2011,FALSE),0)+IFERROR(VLOOKUP($A78,MSoccer!$C:$O,F$1-2011,FALSE),0)+IFERROR(VLOOKUP($A78,MVolleyball!$C:$O,F$1-2011,FALSE),0)+IFERROR(VLOOKUP($A78,WBasketball!$C:$O,F$1-2011,FALSE),0)+IFERROR(VLOOKUP($A78,WFieldHockey!$C:$O,F$1-2011,FALSE),0)+IFERROR(VLOOKUP($A78,WIceHockey!$C:$O,F$1-2011,FALSE),0)+IFERROR(VLOOKUP($A78,WLacrosse!$C:$O,F$1-2011,FALSE),0)+IFERROR(VLOOKUP($A78,WSoccer!$C:$O,F$1-2011,FALSE),0)+IFERROR(VLOOKUP($A78,WSoftball!$C:$O,F$1-2011,FALSE),0)+IFERROR(VLOOKUP($A78,WVolleyball!$C:$O,F$1-2011,FALSE),0)</f>
        <v>160992</v>
      </c>
      <c r="G78">
        <f>IFERROR(VLOOKUP($A78,MBaseball!$C:$N,G$1-2010,FALSE),0)+IFERROR(VLOOKUP($A78,MBasketball!$C:$J,G$1-2006,FALSE),0)+IFERROR(VLOOKUP($A78,MFootball!$C:$O,G$1-2011,FALSE),0)+IFERROR(VLOOKUP($A78,MIceHockey!$C:$P,G$1-2011,FALSE),0)+IFERROR(VLOOKUP($A78,MLacrosse!$C:$O,G$1-2011,FALSE),0)+IFERROR(VLOOKUP($A78,MSoccer!$C:$O,G$1-2011,FALSE),0)+IFERROR(VLOOKUP($A78,MVolleyball!$C:$O,G$1-2011,FALSE),0)+IFERROR(VLOOKUP($A78,WBasketball!$C:$O,G$1-2011,FALSE),0)+IFERROR(VLOOKUP($A78,WFieldHockey!$C:$O,G$1-2011,FALSE),0)+IFERROR(VLOOKUP($A78,WIceHockey!$C:$O,G$1-2011,FALSE),0)+IFERROR(VLOOKUP($A78,WLacrosse!$C:$O,G$1-2011,FALSE),0)+IFERROR(VLOOKUP($A78,WSoccer!$C:$O,G$1-2011,FALSE),0)+IFERROR(VLOOKUP($A78,WSoftball!$C:$O,G$1-2011,FALSE),0)+IFERROR(VLOOKUP($A78,WVolleyball!$C:$O,G$1-2011,FALSE),0)</f>
        <v>134613</v>
      </c>
      <c r="H78">
        <f>IFERROR(VLOOKUP($A78,MBaseball!$C:$N,H$1-2010,FALSE),0)+IFERROR(VLOOKUP($A78,MBasketball!$C:$J,H$1-2006,FALSE),0)+IFERROR(VLOOKUP($A78,MFootball!$C:$O,H$1-2011,FALSE),0)+IFERROR(VLOOKUP($A78,MIceHockey!$C:$P,H$1-2011,FALSE),0)+IFERROR(VLOOKUP($A78,MLacrosse!$C:$O,H$1-2011,FALSE),0)+IFERROR(VLOOKUP($A78,MSoccer!$C:$O,H$1-2011,FALSE),0)+IFERROR(VLOOKUP($A78,MVolleyball!$C:$O,H$1-2011,FALSE),0)+IFERROR(VLOOKUP($A78,WBasketball!$C:$O,H$1-2011,FALSE),0)+IFERROR(VLOOKUP($A78,WFieldHockey!$C:$O,H$1-2011,FALSE),0)+IFERROR(VLOOKUP($A78,WIceHockey!$C:$O,H$1-2011,FALSE),0)+IFERROR(VLOOKUP($A78,WLacrosse!$C:$O,H$1-2011,FALSE),0)+IFERROR(VLOOKUP($A78,WSoccer!$C:$O,H$1-2011,FALSE),0)+IFERROR(VLOOKUP($A78,WSoftball!$C:$O,H$1-2011,FALSE),0)+IFERROR(VLOOKUP($A78,WVolleyball!$C:$O,H$1-2011,FALSE),0)</f>
        <v>150933</v>
      </c>
      <c r="I78">
        <f>IFERROR(VLOOKUP($A78,MBaseball!$C:$N,I$1-2010,FALSE),0)+IFERROR(VLOOKUP($A78,MBasketball!$C:$J,I$1-2006,FALSE),0)+IFERROR(VLOOKUP($A78,MFootball!$C:$O,I$1-2011,FALSE),0)+IFERROR(VLOOKUP($A78,MIceHockey!$C:$P,I$1-2011,FALSE),0)+IFERROR(VLOOKUP($A78,MLacrosse!$C:$O,I$1-2011,FALSE),0)+IFERROR(VLOOKUP($A78,MSoccer!$C:$O,I$1-2011,FALSE),0)+IFERROR(VLOOKUP($A78,MVolleyball!$C:$O,I$1-2011,FALSE),0)+IFERROR(VLOOKUP($A78,WBasketball!$C:$O,I$1-2011,FALSE),0)+IFERROR(VLOOKUP($A78,WFieldHockey!$C:$O,I$1-2011,FALSE),0)+IFERROR(VLOOKUP($A78,WIceHockey!$C:$O,I$1-2011,FALSE),0)+IFERROR(VLOOKUP($A78,WLacrosse!$C:$O,I$1-2011,FALSE),0)+IFERROR(VLOOKUP($A78,WSoccer!$C:$O,I$1-2011,FALSE),0)+IFERROR(VLOOKUP($A78,WSoftball!$C:$O,I$1-2011,FALSE),0)+IFERROR(VLOOKUP($A78,WVolleyball!$C:$O,I$1-2011,FALSE),0)</f>
        <v>158964</v>
      </c>
      <c r="J78">
        <f>IFERROR(VLOOKUP($A78,MBaseball!$C:$N,J$1-2010,FALSE),0)+IFERROR(VLOOKUP($A78,MBasketball!$C:$J,J$1-2006,FALSE),0)+IFERROR(VLOOKUP($A78,MFootball!$C:$O,J$1-2011,FALSE),0)+IFERROR(VLOOKUP($A78,MIceHockey!$C:$P,J$1-2011,FALSE),0)+IFERROR(VLOOKUP($A78,MLacrosse!$C:$O,J$1-2011,FALSE),0)+IFERROR(VLOOKUP($A78,MSoccer!$C:$O,J$1-2011,FALSE),0)+IFERROR(VLOOKUP($A78,MVolleyball!$C:$O,J$1-2011,FALSE),0)+IFERROR(VLOOKUP($A78,WBasketball!$C:$O,J$1-2011,FALSE),0)+IFERROR(VLOOKUP($A78,WFieldHockey!$C:$O,J$1-2011,FALSE),0)+IFERROR(VLOOKUP($A78,WIceHockey!$C:$O,J$1-2011,FALSE),0)+IFERROR(VLOOKUP($A78,WLacrosse!$C:$O,J$1-2011,FALSE),0)+IFERROR(VLOOKUP($A78,WSoccer!$C:$O,J$1-2011,FALSE),0)+IFERROR(VLOOKUP($A78,WSoftball!$C:$O,J$1-2011,FALSE),0)+IFERROR(VLOOKUP($A78,WVolleyball!$C:$O,J$1-2011,FALSE),0)</f>
        <v>182647</v>
      </c>
      <c r="K78">
        <f>IFERROR(VLOOKUP($A78,MBaseball!$C:$N,K$1-2010,FALSE),0)+IFERROR(VLOOKUP($A78,MBasketball!$C:$J,K$1-2006,FALSE),0)+IFERROR(VLOOKUP($A78,MFootball!$C:$O,K$1-2011,FALSE),0)+IFERROR(VLOOKUP($A78,MIceHockey!$C:$P,K$1-2011,FALSE),0)+IFERROR(VLOOKUP($A78,MLacrosse!$C:$O,K$1-2011,FALSE),0)+IFERROR(VLOOKUP($A78,MSoccer!$C:$O,K$1-2011,FALSE),0)+IFERROR(VLOOKUP($A78,MVolleyball!$C:$O,K$1-2011,FALSE),0)+IFERROR(VLOOKUP($A78,WBasketball!$C:$O,K$1-2011,FALSE),0)+IFERROR(VLOOKUP($A78,WFieldHockey!$C:$O,K$1-2011,FALSE),0)+IFERROR(VLOOKUP($A78,WIceHockey!$C:$O,K$1-2011,FALSE),0)+IFERROR(VLOOKUP($A78,WLacrosse!$C:$O,K$1-2011,FALSE),0)+IFERROR(VLOOKUP($A78,WSoccer!$C:$O,K$1-2011,FALSE),0)+IFERROR(VLOOKUP($A78,WSoftball!$C:$O,K$1-2011,FALSE),0)+IFERROR(VLOOKUP($A78,WVolleyball!$C:$O,K$1-2011,FALSE),0)</f>
        <v>160373</v>
      </c>
      <c r="L78">
        <f>IFERROR(VLOOKUP($A78,MBaseball!$C:$N,L$1-2010,FALSE),0)+IFERROR(VLOOKUP($A78,MBasketball!$C:$J,L$1-2006,FALSE),0)+IFERROR(VLOOKUP($A78,MFootball!$C:$O,L$1-2011,FALSE),0)+IFERROR(VLOOKUP($A78,MIceHockey!$C:$P,L$1-2011,FALSE),0)+IFERROR(VLOOKUP($A78,MLacrosse!$C:$O,L$1-2011,FALSE),0)+IFERROR(VLOOKUP($A78,MSoccer!$C:$O,L$1-2011,FALSE),0)+IFERROR(VLOOKUP($A78,MVolleyball!$C:$O,L$1-2011,FALSE),0)+IFERROR(VLOOKUP($A78,WBasketball!$C:$O,L$1-2011,FALSE),0)+IFERROR(VLOOKUP($A78,WFieldHockey!$C:$O,L$1-2011,FALSE),0)+IFERROR(VLOOKUP($A78,WIceHockey!$C:$O,L$1-2011,FALSE),0)+IFERROR(VLOOKUP($A78,WLacrosse!$C:$O,L$1-2011,FALSE),0)+IFERROR(VLOOKUP($A78,WSoccer!$C:$O,L$1-2011,FALSE),0)+IFERROR(VLOOKUP($A78,WSoftball!$C:$O,L$1-2011,FALSE),0)+IFERROR(VLOOKUP($A78,WVolleyball!$C:$O,L$1-2011,FALSE),0)</f>
        <v>3537</v>
      </c>
      <c r="M78">
        <f>IFERROR(VLOOKUP($A78,MBaseball!$C:$N,M$1-2010,FALSE),0)+IFERROR(VLOOKUP($A78,MBasketball!$C:$J,M$1-2006,FALSE),0)+IFERROR(VLOOKUP($A78,MFootball!$C:$O,M$1-2011,FALSE),0)+IFERROR(VLOOKUP($A78,MIceHockey!$C:$P,M$1-2011,FALSE),0)+IFERROR(VLOOKUP($A78,MLacrosse!$C:$O,M$1-2011,FALSE),0)+IFERROR(VLOOKUP($A78,MSoccer!$C:$O,M$1-2011,FALSE),0)+IFERROR(VLOOKUP($A78,MVolleyball!$C:$O,M$1-2011,FALSE),0)+IFERROR(VLOOKUP($A78,WBasketball!$C:$O,M$1-2011,FALSE),0)+IFERROR(VLOOKUP($A78,WFieldHockey!$C:$O,M$1-2011,FALSE),0)+IFERROR(VLOOKUP($A78,WIceHockey!$C:$O,M$1-2011,FALSE),0)+IFERROR(VLOOKUP($A78,WLacrosse!$C:$O,M$1-2011,FALSE),0)+IFERROR(VLOOKUP($A78,WSoccer!$C:$O,M$1-2011,FALSE),0)+IFERROR(VLOOKUP($A78,WSoftball!$C:$O,M$1-2011,FALSE),0)+IFERROR(VLOOKUP($A78,WVolleyball!$C:$O,M$1-2011,FALSE),0)</f>
        <v>163674</v>
      </c>
      <c r="N78">
        <f>IFERROR(VLOOKUP($A78,MBaseball!$C:$N,N$1-2010,FALSE),0)+IFERROR(VLOOKUP($A78,MBasketball!$C:$J,N$1-2006,FALSE),0)+IFERROR(VLOOKUP($A78,MFootball!$C:$O,N$1-2011,FALSE),0)+IFERROR(VLOOKUP($A78,MIceHockey!$C:$P,N$1-2011,FALSE),0)+IFERROR(VLOOKUP($A78,MLacrosse!$C:$O,N$1-2011,FALSE),0)+IFERROR(VLOOKUP($A78,MSoccer!$C:$O,N$1-2011,FALSE),0)+IFERROR(VLOOKUP($A78,MVolleyball!$C:$O,N$1-2011,FALSE),0)+IFERROR(VLOOKUP($A78,WBasketball!$C:$O,N$1-2011,FALSE),0)+IFERROR(VLOOKUP($A78,WFieldHockey!$C:$O,N$1-2011,FALSE),0)+IFERROR(VLOOKUP($A78,WIceHockey!$C:$O,N$1-2011,FALSE),0)+IFERROR(VLOOKUP($A78,WLacrosse!$C:$O,N$1-2011,FALSE),0)+IFERROR(VLOOKUP($A78,WSoccer!$C:$O,N$1-2011,FALSE),0)+IFERROR(VLOOKUP($A78,WSoftball!$C:$O,N$1-2011,FALSE),0)+IFERROR(VLOOKUP($A78,WVolleyball!$C:$O,N$1-2011,FALSE),0)</f>
        <v>164924</v>
      </c>
    </row>
    <row r="79" spans="1:14" x14ac:dyDescent="0.2">
      <c r="A79">
        <v>166513</v>
      </c>
      <c r="B79">
        <v>31700</v>
      </c>
      <c r="C79" t="s">
        <v>130</v>
      </c>
      <c r="D79">
        <v>78</v>
      </c>
      <c r="E79">
        <f>IFERROR(VLOOKUP($A79,MBaseball!$C:$N,E$1-2010,FALSE),0)+IFERROR(VLOOKUP($A79,MBasketball!$C:$J,E$1-2006,FALSE),0)+IFERROR(VLOOKUP($A79,MFootball!$C:$O,E$1-2011,FALSE),0)+IFERROR(VLOOKUP($A79,MIceHockey!$C:$P,E$1-2011,FALSE),0)+IFERROR(VLOOKUP($A79,MLacrosse!$C:$O,E$1-2011,FALSE),0)+IFERROR(VLOOKUP($A79,MSoccer!$C:$O,E$1-2011,FALSE),0)+IFERROR(VLOOKUP($A79,MVolleyball!$C:$O,E$1-2011,FALSE),0)+IFERROR(VLOOKUP($A79,WBasketball!$C:$O,E$1-2011,FALSE),0)+IFERROR(VLOOKUP($A79,WFieldHockey!$C:$O,E$1-2011,FALSE),0)+IFERROR(VLOOKUP($A79,WIceHockey!$C:$O,E$1-2011,FALSE),0)+IFERROR(VLOOKUP($A79,WLacrosse!$C:$O,E$1-2011,FALSE),0)+IFERROR(VLOOKUP($A79,WSoccer!$C:$O,E$1-2011,FALSE),0)+IFERROR(VLOOKUP($A79,WSoftball!$C:$O,E$1-2011,FALSE),0)+IFERROR(VLOOKUP($A79,WVolleyball!$C:$O,E$1-2011,FALSE),0)</f>
        <v>31416</v>
      </c>
      <c r="F79">
        <f>IFERROR(VLOOKUP($A79,MBaseball!$C:$N,F$1-2010,FALSE),0)+IFERROR(VLOOKUP($A79,MBasketball!$C:$J,F$1-2006,FALSE),0)+IFERROR(VLOOKUP($A79,MFootball!$C:$O,F$1-2011,FALSE),0)+IFERROR(VLOOKUP($A79,MIceHockey!$C:$P,F$1-2011,FALSE),0)+IFERROR(VLOOKUP($A79,MLacrosse!$C:$O,F$1-2011,FALSE),0)+IFERROR(VLOOKUP($A79,MSoccer!$C:$O,F$1-2011,FALSE),0)+IFERROR(VLOOKUP($A79,MVolleyball!$C:$O,F$1-2011,FALSE),0)+IFERROR(VLOOKUP($A79,WBasketball!$C:$O,F$1-2011,FALSE),0)+IFERROR(VLOOKUP($A79,WFieldHockey!$C:$O,F$1-2011,FALSE),0)+IFERROR(VLOOKUP($A79,WIceHockey!$C:$O,F$1-2011,FALSE),0)+IFERROR(VLOOKUP($A79,WLacrosse!$C:$O,F$1-2011,FALSE),0)+IFERROR(VLOOKUP($A79,WSoccer!$C:$O,F$1-2011,FALSE),0)+IFERROR(VLOOKUP($A79,WSoftball!$C:$O,F$1-2011,FALSE),0)+IFERROR(VLOOKUP($A79,WVolleyball!$C:$O,F$1-2011,FALSE),0)</f>
        <v>128033</v>
      </c>
      <c r="G79">
        <f>IFERROR(VLOOKUP($A79,MBaseball!$C:$N,G$1-2010,FALSE),0)+IFERROR(VLOOKUP($A79,MBasketball!$C:$J,G$1-2006,FALSE),0)+IFERROR(VLOOKUP($A79,MFootball!$C:$O,G$1-2011,FALSE),0)+IFERROR(VLOOKUP($A79,MIceHockey!$C:$P,G$1-2011,FALSE),0)+IFERROR(VLOOKUP($A79,MLacrosse!$C:$O,G$1-2011,FALSE),0)+IFERROR(VLOOKUP($A79,MSoccer!$C:$O,G$1-2011,FALSE),0)+IFERROR(VLOOKUP($A79,MVolleyball!$C:$O,G$1-2011,FALSE),0)+IFERROR(VLOOKUP($A79,WBasketball!$C:$O,G$1-2011,FALSE),0)+IFERROR(VLOOKUP($A79,WFieldHockey!$C:$O,G$1-2011,FALSE),0)+IFERROR(VLOOKUP($A79,WIceHockey!$C:$O,G$1-2011,FALSE),0)+IFERROR(VLOOKUP($A79,WLacrosse!$C:$O,G$1-2011,FALSE),0)+IFERROR(VLOOKUP($A79,WSoccer!$C:$O,G$1-2011,FALSE),0)+IFERROR(VLOOKUP($A79,WSoftball!$C:$O,G$1-2011,FALSE),0)+IFERROR(VLOOKUP($A79,WVolleyball!$C:$O,G$1-2011,FALSE),0)</f>
        <v>131501</v>
      </c>
      <c r="H79">
        <f>IFERROR(VLOOKUP($A79,MBaseball!$C:$N,H$1-2010,FALSE),0)+IFERROR(VLOOKUP($A79,MBasketball!$C:$J,H$1-2006,FALSE),0)+IFERROR(VLOOKUP($A79,MFootball!$C:$O,H$1-2011,FALSE),0)+IFERROR(VLOOKUP($A79,MIceHockey!$C:$P,H$1-2011,FALSE),0)+IFERROR(VLOOKUP($A79,MLacrosse!$C:$O,H$1-2011,FALSE),0)+IFERROR(VLOOKUP($A79,MSoccer!$C:$O,H$1-2011,FALSE),0)+IFERROR(VLOOKUP($A79,MVolleyball!$C:$O,H$1-2011,FALSE),0)+IFERROR(VLOOKUP($A79,WBasketball!$C:$O,H$1-2011,FALSE),0)+IFERROR(VLOOKUP($A79,WFieldHockey!$C:$O,H$1-2011,FALSE),0)+IFERROR(VLOOKUP($A79,WIceHockey!$C:$O,H$1-2011,FALSE),0)+IFERROR(VLOOKUP($A79,WLacrosse!$C:$O,H$1-2011,FALSE),0)+IFERROR(VLOOKUP($A79,WSoccer!$C:$O,H$1-2011,FALSE),0)+IFERROR(VLOOKUP($A79,WSoftball!$C:$O,H$1-2011,FALSE),0)+IFERROR(VLOOKUP($A79,WVolleyball!$C:$O,H$1-2011,FALSE),0)</f>
        <v>132359</v>
      </c>
      <c r="I79">
        <f>IFERROR(VLOOKUP($A79,MBaseball!$C:$N,I$1-2010,FALSE),0)+IFERROR(VLOOKUP($A79,MBasketball!$C:$J,I$1-2006,FALSE),0)+IFERROR(VLOOKUP($A79,MFootball!$C:$O,I$1-2011,FALSE),0)+IFERROR(VLOOKUP($A79,MIceHockey!$C:$P,I$1-2011,FALSE),0)+IFERROR(VLOOKUP($A79,MLacrosse!$C:$O,I$1-2011,FALSE),0)+IFERROR(VLOOKUP($A79,MSoccer!$C:$O,I$1-2011,FALSE),0)+IFERROR(VLOOKUP($A79,MVolleyball!$C:$O,I$1-2011,FALSE),0)+IFERROR(VLOOKUP($A79,WBasketball!$C:$O,I$1-2011,FALSE),0)+IFERROR(VLOOKUP($A79,WFieldHockey!$C:$O,I$1-2011,FALSE),0)+IFERROR(VLOOKUP($A79,WIceHockey!$C:$O,I$1-2011,FALSE),0)+IFERROR(VLOOKUP($A79,WLacrosse!$C:$O,I$1-2011,FALSE),0)+IFERROR(VLOOKUP($A79,WSoccer!$C:$O,I$1-2011,FALSE),0)+IFERROR(VLOOKUP($A79,WSoftball!$C:$O,I$1-2011,FALSE),0)+IFERROR(VLOOKUP($A79,WVolleyball!$C:$O,I$1-2011,FALSE),0)</f>
        <v>126018</v>
      </c>
      <c r="J79">
        <f>IFERROR(VLOOKUP($A79,MBaseball!$C:$N,J$1-2010,FALSE),0)+IFERROR(VLOOKUP($A79,MBasketball!$C:$J,J$1-2006,FALSE),0)+IFERROR(VLOOKUP($A79,MFootball!$C:$O,J$1-2011,FALSE),0)+IFERROR(VLOOKUP($A79,MIceHockey!$C:$P,J$1-2011,FALSE),0)+IFERROR(VLOOKUP($A79,MLacrosse!$C:$O,J$1-2011,FALSE),0)+IFERROR(VLOOKUP($A79,MSoccer!$C:$O,J$1-2011,FALSE),0)+IFERROR(VLOOKUP($A79,MVolleyball!$C:$O,J$1-2011,FALSE),0)+IFERROR(VLOOKUP($A79,WBasketball!$C:$O,J$1-2011,FALSE),0)+IFERROR(VLOOKUP($A79,WFieldHockey!$C:$O,J$1-2011,FALSE),0)+IFERROR(VLOOKUP($A79,WIceHockey!$C:$O,J$1-2011,FALSE),0)+IFERROR(VLOOKUP($A79,WLacrosse!$C:$O,J$1-2011,FALSE),0)+IFERROR(VLOOKUP($A79,WSoccer!$C:$O,J$1-2011,FALSE),0)+IFERROR(VLOOKUP($A79,WSoftball!$C:$O,J$1-2011,FALSE),0)+IFERROR(VLOOKUP($A79,WVolleyball!$C:$O,J$1-2011,FALSE),0)</f>
        <v>116301</v>
      </c>
      <c r="K79">
        <f>IFERROR(VLOOKUP($A79,MBaseball!$C:$N,K$1-2010,FALSE),0)+IFERROR(VLOOKUP($A79,MBasketball!$C:$J,K$1-2006,FALSE),0)+IFERROR(VLOOKUP($A79,MFootball!$C:$O,K$1-2011,FALSE),0)+IFERROR(VLOOKUP($A79,MIceHockey!$C:$P,K$1-2011,FALSE),0)+IFERROR(VLOOKUP($A79,MLacrosse!$C:$O,K$1-2011,FALSE),0)+IFERROR(VLOOKUP($A79,MSoccer!$C:$O,K$1-2011,FALSE),0)+IFERROR(VLOOKUP($A79,MVolleyball!$C:$O,K$1-2011,FALSE),0)+IFERROR(VLOOKUP($A79,WBasketball!$C:$O,K$1-2011,FALSE),0)+IFERROR(VLOOKUP($A79,WFieldHockey!$C:$O,K$1-2011,FALSE),0)+IFERROR(VLOOKUP($A79,WIceHockey!$C:$O,K$1-2011,FALSE),0)+IFERROR(VLOOKUP($A79,WLacrosse!$C:$O,K$1-2011,FALSE),0)+IFERROR(VLOOKUP($A79,WSoccer!$C:$O,K$1-2011,FALSE),0)+IFERROR(VLOOKUP($A79,WSoftball!$C:$O,K$1-2011,FALSE),0)+IFERROR(VLOOKUP($A79,WVolleyball!$C:$O,K$1-2011,FALSE),0)</f>
        <v>93675</v>
      </c>
      <c r="L79">
        <f>IFERROR(VLOOKUP($A79,MBaseball!$C:$N,L$1-2010,FALSE),0)+IFERROR(VLOOKUP($A79,MBasketball!$C:$J,L$1-2006,FALSE),0)+IFERROR(VLOOKUP($A79,MFootball!$C:$O,L$1-2011,FALSE),0)+IFERROR(VLOOKUP($A79,MIceHockey!$C:$P,L$1-2011,FALSE),0)+IFERROR(VLOOKUP($A79,MLacrosse!$C:$O,L$1-2011,FALSE),0)+IFERROR(VLOOKUP($A79,MSoccer!$C:$O,L$1-2011,FALSE),0)+IFERROR(VLOOKUP($A79,MVolleyball!$C:$O,L$1-2011,FALSE),0)+IFERROR(VLOOKUP($A79,WBasketball!$C:$O,L$1-2011,FALSE),0)+IFERROR(VLOOKUP($A79,WFieldHockey!$C:$O,L$1-2011,FALSE),0)+IFERROR(VLOOKUP($A79,WIceHockey!$C:$O,L$1-2011,FALSE),0)+IFERROR(VLOOKUP($A79,WLacrosse!$C:$O,L$1-2011,FALSE),0)+IFERROR(VLOOKUP($A79,WSoccer!$C:$O,L$1-2011,FALSE),0)+IFERROR(VLOOKUP($A79,WSoftball!$C:$O,L$1-2011,FALSE),0)+IFERROR(VLOOKUP($A79,WVolleyball!$C:$O,L$1-2011,FALSE),0)</f>
        <v>4238</v>
      </c>
      <c r="M79">
        <f>IFERROR(VLOOKUP($A79,MBaseball!$C:$N,M$1-2010,FALSE),0)+IFERROR(VLOOKUP($A79,MBasketball!$C:$J,M$1-2006,FALSE),0)+IFERROR(VLOOKUP($A79,MFootball!$C:$O,M$1-2011,FALSE),0)+IFERROR(VLOOKUP($A79,MIceHockey!$C:$P,M$1-2011,FALSE),0)+IFERROR(VLOOKUP($A79,MLacrosse!$C:$O,M$1-2011,FALSE),0)+IFERROR(VLOOKUP($A79,MSoccer!$C:$O,M$1-2011,FALSE),0)+IFERROR(VLOOKUP($A79,MVolleyball!$C:$O,M$1-2011,FALSE),0)+IFERROR(VLOOKUP($A79,WBasketball!$C:$O,M$1-2011,FALSE),0)+IFERROR(VLOOKUP($A79,WFieldHockey!$C:$O,M$1-2011,FALSE),0)+IFERROR(VLOOKUP($A79,WIceHockey!$C:$O,M$1-2011,FALSE),0)+IFERROR(VLOOKUP($A79,WLacrosse!$C:$O,M$1-2011,FALSE),0)+IFERROR(VLOOKUP($A79,WSoccer!$C:$O,M$1-2011,FALSE),0)+IFERROR(VLOOKUP($A79,WSoftball!$C:$O,M$1-2011,FALSE),0)+IFERROR(VLOOKUP($A79,WVolleyball!$C:$O,M$1-2011,FALSE),0)</f>
        <v>101719</v>
      </c>
      <c r="N79">
        <f>IFERROR(VLOOKUP($A79,MBaseball!$C:$N,N$1-2010,FALSE),0)+IFERROR(VLOOKUP($A79,MBasketball!$C:$J,N$1-2006,FALSE),0)+IFERROR(VLOOKUP($A79,MFootball!$C:$O,N$1-2011,FALSE),0)+IFERROR(VLOOKUP($A79,MIceHockey!$C:$P,N$1-2011,FALSE),0)+IFERROR(VLOOKUP($A79,MLacrosse!$C:$O,N$1-2011,FALSE),0)+IFERROR(VLOOKUP($A79,MSoccer!$C:$O,N$1-2011,FALSE),0)+IFERROR(VLOOKUP($A79,MVolleyball!$C:$O,N$1-2011,FALSE),0)+IFERROR(VLOOKUP($A79,WBasketball!$C:$O,N$1-2011,FALSE),0)+IFERROR(VLOOKUP($A79,WFieldHockey!$C:$O,N$1-2011,FALSE),0)+IFERROR(VLOOKUP($A79,WIceHockey!$C:$O,N$1-2011,FALSE),0)+IFERROR(VLOOKUP($A79,WLacrosse!$C:$O,N$1-2011,FALSE),0)+IFERROR(VLOOKUP($A79,WSoccer!$C:$O,N$1-2011,FALSE),0)+IFERROR(VLOOKUP($A79,WSoftball!$C:$O,N$1-2011,FALSE),0)+IFERROR(VLOOKUP($A79,WVolleyball!$C:$O,N$1-2011,FALSE),0)</f>
        <v>95366</v>
      </c>
    </row>
    <row r="80" spans="1:14" x14ac:dyDescent="0.2">
      <c r="A80">
        <v>159717</v>
      </c>
      <c r="B80">
        <v>29340</v>
      </c>
      <c r="C80" t="s">
        <v>131</v>
      </c>
      <c r="D80">
        <v>79</v>
      </c>
      <c r="E80">
        <f>IFERROR(VLOOKUP($A80,MBaseball!$C:$N,E$1-2010,FALSE),0)+IFERROR(VLOOKUP($A80,MBasketball!$C:$J,E$1-2006,FALSE),0)+IFERROR(VLOOKUP($A80,MFootball!$C:$O,E$1-2011,FALSE),0)+IFERROR(VLOOKUP($A80,MIceHockey!$C:$P,E$1-2011,FALSE),0)+IFERROR(VLOOKUP($A80,MLacrosse!$C:$O,E$1-2011,FALSE),0)+IFERROR(VLOOKUP($A80,MSoccer!$C:$O,E$1-2011,FALSE),0)+IFERROR(VLOOKUP($A80,MVolleyball!$C:$O,E$1-2011,FALSE),0)+IFERROR(VLOOKUP($A80,WBasketball!$C:$O,E$1-2011,FALSE),0)+IFERROR(VLOOKUP($A80,WFieldHockey!$C:$O,E$1-2011,FALSE),0)+IFERROR(VLOOKUP($A80,WIceHockey!$C:$O,E$1-2011,FALSE),0)+IFERROR(VLOOKUP($A80,WLacrosse!$C:$O,E$1-2011,FALSE),0)+IFERROR(VLOOKUP($A80,WSoccer!$C:$O,E$1-2011,FALSE),0)+IFERROR(VLOOKUP($A80,WSoftball!$C:$O,E$1-2011,FALSE),0)+IFERROR(VLOOKUP($A80,WVolleyball!$C:$O,E$1-2011,FALSE),0)</f>
        <v>70008</v>
      </c>
      <c r="F80">
        <f>IFERROR(VLOOKUP($A80,MBaseball!$C:$N,F$1-2010,FALSE),0)+IFERROR(VLOOKUP($A80,MBasketball!$C:$J,F$1-2006,FALSE),0)+IFERROR(VLOOKUP($A80,MFootball!$C:$O,F$1-2011,FALSE),0)+IFERROR(VLOOKUP($A80,MIceHockey!$C:$P,F$1-2011,FALSE),0)+IFERROR(VLOOKUP($A80,MLacrosse!$C:$O,F$1-2011,FALSE),0)+IFERROR(VLOOKUP($A80,MSoccer!$C:$O,F$1-2011,FALSE),0)+IFERROR(VLOOKUP($A80,MVolleyball!$C:$O,F$1-2011,FALSE),0)+IFERROR(VLOOKUP($A80,WBasketball!$C:$O,F$1-2011,FALSE),0)+IFERROR(VLOOKUP($A80,WFieldHockey!$C:$O,F$1-2011,FALSE),0)+IFERROR(VLOOKUP($A80,WIceHockey!$C:$O,F$1-2011,FALSE),0)+IFERROR(VLOOKUP($A80,WLacrosse!$C:$O,F$1-2011,FALSE),0)+IFERROR(VLOOKUP($A80,WSoccer!$C:$O,F$1-2011,FALSE),0)+IFERROR(VLOOKUP($A80,WSoftball!$C:$O,F$1-2011,FALSE),0)+IFERROR(VLOOKUP($A80,WVolleyball!$C:$O,F$1-2011,FALSE),0)</f>
        <v>108432</v>
      </c>
      <c r="G80">
        <f>IFERROR(VLOOKUP($A80,MBaseball!$C:$N,G$1-2010,FALSE),0)+IFERROR(VLOOKUP($A80,MBasketball!$C:$J,G$1-2006,FALSE),0)+IFERROR(VLOOKUP($A80,MFootball!$C:$O,G$1-2011,FALSE),0)+IFERROR(VLOOKUP($A80,MIceHockey!$C:$P,G$1-2011,FALSE),0)+IFERROR(VLOOKUP($A80,MLacrosse!$C:$O,G$1-2011,FALSE),0)+IFERROR(VLOOKUP($A80,MSoccer!$C:$O,G$1-2011,FALSE),0)+IFERROR(VLOOKUP($A80,MVolleyball!$C:$O,G$1-2011,FALSE),0)+IFERROR(VLOOKUP($A80,WBasketball!$C:$O,G$1-2011,FALSE),0)+IFERROR(VLOOKUP($A80,WFieldHockey!$C:$O,G$1-2011,FALSE),0)+IFERROR(VLOOKUP($A80,WIceHockey!$C:$O,G$1-2011,FALSE),0)+IFERROR(VLOOKUP($A80,WLacrosse!$C:$O,G$1-2011,FALSE),0)+IFERROR(VLOOKUP($A80,WSoccer!$C:$O,G$1-2011,FALSE),0)+IFERROR(VLOOKUP($A80,WSoftball!$C:$O,G$1-2011,FALSE),0)+IFERROR(VLOOKUP($A80,WVolleyball!$C:$O,G$1-2011,FALSE),0)</f>
        <v>112418</v>
      </c>
      <c r="H80">
        <f>IFERROR(VLOOKUP($A80,MBaseball!$C:$N,H$1-2010,FALSE),0)+IFERROR(VLOOKUP($A80,MBasketball!$C:$J,H$1-2006,FALSE),0)+IFERROR(VLOOKUP($A80,MFootball!$C:$O,H$1-2011,FALSE),0)+IFERROR(VLOOKUP($A80,MIceHockey!$C:$P,H$1-2011,FALSE),0)+IFERROR(VLOOKUP($A80,MLacrosse!$C:$O,H$1-2011,FALSE),0)+IFERROR(VLOOKUP($A80,MSoccer!$C:$O,H$1-2011,FALSE),0)+IFERROR(VLOOKUP($A80,MVolleyball!$C:$O,H$1-2011,FALSE),0)+IFERROR(VLOOKUP($A80,WBasketball!$C:$O,H$1-2011,FALSE),0)+IFERROR(VLOOKUP($A80,WFieldHockey!$C:$O,H$1-2011,FALSE),0)+IFERROR(VLOOKUP($A80,WIceHockey!$C:$O,H$1-2011,FALSE),0)+IFERROR(VLOOKUP($A80,WLacrosse!$C:$O,H$1-2011,FALSE),0)+IFERROR(VLOOKUP($A80,WSoccer!$C:$O,H$1-2011,FALSE),0)+IFERROR(VLOOKUP($A80,WSoftball!$C:$O,H$1-2011,FALSE),0)+IFERROR(VLOOKUP($A80,WVolleyball!$C:$O,H$1-2011,FALSE),0)</f>
        <v>107869</v>
      </c>
      <c r="I80">
        <f>IFERROR(VLOOKUP($A80,MBaseball!$C:$N,I$1-2010,FALSE),0)+IFERROR(VLOOKUP($A80,MBasketball!$C:$J,I$1-2006,FALSE),0)+IFERROR(VLOOKUP($A80,MFootball!$C:$O,I$1-2011,FALSE),0)+IFERROR(VLOOKUP($A80,MIceHockey!$C:$P,I$1-2011,FALSE),0)+IFERROR(VLOOKUP($A80,MLacrosse!$C:$O,I$1-2011,FALSE),0)+IFERROR(VLOOKUP($A80,MSoccer!$C:$O,I$1-2011,FALSE),0)+IFERROR(VLOOKUP($A80,MVolleyball!$C:$O,I$1-2011,FALSE),0)+IFERROR(VLOOKUP($A80,WBasketball!$C:$O,I$1-2011,FALSE),0)+IFERROR(VLOOKUP($A80,WFieldHockey!$C:$O,I$1-2011,FALSE),0)+IFERROR(VLOOKUP($A80,WIceHockey!$C:$O,I$1-2011,FALSE),0)+IFERROR(VLOOKUP($A80,WLacrosse!$C:$O,I$1-2011,FALSE),0)+IFERROR(VLOOKUP($A80,WSoccer!$C:$O,I$1-2011,FALSE),0)+IFERROR(VLOOKUP($A80,WSoftball!$C:$O,I$1-2011,FALSE),0)+IFERROR(VLOOKUP($A80,WVolleyball!$C:$O,I$1-2011,FALSE),0)</f>
        <v>99209</v>
      </c>
      <c r="J80">
        <f>IFERROR(VLOOKUP($A80,MBaseball!$C:$N,J$1-2010,FALSE),0)+IFERROR(VLOOKUP($A80,MBasketball!$C:$J,J$1-2006,FALSE),0)+IFERROR(VLOOKUP($A80,MFootball!$C:$O,J$1-2011,FALSE),0)+IFERROR(VLOOKUP($A80,MIceHockey!$C:$P,J$1-2011,FALSE),0)+IFERROR(VLOOKUP($A80,MLacrosse!$C:$O,J$1-2011,FALSE),0)+IFERROR(VLOOKUP($A80,MSoccer!$C:$O,J$1-2011,FALSE),0)+IFERROR(VLOOKUP($A80,MVolleyball!$C:$O,J$1-2011,FALSE),0)+IFERROR(VLOOKUP($A80,WBasketball!$C:$O,J$1-2011,FALSE),0)+IFERROR(VLOOKUP($A80,WFieldHockey!$C:$O,J$1-2011,FALSE),0)+IFERROR(VLOOKUP($A80,WIceHockey!$C:$O,J$1-2011,FALSE),0)+IFERROR(VLOOKUP($A80,WLacrosse!$C:$O,J$1-2011,FALSE),0)+IFERROR(VLOOKUP($A80,WSoccer!$C:$O,J$1-2011,FALSE),0)+IFERROR(VLOOKUP($A80,WSoftball!$C:$O,J$1-2011,FALSE),0)+IFERROR(VLOOKUP($A80,WVolleyball!$C:$O,J$1-2011,FALSE),0)</f>
        <v>104828</v>
      </c>
      <c r="K80">
        <f>IFERROR(VLOOKUP($A80,MBaseball!$C:$N,K$1-2010,FALSE),0)+IFERROR(VLOOKUP($A80,MBasketball!$C:$J,K$1-2006,FALSE),0)+IFERROR(VLOOKUP($A80,MFootball!$C:$O,K$1-2011,FALSE),0)+IFERROR(VLOOKUP($A80,MIceHockey!$C:$P,K$1-2011,FALSE),0)+IFERROR(VLOOKUP($A80,MLacrosse!$C:$O,K$1-2011,FALSE),0)+IFERROR(VLOOKUP($A80,MSoccer!$C:$O,K$1-2011,FALSE),0)+IFERROR(VLOOKUP($A80,MVolleyball!$C:$O,K$1-2011,FALSE),0)+IFERROR(VLOOKUP($A80,WBasketball!$C:$O,K$1-2011,FALSE),0)+IFERROR(VLOOKUP($A80,WFieldHockey!$C:$O,K$1-2011,FALSE),0)+IFERROR(VLOOKUP($A80,WIceHockey!$C:$O,K$1-2011,FALSE),0)+IFERROR(VLOOKUP($A80,WLacrosse!$C:$O,K$1-2011,FALSE),0)+IFERROR(VLOOKUP($A80,WSoccer!$C:$O,K$1-2011,FALSE),0)+IFERROR(VLOOKUP($A80,WSoftball!$C:$O,K$1-2011,FALSE),0)+IFERROR(VLOOKUP($A80,WVolleyball!$C:$O,K$1-2011,FALSE),0)</f>
        <v>118377</v>
      </c>
      <c r="L80">
        <f>IFERROR(VLOOKUP($A80,MBaseball!$C:$N,L$1-2010,FALSE),0)+IFERROR(VLOOKUP($A80,MBasketball!$C:$J,L$1-2006,FALSE),0)+IFERROR(VLOOKUP($A80,MFootball!$C:$O,L$1-2011,FALSE),0)+IFERROR(VLOOKUP($A80,MIceHockey!$C:$P,L$1-2011,FALSE),0)+IFERROR(VLOOKUP($A80,MLacrosse!$C:$O,L$1-2011,FALSE),0)+IFERROR(VLOOKUP($A80,MSoccer!$C:$O,L$1-2011,FALSE),0)+IFERROR(VLOOKUP($A80,MVolleyball!$C:$O,L$1-2011,FALSE),0)+IFERROR(VLOOKUP($A80,WBasketball!$C:$O,L$1-2011,FALSE),0)+IFERROR(VLOOKUP($A80,WFieldHockey!$C:$O,L$1-2011,FALSE),0)+IFERROR(VLOOKUP($A80,WIceHockey!$C:$O,L$1-2011,FALSE),0)+IFERROR(VLOOKUP($A80,WLacrosse!$C:$O,L$1-2011,FALSE),0)+IFERROR(VLOOKUP($A80,WSoccer!$C:$O,L$1-2011,FALSE),0)+IFERROR(VLOOKUP($A80,WSoftball!$C:$O,L$1-2011,FALSE),0)+IFERROR(VLOOKUP($A80,WVolleyball!$C:$O,L$1-2011,FALSE),0)</f>
        <v>52174</v>
      </c>
      <c r="M80">
        <f>IFERROR(VLOOKUP($A80,MBaseball!$C:$N,M$1-2010,FALSE),0)+IFERROR(VLOOKUP($A80,MBasketball!$C:$J,M$1-2006,FALSE),0)+IFERROR(VLOOKUP($A80,MFootball!$C:$O,M$1-2011,FALSE),0)+IFERROR(VLOOKUP($A80,MIceHockey!$C:$P,M$1-2011,FALSE),0)+IFERROR(VLOOKUP($A80,MLacrosse!$C:$O,M$1-2011,FALSE),0)+IFERROR(VLOOKUP($A80,MSoccer!$C:$O,M$1-2011,FALSE),0)+IFERROR(VLOOKUP($A80,MVolleyball!$C:$O,M$1-2011,FALSE),0)+IFERROR(VLOOKUP($A80,WBasketball!$C:$O,M$1-2011,FALSE),0)+IFERROR(VLOOKUP($A80,WFieldHockey!$C:$O,M$1-2011,FALSE),0)+IFERROR(VLOOKUP($A80,WIceHockey!$C:$O,M$1-2011,FALSE),0)+IFERROR(VLOOKUP($A80,WLacrosse!$C:$O,M$1-2011,FALSE),0)+IFERROR(VLOOKUP($A80,WSoccer!$C:$O,M$1-2011,FALSE),0)+IFERROR(VLOOKUP($A80,WSoftball!$C:$O,M$1-2011,FALSE),0)+IFERROR(VLOOKUP($A80,WVolleyball!$C:$O,M$1-2011,FALSE),0)</f>
        <v>101715</v>
      </c>
      <c r="N80">
        <f>IFERROR(VLOOKUP($A80,MBaseball!$C:$N,N$1-2010,FALSE),0)+IFERROR(VLOOKUP($A80,MBasketball!$C:$J,N$1-2006,FALSE),0)+IFERROR(VLOOKUP($A80,MFootball!$C:$O,N$1-2011,FALSE),0)+IFERROR(VLOOKUP($A80,MIceHockey!$C:$P,N$1-2011,FALSE),0)+IFERROR(VLOOKUP($A80,MLacrosse!$C:$O,N$1-2011,FALSE),0)+IFERROR(VLOOKUP($A80,MSoccer!$C:$O,N$1-2011,FALSE),0)+IFERROR(VLOOKUP($A80,MVolleyball!$C:$O,N$1-2011,FALSE),0)+IFERROR(VLOOKUP($A80,WBasketball!$C:$O,N$1-2011,FALSE),0)+IFERROR(VLOOKUP($A80,WFieldHockey!$C:$O,N$1-2011,FALSE),0)+IFERROR(VLOOKUP($A80,WIceHockey!$C:$O,N$1-2011,FALSE),0)+IFERROR(VLOOKUP($A80,WLacrosse!$C:$O,N$1-2011,FALSE),0)+IFERROR(VLOOKUP($A80,WSoccer!$C:$O,N$1-2011,FALSE),0)+IFERROR(VLOOKUP($A80,WSoftball!$C:$O,N$1-2011,FALSE),0)+IFERROR(VLOOKUP($A80,WVolleyball!$C:$O,N$1-2011,FALSE),0)</f>
        <v>100857</v>
      </c>
    </row>
    <row r="81" spans="1:14" x14ac:dyDescent="0.2">
      <c r="A81">
        <v>204024</v>
      </c>
      <c r="B81">
        <v>17140</v>
      </c>
      <c r="C81" t="s">
        <v>133</v>
      </c>
      <c r="D81">
        <v>80</v>
      </c>
      <c r="E81">
        <f>IFERROR(VLOOKUP($A81,MBaseball!$C:$N,E$1-2010,FALSE),0)+IFERROR(VLOOKUP($A81,MBasketball!$C:$J,E$1-2006,FALSE),0)+IFERROR(VLOOKUP($A81,MFootball!$C:$O,E$1-2011,FALSE),0)+IFERROR(VLOOKUP($A81,MIceHockey!$C:$P,E$1-2011,FALSE),0)+IFERROR(VLOOKUP($A81,MLacrosse!$C:$O,E$1-2011,FALSE),0)+IFERROR(VLOOKUP($A81,MSoccer!$C:$O,E$1-2011,FALSE),0)+IFERROR(VLOOKUP($A81,MVolleyball!$C:$O,E$1-2011,FALSE),0)+IFERROR(VLOOKUP($A81,WBasketball!$C:$O,E$1-2011,FALSE),0)+IFERROR(VLOOKUP($A81,WFieldHockey!$C:$O,E$1-2011,FALSE),0)+IFERROR(VLOOKUP($A81,WIceHockey!$C:$O,E$1-2011,FALSE),0)+IFERROR(VLOOKUP($A81,WLacrosse!$C:$O,E$1-2011,FALSE),0)+IFERROR(VLOOKUP($A81,WSoccer!$C:$O,E$1-2011,FALSE),0)+IFERROR(VLOOKUP($A81,WSoftball!$C:$O,E$1-2011,FALSE),0)+IFERROR(VLOOKUP($A81,WVolleyball!$C:$O,E$1-2011,FALSE),0)</f>
        <v>46662</v>
      </c>
      <c r="F81">
        <f>IFERROR(VLOOKUP($A81,MBaseball!$C:$N,F$1-2010,FALSE),0)+IFERROR(VLOOKUP($A81,MBasketball!$C:$J,F$1-2006,FALSE),0)+IFERROR(VLOOKUP($A81,MFootball!$C:$O,F$1-2011,FALSE),0)+IFERROR(VLOOKUP($A81,MIceHockey!$C:$P,F$1-2011,FALSE),0)+IFERROR(VLOOKUP($A81,MLacrosse!$C:$O,F$1-2011,FALSE),0)+IFERROR(VLOOKUP($A81,MSoccer!$C:$O,F$1-2011,FALSE),0)+IFERROR(VLOOKUP($A81,MVolleyball!$C:$O,F$1-2011,FALSE),0)+IFERROR(VLOOKUP($A81,WBasketball!$C:$O,F$1-2011,FALSE),0)+IFERROR(VLOOKUP($A81,WFieldHockey!$C:$O,F$1-2011,FALSE),0)+IFERROR(VLOOKUP($A81,WIceHockey!$C:$O,F$1-2011,FALSE),0)+IFERROR(VLOOKUP($A81,WLacrosse!$C:$O,F$1-2011,FALSE),0)+IFERROR(VLOOKUP($A81,WSoccer!$C:$O,F$1-2011,FALSE),0)+IFERROR(VLOOKUP($A81,WSoftball!$C:$O,F$1-2011,FALSE),0)+IFERROR(VLOOKUP($A81,WVolleyball!$C:$O,F$1-2011,FALSE),0)</f>
        <v>161964</v>
      </c>
      <c r="G81">
        <f>IFERROR(VLOOKUP($A81,MBaseball!$C:$N,G$1-2010,FALSE),0)+IFERROR(VLOOKUP($A81,MBasketball!$C:$J,G$1-2006,FALSE),0)+IFERROR(VLOOKUP($A81,MFootball!$C:$O,G$1-2011,FALSE),0)+IFERROR(VLOOKUP($A81,MIceHockey!$C:$P,G$1-2011,FALSE),0)+IFERROR(VLOOKUP($A81,MLacrosse!$C:$O,G$1-2011,FALSE),0)+IFERROR(VLOOKUP($A81,MSoccer!$C:$O,G$1-2011,FALSE),0)+IFERROR(VLOOKUP($A81,MVolleyball!$C:$O,G$1-2011,FALSE),0)+IFERROR(VLOOKUP($A81,WBasketball!$C:$O,G$1-2011,FALSE),0)+IFERROR(VLOOKUP($A81,WFieldHockey!$C:$O,G$1-2011,FALSE),0)+IFERROR(VLOOKUP($A81,WIceHockey!$C:$O,G$1-2011,FALSE),0)+IFERROR(VLOOKUP($A81,WLacrosse!$C:$O,G$1-2011,FALSE),0)+IFERROR(VLOOKUP($A81,WSoccer!$C:$O,G$1-2011,FALSE),0)+IFERROR(VLOOKUP($A81,WSoftball!$C:$O,G$1-2011,FALSE),0)+IFERROR(VLOOKUP($A81,WVolleyball!$C:$O,G$1-2011,FALSE),0)</f>
        <v>162761</v>
      </c>
      <c r="H81">
        <f>IFERROR(VLOOKUP($A81,MBaseball!$C:$N,H$1-2010,FALSE),0)+IFERROR(VLOOKUP($A81,MBasketball!$C:$J,H$1-2006,FALSE),0)+IFERROR(VLOOKUP($A81,MFootball!$C:$O,H$1-2011,FALSE),0)+IFERROR(VLOOKUP($A81,MIceHockey!$C:$P,H$1-2011,FALSE),0)+IFERROR(VLOOKUP($A81,MLacrosse!$C:$O,H$1-2011,FALSE),0)+IFERROR(VLOOKUP($A81,MSoccer!$C:$O,H$1-2011,FALSE),0)+IFERROR(VLOOKUP($A81,MVolleyball!$C:$O,H$1-2011,FALSE),0)+IFERROR(VLOOKUP($A81,WBasketball!$C:$O,H$1-2011,FALSE),0)+IFERROR(VLOOKUP($A81,WFieldHockey!$C:$O,H$1-2011,FALSE),0)+IFERROR(VLOOKUP($A81,WIceHockey!$C:$O,H$1-2011,FALSE),0)+IFERROR(VLOOKUP($A81,WLacrosse!$C:$O,H$1-2011,FALSE),0)+IFERROR(VLOOKUP($A81,WSoccer!$C:$O,H$1-2011,FALSE),0)+IFERROR(VLOOKUP($A81,WSoftball!$C:$O,H$1-2011,FALSE),0)+IFERROR(VLOOKUP($A81,WVolleyball!$C:$O,H$1-2011,FALSE),0)</f>
        <v>169115</v>
      </c>
      <c r="I81">
        <f>IFERROR(VLOOKUP($A81,MBaseball!$C:$N,I$1-2010,FALSE),0)+IFERROR(VLOOKUP($A81,MBasketball!$C:$J,I$1-2006,FALSE),0)+IFERROR(VLOOKUP($A81,MFootball!$C:$O,I$1-2011,FALSE),0)+IFERROR(VLOOKUP($A81,MIceHockey!$C:$P,I$1-2011,FALSE),0)+IFERROR(VLOOKUP($A81,MLacrosse!$C:$O,I$1-2011,FALSE),0)+IFERROR(VLOOKUP($A81,MSoccer!$C:$O,I$1-2011,FALSE),0)+IFERROR(VLOOKUP($A81,MVolleyball!$C:$O,I$1-2011,FALSE),0)+IFERROR(VLOOKUP($A81,WBasketball!$C:$O,I$1-2011,FALSE),0)+IFERROR(VLOOKUP($A81,WFieldHockey!$C:$O,I$1-2011,FALSE),0)+IFERROR(VLOOKUP($A81,WIceHockey!$C:$O,I$1-2011,FALSE),0)+IFERROR(VLOOKUP($A81,WLacrosse!$C:$O,I$1-2011,FALSE),0)+IFERROR(VLOOKUP($A81,WSoccer!$C:$O,I$1-2011,FALSE),0)+IFERROR(VLOOKUP($A81,WSoftball!$C:$O,I$1-2011,FALSE),0)+IFERROR(VLOOKUP($A81,WVolleyball!$C:$O,I$1-2011,FALSE),0)</f>
        <v>169185</v>
      </c>
      <c r="J81">
        <f>IFERROR(VLOOKUP($A81,MBaseball!$C:$N,J$1-2010,FALSE),0)+IFERROR(VLOOKUP($A81,MBasketball!$C:$J,J$1-2006,FALSE),0)+IFERROR(VLOOKUP($A81,MFootball!$C:$O,J$1-2011,FALSE),0)+IFERROR(VLOOKUP($A81,MIceHockey!$C:$P,J$1-2011,FALSE),0)+IFERROR(VLOOKUP($A81,MLacrosse!$C:$O,J$1-2011,FALSE),0)+IFERROR(VLOOKUP($A81,MSoccer!$C:$O,J$1-2011,FALSE),0)+IFERROR(VLOOKUP($A81,MVolleyball!$C:$O,J$1-2011,FALSE),0)+IFERROR(VLOOKUP($A81,WBasketball!$C:$O,J$1-2011,FALSE),0)+IFERROR(VLOOKUP($A81,WFieldHockey!$C:$O,J$1-2011,FALSE),0)+IFERROR(VLOOKUP($A81,WIceHockey!$C:$O,J$1-2011,FALSE),0)+IFERROR(VLOOKUP($A81,WLacrosse!$C:$O,J$1-2011,FALSE),0)+IFERROR(VLOOKUP($A81,WSoccer!$C:$O,J$1-2011,FALSE),0)+IFERROR(VLOOKUP($A81,WSoftball!$C:$O,J$1-2011,FALSE),0)+IFERROR(VLOOKUP($A81,WVolleyball!$C:$O,J$1-2011,FALSE),0)</f>
        <v>153076</v>
      </c>
      <c r="K81">
        <f>IFERROR(VLOOKUP($A81,MBaseball!$C:$N,K$1-2010,FALSE),0)+IFERROR(VLOOKUP($A81,MBasketball!$C:$J,K$1-2006,FALSE),0)+IFERROR(VLOOKUP($A81,MFootball!$C:$O,K$1-2011,FALSE),0)+IFERROR(VLOOKUP($A81,MIceHockey!$C:$P,K$1-2011,FALSE),0)+IFERROR(VLOOKUP($A81,MLacrosse!$C:$O,K$1-2011,FALSE),0)+IFERROR(VLOOKUP($A81,MSoccer!$C:$O,K$1-2011,FALSE),0)+IFERROR(VLOOKUP($A81,MVolleyball!$C:$O,K$1-2011,FALSE),0)+IFERROR(VLOOKUP($A81,WBasketball!$C:$O,K$1-2011,FALSE),0)+IFERROR(VLOOKUP($A81,WFieldHockey!$C:$O,K$1-2011,FALSE),0)+IFERROR(VLOOKUP($A81,WIceHockey!$C:$O,K$1-2011,FALSE),0)+IFERROR(VLOOKUP($A81,WLacrosse!$C:$O,K$1-2011,FALSE),0)+IFERROR(VLOOKUP($A81,WSoccer!$C:$O,K$1-2011,FALSE),0)+IFERROR(VLOOKUP($A81,WSoftball!$C:$O,K$1-2011,FALSE),0)+IFERROR(VLOOKUP($A81,WVolleyball!$C:$O,K$1-2011,FALSE),0)</f>
        <v>142711</v>
      </c>
      <c r="L81">
        <f>IFERROR(VLOOKUP($A81,MBaseball!$C:$N,L$1-2010,FALSE),0)+IFERROR(VLOOKUP($A81,MBasketball!$C:$J,L$1-2006,FALSE),0)+IFERROR(VLOOKUP($A81,MFootball!$C:$O,L$1-2011,FALSE),0)+IFERROR(VLOOKUP($A81,MIceHockey!$C:$P,L$1-2011,FALSE),0)+IFERROR(VLOOKUP($A81,MLacrosse!$C:$O,L$1-2011,FALSE),0)+IFERROR(VLOOKUP($A81,MSoccer!$C:$O,L$1-2011,FALSE),0)+IFERROR(VLOOKUP($A81,MVolleyball!$C:$O,L$1-2011,FALSE),0)+IFERROR(VLOOKUP($A81,WBasketball!$C:$O,L$1-2011,FALSE),0)+IFERROR(VLOOKUP($A81,WFieldHockey!$C:$O,L$1-2011,FALSE),0)+IFERROR(VLOOKUP($A81,WIceHockey!$C:$O,L$1-2011,FALSE),0)+IFERROR(VLOOKUP($A81,WLacrosse!$C:$O,L$1-2011,FALSE),0)+IFERROR(VLOOKUP($A81,WSoccer!$C:$O,L$1-2011,FALSE),0)+IFERROR(VLOOKUP($A81,WSoftball!$C:$O,L$1-2011,FALSE),0)+IFERROR(VLOOKUP($A81,WVolleyball!$C:$O,L$1-2011,FALSE),0)</f>
        <v>4913</v>
      </c>
      <c r="M81">
        <f>IFERROR(VLOOKUP($A81,MBaseball!$C:$N,M$1-2010,FALSE),0)+IFERROR(VLOOKUP($A81,MBasketball!$C:$J,M$1-2006,FALSE),0)+IFERROR(VLOOKUP($A81,MFootball!$C:$O,M$1-2011,FALSE),0)+IFERROR(VLOOKUP($A81,MIceHockey!$C:$P,M$1-2011,FALSE),0)+IFERROR(VLOOKUP($A81,MLacrosse!$C:$O,M$1-2011,FALSE),0)+IFERROR(VLOOKUP($A81,MSoccer!$C:$O,M$1-2011,FALSE),0)+IFERROR(VLOOKUP($A81,MVolleyball!$C:$O,M$1-2011,FALSE),0)+IFERROR(VLOOKUP($A81,WBasketball!$C:$O,M$1-2011,FALSE),0)+IFERROR(VLOOKUP($A81,WFieldHockey!$C:$O,M$1-2011,FALSE),0)+IFERROR(VLOOKUP($A81,WIceHockey!$C:$O,M$1-2011,FALSE),0)+IFERROR(VLOOKUP($A81,WLacrosse!$C:$O,M$1-2011,FALSE),0)+IFERROR(VLOOKUP($A81,WSoccer!$C:$O,M$1-2011,FALSE),0)+IFERROR(VLOOKUP($A81,WSoftball!$C:$O,M$1-2011,FALSE),0)+IFERROR(VLOOKUP($A81,WVolleyball!$C:$O,M$1-2011,FALSE),0)</f>
        <v>110032</v>
      </c>
      <c r="N81">
        <f>IFERROR(VLOOKUP($A81,MBaseball!$C:$N,N$1-2010,FALSE),0)+IFERROR(VLOOKUP($A81,MBasketball!$C:$J,N$1-2006,FALSE),0)+IFERROR(VLOOKUP($A81,MFootball!$C:$O,N$1-2011,FALSE),0)+IFERROR(VLOOKUP($A81,MIceHockey!$C:$P,N$1-2011,FALSE),0)+IFERROR(VLOOKUP($A81,MLacrosse!$C:$O,N$1-2011,FALSE),0)+IFERROR(VLOOKUP($A81,MSoccer!$C:$O,N$1-2011,FALSE),0)+IFERROR(VLOOKUP($A81,MVolleyball!$C:$O,N$1-2011,FALSE),0)+IFERROR(VLOOKUP($A81,WBasketball!$C:$O,N$1-2011,FALSE),0)+IFERROR(VLOOKUP($A81,WFieldHockey!$C:$O,N$1-2011,FALSE),0)+IFERROR(VLOOKUP($A81,WIceHockey!$C:$O,N$1-2011,FALSE),0)+IFERROR(VLOOKUP($A81,WLacrosse!$C:$O,N$1-2011,FALSE),0)+IFERROR(VLOOKUP($A81,WSoccer!$C:$O,N$1-2011,FALSE),0)+IFERROR(VLOOKUP($A81,WSoftball!$C:$O,N$1-2011,FALSE),0)+IFERROR(VLOOKUP($A81,WVolleyball!$C:$O,N$1-2011,FALSE),0)</f>
        <v>131551</v>
      </c>
    </row>
    <row r="82" spans="1:14" x14ac:dyDescent="0.2">
      <c r="A82">
        <v>170976</v>
      </c>
      <c r="B82">
        <v>11460</v>
      </c>
      <c r="C82" t="s">
        <v>134</v>
      </c>
      <c r="D82">
        <v>81</v>
      </c>
      <c r="E82">
        <f>IFERROR(VLOOKUP($A82,MBaseball!$C:$N,E$1-2010,FALSE),0)+IFERROR(VLOOKUP($A82,MBasketball!$C:$J,E$1-2006,FALSE),0)+IFERROR(VLOOKUP($A82,MFootball!$C:$O,E$1-2011,FALSE),0)+IFERROR(VLOOKUP($A82,MIceHockey!$C:$P,E$1-2011,FALSE),0)+IFERROR(VLOOKUP($A82,MLacrosse!$C:$O,E$1-2011,FALSE),0)+IFERROR(VLOOKUP($A82,MSoccer!$C:$O,E$1-2011,FALSE),0)+IFERROR(VLOOKUP($A82,MVolleyball!$C:$O,E$1-2011,FALSE),0)+IFERROR(VLOOKUP($A82,WBasketball!$C:$O,E$1-2011,FALSE),0)+IFERROR(VLOOKUP($A82,WFieldHockey!$C:$O,E$1-2011,FALSE),0)+IFERROR(VLOOKUP($A82,WIceHockey!$C:$O,E$1-2011,FALSE),0)+IFERROR(VLOOKUP($A82,WLacrosse!$C:$O,E$1-2011,FALSE),0)+IFERROR(VLOOKUP($A82,WSoccer!$C:$O,E$1-2011,FALSE),0)+IFERROR(VLOOKUP($A82,WSoftball!$C:$O,E$1-2011,FALSE),0)+IFERROR(VLOOKUP($A82,WVolleyball!$C:$O,E$1-2011,FALSE),0)</f>
        <v>329898</v>
      </c>
      <c r="F82">
        <f>IFERROR(VLOOKUP($A82,MBaseball!$C:$N,F$1-2010,FALSE),0)+IFERROR(VLOOKUP($A82,MBasketball!$C:$J,F$1-2006,FALSE),0)+IFERROR(VLOOKUP($A82,MFootball!$C:$O,F$1-2011,FALSE),0)+IFERROR(VLOOKUP($A82,MIceHockey!$C:$P,F$1-2011,FALSE),0)+IFERROR(VLOOKUP($A82,MLacrosse!$C:$O,F$1-2011,FALSE),0)+IFERROR(VLOOKUP($A82,MSoccer!$C:$O,F$1-2011,FALSE),0)+IFERROR(VLOOKUP($A82,MVolleyball!$C:$O,F$1-2011,FALSE),0)+IFERROR(VLOOKUP($A82,WBasketball!$C:$O,F$1-2011,FALSE),0)+IFERROR(VLOOKUP($A82,WFieldHockey!$C:$O,F$1-2011,FALSE),0)+IFERROR(VLOOKUP($A82,WIceHockey!$C:$O,F$1-2011,FALSE),0)+IFERROR(VLOOKUP($A82,WLacrosse!$C:$O,F$1-2011,FALSE),0)+IFERROR(VLOOKUP($A82,WSoccer!$C:$O,F$1-2011,FALSE),0)+IFERROR(VLOOKUP($A82,WSoftball!$C:$O,F$1-2011,FALSE),0)+IFERROR(VLOOKUP($A82,WVolleyball!$C:$O,F$1-2011,FALSE),0)</f>
        <v>932971</v>
      </c>
      <c r="G82">
        <f>IFERROR(VLOOKUP($A82,MBaseball!$C:$N,G$1-2010,FALSE),0)+IFERROR(VLOOKUP($A82,MBasketball!$C:$J,G$1-2006,FALSE),0)+IFERROR(VLOOKUP($A82,MFootball!$C:$O,G$1-2011,FALSE),0)+IFERROR(VLOOKUP($A82,MIceHockey!$C:$P,G$1-2011,FALSE),0)+IFERROR(VLOOKUP($A82,MLacrosse!$C:$O,G$1-2011,FALSE),0)+IFERROR(VLOOKUP($A82,MSoccer!$C:$O,G$1-2011,FALSE),0)+IFERROR(VLOOKUP($A82,MVolleyball!$C:$O,G$1-2011,FALSE),0)+IFERROR(VLOOKUP($A82,WBasketball!$C:$O,G$1-2011,FALSE),0)+IFERROR(VLOOKUP($A82,WFieldHockey!$C:$O,G$1-2011,FALSE),0)+IFERROR(VLOOKUP($A82,WIceHockey!$C:$O,G$1-2011,FALSE),0)+IFERROR(VLOOKUP($A82,WLacrosse!$C:$O,G$1-2011,FALSE),0)+IFERROR(VLOOKUP($A82,WSoccer!$C:$O,G$1-2011,FALSE),0)+IFERROR(VLOOKUP($A82,WSoftball!$C:$O,G$1-2011,FALSE),0)+IFERROR(VLOOKUP($A82,WVolleyball!$C:$O,G$1-2011,FALSE),0)</f>
        <v>1039106</v>
      </c>
      <c r="H82">
        <f>IFERROR(VLOOKUP($A82,MBaseball!$C:$N,H$1-2010,FALSE),0)+IFERROR(VLOOKUP($A82,MBasketball!$C:$J,H$1-2006,FALSE),0)+IFERROR(VLOOKUP($A82,MFootball!$C:$O,H$1-2011,FALSE),0)+IFERROR(VLOOKUP($A82,MIceHockey!$C:$P,H$1-2011,FALSE),0)+IFERROR(VLOOKUP($A82,MLacrosse!$C:$O,H$1-2011,FALSE),0)+IFERROR(VLOOKUP($A82,MSoccer!$C:$O,H$1-2011,FALSE),0)+IFERROR(VLOOKUP($A82,MVolleyball!$C:$O,H$1-2011,FALSE),0)+IFERROR(VLOOKUP($A82,WBasketball!$C:$O,H$1-2011,FALSE),0)+IFERROR(VLOOKUP($A82,WFieldHockey!$C:$O,H$1-2011,FALSE),0)+IFERROR(VLOOKUP($A82,WIceHockey!$C:$O,H$1-2011,FALSE),0)+IFERROR(VLOOKUP($A82,WLacrosse!$C:$O,H$1-2011,FALSE),0)+IFERROR(VLOOKUP($A82,WSoccer!$C:$O,H$1-2011,FALSE),0)+IFERROR(VLOOKUP($A82,WSoftball!$C:$O,H$1-2011,FALSE),0)+IFERROR(VLOOKUP($A82,WVolleyball!$C:$O,H$1-2011,FALSE),0)</f>
        <v>1159871</v>
      </c>
      <c r="I82">
        <f>IFERROR(VLOOKUP($A82,MBaseball!$C:$N,I$1-2010,FALSE),0)+IFERROR(VLOOKUP($A82,MBasketball!$C:$J,I$1-2006,FALSE),0)+IFERROR(VLOOKUP($A82,MFootball!$C:$O,I$1-2011,FALSE),0)+IFERROR(VLOOKUP($A82,MIceHockey!$C:$P,I$1-2011,FALSE),0)+IFERROR(VLOOKUP($A82,MLacrosse!$C:$O,I$1-2011,FALSE),0)+IFERROR(VLOOKUP($A82,MSoccer!$C:$O,I$1-2011,FALSE),0)+IFERROR(VLOOKUP($A82,MVolleyball!$C:$O,I$1-2011,FALSE),0)+IFERROR(VLOOKUP($A82,WBasketball!$C:$O,I$1-2011,FALSE),0)+IFERROR(VLOOKUP($A82,WFieldHockey!$C:$O,I$1-2011,FALSE),0)+IFERROR(VLOOKUP($A82,WIceHockey!$C:$O,I$1-2011,FALSE),0)+IFERROR(VLOOKUP($A82,WLacrosse!$C:$O,I$1-2011,FALSE),0)+IFERROR(VLOOKUP($A82,WSoccer!$C:$O,I$1-2011,FALSE),0)+IFERROR(VLOOKUP($A82,WSoftball!$C:$O,I$1-2011,FALSE),0)+IFERROR(VLOOKUP($A82,WVolleyball!$C:$O,I$1-2011,FALSE),0)</f>
        <v>930997</v>
      </c>
      <c r="J82">
        <f>IFERROR(VLOOKUP($A82,MBaseball!$C:$N,J$1-2010,FALSE),0)+IFERROR(VLOOKUP($A82,MBasketball!$C:$J,J$1-2006,FALSE),0)+IFERROR(VLOOKUP($A82,MFootball!$C:$O,J$1-2011,FALSE),0)+IFERROR(VLOOKUP($A82,MIceHockey!$C:$P,J$1-2011,FALSE),0)+IFERROR(VLOOKUP($A82,MLacrosse!$C:$O,J$1-2011,FALSE),0)+IFERROR(VLOOKUP($A82,MSoccer!$C:$O,J$1-2011,FALSE),0)+IFERROR(VLOOKUP($A82,MVolleyball!$C:$O,J$1-2011,FALSE),0)+IFERROR(VLOOKUP($A82,WBasketball!$C:$O,J$1-2011,FALSE),0)+IFERROR(VLOOKUP($A82,WFieldHockey!$C:$O,J$1-2011,FALSE),0)+IFERROR(VLOOKUP($A82,WIceHockey!$C:$O,J$1-2011,FALSE),0)+IFERROR(VLOOKUP($A82,WLacrosse!$C:$O,J$1-2011,FALSE),0)+IFERROR(VLOOKUP($A82,WSoccer!$C:$O,J$1-2011,FALSE),0)+IFERROR(VLOOKUP($A82,WSoftball!$C:$O,J$1-2011,FALSE),0)+IFERROR(VLOOKUP($A82,WVolleyball!$C:$O,J$1-2011,FALSE),0)</f>
        <v>1017015</v>
      </c>
      <c r="K82">
        <f>IFERROR(VLOOKUP($A82,MBaseball!$C:$N,K$1-2010,FALSE),0)+IFERROR(VLOOKUP($A82,MBasketball!$C:$J,K$1-2006,FALSE),0)+IFERROR(VLOOKUP($A82,MFootball!$C:$O,K$1-2011,FALSE),0)+IFERROR(VLOOKUP($A82,MIceHockey!$C:$P,K$1-2011,FALSE),0)+IFERROR(VLOOKUP($A82,MLacrosse!$C:$O,K$1-2011,FALSE),0)+IFERROR(VLOOKUP($A82,MSoccer!$C:$O,K$1-2011,FALSE),0)+IFERROR(VLOOKUP($A82,MVolleyball!$C:$O,K$1-2011,FALSE),0)+IFERROR(VLOOKUP($A82,WBasketball!$C:$O,K$1-2011,FALSE),0)+IFERROR(VLOOKUP($A82,WFieldHockey!$C:$O,K$1-2011,FALSE),0)+IFERROR(VLOOKUP($A82,WIceHockey!$C:$O,K$1-2011,FALSE),0)+IFERROR(VLOOKUP($A82,WLacrosse!$C:$O,K$1-2011,FALSE),0)+IFERROR(VLOOKUP($A82,WSoccer!$C:$O,K$1-2011,FALSE),0)+IFERROR(VLOOKUP($A82,WSoftball!$C:$O,K$1-2011,FALSE),0)+IFERROR(VLOOKUP($A82,WVolleyball!$C:$O,K$1-2011,FALSE),0)</f>
        <v>981188</v>
      </c>
      <c r="L82">
        <f>IFERROR(VLOOKUP($A82,MBaseball!$C:$N,L$1-2010,FALSE),0)+IFERROR(VLOOKUP($A82,MBasketball!$C:$J,L$1-2006,FALSE),0)+IFERROR(VLOOKUP($A82,MFootball!$C:$O,L$1-2011,FALSE),0)+IFERROR(VLOOKUP($A82,MIceHockey!$C:$P,L$1-2011,FALSE),0)+IFERROR(VLOOKUP($A82,MLacrosse!$C:$O,L$1-2011,FALSE),0)+IFERROR(VLOOKUP($A82,MSoccer!$C:$O,L$1-2011,FALSE),0)+IFERROR(VLOOKUP($A82,MVolleyball!$C:$O,L$1-2011,FALSE),0)+IFERROR(VLOOKUP($A82,WBasketball!$C:$O,L$1-2011,FALSE),0)+IFERROR(VLOOKUP($A82,WFieldHockey!$C:$O,L$1-2011,FALSE),0)+IFERROR(VLOOKUP($A82,WIceHockey!$C:$O,L$1-2011,FALSE),0)+IFERROR(VLOOKUP($A82,WLacrosse!$C:$O,L$1-2011,FALSE),0)+IFERROR(VLOOKUP($A82,WSoccer!$C:$O,L$1-2011,FALSE),0)+IFERROR(VLOOKUP($A82,WSoftball!$C:$O,L$1-2011,FALSE),0)+IFERROR(VLOOKUP($A82,WVolleyball!$C:$O,L$1-2011,FALSE),0)</f>
        <v>43955</v>
      </c>
      <c r="M82">
        <f>IFERROR(VLOOKUP($A82,MBaseball!$C:$N,M$1-2010,FALSE),0)+IFERROR(VLOOKUP($A82,MBasketball!$C:$J,M$1-2006,FALSE),0)+IFERROR(VLOOKUP($A82,MFootball!$C:$O,M$1-2011,FALSE),0)+IFERROR(VLOOKUP($A82,MIceHockey!$C:$P,M$1-2011,FALSE),0)+IFERROR(VLOOKUP($A82,MLacrosse!$C:$O,M$1-2011,FALSE),0)+IFERROR(VLOOKUP($A82,MSoccer!$C:$O,M$1-2011,FALSE),0)+IFERROR(VLOOKUP($A82,MVolleyball!$C:$O,M$1-2011,FALSE),0)+IFERROR(VLOOKUP($A82,WBasketball!$C:$O,M$1-2011,FALSE),0)+IFERROR(VLOOKUP($A82,WFieldHockey!$C:$O,M$1-2011,FALSE),0)+IFERROR(VLOOKUP($A82,WIceHockey!$C:$O,M$1-2011,FALSE),0)+IFERROR(VLOOKUP($A82,WLacrosse!$C:$O,M$1-2011,FALSE),0)+IFERROR(VLOOKUP($A82,WSoccer!$C:$O,M$1-2011,FALSE),0)+IFERROR(VLOOKUP($A82,WSoftball!$C:$O,M$1-2011,FALSE),0)+IFERROR(VLOOKUP($A82,WVolleyball!$C:$O,M$1-2011,FALSE),0)</f>
        <v>1064416</v>
      </c>
      <c r="N82">
        <f>IFERROR(VLOOKUP($A82,MBaseball!$C:$N,N$1-2010,FALSE),0)+IFERROR(VLOOKUP($A82,MBasketball!$C:$J,N$1-2006,FALSE),0)+IFERROR(VLOOKUP($A82,MFootball!$C:$O,N$1-2011,FALSE),0)+IFERROR(VLOOKUP($A82,MIceHockey!$C:$P,N$1-2011,FALSE),0)+IFERROR(VLOOKUP($A82,MLacrosse!$C:$O,N$1-2011,FALSE),0)+IFERROR(VLOOKUP($A82,MSoccer!$C:$O,N$1-2011,FALSE),0)+IFERROR(VLOOKUP($A82,MVolleyball!$C:$O,N$1-2011,FALSE),0)+IFERROR(VLOOKUP($A82,WBasketball!$C:$O,N$1-2011,FALSE),0)+IFERROR(VLOOKUP($A82,WFieldHockey!$C:$O,N$1-2011,FALSE),0)+IFERROR(VLOOKUP($A82,WIceHockey!$C:$O,N$1-2011,FALSE),0)+IFERROR(VLOOKUP($A82,WLacrosse!$C:$O,N$1-2011,FALSE),0)+IFERROR(VLOOKUP($A82,WSoccer!$C:$O,N$1-2011,FALSE),0)+IFERROR(VLOOKUP($A82,WSoftball!$C:$O,N$1-2011,FALSE),0)+IFERROR(VLOOKUP($A82,WVolleyball!$C:$O,N$1-2011,FALSE),0)</f>
        <v>1149023</v>
      </c>
    </row>
    <row r="83" spans="1:14" x14ac:dyDescent="0.2">
      <c r="A83">
        <v>171100</v>
      </c>
      <c r="B83">
        <v>29620</v>
      </c>
      <c r="C83" t="s">
        <v>135</v>
      </c>
      <c r="D83">
        <v>82</v>
      </c>
      <c r="E83">
        <f>IFERROR(VLOOKUP($A83,MBaseball!$C:$N,E$1-2010,FALSE),0)+IFERROR(VLOOKUP($A83,MBasketball!$C:$J,E$1-2006,FALSE),0)+IFERROR(VLOOKUP($A83,MFootball!$C:$O,E$1-2011,FALSE),0)+IFERROR(VLOOKUP($A83,MIceHockey!$C:$P,E$1-2011,FALSE),0)+IFERROR(VLOOKUP($A83,MLacrosse!$C:$O,E$1-2011,FALSE),0)+IFERROR(VLOOKUP($A83,MSoccer!$C:$O,E$1-2011,FALSE),0)+IFERROR(VLOOKUP($A83,MVolleyball!$C:$O,E$1-2011,FALSE),0)+IFERROR(VLOOKUP($A83,WBasketball!$C:$O,E$1-2011,FALSE),0)+IFERROR(VLOOKUP($A83,WFieldHockey!$C:$O,E$1-2011,FALSE),0)+IFERROR(VLOOKUP($A83,WIceHockey!$C:$O,E$1-2011,FALSE),0)+IFERROR(VLOOKUP($A83,WLacrosse!$C:$O,E$1-2011,FALSE),0)+IFERROR(VLOOKUP($A83,WSoccer!$C:$O,E$1-2011,FALSE),0)+IFERROR(VLOOKUP($A83,WSoftball!$C:$O,E$1-2011,FALSE),0)+IFERROR(VLOOKUP($A83,WVolleyball!$C:$O,E$1-2011,FALSE),0)</f>
        <v>421498</v>
      </c>
      <c r="F83">
        <f>IFERROR(VLOOKUP($A83,MBaseball!$C:$N,F$1-2010,FALSE),0)+IFERROR(VLOOKUP($A83,MBasketball!$C:$J,F$1-2006,FALSE),0)+IFERROR(VLOOKUP($A83,MFootball!$C:$O,F$1-2011,FALSE),0)+IFERROR(VLOOKUP($A83,MIceHockey!$C:$P,F$1-2011,FALSE),0)+IFERROR(VLOOKUP($A83,MLacrosse!$C:$O,F$1-2011,FALSE),0)+IFERROR(VLOOKUP($A83,MSoccer!$C:$O,F$1-2011,FALSE),0)+IFERROR(VLOOKUP($A83,MVolleyball!$C:$O,F$1-2011,FALSE),0)+IFERROR(VLOOKUP($A83,WBasketball!$C:$O,F$1-2011,FALSE),0)+IFERROR(VLOOKUP($A83,WFieldHockey!$C:$O,F$1-2011,FALSE),0)+IFERROR(VLOOKUP($A83,WIceHockey!$C:$O,F$1-2011,FALSE),0)+IFERROR(VLOOKUP($A83,WLacrosse!$C:$O,F$1-2011,FALSE),0)+IFERROR(VLOOKUP($A83,WSoccer!$C:$O,F$1-2011,FALSE),0)+IFERROR(VLOOKUP($A83,WSoftball!$C:$O,F$1-2011,FALSE),0)+IFERROR(VLOOKUP($A83,WVolleyball!$C:$O,F$1-2011,FALSE),0)</f>
        <v>789437</v>
      </c>
      <c r="G83">
        <f>IFERROR(VLOOKUP($A83,MBaseball!$C:$N,G$1-2010,FALSE),0)+IFERROR(VLOOKUP($A83,MBasketball!$C:$J,G$1-2006,FALSE),0)+IFERROR(VLOOKUP($A83,MFootball!$C:$O,G$1-2011,FALSE),0)+IFERROR(VLOOKUP($A83,MIceHockey!$C:$P,G$1-2011,FALSE),0)+IFERROR(VLOOKUP($A83,MLacrosse!$C:$O,G$1-2011,FALSE),0)+IFERROR(VLOOKUP($A83,MSoccer!$C:$O,G$1-2011,FALSE),0)+IFERROR(VLOOKUP($A83,MVolleyball!$C:$O,G$1-2011,FALSE),0)+IFERROR(VLOOKUP($A83,WBasketball!$C:$O,G$1-2011,FALSE),0)+IFERROR(VLOOKUP($A83,WFieldHockey!$C:$O,G$1-2011,FALSE),0)+IFERROR(VLOOKUP($A83,WIceHockey!$C:$O,G$1-2011,FALSE),0)+IFERROR(VLOOKUP($A83,WLacrosse!$C:$O,G$1-2011,FALSE),0)+IFERROR(VLOOKUP($A83,WSoccer!$C:$O,G$1-2011,FALSE),0)+IFERROR(VLOOKUP($A83,WSoftball!$C:$O,G$1-2011,FALSE),0)+IFERROR(VLOOKUP($A83,WVolleyball!$C:$O,G$1-2011,FALSE),0)</f>
        <v>796771</v>
      </c>
      <c r="H83">
        <f>IFERROR(VLOOKUP($A83,MBaseball!$C:$N,H$1-2010,FALSE),0)+IFERROR(VLOOKUP($A83,MBasketball!$C:$J,H$1-2006,FALSE),0)+IFERROR(VLOOKUP($A83,MFootball!$C:$O,H$1-2011,FALSE),0)+IFERROR(VLOOKUP($A83,MIceHockey!$C:$P,H$1-2011,FALSE),0)+IFERROR(VLOOKUP($A83,MLacrosse!$C:$O,H$1-2011,FALSE),0)+IFERROR(VLOOKUP($A83,MSoccer!$C:$O,H$1-2011,FALSE),0)+IFERROR(VLOOKUP($A83,MVolleyball!$C:$O,H$1-2011,FALSE),0)+IFERROR(VLOOKUP($A83,WBasketball!$C:$O,H$1-2011,FALSE),0)+IFERROR(VLOOKUP($A83,WFieldHockey!$C:$O,H$1-2011,FALSE),0)+IFERROR(VLOOKUP($A83,WIceHockey!$C:$O,H$1-2011,FALSE),0)+IFERROR(VLOOKUP($A83,WLacrosse!$C:$O,H$1-2011,FALSE),0)+IFERROR(VLOOKUP($A83,WSoccer!$C:$O,H$1-2011,FALSE),0)+IFERROR(VLOOKUP($A83,WSoftball!$C:$O,H$1-2011,FALSE),0)+IFERROR(VLOOKUP($A83,WVolleyball!$C:$O,H$1-2011,FALSE),0)</f>
        <v>783913</v>
      </c>
      <c r="I83">
        <f>IFERROR(VLOOKUP($A83,MBaseball!$C:$N,I$1-2010,FALSE),0)+IFERROR(VLOOKUP($A83,MBasketball!$C:$J,I$1-2006,FALSE),0)+IFERROR(VLOOKUP($A83,MFootball!$C:$O,I$1-2011,FALSE),0)+IFERROR(VLOOKUP($A83,MIceHockey!$C:$P,I$1-2011,FALSE),0)+IFERROR(VLOOKUP($A83,MLacrosse!$C:$O,I$1-2011,FALSE),0)+IFERROR(VLOOKUP($A83,MSoccer!$C:$O,I$1-2011,FALSE),0)+IFERROR(VLOOKUP($A83,MVolleyball!$C:$O,I$1-2011,FALSE),0)+IFERROR(VLOOKUP($A83,WBasketball!$C:$O,I$1-2011,FALSE),0)+IFERROR(VLOOKUP($A83,WFieldHockey!$C:$O,I$1-2011,FALSE),0)+IFERROR(VLOOKUP($A83,WIceHockey!$C:$O,I$1-2011,FALSE),0)+IFERROR(VLOOKUP($A83,WLacrosse!$C:$O,I$1-2011,FALSE),0)+IFERROR(VLOOKUP($A83,WSoccer!$C:$O,I$1-2011,FALSE),0)+IFERROR(VLOOKUP($A83,WSoftball!$C:$O,I$1-2011,FALSE),0)+IFERROR(VLOOKUP($A83,WVolleyball!$C:$O,I$1-2011,FALSE),0)</f>
        <v>786343</v>
      </c>
      <c r="J83">
        <f>IFERROR(VLOOKUP($A83,MBaseball!$C:$N,J$1-2010,FALSE),0)+IFERROR(VLOOKUP($A83,MBasketball!$C:$J,J$1-2006,FALSE),0)+IFERROR(VLOOKUP($A83,MFootball!$C:$O,J$1-2011,FALSE),0)+IFERROR(VLOOKUP($A83,MIceHockey!$C:$P,J$1-2011,FALSE),0)+IFERROR(VLOOKUP($A83,MLacrosse!$C:$O,J$1-2011,FALSE),0)+IFERROR(VLOOKUP($A83,MSoccer!$C:$O,J$1-2011,FALSE),0)+IFERROR(VLOOKUP($A83,MVolleyball!$C:$O,J$1-2011,FALSE),0)+IFERROR(VLOOKUP($A83,WBasketball!$C:$O,J$1-2011,FALSE),0)+IFERROR(VLOOKUP($A83,WFieldHockey!$C:$O,J$1-2011,FALSE),0)+IFERROR(VLOOKUP($A83,WIceHockey!$C:$O,J$1-2011,FALSE),0)+IFERROR(VLOOKUP($A83,WLacrosse!$C:$O,J$1-2011,FALSE),0)+IFERROR(VLOOKUP($A83,WSoccer!$C:$O,J$1-2011,FALSE),0)+IFERROR(VLOOKUP($A83,WSoftball!$C:$O,J$1-2011,FALSE),0)+IFERROR(VLOOKUP($A83,WVolleyball!$C:$O,J$1-2011,FALSE),0)</f>
        <v>743971</v>
      </c>
      <c r="K83">
        <f>IFERROR(VLOOKUP($A83,MBaseball!$C:$N,K$1-2010,FALSE),0)+IFERROR(VLOOKUP($A83,MBasketball!$C:$J,K$1-2006,FALSE),0)+IFERROR(VLOOKUP($A83,MFootball!$C:$O,K$1-2011,FALSE),0)+IFERROR(VLOOKUP($A83,MIceHockey!$C:$P,K$1-2011,FALSE),0)+IFERROR(VLOOKUP($A83,MLacrosse!$C:$O,K$1-2011,FALSE),0)+IFERROR(VLOOKUP($A83,MSoccer!$C:$O,K$1-2011,FALSE),0)+IFERROR(VLOOKUP($A83,MVolleyball!$C:$O,K$1-2011,FALSE),0)+IFERROR(VLOOKUP($A83,WBasketball!$C:$O,K$1-2011,FALSE),0)+IFERROR(VLOOKUP($A83,WFieldHockey!$C:$O,K$1-2011,FALSE),0)+IFERROR(VLOOKUP($A83,WIceHockey!$C:$O,K$1-2011,FALSE),0)+IFERROR(VLOOKUP($A83,WLacrosse!$C:$O,K$1-2011,FALSE),0)+IFERROR(VLOOKUP($A83,WSoccer!$C:$O,K$1-2011,FALSE),0)+IFERROR(VLOOKUP($A83,WSoftball!$C:$O,K$1-2011,FALSE),0)+IFERROR(VLOOKUP($A83,WVolleyball!$C:$O,K$1-2011,FALSE),0)</f>
        <v>703891</v>
      </c>
      <c r="L83">
        <f>IFERROR(VLOOKUP($A83,MBaseball!$C:$N,L$1-2010,FALSE),0)+IFERROR(VLOOKUP($A83,MBasketball!$C:$J,L$1-2006,FALSE),0)+IFERROR(VLOOKUP($A83,MFootball!$C:$O,L$1-2011,FALSE),0)+IFERROR(VLOOKUP($A83,MIceHockey!$C:$P,L$1-2011,FALSE),0)+IFERROR(VLOOKUP($A83,MLacrosse!$C:$O,L$1-2011,FALSE),0)+IFERROR(VLOOKUP($A83,MSoccer!$C:$O,L$1-2011,FALSE),0)+IFERROR(VLOOKUP($A83,MVolleyball!$C:$O,L$1-2011,FALSE),0)+IFERROR(VLOOKUP($A83,WBasketball!$C:$O,L$1-2011,FALSE),0)+IFERROR(VLOOKUP($A83,WFieldHockey!$C:$O,L$1-2011,FALSE),0)+IFERROR(VLOOKUP($A83,WIceHockey!$C:$O,L$1-2011,FALSE),0)+IFERROR(VLOOKUP($A83,WLacrosse!$C:$O,L$1-2011,FALSE),0)+IFERROR(VLOOKUP($A83,WSoccer!$C:$O,L$1-2011,FALSE),0)+IFERROR(VLOOKUP($A83,WSoftball!$C:$O,L$1-2011,FALSE),0)+IFERROR(VLOOKUP($A83,WVolleyball!$C:$O,L$1-2011,FALSE),0)</f>
        <v>11780</v>
      </c>
      <c r="M83">
        <f>IFERROR(VLOOKUP($A83,MBaseball!$C:$N,M$1-2010,FALSE),0)+IFERROR(VLOOKUP($A83,MBasketball!$C:$J,M$1-2006,FALSE),0)+IFERROR(VLOOKUP($A83,MFootball!$C:$O,M$1-2011,FALSE),0)+IFERROR(VLOOKUP($A83,MIceHockey!$C:$P,M$1-2011,FALSE),0)+IFERROR(VLOOKUP($A83,MLacrosse!$C:$O,M$1-2011,FALSE),0)+IFERROR(VLOOKUP($A83,MSoccer!$C:$O,M$1-2011,FALSE),0)+IFERROR(VLOOKUP($A83,MVolleyball!$C:$O,M$1-2011,FALSE),0)+IFERROR(VLOOKUP($A83,WBasketball!$C:$O,M$1-2011,FALSE),0)+IFERROR(VLOOKUP($A83,WFieldHockey!$C:$O,M$1-2011,FALSE),0)+IFERROR(VLOOKUP($A83,WIceHockey!$C:$O,M$1-2011,FALSE),0)+IFERROR(VLOOKUP($A83,WLacrosse!$C:$O,M$1-2011,FALSE),0)+IFERROR(VLOOKUP($A83,WSoccer!$C:$O,M$1-2011,FALSE),0)+IFERROR(VLOOKUP($A83,WSoftball!$C:$O,M$1-2011,FALSE),0)+IFERROR(VLOOKUP($A83,WVolleyball!$C:$O,M$1-2011,FALSE),0)</f>
        <v>666016</v>
      </c>
      <c r="N83">
        <f>IFERROR(VLOOKUP($A83,MBaseball!$C:$N,N$1-2010,FALSE),0)+IFERROR(VLOOKUP($A83,MBasketball!$C:$J,N$1-2006,FALSE),0)+IFERROR(VLOOKUP($A83,MFootball!$C:$O,N$1-2011,FALSE),0)+IFERROR(VLOOKUP($A83,MIceHockey!$C:$P,N$1-2011,FALSE),0)+IFERROR(VLOOKUP($A83,MLacrosse!$C:$O,N$1-2011,FALSE),0)+IFERROR(VLOOKUP($A83,MSoccer!$C:$O,N$1-2011,FALSE),0)+IFERROR(VLOOKUP($A83,MVolleyball!$C:$O,N$1-2011,FALSE),0)+IFERROR(VLOOKUP($A83,WBasketball!$C:$O,N$1-2011,FALSE),0)+IFERROR(VLOOKUP($A83,WFieldHockey!$C:$O,N$1-2011,FALSE),0)+IFERROR(VLOOKUP($A83,WIceHockey!$C:$O,N$1-2011,FALSE),0)+IFERROR(VLOOKUP($A83,WLacrosse!$C:$O,N$1-2011,FALSE),0)+IFERROR(VLOOKUP($A83,WSoccer!$C:$O,N$1-2011,FALSE),0)+IFERROR(VLOOKUP($A83,WSoftball!$C:$O,N$1-2011,FALSE),0)+IFERROR(VLOOKUP($A83,WVolleyball!$C:$O,N$1-2011,FALSE),0)</f>
        <v>749192</v>
      </c>
    </row>
    <row r="84" spans="1:14" x14ac:dyDescent="0.2">
      <c r="A84">
        <v>174066</v>
      </c>
      <c r="B84">
        <v>33460</v>
      </c>
      <c r="C84" t="s">
        <v>137</v>
      </c>
      <c r="D84">
        <v>83</v>
      </c>
      <c r="E84">
        <f>IFERROR(VLOOKUP($A84,MBaseball!$C:$N,E$1-2010,FALSE),0)+IFERROR(VLOOKUP($A84,MBasketball!$C:$J,E$1-2006,FALSE),0)+IFERROR(VLOOKUP($A84,MFootball!$C:$O,E$1-2011,FALSE),0)+IFERROR(VLOOKUP($A84,MIceHockey!$C:$P,E$1-2011,FALSE),0)+IFERROR(VLOOKUP($A84,MLacrosse!$C:$O,E$1-2011,FALSE),0)+IFERROR(VLOOKUP($A84,MSoccer!$C:$O,E$1-2011,FALSE),0)+IFERROR(VLOOKUP($A84,MVolleyball!$C:$O,E$1-2011,FALSE),0)+IFERROR(VLOOKUP($A84,WBasketball!$C:$O,E$1-2011,FALSE),0)+IFERROR(VLOOKUP($A84,WFieldHockey!$C:$O,E$1-2011,FALSE),0)+IFERROR(VLOOKUP($A84,WIceHockey!$C:$O,E$1-2011,FALSE),0)+IFERROR(VLOOKUP($A84,WLacrosse!$C:$O,E$1-2011,FALSE),0)+IFERROR(VLOOKUP($A84,WSoccer!$C:$O,E$1-2011,FALSE),0)+IFERROR(VLOOKUP($A84,WSoftball!$C:$O,E$1-2011,FALSE),0)+IFERROR(VLOOKUP($A84,WVolleyball!$C:$O,E$1-2011,FALSE),0)</f>
        <v>301604</v>
      </c>
      <c r="F84">
        <f>IFERROR(VLOOKUP($A84,MBaseball!$C:$N,F$1-2010,FALSE),0)+IFERROR(VLOOKUP($A84,MBasketball!$C:$J,F$1-2006,FALSE),0)+IFERROR(VLOOKUP($A84,MFootball!$C:$O,F$1-2011,FALSE),0)+IFERROR(VLOOKUP($A84,MIceHockey!$C:$P,F$1-2011,FALSE),0)+IFERROR(VLOOKUP($A84,MLacrosse!$C:$O,F$1-2011,FALSE),0)+IFERROR(VLOOKUP($A84,MSoccer!$C:$O,F$1-2011,FALSE),0)+IFERROR(VLOOKUP($A84,MVolleyball!$C:$O,F$1-2011,FALSE),0)+IFERROR(VLOOKUP($A84,WBasketball!$C:$O,F$1-2011,FALSE),0)+IFERROR(VLOOKUP($A84,WFieldHockey!$C:$O,F$1-2011,FALSE),0)+IFERROR(VLOOKUP($A84,WIceHockey!$C:$O,F$1-2011,FALSE),0)+IFERROR(VLOOKUP($A84,WLacrosse!$C:$O,F$1-2011,FALSE),0)+IFERROR(VLOOKUP($A84,WSoccer!$C:$O,F$1-2011,FALSE),0)+IFERROR(VLOOKUP($A84,WSoftball!$C:$O,F$1-2011,FALSE),0)+IFERROR(VLOOKUP($A84,WVolleyball!$C:$O,F$1-2011,FALSE),0)</f>
        <v>691210</v>
      </c>
      <c r="G84">
        <f>IFERROR(VLOOKUP($A84,MBaseball!$C:$N,G$1-2010,FALSE),0)+IFERROR(VLOOKUP($A84,MBasketball!$C:$J,G$1-2006,FALSE),0)+IFERROR(VLOOKUP($A84,MFootball!$C:$O,G$1-2011,FALSE),0)+IFERROR(VLOOKUP($A84,MIceHockey!$C:$P,G$1-2011,FALSE),0)+IFERROR(VLOOKUP($A84,MLacrosse!$C:$O,G$1-2011,FALSE),0)+IFERROR(VLOOKUP($A84,MSoccer!$C:$O,G$1-2011,FALSE),0)+IFERROR(VLOOKUP($A84,MVolleyball!$C:$O,G$1-2011,FALSE),0)+IFERROR(VLOOKUP($A84,WBasketball!$C:$O,G$1-2011,FALSE),0)+IFERROR(VLOOKUP($A84,WFieldHockey!$C:$O,G$1-2011,FALSE),0)+IFERROR(VLOOKUP($A84,WIceHockey!$C:$O,G$1-2011,FALSE),0)+IFERROR(VLOOKUP($A84,WLacrosse!$C:$O,G$1-2011,FALSE),0)+IFERROR(VLOOKUP($A84,WSoccer!$C:$O,G$1-2011,FALSE),0)+IFERROR(VLOOKUP($A84,WSoftball!$C:$O,G$1-2011,FALSE),0)+IFERROR(VLOOKUP($A84,WVolleyball!$C:$O,G$1-2011,FALSE),0)</f>
        <v>762949</v>
      </c>
      <c r="H84">
        <f>IFERROR(VLOOKUP($A84,MBaseball!$C:$N,H$1-2010,FALSE),0)+IFERROR(VLOOKUP($A84,MBasketball!$C:$J,H$1-2006,FALSE),0)+IFERROR(VLOOKUP($A84,MFootball!$C:$O,H$1-2011,FALSE),0)+IFERROR(VLOOKUP($A84,MIceHockey!$C:$P,H$1-2011,FALSE),0)+IFERROR(VLOOKUP($A84,MLacrosse!$C:$O,H$1-2011,FALSE),0)+IFERROR(VLOOKUP($A84,MSoccer!$C:$O,H$1-2011,FALSE),0)+IFERROR(VLOOKUP($A84,MVolleyball!$C:$O,H$1-2011,FALSE),0)+IFERROR(VLOOKUP($A84,WBasketball!$C:$O,H$1-2011,FALSE),0)+IFERROR(VLOOKUP($A84,WFieldHockey!$C:$O,H$1-2011,FALSE),0)+IFERROR(VLOOKUP($A84,WIceHockey!$C:$O,H$1-2011,FALSE),0)+IFERROR(VLOOKUP($A84,WLacrosse!$C:$O,H$1-2011,FALSE),0)+IFERROR(VLOOKUP($A84,WSoccer!$C:$O,H$1-2011,FALSE),0)+IFERROR(VLOOKUP($A84,WSoftball!$C:$O,H$1-2011,FALSE),0)+IFERROR(VLOOKUP($A84,WVolleyball!$C:$O,H$1-2011,FALSE),0)</f>
        <v>683232</v>
      </c>
      <c r="I84">
        <f>IFERROR(VLOOKUP($A84,MBaseball!$C:$N,I$1-2010,FALSE),0)+IFERROR(VLOOKUP($A84,MBasketball!$C:$J,I$1-2006,FALSE),0)+IFERROR(VLOOKUP($A84,MFootball!$C:$O,I$1-2011,FALSE),0)+IFERROR(VLOOKUP($A84,MIceHockey!$C:$P,I$1-2011,FALSE),0)+IFERROR(VLOOKUP($A84,MLacrosse!$C:$O,I$1-2011,FALSE),0)+IFERROR(VLOOKUP($A84,MSoccer!$C:$O,I$1-2011,FALSE),0)+IFERROR(VLOOKUP($A84,MVolleyball!$C:$O,I$1-2011,FALSE),0)+IFERROR(VLOOKUP($A84,WBasketball!$C:$O,I$1-2011,FALSE),0)+IFERROR(VLOOKUP($A84,WFieldHockey!$C:$O,I$1-2011,FALSE),0)+IFERROR(VLOOKUP($A84,WIceHockey!$C:$O,I$1-2011,FALSE),0)+IFERROR(VLOOKUP($A84,WLacrosse!$C:$O,I$1-2011,FALSE),0)+IFERROR(VLOOKUP($A84,WSoccer!$C:$O,I$1-2011,FALSE),0)+IFERROR(VLOOKUP($A84,WSoftball!$C:$O,I$1-2011,FALSE),0)+IFERROR(VLOOKUP($A84,WVolleyball!$C:$O,I$1-2011,FALSE),0)</f>
        <v>662167</v>
      </c>
      <c r="J84">
        <f>IFERROR(VLOOKUP($A84,MBaseball!$C:$N,J$1-2010,FALSE),0)+IFERROR(VLOOKUP($A84,MBasketball!$C:$J,J$1-2006,FALSE),0)+IFERROR(VLOOKUP($A84,MFootball!$C:$O,J$1-2011,FALSE),0)+IFERROR(VLOOKUP($A84,MIceHockey!$C:$P,J$1-2011,FALSE),0)+IFERROR(VLOOKUP($A84,MLacrosse!$C:$O,J$1-2011,FALSE),0)+IFERROR(VLOOKUP($A84,MSoccer!$C:$O,J$1-2011,FALSE),0)+IFERROR(VLOOKUP($A84,MVolleyball!$C:$O,J$1-2011,FALSE),0)+IFERROR(VLOOKUP($A84,WBasketball!$C:$O,J$1-2011,FALSE),0)+IFERROR(VLOOKUP($A84,WFieldHockey!$C:$O,J$1-2011,FALSE),0)+IFERROR(VLOOKUP($A84,WIceHockey!$C:$O,J$1-2011,FALSE),0)+IFERROR(VLOOKUP($A84,WLacrosse!$C:$O,J$1-2011,FALSE),0)+IFERROR(VLOOKUP($A84,WSoccer!$C:$O,J$1-2011,FALSE),0)+IFERROR(VLOOKUP($A84,WSoftball!$C:$O,J$1-2011,FALSE),0)+IFERROR(VLOOKUP($A84,WVolleyball!$C:$O,J$1-2011,FALSE),0)</f>
        <v>714513</v>
      </c>
      <c r="K84">
        <f>IFERROR(VLOOKUP($A84,MBaseball!$C:$N,K$1-2010,FALSE),0)+IFERROR(VLOOKUP($A84,MBasketball!$C:$J,K$1-2006,FALSE),0)+IFERROR(VLOOKUP($A84,MFootball!$C:$O,K$1-2011,FALSE),0)+IFERROR(VLOOKUP($A84,MIceHockey!$C:$P,K$1-2011,FALSE),0)+IFERROR(VLOOKUP($A84,MLacrosse!$C:$O,K$1-2011,FALSE),0)+IFERROR(VLOOKUP($A84,MSoccer!$C:$O,K$1-2011,FALSE),0)+IFERROR(VLOOKUP($A84,MVolleyball!$C:$O,K$1-2011,FALSE),0)+IFERROR(VLOOKUP($A84,WBasketball!$C:$O,K$1-2011,FALSE),0)+IFERROR(VLOOKUP($A84,WFieldHockey!$C:$O,K$1-2011,FALSE),0)+IFERROR(VLOOKUP($A84,WIceHockey!$C:$O,K$1-2011,FALSE),0)+IFERROR(VLOOKUP($A84,WLacrosse!$C:$O,K$1-2011,FALSE),0)+IFERROR(VLOOKUP($A84,WSoccer!$C:$O,K$1-2011,FALSE),0)+IFERROR(VLOOKUP($A84,WSoftball!$C:$O,K$1-2011,FALSE),0)+IFERROR(VLOOKUP($A84,WVolleyball!$C:$O,K$1-2011,FALSE),0)</f>
        <v>683558</v>
      </c>
      <c r="L84">
        <f>IFERROR(VLOOKUP($A84,MBaseball!$C:$N,L$1-2010,FALSE),0)+IFERROR(VLOOKUP($A84,MBasketball!$C:$J,L$1-2006,FALSE),0)+IFERROR(VLOOKUP($A84,MFootball!$C:$O,L$1-2011,FALSE),0)+IFERROR(VLOOKUP($A84,MIceHockey!$C:$P,L$1-2011,FALSE),0)+IFERROR(VLOOKUP($A84,MLacrosse!$C:$O,L$1-2011,FALSE),0)+IFERROR(VLOOKUP($A84,MSoccer!$C:$O,L$1-2011,FALSE),0)+IFERROR(VLOOKUP($A84,MVolleyball!$C:$O,L$1-2011,FALSE),0)+IFERROR(VLOOKUP($A84,WBasketball!$C:$O,L$1-2011,FALSE),0)+IFERROR(VLOOKUP($A84,WFieldHockey!$C:$O,L$1-2011,FALSE),0)+IFERROR(VLOOKUP($A84,WIceHockey!$C:$O,L$1-2011,FALSE),0)+IFERROR(VLOOKUP($A84,WLacrosse!$C:$O,L$1-2011,FALSE),0)+IFERROR(VLOOKUP($A84,WSoccer!$C:$O,L$1-2011,FALSE),0)+IFERROR(VLOOKUP($A84,WSoftball!$C:$O,L$1-2011,FALSE),0)+IFERROR(VLOOKUP($A84,WVolleyball!$C:$O,L$1-2011,FALSE),0)</f>
        <v>18209</v>
      </c>
      <c r="M84">
        <f>IFERROR(VLOOKUP($A84,MBaseball!$C:$N,M$1-2010,FALSE),0)+IFERROR(VLOOKUP($A84,MBasketball!$C:$J,M$1-2006,FALSE),0)+IFERROR(VLOOKUP($A84,MFootball!$C:$O,M$1-2011,FALSE),0)+IFERROR(VLOOKUP($A84,MIceHockey!$C:$P,M$1-2011,FALSE),0)+IFERROR(VLOOKUP($A84,MLacrosse!$C:$O,M$1-2011,FALSE),0)+IFERROR(VLOOKUP($A84,MSoccer!$C:$O,M$1-2011,FALSE),0)+IFERROR(VLOOKUP($A84,MVolleyball!$C:$O,M$1-2011,FALSE),0)+IFERROR(VLOOKUP($A84,WBasketball!$C:$O,M$1-2011,FALSE),0)+IFERROR(VLOOKUP($A84,WFieldHockey!$C:$O,M$1-2011,FALSE),0)+IFERROR(VLOOKUP($A84,WIceHockey!$C:$O,M$1-2011,FALSE),0)+IFERROR(VLOOKUP($A84,WLacrosse!$C:$O,M$1-2011,FALSE),0)+IFERROR(VLOOKUP($A84,WSoccer!$C:$O,M$1-2011,FALSE),0)+IFERROR(VLOOKUP($A84,WSoftball!$C:$O,M$1-2011,FALSE),0)+IFERROR(VLOOKUP($A84,WVolleyball!$C:$O,M$1-2011,FALSE),0)</f>
        <v>670869</v>
      </c>
      <c r="N84">
        <f>IFERROR(VLOOKUP($A84,MBaseball!$C:$N,N$1-2010,FALSE),0)+IFERROR(VLOOKUP($A84,MBasketball!$C:$J,N$1-2006,FALSE),0)+IFERROR(VLOOKUP($A84,MFootball!$C:$O,N$1-2011,FALSE),0)+IFERROR(VLOOKUP($A84,MIceHockey!$C:$P,N$1-2011,FALSE),0)+IFERROR(VLOOKUP($A84,MLacrosse!$C:$O,N$1-2011,FALSE),0)+IFERROR(VLOOKUP($A84,MSoccer!$C:$O,N$1-2011,FALSE),0)+IFERROR(VLOOKUP($A84,MVolleyball!$C:$O,N$1-2011,FALSE),0)+IFERROR(VLOOKUP($A84,WBasketball!$C:$O,N$1-2011,FALSE),0)+IFERROR(VLOOKUP($A84,WFieldHockey!$C:$O,N$1-2011,FALSE),0)+IFERROR(VLOOKUP($A84,WIceHockey!$C:$O,N$1-2011,FALSE),0)+IFERROR(VLOOKUP($A84,WLacrosse!$C:$O,N$1-2011,FALSE),0)+IFERROR(VLOOKUP($A84,WSoccer!$C:$O,N$1-2011,FALSE),0)+IFERROR(VLOOKUP($A84,WSoftball!$C:$O,N$1-2011,FALSE),0)+IFERROR(VLOOKUP($A84,WVolleyball!$C:$O,N$1-2011,FALSE),0)</f>
        <v>692388</v>
      </c>
    </row>
    <row r="85" spans="1:14" x14ac:dyDescent="0.2">
      <c r="A85">
        <v>176017</v>
      </c>
      <c r="B85">
        <v>37060</v>
      </c>
      <c r="C85" t="s">
        <v>138</v>
      </c>
      <c r="D85">
        <v>84</v>
      </c>
      <c r="E85">
        <f>IFERROR(VLOOKUP($A85,MBaseball!$C:$N,E$1-2010,FALSE),0)+IFERROR(VLOOKUP($A85,MBasketball!$C:$J,E$1-2006,FALSE),0)+IFERROR(VLOOKUP($A85,MFootball!$C:$O,E$1-2011,FALSE),0)+IFERROR(VLOOKUP($A85,MIceHockey!$C:$P,E$1-2011,FALSE),0)+IFERROR(VLOOKUP($A85,MLacrosse!$C:$O,E$1-2011,FALSE),0)+IFERROR(VLOOKUP($A85,MSoccer!$C:$O,E$1-2011,FALSE),0)+IFERROR(VLOOKUP($A85,MVolleyball!$C:$O,E$1-2011,FALSE),0)+IFERROR(VLOOKUP($A85,WBasketball!$C:$O,E$1-2011,FALSE),0)+IFERROR(VLOOKUP($A85,WFieldHockey!$C:$O,E$1-2011,FALSE),0)+IFERROR(VLOOKUP($A85,WIceHockey!$C:$O,E$1-2011,FALSE),0)+IFERROR(VLOOKUP($A85,WLacrosse!$C:$O,E$1-2011,FALSE),0)+IFERROR(VLOOKUP($A85,WSoccer!$C:$O,E$1-2011,FALSE),0)+IFERROR(VLOOKUP($A85,WSoftball!$C:$O,E$1-2011,FALSE),0)+IFERROR(VLOOKUP($A85,WVolleyball!$C:$O,E$1-2011,FALSE),0)</f>
        <v>407153</v>
      </c>
      <c r="F85">
        <f>IFERROR(VLOOKUP($A85,MBaseball!$C:$N,F$1-2010,FALSE),0)+IFERROR(VLOOKUP($A85,MBasketball!$C:$J,F$1-2006,FALSE),0)+IFERROR(VLOOKUP($A85,MFootball!$C:$O,F$1-2011,FALSE),0)+IFERROR(VLOOKUP($A85,MIceHockey!$C:$P,F$1-2011,FALSE),0)+IFERROR(VLOOKUP($A85,MLacrosse!$C:$O,F$1-2011,FALSE),0)+IFERROR(VLOOKUP($A85,MSoccer!$C:$O,F$1-2011,FALSE),0)+IFERROR(VLOOKUP($A85,MVolleyball!$C:$O,F$1-2011,FALSE),0)+IFERROR(VLOOKUP($A85,WBasketball!$C:$O,F$1-2011,FALSE),0)+IFERROR(VLOOKUP($A85,WFieldHockey!$C:$O,F$1-2011,FALSE),0)+IFERROR(VLOOKUP($A85,WIceHockey!$C:$O,F$1-2011,FALSE),0)+IFERROR(VLOOKUP($A85,WLacrosse!$C:$O,F$1-2011,FALSE),0)+IFERROR(VLOOKUP($A85,WSoccer!$C:$O,F$1-2011,FALSE),0)+IFERROR(VLOOKUP($A85,WSoftball!$C:$O,F$1-2011,FALSE),0)+IFERROR(VLOOKUP($A85,WVolleyball!$C:$O,F$1-2011,FALSE),0)</f>
        <v>769244</v>
      </c>
      <c r="G85">
        <f>IFERROR(VLOOKUP($A85,MBaseball!$C:$N,G$1-2010,FALSE),0)+IFERROR(VLOOKUP($A85,MBasketball!$C:$J,G$1-2006,FALSE),0)+IFERROR(VLOOKUP($A85,MFootball!$C:$O,G$1-2011,FALSE),0)+IFERROR(VLOOKUP($A85,MIceHockey!$C:$P,G$1-2011,FALSE),0)+IFERROR(VLOOKUP($A85,MLacrosse!$C:$O,G$1-2011,FALSE),0)+IFERROR(VLOOKUP($A85,MSoccer!$C:$O,G$1-2011,FALSE),0)+IFERROR(VLOOKUP($A85,MVolleyball!$C:$O,G$1-2011,FALSE),0)+IFERROR(VLOOKUP($A85,WBasketball!$C:$O,G$1-2011,FALSE),0)+IFERROR(VLOOKUP($A85,WFieldHockey!$C:$O,G$1-2011,FALSE),0)+IFERROR(VLOOKUP($A85,WIceHockey!$C:$O,G$1-2011,FALSE),0)+IFERROR(VLOOKUP($A85,WLacrosse!$C:$O,G$1-2011,FALSE),0)+IFERROR(VLOOKUP($A85,WSoccer!$C:$O,G$1-2011,FALSE),0)+IFERROR(VLOOKUP($A85,WSoftball!$C:$O,G$1-2011,FALSE),0)+IFERROR(VLOOKUP($A85,WVolleyball!$C:$O,G$1-2011,FALSE),0)</f>
        <v>760719</v>
      </c>
      <c r="H85">
        <f>IFERROR(VLOOKUP($A85,MBaseball!$C:$N,H$1-2010,FALSE),0)+IFERROR(VLOOKUP($A85,MBasketball!$C:$J,H$1-2006,FALSE),0)+IFERROR(VLOOKUP($A85,MFootball!$C:$O,H$1-2011,FALSE),0)+IFERROR(VLOOKUP($A85,MIceHockey!$C:$P,H$1-2011,FALSE),0)+IFERROR(VLOOKUP($A85,MLacrosse!$C:$O,H$1-2011,FALSE),0)+IFERROR(VLOOKUP($A85,MSoccer!$C:$O,H$1-2011,FALSE),0)+IFERROR(VLOOKUP($A85,MVolleyball!$C:$O,H$1-2011,FALSE),0)+IFERROR(VLOOKUP($A85,WBasketball!$C:$O,H$1-2011,FALSE),0)+IFERROR(VLOOKUP($A85,WFieldHockey!$C:$O,H$1-2011,FALSE),0)+IFERROR(VLOOKUP($A85,WIceHockey!$C:$O,H$1-2011,FALSE),0)+IFERROR(VLOOKUP($A85,WLacrosse!$C:$O,H$1-2011,FALSE),0)+IFERROR(VLOOKUP($A85,WSoccer!$C:$O,H$1-2011,FALSE),0)+IFERROR(VLOOKUP($A85,WSoftball!$C:$O,H$1-2011,FALSE),0)+IFERROR(VLOOKUP($A85,WVolleyball!$C:$O,H$1-2011,FALSE),0)</f>
        <v>847286</v>
      </c>
      <c r="I85">
        <f>IFERROR(VLOOKUP($A85,MBaseball!$C:$N,I$1-2010,FALSE),0)+IFERROR(VLOOKUP($A85,MBasketball!$C:$J,I$1-2006,FALSE),0)+IFERROR(VLOOKUP($A85,MFootball!$C:$O,I$1-2011,FALSE),0)+IFERROR(VLOOKUP($A85,MIceHockey!$C:$P,I$1-2011,FALSE),0)+IFERROR(VLOOKUP($A85,MLacrosse!$C:$O,I$1-2011,FALSE),0)+IFERROR(VLOOKUP($A85,MSoccer!$C:$O,I$1-2011,FALSE),0)+IFERROR(VLOOKUP($A85,MVolleyball!$C:$O,I$1-2011,FALSE),0)+IFERROR(VLOOKUP($A85,WBasketball!$C:$O,I$1-2011,FALSE),0)+IFERROR(VLOOKUP($A85,WFieldHockey!$C:$O,I$1-2011,FALSE),0)+IFERROR(VLOOKUP($A85,WIceHockey!$C:$O,I$1-2011,FALSE),0)+IFERROR(VLOOKUP($A85,WLacrosse!$C:$O,I$1-2011,FALSE),0)+IFERROR(VLOOKUP($A85,WSoccer!$C:$O,I$1-2011,FALSE),0)+IFERROR(VLOOKUP($A85,WSoftball!$C:$O,I$1-2011,FALSE),0)+IFERROR(VLOOKUP($A85,WVolleyball!$C:$O,I$1-2011,FALSE),0)</f>
        <v>796643</v>
      </c>
      <c r="J85">
        <f>IFERROR(VLOOKUP($A85,MBaseball!$C:$N,J$1-2010,FALSE),0)+IFERROR(VLOOKUP($A85,MBasketball!$C:$J,J$1-2006,FALSE),0)+IFERROR(VLOOKUP($A85,MFootball!$C:$O,J$1-2011,FALSE),0)+IFERROR(VLOOKUP($A85,MIceHockey!$C:$P,J$1-2011,FALSE),0)+IFERROR(VLOOKUP($A85,MLacrosse!$C:$O,J$1-2011,FALSE),0)+IFERROR(VLOOKUP($A85,MSoccer!$C:$O,J$1-2011,FALSE),0)+IFERROR(VLOOKUP($A85,MVolleyball!$C:$O,J$1-2011,FALSE),0)+IFERROR(VLOOKUP($A85,WBasketball!$C:$O,J$1-2011,FALSE),0)+IFERROR(VLOOKUP($A85,WFieldHockey!$C:$O,J$1-2011,FALSE),0)+IFERROR(VLOOKUP($A85,WIceHockey!$C:$O,J$1-2011,FALSE),0)+IFERROR(VLOOKUP($A85,WLacrosse!$C:$O,J$1-2011,FALSE),0)+IFERROR(VLOOKUP($A85,WSoccer!$C:$O,J$1-2011,FALSE),0)+IFERROR(VLOOKUP($A85,WSoftball!$C:$O,J$1-2011,FALSE),0)+IFERROR(VLOOKUP($A85,WVolleyball!$C:$O,J$1-2011,FALSE),0)</f>
        <v>564841</v>
      </c>
      <c r="K85">
        <f>IFERROR(VLOOKUP($A85,MBaseball!$C:$N,K$1-2010,FALSE),0)+IFERROR(VLOOKUP($A85,MBasketball!$C:$J,K$1-2006,FALSE),0)+IFERROR(VLOOKUP($A85,MFootball!$C:$O,K$1-2011,FALSE),0)+IFERROR(VLOOKUP($A85,MIceHockey!$C:$P,K$1-2011,FALSE),0)+IFERROR(VLOOKUP($A85,MLacrosse!$C:$O,K$1-2011,FALSE),0)+IFERROR(VLOOKUP($A85,MSoccer!$C:$O,K$1-2011,FALSE),0)+IFERROR(VLOOKUP($A85,MVolleyball!$C:$O,K$1-2011,FALSE),0)+IFERROR(VLOOKUP($A85,WBasketball!$C:$O,K$1-2011,FALSE),0)+IFERROR(VLOOKUP($A85,WFieldHockey!$C:$O,K$1-2011,FALSE),0)+IFERROR(VLOOKUP($A85,WIceHockey!$C:$O,K$1-2011,FALSE),0)+IFERROR(VLOOKUP($A85,WLacrosse!$C:$O,K$1-2011,FALSE),0)+IFERROR(VLOOKUP($A85,WSoccer!$C:$O,K$1-2011,FALSE),0)+IFERROR(VLOOKUP($A85,WSoftball!$C:$O,K$1-2011,FALSE),0)+IFERROR(VLOOKUP($A85,WVolleyball!$C:$O,K$1-2011,FALSE),0)</f>
        <v>687461</v>
      </c>
      <c r="L85">
        <f>IFERROR(VLOOKUP($A85,MBaseball!$C:$N,L$1-2010,FALSE),0)+IFERROR(VLOOKUP($A85,MBasketball!$C:$J,L$1-2006,FALSE),0)+IFERROR(VLOOKUP($A85,MFootball!$C:$O,L$1-2011,FALSE),0)+IFERROR(VLOOKUP($A85,MIceHockey!$C:$P,L$1-2011,FALSE),0)+IFERROR(VLOOKUP($A85,MLacrosse!$C:$O,L$1-2011,FALSE),0)+IFERROR(VLOOKUP($A85,MSoccer!$C:$O,L$1-2011,FALSE),0)+IFERROR(VLOOKUP($A85,MVolleyball!$C:$O,L$1-2011,FALSE),0)+IFERROR(VLOOKUP($A85,WBasketball!$C:$O,L$1-2011,FALSE),0)+IFERROR(VLOOKUP($A85,WFieldHockey!$C:$O,L$1-2011,FALSE),0)+IFERROR(VLOOKUP($A85,WIceHockey!$C:$O,L$1-2011,FALSE),0)+IFERROR(VLOOKUP($A85,WLacrosse!$C:$O,L$1-2011,FALSE),0)+IFERROR(VLOOKUP($A85,WSoccer!$C:$O,L$1-2011,FALSE),0)+IFERROR(VLOOKUP($A85,WSoftball!$C:$O,L$1-2011,FALSE),0)+IFERROR(VLOOKUP($A85,WVolleyball!$C:$O,L$1-2011,FALSE),0)</f>
        <v>404660</v>
      </c>
      <c r="M85">
        <f>IFERROR(VLOOKUP($A85,MBaseball!$C:$N,M$1-2010,FALSE),0)+IFERROR(VLOOKUP($A85,MBasketball!$C:$J,M$1-2006,FALSE),0)+IFERROR(VLOOKUP($A85,MFootball!$C:$O,M$1-2011,FALSE),0)+IFERROR(VLOOKUP($A85,MIceHockey!$C:$P,M$1-2011,FALSE),0)+IFERROR(VLOOKUP($A85,MLacrosse!$C:$O,M$1-2011,FALSE),0)+IFERROR(VLOOKUP($A85,MSoccer!$C:$O,M$1-2011,FALSE),0)+IFERROR(VLOOKUP($A85,MVolleyball!$C:$O,M$1-2011,FALSE),0)+IFERROR(VLOOKUP($A85,WBasketball!$C:$O,M$1-2011,FALSE),0)+IFERROR(VLOOKUP($A85,WFieldHockey!$C:$O,M$1-2011,FALSE),0)+IFERROR(VLOOKUP($A85,WIceHockey!$C:$O,M$1-2011,FALSE),0)+IFERROR(VLOOKUP($A85,WLacrosse!$C:$O,M$1-2011,FALSE),0)+IFERROR(VLOOKUP($A85,WSoccer!$C:$O,M$1-2011,FALSE),0)+IFERROR(VLOOKUP($A85,WSoftball!$C:$O,M$1-2011,FALSE),0)+IFERROR(VLOOKUP($A85,WVolleyball!$C:$O,M$1-2011,FALSE),0)</f>
        <v>772590</v>
      </c>
      <c r="N85">
        <f>IFERROR(VLOOKUP($A85,MBaseball!$C:$N,N$1-2010,FALSE),0)+IFERROR(VLOOKUP($A85,MBasketball!$C:$J,N$1-2006,FALSE),0)+IFERROR(VLOOKUP($A85,MFootball!$C:$O,N$1-2011,FALSE),0)+IFERROR(VLOOKUP($A85,MIceHockey!$C:$P,N$1-2011,FALSE),0)+IFERROR(VLOOKUP($A85,MLacrosse!$C:$O,N$1-2011,FALSE),0)+IFERROR(VLOOKUP($A85,MSoccer!$C:$O,N$1-2011,FALSE),0)+IFERROR(VLOOKUP($A85,MVolleyball!$C:$O,N$1-2011,FALSE),0)+IFERROR(VLOOKUP($A85,WBasketball!$C:$O,N$1-2011,FALSE),0)+IFERROR(VLOOKUP($A85,WFieldHockey!$C:$O,N$1-2011,FALSE),0)+IFERROR(VLOOKUP($A85,WIceHockey!$C:$O,N$1-2011,FALSE),0)+IFERROR(VLOOKUP($A85,WLacrosse!$C:$O,N$1-2011,FALSE),0)+IFERROR(VLOOKUP($A85,WSoccer!$C:$O,N$1-2011,FALSE),0)+IFERROR(VLOOKUP($A85,WSoftball!$C:$O,N$1-2011,FALSE),0)+IFERROR(VLOOKUP($A85,WVolleyball!$C:$O,N$1-2011,FALSE),0)</f>
        <v>513774</v>
      </c>
    </row>
    <row r="86" spans="1:14" x14ac:dyDescent="0.2">
      <c r="A86">
        <v>176080</v>
      </c>
      <c r="B86">
        <v>44260</v>
      </c>
      <c r="C86" t="s">
        <v>139</v>
      </c>
      <c r="D86">
        <v>85</v>
      </c>
      <c r="E86">
        <f>IFERROR(VLOOKUP($A86,MBaseball!$C:$N,E$1-2010,FALSE),0)+IFERROR(VLOOKUP($A86,MBasketball!$C:$J,E$1-2006,FALSE),0)+IFERROR(VLOOKUP($A86,MFootball!$C:$O,E$1-2011,FALSE),0)+IFERROR(VLOOKUP($A86,MIceHockey!$C:$P,E$1-2011,FALSE),0)+IFERROR(VLOOKUP($A86,MLacrosse!$C:$O,E$1-2011,FALSE),0)+IFERROR(VLOOKUP($A86,MSoccer!$C:$O,E$1-2011,FALSE),0)+IFERROR(VLOOKUP($A86,MVolleyball!$C:$O,E$1-2011,FALSE),0)+IFERROR(VLOOKUP($A86,WBasketball!$C:$O,E$1-2011,FALSE),0)+IFERROR(VLOOKUP($A86,WFieldHockey!$C:$O,E$1-2011,FALSE),0)+IFERROR(VLOOKUP($A86,WIceHockey!$C:$O,E$1-2011,FALSE),0)+IFERROR(VLOOKUP($A86,WLacrosse!$C:$O,E$1-2011,FALSE),0)+IFERROR(VLOOKUP($A86,WSoccer!$C:$O,E$1-2011,FALSE),0)+IFERROR(VLOOKUP($A86,WSoftball!$C:$O,E$1-2011,FALSE),0)+IFERROR(VLOOKUP($A86,WVolleyball!$C:$O,E$1-2011,FALSE),0)</f>
        <v>427762</v>
      </c>
      <c r="F86">
        <f>IFERROR(VLOOKUP($A86,MBaseball!$C:$N,F$1-2010,FALSE),0)+IFERROR(VLOOKUP($A86,MBasketball!$C:$J,F$1-2006,FALSE),0)+IFERROR(VLOOKUP($A86,MFootball!$C:$O,F$1-2011,FALSE),0)+IFERROR(VLOOKUP($A86,MIceHockey!$C:$P,F$1-2011,FALSE),0)+IFERROR(VLOOKUP($A86,MLacrosse!$C:$O,F$1-2011,FALSE),0)+IFERROR(VLOOKUP($A86,MSoccer!$C:$O,F$1-2011,FALSE),0)+IFERROR(VLOOKUP($A86,MVolleyball!$C:$O,F$1-2011,FALSE),0)+IFERROR(VLOOKUP($A86,WBasketball!$C:$O,F$1-2011,FALSE),0)+IFERROR(VLOOKUP($A86,WFieldHockey!$C:$O,F$1-2011,FALSE),0)+IFERROR(VLOOKUP($A86,WIceHockey!$C:$O,F$1-2011,FALSE),0)+IFERROR(VLOOKUP($A86,WLacrosse!$C:$O,F$1-2011,FALSE),0)+IFERROR(VLOOKUP($A86,WSoccer!$C:$O,F$1-2011,FALSE),0)+IFERROR(VLOOKUP($A86,WSoftball!$C:$O,F$1-2011,FALSE),0)+IFERROR(VLOOKUP($A86,WVolleyball!$C:$O,F$1-2011,FALSE),0)</f>
        <v>813606</v>
      </c>
      <c r="G86">
        <f>IFERROR(VLOOKUP($A86,MBaseball!$C:$N,G$1-2010,FALSE),0)+IFERROR(VLOOKUP($A86,MBasketball!$C:$J,G$1-2006,FALSE),0)+IFERROR(VLOOKUP($A86,MFootball!$C:$O,G$1-2011,FALSE),0)+IFERROR(VLOOKUP($A86,MIceHockey!$C:$P,G$1-2011,FALSE),0)+IFERROR(VLOOKUP($A86,MLacrosse!$C:$O,G$1-2011,FALSE),0)+IFERROR(VLOOKUP($A86,MSoccer!$C:$O,G$1-2011,FALSE),0)+IFERROR(VLOOKUP($A86,MVolleyball!$C:$O,G$1-2011,FALSE),0)+IFERROR(VLOOKUP($A86,WBasketball!$C:$O,G$1-2011,FALSE),0)+IFERROR(VLOOKUP($A86,WFieldHockey!$C:$O,G$1-2011,FALSE),0)+IFERROR(VLOOKUP($A86,WIceHockey!$C:$O,G$1-2011,FALSE),0)+IFERROR(VLOOKUP($A86,WLacrosse!$C:$O,G$1-2011,FALSE),0)+IFERROR(VLOOKUP($A86,WSoccer!$C:$O,G$1-2011,FALSE),0)+IFERROR(VLOOKUP($A86,WSoftball!$C:$O,G$1-2011,FALSE),0)+IFERROR(VLOOKUP($A86,WVolleyball!$C:$O,G$1-2011,FALSE),0)</f>
        <v>836298</v>
      </c>
      <c r="H86">
        <f>IFERROR(VLOOKUP($A86,MBaseball!$C:$N,H$1-2010,FALSE),0)+IFERROR(VLOOKUP($A86,MBasketball!$C:$J,H$1-2006,FALSE),0)+IFERROR(VLOOKUP($A86,MFootball!$C:$O,H$1-2011,FALSE),0)+IFERROR(VLOOKUP($A86,MIceHockey!$C:$P,H$1-2011,FALSE),0)+IFERROR(VLOOKUP($A86,MLacrosse!$C:$O,H$1-2011,FALSE),0)+IFERROR(VLOOKUP($A86,MSoccer!$C:$O,H$1-2011,FALSE),0)+IFERROR(VLOOKUP($A86,MVolleyball!$C:$O,H$1-2011,FALSE),0)+IFERROR(VLOOKUP($A86,WBasketball!$C:$O,H$1-2011,FALSE),0)+IFERROR(VLOOKUP($A86,WFieldHockey!$C:$O,H$1-2011,FALSE),0)+IFERROR(VLOOKUP($A86,WIceHockey!$C:$O,H$1-2011,FALSE),0)+IFERROR(VLOOKUP($A86,WLacrosse!$C:$O,H$1-2011,FALSE),0)+IFERROR(VLOOKUP($A86,WSoccer!$C:$O,H$1-2011,FALSE),0)+IFERROR(VLOOKUP($A86,WSoftball!$C:$O,H$1-2011,FALSE),0)+IFERROR(VLOOKUP($A86,WVolleyball!$C:$O,H$1-2011,FALSE),0)</f>
        <v>603061</v>
      </c>
      <c r="I86">
        <f>IFERROR(VLOOKUP($A86,MBaseball!$C:$N,I$1-2010,FALSE),0)+IFERROR(VLOOKUP($A86,MBasketball!$C:$J,I$1-2006,FALSE),0)+IFERROR(VLOOKUP($A86,MFootball!$C:$O,I$1-2011,FALSE),0)+IFERROR(VLOOKUP($A86,MIceHockey!$C:$P,I$1-2011,FALSE),0)+IFERROR(VLOOKUP($A86,MLacrosse!$C:$O,I$1-2011,FALSE),0)+IFERROR(VLOOKUP($A86,MSoccer!$C:$O,I$1-2011,FALSE),0)+IFERROR(VLOOKUP($A86,MVolleyball!$C:$O,I$1-2011,FALSE),0)+IFERROR(VLOOKUP($A86,WBasketball!$C:$O,I$1-2011,FALSE),0)+IFERROR(VLOOKUP($A86,WFieldHockey!$C:$O,I$1-2011,FALSE),0)+IFERROR(VLOOKUP($A86,WIceHockey!$C:$O,I$1-2011,FALSE),0)+IFERROR(VLOOKUP($A86,WLacrosse!$C:$O,I$1-2011,FALSE),0)+IFERROR(VLOOKUP($A86,WSoccer!$C:$O,I$1-2011,FALSE),0)+IFERROR(VLOOKUP($A86,WSoftball!$C:$O,I$1-2011,FALSE),0)+IFERROR(VLOOKUP($A86,WVolleyball!$C:$O,I$1-2011,FALSE),0)</f>
        <v>944950</v>
      </c>
      <c r="J86">
        <f>IFERROR(VLOOKUP($A86,MBaseball!$C:$N,J$1-2010,FALSE),0)+IFERROR(VLOOKUP($A86,MBasketball!$C:$J,J$1-2006,FALSE),0)+IFERROR(VLOOKUP($A86,MFootball!$C:$O,J$1-2011,FALSE),0)+IFERROR(VLOOKUP($A86,MIceHockey!$C:$P,J$1-2011,FALSE),0)+IFERROR(VLOOKUP($A86,MLacrosse!$C:$O,J$1-2011,FALSE),0)+IFERROR(VLOOKUP($A86,MSoccer!$C:$O,J$1-2011,FALSE),0)+IFERROR(VLOOKUP($A86,MVolleyball!$C:$O,J$1-2011,FALSE),0)+IFERROR(VLOOKUP($A86,WBasketball!$C:$O,J$1-2011,FALSE),0)+IFERROR(VLOOKUP($A86,WFieldHockey!$C:$O,J$1-2011,FALSE),0)+IFERROR(VLOOKUP($A86,WIceHockey!$C:$O,J$1-2011,FALSE),0)+IFERROR(VLOOKUP($A86,WLacrosse!$C:$O,J$1-2011,FALSE),0)+IFERROR(VLOOKUP($A86,WSoccer!$C:$O,J$1-2011,FALSE),0)+IFERROR(VLOOKUP($A86,WSoftball!$C:$O,J$1-2011,FALSE),0)+IFERROR(VLOOKUP($A86,WVolleyball!$C:$O,J$1-2011,FALSE),0)</f>
        <v>671662</v>
      </c>
      <c r="K86">
        <f>IFERROR(VLOOKUP($A86,MBaseball!$C:$N,K$1-2010,FALSE),0)+IFERROR(VLOOKUP($A86,MBasketball!$C:$J,K$1-2006,FALSE),0)+IFERROR(VLOOKUP($A86,MFootball!$C:$O,K$1-2011,FALSE),0)+IFERROR(VLOOKUP($A86,MIceHockey!$C:$P,K$1-2011,FALSE),0)+IFERROR(VLOOKUP($A86,MLacrosse!$C:$O,K$1-2011,FALSE),0)+IFERROR(VLOOKUP($A86,MSoccer!$C:$O,K$1-2011,FALSE),0)+IFERROR(VLOOKUP($A86,MVolleyball!$C:$O,K$1-2011,FALSE),0)+IFERROR(VLOOKUP($A86,WBasketball!$C:$O,K$1-2011,FALSE),0)+IFERROR(VLOOKUP($A86,WFieldHockey!$C:$O,K$1-2011,FALSE),0)+IFERROR(VLOOKUP($A86,WIceHockey!$C:$O,K$1-2011,FALSE),0)+IFERROR(VLOOKUP($A86,WLacrosse!$C:$O,K$1-2011,FALSE),0)+IFERROR(VLOOKUP($A86,WSoccer!$C:$O,K$1-2011,FALSE),0)+IFERROR(VLOOKUP($A86,WSoftball!$C:$O,K$1-2011,FALSE),0)+IFERROR(VLOOKUP($A86,WVolleyball!$C:$O,K$1-2011,FALSE),0)</f>
        <v>753076</v>
      </c>
      <c r="L86">
        <f>IFERROR(VLOOKUP($A86,MBaseball!$C:$N,L$1-2010,FALSE),0)+IFERROR(VLOOKUP($A86,MBasketball!$C:$J,L$1-2006,FALSE),0)+IFERROR(VLOOKUP($A86,MFootball!$C:$O,L$1-2011,FALSE),0)+IFERROR(VLOOKUP($A86,MIceHockey!$C:$P,L$1-2011,FALSE),0)+IFERROR(VLOOKUP($A86,MLacrosse!$C:$O,L$1-2011,FALSE),0)+IFERROR(VLOOKUP($A86,MSoccer!$C:$O,L$1-2011,FALSE),0)+IFERROR(VLOOKUP($A86,MVolleyball!$C:$O,L$1-2011,FALSE),0)+IFERROR(VLOOKUP($A86,WBasketball!$C:$O,L$1-2011,FALSE),0)+IFERROR(VLOOKUP($A86,WFieldHockey!$C:$O,L$1-2011,FALSE),0)+IFERROR(VLOOKUP($A86,WIceHockey!$C:$O,L$1-2011,FALSE),0)+IFERROR(VLOOKUP($A86,WLacrosse!$C:$O,L$1-2011,FALSE),0)+IFERROR(VLOOKUP($A86,WSoccer!$C:$O,L$1-2011,FALSE),0)+IFERROR(VLOOKUP($A86,WSoftball!$C:$O,L$1-2011,FALSE),0)+IFERROR(VLOOKUP($A86,WVolleyball!$C:$O,L$1-2011,FALSE),0)</f>
        <v>412898</v>
      </c>
      <c r="M86">
        <f>IFERROR(VLOOKUP($A86,MBaseball!$C:$N,M$1-2010,FALSE),0)+IFERROR(VLOOKUP($A86,MBasketball!$C:$J,M$1-2006,FALSE),0)+IFERROR(VLOOKUP($A86,MFootball!$C:$O,M$1-2011,FALSE),0)+IFERROR(VLOOKUP($A86,MIceHockey!$C:$P,M$1-2011,FALSE),0)+IFERROR(VLOOKUP($A86,MLacrosse!$C:$O,M$1-2011,FALSE),0)+IFERROR(VLOOKUP($A86,MSoccer!$C:$O,M$1-2011,FALSE),0)+IFERROR(VLOOKUP($A86,MVolleyball!$C:$O,M$1-2011,FALSE),0)+IFERROR(VLOOKUP($A86,WBasketball!$C:$O,M$1-2011,FALSE),0)+IFERROR(VLOOKUP($A86,WFieldHockey!$C:$O,M$1-2011,FALSE),0)+IFERROR(VLOOKUP($A86,WIceHockey!$C:$O,M$1-2011,FALSE),0)+IFERROR(VLOOKUP($A86,WLacrosse!$C:$O,M$1-2011,FALSE),0)+IFERROR(VLOOKUP($A86,WSoccer!$C:$O,M$1-2011,FALSE),0)+IFERROR(VLOOKUP($A86,WSoftball!$C:$O,M$1-2011,FALSE),0)+IFERROR(VLOOKUP($A86,WVolleyball!$C:$O,M$1-2011,FALSE),0)</f>
        <v>785640</v>
      </c>
      <c r="N86">
        <f>IFERROR(VLOOKUP($A86,MBaseball!$C:$N,N$1-2010,FALSE),0)+IFERROR(VLOOKUP($A86,MBasketball!$C:$J,N$1-2006,FALSE),0)+IFERROR(VLOOKUP($A86,MFootball!$C:$O,N$1-2011,FALSE),0)+IFERROR(VLOOKUP($A86,MIceHockey!$C:$P,N$1-2011,FALSE),0)+IFERROR(VLOOKUP($A86,MLacrosse!$C:$O,N$1-2011,FALSE),0)+IFERROR(VLOOKUP($A86,MSoccer!$C:$O,N$1-2011,FALSE),0)+IFERROR(VLOOKUP($A86,MVolleyball!$C:$O,N$1-2011,FALSE),0)+IFERROR(VLOOKUP($A86,WBasketball!$C:$O,N$1-2011,FALSE),0)+IFERROR(VLOOKUP($A86,WFieldHockey!$C:$O,N$1-2011,FALSE),0)+IFERROR(VLOOKUP($A86,WIceHockey!$C:$O,N$1-2011,FALSE),0)+IFERROR(VLOOKUP($A86,WLacrosse!$C:$O,N$1-2011,FALSE),0)+IFERROR(VLOOKUP($A86,WSoccer!$C:$O,N$1-2011,FALSE),0)+IFERROR(VLOOKUP($A86,WSoftball!$C:$O,N$1-2011,FALSE),0)+IFERROR(VLOOKUP($A86,WVolleyball!$C:$O,N$1-2011,FALSE),0)</f>
        <v>490418</v>
      </c>
    </row>
    <row r="87" spans="1:14" x14ac:dyDescent="0.2">
      <c r="A87">
        <v>178396</v>
      </c>
      <c r="B87">
        <v>17860</v>
      </c>
      <c r="C87" t="s">
        <v>141</v>
      </c>
      <c r="D87">
        <v>86</v>
      </c>
      <c r="E87">
        <f>IFERROR(VLOOKUP($A87,MBaseball!$C:$N,E$1-2010,FALSE),0)+IFERROR(VLOOKUP($A87,MBasketball!$C:$J,E$1-2006,FALSE),0)+IFERROR(VLOOKUP($A87,MFootball!$C:$O,E$1-2011,FALSE),0)+IFERROR(VLOOKUP($A87,MIceHockey!$C:$P,E$1-2011,FALSE),0)+IFERROR(VLOOKUP($A87,MLacrosse!$C:$O,E$1-2011,FALSE),0)+IFERROR(VLOOKUP($A87,MSoccer!$C:$O,E$1-2011,FALSE),0)+IFERROR(VLOOKUP($A87,MVolleyball!$C:$O,E$1-2011,FALSE),0)+IFERROR(VLOOKUP($A87,WBasketball!$C:$O,E$1-2011,FALSE),0)+IFERROR(VLOOKUP($A87,WFieldHockey!$C:$O,E$1-2011,FALSE),0)+IFERROR(VLOOKUP($A87,WIceHockey!$C:$O,E$1-2011,FALSE),0)+IFERROR(VLOOKUP($A87,WLacrosse!$C:$O,E$1-2011,FALSE),0)+IFERROR(VLOOKUP($A87,WSoccer!$C:$O,E$1-2011,FALSE),0)+IFERROR(VLOOKUP($A87,WSoftball!$C:$O,E$1-2011,FALSE),0)+IFERROR(VLOOKUP($A87,WVolleyball!$C:$O,E$1-2011,FALSE),0)</f>
        <v>280271</v>
      </c>
      <c r="F87">
        <f>IFERROR(VLOOKUP($A87,MBaseball!$C:$N,F$1-2010,FALSE),0)+IFERROR(VLOOKUP($A87,MBasketball!$C:$J,F$1-2006,FALSE),0)+IFERROR(VLOOKUP($A87,MFootball!$C:$O,F$1-2011,FALSE),0)+IFERROR(VLOOKUP($A87,MIceHockey!$C:$P,F$1-2011,FALSE),0)+IFERROR(VLOOKUP($A87,MLacrosse!$C:$O,F$1-2011,FALSE),0)+IFERROR(VLOOKUP($A87,MSoccer!$C:$O,F$1-2011,FALSE),0)+IFERROR(VLOOKUP($A87,MVolleyball!$C:$O,F$1-2011,FALSE),0)+IFERROR(VLOOKUP($A87,WBasketball!$C:$O,F$1-2011,FALSE),0)+IFERROR(VLOOKUP($A87,WFieldHockey!$C:$O,F$1-2011,FALSE),0)+IFERROR(VLOOKUP($A87,WIceHockey!$C:$O,F$1-2011,FALSE),0)+IFERROR(VLOOKUP($A87,WLacrosse!$C:$O,F$1-2011,FALSE),0)+IFERROR(VLOOKUP($A87,WSoccer!$C:$O,F$1-2011,FALSE),0)+IFERROR(VLOOKUP($A87,WSoftball!$C:$O,F$1-2011,FALSE),0)+IFERROR(VLOOKUP($A87,WVolleyball!$C:$O,F$1-2011,FALSE),0)</f>
        <v>544448</v>
      </c>
      <c r="G87">
        <f>IFERROR(VLOOKUP($A87,MBaseball!$C:$N,G$1-2010,FALSE),0)+IFERROR(VLOOKUP($A87,MBasketball!$C:$J,G$1-2006,FALSE),0)+IFERROR(VLOOKUP($A87,MFootball!$C:$O,G$1-2011,FALSE),0)+IFERROR(VLOOKUP($A87,MIceHockey!$C:$P,G$1-2011,FALSE),0)+IFERROR(VLOOKUP($A87,MLacrosse!$C:$O,G$1-2011,FALSE),0)+IFERROR(VLOOKUP($A87,MSoccer!$C:$O,G$1-2011,FALSE),0)+IFERROR(VLOOKUP($A87,MVolleyball!$C:$O,G$1-2011,FALSE),0)+IFERROR(VLOOKUP($A87,WBasketball!$C:$O,G$1-2011,FALSE),0)+IFERROR(VLOOKUP($A87,WFieldHockey!$C:$O,G$1-2011,FALSE),0)+IFERROR(VLOOKUP($A87,WIceHockey!$C:$O,G$1-2011,FALSE),0)+IFERROR(VLOOKUP($A87,WLacrosse!$C:$O,G$1-2011,FALSE),0)+IFERROR(VLOOKUP($A87,WSoccer!$C:$O,G$1-2011,FALSE),0)+IFERROR(VLOOKUP($A87,WSoftball!$C:$O,G$1-2011,FALSE),0)+IFERROR(VLOOKUP($A87,WVolleyball!$C:$O,G$1-2011,FALSE),0)</f>
        <v>537573</v>
      </c>
      <c r="H87">
        <f>IFERROR(VLOOKUP($A87,MBaseball!$C:$N,H$1-2010,FALSE),0)+IFERROR(VLOOKUP($A87,MBasketball!$C:$J,H$1-2006,FALSE),0)+IFERROR(VLOOKUP($A87,MFootball!$C:$O,H$1-2011,FALSE),0)+IFERROR(VLOOKUP($A87,MIceHockey!$C:$P,H$1-2011,FALSE),0)+IFERROR(VLOOKUP($A87,MLacrosse!$C:$O,H$1-2011,FALSE),0)+IFERROR(VLOOKUP($A87,MSoccer!$C:$O,H$1-2011,FALSE),0)+IFERROR(VLOOKUP($A87,MVolleyball!$C:$O,H$1-2011,FALSE),0)+IFERROR(VLOOKUP($A87,WBasketball!$C:$O,H$1-2011,FALSE),0)+IFERROR(VLOOKUP($A87,WFieldHockey!$C:$O,H$1-2011,FALSE),0)+IFERROR(VLOOKUP($A87,WIceHockey!$C:$O,H$1-2011,FALSE),0)+IFERROR(VLOOKUP($A87,WLacrosse!$C:$O,H$1-2011,FALSE),0)+IFERROR(VLOOKUP($A87,WSoccer!$C:$O,H$1-2011,FALSE),0)+IFERROR(VLOOKUP($A87,WSoftball!$C:$O,H$1-2011,FALSE),0)+IFERROR(VLOOKUP($A87,WVolleyball!$C:$O,H$1-2011,FALSE),0)</f>
        <v>511230</v>
      </c>
      <c r="I87">
        <f>IFERROR(VLOOKUP($A87,MBaseball!$C:$N,I$1-2010,FALSE),0)+IFERROR(VLOOKUP($A87,MBasketball!$C:$J,I$1-2006,FALSE),0)+IFERROR(VLOOKUP($A87,MFootball!$C:$O,I$1-2011,FALSE),0)+IFERROR(VLOOKUP($A87,MIceHockey!$C:$P,I$1-2011,FALSE),0)+IFERROR(VLOOKUP($A87,MLacrosse!$C:$O,I$1-2011,FALSE),0)+IFERROR(VLOOKUP($A87,MSoccer!$C:$O,I$1-2011,FALSE),0)+IFERROR(VLOOKUP($A87,MVolleyball!$C:$O,I$1-2011,FALSE),0)+IFERROR(VLOOKUP($A87,WBasketball!$C:$O,I$1-2011,FALSE),0)+IFERROR(VLOOKUP($A87,WFieldHockey!$C:$O,I$1-2011,FALSE),0)+IFERROR(VLOOKUP($A87,WIceHockey!$C:$O,I$1-2011,FALSE),0)+IFERROR(VLOOKUP($A87,WLacrosse!$C:$O,I$1-2011,FALSE),0)+IFERROR(VLOOKUP($A87,WSoccer!$C:$O,I$1-2011,FALSE),0)+IFERROR(VLOOKUP($A87,WSoftball!$C:$O,I$1-2011,FALSE),0)+IFERROR(VLOOKUP($A87,WVolleyball!$C:$O,I$1-2011,FALSE),0)</f>
        <v>489777</v>
      </c>
      <c r="J87">
        <f>IFERROR(VLOOKUP($A87,MBaseball!$C:$N,J$1-2010,FALSE),0)+IFERROR(VLOOKUP($A87,MBasketball!$C:$J,J$1-2006,FALSE),0)+IFERROR(VLOOKUP($A87,MFootball!$C:$O,J$1-2011,FALSE),0)+IFERROR(VLOOKUP($A87,MIceHockey!$C:$P,J$1-2011,FALSE),0)+IFERROR(VLOOKUP($A87,MLacrosse!$C:$O,J$1-2011,FALSE),0)+IFERROR(VLOOKUP($A87,MSoccer!$C:$O,J$1-2011,FALSE),0)+IFERROR(VLOOKUP($A87,MVolleyball!$C:$O,J$1-2011,FALSE),0)+IFERROR(VLOOKUP($A87,WBasketball!$C:$O,J$1-2011,FALSE),0)+IFERROR(VLOOKUP($A87,WFieldHockey!$C:$O,J$1-2011,FALSE),0)+IFERROR(VLOOKUP($A87,WIceHockey!$C:$O,J$1-2011,FALSE),0)+IFERROR(VLOOKUP($A87,WLacrosse!$C:$O,J$1-2011,FALSE),0)+IFERROR(VLOOKUP($A87,WSoccer!$C:$O,J$1-2011,FALSE),0)+IFERROR(VLOOKUP($A87,WSoftball!$C:$O,J$1-2011,FALSE),0)+IFERROR(VLOOKUP($A87,WVolleyball!$C:$O,J$1-2011,FALSE),0)</f>
        <v>478423</v>
      </c>
      <c r="K87">
        <f>IFERROR(VLOOKUP($A87,MBaseball!$C:$N,K$1-2010,FALSE),0)+IFERROR(VLOOKUP($A87,MBasketball!$C:$J,K$1-2006,FALSE),0)+IFERROR(VLOOKUP($A87,MFootball!$C:$O,K$1-2011,FALSE),0)+IFERROR(VLOOKUP($A87,MIceHockey!$C:$P,K$1-2011,FALSE),0)+IFERROR(VLOOKUP($A87,MLacrosse!$C:$O,K$1-2011,FALSE),0)+IFERROR(VLOOKUP($A87,MSoccer!$C:$O,K$1-2011,FALSE),0)+IFERROR(VLOOKUP($A87,MVolleyball!$C:$O,K$1-2011,FALSE),0)+IFERROR(VLOOKUP($A87,WBasketball!$C:$O,K$1-2011,FALSE),0)+IFERROR(VLOOKUP($A87,WFieldHockey!$C:$O,K$1-2011,FALSE),0)+IFERROR(VLOOKUP($A87,WIceHockey!$C:$O,K$1-2011,FALSE),0)+IFERROR(VLOOKUP($A87,WLacrosse!$C:$O,K$1-2011,FALSE),0)+IFERROR(VLOOKUP($A87,WSoccer!$C:$O,K$1-2011,FALSE),0)+IFERROR(VLOOKUP($A87,WSoftball!$C:$O,K$1-2011,FALSE),0)+IFERROR(VLOOKUP($A87,WVolleyball!$C:$O,K$1-2011,FALSE),0)</f>
        <v>484371</v>
      </c>
      <c r="L87">
        <f>IFERROR(VLOOKUP($A87,MBaseball!$C:$N,L$1-2010,FALSE),0)+IFERROR(VLOOKUP($A87,MBasketball!$C:$J,L$1-2006,FALSE),0)+IFERROR(VLOOKUP($A87,MFootball!$C:$O,L$1-2011,FALSE),0)+IFERROR(VLOOKUP($A87,MIceHockey!$C:$P,L$1-2011,FALSE),0)+IFERROR(VLOOKUP($A87,MLacrosse!$C:$O,L$1-2011,FALSE),0)+IFERROR(VLOOKUP($A87,MSoccer!$C:$O,L$1-2011,FALSE),0)+IFERROR(VLOOKUP($A87,MVolleyball!$C:$O,L$1-2011,FALSE),0)+IFERROR(VLOOKUP($A87,WBasketball!$C:$O,L$1-2011,FALSE),0)+IFERROR(VLOOKUP($A87,WFieldHockey!$C:$O,L$1-2011,FALSE),0)+IFERROR(VLOOKUP($A87,WIceHockey!$C:$O,L$1-2011,FALSE),0)+IFERROR(VLOOKUP($A87,WLacrosse!$C:$O,L$1-2011,FALSE),0)+IFERROR(VLOOKUP($A87,WSoccer!$C:$O,L$1-2011,FALSE),0)+IFERROR(VLOOKUP($A87,WSoftball!$C:$O,L$1-2011,FALSE),0)+IFERROR(VLOOKUP($A87,WVolleyball!$C:$O,L$1-2011,FALSE),0)</f>
        <v>141149</v>
      </c>
      <c r="M87">
        <f>IFERROR(VLOOKUP($A87,MBaseball!$C:$N,M$1-2010,FALSE),0)+IFERROR(VLOOKUP($A87,MBasketball!$C:$J,M$1-2006,FALSE),0)+IFERROR(VLOOKUP($A87,MFootball!$C:$O,M$1-2011,FALSE),0)+IFERROR(VLOOKUP($A87,MIceHockey!$C:$P,M$1-2011,FALSE),0)+IFERROR(VLOOKUP($A87,MLacrosse!$C:$O,M$1-2011,FALSE),0)+IFERROR(VLOOKUP($A87,MSoccer!$C:$O,M$1-2011,FALSE),0)+IFERROR(VLOOKUP($A87,MVolleyball!$C:$O,M$1-2011,FALSE),0)+IFERROR(VLOOKUP($A87,WBasketball!$C:$O,M$1-2011,FALSE),0)+IFERROR(VLOOKUP($A87,WFieldHockey!$C:$O,M$1-2011,FALSE),0)+IFERROR(VLOOKUP($A87,WIceHockey!$C:$O,M$1-2011,FALSE),0)+IFERROR(VLOOKUP($A87,WLacrosse!$C:$O,M$1-2011,FALSE),0)+IFERROR(VLOOKUP($A87,WSoccer!$C:$O,M$1-2011,FALSE),0)+IFERROR(VLOOKUP($A87,WSoftball!$C:$O,M$1-2011,FALSE),0)+IFERROR(VLOOKUP($A87,WVolleyball!$C:$O,M$1-2011,FALSE),0)</f>
        <v>461334</v>
      </c>
      <c r="N87">
        <f>IFERROR(VLOOKUP($A87,MBaseball!$C:$N,N$1-2010,FALSE),0)+IFERROR(VLOOKUP($A87,MBasketball!$C:$J,N$1-2006,FALSE),0)+IFERROR(VLOOKUP($A87,MFootball!$C:$O,N$1-2011,FALSE),0)+IFERROR(VLOOKUP($A87,MIceHockey!$C:$P,N$1-2011,FALSE),0)+IFERROR(VLOOKUP($A87,MLacrosse!$C:$O,N$1-2011,FALSE),0)+IFERROR(VLOOKUP($A87,MSoccer!$C:$O,N$1-2011,FALSE),0)+IFERROR(VLOOKUP($A87,MVolleyball!$C:$O,N$1-2011,FALSE),0)+IFERROR(VLOOKUP($A87,WBasketball!$C:$O,N$1-2011,FALSE),0)+IFERROR(VLOOKUP($A87,WFieldHockey!$C:$O,N$1-2011,FALSE),0)+IFERROR(VLOOKUP($A87,WIceHockey!$C:$O,N$1-2011,FALSE),0)+IFERROR(VLOOKUP($A87,WLacrosse!$C:$O,N$1-2011,FALSE),0)+IFERROR(VLOOKUP($A87,WSoccer!$C:$O,N$1-2011,FALSE),0)+IFERROR(VLOOKUP($A87,WSoftball!$C:$O,N$1-2011,FALSE),0)+IFERROR(VLOOKUP($A87,WVolleyball!$C:$O,N$1-2011,FALSE),0)</f>
        <v>493362</v>
      </c>
    </row>
    <row r="88" spans="1:14" x14ac:dyDescent="0.2">
      <c r="A88">
        <v>178402</v>
      </c>
      <c r="B88">
        <v>28140</v>
      </c>
      <c r="C88" t="s">
        <v>142</v>
      </c>
      <c r="D88">
        <v>87</v>
      </c>
      <c r="E88">
        <f>IFERROR(VLOOKUP($A88,MBaseball!$C:$N,E$1-2010,FALSE),0)+IFERROR(VLOOKUP($A88,MBasketball!$C:$J,E$1-2006,FALSE),0)+IFERROR(VLOOKUP($A88,MFootball!$C:$O,E$1-2011,FALSE),0)+IFERROR(VLOOKUP($A88,MIceHockey!$C:$P,E$1-2011,FALSE),0)+IFERROR(VLOOKUP($A88,MLacrosse!$C:$O,E$1-2011,FALSE),0)+IFERROR(VLOOKUP($A88,MSoccer!$C:$O,E$1-2011,FALSE),0)+IFERROR(VLOOKUP($A88,MVolleyball!$C:$O,E$1-2011,FALSE),0)+IFERROR(VLOOKUP($A88,WBasketball!$C:$O,E$1-2011,FALSE),0)+IFERROR(VLOOKUP($A88,WFieldHockey!$C:$O,E$1-2011,FALSE),0)+IFERROR(VLOOKUP($A88,WIceHockey!$C:$O,E$1-2011,FALSE),0)+IFERROR(VLOOKUP($A88,WLacrosse!$C:$O,E$1-2011,FALSE),0)+IFERROR(VLOOKUP($A88,WSoccer!$C:$O,E$1-2011,FALSE),0)+IFERROR(VLOOKUP($A88,WSoftball!$C:$O,E$1-2011,FALSE),0)+IFERROR(VLOOKUP($A88,WVolleyball!$C:$O,E$1-2011,FALSE),0)</f>
        <v>31076</v>
      </c>
      <c r="F88">
        <f>IFERROR(VLOOKUP($A88,MBaseball!$C:$N,F$1-2010,FALSE),0)+IFERROR(VLOOKUP($A88,MBasketball!$C:$J,F$1-2006,FALSE),0)+IFERROR(VLOOKUP($A88,MFootball!$C:$O,F$1-2011,FALSE),0)+IFERROR(VLOOKUP($A88,MIceHockey!$C:$P,F$1-2011,FALSE),0)+IFERROR(VLOOKUP($A88,MLacrosse!$C:$O,F$1-2011,FALSE),0)+IFERROR(VLOOKUP($A88,MSoccer!$C:$O,F$1-2011,FALSE),0)+IFERROR(VLOOKUP($A88,MVolleyball!$C:$O,F$1-2011,FALSE),0)+IFERROR(VLOOKUP($A88,WBasketball!$C:$O,F$1-2011,FALSE),0)+IFERROR(VLOOKUP($A88,WFieldHockey!$C:$O,F$1-2011,FALSE),0)+IFERROR(VLOOKUP($A88,WIceHockey!$C:$O,F$1-2011,FALSE),0)+IFERROR(VLOOKUP($A88,WLacrosse!$C:$O,F$1-2011,FALSE),0)+IFERROR(VLOOKUP($A88,WSoccer!$C:$O,F$1-2011,FALSE),0)+IFERROR(VLOOKUP($A88,WSoftball!$C:$O,F$1-2011,FALSE),0)+IFERROR(VLOOKUP($A88,WVolleyball!$C:$O,F$1-2011,FALSE),0)</f>
        <v>15755</v>
      </c>
      <c r="G88">
        <f>IFERROR(VLOOKUP($A88,MBaseball!$C:$N,G$1-2010,FALSE),0)+IFERROR(VLOOKUP($A88,MBasketball!$C:$J,G$1-2006,FALSE),0)+IFERROR(VLOOKUP($A88,MFootball!$C:$O,G$1-2011,FALSE),0)+IFERROR(VLOOKUP($A88,MIceHockey!$C:$P,G$1-2011,FALSE),0)+IFERROR(VLOOKUP($A88,MLacrosse!$C:$O,G$1-2011,FALSE),0)+IFERROR(VLOOKUP($A88,MSoccer!$C:$O,G$1-2011,FALSE),0)+IFERROR(VLOOKUP($A88,MVolleyball!$C:$O,G$1-2011,FALSE),0)+IFERROR(VLOOKUP($A88,WBasketball!$C:$O,G$1-2011,FALSE),0)+IFERROR(VLOOKUP($A88,WFieldHockey!$C:$O,G$1-2011,FALSE),0)+IFERROR(VLOOKUP($A88,WIceHockey!$C:$O,G$1-2011,FALSE),0)+IFERROR(VLOOKUP($A88,WLacrosse!$C:$O,G$1-2011,FALSE),0)+IFERROR(VLOOKUP($A88,WSoccer!$C:$O,G$1-2011,FALSE),0)+IFERROR(VLOOKUP($A88,WSoftball!$C:$O,G$1-2011,FALSE),0)+IFERROR(VLOOKUP($A88,WVolleyball!$C:$O,G$1-2011,FALSE),0)</f>
        <v>12757</v>
      </c>
      <c r="H88">
        <f>IFERROR(VLOOKUP($A88,MBaseball!$C:$N,H$1-2010,FALSE),0)+IFERROR(VLOOKUP($A88,MBasketball!$C:$J,H$1-2006,FALSE),0)+IFERROR(VLOOKUP($A88,MFootball!$C:$O,H$1-2011,FALSE),0)+IFERROR(VLOOKUP($A88,MIceHockey!$C:$P,H$1-2011,FALSE),0)+IFERROR(VLOOKUP($A88,MLacrosse!$C:$O,H$1-2011,FALSE),0)+IFERROR(VLOOKUP($A88,MSoccer!$C:$O,H$1-2011,FALSE),0)+IFERROR(VLOOKUP($A88,MVolleyball!$C:$O,H$1-2011,FALSE),0)+IFERROR(VLOOKUP($A88,WBasketball!$C:$O,H$1-2011,FALSE),0)+IFERROR(VLOOKUP($A88,WFieldHockey!$C:$O,H$1-2011,FALSE),0)+IFERROR(VLOOKUP($A88,WIceHockey!$C:$O,H$1-2011,FALSE),0)+IFERROR(VLOOKUP($A88,WLacrosse!$C:$O,H$1-2011,FALSE),0)+IFERROR(VLOOKUP($A88,WSoccer!$C:$O,H$1-2011,FALSE),0)+IFERROR(VLOOKUP($A88,WSoftball!$C:$O,H$1-2011,FALSE),0)+IFERROR(VLOOKUP($A88,WVolleyball!$C:$O,H$1-2011,FALSE),0)</f>
        <v>12784</v>
      </c>
      <c r="I88">
        <f>IFERROR(VLOOKUP($A88,MBaseball!$C:$N,I$1-2010,FALSE),0)+IFERROR(VLOOKUP($A88,MBasketball!$C:$J,I$1-2006,FALSE),0)+IFERROR(VLOOKUP($A88,MFootball!$C:$O,I$1-2011,FALSE),0)+IFERROR(VLOOKUP($A88,MIceHockey!$C:$P,I$1-2011,FALSE),0)+IFERROR(VLOOKUP($A88,MLacrosse!$C:$O,I$1-2011,FALSE),0)+IFERROR(VLOOKUP($A88,MSoccer!$C:$O,I$1-2011,FALSE),0)+IFERROR(VLOOKUP($A88,MVolleyball!$C:$O,I$1-2011,FALSE),0)+IFERROR(VLOOKUP($A88,WBasketball!$C:$O,I$1-2011,FALSE),0)+IFERROR(VLOOKUP($A88,WFieldHockey!$C:$O,I$1-2011,FALSE),0)+IFERROR(VLOOKUP($A88,WIceHockey!$C:$O,I$1-2011,FALSE),0)+IFERROR(VLOOKUP($A88,WLacrosse!$C:$O,I$1-2011,FALSE),0)+IFERROR(VLOOKUP($A88,WSoccer!$C:$O,I$1-2011,FALSE),0)+IFERROR(VLOOKUP($A88,WSoftball!$C:$O,I$1-2011,FALSE),0)+IFERROR(VLOOKUP($A88,WVolleyball!$C:$O,I$1-2011,FALSE),0)</f>
        <v>10044</v>
      </c>
      <c r="J88">
        <f>IFERROR(VLOOKUP($A88,MBaseball!$C:$N,J$1-2010,FALSE),0)+IFERROR(VLOOKUP($A88,MBasketball!$C:$J,J$1-2006,FALSE),0)+IFERROR(VLOOKUP($A88,MFootball!$C:$O,J$1-2011,FALSE),0)+IFERROR(VLOOKUP($A88,MIceHockey!$C:$P,J$1-2011,FALSE),0)+IFERROR(VLOOKUP($A88,MLacrosse!$C:$O,J$1-2011,FALSE),0)+IFERROR(VLOOKUP($A88,MSoccer!$C:$O,J$1-2011,FALSE),0)+IFERROR(VLOOKUP($A88,MVolleyball!$C:$O,J$1-2011,FALSE),0)+IFERROR(VLOOKUP($A88,WBasketball!$C:$O,J$1-2011,FALSE),0)+IFERROR(VLOOKUP($A88,WFieldHockey!$C:$O,J$1-2011,FALSE),0)+IFERROR(VLOOKUP($A88,WIceHockey!$C:$O,J$1-2011,FALSE),0)+IFERROR(VLOOKUP($A88,WLacrosse!$C:$O,J$1-2011,FALSE),0)+IFERROR(VLOOKUP($A88,WSoccer!$C:$O,J$1-2011,FALSE),0)+IFERROR(VLOOKUP($A88,WSoftball!$C:$O,J$1-2011,FALSE),0)+IFERROR(VLOOKUP($A88,WVolleyball!$C:$O,J$1-2011,FALSE),0)</f>
        <v>23208</v>
      </c>
      <c r="K88">
        <f>IFERROR(VLOOKUP($A88,MBaseball!$C:$N,K$1-2010,FALSE),0)+IFERROR(VLOOKUP($A88,MBasketball!$C:$J,K$1-2006,FALSE),0)+IFERROR(VLOOKUP($A88,MFootball!$C:$O,K$1-2011,FALSE),0)+IFERROR(VLOOKUP($A88,MIceHockey!$C:$P,K$1-2011,FALSE),0)+IFERROR(VLOOKUP($A88,MLacrosse!$C:$O,K$1-2011,FALSE),0)+IFERROR(VLOOKUP($A88,MSoccer!$C:$O,K$1-2011,FALSE),0)+IFERROR(VLOOKUP($A88,MVolleyball!$C:$O,K$1-2011,FALSE),0)+IFERROR(VLOOKUP($A88,WBasketball!$C:$O,K$1-2011,FALSE),0)+IFERROR(VLOOKUP($A88,WFieldHockey!$C:$O,K$1-2011,FALSE),0)+IFERROR(VLOOKUP($A88,WIceHockey!$C:$O,K$1-2011,FALSE),0)+IFERROR(VLOOKUP($A88,WLacrosse!$C:$O,K$1-2011,FALSE),0)+IFERROR(VLOOKUP($A88,WSoccer!$C:$O,K$1-2011,FALSE),0)+IFERROR(VLOOKUP($A88,WSoftball!$C:$O,K$1-2011,FALSE),0)+IFERROR(VLOOKUP($A88,WVolleyball!$C:$O,K$1-2011,FALSE),0)</f>
        <v>18253</v>
      </c>
      <c r="L88">
        <f>IFERROR(VLOOKUP($A88,MBaseball!$C:$N,L$1-2010,FALSE),0)+IFERROR(VLOOKUP($A88,MBasketball!$C:$J,L$1-2006,FALSE),0)+IFERROR(VLOOKUP($A88,MFootball!$C:$O,L$1-2011,FALSE),0)+IFERROR(VLOOKUP($A88,MIceHockey!$C:$P,L$1-2011,FALSE),0)+IFERROR(VLOOKUP($A88,MLacrosse!$C:$O,L$1-2011,FALSE),0)+IFERROR(VLOOKUP($A88,MSoccer!$C:$O,L$1-2011,FALSE),0)+IFERROR(VLOOKUP($A88,MVolleyball!$C:$O,L$1-2011,FALSE),0)+IFERROR(VLOOKUP($A88,WBasketball!$C:$O,L$1-2011,FALSE),0)+IFERROR(VLOOKUP($A88,WFieldHockey!$C:$O,L$1-2011,FALSE),0)+IFERROR(VLOOKUP($A88,WIceHockey!$C:$O,L$1-2011,FALSE),0)+IFERROR(VLOOKUP($A88,WLacrosse!$C:$O,L$1-2011,FALSE),0)+IFERROR(VLOOKUP($A88,WSoccer!$C:$O,L$1-2011,FALSE),0)+IFERROR(VLOOKUP($A88,WSoftball!$C:$O,L$1-2011,FALSE),0)+IFERROR(VLOOKUP($A88,WVolleyball!$C:$O,L$1-2011,FALSE),0)</f>
        <v>2822</v>
      </c>
      <c r="M88">
        <f>IFERROR(VLOOKUP($A88,MBaseball!$C:$N,M$1-2010,FALSE),0)+IFERROR(VLOOKUP($A88,MBasketball!$C:$J,M$1-2006,FALSE),0)+IFERROR(VLOOKUP($A88,MFootball!$C:$O,M$1-2011,FALSE),0)+IFERROR(VLOOKUP($A88,MIceHockey!$C:$P,M$1-2011,FALSE),0)+IFERROR(VLOOKUP($A88,MLacrosse!$C:$O,M$1-2011,FALSE),0)+IFERROR(VLOOKUP($A88,MSoccer!$C:$O,M$1-2011,FALSE),0)+IFERROR(VLOOKUP($A88,MVolleyball!$C:$O,M$1-2011,FALSE),0)+IFERROR(VLOOKUP($A88,WBasketball!$C:$O,M$1-2011,FALSE),0)+IFERROR(VLOOKUP($A88,WFieldHockey!$C:$O,M$1-2011,FALSE),0)+IFERROR(VLOOKUP($A88,WIceHockey!$C:$O,M$1-2011,FALSE),0)+IFERROR(VLOOKUP($A88,WLacrosse!$C:$O,M$1-2011,FALSE),0)+IFERROR(VLOOKUP($A88,WSoccer!$C:$O,M$1-2011,FALSE),0)+IFERROR(VLOOKUP($A88,WSoftball!$C:$O,M$1-2011,FALSE),0)+IFERROR(VLOOKUP($A88,WVolleyball!$C:$O,M$1-2011,FALSE),0)</f>
        <v>15129</v>
      </c>
      <c r="N88">
        <f>IFERROR(VLOOKUP($A88,MBaseball!$C:$N,N$1-2010,FALSE),0)+IFERROR(VLOOKUP($A88,MBasketball!$C:$J,N$1-2006,FALSE),0)+IFERROR(VLOOKUP($A88,MFootball!$C:$O,N$1-2011,FALSE),0)+IFERROR(VLOOKUP($A88,MIceHockey!$C:$P,N$1-2011,FALSE),0)+IFERROR(VLOOKUP($A88,MLacrosse!$C:$O,N$1-2011,FALSE),0)+IFERROR(VLOOKUP($A88,MSoccer!$C:$O,N$1-2011,FALSE),0)+IFERROR(VLOOKUP($A88,MVolleyball!$C:$O,N$1-2011,FALSE),0)+IFERROR(VLOOKUP($A88,WBasketball!$C:$O,N$1-2011,FALSE),0)+IFERROR(VLOOKUP($A88,WFieldHockey!$C:$O,N$1-2011,FALSE),0)+IFERROR(VLOOKUP($A88,WIceHockey!$C:$O,N$1-2011,FALSE),0)+IFERROR(VLOOKUP($A88,WLacrosse!$C:$O,N$1-2011,FALSE),0)+IFERROR(VLOOKUP($A88,WSoccer!$C:$O,N$1-2011,FALSE),0)+IFERROR(VLOOKUP($A88,WSoftball!$C:$O,N$1-2011,FALSE),0)+IFERROR(VLOOKUP($A88,WVolleyball!$C:$O,N$1-2011,FALSE),0)</f>
        <v>19973</v>
      </c>
    </row>
    <row r="89" spans="1:14" x14ac:dyDescent="0.2">
      <c r="A89">
        <v>179566</v>
      </c>
      <c r="B89">
        <v>44180</v>
      </c>
      <c r="C89" t="s">
        <v>143</v>
      </c>
      <c r="D89">
        <v>88</v>
      </c>
      <c r="E89">
        <f>IFERROR(VLOOKUP($A89,MBaseball!$C:$N,E$1-2010,FALSE),0)+IFERROR(VLOOKUP($A89,MBasketball!$C:$J,E$1-2006,FALSE),0)+IFERROR(VLOOKUP($A89,MFootball!$C:$O,E$1-2011,FALSE),0)+IFERROR(VLOOKUP($A89,MIceHockey!$C:$P,E$1-2011,FALSE),0)+IFERROR(VLOOKUP($A89,MLacrosse!$C:$O,E$1-2011,FALSE),0)+IFERROR(VLOOKUP($A89,MSoccer!$C:$O,E$1-2011,FALSE),0)+IFERROR(VLOOKUP($A89,MVolleyball!$C:$O,E$1-2011,FALSE),0)+IFERROR(VLOOKUP($A89,WBasketball!$C:$O,E$1-2011,FALSE),0)+IFERROR(VLOOKUP($A89,WFieldHockey!$C:$O,E$1-2011,FALSE),0)+IFERROR(VLOOKUP($A89,WIceHockey!$C:$O,E$1-2011,FALSE),0)+IFERROR(VLOOKUP($A89,WLacrosse!$C:$O,E$1-2011,FALSE),0)+IFERROR(VLOOKUP($A89,WSoccer!$C:$O,E$1-2011,FALSE),0)+IFERROR(VLOOKUP($A89,WSoftball!$C:$O,E$1-2011,FALSE),0)+IFERROR(VLOOKUP($A89,WVolleyball!$C:$O,E$1-2011,FALSE),0)</f>
        <v>173328</v>
      </c>
      <c r="F89">
        <f>IFERROR(VLOOKUP($A89,MBaseball!$C:$N,F$1-2010,FALSE),0)+IFERROR(VLOOKUP($A89,MBasketball!$C:$J,F$1-2006,FALSE),0)+IFERROR(VLOOKUP($A89,MFootball!$C:$O,F$1-2011,FALSE),0)+IFERROR(VLOOKUP($A89,MIceHockey!$C:$P,F$1-2011,FALSE),0)+IFERROR(VLOOKUP($A89,MLacrosse!$C:$O,F$1-2011,FALSE),0)+IFERROR(VLOOKUP($A89,MSoccer!$C:$O,F$1-2011,FALSE),0)+IFERROR(VLOOKUP($A89,MVolleyball!$C:$O,F$1-2011,FALSE),0)+IFERROR(VLOOKUP($A89,WBasketball!$C:$O,F$1-2011,FALSE),0)+IFERROR(VLOOKUP($A89,WFieldHockey!$C:$O,F$1-2011,FALSE),0)+IFERROR(VLOOKUP($A89,WIceHockey!$C:$O,F$1-2011,FALSE),0)+IFERROR(VLOOKUP($A89,WLacrosse!$C:$O,F$1-2011,FALSE),0)+IFERROR(VLOOKUP($A89,WSoccer!$C:$O,F$1-2011,FALSE),0)+IFERROR(VLOOKUP($A89,WSoftball!$C:$O,F$1-2011,FALSE),0)+IFERROR(VLOOKUP($A89,WVolleyball!$C:$O,F$1-2011,FALSE),0)</f>
        <v>137315</v>
      </c>
      <c r="G89">
        <f>IFERROR(VLOOKUP($A89,MBaseball!$C:$N,G$1-2010,FALSE),0)+IFERROR(VLOOKUP($A89,MBasketball!$C:$J,G$1-2006,FALSE),0)+IFERROR(VLOOKUP($A89,MFootball!$C:$O,G$1-2011,FALSE),0)+IFERROR(VLOOKUP($A89,MIceHockey!$C:$P,G$1-2011,FALSE),0)+IFERROR(VLOOKUP($A89,MLacrosse!$C:$O,G$1-2011,FALSE),0)+IFERROR(VLOOKUP($A89,MSoccer!$C:$O,G$1-2011,FALSE),0)+IFERROR(VLOOKUP($A89,MVolleyball!$C:$O,G$1-2011,FALSE),0)+IFERROR(VLOOKUP($A89,WBasketball!$C:$O,G$1-2011,FALSE),0)+IFERROR(VLOOKUP($A89,WFieldHockey!$C:$O,G$1-2011,FALSE),0)+IFERROR(VLOOKUP($A89,WIceHockey!$C:$O,G$1-2011,FALSE),0)+IFERROR(VLOOKUP($A89,WLacrosse!$C:$O,G$1-2011,FALSE),0)+IFERROR(VLOOKUP($A89,WSoccer!$C:$O,G$1-2011,FALSE),0)+IFERROR(VLOOKUP($A89,WSoftball!$C:$O,G$1-2011,FALSE),0)+IFERROR(VLOOKUP($A89,WVolleyball!$C:$O,G$1-2011,FALSE),0)</f>
        <v>140613</v>
      </c>
      <c r="H89">
        <f>IFERROR(VLOOKUP($A89,MBaseball!$C:$N,H$1-2010,FALSE),0)+IFERROR(VLOOKUP($A89,MBasketball!$C:$J,H$1-2006,FALSE),0)+IFERROR(VLOOKUP($A89,MFootball!$C:$O,H$1-2011,FALSE),0)+IFERROR(VLOOKUP($A89,MIceHockey!$C:$P,H$1-2011,FALSE),0)+IFERROR(VLOOKUP($A89,MLacrosse!$C:$O,H$1-2011,FALSE),0)+IFERROR(VLOOKUP($A89,MSoccer!$C:$O,H$1-2011,FALSE),0)+IFERROR(VLOOKUP($A89,MVolleyball!$C:$O,H$1-2011,FALSE),0)+IFERROR(VLOOKUP($A89,WBasketball!$C:$O,H$1-2011,FALSE),0)+IFERROR(VLOOKUP($A89,WFieldHockey!$C:$O,H$1-2011,FALSE),0)+IFERROR(VLOOKUP($A89,WIceHockey!$C:$O,H$1-2011,FALSE),0)+IFERROR(VLOOKUP($A89,WLacrosse!$C:$O,H$1-2011,FALSE),0)+IFERROR(VLOOKUP($A89,WSoccer!$C:$O,H$1-2011,FALSE),0)+IFERROR(VLOOKUP($A89,WSoftball!$C:$O,H$1-2011,FALSE),0)+IFERROR(VLOOKUP($A89,WVolleyball!$C:$O,H$1-2011,FALSE),0)</f>
        <v>124439</v>
      </c>
      <c r="I89">
        <f>IFERROR(VLOOKUP($A89,MBaseball!$C:$N,I$1-2010,FALSE),0)+IFERROR(VLOOKUP($A89,MBasketball!$C:$J,I$1-2006,FALSE),0)+IFERROR(VLOOKUP($A89,MFootball!$C:$O,I$1-2011,FALSE),0)+IFERROR(VLOOKUP($A89,MIceHockey!$C:$P,I$1-2011,FALSE),0)+IFERROR(VLOOKUP($A89,MLacrosse!$C:$O,I$1-2011,FALSE),0)+IFERROR(VLOOKUP($A89,MSoccer!$C:$O,I$1-2011,FALSE),0)+IFERROR(VLOOKUP($A89,MVolleyball!$C:$O,I$1-2011,FALSE),0)+IFERROR(VLOOKUP($A89,WBasketball!$C:$O,I$1-2011,FALSE),0)+IFERROR(VLOOKUP($A89,WFieldHockey!$C:$O,I$1-2011,FALSE),0)+IFERROR(VLOOKUP($A89,WIceHockey!$C:$O,I$1-2011,FALSE),0)+IFERROR(VLOOKUP($A89,WLacrosse!$C:$O,I$1-2011,FALSE),0)+IFERROR(VLOOKUP($A89,WSoccer!$C:$O,I$1-2011,FALSE),0)+IFERROR(VLOOKUP($A89,WSoftball!$C:$O,I$1-2011,FALSE),0)+IFERROR(VLOOKUP($A89,WVolleyball!$C:$O,I$1-2011,FALSE),0)</f>
        <v>108313</v>
      </c>
      <c r="J89">
        <f>IFERROR(VLOOKUP($A89,MBaseball!$C:$N,J$1-2010,FALSE),0)+IFERROR(VLOOKUP($A89,MBasketball!$C:$J,J$1-2006,FALSE),0)+IFERROR(VLOOKUP($A89,MFootball!$C:$O,J$1-2011,FALSE),0)+IFERROR(VLOOKUP($A89,MIceHockey!$C:$P,J$1-2011,FALSE),0)+IFERROR(VLOOKUP($A89,MLacrosse!$C:$O,J$1-2011,FALSE),0)+IFERROR(VLOOKUP($A89,MSoccer!$C:$O,J$1-2011,FALSE),0)+IFERROR(VLOOKUP($A89,MVolleyball!$C:$O,J$1-2011,FALSE),0)+IFERROR(VLOOKUP($A89,WBasketball!$C:$O,J$1-2011,FALSE),0)+IFERROR(VLOOKUP($A89,WFieldHockey!$C:$O,J$1-2011,FALSE),0)+IFERROR(VLOOKUP($A89,WIceHockey!$C:$O,J$1-2011,FALSE),0)+IFERROR(VLOOKUP($A89,WLacrosse!$C:$O,J$1-2011,FALSE),0)+IFERROR(VLOOKUP($A89,WSoccer!$C:$O,J$1-2011,FALSE),0)+IFERROR(VLOOKUP($A89,WSoftball!$C:$O,J$1-2011,FALSE),0)+IFERROR(VLOOKUP($A89,WVolleyball!$C:$O,J$1-2011,FALSE),0)</f>
        <v>93882</v>
      </c>
      <c r="K89">
        <f>IFERROR(VLOOKUP($A89,MBaseball!$C:$N,K$1-2010,FALSE),0)+IFERROR(VLOOKUP($A89,MBasketball!$C:$J,K$1-2006,FALSE),0)+IFERROR(VLOOKUP($A89,MFootball!$C:$O,K$1-2011,FALSE),0)+IFERROR(VLOOKUP($A89,MIceHockey!$C:$P,K$1-2011,FALSE),0)+IFERROR(VLOOKUP($A89,MLacrosse!$C:$O,K$1-2011,FALSE),0)+IFERROR(VLOOKUP($A89,MSoccer!$C:$O,K$1-2011,FALSE),0)+IFERROR(VLOOKUP($A89,MVolleyball!$C:$O,K$1-2011,FALSE),0)+IFERROR(VLOOKUP($A89,WBasketball!$C:$O,K$1-2011,FALSE),0)+IFERROR(VLOOKUP($A89,WFieldHockey!$C:$O,K$1-2011,FALSE),0)+IFERROR(VLOOKUP($A89,WIceHockey!$C:$O,K$1-2011,FALSE),0)+IFERROR(VLOOKUP($A89,WLacrosse!$C:$O,K$1-2011,FALSE),0)+IFERROR(VLOOKUP($A89,WSoccer!$C:$O,K$1-2011,FALSE),0)+IFERROR(VLOOKUP($A89,WSoftball!$C:$O,K$1-2011,FALSE),0)+IFERROR(VLOOKUP($A89,WVolleyball!$C:$O,K$1-2011,FALSE),0)</f>
        <v>91194</v>
      </c>
      <c r="L89">
        <f>IFERROR(VLOOKUP($A89,MBaseball!$C:$N,L$1-2010,FALSE),0)+IFERROR(VLOOKUP($A89,MBasketball!$C:$J,L$1-2006,FALSE),0)+IFERROR(VLOOKUP($A89,MFootball!$C:$O,L$1-2011,FALSE),0)+IFERROR(VLOOKUP($A89,MIceHockey!$C:$P,L$1-2011,FALSE),0)+IFERROR(VLOOKUP($A89,MLacrosse!$C:$O,L$1-2011,FALSE),0)+IFERROR(VLOOKUP($A89,MSoccer!$C:$O,L$1-2011,FALSE),0)+IFERROR(VLOOKUP($A89,MVolleyball!$C:$O,L$1-2011,FALSE),0)+IFERROR(VLOOKUP($A89,WBasketball!$C:$O,L$1-2011,FALSE),0)+IFERROR(VLOOKUP($A89,WFieldHockey!$C:$O,L$1-2011,FALSE),0)+IFERROR(VLOOKUP($A89,WIceHockey!$C:$O,L$1-2011,FALSE),0)+IFERROR(VLOOKUP($A89,WLacrosse!$C:$O,L$1-2011,FALSE),0)+IFERROR(VLOOKUP($A89,WSoccer!$C:$O,L$1-2011,FALSE),0)+IFERROR(VLOOKUP($A89,WSoftball!$C:$O,L$1-2011,FALSE),0)+IFERROR(VLOOKUP($A89,WVolleyball!$C:$O,L$1-2011,FALSE),0)</f>
        <v>54065</v>
      </c>
      <c r="M89">
        <f>IFERROR(VLOOKUP($A89,MBaseball!$C:$N,M$1-2010,FALSE),0)+IFERROR(VLOOKUP($A89,MBasketball!$C:$J,M$1-2006,FALSE),0)+IFERROR(VLOOKUP($A89,MFootball!$C:$O,M$1-2011,FALSE),0)+IFERROR(VLOOKUP($A89,MIceHockey!$C:$P,M$1-2011,FALSE),0)+IFERROR(VLOOKUP($A89,MLacrosse!$C:$O,M$1-2011,FALSE),0)+IFERROR(VLOOKUP($A89,MSoccer!$C:$O,M$1-2011,FALSE),0)+IFERROR(VLOOKUP($A89,MVolleyball!$C:$O,M$1-2011,FALSE),0)+IFERROR(VLOOKUP($A89,WBasketball!$C:$O,M$1-2011,FALSE),0)+IFERROR(VLOOKUP($A89,WFieldHockey!$C:$O,M$1-2011,FALSE),0)+IFERROR(VLOOKUP($A89,WIceHockey!$C:$O,M$1-2011,FALSE),0)+IFERROR(VLOOKUP($A89,WLacrosse!$C:$O,M$1-2011,FALSE),0)+IFERROR(VLOOKUP($A89,WSoccer!$C:$O,M$1-2011,FALSE),0)+IFERROR(VLOOKUP($A89,WSoftball!$C:$O,M$1-2011,FALSE),0)+IFERROR(VLOOKUP($A89,WVolleyball!$C:$O,M$1-2011,FALSE),0)</f>
        <v>123363</v>
      </c>
      <c r="N89">
        <f>IFERROR(VLOOKUP($A89,MBaseball!$C:$N,N$1-2010,FALSE),0)+IFERROR(VLOOKUP($A89,MBasketball!$C:$J,N$1-2006,FALSE),0)+IFERROR(VLOOKUP($A89,MFootball!$C:$O,N$1-2011,FALSE),0)+IFERROR(VLOOKUP($A89,MIceHockey!$C:$P,N$1-2011,FALSE),0)+IFERROR(VLOOKUP($A89,MLacrosse!$C:$O,N$1-2011,FALSE),0)+IFERROR(VLOOKUP($A89,MSoccer!$C:$O,N$1-2011,FALSE),0)+IFERROR(VLOOKUP($A89,MVolleyball!$C:$O,N$1-2011,FALSE),0)+IFERROR(VLOOKUP($A89,WBasketball!$C:$O,N$1-2011,FALSE),0)+IFERROR(VLOOKUP($A89,WFieldHockey!$C:$O,N$1-2011,FALSE),0)+IFERROR(VLOOKUP($A89,WIceHockey!$C:$O,N$1-2011,FALSE),0)+IFERROR(VLOOKUP($A89,WLacrosse!$C:$O,N$1-2011,FALSE),0)+IFERROR(VLOOKUP($A89,WSoccer!$C:$O,N$1-2011,FALSE),0)+IFERROR(VLOOKUP($A89,WSoftball!$C:$O,N$1-2011,FALSE),0)+IFERROR(VLOOKUP($A89,WVolleyball!$C:$O,N$1-2011,FALSE),0)</f>
        <v>92066</v>
      </c>
    </row>
    <row r="90" spans="1:14" x14ac:dyDescent="0.2">
      <c r="A90">
        <v>180489</v>
      </c>
      <c r="B90">
        <v>33540</v>
      </c>
      <c r="C90" t="s">
        <v>144</v>
      </c>
      <c r="D90">
        <v>89</v>
      </c>
      <c r="E90">
        <f>IFERROR(VLOOKUP($A90,MBaseball!$C:$N,E$1-2010,FALSE),0)+IFERROR(VLOOKUP($A90,MBasketball!$C:$J,E$1-2006,FALSE),0)+IFERROR(VLOOKUP($A90,MFootball!$C:$O,E$1-2011,FALSE),0)+IFERROR(VLOOKUP($A90,MIceHockey!$C:$P,E$1-2011,FALSE),0)+IFERROR(VLOOKUP($A90,MLacrosse!$C:$O,E$1-2011,FALSE),0)+IFERROR(VLOOKUP($A90,MSoccer!$C:$O,E$1-2011,FALSE),0)+IFERROR(VLOOKUP($A90,MVolleyball!$C:$O,E$1-2011,FALSE),0)+IFERROR(VLOOKUP($A90,WBasketball!$C:$O,E$1-2011,FALSE),0)+IFERROR(VLOOKUP($A90,WFieldHockey!$C:$O,E$1-2011,FALSE),0)+IFERROR(VLOOKUP($A90,WIceHockey!$C:$O,E$1-2011,FALSE),0)+IFERROR(VLOOKUP($A90,WLacrosse!$C:$O,E$1-2011,FALSE),0)+IFERROR(VLOOKUP($A90,WSoccer!$C:$O,E$1-2011,FALSE),0)+IFERROR(VLOOKUP($A90,WSoftball!$C:$O,E$1-2011,FALSE),0)+IFERROR(VLOOKUP($A90,WVolleyball!$C:$O,E$1-2011,FALSE),0)</f>
        <v>118124</v>
      </c>
      <c r="F90">
        <f>IFERROR(VLOOKUP($A90,MBaseball!$C:$N,F$1-2010,FALSE),0)+IFERROR(VLOOKUP($A90,MBasketball!$C:$J,F$1-2006,FALSE),0)+IFERROR(VLOOKUP($A90,MFootball!$C:$O,F$1-2011,FALSE),0)+IFERROR(VLOOKUP($A90,MIceHockey!$C:$P,F$1-2011,FALSE),0)+IFERROR(VLOOKUP($A90,MLacrosse!$C:$O,F$1-2011,FALSE),0)+IFERROR(VLOOKUP($A90,MSoccer!$C:$O,F$1-2011,FALSE),0)+IFERROR(VLOOKUP($A90,MVolleyball!$C:$O,F$1-2011,FALSE),0)+IFERROR(VLOOKUP($A90,WBasketball!$C:$O,F$1-2011,FALSE),0)+IFERROR(VLOOKUP($A90,WFieldHockey!$C:$O,F$1-2011,FALSE),0)+IFERROR(VLOOKUP($A90,WIceHockey!$C:$O,F$1-2011,FALSE),0)+IFERROR(VLOOKUP($A90,WLacrosse!$C:$O,F$1-2011,FALSE),0)+IFERROR(VLOOKUP($A90,WSoccer!$C:$O,F$1-2011,FALSE),0)+IFERROR(VLOOKUP($A90,WSoftball!$C:$O,F$1-2011,FALSE),0)+IFERROR(VLOOKUP($A90,WVolleyball!$C:$O,F$1-2011,FALSE),0)</f>
        <v>227763</v>
      </c>
      <c r="G90">
        <f>IFERROR(VLOOKUP($A90,MBaseball!$C:$N,G$1-2010,FALSE),0)+IFERROR(VLOOKUP($A90,MBasketball!$C:$J,G$1-2006,FALSE),0)+IFERROR(VLOOKUP($A90,MFootball!$C:$O,G$1-2011,FALSE),0)+IFERROR(VLOOKUP($A90,MIceHockey!$C:$P,G$1-2011,FALSE),0)+IFERROR(VLOOKUP($A90,MLacrosse!$C:$O,G$1-2011,FALSE),0)+IFERROR(VLOOKUP($A90,MSoccer!$C:$O,G$1-2011,FALSE),0)+IFERROR(VLOOKUP($A90,MVolleyball!$C:$O,G$1-2011,FALSE),0)+IFERROR(VLOOKUP($A90,WBasketball!$C:$O,G$1-2011,FALSE),0)+IFERROR(VLOOKUP($A90,WFieldHockey!$C:$O,G$1-2011,FALSE),0)+IFERROR(VLOOKUP($A90,WIceHockey!$C:$O,G$1-2011,FALSE),0)+IFERROR(VLOOKUP($A90,WLacrosse!$C:$O,G$1-2011,FALSE),0)+IFERROR(VLOOKUP($A90,WSoccer!$C:$O,G$1-2011,FALSE),0)+IFERROR(VLOOKUP($A90,WSoftball!$C:$O,G$1-2011,FALSE),0)+IFERROR(VLOOKUP($A90,WVolleyball!$C:$O,G$1-2011,FALSE),0)</f>
        <v>229994</v>
      </c>
      <c r="H90">
        <f>IFERROR(VLOOKUP($A90,MBaseball!$C:$N,H$1-2010,FALSE),0)+IFERROR(VLOOKUP($A90,MBasketball!$C:$J,H$1-2006,FALSE),0)+IFERROR(VLOOKUP($A90,MFootball!$C:$O,H$1-2011,FALSE),0)+IFERROR(VLOOKUP($A90,MIceHockey!$C:$P,H$1-2011,FALSE),0)+IFERROR(VLOOKUP($A90,MLacrosse!$C:$O,H$1-2011,FALSE),0)+IFERROR(VLOOKUP($A90,MSoccer!$C:$O,H$1-2011,FALSE),0)+IFERROR(VLOOKUP($A90,MVolleyball!$C:$O,H$1-2011,FALSE),0)+IFERROR(VLOOKUP($A90,WBasketball!$C:$O,H$1-2011,FALSE),0)+IFERROR(VLOOKUP($A90,WFieldHockey!$C:$O,H$1-2011,FALSE),0)+IFERROR(VLOOKUP($A90,WIceHockey!$C:$O,H$1-2011,FALSE),0)+IFERROR(VLOOKUP($A90,WLacrosse!$C:$O,H$1-2011,FALSE),0)+IFERROR(VLOOKUP($A90,WSoccer!$C:$O,H$1-2011,FALSE),0)+IFERROR(VLOOKUP($A90,WSoftball!$C:$O,H$1-2011,FALSE),0)+IFERROR(VLOOKUP($A90,WVolleyball!$C:$O,H$1-2011,FALSE),0)</f>
        <v>205582</v>
      </c>
      <c r="I90">
        <f>IFERROR(VLOOKUP($A90,MBaseball!$C:$N,I$1-2010,FALSE),0)+IFERROR(VLOOKUP($A90,MBasketball!$C:$J,I$1-2006,FALSE),0)+IFERROR(VLOOKUP($A90,MFootball!$C:$O,I$1-2011,FALSE),0)+IFERROR(VLOOKUP($A90,MIceHockey!$C:$P,I$1-2011,FALSE),0)+IFERROR(VLOOKUP($A90,MLacrosse!$C:$O,I$1-2011,FALSE),0)+IFERROR(VLOOKUP($A90,MSoccer!$C:$O,I$1-2011,FALSE),0)+IFERROR(VLOOKUP($A90,MVolleyball!$C:$O,I$1-2011,FALSE),0)+IFERROR(VLOOKUP($A90,WBasketball!$C:$O,I$1-2011,FALSE),0)+IFERROR(VLOOKUP($A90,WFieldHockey!$C:$O,I$1-2011,FALSE),0)+IFERROR(VLOOKUP($A90,WIceHockey!$C:$O,I$1-2011,FALSE),0)+IFERROR(VLOOKUP($A90,WLacrosse!$C:$O,I$1-2011,FALSE),0)+IFERROR(VLOOKUP($A90,WSoccer!$C:$O,I$1-2011,FALSE),0)+IFERROR(VLOOKUP($A90,WSoftball!$C:$O,I$1-2011,FALSE),0)+IFERROR(VLOOKUP($A90,WVolleyball!$C:$O,I$1-2011,FALSE),0)</f>
        <v>205888</v>
      </c>
      <c r="J90">
        <f>IFERROR(VLOOKUP($A90,MBaseball!$C:$N,J$1-2010,FALSE),0)+IFERROR(VLOOKUP($A90,MBasketball!$C:$J,J$1-2006,FALSE),0)+IFERROR(VLOOKUP($A90,MFootball!$C:$O,J$1-2011,FALSE),0)+IFERROR(VLOOKUP($A90,MIceHockey!$C:$P,J$1-2011,FALSE),0)+IFERROR(VLOOKUP($A90,MLacrosse!$C:$O,J$1-2011,FALSE),0)+IFERROR(VLOOKUP($A90,MSoccer!$C:$O,J$1-2011,FALSE),0)+IFERROR(VLOOKUP($A90,MVolleyball!$C:$O,J$1-2011,FALSE),0)+IFERROR(VLOOKUP($A90,WBasketball!$C:$O,J$1-2011,FALSE),0)+IFERROR(VLOOKUP($A90,WFieldHockey!$C:$O,J$1-2011,FALSE),0)+IFERROR(VLOOKUP($A90,WIceHockey!$C:$O,J$1-2011,FALSE),0)+IFERROR(VLOOKUP($A90,WLacrosse!$C:$O,J$1-2011,FALSE),0)+IFERROR(VLOOKUP($A90,WSoccer!$C:$O,J$1-2011,FALSE),0)+IFERROR(VLOOKUP($A90,WSoftball!$C:$O,J$1-2011,FALSE),0)+IFERROR(VLOOKUP($A90,WVolleyball!$C:$O,J$1-2011,FALSE),0)</f>
        <v>208762</v>
      </c>
      <c r="K90">
        <f>IFERROR(VLOOKUP($A90,MBaseball!$C:$N,K$1-2010,FALSE),0)+IFERROR(VLOOKUP($A90,MBasketball!$C:$J,K$1-2006,FALSE),0)+IFERROR(VLOOKUP($A90,MFootball!$C:$O,K$1-2011,FALSE),0)+IFERROR(VLOOKUP($A90,MIceHockey!$C:$P,K$1-2011,FALSE),0)+IFERROR(VLOOKUP($A90,MLacrosse!$C:$O,K$1-2011,FALSE),0)+IFERROR(VLOOKUP($A90,MSoccer!$C:$O,K$1-2011,FALSE),0)+IFERROR(VLOOKUP($A90,MVolleyball!$C:$O,K$1-2011,FALSE),0)+IFERROR(VLOOKUP($A90,WBasketball!$C:$O,K$1-2011,FALSE),0)+IFERROR(VLOOKUP($A90,WFieldHockey!$C:$O,K$1-2011,FALSE),0)+IFERROR(VLOOKUP($A90,WIceHockey!$C:$O,K$1-2011,FALSE),0)+IFERROR(VLOOKUP($A90,WLacrosse!$C:$O,K$1-2011,FALSE),0)+IFERROR(VLOOKUP($A90,WSoccer!$C:$O,K$1-2011,FALSE),0)+IFERROR(VLOOKUP($A90,WSoftball!$C:$O,K$1-2011,FALSE),0)+IFERROR(VLOOKUP($A90,WVolleyball!$C:$O,K$1-2011,FALSE),0)</f>
        <v>210612</v>
      </c>
      <c r="L90">
        <f>IFERROR(VLOOKUP($A90,MBaseball!$C:$N,L$1-2010,FALSE),0)+IFERROR(VLOOKUP($A90,MBasketball!$C:$J,L$1-2006,FALSE),0)+IFERROR(VLOOKUP($A90,MFootball!$C:$O,L$1-2011,FALSE),0)+IFERROR(VLOOKUP($A90,MIceHockey!$C:$P,L$1-2011,FALSE),0)+IFERROR(VLOOKUP($A90,MLacrosse!$C:$O,L$1-2011,FALSE),0)+IFERROR(VLOOKUP($A90,MSoccer!$C:$O,L$1-2011,FALSE),0)+IFERROR(VLOOKUP($A90,MVolleyball!$C:$O,L$1-2011,FALSE),0)+IFERROR(VLOOKUP($A90,WBasketball!$C:$O,L$1-2011,FALSE),0)+IFERROR(VLOOKUP($A90,WFieldHockey!$C:$O,L$1-2011,FALSE),0)+IFERROR(VLOOKUP($A90,WIceHockey!$C:$O,L$1-2011,FALSE),0)+IFERROR(VLOOKUP($A90,WLacrosse!$C:$O,L$1-2011,FALSE),0)+IFERROR(VLOOKUP($A90,WSoccer!$C:$O,L$1-2011,FALSE),0)+IFERROR(VLOOKUP($A90,WSoftball!$C:$O,L$1-2011,FALSE),0)+IFERROR(VLOOKUP($A90,WVolleyball!$C:$O,L$1-2011,FALSE),0)</f>
        <v>14770</v>
      </c>
      <c r="M90">
        <f>IFERROR(VLOOKUP($A90,MBaseball!$C:$N,M$1-2010,FALSE),0)+IFERROR(VLOOKUP($A90,MBasketball!$C:$J,M$1-2006,FALSE),0)+IFERROR(VLOOKUP($A90,MFootball!$C:$O,M$1-2011,FALSE),0)+IFERROR(VLOOKUP($A90,MIceHockey!$C:$P,M$1-2011,FALSE),0)+IFERROR(VLOOKUP($A90,MLacrosse!$C:$O,M$1-2011,FALSE),0)+IFERROR(VLOOKUP($A90,MSoccer!$C:$O,M$1-2011,FALSE),0)+IFERROR(VLOOKUP($A90,MVolleyball!$C:$O,M$1-2011,FALSE),0)+IFERROR(VLOOKUP($A90,WBasketball!$C:$O,M$1-2011,FALSE),0)+IFERROR(VLOOKUP($A90,WFieldHockey!$C:$O,M$1-2011,FALSE),0)+IFERROR(VLOOKUP($A90,WIceHockey!$C:$O,M$1-2011,FALSE),0)+IFERROR(VLOOKUP($A90,WLacrosse!$C:$O,M$1-2011,FALSE),0)+IFERROR(VLOOKUP($A90,WSoccer!$C:$O,M$1-2011,FALSE),0)+IFERROR(VLOOKUP($A90,WSoftball!$C:$O,M$1-2011,FALSE),0)+IFERROR(VLOOKUP($A90,WVolleyball!$C:$O,M$1-2011,FALSE),0)</f>
        <v>222511</v>
      </c>
      <c r="N90">
        <f>IFERROR(VLOOKUP($A90,MBaseball!$C:$N,N$1-2010,FALSE),0)+IFERROR(VLOOKUP($A90,MBasketball!$C:$J,N$1-2006,FALSE),0)+IFERROR(VLOOKUP($A90,MFootball!$C:$O,N$1-2011,FALSE),0)+IFERROR(VLOOKUP($A90,MIceHockey!$C:$P,N$1-2011,FALSE),0)+IFERROR(VLOOKUP($A90,MLacrosse!$C:$O,N$1-2011,FALSE),0)+IFERROR(VLOOKUP($A90,MSoccer!$C:$O,N$1-2011,FALSE),0)+IFERROR(VLOOKUP($A90,MVolleyball!$C:$O,N$1-2011,FALSE),0)+IFERROR(VLOOKUP($A90,WBasketball!$C:$O,N$1-2011,FALSE),0)+IFERROR(VLOOKUP($A90,WFieldHockey!$C:$O,N$1-2011,FALSE),0)+IFERROR(VLOOKUP($A90,WIceHockey!$C:$O,N$1-2011,FALSE),0)+IFERROR(VLOOKUP($A90,WLacrosse!$C:$O,N$1-2011,FALSE),0)+IFERROR(VLOOKUP($A90,WSoccer!$C:$O,N$1-2011,FALSE),0)+IFERROR(VLOOKUP($A90,WSoftball!$C:$O,N$1-2011,FALSE),0)+IFERROR(VLOOKUP($A90,WVolleyball!$C:$O,N$1-2011,FALSE),0)</f>
        <v>219804</v>
      </c>
    </row>
    <row r="91" spans="1:14" x14ac:dyDescent="0.2">
      <c r="A91">
        <v>180461</v>
      </c>
      <c r="B91">
        <v>14580</v>
      </c>
      <c r="C91" t="s">
        <v>145</v>
      </c>
      <c r="D91">
        <v>90</v>
      </c>
      <c r="E91">
        <f>IFERROR(VLOOKUP($A91,MBaseball!$C:$N,E$1-2010,FALSE),0)+IFERROR(VLOOKUP($A91,MBasketball!$C:$J,E$1-2006,FALSE),0)+IFERROR(VLOOKUP($A91,MFootball!$C:$O,E$1-2011,FALSE),0)+IFERROR(VLOOKUP($A91,MIceHockey!$C:$P,E$1-2011,FALSE),0)+IFERROR(VLOOKUP($A91,MLacrosse!$C:$O,E$1-2011,FALSE),0)+IFERROR(VLOOKUP($A91,MSoccer!$C:$O,E$1-2011,FALSE),0)+IFERROR(VLOOKUP($A91,MVolleyball!$C:$O,E$1-2011,FALSE),0)+IFERROR(VLOOKUP($A91,WBasketball!$C:$O,E$1-2011,FALSE),0)+IFERROR(VLOOKUP($A91,WFieldHockey!$C:$O,E$1-2011,FALSE),0)+IFERROR(VLOOKUP($A91,WIceHockey!$C:$O,E$1-2011,FALSE),0)+IFERROR(VLOOKUP($A91,WLacrosse!$C:$O,E$1-2011,FALSE),0)+IFERROR(VLOOKUP($A91,WSoccer!$C:$O,E$1-2011,FALSE),0)+IFERROR(VLOOKUP($A91,WSoftball!$C:$O,E$1-2011,FALSE),0)+IFERROR(VLOOKUP($A91,WVolleyball!$C:$O,E$1-2011,FALSE),0)</f>
        <v>65333</v>
      </c>
      <c r="F91">
        <f>IFERROR(VLOOKUP($A91,MBaseball!$C:$N,F$1-2010,FALSE),0)+IFERROR(VLOOKUP($A91,MBasketball!$C:$J,F$1-2006,FALSE),0)+IFERROR(VLOOKUP($A91,MFootball!$C:$O,F$1-2011,FALSE),0)+IFERROR(VLOOKUP($A91,MIceHockey!$C:$P,F$1-2011,FALSE),0)+IFERROR(VLOOKUP($A91,MLacrosse!$C:$O,F$1-2011,FALSE),0)+IFERROR(VLOOKUP($A91,MSoccer!$C:$O,F$1-2011,FALSE),0)+IFERROR(VLOOKUP($A91,MVolleyball!$C:$O,F$1-2011,FALSE),0)+IFERROR(VLOOKUP($A91,WBasketball!$C:$O,F$1-2011,FALSE),0)+IFERROR(VLOOKUP($A91,WFieldHockey!$C:$O,F$1-2011,FALSE),0)+IFERROR(VLOOKUP($A91,WIceHockey!$C:$O,F$1-2011,FALSE),0)+IFERROR(VLOOKUP($A91,WLacrosse!$C:$O,F$1-2011,FALSE),0)+IFERROR(VLOOKUP($A91,WSoccer!$C:$O,F$1-2011,FALSE),0)+IFERROR(VLOOKUP($A91,WSoftball!$C:$O,F$1-2011,FALSE),0)+IFERROR(VLOOKUP($A91,WVolleyball!$C:$O,F$1-2011,FALSE),0)</f>
        <v>157403</v>
      </c>
      <c r="G91">
        <f>IFERROR(VLOOKUP($A91,MBaseball!$C:$N,G$1-2010,FALSE),0)+IFERROR(VLOOKUP($A91,MBasketball!$C:$J,G$1-2006,FALSE),0)+IFERROR(VLOOKUP($A91,MFootball!$C:$O,G$1-2011,FALSE),0)+IFERROR(VLOOKUP($A91,MIceHockey!$C:$P,G$1-2011,FALSE),0)+IFERROR(VLOOKUP($A91,MLacrosse!$C:$O,G$1-2011,FALSE),0)+IFERROR(VLOOKUP($A91,MSoccer!$C:$O,G$1-2011,FALSE),0)+IFERROR(VLOOKUP($A91,MVolleyball!$C:$O,G$1-2011,FALSE),0)+IFERROR(VLOOKUP($A91,WBasketball!$C:$O,G$1-2011,FALSE),0)+IFERROR(VLOOKUP($A91,WFieldHockey!$C:$O,G$1-2011,FALSE),0)+IFERROR(VLOOKUP($A91,WIceHockey!$C:$O,G$1-2011,FALSE),0)+IFERROR(VLOOKUP($A91,WLacrosse!$C:$O,G$1-2011,FALSE),0)+IFERROR(VLOOKUP($A91,WSoccer!$C:$O,G$1-2011,FALSE),0)+IFERROR(VLOOKUP($A91,WSoftball!$C:$O,G$1-2011,FALSE),0)+IFERROR(VLOOKUP($A91,WVolleyball!$C:$O,G$1-2011,FALSE),0)</f>
        <v>142635</v>
      </c>
      <c r="H91">
        <f>IFERROR(VLOOKUP($A91,MBaseball!$C:$N,H$1-2010,FALSE),0)+IFERROR(VLOOKUP($A91,MBasketball!$C:$J,H$1-2006,FALSE),0)+IFERROR(VLOOKUP($A91,MFootball!$C:$O,H$1-2011,FALSE),0)+IFERROR(VLOOKUP($A91,MIceHockey!$C:$P,H$1-2011,FALSE),0)+IFERROR(VLOOKUP($A91,MLacrosse!$C:$O,H$1-2011,FALSE),0)+IFERROR(VLOOKUP($A91,MSoccer!$C:$O,H$1-2011,FALSE),0)+IFERROR(VLOOKUP($A91,MVolleyball!$C:$O,H$1-2011,FALSE),0)+IFERROR(VLOOKUP($A91,WBasketball!$C:$O,H$1-2011,FALSE),0)+IFERROR(VLOOKUP($A91,WFieldHockey!$C:$O,H$1-2011,FALSE),0)+IFERROR(VLOOKUP($A91,WIceHockey!$C:$O,H$1-2011,FALSE),0)+IFERROR(VLOOKUP($A91,WLacrosse!$C:$O,H$1-2011,FALSE),0)+IFERROR(VLOOKUP($A91,WSoccer!$C:$O,H$1-2011,FALSE),0)+IFERROR(VLOOKUP($A91,WSoftball!$C:$O,H$1-2011,FALSE),0)+IFERROR(VLOOKUP($A91,WVolleyball!$C:$O,H$1-2011,FALSE),0)</f>
        <v>138256</v>
      </c>
      <c r="I91">
        <f>IFERROR(VLOOKUP($A91,MBaseball!$C:$N,I$1-2010,FALSE),0)+IFERROR(VLOOKUP($A91,MBasketball!$C:$J,I$1-2006,FALSE),0)+IFERROR(VLOOKUP($A91,MFootball!$C:$O,I$1-2011,FALSE),0)+IFERROR(VLOOKUP($A91,MIceHockey!$C:$P,I$1-2011,FALSE),0)+IFERROR(VLOOKUP($A91,MLacrosse!$C:$O,I$1-2011,FALSE),0)+IFERROR(VLOOKUP($A91,MSoccer!$C:$O,I$1-2011,FALSE),0)+IFERROR(VLOOKUP($A91,MVolleyball!$C:$O,I$1-2011,FALSE),0)+IFERROR(VLOOKUP($A91,WBasketball!$C:$O,I$1-2011,FALSE),0)+IFERROR(VLOOKUP($A91,WFieldHockey!$C:$O,I$1-2011,FALSE),0)+IFERROR(VLOOKUP($A91,WIceHockey!$C:$O,I$1-2011,FALSE),0)+IFERROR(VLOOKUP($A91,WLacrosse!$C:$O,I$1-2011,FALSE),0)+IFERROR(VLOOKUP($A91,WSoccer!$C:$O,I$1-2011,FALSE),0)+IFERROR(VLOOKUP($A91,WSoftball!$C:$O,I$1-2011,FALSE),0)+IFERROR(VLOOKUP($A91,WVolleyball!$C:$O,I$1-2011,FALSE),0)</f>
        <v>152468</v>
      </c>
      <c r="J91">
        <f>IFERROR(VLOOKUP($A91,MBaseball!$C:$N,J$1-2010,FALSE),0)+IFERROR(VLOOKUP($A91,MBasketball!$C:$J,J$1-2006,FALSE),0)+IFERROR(VLOOKUP($A91,MFootball!$C:$O,J$1-2011,FALSE),0)+IFERROR(VLOOKUP($A91,MIceHockey!$C:$P,J$1-2011,FALSE),0)+IFERROR(VLOOKUP($A91,MLacrosse!$C:$O,J$1-2011,FALSE),0)+IFERROR(VLOOKUP($A91,MSoccer!$C:$O,J$1-2011,FALSE),0)+IFERROR(VLOOKUP($A91,MVolleyball!$C:$O,J$1-2011,FALSE),0)+IFERROR(VLOOKUP($A91,WBasketball!$C:$O,J$1-2011,FALSE),0)+IFERROR(VLOOKUP($A91,WFieldHockey!$C:$O,J$1-2011,FALSE),0)+IFERROR(VLOOKUP($A91,WIceHockey!$C:$O,J$1-2011,FALSE),0)+IFERROR(VLOOKUP($A91,WLacrosse!$C:$O,J$1-2011,FALSE),0)+IFERROR(VLOOKUP($A91,WSoccer!$C:$O,J$1-2011,FALSE),0)+IFERROR(VLOOKUP($A91,WSoftball!$C:$O,J$1-2011,FALSE),0)+IFERROR(VLOOKUP($A91,WVolleyball!$C:$O,J$1-2011,FALSE),0)</f>
        <v>153034</v>
      </c>
      <c r="K91">
        <f>IFERROR(VLOOKUP($A91,MBaseball!$C:$N,K$1-2010,FALSE),0)+IFERROR(VLOOKUP($A91,MBasketball!$C:$J,K$1-2006,FALSE),0)+IFERROR(VLOOKUP($A91,MFootball!$C:$O,K$1-2011,FALSE),0)+IFERROR(VLOOKUP($A91,MIceHockey!$C:$P,K$1-2011,FALSE),0)+IFERROR(VLOOKUP($A91,MLacrosse!$C:$O,K$1-2011,FALSE),0)+IFERROR(VLOOKUP($A91,MSoccer!$C:$O,K$1-2011,FALSE),0)+IFERROR(VLOOKUP($A91,MVolleyball!$C:$O,K$1-2011,FALSE),0)+IFERROR(VLOOKUP($A91,WBasketball!$C:$O,K$1-2011,FALSE),0)+IFERROR(VLOOKUP($A91,WFieldHockey!$C:$O,K$1-2011,FALSE),0)+IFERROR(VLOOKUP($A91,WIceHockey!$C:$O,K$1-2011,FALSE),0)+IFERROR(VLOOKUP($A91,WLacrosse!$C:$O,K$1-2011,FALSE),0)+IFERROR(VLOOKUP($A91,WSoccer!$C:$O,K$1-2011,FALSE),0)+IFERROR(VLOOKUP($A91,WSoftball!$C:$O,K$1-2011,FALSE),0)+IFERROR(VLOOKUP($A91,WVolleyball!$C:$O,K$1-2011,FALSE),0)</f>
        <v>180634</v>
      </c>
      <c r="L91">
        <f>IFERROR(VLOOKUP($A91,MBaseball!$C:$N,L$1-2010,FALSE),0)+IFERROR(VLOOKUP($A91,MBasketball!$C:$J,L$1-2006,FALSE),0)+IFERROR(VLOOKUP($A91,MFootball!$C:$O,L$1-2011,FALSE),0)+IFERROR(VLOOKUP($A91,MIceHockey!$C:$P,L$1-2011,FALSE),0)+IFERROR(VLOOKUP($A91,MLacrosse!$C:$O,L$1-2011,FALSE),0)+IFERROR(VLOOKUP($A91,MSoccer!$C:$O,L$1-2011,FALSE),0)+IFERROR(VLOOKUP($A91,MVolleyball!$C:$O,L$1-2011,FALSE),0)+IFERROR(VLOOKUP($A91,WBasketball!$C:$O,L$1-2011,FALSE),0)+IFERROR(VLOOKUP($A91,WFieldHockey!$C:$O,L$1-2011,FALSE),0)+IFERROR(VLOOKUP($A91,WIceHockey!$C:$O,L$1-2011,FALSE),0)+IFERROR(VLOOKUP($A91,WLacrosse!$C:$O,L$1-2011,FALSE),0)+IFERROR(VLOOKUP($A91,WSoccer!$C:$O,L$1-2011,FALSE),0)+IFERROR(VLOOKUP($A91,WSoftball!$C:$O,L$1-2011,FALSE),0)+IFERROR(VLOOKUP($A91,WVolleyball!$C:$O,L$1-2011,FALSE),0)</f>
        <v>160</v>
      </c>
      <c r="M91">
        <f>IFERROR(VLOOKUP($A91,MBaseball!$C:$N,M$1-2010,FALSE),0)+IFERROR(VLOOKUP($A91,MBasketball!$C:$J,M$1-2006,FALSE),0)+IFERROR(VLOOKUP($A91,MFootball!$C:$O,M$1-2011,FALSE),0)+IFERROR(VLOOKUP($A91,MIceHockey!$C:$P,M$1-2011,FALSE),0)+IFERROR(VLOOKUP($A91,MLacrosse!$C:$O,M$1-2011,FALSE),0)+IFERROR(VLOOKUP($A91,MSoccer!$C:$O,M$1-2011,FALSE),0)+IFERROR(VLOOKUP($A91,MVolleyball!$C:$O,M$1-2011,FALSE),0)+IFERROR(VLOOKUP($A91,WBasketball!$C:$O,M$1-2011,FALSE),0)+IFERROR(VLOOKUP($A91,WFieldHockey!$C:$O,M$1-2011,FALSE),0)+IFERROR(VLOOKUP($A91,WIceHockey!$C:$O,M$1-2011,FALSE),0)+IFERROR(VLOOKUP($A91,WLacrosse!$C:$O,M$1-2011,FALSE),0)+IFERROR(VLOOKUP($A91,WSoccer!$C:$O,M$1-2011,FALSE),0)+IFERROR(VLOOKUP($A91,WSoftball!$C:$O,M$1-2011,FALSE),0)+IFERROR(VLOOKUP($A91,WVolleyball!$C:$O,M$1-2011,FALSE),0)</f>
        <v>184557</v>
      </c>
      <c r="N91">
        <f>IFERROR(VLOOKUP($A91,MBaseball!$C:$N,N$1-2010,FALSE),0)+IFERROR(VLOOKUP($A91,MBasketball!$C:$J,N$1-2006,FALSE),0)+IFERROR(VLOOKUP($A91,MFootball!$C:$O,N$1-2011,FALSE),0)+IFERROR(VLOOKUP($A91,MIceHockey!$C:$P,N$1-2011,FALSE),0)+IFERROR(VLOOKUP($A91,MLacrosse!$C:$O,N$1-2011,FALSE),0)+IFERROR(VLOOKUP($A91,MSoccer!$C:$O,N$1-2011,FALSE),0)+IFERROR(VLOOKUP($A91,MVolleyball!$C:$O,N$1-2011,FALSE),0)+IFERROR(VLOOKUP($A91,WBasketball!$C:$O,N$1-2011,FALSE),0)+IFERROR(VLOOKUP($A91,WFieldHockey!$C:$O,N$1-2011,FALSE),0)+IFERROR(VLOOKUP($A91,WIceHockey!$C:$O,N$1-2011,FALSE),0)+IFERROR(VLOOKUP($A91,WLacrosse!$C:$O,N$1-2011,FALSE),0)+IFERROR(VLOOKUP($A91,WSoccer!$C:$O,N$1-2011,FALSE),0)+IFERROR(VLOOKUP($A91,WSoftball!$C:$O,N$1-2011,FALSE),0)+IFERROR(VLOOKUP($A91,WVolleyball!$C:$O,N$1-2011,FALSE),0)</f>
        <v>207250</v>
      </c>
    </row>
    <row r="92" spans="1:14" x14ac:dyDescent="0.2">
      <c r="A92">
        <v>157386</v>
      </c>
      <c r="B92">
        <v>30460</v>
      </c>
      <c r="C92" t="s">
        <v>146</v>
      </c>
      <c r="D92">
        <v>91</v>
      </c>
      <c r="E92">
        <f>IFERROR(VLOOKUP($A92,MBaseball!$C:$N,E$1-2010,FALSE),0)+IFERROR(VLOOKUP($A92,MBasketball!$C:$J,E$1-2006,FALSE),0)+IFERROR(VLOOKUP($A92,MFootball!$C:$O,E$1-2011,FALSE),0)+IFERROR(VLOOKUP($A92,MIceHockey!$C:$P,E$1-2011,FALSE),0)+IFERROR(VLOOKUP($A92,MLacrosse!$C:$O,E$1-2011,FALSE),0)+IFERROR(VLOOKUP($A92,MSoccer!$C:$O,E$1-2011,FALSE),0)+IFERROR(VLOOKUP($A92,MVolleyball!$C:$O,E$1-2011,FALSE),0)+IFERROR(VLOOKUP($A92,WBasketball!$C:$O,E$1-2011,FALSE),0)+IFERROR(VLOOKUP($A92,WFieldHockey!$C:$O,E$1-2011,FALSE),0)+IFERROR(VLOOKUP($A92,WIceHockey!$C:$O,E$1-2011,FALSE),0)+IFERROR(VLOOKUP($A92,WLacrosse!$C:$O,E$1-2011,FALSE),0)+IFERROR(VLOOKUP($A92,WSoccer!$C:$O,E$1-2011,FALSE),0)+IFERROR(VLOOKUP($A92,WSoftball!$C:$O,E$1-2011,FALSE),0)+IFERROR(VLOOKUP($A92,WVolleyball!$C:$O,E$1-2011,FALSE),0)</f>
        <v>67995</v>
      </c>
      <c r="F92">
        <f>IFERROR(VLOOKUP($A92,MBaseball!$C:$N,F$1-2010,FALSE),0)+IFERROR(VLOOKUP($A92,MBasketball!$C:$J,F$1-2006,FALSE),0)+IFERROR(VLOOKUP($A92,MFootball!$C:$O,F$1-2011,FALSE),0)+IFERROR(VLOOKUP($A92,MIceHockey!$C:$P,F$1-2011,FALSE),0)+IFERROR(VLOOKUP($A92,MLacrosse!$C:$O,F$1-2011,FALSE),0)+IFERROR(VLOOKUP($A92,MSoccer!$C:$O,F$1-2011,FALSE),0)+IFERROR(VLOOKUP($A92,MVolleyball!$C:$O,F$1-2011,FALSE),0)+IFERROR(VLOOKUP($A92,WBasketball!$C:$O,F$1-2011,FALSE),0)+IFERROR(VLOOKUP($A92,WFieldHockey!$C:$O,F$1-2011,FALSE),0)+IFERROR(VLOOKUP($A92,WIceHockey!$C:$O,F$1-2011,FALSE),0)+IFERROR(VLOOKUP($A92,WLacrosse!$C:$O,F$1-2011,FALSE),0)+IFERROR(VLOOKUP($A92,WSoccer!$C:$O,F$1-2011,FALSE),0)+IFERROR(VLOOKUP($A92,WSoftball!$C:$O,F$1-2011,FALSE),0)+IFERROR(VLOOKUP($A92,WVolleyball!$C:$O,F$1-2011,FALSE),0)</f>
        <v>63874</v>
      </c>
      <c r="G92">
        <f>IFERROR(VLOOKUP($A92,MBaseball!$C:$N,G$1-2010,FALSE),0)+IFERROR(VLOOKUP($A92,MBasketball!$C:$J,G$1-2006,FALSE),0)+IFERROR(VLOOKUP($A92,MFootball!$C:$O,G$1-2011,FALSE),0)+IFERROR(VLOOKUP($A92,MIceHockey!$C:$P,G$1-2011,FALSE),0)+IFERROR(VLOOKUP($A92,MLacrosse!$C:$O,G$1-2011,FALSE),0)+IFERROR(VLOOKUP($A92,MSoccer!$C:$O,G$1-2011,FALSE),0)+IFERROR(VLOOKUP($A92,MVolleyball!$C:$O,G$1-2011,FALSE),0)+IFERROR(VLOOKUP($A92,WBasketball!$C:$O,G$1-2011,FALSE),0)+IFERROR(VLOOKUP($A92,WFieldHockey!$C:$O,G$1-2011,FALSE),0)+IFERROR(VLOOKUP($A92,WIceHockey!$C:$O,G$1-2011,FALSE),0)+IFERROR(VLOOKUP($A92,WLacrosse!$C:$O,G$1-2011,FALSE),0)+IFERROR(VLOOKUP($A92,WSoccer!$C:$O,G$1-2011,FALSE),0)+IFERROR(VLOOKUP($A92,WSoftball!$C:$O,G$1-2011,FALSE),0)+IFERROR(VLOOKUP($A92,WVolleyball!$C:$O,G$1-2011,FALSE),0)</f>
        <v>76804</v>
      </c>
      <c r="H92">
        <f>IFERROR(VLOOKUP($A92,MBaseball!$C:$N,H$1-2010,FALSE),0)+IFERROR(VLOOKUP($A92,MBasketball!$C:$J,H$1-2006,FALSE),0)+IFERROR(VLOOKUP($A92,MFootball!$C:$O,H$1-2011,FALSE),0)+IFERROR(VLOOKUP($A92,MIceHockey!$C:$P,H$1-2011,FALSE),0)+IFERROR(VLOOKUP($A92,MLacrosse!$C:$O,H$1-2011,FALSE),0)+IFERROR(VLOOKUP($A92,MSoccer!$C:$O,H$1-2011,FALSE),0)+IFERROR(VLOOKUP($A92,MVolleyball!$C:$O,H$1-2011,FALSE),0)+IFERROR(VLOOKUP($A92,WBasketball!$C:$O,H$1-2011,FALSE),0)+IFERROR(VLOOKUP($A92,WFieldHockey!$C:$O,H$1-2011,FALSE),0)+IFERROR(VLOOKUP($A92,WIceHockey!$C:$O,H$1-2011,FALSE),0)+IFERROR(VLOOKUP($A92,WLacrosse!$C:$O,H$1-2011,FALSE),0)+IFERROR(VLOOKUP($A92,WSoccer!$C:$O,H$1-2011,FALSE),0)+IFERROR(VLOOKUP($A92,WSoftball!$C:$O,H$1-2011,FALSE),0)+IFERROR(VLOOKUP($A92,WVolleyball!$C:$O,H$1-2011,FALSE),0)</f>
        <v>66752</v>
      </c>
      <c r="I92">
        <f>IFERROR(VLOOKUP($A92,MBaseball!$C:$N,I$1-2010,FALSE),0)+IFERROR(VLOOKUP($A92,MBasketball!$C:$J,I$1-2006,FALSE),0)+IFERROR(VLOOKUP($A92,MFootball!$C:$O,I$1-2011,FALSE),0)+IFERROR(VLOOKUP($A92,MIceHockey!$C:$P,I$1-2011,FALSE),0)+IFERROR(VLOOKUP($A92,MLacrosse!$C:$O,I$1-2011,FALSE),0)+IFERROR(VLOOKUP($A92,MSoccer!$C:$O,I$1-2011,FALSE),0)+IFERROR(VLOOKUP($A92,MVolleyball!$C:$O,I$1-2011,FALSE),0)+IFERROR(VLOOKUP($A92,WBasketball!$C:$O,I$1-2011,FALSE),0)+IFERROR(VLOOKUP($A92,WFieldHockey!$C:$O,I$1-2011,FALSE),0)+IFERROR(VLOOKUP($A92,WIceHockey!$C:$O,I$1-2011,FALSE),0)+IFERROR(VLOOKUP($A92,WLacrosse!$C:$O,I$1-2011,FALSE),0)+IFERROR(VLOOKUP($A92,WSoccer!$C:$O,I$1-2011,FALSE),0)+IFERROR(VLOOKUP($A92,WSoftball!$C:$O,I$1-2011,FALSE),0)+IFERROR(VLOOKUP($A92,WVolleyball!$C:$O,I$1-2011,FALSE),0)</f>
        <v>64589</v>
      </c>
      <c r="J92">
        <f>IFERROR(VLOOKUP($A92,MBaseball!$C:$N,J$1-2010,FALSE),0)+IFERROR(VLOOKUP($A92,MBasketball!$C:$J,J$1-2006,FALSE),0)+IFERROR(VLOOKUP($A92,MFootball!$C:$O,J$1-2011,FALSE),0)+IFERROR(VLOOKUP($A92,MIceHockey!$C:$P,J$1-2011,FALSE),0)+IFERROR(VLOOKUP($A92,MLacrosse!$C:$O,J$1-2011,FALSE),0)+IFERROR(VLOOKUP($A92,MSoccer!$C:$O,J$1-2011,FALSE),0)+IFERROR(VLOOKUP($A92,MVolleyball!$C:$O,J$1-2011,FALSE),0)+IFERROR(VLOOKUP($A92,WBasketball!$C:$O,J$1-2011,FALSE),0)+IFERROR(VLOOKUP($A92,WFieldHockey!$C:$O,J$1-2011,FALSE),0)+IFERROR(VLOOKUP($A92,WIceHockey!$C:$O,J$1-2011,FALSE),0)+IFERROR(VLOOKUP($A92,WLacrosse!$C:$O,J$1-2011,FALSE),0)+IFERROR(VLOOKUP($A92,WSoccer!$C:$O,J$1-2011,FALSE),0)+IFERROR(VLOOKUP($A92,WSoftball!$C:$O,J$1-2011,FALSE),0)+IFERROR(VLOOKUP($A92,WVolleyball!$C:$O,J$1-2011,FALSE),0)</f>
        <v>54320</v>
      </c>
      <c r="K92">
        <f>IFERROR(VLOOKUP($A92,MBaseball!$C:$N,K$1-2010,FALSE),0)+IFERROR(VLOOKUP($A92,MBasketball!$C:$J,K$1-2006,FALSE),0)+IFERROR(VLOOKUP($A92,MFootball!$C:$O,K$1-2011,FALSE),0)+IFERROR(VLOOKUP($A92,MIceHockey!$C:$P,K$1-2011,FALSE),0)+IFERROR(VLOOKUP($A92,MLacrosse!$C:$O,K$1-2011,FALSE),0)+IFERROR(VLOOKUP($A92,MSoccer!$C:$O,K$1-2011,FALSE),0)+IFERROR(VLOOKUP($A92,MVolleyball!$C:$O,K$1-2011,FALSE),0)+IFERROR(VLOOKUP($A92,WBasketball!$C:$O,K$1-2011,FALSE),0)+IFERROR(VLOOKUP($A92,WFieldHockey!$C:$O,K$1-2011,FALSE),0)+IFERROR(VLOOKUP($A92,WIceHockey!$C:$O,K$1-2011,FALSE),0)+IFERROR(VLOOKUP($A92,WLacrosse!$C:$O,K$1-2011,FALSE),0)+IFERROR(VLOOKUP($A92,WSoccer!$C:$O,K$1-2011,FALSE),0)+IFERROR(VLOOKUP($A92,WSoftball!$C:$O,K$1-2011,FALSE),0)+IFERROR(VLOOKUP($A92,WVolleyball!$C:$O,K$1-2011,FALSE),0)</f>
        <v>64428</v>
      </c>
      <c r="L92">
        <f>IFERROR(VLOOKUP($A92,MBaseball!$C:$N,L$1-2010,FALSE),0)+IFERROR(VLOOKUP($A92,MBasketball!$C:$J,L$1-2006,FALSE),0)+IFERROR(VLOOKUP($A92,MFootball!$C:$O,L$1-2011,FALSE),0)+IFERROR(VLOOKUP($A92,MIceHockey!$C:$P,L$1-2011,FALSE),0)+IFERROR(VLOOKUP($A92,MLacrosse!$C:$O,L$1-2011,FALSE),0)+IFERROR(VLOOKUP($A92,MSoccer!$C:$O,L$1-2011,FALSE),0)+IFERROR(VLOOKUP($A92,MVolleyball!$C:$O,L$1-2011,FALSE),0)+IFERROR(VLOOKUP($A92,WBasketball!$C:$O,L$1-2011,FALSE),0)+IFERROR(VLOOKUP($A92,WFieldHockey!$C:$O,L$1-2011,FALSE),0)+IFERROR(VLOOKUP($A92,WIceHockey!$C:$O,L$1-2011,FALSE),0)+IFERROR(VLOOKUP($A92,WLacrosse!$C:$O,L$1-2011,FALSE),0)+IFERROR(VLOOKUP($A92,WSoccer!$C:$O,L$1-2011,FALSE),0)+IFERROR(VLOOKUP($A92,WSoftball!$C:$O,L$1-2011,FALSE),0)+IFERROR(VLOOKUP($A92,WVolleyball!$C:$O,L$1-2011,FALSE),0)</f>
        <v>14542</v>
      </c>
      <c r="M92">
        <f>IFERROR(VLOOKUP($A92,MBaseball!$C:$N,M$1-2010,FALSE),0)+IFERROR(VLOOKUP($A92,MBasketball!$C:$J,M$1-2006,FALSE),0)+IFERROR(VLOOKUP($A92,MFootball!$C:$O,M$1-2011,FALSE),0)+IFERROR(VLOOKUP($A92,MIceHockey!$C:$P,M$1-2011,FALSE),0)+IFERROR(VLOOKUP($A92,MLacrosse!$C:$O,M$1-2011,FALSE),0)+IFERROR(VLOOKUP($A92,MSoccer!$C:$O,M$1-2011,FALSE),0)+IFERROR(VLOOKUP($A92,MVolleyball!$C:$O,M$1-2011,FALSE),0)+IFERROR(VLOOKUP($A92,WBasketball!$C:$O,M$1-2011,FALSE),0)+IFERROR(VLOOKUP($A92,WFieldHockey!$C:$O,M$1-2011,FALSE),0)+IFERROR(VLOOKUP($A92,WIceHockey!$C:$O,M$1-2011,FALSE),0)+IFERROR(VLOOKUP($A92,WLacrosse!$C:$O,M$1-2011,FALSE),0)+IFERROR(VLOOKUP($A92,WSoccer!$C:$O,M$1-2011,FALSE),0)+IFERROR(VLOOKUP($A92,WSoftball!$C:$O,M$1-2011,FALSE),0)+IFERROR(VLOOKUP($A92,WVolleyball!$C:$O,M$1-2011,FALSE),0)</f>
        <v>51678</v>
      </c>
      <c r="N92">
        <f>IFERROR(VLOOKUP($A92,MBaseball!$C:$N,N$1-2010,FALSE),0)+IFERROR(VLOOKUP($A92,MBasketball!$C:$J,N$1-2006,FALSE),0)+IFERROR(VLOOKUP($A92,MFootball!$C:$O,N$1-2011,FALSE),0)+IFERROR(VLOOKUP($A92,MIceHockey!$C:$P,N$1-2011,FALSE),0)+IFERROR(VLOOKUP($A92,MLacrosse!$C:$O,N$1-2011,FALSE),0)+IFERROR(VLOOKUP($A92,MSoccer!$C:$O,N$1-2011,FALSE),0)+IFERROR(VLOOKUP($A92,MVolleyball!$C:$O,N$1-2011,FALSE),0)+IFERROR(VLOOKUP($A92,WBasketball!$C:$O,N$1-2011,FALSE),0)+IFERROR(VLOOKUP($A92,WFieldHockey!$C:$O,N$1-2011,FALSE),0)+IFERROR(VLOOKUP($A92,WIceHockey!$C:$O,N$1-2011,FALSE),0)+IFERROR(VLOOKUP($A92,WLacrosse!$C:$O,N$1-2011,FALSE),0)+IFERROR(VLOOKUP($A92,WSoccer!$C:$O,N$1-2011,FALSE),0)+IFERROR(VLOOKUP($A92,WSoftball!$C:$O,N$1-2011,FALSE),0)+IFERROR(VLOOKUP($A92,WVolleyball!$C:$O,N$1-2011,FALSE),0)</f>
        <v>39627</v>
      </c>
    </row>
    <row r="93" spans="1:14" x14ac:dyDescent="0.2">
      <c r="A93">
        <v>163453</v>
      </c>
      <c r="B93">
        <v>12580</v>
      </c>
      <c r="C93" t="s">
        <v>147</v>
      </c>
      <c r="D93">
        <v>92</v>
      </c>
      <c r="E93">
        <f>IFERROR(VLOOKUP($A93,MBaseball!$C:$N,E$1-2010,FALSE),0)+IFERROR(VLOOKUP($A93,MBasketball!$C:$J,E$1-2006,FALSE),0)+IFERROR(VLOOKUP($A93,MFootball!$C:$O,E$1-2011,FALSE),0)+IFERROR(VLOOKUP($A93,MIceHockey!$C:$P,E$1-2011,FALSE),0)+IFERROR(VLOOKUP($A93,MLacrosse!$C:$O,E$1-2011,FALSE),0)+IFERROR(VLOOKUP($A93,MSoccer!$C:$O,E$1-2011,FALSE),0)+IFERROR(VLOOKUP($A93,MVolleyball!$C:$O,E$1-2011,FALSE),0)+IFERROR(VLOOKUP($A93,WBasketball!$C:$O,E$1-2011,FALSE),0)+IFERROR(VLOOKUP($A93,WFieldHockey!$C:$O,E$1-2011,FALSE),0)+IFERROR(VLOOKUP($A93,WIceHockey!$C:$O,E$1-2011,FALSE),0)+IFERROR(VLOOKUP($A93,WLacrosse!$C:$O,E$1-2011,FALSE),0)+IFERROR(VLOOKUP($A93,WSoccer!$C:$O,E$1-2011,FALSE),0)+IFERROR(VLOOKUP($A93,WSoftball!$C:$O,E$1-2011,FALSE),0)+IFERROR(VLOOKUP($A93,WVolleyball!$C:$O,E$1-2011,FALSE),0)</f>
        <v>27929</v>
      </c>
      <c r="F93">
        <f>IFERROR(VLOOKUP($A93,MBaseball!$C:$N,F$1-2010,FALSE),0)+IFERROR(VLOOKUP($A93,MBasketball!$C:$J,F$1-2006,FALSE),0)+IFERROR(VLOOKUP($A93,MFootball!$C:$O,F$1-2011,FALSE),0)+IFERROR(VLOOKUP($A93,MIceHockey!$C:$P,F$1-2011,FALSE),0)+IFERROR(VLOOKUP($A93,MLacrosse!$C:$O,F$1-2011,FALSE),0)+IFERROR(VLOOKUP($A93,MSoccer!$C:$O,F$1-2011,FALSE),0)+IFERROR(VLOOKUP($A93,MVolleyball!$C:$O,F$1-2011,FALSE),0)+IFERROR(VLOOKUP($A93,WBasketball!$C:$O,F$1-2011,FALSE),0)+IFERROR(VLOOKUP($A93,WFieldHockey!$C:$O,F$1-2011,FALSE),0)+IFERROR(VLOOKUP($A93,WIceHockey!$C:$O,F$1-2011,FALSE),0)+IFERROR(VLOOKUP($A93,WLacrosse!$C:$O,F$1-2011,FALSE),0)+IFERROR(VLOOKUP($A93,WSoccer!$C:$O,F$1-2011,FALSE),0)+IFERROR(VLOOKUP($A93,WSoftball!$C:$O,F$1-2011,FALSE),0)+IFERROR(VLOOKUP($A93,WVolleyball!$C:$O,F$1-2011,FALSE),0)</f>
        <v>56065</v>
      </c>
      <c r="G93">
        <f>IFERROR(VLOOKUP($A93,MBaseball!$C:$N,G$1-2010,FALSE),0)+IFERROR(VLOOKUP($A93,MBasketball!$C:$J,G$1-2006,FALSE),0)+IFERROR(VLOOKUP($A93,MFootball!$C:$O,G$1-2011,FALSE),0)+IFERROR(VLOOKUP($A93,MIceHockey!$C:$P,G$1-2011,FALSE),0)+IFERROR(VLOOKUP($A93,MLacrosse!$C:$O,G$1-2011,FALSE),0)+IFERROR(VLOOKUP($A93,MSoccer!$C:$O,G$1-2011,FALSE),0)+IFERROR(VLOOKUP($A93,MVolleyball!$C:$O,G$1-2011,FALSE),0)+IFERROR(VLOOKUP($A93,WBasketball!$C:$O,G$1-2011,FALSE),0)+IFERROR(VLOOKUP($A93,WFieldHockey!$C:$O,G$1-2011,FALSE),0)+IFERROR(VLOOKUP($A93,WIceHockey!$C:$O,G$1-2011,FALSE),0)+IFERROR(VLOOKUP($A93,WLacrosse!$C:$O,G$1-2011,FALSE),0)+IFERROR(VLOOKUP($A93,WSoccer!$C:$O,G$1-2011,FALSE),0)+IFERROR(VLOOKUP($A93,WSoftball!$C:$O,G$1-2011,FALSE),0)+IFERROR(VLOOKUP($A93,WVolleyball!$C:$O,G$1-2011,FALSE),0)</f>
        <v>20611</v>
      </c>
      <c r="H93">
        <f>IFERROR(VLOOKUP($A93,MBaseball!$C:$N,H$1-2010,FALSE),0)+IFERROR(VLOOKUP($A93,MBasketball!$C:$J,H$1-2006,FALSE),0)+IFERROR(VLOOKUP($A93,MFootball!$C:$O,H$1-2011,FALSE),0)+IFERROR(VLOOKUP($A93,MIceHockey!$C:$P,H$1-2011,FALSE),0)+IFERROR(VLOOKUP($A93,MLacrosse!$C:$O,H$1-2011,FALSE),0)+IFERROR(VLOOKUP($A93,MSoccer!$C:$O,H$1-2011,FALSE),0)+IFERROR(VLOOKUP($A93,MVolleyball!$C:$O,H$1-2011,FALSE),0)+IFERROR(VLOOKUP($A93,WBasketball!$C:$O,H$1-2011,FALSE),0)+IFERROR(VLOOKUP($A93,WFieldHockey!$C:$O,H$1-2011,FALSE),0)+IFERROR(VLOOKUP($A93,WIceHockey!$C:$O,H$1-2011,FALSE),0)+IFERROR(VLOOKUP($A93,WLacrosse!$C:$O,H$1-2011,FALSE),0)+IFERROR(VLOOKUP($A93,WSoccer!$C:$O,H$1-2011,FALSE),0)+IFERROR(VLOOKUP($A93,WSoftball!$C:$O,H$1-2011,FALSE),0)+IFERROR(VLOOKUP($A93,WVolleyball!$C:$O,H$1-2011,FALSE),0)</f>
        <v>32132</v>
      </c>
      <c r="I93">
        <f>IFERROR(VLOOKUP($A93,MBaseball!$C:$N,I$1-2010,FALSE),0)+IFERROR(VLOOKUP($A93,MBasketball!$C:$J,I$1-2006,FALSE),0)+IFERROR(VLOOKUP($A93,MFootball!$C:$O,I$1-2011,FALSE),0)+IFERROR(VLOOKUP($A93,MIceHockey!$C:$P,I$1-2011,FALSE),0)+IFERROR(VLOOKUP($A93,MLacrosse!$C:$O,I$1-2011,FALSE),0)+IFERROR(VLOOKUP($A93,MSoccer!$C:$O,I$1-2011,FALSE),0)+IFERROR(VLOOKUP($A93,MVolleyball!$C:$O,I$1-2011,FALSE),0)+IFERROR(VLOOKUP($A93,WBasketball!$C:$O,I$1-2011,FALSE),0)+IFERROR(VLOOKUP($A93,WFieldHockey!$C:$O,I$1-2011,FALSE),0)+IFERROR(VLOOKUP($A93,WIceHockey!$C:$O,I$1-2011,FALSE),0)+IFERROR(VLOOKUP($A93,WLacrosse!$C:$O,I$1-2011,FALSE),0)+IFERROR(VLOOKUP($A93,WSoccer!$C:$O,I$1-2011,FALSE),0)+IFERROR(VLOOKUP($A93,WSoftball!$C:$O,I$1-2011,FALSE),0)+IFERROR(VLOOKUP($A93,WVolleyball!$C:$O,I$1-2011,FALSE),0)</f>
        <v>42115</v>
      </c>
      <c r="J93">
        <f>IFERROR(VLOOKUP($A93,MBaseball!$C:$N,J$1-2010,FALSE),0)+IFERROR(VLOOKUP($A93,MBasketball!$C:$J,J$1-2006,FALSE),0)+IFERROR(VLOOKUP($A93,MFootball!$C:$O,J$1-2011,FALSE),0)+IFERROR(VLOOKUP($A93,MIceHockey!$C:$P,J$1-2011,FALSE),0)+IFERROR(VLOOKUP($A93,MLacrosse!$C:$O,J$1-2011,FALSE),0)+IFERROR(VLOOKUP($A93,MSoccer!$C:$O,J$1-2011,FALSE),0)+IFERROR(VLOOKUP($A93,MVolleyball!$C:$O,J$1-2011,FALSE),0)+IFERROR(VLOOKUP($A93,WBasketball!$C:$O,J$1-2011,FALSE),0)+IFERROR(VLOOKUP($A93,WFieldHockey!$C:$O,J$1-2011,FALSE),0)+IFERROR(VLOOKUP($A93,WIceHockey!$C:$O,J$1-2011,FALSE),0)+IFERROR(VLOOKUP($A93,WLacrosse!$C:$O,J$1-2011,FALSE),0)+IFERROR(VLOOKUP($A93,WSoccer!$C:$O,J$1-2011,FALSE),0)+IFERROR(VLOOKUP($A93,WSoftball!$C:$O,J$1-2011,FALSE),0)+IFERROR(VLOOKUP($A93,WVolleyball!$C:$O,J$1-2011,FALSE),0)</f>
        <v>33755</v>
      </c>
      <c r="K93">
        <f>IFERROR(VLOOKUP($A93,MBaseball!$C:$N,K$1-2010,FALSE),0)+IFERROR(VLOOKUP($A93,MBasketball!$C:$J,K$1-2006,FALSE),0)+IFERROR(VLOOKUP($A93,MFootball!$C:$O,K$1-2011,FALSE),0)+IFERROR(VLOOKUP($A93,MIceHockey!$C:$P,K$1-2011,FALSE),0)+IFERROR(VLOOKUP($A93,MLacrosse!$C:$O,K$1-2011,FALSE),0)+IFERROR(VLOOKUP($A93,MSoccer!$C:$O,K$1-2011,FALSE),0)+IFERROR(VLOOKUP($A93,MVolleyball!$C:$O,K$1-2011,FALSE),0)+IFERROR(VLOOKUP($A93,WBasketball!$C:$O,K$1-2011,FALSE),0)+IFERROR(VLOOKUP($A93,WFieldHockey!$C:$O,K$1-2011,FALSE),0)+IFERROR(VLOOKUP($A93,WIceHockey!$C:$O,K$1-2011,FALSE),0)+IFERROR(VLOOKUP($A93,WLacrosse!$C:$O,K$1-2011,FALSE),0)+IFERROR(VLOOKUP($A93,WSoccer!$C:$O,K$1-2011,FALSE),0)+IFERROR(VLOOKUP($A93,WSoftball!$C:$O,K$1-2011,FALSE),0)+IFERROR(VLOOKUP($A93,WVolleyball!$C:$O,K$1-2011,FALSE),0)</f>
        <v>34581</v>
      </c>
      <c r="L93">
        <f>IFERROR(VLOOKUP($A93,MBaseball!$C:$N,L$1-2010,FALSE),0)+IFERROR(VLOOKUP($A93,MBasketball!$C:$J,L$1-2006,FALSE),0)+IFERROR(VLOOKUP($A93,MFootball!$C:$O,L$1-2011,FALSE),0)+IFERROR(VLOOKUP($A93,MIceHockey!$C:$P,L$1-2011,FALSE),0)+IFERROR(VLOOKUP($A93,MLacrosse!$C:$O,L$1-2011,FALSE),0)+IFERROR(VLOOKUP($A93,MSoccer!$C:$O,L$1-2011,FALSE),0)+IFERROR(VLOOKUP($A93,MVolleyball!$C:$O,L$1-2011,FALSE),0)+IFERROR(VLOOKUP($A93,WBasketball!$C:$O,L$1-2011,FALSE),0)+IFERROR(VLOOKUP($A93,WFieldHockey!$C:$O,L$1-2011,FALSE),0)+IFERROR(VLOOKUP($A93,WIceHockey!$C:$O,L$1-2011,FALSE),0)+IFERROR(VLOOKUP($A93,WLacrosse!$C:$O,L$1-2011,FALSE),0)+IFERROR(VLOOKUP($A93,WSoccer!$C:$O,L$1-2011,FALSE),0)+IFERROR(VLOOKUP($A93,WSoftball!$C:$O,L$1-2011,FALSE),0)+IFERROR(VLOOKUP($A93,WVolleyball!$C:$O,L$1-2011,FALSE),0)</f>
        <v>20</v>
      </c>
      <c r="M93">
        <f>IFERROR(VLOOKUP($A93,MBaseball!$C:$N,M$1-2010,FALSE),0)+IFERROR(VLOOKUP($A93,MBasketball!$C:$J,M$1-2006,FALSE),0)+IFERROR(VLOOKUP($A93,MFootball!$C:$O,M$1-2011,FALSE),0)+IFERROR(VLOOKUP($A93,MIceHockey!$C:$P,M$1-2011,FALSE),0)+IFERROR(VLOOKUP($A93,MLacrosse!$C:$O,M$1-2011,FALSE),0)+IFERROR(VLOOKUP($A93,MSoccer!$C:$O,M$1-2011,FALSE),0)+IFERROR(VLOOKUP($A93,MVolleyball!$C:$O,M$1-2011,FALSE),0)+IFERROR(VLOOKUP($A93,WBasketball!$C:$O,M$1-2011,FALSE),0)+IFERROR(VLOOKUP($A93,WFieldHockey!$C:$O,M$1-2011,FALSE),0)+IFERROR(VLOOKUP($A93,WIceHockey!$C:$O,M$1-2011,FALSE),0)+IFERROR(VLOOKUP($A93,WLacrosse!$C:$O,M$1-2011,FALSE),0)+IFERROR(VLOOKUP($A93,WSoccer!$C:$O,M$1-2011,FALSE),0)+IFERROR(VLOOKUP($A93,WSoftball!$C:$O,M$1-2011,FALSE),0)+IFERROR(VLOOKUP($A93,WVolleyball!$C:$O,M$1-2011,FALSE),0)</f>
        <v>28406</v>
      </c>
      <c r="N93">
        <f>IFERROR(VLOOKUP($A93,MBaseball!$C:$N,N$1-2010,FALSE),0)+IFERROR(VLOOKUP($A93,MBasketball!$C:$J,N$1-2006,FALSE),0)+IFERROR(VLOOKUP($A93,MFootball!$C:$O,N$1-2011,FALSE),0)+IFERROR(VLOOKUP($A93,MIceHockey!$C:$P,N$1-2011,FALSE),0)+IFERROR(VLOOKUP($A93,MLacrosse!$C:$O,N$1-2011,FALSE),0)+IFERROR(VLOOKUP($A93,MSoccer!$C:$O,N$1-2011,FALSE),0)+IFERROR(VLOOKUP($A93,MVolleyball!$C:$O,N$1-2011,FALSE),0)+IFERROR(VLOOKUP($A93,WBasketball!$C:$O,N$1-2011,FALSE),0)+IFERROR(VLOOKUP($A93,WFieldHockey!$C:$O,N$1-2011,FALSE),0)+IFERROR(VLOOKUP($A93,WIceHockey!$C:$O,N$1-2011,FALSE),0)+IFERROR(VLOOKUP($A93,WLacrosse!$C:$O,N$1-2011,FALSE),0)+IFERROR(VLOOKUP($A93,WSoccer!$C:$O,N$1-2011,FALSE),0)+IFERROR(VLOOKUP($A93,WSoftball!$C:$O,N$1-2011,FALSE),0)+IFERROR(VLOOKUP($A93,WVolleyball!$C:$O,N$1-2011,FALSE),0)</f>
        <v>37410</v>
      </c>
    </row>
    <row r="94" spans="1:14" x14ac:dyDescent="0.2">
      <c r="A94">
        <v>500000</v>
      </c>
      <c r="B94">
        <v>47900</v>
      </c>
      <c r="C94" t="s">
        <v>149</v>
      </c>
      <c r="D94">
        <v>93</v>
      </c>
      <c r="E94">
        <f>IFERROR(VLOOKUP($A94,MBaseball!$C:$N,E$1-2010,FALSE),0)+IFERROR(VLOOKUP($A94,MBasketball!$C:$J,E$1-2006,FALSE),0)+IFERROR(VLOOKUP($A94,MFootball!$C:$O,E$1-2011,FALSE),0)+IFERROR(VLOOKUP($A94,MIceHockey!$C:$P,E$1-2011,FALSE),0)+IFERROR(VLOOKUP($A94,MLacrosse!$C:$O,E$1-2011,FALSE),0)+IFERROR(VLOOKUP($A94,MSoccer!$C:$O,E$1-2011,FALSE),0)+IFERROR(VLOOKUP($A94,MVolleyball!$C:$O,E$1-2011,FALSE),0)+IFERROR(VLOOKUP($A94,WBasketball!$C:$O,E$1-2011,FALSE),0)+IFERROR(VLOOKUP($A94,WFieldHockey!$C:$O,E$1-2011,FALSE),0)+IFERROR(VLOOKUP($A94,WIceHockey!$C:$O,E$1-2011,FALSE),0)+IFERROR(VLOOKUP($A94,WLacrosse!$C:$O,E$1-2011,FALSE),0)+IFERROR(VLOOKUP($A94,WSoccer!$C:$O,E$1-2011,FALSE),0)+IFERROR(VLOOKUP($A94,WSoftball!$C:$O,E$1-2011,FALSE),0)+IFERROR(VLOOKUP($A94,WVolleyball!$C:$O,E$1-2011,FALSE),0)</f>
        <v>92581</v>
      </c>
      <c r="F94">
        <f>IFERROR(VLOOKUP($A94,MBaseball!$C:$N,F$1-2010,FALSE),0)+IFERROR(VLOOKUP($A94,MBasketball!$C:$J,F$1-2006,FALSE),0)+IFERROR(VLOOKUP($A94,MFootball!$C:$O,F$1-2011,FALSE),0)+IFERROR(VLOOKUP($A94,MIceHockey!$C:$P,F$1-2011,FALSE),0)+IFERROR(VLOOKUP($A94,MLacrosse!$C:$O,F$1-2011,FALSE),0)+IFERROR(VLOOKUP($A94,MSoccer!$C:$O,F$1-2011,FALSE),0)+IFERROR(VLOOKUP($A94,MVolleyball!$C:$O,F$1-2011,FALSE),0)+IFERROR(VLOOKUP($A94,WBasketball!$C:$O,F$1-2011,FALSE),0)+IFERROR(VLOOKUP($A94,WFieldHockey!$C:$O,F$1-2011,FALSE),0)+IFERROR(VLOOKUP($A94,WIceHockey!$C:$O,F$1-2011,FALSE),0)+IFERROR(VLOOKUP($A94,WLacrosse!$C:$O,F$1-2011,FALSE),0)+IFERROR(VLOOKUP($A94,WSoccer!$C:$O,F$1-2011,FALSE),0)+IFERROR(VLOOKUP($A94,WSoftball!$C:$O,F$1-2011,FALSE),0)+IFERROR(VLOOKUP($A94,WVolleyball!$C:$O,F$1-2011,FALSE),0)</f>
        <v>235618</v>
      </c>
      <c r="G94">
        <f>IFERROR(VLOOKUP($A94,MBaseball!$C:$N,G$1-2010,FALSE),0)+IFERROR(VLOOKUP($A94,MBasketball!$C:$J,G$1-2006,FALSE),0)+IFERROR(VLOOKUP($A94,MFootball!$C:$O,G$1-2011,FALSE),0)+IFERROR(VLOOKUP($A94,MIceHockey!$C:$P,G$1-2011,FALSE),0)+IFERROR(VLOOKUP($A94,MLacrosse!$C:$O,G$1-2011,FALSE),0)+IFERROR(VLOOKUP($A94,MSoccer!$C:$O,G$1-2011,FALSE),0)+IFERROR(VLOOKUP($A94,MVolleyball!$C:$O,G$1-2011,FALSE),0)+IFERROR(VLOOKUP($A94,WBasketball!$C:$O,G$1-2011,FALSE),0)+IFERROR(VLOOKUP($A94,WFieldHockey!$C:$O,G$1-2011,FALSE),0)+IFERROR(VLOOKUP($A94,WIceHockey!$C:$O,G$1-2011,FALSE),0)+IFERROR(VLOOKUP($A94,WLacrosse!$C:$O,G$1-2011,FALSE),0)+IFERROR(VLOOKUP($A94,WSoccer!$C:$O,G$1-2011,FALSE),0)+IFERROR(VLOOKUP($A94,WSoftball!$C:$O,G$1-2011,FALSE),0)+IFERROR(VLOOKUP($A94,WVolleyball!$C:$O,G$1-2011,FALSE),0)</f>
        <v>286050</v>
      </c>
      <c r="H94">
        <f>IFERROR(VLOOKUP($A94,MBaseball!$C:$N,H$1-2010,FALSE),0)+IFERROR(VLOOKUP($A94,MBasketball!$C:$J,H$1-2006,FALSE),0)+IFERROR(VLOOKUP($A94,MFootball!$C:$O,H$1-2011,FALSE),0)+IFERROR(VLOOKUP($A94,MIceHockey!$C:$P,H$1-2011,FALSE),0)+IFERROR(VLOOKUP($A94,MLacrosse!$C:$O,H$1-2011,FALSE),0)+IFERROR(VLOOKUP($A94,MSoccer!$C:$O,H$1-2011,FALSE),0)+IFERROR(VLOOKUP($A94,MVolleyball!$C:$O,H$1-2011,FALSE),0)+IFERROR(VLOOKUP($A94,WBasketball!$C:$O,H$1-2011,FALSE),0)+IFERROR(VLOOKUP($A94,WFieldHockey!$C:$O,H$1-2011,FALSE),0)+IFERROR(VLOOKUP($A94,WIceHockey!$C:$O,H$1-2011,FALSE),0)+IFERROR(VLOOKUP($A94,WLacrosse!$C:$O,H$1-2011,FALSE),0)+IFERROR(VLOOKUP($A94,WSoccer!$C:$O,H$1-2011,FALSE),0)+IFERROR(VLOOKUP($A94,WSoftball!$C:$O,H$1-2011,FALSE),0)+IFERROR(VLOOKUP($A94,WVolleyball!$C:$O,H$1-2011,FALSE),0)</f>
        <v>249857</v>
      </c>
      <c r="I94">
        <f>IFERROR(VLOOKUP($A94,MBaseball!$C:$N,I$1-2010,FALSE),0)+IFERROR(VLOOKUP($A94,MBasketball!$C:$J,I$1-2006,FALSE),0)+IFERROR(VLOOKUP($A94,MFootball!$C:$O,I$1-2011,FALSE),0)+IFERROR(VLOOKUP($A94,MIceHockey!$C:$P,I$1-2011,FALSE),0)+IFERROR(VLOOKUP($A94,MLacrosse!$C:$O,I$1-2011,FALSE),0)+IFERROR(VLOOKUP($A94,MSoccer!$C:$O,I$1-2011,FALSE),0)+IFERROR(VLOOKUP($A94,MVolleyball!$C:$O,I$1-2011,FALSE),0)+IFERROR(VLOOKUP($A94,WBasketball!$C:$O,I$1-2011,FALSE),0)+IFERROR(VLOOKUP($A94,WFieldHockey!$C:$O,I$1-2011,FALSE),0)+IFERROR(VLOOKUP($A94,WIceHockey!$C:$O,I$1-2011,FALSE),0)+IFERROR(VLOOKUP($A94,WLacrosse!$C:$O,I$1-2011,FALSE),0)+IFERROR(VLOOKUP($A94,WSoccer!$C:$O,I$1-2011,FALSE),0)+IFERROR(VLOOKUP($A94,WSoftball!$C:$O,I$1-2011,FALSE),0)+IFERROR(VLOOKUP($A94,WVolleyball!$C:$O,I$1-2011,FALSE),0)</f>
        <v>267583</v>
      </c>
      <c r="J94">
        <f>IFERROR(VLOOKUP($A94,MBaseball!$C:$N,J$1-2010,FALSE),0)+IFERROR(VLOOKUP($A94,MBasketball!$C:$J,J$1-2006,FALSE),0)+IFERROR(VLOOKUP($A94,MFootball!$C:$O,J$1-2011,FALSE),0)+IFERROR(VLOOKUP($A94,MIceHockey!$C:$P,J$1-2011,FALSE),0)+IFERROR(VLOOKUP($A94,MLacrosse!$C:$O,J$1-2011,FALSE),0)+IFERROR(VLOOKUP($A94,MSoccer!$C:$O,J$1-2011,FALSE),0)+IFERROR(VLOOKUP($A94,MVolleyball!$C:$O,J$1-2011,FALSE),0)+IFERROR(VLOOKUP($A94,WBasketball!$C:$O,J$1-2011,FALSE),0)+IFERROR(VLOOKUP($A94,WFieldHockey!$C:$O,J$1-2011,FALSE),0)+IFERROR(VLOOKUP($A94,WIceHockey!$C:$O,J$1-2011,FALSE),0)+IFERROR(VLOOKUP($A94,WLacrosse!$C:$O,J$1-2011,FALSE),0)+IFERROR(VLOOKUP($A94,WSoccer!$C:$O,J$1-2011,FALSE),0)+IFERROR(VLOOKUP($A94,WSoftball!$C:$O,J$1-2011,FALSE),0)+IFERROR(VLOOKUP($A94,WVolleyball!$C:$O,J$1-2011,FALSE),0)</f>
        <v>230173</v>
      </c>
      <c r="K94">
        <f>IFERROR(VLOOKUP($A94,MBaseball!$C:$N,K$1-2010,FALSE),0)+IFERROR(VLOOKUP($A94,MBasketball!$C:$J,K$1-2006,FALSE),0)+IFERROR(VLOOKUP($A94,MFootball!$C:$O,K$1-2011,FALSE),0)+IFERROR(VLOOKUP($A94,MIceHockey!$C:$P,K$1-2011,FALSE),0)+IFERROR(VLOOKUP($A94,MLacrosse!$C:$O,K$1-2011,FALSE),0)+IFERROR(VLOOKUP($A94,MSoccer!$C:$O,K$1-2011,FALSE),0)+IFERROR(VLOOKUP($A94,MVolleyball!$C:$O,K$1-2011,FALSE),0)+IFERROR(VLOOKUP($A94,WBasketball!$C:$O,K$1-2011,FALSE),0)+IFERROR(VLOOKUP($A94,WFieldHockey!$C:$O,K$1-2011,FALSE),0)+IFERROR(VLOOKUP($A94,WIceHockey!$C:$O,K$1-2011,FALSE),0)+IFERROR(VLOOKUP($A94,WLacrosse!$C:$O,K$1-2011,FALSE),0)+IFERROR(VLOOKUP($A94,WSoccer!$C:$O,K$1-2011,FALSE),0)+IFERROR(VLOOKUP($A94,WSoftball!$C:$O,K$1-2011,FALSE),0)+IFERROR(VLOOKUP($A94,WVolleyball!$C:$O,K$1-2011,FALSE),0)</f>
        <v>220816</v>
      </c>
      <c r="L94">
        <f>IFERROR(VLOOKUP($A94,MBaseball!$C:$N,L$1-2010,FALSE),0)+IFERROR(VLOOKUP($A94,MBasketball!$C:$J,L$1-2006,FALSE),0)+IFERROR(VLOOKUP($A94,MFootball!$C:$O,L$1-2011,FALSE),0)+IFERROR(VLOOKUP($A94,MIceHockey!$C:$P,L$1-2011,FALSE),0)+IFERROR(VLOOKUP($A94,MLacrosse!$C:$O,L$1-2011,FALSE),0)+IFERROR(VLOOKUP($A94,MSoccer!$C:$O,L$1-2011,FALSE),0)+IFERROR(VLOOKUP($A94,MVolleyball!$C:$O,L$1-2011,FALSE),0)+IFERROR(VLOOKUP($A94,WBasketball!$C:$O,L$1-2011,FALSE),0)+IFERROR(VLOOKUP($A94,WFieldHockey!$C:$O,L$1-2011,FALSE),0)+IFERROR(VLOOKUP($A94,WIceHockey!$C:$O,L$1-2011,FALSE),0)+IFERROR(VLOOKUP($A94,WLacrosse!$C:$O,L$1-2011,FALSE),0)+IFERROR(VLOOKUP($A94,WSoccer!$C:$O,L$1-2011,FALSE),0)+IFERROR(VLOOKUP($A94,WSoftball!$C:$O,L$1-2011,FALSE),0)+IFERROR(VLOOKUP($A94,WVolleyball!$C:$O,L$1-2011,FALSE),0)</f>
        <v>25868</v>
      </c>
      <c r="M94">
        <f>IFERROR(VLOOKUP($A94,MBaseball!$C:$N,M$1-2010,FALSE),0)+IFERROR(VLOOKUP($A94,MBasketball!$C:$J,M$1-2006,FALSE),0)+IFERROR(VLOOKUP($A94,MFootball!$C:$O,M$1-2011,FALSE),0)+IFERROR(VLOOKUP($A94,MIceHockey!$C:$P,M$1-2011,FALSE),0)+IFERROR(VLOOKUP($A94,MLacrosse!$C:$O,M$1-2011,FALSE),0)+IFERROR(VLOOKUP($A94,MSoccer!$C:$O,M$1-2011,FALSE),0)+IFERROR(VLOOKUP($A94,MVolleyball!$C:$O,M$1-2011,FALSE),0)+IFERROR(VLOOKUP($A94,WBasketball!$C:$O,M$1-2011,FALSE),0)+IFERROR(VLOOKUP($A94,WFieldHockey!$C:$O,M$1-2011,FALSE),0)+IFERROR(VLOOKUP($A94,WIceHockey!$C:$O,M$1-2011,FALSE),0)+IFERROR(VLOOKUP($A94,WLacrosse!$C:$O,M$1-2011,FALSE),0)+IFERROR(VLOOKUP($A94,WSoccer!$C:$O,M$1-2011,FALSE),0)+IFERROR(VLOOKUP($A94,WSoftball!$C:$O,M$1-2011,FALSE),0)+IFERROR(VLOOKUP($A94,WVolleyball!$C:$O,M$1-2011,FALSE),0)</f>
        <v>237131</v>
      </c>
      <c r="N94">
        <f>IFERROR(VLOOKUP($A94,MBaseball!$C:$N,N$1-2010,FALSE),0)+IFERROR(VLOOKUP($A94,MBasketball!$C:$J,N$1-2006,FALSE),0)+IFERROR(VLOOKUP($A94,MFootball!$C:$O,N$1-2011,FALSE),0)+IFERROR(VLOOKUP($A94,MIceHockey!$C:$P,N$1-2011,FALSE),0)+IFERROR(VLOOKUP($A94,MLacrosse!$C:$O,N$1-2011,FALSE),0)+IFERROR(VLOOKUP($A94,MSoccer!$C:$O,N$1-2011,FALSE),0)+IFERROR(VLOOKUP($A94,MVolleyball!$C:$O,N$1-2011,FALSE),0)+IFERROR(VLOOKUP($A94,WBasketball!$C:$O,N$1-2011,FALSE),0)+IFERROR(VLOOKUP($A94,WFieldHockey!$C:$O,N$1-2011,FALSE),0)+IFERROR(VLOOKUP($A94,WIceHockey!$C:$O,N$1-2011,FALSE),0)+IFERROR(VLOOKUP($A94,WLacrosse!$C:$O,N$1-2011,FALSE),0)+IFERROR(VLOOKUP($A94,WSoccer!$C:$O,N$1-2011,FALSE),0)+IFERROR(VLOOKUP($A94,WSoftball!$C:$O,N$1-2011,FALSE),0)+IFERROR(VLOOKUP($A94,WVolleyball!$C:$O,N$1-2011,FALSE),0)</f>
        <v>203279</v>
      </c>
    </row>
    <row r="95" spans="1:14" x14ac:dyDescent="0.2">
      <c r="A95">
        <v>181464</v>
      </c>
      <c r="B95">
        <v>30700</v>
      </c>
      <c r="C95" t="s">
        <v>150</v>
      </c>
      <c r="D95">
        <v>94</v>
      </c>
      <c r="E95">
        <f>IFERROR(VLOOKUP($A95,MBaseball!$C:$N,E$1-2010,FALSE),0)+IFERROR(VLOOKUP($A95,MBasketball!$C:$J,E$1-2006,FALSE),0)+IFERROR(VLOOKUP($A95,MFootball!$C:$O,E$1-2011,FALSE),0)+IFERROR(VLOOKUP($A95,MIceHockey!$C:$P,E$1-2011,FALSE),0)+IFERROR(VLOOKUP($A95,MLacrosse!$C:$O,E$1-2011,FALSE),0)+IFERROR(VLOOKUP($A95,MSoccer!$C:$O,E$1-2011,FALSE),0)+IFERROR(VLOOKUP($A95,MVolleyball!$C:$O,E$1-2011,FALSE),0)+IFERROR(VLOOKUP($A95,WBasketball!$C:$O,E$1-2011,FALSE),0)+IFERROR(VLOOKUP($A95,WFieldHockey!$C:$O,E$1-2011,FALSE),0)+IFERROR(VLOOKUP($A95,WIceHockey!$C:$O,E$1-2011,FALSE),0)+IFERROR(VLOOKUP($A95,WLacrosse!$C:$O,E$1-2011,FALSE),0)+IFERROR(VLOOKUP($A95,WSoccer!$C:$O,E$1-2011,FALSE),0)+IFERROR(VLOOKUP($A95,WSoftball!$C:$O,E$1-2011,FALSE),0)+IFERROR(VLOOKUP($A95,WVolleyball!$C:$O,E$1-2011,FALSE),0)</f>
        <v>652445</v>
      </c>
      <c r="F95">
        <f>IFERROR(VLOOKUP($A95,MBaseball!$C:$N,F$1-2010,FALSE),0)+IFERROR(VLOOKUP($A95,MBasketball!$C:$J,F$1-2006,FALSE),0)+IFERROR(VLOOKUP($A95,MFootball!$C:$O,F$1-2011,FALSE),0)+IFERROR(VLOOKUP($A95,MIceHockey!$C:$P,F$1-2011,FALSE),0)+IFERROR(VLOOKUP($A95,MLacrosse!$C:$O,F$1-2011,FALSE),0)+IFERROR(VLOOKUP($A95,MSoccer!$C:$O,F$1-2011,FALSE),0)+IFERROR(VLOOKUP($A95,MVolleyball!$C:$O,F$1-2011,FALSE),0)+IFERROR(VLOOKUP($A95,WBasketball!$C:$O,F$1-2011,FALSE),0)+IFERROR(VLOOKUP($A95,WFieldHockey!$C:$O,F$1-2011,FALSE),0)+IFERROR(VLOOKUP($A95,WIceHockey!$C:$O,F$1-2011,FALSE),0)+IFERROR(VLOOKUP($A95,WLacrosse!$C:$O,F$1-2011,FALSE),0)+IFERROR(VLOOKUP($A95,WSoccer!$C:$O,F$1-2011,FALSE),0)+IFERROR(VLOOKUP($A95,WSoftball!$C:$O,F$1-2011,FALSE),0)+IFERROR(VLOOKUP($A95,WVolleyball!$C:$O,F$1-2011,FALSE),0)</f>
        <v>1023319</v>
      </c>
      <c r="G95">
        <f>IFERROR(VLOOKUP($A95,MBaseball!$C:$N,G$1-2010,FALSE),0)+IFERROR(VLOOKUP($A95,MBasketball!$C:$J,G$1-2006,FALSE),0)+IFERROR(VLOOKUP($A95,MFootball!$C:$O,G$1-2011,FALSE),0)+IFERROR(VLOOKUP($A95,MIceHockey!$C:$P,G$1-2011,FALSE),0)+IFERROR(VLOOKUP($A95,MLacrosse!$C:$O,G$1-2011,FALSE),0)+IFERROR(VLOOKUP($A95,MSoccer!$C:$O,G$1-2011,FALSE),0)+IFERROR(VLOOKUP($A95,MVolleyball!$C:$O,G$1-2011,FALSE),0)+IFERROR(VLOOKUP($A95,WBasketball!$C:$O,G$1-2011,FALSE),0)+IFERROR(VLOOKUP($A95,WFieldHockey!$C:$O,G$1-2011,FALSE),0)+IFERROR(VLOOKUP($A95,WIceHockey!$C:$O,G$1-2011,FALSE),0)+IFERROR(VLOOKUP($A95,WLacrosse!$C:$O,G$1-2011,FALSE),0)+IFERROR(VLOOKUP($A95,WSoccer!$C:$O,G$1-2011,FALSE),0)+IFERROR(VLOOKUP($A95,WSoftball!$C:$O,G$1-2011,FALSE),0)+IFERROR(VLOOKUP($A95,WVolleyball!$C:$O,G$1-2011,FALSE),0)</f>
        <v>1028971</v>
      </c>
      <c r="H95">
        <f>IFERROR(VLOOKUP($A95,MBaseball!$C:$N,H$1-2010,FALSE),0)+IFERROR(VLOOKUP($A95,MBasketball!$C:$J,H$1-2006,FALSE),0)+IFERROR(VLOOKUP($A95,MFootball!$C:$O,H$1-2011,FALSE),0)+IFERROR(VLOOKUP($A95,MIceHockey!$C:$P,H$1-2011,FALSE),0)+IFERROR(VLOOKUP($A95,MLacrosse!$C:$O,H$1-2011,FALSE),0)+IFERROR(VLOOKUP($A95,MSoccer!$C:$O,H$1-2011,FALSE),0)+IFERROR(VLOOKUP($A95,MVolleyball!$C:$O,H$1-2011,FALSE),0)+IFERROR(VLOOKUP($A95,WBasketball!$C:$O,H$1-2011,FALSE),0)+IFERROR(VLOOKUP($A95,WFieldHockey!$C:$O,H$1-2011,FALSE),0)+IFERROR(VLOOKUP($A95,WIceHockey!$C:$O,H$1-2011,FALSE),0)+IFERROR(VLOOKUP($A95,WLacrosse!$C:$O,H$1-2011,FALSE),0)+IFERROR(VLOOKUP($A95,WSoccer!$C:$O,H$1-2011,FALSE),0)+IFERROR(VLOOKUP($A95,WSoftball!$C:$O,H$1-2011,FALSE),0)+IFERROR(VLOOKUP($A95,WVolleyball!$C:$O,H$1-2011,FALSE),0)</f>
        <v>991738</v>
      </c>
      <c r="I95">
        <f>IFERROR(VLOOKUP($A95,MBaseball!$C:$N,I$1-2010,FALSE),0)+IFERROR(VLOOKUP($A95,MBasketball!$C:$J,I$1-2006,FALSE),0)+IFERROR(VLOOKUP($A95,MFootball!$C:$O,I$1-2011,FALSE),0)+IFERROR(VLOOKUP($A95,MIceHockey!$C:$P,I$1-2011,FALSE),0)+IFERROR(VLOOKUP($A95,MLacrosse!$C:$O,I$1-2011,FALSE),0)+IFERROR(VLOOKUP($A95,MSoccer!$C:$O,I$1-2011,FALSE),0)+IFERROR(VLOOKUP($A95,MVolleyball!$C:$O,I$1-2011,FALSE),0)+IFERROR(VLOOKUP($A95,WBasketball!$C:$O,I$1-2011,FALSE),0)+IFERROR(VLOOKUP($A95,WFieldHockey!$C:$O,I$1-2011,FALSE),0)+IFERROR(VLOOKUP($A95,WIceHockey!$C:$O,I$1-2011,FALSE),0)+IFERROR(VLOOKUP($A95,WLacrosse!$C:$O,I$1-2011,FALSE),0)+IFERROR(VLOOKUP($A95,WSoccer!$C:$O,I$1-2011,FALSE),0)+IFERROR(VLOOKUP($A95,WSoftball!$C:$O,I$1-2011,FALSE),0)+IFERROR(VLOOKUP($A95,WVolleyball!$C:$O,I$1-2011,FALSE),0)</f>
        <v>941314</v>
      </c>
      <c r="J95">
        <f>IFERROR(VLOOKUP($A95,MBaseball!$C:$N,J$1-2010,FALSE),0)+IFERROR(VLOOKUP($A95,MBasketball!$C:$J,J$1-2006,FALSE),0)+IFERROR(VLOOKUP($A95,MFootball!$C:$O,J$1-2011,FALSE),0)+IFERROR(VLOOKUP($A95,MIceHockey!$C:$P,J$1-2011,FALSE),0)+IFERROR(VLOOKUP($A95,MLacrosse!$C:$O,J$1-2011,FALSE),0)+IFERROR(VLOOKUP($A95,MSoccer!$C:$O,J$1-2011,FALSE),0)+IFERROR(VLOOKUP($A95,MVolleyball!$C:$O,J$1-2011,FALSE),0)+IFERROR(VLOOKUP($A95,WBasketball!$C:$O,J$1-2011,FALSE),0)+IFERROR(VLOOKUP($A95,WFieldHockey!$C:$O,J$1-2011,FALSE),0)+IFERROR(VLOOKUP($A95,WIceHockey!$C:$O,J$1-2011,FALSE),0)+IFERROR(VLOOKUP($A95,WLacrosse!$C:$O,J$1-2011,FALSE),0)+IFERROR(VLOOKUP($A95,WSoccer!$C:$O,J$1-2011,FALSE),0)+IFERROR(VLOOKUP($A95,WSoftball!$C:$O,J$1-2011,FALSE),0)+IFERROR(VLOOKUP($A95,WVolleyball!$C:$O,J$1-2011,FALSE),0)</f>
        <v>896619</v>
      </c>
      <c r="K95">
        <f>IFERROR(VLOOKUP($A95,MBaseball!$C:$N,K$1-2010,FALSE),0)+IFERROR(VLOOKUP($A95,MBasketball!$C:$J,K$1-2006,FALSE),0)+IFERROR(VLOOKUP($A95,MFootball!$C:$O,K$1-2011,FALSE),0)+IFERROR(VLOOKUP($A95,MIceHockey!$C:$P,K$1-2011,FALSE),0)+IFERROR(VLOOKUP($A95,MLacrosse!$C:$O,K$1-2011,FALSE),0)+IFERROR(VLOOKUP($A95,MSoccer!$C:$O,K$1-2011,FALSE),0)+IFERROR(VLOOKUP($A95,MVolleyball!$C:$O,K$1-2011,FALSE),0)+IFERROR(VLOOKUP($A95,WBasketball!$C:$O,K$1-2011,FALSE),0)+IFERROR(VLOOKUP($A95,WFieldHockey!$C:$O,K$1-2011,FALSE),0)+IFERROR(VLOOKUP($A95,WIceHockey!$C:$O,K$1-2011,FALSE),0)+IFERROR(VLOOKUP($A95,WLacrosse!$C:$O,K$1-2011,FALSE),0)+IFERROR(VLOOKUP($A95,WSoccer!$C:$O,K$1-2011,FALSE),0)+IFERROR(VLOOKUP($A95,WSoftball!$C:$O,K$1-2011,FALSE),0)+IFERROR(VLOOKUP($A95,WVolleyball!$C:$O,K$1-2011,FALSE),0)</f>
        <v>913175</v>
      </c>
      <c r="L95">
        <f>IFERROR(VLOOKUP($A95,MBaseball!$C:$N,L$1-2010,FALSE),0)+IFERROR(VLOOKUP($A95,MBasketball!$C:$J,L$1-2006,FALSE),0)+IFERROR(VLOOKUP($A95,MFootball!$C:$O,L$1-2011,FALSE),0)+IFERROR(VLOOKUP($A95,MIceHockey!$C:$P,L$1-2011,FALSE),0)+IFERROR(VLOOKUP($A95,MLacrosse!$C:$O,L$1-2011,FALSE),0)+IFERROR(VLOOKUP($A95,MSoccer!$C:$O,L$1-2011,FALSE),0)+IFERROR(VLOOKUP($A95,MVolleyball!$C:$O,L$1-2011,FALSE),0)+IFERROR(VLOOKUP($A95,WBasketball!$C:$O,L$1-2011,FALSE),0)+IFERROR(VLOOKUP($A95,WFieldHockey!$C:$O,L$1-2011,FALSE),0)+IFERROR(VLOOKUP($A95,WIceHockey!$C:$O,L$1-2011,FALSE),0)+IFERROR(VLOOKUP($A95,WLacrosse!$C:$O,L$1-2011,FALSE),0)+IFERROR(VLOOKUP($A95,WSoccer!$C:$O,L$1-2011,FALSE),0)+IFERROR(VLOOKUP($A95,WSoftball!$C:$O,L$1-2011,FALSE),0)+IFERROR(VLOOKUP($A95,WVolleyball!$C:$O,L$1-2011,FALSE),0)</f>
        <v>126393</v>
      </c>
      <c r="M95">
        <f>IFERROR(VLOOKUP($A95,MBaseball!$C:$N,M$1-2010,FALSE),0)+IFERROR(VLOOKUP($A95,MBasketball!$C:$J,M$1-2006,FALSE),0)+IFERROR(VLOOKUP($A95,MFootball!$C:$O,M$1-2011,FALSE),0)+IFERROR(VLOOKUP($A95,MIceHockey!$C:$P,M$1-2011,FALSE),0)+IFERROR(VLOOKUP($A95,MLacrosse!$C:$O,M$1-2011,FALSE),0)+IFERROR(VLOOKUP($A95,MSoccer!$C:$O,M$1-2011,FALSE),0)+IFERROR(VLOOKUP($A95,MVolleyball!$C:$O,M$1-2011,FALSE),0)+IFERROR(VLOOKUP($A95,WBasketball!$C:$O,M$1-2011,FALSE),0)+IFERROR(VLOOKUP($A95,WFieldHockey!$C:$O,M$1-2011,FALSE),0)+IFERROR(VLOOKUP($A95,WIceHockey!$C:$O,M$1-2011,FALSE),0)+IFERROR(VLOOKUP($A95,WLacrosse!$C:$O,M$1-2011,FALSE),0)+IFERROR(VLOOKUP($A95,WSoccer!$C:$O,M$1-2011,FALSE),0)+IFERROR(VLOOKUP($A95,WSoftball!$C:$O,M$1-2011,FALSE),0)+IFERROR(VLOOKUP($A95,WVolleyball!$C:$O,M$1-2011,FALSE),0)</f>
        <v>957212</v>
      </c>
      <c r="N95">
        <f>IFERROR(VLOOKUP($A95,MBaseball!$C:$N,N$1-2010,FALSE),0)+IFERROR(VLOOKUP($A95,MBasketball!$C:$J,N$1-2006,FALSE),0)+IFERROR(VLOOKUP($A95,MFootball!$C:$O,N$1-2011,FALSE),0)+IFERROR(VLOOKUP($A95,MIceHockey!$C:$P,N$1-2011,FALSE),0)+IFERROR(VLOOKUP($A95,MLacrosse!$C:$O,N$1-2011,FALSE),0)+IFERROR(VLOOKUP($A95,MSoccer!$C:$O,N$1-2011,FALSE),0)+IFERROR(VLOOKUP($A95,MVolleyball!$C:$O,N$1-2011,FALSE),0)+IFERROR(VLOOKUP($A95,WBasketball!$C:$O,N$1-2011,FALSE),0)+IFERROR(VLOOKUP($A95,WFieldHockey!$C:$O,N$1-2011,FALSE),0)+IFERROR(VLOOKUP($A95,WIceHockey!$C:$O,N$1-2011,FALSE),0)+IFERROR(VLOOKUP($A95,WLacrosse!$C:$O,N$1-2011,FALSE),0)+IFERROR(VLOOKUP($A95,WSoccer!$C:$O,N$1-2011,FALSE),0)+IFERROR(VLOOKUP($A95,WSoftball!$C:$O,N$1-2011,FALSE),0)+IFERROR(VLOOKUP($A95,WVolleyball!$C:$O,N$1-2011,FALSE),0)</f>
        <v>886140</v>
      </c>
    </row>
    <row r="96" spans="1:14" x14ac:dyDescent="0.2">
      <c r="A96">
        <v>181394</v>
      </c>
      <c r="B96">
        <v>36540</v>
      </c>
      <c r="C96" t="s">
        <v>151</v>
      </c>
      <c r="D96">
        <v>95</v>
      </c>
      <c r="E96">
        <f>IFERROR(VLOOKUP($A96,MBaseball!$C:$N,E$1-2010,FALSE),0)+IFERROR(VLOOKUP($A96,MBasketball!$C:$J,E$1-2006,FALSE),0)+IFERROR(VLOOKUP($A96,MFootball!$C:$O,E$1-2011,FALSE),0)+IFERROR(VLOOKUP($A96,MIceHockey!$C:$P,E$1-2011,FALSE),0)+IFERROR(VLOOKUP($A96,MLacrosse!$C:$O,E$1-2011,FALSE),0)+IFERROR(VLOOKUP($A96,MSoccer!$C:$O,E$1-2011,FALSE),0)+IFERROR(VLOOKUP($A96,MVolleyball!$C:$O,E$1-2011,FALSE),0)+IFERROR(VLOOKUP($A96,WBasketball!$C:$O,E$1-2011,FALSE),0)+IFERROR(VLOOKUP($A96,WFieldHockey!$C:$O,E$1-2011,FALSE),0)+IFERROR(VLOOKUP($A96,WIceHockey!$C:$O,E$1-2011,FALSE),0)+IFERROR(VLOOKUP($A96,WLacrosse!$C:$O,E$1-2011,FALSE),0)+IFERROR(VLOOKUP($A96,WSoccer!$C:$O,E$1-2011,FALSE),0)+IFERROR(VLOOKUP($A96,WSoftball!$C:$O,E$1-2011,FALSE),0)+IFERROR(VLOOKUP($A96,WVolleyball!$C:$O,E$1-2011,FALSE),0)</f>
        <v>53904</v>
      </c>
      <c r="F96">
        <f>IFERROR(VLOOKUP($A96,MBaseball!$C:$N,F$1-2010,FALSE),0)+IFERROR(VLOOKUP($A96,MBasketball!$C:$J,F$1-2006,FALSE),0)+IFERROR(VLOOKUP($A96,MFootball!$C:$O,F$1-2011,FALSE),0)+IFERROR(VLOOKUP($A96,MIceHockey!$C:$P,F$1-2011,FALSE),0)+IFERROR(VLOOKUP($A96,MLacrosse!$C:$O,F$1-2011,FALSE),0)+IFERROR(VLOOKUP($A96,MSoccer!$C:$O,F$1-2011,FALSE),0)+IFERROR(VLOOKUP($A96,MVolleyball!$C:$O,F$1-2011,FALSE),0)+IFERROR(VLOOKUP($A96,WBasketball!$C:$O,F$1-2011,FALSE),0)+IFERROR(VLOOKUP($A96,WFieldHockey!$C:$O,F$1-2011,FALSE),0)+IFERROR(VLOOKUP($A96,WIceHockey!$C:$O,F$1-2011,FALSE),0)+IFERROR(VLOOKUP($A96,WLacrosse!$C:$O,F$1-2011,FALSE),0)+IFERROR(VLOOKUP($A96,WSoccer!$C:$O,F$1-2011,FALSE),0)+IFERROR(VLOOKUP($A96,WSoftball!$C:$O,F$1-2011,FALSE),0)+IFERROR(VLOOKUP($A96,WVolleyball!$C:$O,F$1-2011,FALSE),0)</f>
        <v>149168</v>
      </c>
      <c r="G96">
        <f>IFERROR(VLOOKUP($A96,MBaseball!$C:$N,G$1-2010,FALSE),0)+IFERROR(VLOOKUP($A96,MBasketball!$C:$J,G$1-2006,FALSE),0)+IFERROR(VLOOKUP($A96,MFootball!$C:$O,G$1-2011,FALSE),0)+IFERROR(VLOOKUP($A96,MIceHockey!$C:$P,G$1-2011,FALSE),0)+IFERROR(VLOOKUP($A96,MLacrosse!$C:$O,G$1-2011,FALSE),0)+IFERROR(VLOOKUP($A96,MSoccer!$C:$O,G$1-2011,FALSE),0)+IFERROR(VLOOKUP($A96,MVolleyball!$C:$O,G$1-2011,FALSE),0)+IFERROR(VLOOKUP($A96,WBasketball!$C:$O,G$1-2011,FALSE),0)+IFERROR(VLOOKUP($A96,WFieldHockey!$C:$O,G$1-2011,FALSE),0)+IFERROR(VLOOKUP($A96,WIceHockey!$C:$O,G$1-2011,FALSE),0)+IFERROR(VLOOKUP($A96,WLacrosse!$C:$O,G$1-2011,FALSE),0)+IFERROR(VLOOKUP($A96,WSoccer!$C:$O,G$1-2011,FALSE),0)+IFERROR(VLOOKUP($A96,WSoftball!$C:$O,G$1-2011,FALSE),0)+IFERROR(VLOOKUP($A96,WVolleyball!$C:$O,G$1-2011,FALSE),0)</f>
        <v>156441</v>
      </c>
      <c r="H96">
        <f>IFERROR(VLOOKUP($A96,MBaseball!$C:$N,H$1-2010,FALSE),0)+IFERROR(VLOOKUP($A96,MBasketball!$C:$J,H$1-2006,FALSE),0)+IFERROR(VLOOKUP($A96,MFootball!$C:$O,H$1-2011,FALSE),0)+IFERROR(VLOOKUP($A96,MIceHockey!$C:$P,H$1-2011,FALSE),0)+IFERROR(VLOOKUP($A96,MLacrosse!$C:$O,H$1-2011,FALSE),0)+IFERROR(VLOOKUP($A96,MSoccer!$C:$O,H$1-2011,FALSE),0)+IFERROR(VLOOKUP($A96,MVolleyball!$C:$O,H$1-2011,FALSE),0)+IFERROR(VLOOKUP($A96,WBasketball!$C:$O,H$1-2011,FALSE),0)+IFERROR(VLOOKUP($A96,WFieldHockey!$C:$O,H$1-2011,FALSE),0)+IFERROR(VLOOKUP($A96,WIceHockey!$C:$O,H$1-2011,FALSE),0)+IFERROR(VLOOKUP($A96,WLacrosse!$C:$O,H$1-2011,FALSE),0)+IFERROR(VLOOKUP($A96,WSoccer!$C:$O,H$1-2011,FALSE),0)+IFERROR(VLOOKUP($A96,WSoftball!$C:$O,H$1-2011,FALSE),0)+IFERROR(VLOOKUP($A96,WVolleyball!$C:$O,H$1-2011,FALSE),0)</f>
        <v>134017</v>
      </c>
      <c r="I96">
        <f>IFERROR(VLOOKUP($A96,MBaseball!$C:$N,I$1-2010,FALSE),0)+IFERROR(VLOOKUP($A96,MBasketball!$C:$J,I$1-2006,FALSE),0)+IFERROR(VLOOKUP($A96,MFootball!$C:$O,I$1-2011,FALSE),0)+IFERROR(VLOOKUP($A96,MIceHockey!$C:$P,I$1-2011,FALSE),0)+IFERROR(VLOOKUP($A96,MLacrosse!$C:$O,I$1-2011,FALSE),0)+IFERROR(VLOOKUP($A96,MSoccer!$C:$O,I$1-2011,FALSE),0)+IFERROR(VLOOKUP($A96,MVolleyball!$C:$O,I$1-2011,FALSE),0)+IFERROR(VLOOKUP($A96,WBasketball!$C:$O,I$1-2011,FALSE),0)+IFERROR(VLOOKUP($A96,WFieldHockey!$C:$O,I$1-2011,FALSE),0)+IFERROR(VLOOKUP($A96,WIceHockey!$C:$O,I$1-2011,FALSE),0)+IFERROR(VLOOKUP($A96,WLacrosse!$C:$O,I$1-2011,FALSE),0)+IFERROR(VLOOKUP($A96,WSoccer!$C:$O,I$1-2011,FALSE),0)+IFERROR(VLOOKUP($A96,WSoftball!$C:$O,I$1-2011,FALSE),0)+IFERROR(VLOOKUP($A96,WVolleyball!$C:$O,I$1-2011,FALSE),0)</f>
        <v>160686</v>
      </c>
      <c r="J96">
        <f>IFERROR(VLOOKUP($A96,MBaseball!$C:$N,J$1-2010,FALSE),0)+IFERROR(VLOOKUP($A96,MBasketball!$C:$J,J$1-2006,FALSE),0)+IFERROR(VLOOKUP($A96,MFootball!$C:$O,J$1-2011,FALSE),0)+IFERROR(VLOOKUP($A96,MIceHockey!$C:$P,J$1-2011,FALSE),0)+IFERROR(VLOOKUP($A96,MLacrosse!$C:$O,J$1-2011,FALSE),0)+IFERROR(VLOOKUP($A96,MSoccer!$C:$O,J$1-2011,FALSE),0)+IFERROR(VLOOKUP($A96,MVolleyball!$C:$O,J$1-2011,FALSE),0)+IFERROR(VLOOKUP($A96,WBasketball!$C:$O,J$1-2011,FALSE),0)+IFERROR(VLOOKUP($A96,WFieldHockey!$C:$O,J$1-2011,FALSE),0)+IFERROR(VLOOKUP($A96,WIceHockey!$C:$O,J$1-2011,FALSE),0)+IFERROR(VLOOKUP($A96,WLacrosse!$C:$O,J$1-2011,FALSE),0)+IFERROR(VLOOKUP($A96,WSoccer!$C:$O,J$1-2011,FALSE),0)+IFERROR(VLOOKUP($A96,WSoftball!$C:$O,J$1-2011,FALSE),0)+IFERROR(VLOOKUP($A96,WVolleyball!$C:$O,J$1-2011,FALSE),0)</f>
        <v>127414</v>
      </c>
      <c r="K96">
        <f>IFERROR(VLOOKUP($A96,MBaseball!$C:$N,K$1-2010,FALSE),0)+IFERROR(VLOOKUP($A96,MBasketball!$C:$J,K$1-2006,FALSE),0)+IFERROR(VLOOKUP($A96,MFootball!$C:$O,K$1-2011,FALSE),0)+IFERROR(VLOOKUP($A96,MIceHockey!$C:$P,K$1-2011,FALSE),0)+IFERROR(VLOOKUP($A96,MLacrosse!$C:$O,K$1-2011,FALSE),0)+IFERROR(VLOOKUP($A96,MSoccer!$C:$O,K$1-2011,FALSE),0)+IFERROR(VLOOKUP($A96,MVolleyball!$C:$O,K$1-2011,FALSE),0)+IFERROR(VLOOKUP($A96,WBasketball!$C:$O,K$1-2011,FALSE),0)+IFERROR(VLOOKUP($A96,WFieldHockey!$C:$O,K$1-2011,FALSE),0)+IFERROR(VLOOKUP($A96,WIceHockey!$C:$O,K$1-2011,FALSE),0)+IFERROR(VLOOKUP($A96,WLacrosse!$C:$O,K$1-2011,FALSE),0)+IFERROR(VLOOKUP($A96,WSoccer!$C:$O,K$1-2011,FALSE),0)+IFERROR(VLOOKUP($A96,WSoftball!$C:$O,K$1-2011,FALSE),0)+IFERROR(VLOOKUP($A96,WVolleyball!$C:$O,K$1-2011,FALSE),0)</f>
        <v>128865</v>
      </c>
      <c r="L96">
        <f>IFERROR(VLOOKUP($A96,MBaseball!$C:$N,L$1-2010,FALSE),0)+IFERROR(VLOOKUP($A96,MBasketball!$C:$J,L$1-2006,FALSE),0)+IFERROR(VLOOKUP($A96,MFootball!$C:$O,L$1-2011,FALSE),0)+IFERROR(VLOOKUP($A96,MIceHockey!$C:$P,L$1-2011,FALSE),0)+IFERROR(VLOOKUP($A96,MLacrosse!$C:$O,L$1-2011,FALSE),0)+IFERROR(VLOOKUP($A96,MSoccer!$C:$O,L$1-2011,FALSE),0)+IFERROR(VLOOKUP($A96,MVolleyball!$C:$O,L$1-2011,FALSE),0)+IFERROR(VLOOKUP($A96,WBasketball!$C:$O,L$1-2011,FALSE),0)+IFERROR(VLOOKUP($A96,WFieldHockey!$C:$O,L$1-2011,FALSE),0)+IFERROR(VLOOKUP($A96,WIceHockey!$C:$O,L$1-2011,FALSE),0)+IFERROR(VLOOKUP($A96,WLacrosse!$C:$O,L$1-2011,FALSE),0)+IFERROR(VLOOKUP($A96,WSoccer!$C:$O,L$1-2011,FALSE),0)+IFERROR(VLOOKUP($A96,WSoftball!$C:$O,L$1-2011,FALSE),0)+IFERROR(VLOOKUP($A96,WVolleyball!$C:$O,L$1-2011,FALSE),0)</f>
        <v>26531</v>
      </c>
      <c r="M96">
        <f>IFERROR(VLOOKUP($A96,MBaseball!$C:$N,M$1-2010,FALSE),0)+IFERROR(VLOOKUP($A96,MBasketball!$C:$J,M$1-2006,FALSE),0)+IFERROR(VLOOKUP($A96,MFootball!$C:$O,M$1-2011,FALSE),0)+IFERROR(VLOOKUP($A96,MIceHockey!$C:$P,M$1-2011,FALSE),0)+IFERROR(VLOOKUP($A96,MLacrosse!$C:$O,M$1-2011,FALSE),0)+IFERROR(VLOOKUP($A96,MSoccer!$C:$O,M$1-2011,FALSE),0)+IFERROR(VLOOKUP($A96,MVolleyball!$C:$O,M$1-2011,FALSE),0)+IFERROR(VLOOKUP($A96,WBasketball!$C:$O,M$1-2011,FALSE),0)+IFERROR(VLOOKUP($A96,WFieldHockey!$C:$O,M$1-2011,FALSE),0)+IFERROR(VLOOKUP($A96,WIceHockey!$C:$O,M$1-2011,FALSE),0)+IFERROR(VLOOKUP($A96,WLacrosse!$C:$O,M$1-2011,FALSE),0)+IFERROR(VLOOKUP($A96,WSoccer!$C:$O,M$1-2011,FALSE),0)+IFERROR(VLOOKUP($A96,WSoftball!$C:$O,M$1-2011,FALSE),0)+IFERROR(VLOOKUP($A96,WVolleyball!$C:$O,M$1-2011,FALSE),0)</f>
        <v>121892</v>
      </c>
      <c r="N96">
        <f>IFERROR(VLOOKUP($A96,MBaseball!$C:$N,N$1-2010,FALSE),0)+IFERROR(VLOOKUP($A96,MBasketball!$C:$J,N$1-2006,FALSE),0)+IFERROR(VLOOKUP($A96,MFootball!$C:$O,N$1-2011,FALSE),0)+IFERROR(VLOOKUP($A96,MIceHockey!$C:$P,N$1-2011,FALSE),0)+IFERROR(VLOOKUP($A96,MLacrosse!$C:$O,N$1-2011,FALSE),0)+IFERROR(VLOOKUP($A96,MSoccer!$C:$O,N$1-2011,FALSE),0)+IFERROR(VLOOKUP($A96,MVolleyball!$C:$O,N$1-2011,FALSE),0)+IFERROR(VLOOKUP($A96,WBasketball!$C:$O,N$1-2011,FALSE),0)+IFERROR(VLOOKUP($A96,WFieldHockey!$C:$O,N$1-2011,FALSE),0)+IFERROR(VLOOKUP($A96,WIceHockey!$C:$O,N$1-2011,FALSE),0)+IFERROR(VLOOKUP($A96,WLacrosse!$C:$O,N$1-2011,FALSE),0)+IFERROR(VLOOKUP($A96,WSoccer!$C:$O,N$1-2011,FALSE),0)+IFERROR(VLOOKUP($A96,WSoftball!$C:$O,N$1-2011,FALSE),0)+IFERROR(VLOOKUP($A96,WVolleyball!$C:$O,N$1-2011,FALSE),0)</f>
        <v>170796</v>
      </c>
    </row>
    <row r="97" spans="1:14" x14ac:dyDescent="0.2">
      <c r="A97">
        <v>182290</v>
      </c>
      <c r="B97">
        <v>39900</v>
      </c>
      <c r="C97" t="s">
        <v>152</v>
      </c>
      <c r="D97">
        <v>96</v>
      </c>
      <c r="E97">
        <f>IFERROR(VLOOKUP($A97,MBaseball!$C:$N,E$1-2010,FALSE),0)+IFERROR(VLOOKUP($A97,MBasketball!$C:$J,E$1-2006,FALSE),0)+IFERROR(VLOOKUP($A97,MFootball!$C:$O,E$1-2011,FALSE),0)+IFERROR(VLOOKUP($A97,MIceHockey!$C:$P,E$1-2011,FALSE),0)+IFERROR(VLOOKUP($A97,MLacrosse!$C:$O,E$1-2011,FALSE),0)+IFERROR(VLOOKUP($A97,MSoccer!$C:$O,E$1-2011,FALSE),0)+IFERROR(VLOOKUP($A97,MVolleyball!$C:$O,E$1-2011,FALSE),0)+IFERROR(VLOOKUP($A97,WBasketball!$C:$O,E$1-2011,FALSE),0)+IFERROR(VLOOKUP($A97,WFieldHockey!$C:$O,E$1-2011,FALSE),0)+IFERROR(VLOOKUP($A97,WIceHockey!$C:$O,E$1-2011,FALSE),0)+IFERROR(VLOOKUP($A97,WLacrosse!$C:$O,E$1-2011,FALSE),0)+IFERROR(VLOOKUP($A97,WSoccer!$C:$O,E$1-2011,FALSE),0)+IFERROR(VLOOKUP($A97,WSoftball!$C:$O,E$1-2011,FALSE),0)+IFERROR(VLOOKUP($A97,WVolleyball!$C:$O,E$1-2011,FALSE),0)</f>
        <v>214373</v>
      </c>
      <c r="F97">
        <f>IFERROR(VLOOKUP($A97,MBaseball!$C:$N,F$1-2010,FALSE),0)+IFERROR(VLOOKUP($A97,MBasketball!$C:$J,F$1-2006,FALSE),0)+IFERROR(VLOOKUP($A97,MFootball!$C:$O,F$1-2011,FALSE),0)+IFERROR(VLOOKUP($A97,MIceHockey!$C:$P,F$1-2011,FALSE),0)+IFERROR(VLOOKUP($A97,MLacrosse!$C:$O,F$1-2011,FALSE),0)+IFERROR(VLOOKUP($A97,MSoccer!$C:$O,F$1-2011,FALSE),0)+IFERROR(VLOOKUP($A97,MVolleyball!$C:$O,F$1-2011,FALSE),0)+IFERROR(VLOOKUP($A97,WBasketball!$C:$O,F$1-2011,FALSE),0)+IFERROR(VLOOKUP($A97,WFieldHockey!$C:$O,F$1-2011,FALSE),0)+IFERROR(VLOOKUP($A97,WIceHockey!$C:$O,F$1-2011,FALSE),0)+IFERROR(VLOOKUP($A97,WLacrosse!$C:$O,F$1-2011,FALSE),0)+IFERROR(VLOOKUP($A97,WSoccer!$C:$O,F$1-2011,FALSE),0)+IFERROR(VLOOKUP($A97,WSoftball!$C:$O,F$1-2011,FALSE),0)+IFERROR(VLOOKUP($A97,WVolleyball!$C:$O,F$1-2011,FALSE),0)</f>
        <v>188808</v>
      </c>
      <c r="G97">
        <f>IFERROR(VLOOKUP($A97,MBaseball!$C:$N,G$1-2010,FALSE),0)+IFERROR(VLOOKUP($A97,MBasketball!$C:$J,G$1-2006,FALSE),0)+IFERROR(VLOOKUP($A97,MFootball!$C:$O,G$1-2011,FALSE),0)+IFERROR(VLOOKUP($A97,MIceHockey!$C:$P,G$1-2011,FALSE),0)+IFERROR(VLOOKUP($A97,MLacrosse!$C:$O,G$1-2011,FALSE),0)+IFERROR(VLOOKUP($A97,MSoccer!$C:$O,G$1-2011,FALSE),0)+IFERROR(VLOOKUP($A97,MVolleyball!$C:$O,G$1-2011,FALSE),0)+IFERROR(VLOOKUP($A97,WBasketball!$C:$O,G$1-2011,FALSE),0)+IFERROR(VLOOKUP($A97,WFieldHockey!$C:$O,G$1-2011,FALSE),0)+IFERROR(VLOOKUP($A97,WIceHockey!$C:$O,G$1-2011,FALSE),0)+IFERROR(VLOOKUP($A97,WLacrosse!$C:$O,G$1-2011,FALSE),0)+IFERROR(VLOOKUP($A97,WSoccer!$C:$O,G$1-2011,FALSE),0)+IFERROR(VLOOKUP($A97,WSoftball!$C:$O,G$1-2011,FALSE),0)+IFERROR(VLOOKUP($A97,WVolleyball!$C:$O,G$1-2011,FALSE),0)</f>
        <v>181344</v>
      </c>
      <c r="H97">
        <f>IFERROR(VLOOKUP($A97,MBaseball!$C:$N,H$1-2010,FALSE),0)+IFERROR(VLOOKUP($A97,MBasketball!$C:$J,H$1-2006,FALSE),0)+IFERROR(VLOOKUP($A97,MFootball!$C:$O,H$1-2011,FALSE),0)+IFERROR(VLOOKUP($A97,MIceHockey!$C:$P,H$1-2011,FALSE),0)+IFERROR(VLOOKUP($A97,MLacrosse!$C:$O,H$1-2011,FALSE),0)+IFERROR(VLOOKUP($A97,MSoccer!$C:$O,H$1-2011,FALSE),0)+IFERROR(VLOOKUP($A97,MVolleyball!$C:$O,H$1-2011,FALSE),0)+IFERROR(VLOOKUP($A97,WBasketball!$C:$O,H$1-2011,FALSE),0)+IFERROR(VLOOKUP($A97,WFieldHockey!$C:$O,H$1-2011,FALSE),0)+IFERROR(VLOOKUP($A97,WIceHockey!$C:$O,H$1-2011,FALSE),0)+IFERROR(VLOOKUP($A97,WLacrosse!$C:$O,H$1-2011,FALSE),0)+IFERROR(VLOOKUP($A97,WSoccer!$C:$O,H$1-2011,FALSE),0)+IFERROR(VLOOKUP($A97,WSoftball!$C:$O,H$1-2011,FALSE),0)+IFERROR(VLOOKUP($A97,WVolleyball!$C:$O,H$1-2011,FALSE),0)</f>
        <v>165059</v>
      </c>
      <c r="I97">
        <f>IFERROR(VLOOKUP($A97,MBaseball!$C:$N,I$1-2010,FALSE),0)+IFERROR(VLOOKUP($A97,MBasketball!$C:$J,I$1-2006,FALSE),0)+IFERROR(VLOOKUP($A97,MFootball!$C:$O,I$1-2011,FALSE),0)+IFERROR(VLOOKUP($A97,MIceHockey!$C:$P,I$1-2011,FALSE),0)+IFERROR(VLOOKUP($A97,MLacrosse!$C:$O,I$1-2011,FALSE),0)+IFERROR(VLOOKUP($A97,MSoccer!$C:$O,I$1-2011,FALSE),0)+IFERROR(VLOOKUP($A97,MVolleyball!$C:$O,I$1-2011,FALSE),0)+IFERROR(VLOOKUP($A97,WBasketball!$C:$O,I$1-2011,FALSE),0)+IFERROR(VLOOKUP($A97,WFieldHockey!$C:$O,I$1-2011,FALSE),0)+IFERROR(VLOOKUP($A97,WIceHockey!$C:$O,I$1-2011,FALSE),0)+IFERROR(VLOOKUP($A97,WLacrosse!$C:$O,I$1-2011,FALSE),0)+IFERROR(VLOOKUP($A97,WSoccer!$C:$O,I$1-2011,FALSE),0)+IFERROR(VLOOKUP($A97,WSoftball!$C:$O,I$1-2011,FALSE),0)+IFERROR(VLOOKUP($A97,WVolleyball!$C:$O,I$1-2011,FALSE),0)</f>
        <v>162432</v>
      </c>
      <c r="J97">
        <f>IFERROR(VLOOKUP($A97,MBaseball!$C:$N,J$1-2010,FALSE),0)+IFERROR(VLOOKUP($A97,MBasketball!$C:$J,J$1-2006,FALSE),0)+IFERROR(VLOOKUP($A97,MFootball!$C:$O,J$1-2011,FALSE),0)+IFERROR(VLOOKUP($A97,MIceHockey!$C:$P,J$1-2011,FALSE),0)+IFERROR(VLOOKUP($A97,MLacrosse!$C:$O,J$1-2011,FALSE),0)+IFERROR(VLOOKUP($A97,MSoccer!$C:$O,J$1-2011,FALSE),0)+IFERROR(VLOOKUP($A97,MVolleyball!$C:$O,J$1-2011,FALSE),0)+IFERROR(VLOOKUP($A97,WBasketball!$C:$O,J$1-2011,FALSE),0)+IFERROR(VLOOKUP($A97,WFieldHockey!$C:$O,J$1-2011,FALSE),0)+IFERROR(VLOOKUP($A97,WIceHockey!$C:$O,J$1-2011,FALSE),0)+IFERROR(VLOOKUP($A97,WLacrosse!$C:$O,J$1-2011,FALSE),0)+IFERROR(VLOOKUP($A97,WSoccer!$C:$O,J$1-2011,FALSE),0)+IFERROR(VLOOKUP($A97,WSoftball!$C:$O,J$1-2011,FALSE),0)+IFERROR(VLOOKUP($A97,WVolleyball!$C:$O,J$1-2011,FALSE),0)</f>
        <v>135910</v>
      </c>
      <c r="K97">
        <f>IFERROR(VLOOKUP($A97,MBaseball!$C:$N,K$1-2010,FALSE),0)+IFERROR(VLOOKUP($A97,MBasketball!$C:$J,K$1-2006,FALSE),0)+IFERROR(VLOOKUP($A97,MFootball!$C:$O,K$1-2011,FALSE),0)+IFERROR(VLOOKUP($A97,MIceHockey!$C:$P,K$1-2011,FALSE),0)+IFERROR(VLOOKUP($A97,MLacrosse!$C:$O,K$1-2011,FALSE),0)+IFERROR(VLOOKUP($A97,MSoccer!$C:$O,K$1-2011,FALSE),0)+IFERROR(VLOOKUP($A97,MVolleyball!$C:$O,K$1-2011,FALSE),0)+IFERROR(VLOOKUP($A97,WBasketball!$C:$O,K$1-2011,FALSE),0)+IFERROR(VLOOKUP($A97,WFieldHockey!$C:$O,K$1-2011,FALSE),0)+IFERROR(VLOOKUP($A97,WIceHockey!$C:$O,K$1-2011,FALSE),0)+IFERROR(VLOOKUP($A97,WLacrosse!$C:$O,K$1-2011,FALSE),0)+IFERROR(VLOOKUP($A97,WSoccer!$C:$O,K$1-2011,FALSE),0)+IFERROR(VLOOKUP($A97,WSoftball!$C:$O,K$1-2011,FALSE),0)+IFERROR(VLOOKUP($A97,WVolleyball!$C:$O,K$1-2011,FALSE),0)</f>
        <v>125368</v>
      </c>
      <c r="L97">
        <f>IFERROR(VLOOKUP($A97,MBaseball!$C:$N,L$1-2010,FALSE),0)+IFERROR(VLOOKUP($A97,MBasketball!$C:$J,L$1-2006,FALSE),0)+IFERROR(VLOOKUP($A97,MFootball!$C:$O,L$1-2011,FALSE),0)+IFERROR(VLOOKUP($A97,MIceHockey!$C:$P,L$1-2011,FALSE),0)+IFERROR(VLOOKUP($A97,MLacrosse!$C:$O,L$1-2011,FALSE),0)+IFERROR(VLOOKUP($A97,MSoccer!$C:$O,L$1-2011,FALSE),0)+IFERROR(VLOOKUP($A97,MVolleyball!$C:$O,L$1-2011,FALSE),0)+IFERROR(VLOOKUP($A97,WBasketball!$C:$O,L$1-2011,FALSE),0)+IFERROR(VLOOKUP($A97,WFieldHockey!$C:$O,L$1-2011,FALSE),0)+IFERROR(VLOOKUP($A97,WIceHockey!$C:$O,L$1-2011,FALSE),0)+IFERROR(VLOOKUP($A97,WLacrosse!$C:$O,L$1-2011,FALSE),0)+IFERROR(VLOOKUP($A97,WSoccer!$C:$O,L$1-2011,FALSE),0)+IFERROR(VLOOKUP($A97,WSoftball!$C:$O,L$1-2011,FALSE),0)+IFERROR(VLOOKUP($A97,WVolleyball!$C:$O,L$1-2011,FALSE),0)</f>
        <v>16050</v>
      </c>
      <c r="M97">
        <f>IFERROR(VLOOKUP($A97,MBaseball!$C:$N,M$1-2010,FALSE),0)+IFERROR(VLOOKUP($A97,MBasketball!$C:$J,M$1-2006,FALSE),0)+IFERROR(VLOOKUP($A97,MFootball!$C:$O,M$1-2011,FALSE),0)+IFERROR(VLOOKUP($A97,MIceHockey!$C:$P,M$1-2011,FALSE),0)+IFERROR(VLOOKUP($A97,MLacrosse!$C:$O,M$1-2011,FALSE),0)+IFERROR(VLOOKUP($A97,MSoccer!$C:$O,M$1-2011,FALSE),0)+IFERROR(VLOOKUP($A97,MVolleyball!$C:$O,M$1-2011,FALSE),0)+IFERROR(VLOOKUP($A97,WBasketball!$C:$O,M$1-2011,FALSE),0)+IFERROR(VLOOKUP($A97,WFieldHockey!$C:$O,M$1-2011,FALSE),0)+IFERROR(VLOOKUP($A97,WIceHockey!$C:$O,M$1-2011,FALSE),0)+IFERROR(VLOOKUP($A97,WLacrosse!$C:$O,M$1-2011,FALSE),0)+IFERROR(VLOOKUP($A97,WSoccer!$C:$O,M$1-2011,FALSE),0)+IFERROR(VLOOKUP($A97,WSoftball!$C:$O,M$1-2011,FALSE),0)+IFERROR(VLOOKUP($A97,WVolleyball!$C:$O,M$1-2011,FALSE),0)</f>
        <v>162922</v>
      </c>
      <c r="N97">
        <f>IFERROR(VLOOKUP($A97,MBaseball!$C:$N,N$1-2010,FALSE),0)+IFERROR(VLOOKUP($A97,MBasketball!$C:$J,N$1-2006,FALSE),0)+IFERROR(VLOOKUP($A97,MFootball!$C:$O,N$1-2011,FALSE),0)+IFERROR(VLOOKUP($A97,MIceHockey!$C:$P,N$1-2011,FALSE),0)+IFERROR(VLOOKUP($A97,MLacrosse!$C:$O,N$1-2011,FALSE),0)+IFERROR(VLOOKUP($A97,MSoccer!$C:$O,N$1-2011,FALSE),0)+IFERROR(VLOOKUP($A97,MVolleyball!$C:$O,N$1-2011,FALSE),0)+IFERROR(VLOOKUP($A97,WBasketball!$C:$O,N$1-2011,FALSE),0)+IFERROR(VLOOKUP($A97,WFieldHockey!$C:$O,N$1-2011,FALSE),0)+IFERROR(VLOOKUP($A97,WIceHockey!$C:$O,N$1-2011,FALSE),0)+IFERROR(VLOOKUP($A97,WLacrosse!$C:$O,N$1-2011,FALSE),0)+IFERROR(VLOOKUP($A97,WSoccer!$C:$O,N$1-2011,FALSE),0)+IFERROR(VLOOKUP($A97,WSoftball!$C:$O,N$1-2011,FALSE),0)+IFERROR(VLOOKUP($A97,WVolleyball!$C:$O,N$1-2011,FALSE),0)</f>
        <v>120780</v>
      </c>
    </row>
    <row r="98" spans="1:14" x14ac:dyDescent="0.2">
      <c r="A98">
        <v>183044</v>
      </c>
      <c r="B98">
        <v>18180</v>
      </c>
      <c r="C98" t="s">
        <v>153</v>
      </c>
      <c r="D98">
        <v>97</v>
      </c>
      <c r="E98">
        <f>IFERROR(VLOOKUP($A98,MBaseball!$C:$N,E$1-2010,FALSE),0)+IFERROR(VLOOKUP($A98,MBasketball!$C:$J,E$1-2006,FALSE),0)+IFERROR(VLOOKUP($A98,MFootball!$C:$O,E$1-2011,FALSE),0)+IFERROR(VLOOKUP($A98,MIceHockey!$C:$P,E$1-2011,FALSE),0)+IFERROR(VLOOKUP($A98,MLacrosse!$C:$O,E$1-2011,FALSE),0)+IFERROR(VLOOKUP($A98,MSoccer!$C:$O,E$1-2011,FALSE),0)+IFERROR(VLOOKUP($A98,MVolleyball!$C:$O,E$1-2011,FALSE),0)+IFERROR(VLOOKUP($A98,WBasketball!$C:$O,E$1-2011,FALSE),0)+IFERROR(VLOOKUP($A98,WFieldHockey!$C:$O,E$1-2011,FALSE),0)+IFERROR(VLOOKUP($A98,WIceHockey!$C:$O,E$1-2011,FALSE),0)+IFERROR(VLOOKUP($A98,WLacrosse!$C:$O,E$1-2011,FALSE),0)+IFERROR(VLOOKUP($A98,WSoccer!$C:$O,E$1-2011,FALSE),0)+IFERROR(VLOOKUP($A98,WSoftball!$C:$O,E$1-2011,FALSE),0)+IFERROR(VLOOKUP($A98,WVolleyball!$C:$O,E$1-2011,FALSE),0)</f>
        <v>18928</v>
      </c>
      <c r="F98">
        <f>IFERROR(VLOOKUP($A98,MBaseball!$C:$N,F$1-2010,FALSE),0)+IFERROR(VLOOKUP($A98,MBasketball!$C:$J,F$1-2006,FALSE),0)+IFERROR(VLOOKUP($A98,MFootball!$C:$O,F$1-2011,FALSE),0)+IFERROR(VLOOKUP($A98,MIceHockey!$C:$P,F$1-2011,FALSE),0)+IFERROR(VLOOKUP($A98,MLacrosse!$C:$O,F$1-2011,FALSE),0)+IFERROR(VLOOKUP($A98,MSoccer!$C:$O,F$1-2011,FALSE),0)+IFERROR(VLOOKUP($A98,MVolleyball!$C:$O,F$1-2011,FALSE),0)+IFERROR(VLOOKUP($A98,WBasketball!$C:$O,F$1-2011,FALSE),0)+IFERROR(VLOOKUP($A98,WFieldHockey!$C:$O,F$1-2011,FALSE),0)+IFERROR(VLOOKUP($A98,WIceHockey!$C:$O,F$1-2011,FALSE),0)+IFERROR(VLOOKUP($A98,WLacrosse!$C:$O,F$1-2011,FALSE),0)+IFERROR(VLOOKUP($A98,WSoccer!$C:$O,F$1-2011,FALSE),0)+IFERROR(VLOOKUP($A98,WSoftball!$C:$O,F$1-2011,FALSE),0)+IFERROR(VLOOKUP($A98,WVolleyball!$C:$O,F$1-2011,FALSE),0)</f>
        <v>194976</v>
      </c>
      <c r="G98">
        <f>IFERROR(VLOOKUP($A98,MBaseball!$C:$N,G$1-2010,FALSE),0)+IFERROR(VLOOKUP($A98,MBasketball!$C:$J,G$1-2006,FALSE),0)+IFERROR(VLOOKUP($A98,MFootball!$C:$O,G$1-2011,FALSE),0)+IFERROR(VLOOKUP($A98,MIceHockey!$C:$P,G$1-2011,FALSE),0)+IFERROR(VLOOKUP($A98,MLacrosse!$C:$O,G$1-2011,FALSE),0)+IFERROR(VLOOKUP($A98,MSoccer!$C:$O,G$1-2011,FALSE),0)+IFERROR(VLOOKUP($A98,MVolleyball!$C:$O,G$1-2011,FALSE),0)+IFERROR(VLOOKUP($A98,WBasketball!$C:$O,G$1-2011,FALSE),0)+IFERROR(VLOOKUP($A98,WFieldHockey!$C:$O,G$1-2011,FALSE),0)+IFERROR(VLOOKUP($A98,WIceHockey!$C:$O,G$1-2011,FALSE),0)+IFERROR(VLOOKUP($A98,WLacrosse!$C:$O,G$1-2011,FALSE),0)+IFERROR(VLOOKUP($A98,WSoccer!$C:$O,G$1-2011,FALSE),0)+IFERROR(VLOOKUP($A98,WSoftball!$C:$O,G$1-2011,FALSE),0)+IFERROR(VLOOKUP($A98,WVolleyball!$C:$O,G$1-2011,FALSE),0)</f>
        <v>151327</v>
      </c>
      <c r="H98">
        <f>IFERROR(VLOOKUP($A98,MBaseball!$C:$N,H$1-2010,FALSE),0)+IFERROR(VLOOKUP($A98,MBasketball!$C:$J,H$1-2006,FALSE),0)+IFERROR(VLOOKUP($A98,MFootball!$C:$O,H$1-2011,FALSE),0)+IFERROR(VLOOKUP($A98,MIceHockey!$C:$P,H$1-2011,FALSE),0)+IFERROR(VLOOKUP($A98,MLacrosse!$C:$O,H$1-2011,FALSE),0)+IFERROR(VLOOKUP($A98,MSoccer!$C:$O,H$1-2011,FALSE),0)+IFERROR(VLOOKUP($A98,MVolleyball!$C:$O,H$1-2011,FALSE),0)+IFERROR(VLOOKUP($A98,WBasketball!$C:$O,H$1-2011,FALSE),0)+IFERROR(VLOOKUP($A98,WFieldHockey!$C:$O,H$1-2011,FALSE),0)+IFERROR(VLOOKUP($A98,WIceHockey!$C:$O,H$1-2011,FALSE),0)+IFERROR(VLOOKUP($A98,WLacrosse!$C:$O,H$1-2011,FALSE),0)+IFERROR(VLOOKUP($A98,WSoccer!$C:$O,H$1-2011,FALSE),0)+IFERROR(VLOOKUP($A98,WSoftball!$C:$O,H$1-2011,FALSE),0)+IFERROR(VLOOKUP($A98,WVolleyball!$C:$O,H$1-2011,FALSE),0)</f>
        <v>167279</v>
      </c>
      <c r="I98">
        <f>IFERROR(VLOOKUP($A98,MBaseball!$C:$N,I$1-2010,FALSE),0)+IFERROR(VLOOKUP($A98,MBasketball!$C:$J,I$1-2006,FALSE),0)+IFERROR(VLOOKUP($A98,MFootball!$C:$O,I$1-2011,FALSE),0)+IFERROR(VLOOKUP($A98,MIceHockey!$C:$P,I$1-2011,FALSE),0)+IFERROR(VLOOKUP($A98,MLacrosse!$C:$O,I$1-2011,FALSE),0)+IFERROR(VLOOKUP($A98,MSoccer!$C:$O,I$1-2011,FALSE),0)+IFERROR(VLOOKUP($A98,MVolleyball!$C:$O,I$1-2011,FALSE),0)+IFERROR(VLOOKUP($A98,WBasketball!$C:$O,I$1-2011,FALSE),0)+IFERROR(VLOOKUP($A98,WFieldHockey!$C:$O,I$1-2011,FALSE),0)+IFERROR(VLOOKUP($A98,WIceHockey!$C:$O,I$1-2011,FALSE),0)+IFERROR(VLOOKUP($A98,WLacrosse!$C:$O,I$1-2011,FALSE),0)+IFERROR(VLOOKUP($A98,WSoccer!$C:$O,I$1-2011,FALSE),0)+IFERROR(VLOOKUP($A98,WSoftball!$C:$O,I$1-2011,FALSE),0)+IFERROR(VLOOKUP($A98,WVolleyball!$C:$O,I$1-2011,FALSE),0)</f>
        <v>177450</v>
      </c>
      <c r="J98">
        <f>IFERROR(VLOOKUP($A98,MBaseball!$C:$N,J$1-2010,FALSE),0)+IFERROR(VLOOKUP($A98,MBasketball!$C:$J,J$1-2006,FALSE),0)+IFERROR(VLOOKUP($A98,MFootball!$C:$O,J$1-2011,FALSE),0)+IFERROR(VLOOKUP($A98,MIceHockey!$C:$P,J$1-2011,FALSE),0)+IFERROR(VLOOKUP($A98,MLacrosse!$C:$O,J$1-2011,FALSE),0)+IFERROR(VLOOKUP($A98,MSoccer!$C:$O,J$1-2011,FALSE),0)+IFERROR(VLOOKUP($A98,MVolleyball!$C:$O,J$1-2011,FALSE),0)+IFERROR(VLOOKUP($A98,WBasketball!$C:$O,J$1-2011,FALSE),0)+IFERROR(VLOOKUP($A98,WFieldHockey!$C:$O,J$1-2011,FALSE),0)+IFERROR(VLOOKUP($A98,WIceHockey!$C:$O,J$1-2011,FALSE),0)+IFERROR(VLOOKUP($A98,WLacrosse!$C:$O,J$1-2011,FALSE),0)+IFERROR(VLOOKUP($A98,WSoccer!$C:$O,J$1-2011,FALSE),0)+IFERROR(VLOOKUP($A98,WSoftball!$C:$O,J$1-2011,FALSE),0)+IFERROR(VLOOKUP($A98,WVolleyball!$C:$O,J$1-2011,FALSE),0)</f>
        <v>175179</v>
      </c>
      <c r="K98">
        <f>IFERROR(VLOOKUP($A98,MBaseball!$C:$N,K$1-2010,FALSE),0)+IFERROR(VLOOKUP($A98,MBasketball!$C:$J,K$1-2006,FALSE),0)+IFERROR(VLOOKUP($A98,MFootball!$C:$O,K$1-2011,FALSE),0)+IFERROR(VLOOKUP($A98,MIceHockey!$C:$P,K$1-2011,FALSE),0)+IFERROR(VLOOKUP($A98,MLacrosse!$C:$O,K$1-2011,FALSE),0)+IFERROR(VLOOKUP($A98,MSoccer!$C:$O,K$1-2011,FALSE),0)+IFERROR(VLOOKUP($A98,MVolleyball!$C:$O,K$1-2011,FALSE),0)+IFERROR(VLOOKUP($A98,WBasketball!$C:$O,K$1-2011,FALSE),0)+IFERROR(VLOOKUP($A98,WFieldHockey!$C:$O,K$1-2011,FALSE),0)+IFERROR(VLOOKUP($A98,WIceHockey!$C:$O,K$1-2011,FALSE),0)+IFERROR(VLOOKUP($A98,WLacrosse!$C:$O,K$1-2011,FALSE),0)+IFERROR(VLOOKUP($A98,WSoccer!$C:$O,K$1-2011,FALSE),0)+IFERROR(VLOOKUP($A98,WSoftball!$C:$O,K$1-2011,FALSE),0)+IFERROR(VLOOKUP($A98,WVolleyball!$C:$O,K$1-2011,FALSE),0)</f>
        <v>151681</v>
      </c>
      <c r="L98">
        <f>IFERROR(VLOOKUP($A98,MBaseball!$C:$N,L$1-2010,FALSE),0)+IFERROR(VLOOKUP($A98,MBasketball!$C:$J,L$1-2006,FALSE),0)+IFERROR(VLOOKUP($A98,MFootball!$C:$O,L$1-2011,FALSE),0)+IFERROR(VLOOKUP($A98,MIceHockey!$C:$P,L$1-2011,FALSE),0)+IFERROR(VLOOKUP($A98,MLacrosse!$C:$O,L$1-2011,FALSE),0)+IFERROR(VLOOKUP($A98,MSoccer!$C:$O,L$1-2011,FALSE),0)+IFERROR(VLOOKUP($A98,MVolleyball!$C:$O,L$1-2011,FALSE),0)+IFERROR(VLOOKUP($A98,WBasketball!$C:$O,L$1-2011,FALSE),0)+IFERROR(VLOOKUP($A98,WFieldHockey!$C:$O,L$1-2011,FALSE),0)+IFERROR(VLOOKUP($A98,WIceHockey!$C:$O,L$1-2011,FALSE),0)+IFERROR(VLOOKUP($A98,WLacrosse!$C:$O,L$1-2011,FALSE),0)+IFERROR(VLOOKUP($A98,WSoccer!$C:$O,L$1-2011,FALSE),0)+IFERROR(VLOOKUP($A98,WSoftball!$C:$O,L$1-2011,FALSE),0)+IFERROR(VLOOKUP($A98,WVolleyball!$C:$O,L$1-2011,FALSE),0)</f>
        <v>693</v>
      </c>
      <c r="M98">
        <f>IFERROR(VLOOKUP($A98,MBaseball!$C:$N,M$1-2010,FALSE),0)+IFERROR(VLOOKUP($A98,MBasketball!$C:$J,M$1-2006,FALSE),0)+IFERROR(VLOOKUP($A98,MFootball!$C:$O,M$1-2011,FALSE),0)+IFERROR(VLOOKUP($A98,MIceHockey!$C:$P,M$1-2011,FALSE),0)+IFERROR(VLOOKUP($A98,MLacrosse!$C:$O,M$1-2011,FALSE),0)+IFERROR(VLOOKUP($A98,MSoccer!$C:$O,M$1-2011,FALSE),0)+IFERROR(VLOOKUP($A98,MVolleyball!$C:$O,M$1-2011,FALSE),0)+IFERROR(VLOOKUP($A98,WBasketball!$C:$O,M$1-2011,FALSE),0)+IFERROR(VLOOKUP($A98,WFieldHockey!$C:$O,M$1-2011,FALSE),0)+IFERROR(VLOOKUP($A98,WIceHockey!$C:$O,M$1-2011,FALSE),0)+IFERROR(VLOOKUP($A98,WLacrosse!$C:$O,M$1-2011,FALSE),0)+IFERROR(VLOOKUP($A98,WSoccer!$C:$O,M$1-2011,FALSE),0)+IFERROR(VLOOKUP($A98,WSoftball!$C:$O,M$1-2011,FALSE),0)+IFERROR(VLOOKUP($A98,WVolleyball!$C:$O,M$1-2011,FALSE),0)</f>
        <v>165016</v>
      </c>
      <c r="N98">
        <f>IFERROR(VLOOKUP($A98,MBaseball!$C:$N,N$1-2010,FALSE),0)+IFERROR(VLOOKUP($A98,MBasketball!$C:$J,N$1-2006,FALSE),0)+IFERROR(VLOOKUP($A98,MFootball!$C:$O,N$1-2011,FALSE),0)+IFERROR(VLOOKUP($A98,MIceHockey!$C:$P,N$1-2011,FALSE),0)+IFERROR(VLOOKUP($A98,MLacrosse!$C:$O,N$1-2011,FALSE),0)+IFERROR(VLOOKUP($A98,MSoccer!$C:$O,N$1-2011,FALSE),0)+IFERROR(VLOOKUP($A98,MVolleyball!$C:$O,N$1-2011,FALSE),0)+IFERROR(VLOOKUP($A98,WBasketball!$C:$O,N$1-2011,FALSE),0)+IFERROR(VLOOKUP($A98,WFieldHockey!$C:$O,N$1-2011,FALSE),0)+IFERROR(VLOOKUP($A98,WIceHockey!$C:$O,N$1-2011,FALSE),0)+IFERROR(VLOOKUP($A98,WLacrosse!$C:$O,N$1-2011,FALSE),0)+IFERROR(VLOOKUP($A98,WSoccer!$C:$O,N$1-2011,FALSE),0)+IFERROR(VLOOKUP($A98,WSoftball!$C:$O,N$1-2011,FALSE),0)+IFERROR(VLOOKUP($A98,WVolleyball!$C:$O,N$1-2011,FALSE),0)</f>
        <v>172643</v>
      </c>
    </row>
    <row r="99" spans="1:14" x14ac:dyDescent="0.2">
      <c r="A99">
        <v>187985</v>
      </c>
      <c r="B99">
        <v>10740</v>
      </c>
      <c r="C99" t="s">
        <v>154</v>
      </c>
      <c r="D99">
        <v>98</v>
      </c>
      <c r="E99">
        <f>IFERROR(VLOOKUP($A99,MBaseball!$C:$N,E$1-2010,FALSE),0)+IFERROR(VLOOKUP($A99,MBasketball!$C:$J,E$1-2006,FALSE),0)+IFERROR(VLOOKUP($A99,MFootball!$C:$O,E$1-2011,FALSE),0)+IFERROR(VLOOKUP($A99,MIceHockey!$C:$P,E$1-2011,FALSE),0)+IFERROR(VLOOKUP($A99,MLacrosse!$C:$O,E$1-2011,FALSE),0)+IFERROR(VLOOKUP($A99,MSoccer!$C:$O,E$1-2011,FALSE),0)+IFERROR(VLOOKUP($A99,MVolleyball!$C:$O,E$1-2011,FALSE),0)+IFERROR(VLOOKUP($A99,WBasketball!$C:$O,E$1-2011,FALSE),0)+IFERROR(VLOOKUP($A99,WFieldHockey!$C:$O,E$1-2011,FALSE),0)+IFERROR(VLOOKUP($A99,WIceHockey!$C:$O,E$1-2011,FALSE),0)+IFERROR(VLOOKUP($A99,WLacrosse!$C:$O,E$1-2011,FALSE),0)+IFERROR(VLOOKUP($A99,WSoccer!$C:$O,E$1-2011,FALSE),0)+IFERROR(VLOOKUP($A99,WSoftball!$C:$O,E$1-2011,FALSE),0)+IFERROR(VLOOKUP($A99,WVolleyball!$C:$O,E$1-2011,FALSE),0)</f>
        <v>357979</v>
      </c>
      <c r="F99">
        <f>IFERROR(VLOOKUP($A99,MBaseball!$C:$N,F$1-2010,FALSE),0)+IFERROR(VLOOKUP($A99,MBasketball!$C:$J,F$1-2006,FALSE),0)+IFERROR(VLOOKUP($A99,MFootball!$C:$O,F$1-2011,FALSE),0)+IFERROR(VLOOKUP($A99,MIceHockey!$C:$P,F$1-2011,FALSE),0)+IFERROR(VLOOKUP($A99,MLacrosse!$C:$O,F$1-2011,FALSE),0)+IFERROR(VLOOKUP($A99,MSoccer!$C:$O,F$1-2011,FALSE),0)+IFERROR(VLOOKUP($A99,MVolleyball!$C:$O,F$1-2011,FALSE),0)+IFERROR(VLOOKUP($A99,WBasketball!$C:$O,F$1-2011,FALSE),0)+IFERROR(VLOOKUP($A99,WFieldHockey!$C:$O,F$1-2011,FALSE),0)+IFERROR(VLOOKUP($A99,WIceHockey!$C:$O,F$1-2011,FALSE),0)+IFERROR(VLOOKUP($A99,WLacrosse!$C:$O,F$1-2011,FALSE),0)+IFERROR(VLOOKUP($A99,WSoccer!$C:$O,F$1-2011,FALSE),0)+IFERROR(VLOOKUP($A99,WSoftball!$C:$O,F$1-2011,FALSE),0)+IFERROR(VLOOKUP($A99,WVolleyball!$C:$O,F$1-2011,FALSE),0)</f>
        <v>297054</v>
      </c>
      <c r="G99">
        <f>IFERROR(VLOOKUP($A99,MBaseball!$C:$N,G$1-2010,FALSE),0)+IFERROR(VLOOKUP($A99,MBasketball!$C:$J,G$1-2006,FALSE),0)+IFERROR(VLOOKUP($A99,MFootball!$C:$O,G$1-2011,FALSE),0)+IFERROR(VLOOKUP($A99,MIceHockey!$C:$P,G$1-2011,FALSE),0)+IFERROR(VLOOKUP($A99,MLacrosse!$C:$O,G$1-2011,FALSE),0)+IFERROR(VLOOKUP($A99,MSoccer!$C:$O,G$1-2011,FALSE),0)+IFERROR(VLOOKUP($A99,MVolleyball!$C:$O,G$1-2011,FALSE),0)+IFERROR(VLOOKUP($A99,WBasketball!$C:$O,G$1-2011,FALSE),0)+IFERROR(VLOOKUP($A99,WFieldHockey!$C:$O,G$1-2011,FALSE),0)+IFERROR(VLOOKUP($A99,WIceHockey!$C:$O,G$1-2011,FALSE),0)+IFERROR(VLOOKUP($A99,WLacrosse!$C:$O,G$1-2011,FALSE),0)+IFERROR(VLOOKUP($A99,WSoccer!$C:$O,G$1-2011,FALSE),0)+IFERROR(VLOOKUP($A99,WSoftball!$C:$O,G$1-2011,FALSE),0)+IFERROR(VLOOKUP($A99,WVolleyball!$C:$O,G$1-2011,FALSE),0)</f>
        <v>358524</v>
      </c>
      <c r="H99">
        <f>IFERROR(VLOOKUP($A99,MBaseball!$C:$N,H$1-2010,FALSE),0)+IFERROR(VLOOKUP($A99,MBasketball!$C:$J,H$1-2006,FALSE),0)+IFERROR(VLOOKUP($A99,MFootball!$C:$O,H$1-2011,FALSE),0)+IFERROR(VLOOKUP($A99,MIceHockey!$C:$P,H$1-2011,FALSE),0)+IFERROR(VLOOKUP($A99,MLacrosse!$C:$O,H$1-2011,FALSE),0)+IFERROR(VLOOKUP($A99,MSoccer!$C:$O,H$1-2011,FALSE),0)+IFERROR(VLOOKUP($A99,MVolleyball!$C:$O,H$1-2011,FALSE),0)+IFERROR(VLOOKUP($A99,WBasketball!$C:$O,H$1-2011,FALSE),0)+IFERROR(VLOOKUP($A99,WFieldHockey!$C:$O,H$1-2011,FALSE),0)+IFERROR(VLOOKUP($A99,WIceHockey!$C:$O,H$1-2011,FALSE),0)+IFERROR(VLOOKUP($A99,WLacrosse!$C:$O,H$1-2011,FALSE),0)+IFERROR(VLOOKUP($A99,WSoccer!$C:$O,H$1-2011,FALSE),0)+IFERROR(VLOOKUP($A99,WSoftball!$C:$O,H$1-2011,FALSE),0)+IFERROR(VLOOKUP($A99,WVolleyball!$C:$O,H$1-2011,FALSE),0)</f>
        <v>286758</v>
      </c>
      <c r="I99">
        <f>IFERROR(VLOOKUP($A99,MBaseball!$C:$N,I$1-2010,FALSE),0)+IFERROR(VLOOKUP($A99,MBasketball!$C:$J,I$1-2006,FALSE),0)+IFERROR(VLOOKUP($A99,MFootball!$C:$O,I$1-2011,FALSE),0)+IFERROR(VLOOKUP($A99,MIceHockey!$C:$P,I$1-2011,FALSE),0)+IFERROR(VLOOKUP($A99,MLacrosse!$C:$O,I$1-2011,FALSE),0)+IFERROR(VLOOKUP($A99,MSoccer!$C:$O,I$1-2011,FALSE),0)+IFERROR(VLOOKUP($A99,MVolleyball!$C:$O,I$1-2011,FALSE),0)+IFERROR(VLOOKUP($A99,WBasketball!$C:$O,I$1-2011,FALSE),0)+IFERROR(VLOOKUP($A99,WFieldHockey!$C:$O,I$1-2011,FALSE),0)+IFERROR(VLOOKUP($A99,WIceHockey!$C:$O,I$1-2011,FALSE),0)+IFERROR(VLOOKUP($A99,WLacrosse!$C:$O,I$1-2011,FALSE),0)+IFERROR(VLOOKUP($A99,WSoccer!$C:$O,I$1-2011,FALSE),0)+IFERROR(VLOOKUP($A99,WSoftball!$C:$O,I$1-2011,FALSE),0)+IFERROR(VLOOKUP($A99,WVolleyball!$C:$O,I$1-2011,FALSE),0)</f>
        <v>286451</v>
      </c>
      <c r="J99">
        <f>IFERROR(VLOOKUP($A99,MBaseball!$C:$N,J$1-2010,FALSE),0)+IFERROR(VLOOKUP($A99,MBasketball!$C:$J,J$1-2006,FALSE),0)+IFERROR(VLOOKUP($A99,MFootball!$C:$O,J$1-2011,FALSE),0)+IFERROR(VLOOKUP($A99,MIceHockey!$C:$P,J$1-2011,FALSE),0)+IFERROR(VLOOKUP($A99,MLacrosse!$C:$O,J$1-2011,FALSE),0)+IFERROR(VLOOKUP($A99,MSoccer!$C:$O,J$1-2011,FALSE),0)+IFERROR(VLOOKUP($A99,MVolleyball!$C:$O,J$1-2011,FALSE),0)+IFERROR(VLOOKUP($A99,WBasketball!$C:$O,J$1-2011,FALSE),0)+IFERROR(VLOOKUP($A99,WFieldHockey!$C:$O,J$1-2011,FALSE),0)+IFERROR(VLOOKUP($A99,WIceHockey!$C:$O,J$1-2011,FALSE),0)+IFERROR(VLOOKUP($A99,WLacrosse!$C:$O,J$1-2011,FALSE),0)+IFERROR(VLOOKUP($A99,WSoccer!$C:$O,J$1-2011,FALSE),0)+IFERROR(VLOOKUP($A99,WSoftball!$C:$O,J$1-2011,FALSE),0)+IFERROR(VLOOKUP($A99,WVolleyball!$C:$O,J$1-2011,FALSE),0)</f>
        <v>232915</v>
      </c>
      <c r="K99">
        <f>IFERROR(VLOOKUP($A99,MBaseball!$C:$N,K$1-2010,FALSE),0)+IFERROR(VLOOKUP($A99,MBasketball!$C:$J,K$1-2006,FALSE),0)+IFERROR(VLOOKUP($A99,MFootball!$C:$O,K$1-2011,FALSE),0)+IFERROR(VLOOKUP($A99,MIceHockey!$C:$P,K$1-2011,FALSE),0)+IFERROR(VLOOKUP($A99,MLacrosse!$C:$O,K$1-2011,FALSE),0)+IFERROR(VLOOKUP($A99,MSoccer!$C:$O,K$1-2011,FALSE),0)+IFERROR(VLOOKUP($A99,MVolleyball!$C:$O,K$1-2011,FALSE),0)+IFERROR(VLOOKUP($A99,WBasketball!$C:$O,K$1-2011,FALSE),0)+IFERROR(VLOOKUP($A99,WFieldHockey!$C:$O,K$1-2011,FALSE),0)+IFERROR(VLOOKUP($A99,WIceHockey!$C:$O,K$1-2011,FALSE),0)+IFERROR(VLOOKUP($A99,WLacrosse!$C:$O,K$1-2011,FALSE),0)+IFERROR(VLOOKUP($A99,WSoccer!$C:$O,K$1-2011,FALSE),0)+IFERROR(VLOOKUP($A99,WSoftball!$C:$O,K$1-2011,FALSE),0)+IFERROR(VLOOKUP($A99,WVolleyball!$C:$O,K$1-2011,FALSE),0)</f>
        <v>196610</v>
      </c>
      <c r="L99">
        <f>IFERROR(VLOOKUP($A99,MBaseball!$C:$N,L$1-2010,FALSE),0)+IFERROR(VLOOKUP($A99,MBasketball!$C:$J,L$1-2006,FALSE),0)+IFERROR(VLOOKUP($A99,MFootball!$C:$O,L$1-2011,FALSE),0)+IFERROR(VLOOKUP($A99,MIceHockey!$C:$P,L$1-2011,FALSE),0)+IFERROR(VLOOKUP($A99,MLacrosse!$C:$O,L$1-2011,FALSE),0)+IFERROR(VLOOKUP($A99,MSoccer!$C:$O,L$1-2011,FALSE),0)+IFERROR(VLOOKUP($A99,MVolleyball!$C:$O,L$1-2011,FALSE),0)+IFERROR(VLOOKUP($A99,WBasketball!$C:$O,L$1-2011,FALSE),0)+IFERROR(VLOOKUP($A99,WFieldHockey!$C:$O,L$1-2011,FALSE),0)+IFERROR(VLOOKUP($A99,WIceHockey!$C:$O,L$1-2011,FALSE),0)+IFERROR(VLOOKUP($A99,WLacrosse!$C:$O,L$1-2011,FALSE),0)+IFERROR(VLOOKUP($A99,WSoccer!$C:$O,L$1-2011,FALSE),0)+IFERROR(VLOOKUP($A99,WSoftball!$C:$O,L$1-2011,FALSE),0)+IFERROR(VLOOKUP($A99,WVolleyball!$C:$O,L$1-2011,FALSE),0)</f>
        <v>26392</v>
      </c>
      <c r="M99">
        <f>IFERROR(VLOOKUP($A99,MBaseball!$C:$N,M$1-2010,FALSE),0)+IFERROR(VLOOKUP($A99,MBasketball!$C:$J,M$1-2006,FALSE),0)+IFERROR(VLOOKUP($A99,MFootball!$C:$O,M$1-2011,FALSE),0)+IFERROR(VLOOKUP($A99,MIceHockey!$C:$P,M$1-2011,FALSE),0)+IFERROR(VLOOKUP($A99,MLacrosse!$C:$O,M$1-2011,FALSE),0)+IFERROR(VLOOKUP($A99,MSoccer!$C:$O,M$1-2011,FALSE),0)+IFERROR(VLOOKUP($A99,MVolleyball!$C:$O,M$1-2011,FALSE),0)+IFERROR(VLOOKUP($A99,WBasketball!$C:$O,M$1-2011,FALSE),0)+IFERROR(VLOOKUP($A99,WFieldHockey!$C:$O,M$1-2011,FALSE),0)+IFERROR(VLOOKUP($A99,WIceHockey!$C:$O,M$1-2011,FALSE),0)+IFERROR(VLOOKUP($A99,WLacrosse!$C:$O,M$1-2011,FALSE),0)+IFERROR(VLOOKUP($A99,WSoccer!$C:$O,M$1-2011,FALSE),0)+IFERROR(VLOOKUP($A99,WSoftball!$C:$O,M$1-2011,FALSE),0)+IFERROR(VLOOKUP($A99,WVolleyball!$C:$O,M$1-2011,FALSE),0)</f>
        <v>210767</v>
      </c>
      <c r="N99">
        <f>IFERROR(VLOOKUP($A99,MBaseball!$C:$N,N$1-2010,FALSE),0)+IFERROR(VLOOKUP($A99,MBasketball!$C:$J,N$1-2006,FALSE),0)+IFERROR(VLOOKUP($A99,MFootball!$C:$O,N$1-2011,FALSE),0)+IFERROR(VLOOKUP($A99,MIceHockey!$C:$P,N$1-2011,FALSE),0)+IFERROR(VLOOKUP($A99,MLacrosse!$C:$O,N$1-2011,FALSE),0)+IFERROR(VLOOKUP($A99,MSoccer!$C:$O,N$1-2011,FALSE),0)+IFERROR(VLOOKUP($A99,MVolleyball!$C:$O,N$1-2011,FALSE),0)+IFERROR(VLOOKUP($A99,WBasketball!$C:$O,N$1-2011,FALSE),0)+IFERROR(VLOOKUP($A99,WFieldHockey!$C:$O,N$1-2011,FALSE),0)+IFERROR(VLOOKUP($A99,WIceHockey!$C:$O,N$1-2011,FALSE),0)+IFERROR(VLOOKUP($A99,WLacrosse!$C:$O,N$1-2011,FALSE),0)+IFERROR(VLOOKUP($A99,WSoccer!$C:$O,N$1-2011,FALSE),0)+IFERROR(VLOOKUP($A99,WSoftball!$C:$O,N$1-2011,FALSE),0)+IFERROR(VLOOKUP($A99,WVolleyball!$C:$O,N$1-2011,FALSE),0)</f>
        <v>195484</v>
      </c>
    </row>
    <row r="100" spans="1:14" x14ac:dyDescent="0.2">
      <c r="A100">
        <v>188030</v>
      </c>
      <c r="B100">
        <v>29740</v>
      </c>
      <c r="C100" t="s">
        <v>155</v>
      </c>
      <c r="D100">
        <v>99</v>
      </c>
      <c r="E100">
        <f>IFERROR(VLOOKUP($A100,MBaseball!$C:$N,E$1-2010,FALSE),0)+IFERROR(VLOOKUP($A100,MBasketball!$C:$J,E$1-2006,FALSE),0)+IFERROR(VLOOKUP($A100,MFootball!$C:$O,E$1-2011,FALSE),0)+IFERROR(VLOOKUP($A100,MIceHockey!$C:$P,E$1-2011,FALSE),0)+IFERROR(VLOOKUP($A100,MLacrosse!$C:$O,E$1-2011,FALSE),0)+IFERROR(VLOOKUP($A100,MSoccer!$C:$O,E$1-2011,FALSE),0)+IFERROR(VLOOKUP($A100,MVolleyball!$C:$O,E$1-2011,FALSE),0)+IFERROR(VLOOKUP($A100,WBasketball!$C:$O,E$1-2011,FALSE),0)+IFERROR(VLOOKUP($A100,WFieldHockey!$C:$O,E$1-2011,FALSE),0)+IFERROR(VLOOKUP($A100,WIceHockey!$C:$O,E$1-2011,FALSE),0)+IFERROR(VLOOKUP($A100,WLacrosse!$C:$O,E$1-2011,FALSE),0)+IFERROR(VLOOKUP($A100,WSoccer!$C:$O,E$1-2011,FALSE),0)+IFERROR(VLOOKUP($A100,WSoftball!$C:$O,E$1-2011,FALSE),0)+IFERROR(VLOOKUP($A100,WVolleyball!$C:$O,E$1-2011,FALSE),0)</f>
        <v>142146</v>
      </c>
      <c r="F100">
        <f>IFERROR(VLOOKUP($A100,MBaseball!$C:$N,F$1-2010,FALSE),0)+IFERROR(VLOOKUP($A100,MBasketball!$C:$J,F$1-2006,FALSE),0)+IFERROR(VLOOKUP($A100,MFootball!$C:$O,F$1-2011,FALSE),0)+IFERROR(VLOOKUP($A100,MIceHockey!$C:$P,F$1-2011,FALSE),0)+IFERROR(VLOOKUP($A100,MLacrosse!$C:$O,F$1-2011,FALSE),0)+IFERROR(VLOOKUP($A100,MSoccer!$C:$O,F$1-2011,FALSE),0)+IFERROR(VLOOKUP($A100,MVolleyball!$C:$O,F$1-2011,FALSE),0)+IFERROR(VLOOKUP($A100,WBasketball!$C:$O,F$1-2011,FALSE),0)+IFERROR(VLOOKUP($A100,WFieldHockey!$C:$O,F$1-2011,FALSE),0)+IFERROR(VLOOKUP($A100,WIceHockey!$C:$O,F$1-2011,FALSE),0)+IFERROR(VLOOKUP($A100,WLacrosse!$C:$O,F$1-2011,FALSE),0)+IFERROR(VLOOKUP($A100,WSoccer!$C:$O,F$1-2011,FALSE),0)+IFERROR(VLOOKUP($A100,WSoftball!$C:$O,F$1-2011,FALSE),0)+IFERROR(VLOOKUP($A100,WVolleyball!$C:$O,F$1-2011,FALSE),0)</f>
        <v>118226</v>
      </c>
      <c r="G100">
        <f>IFERROR(VLOOKUP($A100,MBaseball!$C:$N,G$1-2010,FALSE),0)+IFERROR(VLOOKUP($A100,MBasketball!$C:$J,G$1-2006,FALSE),0)+IFERROR(VLOOKUP($A100,MFootball!$C:$O,G$1-2011,FALSE),0)+IFERROR(VLOOKUP($A100,MIceHockey!$C:$P,G$1-2011,FALSE),0)+IFERROR(VLOOKUP($A100,MLacrosse!$C:$O,G$1-2011,FALSE),0)+IFERROR(VLOOKUP($A100,MSoccer!$C:$O,G$1-2011,FALSE),0)+IFERROR(VLOOKUP($A100,MVolleyball!$C:$O,G$1-2011,FALSE),0)+IFERROR(VLOOKUP($A100,WBasketball!$C:$O,G$1-2011,FALSE),0)+IFERROR(VLOOKUP($A100,WFieldHockey!$C:$O,G$1-2011,FALSE),0)+IFERROR(VLOOKUP($A100,WIceHockey!$C:$O,G$1-2011,FALSE),0)+IFERROR(VLOOKUP($A100,WLacrosse!$C:$O,G$1-2011,FALSE),0)+IFERROR(VLOOKUP($A100,WSoccer!$C:$O,G$1-2011,FALSE),0)+IFERROR(VLOOKUP($A100,WSoftball!$C:$O,G$1-2011,FALSE),0)+IFERROR(VLOOKUP($A100,WVolleyball!$C:$O,G$1-2011,FALSE),0)</f>
        <v>155644</v>
      </c>
      <c r="H100">
        <f>IFERROR(VLOOKUP($A100,MBaseball!$C:$N,H$1-2010,FALSE),0)+IFERROR(VLOOKUP($A100,MBasketball!$C:$J,H$1-2006,FALSE),0)+IFERROR(VLOOKUP($A100,MFootball!$C:$O,H$1-2011,FALSE),0)+IFERROR(VLOOKUP($A100,MIceHockey!$C:$P,H$1-2011,FALSE),0)+IFERROR(VLOOKUP($A100,MLacrosse!$C:$O,H$1-2011,FALSE),0)+IFERROR(VLOOKUP($A100,MSoccer!$C:$O,H$1-2011,FALSE),0)+IFERROR(VLOOKUP($A100,MVolleyball!$C:$O,H$1-2011,FALSE),0)+IFERROR(VLOOKUP($A100,WBasketball!$C:$O,H$1-2011,FALSE),0)+IFERROR(VLOOKUP($A100,WFieldHockey!$C:$O,H$1-2011,FALSE),0)+IFERROR(VLOOKUP($A100,WIceHockey!$C:$O,H$1-2011,FALSE),0)+IFERROR(VLOOKUP($A100,WLacrosse!$C:$O,H$1-2011,FALSE),0)+IFERROR(VLOOKUP($A100,WSoccer!$C:$O,H$1-2011,FALSE),0)+IFERROR(VLOOKUP($A100,WSoftball!$C:$O,H$1-2011,FALSE),0)+IFERROR(VLOOKUP($A100,WVolleyball!$C:$O,H$1-2011,FALSE),0)</f>
        <v>105597</v>
      </c>
      <c r="I100">
        <f>IFERROR(VLOOKUP($A100,MBaseball!$C:$N,I$1-2010,FALSE),0)+IFERROR(VLOOKUP($A100,MBasketball!$C:$J,I$1-2006,FALSE),0)+IFERROR(VLOOKUP($A100,MFootball!$C:$O,I$1-2011,FALSE),0)+IFERROR(VLOOKUP($A100,MIceHockey!$C:$P,I$1-2011,FALSE),0)+IFERROR(VLOOKUP($A100,MLacrosse!$C:$O,I$1-2011,FALSE),0)+IFERROR(VLOOKUP($A100,MSoccer!$C:$O,I$1-2011,FALSE),0)+IFERROR(VLOOKUP($A100,MVolleyball!$C:$O,I$1-2011,FALSE),0)+IFERROR(VLOOKUP($A100,WBasketball!$C:$O,I$1-2011,FALSE),0)+IFERROR(VLOOKUP($A100,WFieldHockey!$C:$O,I$1-2011,FALSE),0)+IFERROR(VLOOKUP($A100,WIceHockey!$C:$O,I$1-2011,FALSE),0)+IFERROR(VLOOKUP($A100,WLacrosse!$C:$O,I$1-2011,FALSE),0)+IFERROR(VLOOKUP($A100,WSoccer!$C:$O,I$1-2011,FALSE),0)+IFERROR(VLOOKUP($A100,WSoftball!$C:$O,I$1-2011,FALSE),0)+IFERROR(VLOOKUP($A100,WVolleyball!$C:$O,I$1-2011,FALSE),0)</f>
        <v>155127</v>
      </c>
      <c r="J100">
        <f>IFERROR(VLOOKUP($A100,MBaseball!$C:$N,J$1-2010,FALSE),0)+IFERROR(VLOOKUP($A100,MBasketball!$C:$J,J$1-2006,FALSE),0)+IFERROR(VLOOKUP($A100,MFootball!$C:$O,J$1-2011,FALSE),0)+IFERROR(VLOOKUP($A100,MIceHockey!$C:$P,J$1-2011,FALSE),0)+IFERROR(VLOOKUP($A100,MLacrosse!$C:$O,J$1-2011,FALSE),0)+IFERROR(VLOOKUP($A100,MSoccer!$C:$O,J$1-2011,FALSE),0)+IFERROR(VLOOKUP($A100,MVolleyball!$C:$O,J$1-2011,FALSE),0)+IFERROR(VLOOKUP($A100,WBasketball!$C:$O,J$1-2011,FALSE),0)+IFERROR(VLOOKUP($A100,WFieldHockey!$C:$O,J$1-2011,FALSE),0)+IFERROR(VLOOKUP($A100,WIceHockey!$C:$O,J$1-2011,FALSE),0)+IFERROR(VLOOKUP($A100,WLacrosse!$C:$O,J$1-2011,FALSE),0)+IFERROR(VLOOKUP($A100,WSoccer!$C:$O,J$1-2011,FALSE),0)+IFERROR(VLOOKUP($A100,WSoftball!$C:$O,J$1-2011,FALSE),0)+IFERROR(VLOOKUP($A100,WVolleyball!$C:$O,J$1-2011,FALSE),0)</f>
        <v>119085</v>
      </c>
      <c r="K100">
        <f>IFERROR(VLOOKUP($A100,MBaseball!$C:$N,K$1-2010,FALSE),0)+IFERROR(VLOOKUP($A100,MBasketball!$C:$J,K$1-2006,FALSE),0)+IFERROR(VLOOKUP($A100,MFootball!$C:$O,K$1-2011,FALSE),0)+IFERROR(VLOOKUP($A100,MIceHockey!$C:$P,K$1-2011,FALSE),0)+IFERROR(VLOOKUP($A100,MLacrosse!$C:$O,K$1-2011,FALSE),0)+IFERROR(VLOOKUP($A100,MSoccer!$C:$O,K$1-2011,FALSE),0)+IFERROR(VLOOKUP($A100,MVolleyball!$C:$O,K$1-2011,FALSE),0)+IFERROR(VLOOKUP($A100,WBasketball!$C:$O,K$1-2011,FALSE),0)+IFERROR(VLOOKUP($A100,WFieldHockey!$C:$O,K$1-2011,FALSE),0)+IFERROR(VLOOKUP($A100,WIceHockey!$C:$O,K$1-2011,FALSE),0)+IFERROR(VLOOKUP($A100,WLacrosse!$C:$O,K$1-2011,FALSE),0)+IFERROR(VLOOKUP($A100,WSoccer!$C:$O,K$1-2011,FALSE),0)+IFERROR(VLOOKUP($A100,WSoftball!$C:$O,K$1-2011,FALSE),0)+IFERROR(VLOOKUP($A100,WVolleyball!$C:$O,K$1-2011,FALSE),0)</f>
        <v>125077</v>
      </c>
      <c r="L100">
        <f>IFERROR(VLOOKUP($A100,MBaseball!$C:$N,L$1-2010,FALSE),0)+IFERROR(VLOOKUP($A100,MBasketball!$C:$J,L$1-2006,FALSE),0)+IFERROR(VLOOKUP($A100,MFootball!$C:$O,L$1-2011,FALSE),0)+IFERROR(VLOOKUP($A100,MIceHockey!$C:$P,L$1-2011,FALSE),0)+IFERROR(VLOOKUP($A100,MLacrosse!$C:$O,L$1-2011,FALSE),0)+IFERROR(VLOOKUP($A100,MSoccer!$C:$O,L$1-2011,FALSE),0)+IFERROR(VLOOKUP($A100,MVolleyball!$C:$O,L$1-2011,FALSE),0)+IFERROR(VLOOKUP($A100,WBasketball!$C:$O,L$1-2011,FALSE),0)+IFERROR(VLOOKUP($A100,WFieldHockey!$C:$O,L$1-2011,FALSE),0)+IFERROR(VLOOKUP($A100,WIceHockey!$C:$O,L$1-2011,FALSE),0)+IFERROR(VLOOKUP($A100,WLacrosse!$C:$O,L$1-2011,FALSE),0)+IFERROR(VLOOKUP($A100,WSoccer!$C:$O,L$1-2011,FALSE),0)+IFERROR(VLOOKUP($A100,WSoftball!$C:$O,L$1-2011,FALSE),0)+IFERROR(VLOOKUP($A100,WVolleyball!$C:$O,L$1-2011,FALSE),0)</f>
        <v>22315</v>
      </c>
      <c r="M100">
        <f>IFERROR(VLOOKUP($A100,MBaseball!$C:$N,M$1-2010,FALSE),0)+IFERROR(VLOOKUP($A100,MBasketball!$C:$J,M$1-2006,FALSE),0)+IFERROR(VLOOKUP($A100,MFootball!$C:$O,M$1-2011,FALSE),0)+IFERROR(VLOOKUP($A100,MIceHockey!$C:$P,M$1-2011,FALSE),0)+IFERROR(VLOOKUP($A100,MLacrosse!$C:$O,M$1-2011,FALSE),0)+IFERROR(VLOOKUP($A100,MSoccer!$C:$O,M$1-2011,FALSE),0)+IFERROR(VLOOKUP($A100,MVolleyball!$C:$O,M$1-2011,FALSE),0)+IFERROR(VLOOKUP($A100,WBasketball!$C:$O,M$1-2011,FALSE),0)+IFERROR(VLOOKUP($A100,WFieldHockey!$C:$O,M$1-2011,FALSE),0)+IFERROR(VLOOKUP($A100,WIceHockey!$C:$O,M$1-2011,FALSE),0)+IFERROR(VLOOKUP($A100,WLacrosse!$C:$O,M$1-2011,FALSE),0)+IFERROR(VLOOKUP($A100,WSoccer!$C:$O,M$1-2011,FALSE),0)+IFERROR(VLOOKUP($A100,WSoftball!$C:$O,M$1-2011,FALSE),0)+IFERROR(VLOOKUP($A100,WVolleyball!$C:$O,M$1-2011,FALSE),0)</f>
        <v>108796</v>
      </c>
      <c r="N100">
        <f>IFERROR(VLOOKUP($A100,MBaseball!$C:$N,N$1-2010,FALSE),0)+IFERROR(VLOOKUP($A100,MBasketball!$C:$J,N$1-2006,FALSE),0)+IFERROR(VLOOKUP($A100,MFootball!$C:$O,N$1-2011,FALSE),0)+IFERROR(VLOOKUP($A100,MIceHockey!$C:$P,N$1-2011,FALSE),0)+IFERROR(VLOOKUP($A100,MLacrosse!$C:$O,N$1-2011,FALSE),0)+IFERROR(VLOOKUP($A100,MSoccer!$C:$O,N$1-2011,FALSE),0)+IFERROR(VLOOKUP($A100,MVolleyball!$C:$O,N$1-2011,FALSE),0)+IFERROR(VLOOKUP($A100,WBasketball!$C:$O,N$1-2011,FALSE),0)+IFERROR(VLOOKUP($A100,WFieldHockey!$C:$O,N$1-2011,FALSE),0)+IFERROR(VLOOKUP($A100,WIceHockey!$C:$O,N$1-2011,FALSE),0)+IFERROR(VLOOKUP($A100,WLacrosse!$C:$O,N$1-2011,FALSE),0)+IFERROR(VLOOKUP($A100,WSoccer!$C:$O,N$1-2011,FALSE),0)+IFERROR(VLOOKUP($A100,WSoftball!$C:$O,N$1-2011,FALSE),0)+IFERROR(VLOOKUP($A100,WVolleyball!$C:$O,N$1-2011,FALSE),0)</f>
        <v>123985</v>
      </c>
    </row>
    <row r="101" spans="1:14" x14ac:dyDescent="0.2">
      <c r="A101">
        <v>159966</v>
      </c>
      <c r="B101">
        <v>26380</v>
      </c>
      <c r="C101" t="s">
        <v>157</v>
      </c>
      <c r="D101">
        <v>100</v>
      </c>
      <c r="E101">
        <f>IFERROR(VLOOKUP($A101,MBaseball!$C:$N,E$1-2010,FALSE),0)+IFERROR(VLOOKUP($A101,MBasketball!$C:$J,E$1-2006,FALSE),0)+IFERROR(VLOOKUP($A101,MFootball!$C:$O,E$1-2011,FALSE),0)+IFERROR(VLOOKUP($A101,MIceHockey!$C:$P,E$1-2011,FALSE),0)+IFERROR(VLOOKUP($A101,MLacrosse!$C:$O,E$1-2011,FALSE),0)+IFERROR(VLOOKUP($A101,MSoccer!$C:$O,E$1-2011,FALSE),0)+IFERROR(VLOOKUP($A101,MVolleyball!$C:$O,E$1-2011,FALSE),0)+IFERROR(VLOOKUP($A101,WBasketball!$C:$O,E$1-2011,FALSE),0)+IFERROR(VLOOKUP($A101,WFieldHockey!$C:$O,E$1-2011,FALSE),0)+IFERROR(VLOOKUP($A101,WIceHockey!$C:$O,E$1-2011,FALSE),0)+IFERROR(VLOOKUP($A101,WLacrosse!$C:$O,E$1-2011,FALSE),0)+IFERROR(VLOOKUP($A101,WSoccer!$C:$O,E$1-2011,FALSE),0)+IFERROR(VLOOKUP($A101,WSoftball!$C:$O,E$1-2011,FALSE),0)+IFERROR(VLOOKUP($A101,WVolleyball!$C:$O,E$1-2011,FALSE),0)</f>
        <v>28486</v>
      </c>
      <c r="F101">
        <f>IFERROR(VLOOKUP($A101,MBaseball!$C:$N,F$1-2010,FALSE),0)+IFERROR(VLOOKUP($A101,MBasketball!$C:$J,F$1-2006,FALSE),0)+IFERROR(VLOOKUP($A101,MFootball!$C:$O,F$1-2011,FALSE),0)+IFERROR(VLOOKUP($A101,MIceHockey!$C:$P,F$1-2011,FALSE),0)+IFERROR(VLOOKUP($A101,MLacrosse!$C:$O,F$1-2011,FALSE),0)+IFERROR(VLOOKUP($A101,MSoccer!$C:$O,F$1-2011,FALSE),0)+IFERROR(VLOOKUP($A101,MVolleyball!$C:$O,F$1-2011,FALSE),0)+IFERROR(VLOOKUP($A101,WBasketball!$C:$O,F$1-2011,FALSE),0)+IFERROR(VLOOKUP($A101,WFieldHockey!$C:$O,F$1-2011,FALSE),0)+IFERROR(VLOOKUP($A101,WIceHockey!$C:$O,F$1-2011,FALSE),0)+IFERROR(VLOOKUP($A101,WLacrosse!$C:$O,F$1-2011,FALSE),0)+IFERROR(VLOOKUP($A101,WSoccer!$C:$O,F$1-2011,FALSE),0)+IFERROR(VLOOKUP($A101,WSoftball!$C:$O,F$1-2011,FALSE),0)+IFERROR(VLOOKUP($A101,WVolleyball!$C:$O,F$1-2011,FALSE),0)</f>
        <v>61523</v>
      </c>
      <c r="G101">
        <f>IFERROR(VLOOKUP($A101,MBaseball!$C:$N,G$1-2010,FALSE),0)+IFERROR(VLOOKUP($A101,MBasketball!$C:$J,G$1-2006,FALSE),0)+IFERROR(VLOOKUP($A101,MFootball!$C:$O,G$1-2011,FALSE),0)+IFERROR(VLOOKUP($A101,MIceHockey!$C:$P,G$1-2011,FALSE),0)+IFERROR(VLOOKUP($A101,MLacrosse!$C:$O,G$1-2011,FALSE),0)+IFERROR(VLOOKUP($A101,MSoccer!$C:$O,G$1-2011,FALSE),0)+IFERROR(VLOOKUP($A101,MVolleyball!$C:$O,G$1-2011,FALSE),0)+IFERROR(VLOOKUP($A101,WBasketball!$C:$O,G$1-2011,FALSE),0)+IFERROR(VLOOKUP($A101,WFieldHockey!$C:$O,G$1-2011,FALSE),0)+IFERROR(VLOOKUP($A101,WIceHockey!$C:$O,G$1-2011,FALSE),0)+IFERROR(VLOOKUP($A101,WLacrosse!$C:$O,G$1-2011,FALSE),0)+IFERROR(VLOOKUP($A101,WSoccer!$C:$O,G$1-2011,FALSE),0)+IFERROR(VLOOKUP($A101,WSoftball!$C:$O,G$1-2011,FALSE),0)+IFERROR(VLOOKUP($A101,WVolleyball!$C:$O,G$1-2011,FALSE),0)</f>
        <v>59356</v>
      </c>
      <c r="H101">
        <f>IFERROR(VLOOKUP($A101,MBaseball!$C:$N,H$1-2010,FALSE),0)+IFERROR(VLOOKUP($A101,MBasketball!$C:$J,H$1-2006,FALSE),0)+IFERROR(VLOOKUP($A101,MFootball!$C:$O,H$1-2011,FALSE),0)+IFERROR(VLOOKUP($A101,MIceHockey!$C:$P,H$1-2011,FALSE),0)+IFERROR(VLOOKUP($A101,MLacrosse!$C:$O,H$1-2011,FALSE),0)+IFERROR(VLOOKUP($A101,MSoccer!$C:$O,H$1-2011,FALSE),0)+IFERROR(VLOOKUP($A101,MVolleyball!$C:$O,H$1-2011,FALSE),0)+IFERROR(VLOOKUP($A101,WBasketball!$C:$O,H$1-2011,FALSE),0)+IFERROR(VLOOKUP($A101,WFieldHockey!$C:$O,H$1-2011,FALSE),0)+IFERROR(VLOOKUP($A101,WIceHockey!$C:$O,H$1-2011,FALSE),0)+IFERROR(VLOOKUP($A101,WLacrosse!$C:$O,H$1-2011,FALSE),0)+IFERROR(VLOOKUP($A101,WSoccer!$C:$O,H$1-2011,FALSE),0)+IFERROR(VLOOKUP($A101,WSoftball!$C:$O,H$1-2011,FALSE),0)+IFERROR(VLOOKUP($A101,WVolleyball!$C:$O,H$1-2011,FALSE),0)</f>
        <v>60371</v>
      </c>
      <c r="I101">
        <f>IFERROR(VLOOKUP($A101,MBaseball!$C:$N,I$1-2010,FALSE),0)+IFERROR(VLOOKUP($A101,MBasketball!$C:$J,I$1-2006,FALSE),0)+IFERROR(VLOOKUP($A101,MFootball!$C:$O,I$1-2011,FALSE),0)+IFERROR(VLOOKUP($A101,MIceHockey!$C:$P,I$1-2011,FALSE),0)+IFERROR(VLOOKUP($A101,MLacrosse!$C:$O,I$1-2011,FALSE),0)+IFERROR(VLOOKUP($A101,MSoccer!$C:$O,I$1-2011,FALSE),0)+IFERROR(VLOOKUP($A101,MVolleyball!$C:$O,I$1-2011,FALSE),0)+IFERROR(VLOOKUP($A101,WBasketball!$C:$O,I$1-2011,FALSE),0)+IFERROR(VLOOKUP($A101,WFieldHockey!$C:$O,I$1-2011,FALSE),0)+IFERROR(VLOOKUP($A101,WIceHockey!$C:$O,I$1-2011,FALSE),0)+IFERROR(VLOOKUP($A101,WLacrosse!$C:$O,I$1-2011,FALSE),0)+IFERROR(VLOOKUP($A101,WSoccer!$C:$O,I$1-2011,FALSE),0)+IFERROR(VLOOKUP($A101,WSoftball!$C:$O,I$1-2011,FALSE),0)+IFERROR(VLOOKUP($A101,WVolleyball!$C:$O,I$1-2011,FALSE),0)</f>
        <v>71655</v>
      </c>
      <c r="J101">
        <f>IFERROR(VLOOKUP($A101,MBaseball!$C:$N,J$1-2010,FALSE),0)+IFERROR(VLOOKUP($A101,MBasketball!$C:$J,J$1-2006,FALSE),0)+IFERROR(VLOOKUP($A101,MFootball!$C:$O,J$1-2011,FALSE),0)+IFERROR(VLOOKUP($A101,MIceHockey!$C:$P,J$1-2011,FALSE),0)+IFERROR(VLOOKUP($A101,MLacrosse!$C:$O,J$1-2011,FALSE),0)+IFERROR(VLOOKUP($A101,MSoccer!$C:$O,J$1-2011,FALSE),0)+IFERROR(VLOOKUP($A101,MVolleyball!$C:$O,J$1-2011,FALSE),0)+IFERROR(VLOOKUP($A101,WBasketball!$C:$O,J$1-2011,FALSE),0)+IFERROR(VLOOKUP($A101,WFieldHockey!$C:$O,J$1-2011,FALSE),0)+IFERROR(VLOOKUP($A101,WIceHockey!$C:$O,J$1-2011,FALSE),0)+IFERROR(VLOOKUP($A101,WLacrosse!$C:$O,J$1-2011,FALSE),0)+IFERROR(VLOOKUP($A101,WSoccer!$C:$O,J$1-2011,FALSE),0)+IFERROR(VLOOKUP($A101,WSoftball!$C:$O,J$1-2011,FALSE),0)+IFERROR(VLOOKUP($A101,WVolleyball!$C:$O,J$1-2011,FALSE),0)</f>
        <v>62575</v>
      </c>
      <c r="K101">
        <f>IFERROR(VLOOKUP($A101,MBaseball!$C:$N,K$1-2010,FALSE),0)+IFERROR(VLOOKUP($A101,MBasketball!$C:$J,K$1-2006,FALSE),0)+IFERROR(VLOOKUP($A101,MFootball!$C:$O,K$1-2011,FALSE),0)+IFERROR(VLOOKUP($A101,MIceHockey!$C:$P,K$1-2011,FALSE),0)+IFERROR(VLOOKUP($A101,MLacrosse!$C:$O,K$1-2011,FALSE),0)+IFERROR(VLOOKUP($A101,MSoccer!$C:$O,K$1-2011,FALSE),0)+IFERROR(VLOOKUP($A101,MVolleyball!$C:$O,K$1-2011,FALSE),0)+IFERROR(VLOOKUP($A101,WBasketball!$C:$O,K$1-2011,FALSE),0)+IFERROR(VLOOKUP($A101,WFieldHockey!$C:$O,K$1-2011,FALSE),0)+IFERROR(VLOOKUP($A101,WIceHockey!$C:$O,K$1-2011,FALSE),0)+IFERROR(VLOOKUP($A101,WLacrosse!$C:$O,K$1-2011,FALSE),0)+IFERROR(VLOOKUP($A101,WSoccer!$C:$O,K$1-2011,FALSE),0)+IFERROR(VLOOKUP($A101,WSoftball!$C:$O,K$1-2011,FALSE),0)+IFERROR(VLOOKUP($A101,WVolleyball!$C:$O,K$1-2011,FALSE),0)</f>
        <v>69517</v>
      </c>
      <c r="L101">
        <f>IFERROR(VLOOKUP($A101,MBaseball!$C:$N,L$1-2010,FALSE),0)+IFERROR(VLOOKUP($A101,MBasketball!$C:$J,L$1-2006,FALSE),0)+IFERROR(VLOOKUP($A101,MFootball!$C:$O,L$1-2011,FALSE),0)+IFERROR(VLOOKUP($A101,MIceHockey!$C:$P,L$1-2011,FALSE),0)+IFERROR(VLOOKUP($A101,MLacrosse!$C:$O,L$1-2011,FALSE),0)+IFERROR(VLOOKUP($A101,MSoccer!$C:$O,L$1-2011,FALSE),0)+IFERROR(VLOOKUP($A101,MVolleyball!$C:$O,L$1-2011,FALSE),0)+IFERROR(VLOOKUP($A101,WBasketball!$C:$O,L$1-2011,FALSE),0)+IFERROR(VLOOKUP($A101,WFieldHockey!$C:$O,L$1-2011,FALSE),0)+IFERROR(VLOOKUP($A101,WIceHockey!$C:$O,L$1-2011,FALSE),0)+IFERROR(VLOOKUP($A101,WLacrosse!$C:$O,L$1-2011,FALSE),0)+IFERROR(VLOOKUP($A101,WSoccer!$C:$O,L$1-2011,FALSE),0)+IFERROR(VLOOKUP($A101,WSoftball!$C:$O,L$1-2011,FALSE),0)+IFERROR(VLOOKUP($A101,WVolleyball!$C:$O,L$1-2011,FALSE),0)</f>
        <v>31750</v>
      </c>
      <c r="M101">
        <f>IFERROR(VLOOKUP($A101,MBaseball!$C:$N,M$1-2010,FALSE),0)+IFERROR(VLOOKUP($A101,MBasketball!$C:$J,M$1-2006,FALSE),0)+IFERROR(VLOOKUP($A101,MFootball!$C:$O,M$1-2011,FALSE),0)+IFERROR(VLOOKUP($A101,MIceHockey!$C:$P,M$1-2011,FALSE),0)+IFERROR(VLOOKUP($A101,MLacrosse!$C:$O,M$1-2011,FALSE),0)+IFERROR(VLOOKUP($A101,MSoccer!$C:$O,M$1-2011,FALSE),0)+IFERROR(VLOOKUP($A101,MVolleyball!$C:$O,M$1-2011,FALSE),0)+IFERROR(VLOOKUP($A101,WBasketball!$C:$O,M$1-2011,FALSE),0)+IFERROR(VLOOKUP($A101,WFieldHockey!$C:$O,M$1-2011,FALSE),0)+IFERROR(VLOOKUP($A101,WIceHockey!$C:$O,M$1-2011,FALSE),0)+IFERROR(VLOOKUP($A101,WLacrosse!$C:$O,M$1-2011,FALSE),0)+IFERROR(VLOOKUP($A101,WSoccer!$C:$O,M$1-2011,FALSE),0)+IFERROR(VLOOKUP($A101,WSoftball!$C:$O,M$1-2011,FALSE),0)+IFERROR(VLOOKUP($A101,WVolleyball!$C:$O,M$1-2011,FALSE),0)</f>
        <v>53889</v>
      </c>
      <c r="N101">
        <f>IFERROR(VLOOKUP($A101,MBaseball!$C:$N,N$1-2010,FALSE),0)+IFERROR(VLOOKUP($A101,MBasketball!$C:$J,N$1-2006,FALSE),0)+IFERROR(VLOOKUP($A101,MFootball!$C:$O,N$1-2011,FALSE),0)+IFERROR(VLOOKUP($A101,MIceHockey!$C:$P,N$1-2011,FALSE),0)+IFERROR(VLOOKUP($A101,MLacrosse!$C:$O,N$1-2011,FALSE),0)+IFERROR(VLOOKUP($A101,MSoccer!$C:$O,N$1-2011,FALSE),0)+IFERROR(VLOOKUP($A101,MVolleyball!$C:$O,N$1-2011,FALSE),0)+IFERROR(VLOOKUP($A101,WBasketball!$C:$O,N$1-2011,FALSE),0)+IFERROR(VLOOKUP($A101,WFieldHockey!$C:$O,N$1-2011,FALSE),0)+IFERROR(VLOOKUP($A101,WIceHockey!$C:$O,N$1-2011,FALSE),0)+IFERROR(VLOOKUP($A101,WLacrosse!$C:$O,N$1-2011,FALSE),0)+IFERROR(VLOOKUP($A101,WSoccer!$C:$O,N$1-2011,FALSE),0)+IFERROR(VLOOKUP($A101,WSoftball!$C:$O,N$1-2011,FALSE),0)+IFERROR(VLOOKUP($A101,WVolleyball!$C:$O,N$1-2011,FALSE),0)</f>
        <v>43248</v>
      </c>
    </row>
    <row r="102" spans="1:14" x14ac:dyDescent="0.2">
      <c r="A102">
        <v>185828</v>
      </c>
      <c r="B102">
        <v>35620</v>
      </c>
      <c r="C102" t="s">
        <v>158</v>
      </c>
      <c r="D102">
        <v>101</v>
      </c>
      <c r="E102">
        <f>IFERROR(VLOOKUP($A102,MBaseball!$C:$N,E$1-2010,FALSE),0)+IFERROR(VLOOKUP($A102,MBasketball!$C:$J,E$1-2006,FALSE),0)+IFERROR(VLOOKUP($A102,MFootball!$C:$O,E$1-2011,FALSE),0)+IFERROR(VLOOKUP($A102,MIceHockey!$C:$P,E$1-2011,FALSE),0)+IFERROR(VLOOKUP($A102,MLacrosse!$C:$O,E$1-2011,FALSE),0)+IFERROR(VLOOKUP($A102,MSoccer!$C:$O,E$1-2011,FALSE),0)+IFERROR(VLOOKUP($A102,MVolleyball!$C:$O,E$1-2011,FALSE),0)+IFERROR(VLOOKUP($A102,WBasketball!$C:$O,E$1-2011,FALSE),0)+IFERROR(VLOOKUP($A102,WFieldHockey!$C:$O,E$1-2011,FALSE),0)+IFERROR(VLOOKUP($A102,WIceHockey!$C:$O,E$1-2011,FALSE),0)+IFERROR(VLOOKUP($A102,WLacrosse!$C:$O,E$1-2011,FALSE),0)+IFERROR(VLOOKUP($A102,WSoccer!$C:$O,E$1-2011,FALSE),0)+IFERROR(VLOOKUP($A102,WSoftball!$C:$O,E$1-2011,FALSE),0)+IFERROR(VLOOKUP($A102,WVolleyball!$C:$O,E$1-2011,FALSE),0)</f>
        <v>31341</v>
      </c>
      <c r="F102">
        <f>IFERROR(VLOOKUP($A102,MBaseball!$C:$N,F$1-2010,FALSE),0)+IFERROR(VLOOKUP($A102,MBasketball!$C:$J,F$1-2006,FALSE),0)+IFERROR(VLOOKUP($A102,MFootball!$C:$O,F$1-2011,FALSE),0)+IFERROR(VLOOKUP($A102,MIceHockey!$C:$P,F$1-2011,FALSE),0)+IFERROR(VLOOKUP($A102,MLacrosse!$C:$O,F$1-2011,FALSE),0)+IFERROR(VLOOKUP($A102,MSoccer!$C:$O,F$1-2011,FALSE),0)+IFERROR(VLOOKUP($A102,MVolleyball!$C:$O,F$1-2011,FALSE),0)+IFERROR(VLOOKUP($A102,WBasketball!$C:$O,F$1-2011,FALSE),0)+IFERROR(VLOOKUP($A102,WFieldHockey!$C:$O,F$1-2011,FALSE),0)+IFERROR(VLOOKUP($A102,WIceHockey!$C:$O,F$1-2011,FALSE),0)+IFERROR(VLOOKUP($A102,WLacrosse!$C:$O,F$1-2011,FALSE),0)+IFERROR(VLOOKUP($A102,WSoccer!$C:$O,F$1-2011,FALSE),0)+IFERROR(VLOOKUP($A102,WSoftball!$C:$O,F$1-2011,FALSE),0)+IFERROR(VLOOKUP($A102,WVolleyball!$C:$O,F$1-2011,FALSE),0)</f>
        <v>25694</v>
      </c>
      <c r="G102">
        <f>IFERROR(VLOOKUP($A102,MBaseball!$C:$N,G$1-2010,FALSE),0)+IFERROR(VLOOKUP($A102,MBasketball!$C:$J,G$1-2006,FALSE),0)+IFERROR(VLOOKUP($A102,MFootball!$C:$O,G$1-2011,FALSE),0)+IFERROR(VLOOKUP($A102,MIceHockey!$C:$P,G$1-2011,FALSE),0)+IFERROR(VLOOKUP($A102,MLacrosse!$C:$O,G$1-2011,FALSE),0)+IFERROR(VLOOKUP($A102,MSoccer!$C:$O,G$1-2011,FALSE),0)+IFERROR(VLOOKUP($A102,MVolleyball!$C:$O,G$1-2011,FALSE),0)+IFERROR(VLOOKUP($A102,WBasketball!$C:$O,G$1-2011,FALSE),0)+IFERROR(VLOOKUP($A102,WFieldHockey!$C:$O,G$1-2011,FALSE),0)+IFERROR(VLOOKUP($A102,WIceHockey!$C:$O,G$1-2011,FALSE),0)+IFERROR(VLOOKUP($A102,WLacrosse!$C:$O,G$1-2011,FALSE),0)+IFERROR(VLOOKUP($A102,WSoccer!$C:$O,G$1-2011,FALSE),0)+IFERROR(VLOOKUP($A102,WSoftball!$C:$O,G$1-2011,FALSE),0)+IFERROR(VLOOKUP($A102,WVolleyball!$C:$O,G$1-2011,FALSE),0)</f>
        <v>22564</v>
      </c>
      <c r="H102">
        <f>IFERROR(VLOOKUP($A102,MBaseball!$C:$N,H$1-2010,FALSE),0)+IFERROR(VLOOKUP($A102,MBasketball!$C:$J,H$1-2006,FALSE),0)+IFERROR(VLOOKUP($A102,MFootball!$C:$O,H$1-2011,FALSE),0)+IFERROR(VLOOKUP($A102,MIceHockey!$C:$P,H$1-2011,FALSE),0)+IFERROR(VLOOKUP($A102,MLacrosse!$C:$O,H$1-2011,FALSE),0)+IFERROR(VLOOKUP($A102,MSoccer!$C:$O,H$1-2011,FALSE),0)+IFERROR(VLOOKUP($A102,MVolleyball!$C:$O,H$1-2011,FALSE),0)+IFERROR(VLOOKUP($A102,WBasketball!$C:$O,H$1-2011,FALSE),0)+IFERROR(VLOOKUP($A102,WFieldHockey!$C:$O,H$1-2011,FALSE),0)+IFERROR(VLOOKUP($A102,WIceHockey!$C:$O,H$1-2011,FALSE),0)+IFERROR(VLOOKUP($A102,WLacrosse!$C:$O,H$1-2011,FALSE),0)+IFERROR(VLOOKUP($A102,WSoccer!$C:$O,H$1-2011,FALSE),0)+IFERROR(VLOOKUP($A102,WSoftball!$C:$O,H$1-2011,FALSE),0)+IFERROR(VLOOKUP($A102,WVolleyball!$C:$O,H$1-2011,FALSE),0)</f>
        <v>19400</v>
      </c>
      <c r="I102">
        <f>IFERROR(VLOOKUP($A102,MBaseball!$C:$N,I$1-2010,FALSE),0)+IFERROR(VLOOKUP($A102,MBasketball!$C:$J,I$1-2006,FALSE),0)+IFERROR(VLOOKUP($A102,MFootball!$C:$O,I$1-2011,FALSE),0)+IFERROR(VLOOKUP($A102,MIceHockey!$C:$P,I$1-2011,FALSE),0)+IFERROR(VLOOKUP($A102,MLacrosse!$C:$O,I$1-2011,FALSE),0)+IFERROR(VLOOKUP($A102,MSoccer!$C:$O,I$1-2011,FALSE),0)+IFERROR(VLOOKUP($A102,MVolleyball!$C:$O,I$1-2011,FALSE),0)+IFERROR(VLOOKUP($A102,WBasketball!$C:$O,I$1-2011,FALSE),0)+IFERROR(VLOOKUP($A102,WFieldHockey!$C:$O,I$1-2011,FALSE),0)+IFERROR(VLOOKUP($A102,WIceHockey!$C:$O,I$1-2011,FALSE),0)+IFERROR(VLOOKUP($A102,WLacrosse!$C:$O,I$1-2011,FALSE),0)+IFERROR(VLOOKUP($A102,WSoccer!$C:$O,I$1-2011,FALSE),0)+IFERROR(VLOOKUP($A102,WSoftball!$C:$O,I$1-2011,FALSE),0)+IFERROR(VLOOKUP($A102,WVolleyball!$C:$O,I$1-2011,FALSE),0)</f>
        <v>19156</v>
      </c>
      <c r="J102">
        <f>IFERROR(VLOOKUP($A102,MBaseball!$C:$N,J$1-2010,FALSE),0)+IFERROR(VLOOKUP($A102,MBasketball!$C:$J,J$1-2006,FALSE),0)+IFERROR(VLOOKUP($A102,MFootball!$C:$O,J$1-2011,FALSE),0)+IFERROR(VLOOKUP($A102,MIceHockey!$C:$P,J$1-2011,FALSE),0)+IFERROR(VLOOKUP($A102,MLacrosse!$C:$O,J$1-2011,FALSE),0)+IFERROR(VLOOKUP($A102,MSoccer!$C:$O,J$1-2011,FALSE),0)+IFERROR(VLOOKUP($A102,MVolleyball!$C:$O,J$1-2011,FALSE),0)+IFERROR(VLOOKUP($A102,WBasketball!$C:$O,J$1-2011,FALSE),0)+IFERROR(VLOOKUP($A102,WFieldHockey!$C:$O,J$1-2011,FALSE),0)+IFERROR(VLOOKUP($A102,WIceHockey!$C:$O,J$1-2011,FALSE),0)+IFERROR(VLOOKUP($A102,WLacrosse!$C:$O,J$1-2011,FALSE),0)+IFERROR(VLOOKUP($A102,WSoccer!$C:$O,J$1-2011,FALSE),0)+IFERROR(VLOOKUP($A102,WSoftball!$C:$O,J$1-2011,FALSE),0)+IFERROR(VLOOKUP($A102,WVolleyball!$C:$O,J$1-2011,FALSE),0)</f>
        <v>16173</v>
      </c>
      <c r="K102">
        <f>IFERROR(VLOOKUP($A102,MBaseball!$C:$N,K$1-2010,FALSE),0)+IFERROR(VLOOKUP($A102,MBasketball!$C:$J,K$1-2006,FALSE),0)+IFERROR(VLOOKUP($A102,MFootball!$C:$O,K$1-2011,FALSE),0)+IFERROR(VLOOKUP($A102,MIceHockey!$C:$P,K$1-2011,FALSE),0)+IFERROR(VLOOKUP($A102,MLacrosse!$C:$O,K$1-2011,FALSE),0)+IFERROR(VLOOKUP($A102,MSoccer!$C:$O,K$1-2011,FALSE),0)+IFERROR(VLOOKUP($A102,MVolleyball!$C:$O,K$1-2011,FALSE),0)+IFERROR(VLOOKUP($A102,WBasketball!$C:$O,K$1-2011,FALSE),0)+IFERROR(VLOOKUP($A102,WFieldHockey!$C:$O,K$1-2011,FALSE),0)+IFERROR(VLOOKUP($A102,WIceHockey!$C:$O,K$1-2011,FALSE),0)+IFERROR(VLOOKUP($A102,WLacrosse!$C:$O,K$1-2011,FALSE),0)+IFERROR(VLOOKUP($A102,WSoccer!$C:$O,K$1-2011,FALSE),0)+IFERROR(VLOOKUP($A102,WSoftball!$C:$O,K$1-2011,FALSE),0)+IFERROR(VLOOKUP($A102,WVolleyball!$C:$O,K$1-2011,FALSE),0)</f>
        <v>9560</v>
      </c>
      <c r="L102">
        <f>IFERROR(VLOOKUP($A102,MBaseball!$C:$N,L$1-2010,FALSE),0)+IFERROR(VLOOKUP($A102,MBasketball!$C:$J,L$1-2006,FALSE),0)+IFERROR(VLOOKUP($A102,MFootball!$C:$O,L$1-2011,FALSE),0)+IFERROR(VLOOKUP($A102,MIceHockey!$C:$P,L$1-2011,FALSE),0)+IFERROR(VLOOKUP($A102,MLacrosse!$C:$O,L$1-2011,FALSE),0)+IFERROR(VLOOKUP($A102,MSoccer!$C:$O,L$1-2011,FALSE),0)+IFERROR(VLOOKUP($A102,MVolleyball!$C:$O,L$1-2011,FALSE),0)+IFERROR(VLOOKUP($A102,WBasketball!$C:$O,L$1-2011,FALSE),0)+IFERROR(VLOOKUP($A102,WFieldHockey!$C:$O,L$1-2011,FALSE),0)+IFERROR(VLOOKUP($A102,WIceHockey!$C:$O,L$1-2011,FALSE),0)+IFERROR(VLOOKUP($A102,WLacrosse!$C:$O,L$1-2011,FALSE),0)+IFERROR(VLOOKUP($A102,WSoccer!$C:$O,L$1-2011,FALSE),0)+IFERROR(VLOOKUP($A102,WSoftball!$C:$O,L$1-2011,FALSE),0)+IFERROR(VLOOKUP($A102,WVolleyball!$C:$O,L$1-2011,FALSE),0)</f>
        <v>3985</v>
      </c>
      <c r="M102">
        <f>IFERROR(VLOOKUP($A102,MBaseball!$C:$N,M$1-2010,FALSE),0)+IFERROR(VLOOKUP($A102,MBasketball!$C:$J,M$1-2006,FALSE),0)+IFERROR(VLOOKUP($A102,MFootball!$C:$O,M$1-2011,FALSE),0)+IFERROR(VLOOKUP($A102,MIceHockey!$C:$P,M$1-2011,FALSE),0)+IFERROR(VLOOKUP($A102,MLacrosse!$C:$O,M$1-2011,FALSE),0)+IFERROR(VLOOKUP($A102,MSoccer!$C:$O,M$1-2011,FALSE),0)+IFERROR(VLOOKUP($A102,MVolleyball!$C:$O,M$1-2011,FALSE),0)+IFERROR(VLOOKUP($A102,WBasketball!$C:$O,M$1-2011,FALSE),0)+IFERROR(VLOOKUP($A102,WFieldHockey!$C:$O,M$1-2011,FALSE),0)+IFERROR(VLOOKUP($A102,WIceHockey!$C:$O,M$1-2011,FALSE),0)+IFERROR(VLOOKUP($A102,WLacrosse!$C:$O,M$1-2011,FALSE),0)+IFERROR(VLOOKUP($A102,WSoccer!$C:$O,M$1-2011,FALSE),0)+IFERROR(VLOOKUP($A102,WSoftball!$C:$O,M$1-2011,FALSE),0)+IFERROR(VLOOKUP($A102,WVolleyball!$C:$O,M$1-2011,FALSE),0)</f>
        <v>18043</v>
      </c>
      <c r="N102">
        <f>IFERROR(VLOOKUP($A102,MBaseball!$C:$N,N$1-2010,FALSE),0)+IFERROR(VLOOKUP($A102,MBasketball!$C:$J,N$1-2006,FALSE),0)+IFERROR(VLOOKUP($A102,MFootball!$C:$O,N$1-2011,FALSE),0)+IFERROR(VLOOKUP($A102,MIceHockey!$C:$P,N$1-2011,FALSE),0)+IFERROR(VLOOKUP($A102,MLacrosse!$C:$O,N$1-2011,FALSE),0)+IFERROR(VLOOKUP($A102,MSoccer!$C:$O,N$1-2011,FALSE),0)+IFERROR(VLOOKUP($A102,MVolleyball!$C:$O,N$1-2011,FALSE),0)+IFERROR(VLOOKUP($A102,WBasketball!$C:$O,N$1-2011,FALSE),0)+IFERROR(VLOOKUP($A102,WFieldHockey!$C:$O,N$1-2011,FALSE),0)+IFERROR(VLOOKUP($A102,WIceHockey!$C:$O,N$1-2011,FALSE),0)+IFERROR(VLOOKUP($A102,WLacrosse!$C:$O,N$1-2011,FALSE),0)+IFERROR(VLOOKUP($A102,WSoccer!$C:$O,N$1-2011,FALSE),0)+IFERROR(VLOOKUP($A102,WSoftball!$C:$O,N$1-2011,FALSE),0)+IFERROR(VLOOKUP($A102,WVolleyball!$C:$O,N$1-2011,FALSE),0)</f>
        <v>15719</v>
      </c>
    </row>
    <row r="103" spans="1:14" x14ac:dyDescent="0.2">
      <c r="A103">
        <v>199120</v>
      </c>
      <c r="B103">
        <v>20500</v>
      </c>
      <c r="C103" t="s">
        <v>160</v>
      </c>
      <c r="D103">
        <v>102</v>
      </c>
      <c r="E103">
        <f>IFERROR(VLOOKUP($A103,MBaseball!$C:$N,E$1-2010,FALSE),0)+IFERROR(VLOOKUP($A103,MBasketball!$C:$J,E$1-2006,FALSE),0)+IFERROR(VLOOKUP($A103,MFootball!$C:$O,E$1-2011,FALSE),0)+IFERROR(VLOOKUP($A103,MIceHockey!$C:$P,E$1-2011,FALSE),0)+IFERROR(VLOOKUP($A103,MLacrosse!$C:$O,E$1-2011,FALSE),0)+IFERROR(VLOOKUP($A103,MSoccer!$C:$O,E$1-2011,FALSE),0)+IFERROR(VLOOKUP($A103,MVolleyball!$C:$O,E$1-2011,FALSE),0)+IFERROR(VLOOKUP($A103,WBasketball!$C:$O,E$1-2011,FALSE),0)+IFERROR(VLOOKUP($A103,WFieldHockey!$C:$O,E$1-2011,FALSE),0)+IFERROR(VLOOKUP($A103,WIceHockey!$C:$O,E$1-2011,FALSE),0)+IFERROR(VLOOKUP($A103,WLacrosse!$C:$O,E$1-2011,FALSE),0)+IFERROR(VLOOKUP($A103,WSoccer!$C:$O,E$1-2011,FALSE),0)+IFERROR(VLOOKUP($A103,WSoftball!$C:$O,E$1-2011,FALSE),0)+IFERROR(VLOOKUP($A103,WVolleyball!$C:$O,E$1-2011,FALSE),0)</f>
        <v>550625</v>
      </c>
      <c r="F103">
        <f>IFERROR(VLOOKUP($A103,MBaseball!$C:$N,F$1-2010,FALSE),0)+IFERROR(VLOOKUP($A103,MBasketball!$C:$J,F$1-2006,FALSE),0)+IFERROR(VLOOKUP($A103,MFootball!$C:$O,F$1-2011,FALSE),0)+IFERROR(VLOOKUP($A103,MIceHockey!$C:$P,F$1-2011,FALSE),0)+IFERROR(VLOOKUP($A103,MLacrosse!$C:$O,F$1-2011,FALSE),0)+IFERROR(VLOOKUP($A103,MSoccer!$C:$O,F$1-2011,FALSE),0)+IFERROR(VLOOKUP($A103,MVolleyball!$C:$O,F$1-2011,FALSE),0)+IFERROR(VLOOKUP($A103,WBasketball!$C:$O,F$1-2011,FALSE),0)+IFERROR(VLOOKUP($A103,WFieldHockey!$C:$O,F$1-2011,FALSE),0)+IFERROR(VLOOKUP($A103,WIceHockey!$C:$O,F$1-2011,FALSE),0)+IFERROR(VLOOKUP($A103,WLacrosse!$C:$O,F$1-2011,FALSE),0)+IFERROR(VLOOKUP($A103,WSoccer!$C:$O,F$1-2011,FALSE),0)+IFERROR(VLOOKUP($A103,WSoftball!$C:$O,F$1-2011,FALSE),0)+IFERROR(VLOOKUP($A103,WVolleyball!$C:$O,F$1-2011,FALSE),0)</f>
        <v>533469</v>
      </c>
      <c r="G103">
        <f>IFERROR(VLOOKUP($A103,MBaseball!$C:$N,G$1-2010,FALSE),0)+IFERROR(VLOOKUP($A103,MBasketball!$C:$J,G$1-2006,FALSE),0)+IFERROR(VLOOKUP($A103,MFootball!$C:$O,G$1-2011,FALSE),0)+IFERROR(VLOOKUP($A103,MIceHockey!$C:$P,G$1-2011,FALSE),0)+IFERROR(VLOOKUP($A103,MLacrosse!$C:$O,G$1-2011,FALSE),0)+IFERROR(VLOOKUP($A103,MSoccer!$C:$O,G$1-2011,FALSE),0)+IFERROR(VLOOKUP($A103,MVolleyball!$C:$O,G$1-2011,FALSE),0)+IFERROR(VLOOKUP($A103,WBasketball!$C:$O,G$1-2011,FALSE),0)+IFERROR(VLOOKUP($A103,WFieldHockey!$C:$O,G$1-2011,FALSE),0)+IFERROR(VLOOKUP($A103,WIceHockey!$C:$O,G$1-2011,FALSE),0)+IFERROR(VLOOKUP($A103,WLacrosse!$C:$O,G$1-2011,FALSE),0)+IFERROR(VLOOKUP($A103,WSoccer!$C:$O,G$1-2011,FALSE),0)+IFERROR(VLOOKUP($A103,WSoftball!$C:$O,G$1-2011,FALSE),0)+IFERROR(VLOOKUP($A103,WVolleyball!$C:$O,G$1-2011,FALSE),0)</f>
        <v>560175</v>
      </c>
      <c r="H103">
        <f>IFERROR(VLOOKUP($A103,MBaseball!$C:$N,H$1-2010,FALSE),0)+IFERROR(VLOOKUP($A103,MBasketball!$C:$J,H$1-2006,FALSE),0)+IFERROR(VLOOKUP($A103,MFootball!$C:$O,H$1-2011,FALSE),0)+IFERROR(VLOOKUP($A103,MIceHockey!$C:$P,H$1-2011,FALSE),0)+IFERROR(VLOOKUP($A103,MLacrosse!$C:$O,H$1-2011,FALSE),0)+IFERROR(VLOOKUP($A103,MSoccer!$C:$O,H$1-2011,FALSE),0)+IFERROR(VLOOKUP($A103,MVolleyball!$C:$O,H$1-2011,FALSE),0)+IFERROR(VLOOKUP($A103,WBasketball!$C:$O,H$1-2011,FALSE),0)+IFERROR(VLOOKUP($A103,WFieldHockey!$C:$O,H$1-2011,FALSE),0)+IFERROR(VLOOKUP($A103,WIceHockey!$C:$O,H$1-2011,FALSE),0)+IFERROR(VLOOKUP($A103,WLacrosse!$C:$O,H$1-2011,FALSE),0)+IFERROR(VLOOKUP($A103,WSoccer!$C:$O,H$1-2011,FALSE),0)+IFERROR(VLOOKUP($A103,WSoftball!$C:$O,H$1-2011,FALSE),0)+IFERROR(VLOOKUP($A103,WVolleyball!$C:$O,H$1-2011,FALSE),0)</f>
        <v>529263</v>
      </c>
      <c r="I103">
        <f>IFERROR(VLOOKUP($A103,MBaseball!$C:$N,I$1-2010,FALSE),0)+IFERROR(VLOOKUP($A103,MBasketball!$C:$J,I$1-2006,FALSE),0)+IFERROR(VLOOKUP($A103,MFootball!$C:$O,I$1-2011,FALSE),0)+IFERROR(VLOOKUP($A103,MIceHockey!$C:$P,I$1-2011,FALSE),0)+IFERROR(VLOOKUP($A103,MLacrosse!$C:$O,I$1-2011,FALSE),0)+IFERROR(VLOOKUP($A103,MSoccer!$C:$O,I$1-2011,FALSE),0)+IFERROR(VLOOKUP($A103,MVolleyball!$C:$O,I$1-2011,FALSE),0)+IFERROR(VLOOKUP($A103,WBasketball!$C:$O,I$1-2011,FALSE),0)+IFERROR(VLOOKUP($A103,WFieldHockey!$C:$O,I$1-2011,FALSE),0)+IFERROR(VLOOKUP($A103,WIceHockey!$C:$O,I$1-2011,FALSE),0)+IFERROR(VLOOKUP($A103,WLacrosse!$C:$O,I$1-2011,FALSE),0)+IFERROR(VLOOKUP($A103,WSoccer!$C:$O,I$1-2011,FALSE),0)+IFERROR(VLOOKUP($A103,WSoftball!$C:$O,I$1-2011,FALSE),0)+IFERROR(VLOOKUP($A103,WVolleyball!$C:$O,I$1-2011,FALSE),0)</f>
        <v>598438</v>
      </c>
      <c r="J103">
        <f>IFERROR(VLOOKUP($A103,MBaseball!$C:$N,J$1-2010,FALSE),0)+IFERROR(VLOOKUP($A103,MBasketball!$C:$J,J$1-2006,FALSE),0)+IFERROR(VLOOKUP($A103,MFootball!$C:$O,J$1-2011,FALSE),0)+IFERROR(VLOOKUP($A103,MIceHockey!$C:$P,J$1-2011,FALSE),0)+IFERROR(VLOOKUP($A103,MLacrosse!$C:$O,J$1-2011,FALSE),0)+IFERROR(VLOOKUP($A103,MSoccer!$C:$O,J$1-2011,FALSE),0)+IFERROR(VLOOKUP($A103,MVolleyball!$C:$O,J$1-2011,FALSE),0)+IFERROR(VLOOKUP($A103,WBasketball!$C:$O,J$1-2011,FALSE),0)+IFERROR(VLOOKUP($A103,WFieldHockey!$C:$O,J$1-2011,FALSE),0)+IFERROR(VLOOKUP($A103,WIceHockey!$C:$O,J$1-2011,FALSE),0)+IFERROR(VLOOKUP($A103,WLacrosse!$C:$O,J$1-2011,FALSE),0)+IFERROR(VLOOKUP($A103,WSoccer!$C:$O,J$1-2011,FALSE),0)+IFERROR(VLOOKUP($A103,WSoftball!$C:$O,J$1-2011,FALSE),0)+IFERROR(VLOOKUP($A103,WVolleyball!$C:$O,J$1-2011,FALSE),0)</f>
        <v>361081</v>
      </c>
      <c r="K103">
        <f>IFERROR(VLOOKUP($A103,MBaseball!$C:$N,K$1-2010,FALSE),0)+IFERROR(VLOOKUP($A103,MBasketball!$C:$J,K$1-2006,FALSE),0)+IFERROR(VLOOKUP($A103,MFootball!$C:$O,K$1-2011,FALSE),0)+IFERROR(VLOOKUP($A103,MIceHockey!$C:$P,K$1-2011,FALSE),0)+IFERROR(VLOOKUP($A103,MLacrosse!$C:$O,K$1-2011,FALSE),0)+IFERROR(VLOOKUP($A103,MSoccer!$C:$O,K$1-2011,FALSE),0)+IFERROR(VLOOKUP($A103,MVolleyball!$C:$O,K$1-2011,FALSE),0)+IFERROR(VLOOKUP($A103,WBasketball!$C:$O,K$1-2011,FALSE),0)+IFERROR(VLOOKUP($A103,WFieldHockey!$C:$O,K$1-2011,FALSE),0)+IFERROR(VLOOKUP($A103,WIceHockey!$C:$O,K$1-2011,FALSE),0)+IFERROR(VLOOKUP($A103,WLacrosse!$C:$O,K$1-2011,FALSE),0)+IFERROR(VLOOKUP($A103,WSoccer!$C:$O,K$1-2011,FALSE),0)+IFERROR(VLOOKUP($A103,WSoftball!$C:$O,K$1-2011,FALSE),0)+IFERROR(VLOOKUP($A103,WVolleyball!$C:$O,K$1-2011,FALSE),0)</f>
        <v>420639</v>
      </c>
      <c r="L103">
        <f>IFERROR(VLOOKUP($A103,MBaseball!$C:$N,L$1-2010,FALSE),0)+IFERROR(VLOOKUP($A103,MBasketball!$C:$J,L$1-2006,FALSE),0)+IFERROR(VLOOKUP($A103,MFootball!$C:$O,L$1-2011,FALSE),0)+IFERROR(VLOOKUP($A103,MIceHockey!$C:$P,L$1-2011,FALSE),0)+IFERROR(VLOOKUP($A103,MLacrosse!$C:$O,L$1-2011,FALSE),0)+IFERROR(VLOOKUP($A103,MSoccer!$C:$O,L$1-2011,FALSE),0)+IFERROR(VLOOKUP($A103,MVolleyball!$C:$O,L$1-2011,FALSE),0)+IFERROR(VLOOKUP($A103,WBasketball!$C:$O,L$1-2011,FALSE),0)+IFERROR(VLOOKUP($A103,WFieldHockey!$C:$O,L$1-2011,FALSE),0)+IFERROR(VLOOKUP($A103,WIceHockey!$C:$O,L$1-2011,FALSE),0)+IFERROR(VLOOKUP($A103,WLacrosse!$C:$O,L$1-2011,FALSE),0)+IFERROR(VLOOKUP($A103,WSoccer!$C:$O,L$1-2011,FALSE),0)+IFERROR(VLOOKUP($A103,WSoftball!$C:$O,L$1-2011,FALSE),0)+IFERROR(VLOOKUP($A103,WVolleyball!$C:$O,L$1-2011,FALSE),0)</f>
        <v>141021</v>
      </c>
      <c r="M103">
        <f>IFERROR(VLOOKUP($A103,MBaseball!$C:$N,M$1-2010,FALSE),0)+IFERROR(VLOOKUP($A103,MBasketball!$C:$J,M$1-2006,FALSE),0)+IFERROR(VLOOKUP($A103,MFootball!$C:$O,M$1-2011,FALSE),0)+IFERROR(VLOOKUP($A103,MIceHockey!$C:$P,M$1-2011,FALSE),0)+IFERROR(VLOOKUP($A103,MLacrosse!$C:$O,M$1-2011,FALSE),0)+IFERROR(VLOOKUP($A103,MSoccer!$C:$O,M$1-2011,FALSE),0)+IFERROR(VLOOKUP($A103,MVolleyball!$C:$O,M$1-2011,FALSE),0)+IFERROR(VLOOKUP($A103,WBasketball!$C:$O,M$1-2011,FALSE),0)+IFERROR(VLOOKUP($A103,WFieldHockey!$C:$O,M$1-2011,FALSE),0)+IFERROR(VLOOKUP($A103,WIceHockey!$C:$O,M$1-2011,FALSE),0)+IFERROR(VLOOKUP($A103,WLacrosse!$C:$O,M$1-2011,FALSE),0)+IFERROR(VLOOKUP($A103,WSoccer!$C:$O,M$1-2011,FALSE),0)+IFERROR(VLOOKUP($A103,WSoftball!$C:$O,M$1-2011,FALSE),0)+IFERROR(VLOOKUP($A103,WVolleyball!$C:$O,M$1-2011,FALSE),0)</f>
        <v>572308</v>
      </c>
      <c r="N103">
        <f>IFERROR(VLOOKUP($A103,MBaseball!$C:$N,N$1-2010,FALSE),0)+IFERROR(VLOOKUP($A103,MBasketball!$C:$J,N$1-2006,FALSE),0)+IFERROR(VLOOKUP($A103,MFootball!$C:$O,N$1-2011,FALSE),0)+IFERROR(VLOOKUP($A103,MIceHockey!$C:$P,N$1-2011,FALSE),0)+IFERROR(VLOOKUP($A103,MLacrosse!$C:$O,N$1-2011,FALSE),0)+IFERROR(VLOOKUP($A103,MSoccer!$C:$O,N$1-2011,FALSE),0)+IFERROR(VLOOKUP($A103,MVolleyball!$C:$O,N$1-2011,FALSE),0)+IFERROR(VLOOKUP($A103,WBasketball!$C:$O,N$1-2011,FALSE),0)+IFERROR(VLOOKUP($A103,WFieldHockey!$C:$O,N$1-2011,FALSE),0)+IFERROR(VLOOKUP($A103,WIceHockey!$C:$O,N$1-2011,FALSE),0)+IFERROR(VLOOKUP($A103,WLacrosse!$C:$O,N$1-2011,FALSE),0)+IFERROR(VLOOKUP($A103,WSoccer!$C:$O,N$1-2011,FALSE),0)+IFERROR(VLOOKUP($A103,WSoftball!$C:$O,N$1-2011,FALSE),0)+IFERROR(VLOOKUP($A103,WVolleyball!$C:$O,N$1-2011,FALSE),0)</f>
        <v>433780</v>
      </c>
    </row>
    <row r="104" spans="1:14" x14ac:dyDescent="0.2">
      <c r="A104">
        <v>199102</v>
      </c>
      <c r="B104">
        <v>24660</v>
      </c>
      <c r="C104" t="s">
        <v>161</v>
      </c>
      <c r="D104">
        <v>103</v>
      </c>
      <c r="E104">
        <f>IFERROR(VLOOKUP($A104,MBaseball!$C:$N,E$1-2010,FALSE),0)+IFERROR(VLOOKUP($A104,MBasketball!$C:$J,E$1-2006,FALSE),0)+IFERROR(VLOOKUP($A104,MFootball!$C:$O,E$1-2011,FALSE),0)+IFERROR(VLOOKUP($A104,MIceHockey!$C:$P,E$1-2011,FALSE),0)+IFERROR(VLOOKUP($A104,MLacrosse!$C:$O,E$1-2011,FALSE),0)+IFERROR(VLOOKUP($A104,MSoccer!$C:$O,E$1-2011,FALSE),0)+IFERROR(VLOOKUP($A104,MVolleyball!$C:$O,E$1-2011,FALSE),0)+IFERROR(VLOOKUP($A104,WBasketball!$C:$O,E$1-2011,FALSE),0)+IFERROR(VLOOKUP($A104,WFieldHockey!$C:$O,E$1-2011,FALSE),0)+IFERROR(VLOOKUP($A104,WIceHockey!$C:$O,E$1-2011,FALSE),0)+IFERROR(VLOOKUP($A104,WLacrosse!$C:$O,E$1-2011,FALSE),0)+IFERROR(VLOOKUP($A104,WSoccer!$C:$O,E$1-2011,FALSE),0)+IFERROR(VLOOKUP($A104,WSoftball!$C:$O,E$1-2011,FALSE),0)+IFERROR(VLOOKUP($A104,WVolleyball!$C:$O,E$1-2011,FALSE),0)</f>
        <v>40829</v>
      </c>
      <c r="F104">
        <f>IFERROR(VLOOKUP($A104,MBaseball!$C:$N,F$1-2010,FALSE),0)+IFERROR(VLOOKUP($A104,MBasketball!$C:$J,F$1-2006,FALSE),0)+IFERROR(VLOOKUP($A104,MFootball!$C:$O,F$1-2011,FALSE),0)+IFERROR(VLOOKUP($A104,MIceHockey!$C:$P,F$1-2011,FALSE),0)+IFERROR(VLOOKUP($A104,MLacrosse!$C:$O,F$1-2011,FALSE),0)+IFERROR(VLOOKUP($A104,MSoccer!$C:$O,F$1-2011,FALSE),0)+IFERROR(VLOOKUP($A104,MVolleyball!$C:$O,F$1-2011,FALSE),0)+IFERROR(VLOOKUP($A104,WBasketball!$C:$O,F$1-2011,FALSE),0)+IFERROR(VLOOKUP($A104,WFieldHockey!$C:$O,F$1-2011,FALSE),0)+IFERROR(VLOOKUP($A104,WIceHockey!$C:$O,F$1-2011,FALSE),0)+IFERROR(VLOOKUP($A104,WLacrosse!$C:$O,F$1-2011,FALSE),0)+IFERROR(VLOOKUP($A104,WSoccer!$C:$O,F$1-2011,FALSE),0)+IFERROR(VLOOKUP($A104,WSoftball!$C:$O,F$1-2011,FALSE),0)+IFERROR(VLOOKUP($A104,WVolleyball!$C:$O,F$1-2011,FALSE),0)</f>
        <v>86345</v>
      </c>
      <c r="G104">
        <f>IFERROR(VLOOKUP($A104,MBaseball!$C:$N,G$1-2010,FALSE),0)+IFERROR(VLOOKUP($A104,MBasketball!$C:$J,G$1-2006,FALSE),0)+IFERROR(VLOOKUP($A104,MFootball!$C:$O,G$1-2011,FALSE),0)+IFERROR(VLOOKUP($A104,MIceHockey!$C:$P,G$1-2011,FALSE),0)+IFERROR(VLOOKUP($A104,MLacrosse!$C:$O,G$1-2011,FALSE),0)+IFERROR(VLOOKUP($A104,MSoccer!$C:$O,G$1-2011,FALSE),0)+IFERROR(VLOOKUP($A104,MVolleyball!$C:$O,G$1-2011,FALSE),0)+IFERROR(VLOOKUP($A104,WBasketball!$C:$O,G$1-2011,FALSE),0)+IFERROR(VLOOKUP($A104,WFieldHockey!$C:$O,G$1-2011,FALSE),0)+IFERROR(VLOOKUP($A104,WIceHockey!$C:$O,G$1-2011,FALSE),0)+IFERROR(VLOOKUP($A104,WLacrosse!$C:$O,G$1-2011,FALSE),0)+IFERROR(VLOOKUP($A104,WSoccer!$C:$O,G$1-2011,FALSE),0)+IFERROR(VLOOKUP($A104,WSoftball!$C:$O,G$1-2011,FALSE),0)+IFERROR(VLOOKUP($A104,WVolleyball!$C:$O,G$1-2011,FALSE),0)</f>
        <v>89718</v>
      </c>
      <c r="H104">
        <f>IFERROR(VLOOKUP($A104,MBaseball!$C:$N,H$1-2010,FALSE),0)+IFERROR(VLOOKUP($A104,MBasketball!$C:$J,H$1-2006,FALSE),0)+IFERROR(VLOOKUP($A104,MFootball!$C:$O,H$1-2011,FALSE),0)+IFERROR(VLOOKUP($A104,MIceHockey!$C:$P,H$1-2011,FALSE),0)+IFERROR(VLOOKUP($A104,MLacrosse!$C:$O,H$1-2011,FALSE),0)+IFERROR(VLOOKUP($A104,MSoccer!$C:$O,H$1-2011,FALSE),0)+IFERROR(VLOOKUP($A104,MVolleyball!$C:$O,H$1-2011,FALSE),0)+IFERROR(VLOOKUP($A104,WBasketball!$C:$O,H$1-2011,FALSE),0)+IFERROR(VLOOKUP($A104,WFieldHockey!$C:$O,H$1-2011,FALSE),0)+IFERROR(VLOOKUP($A104,WIceHockey!$C:$O,H$1-2011,FALSE),0)+IFERROR(VLOOKUP($A104,WLacrosse!$C:$O,H$1-2011,FALSE),0)+IFERROR(VLOOKUP($A104,WSoccer!$C:$O,H$1-2011,FALSE),0)+IFERROR(VLOOKUP($A104,WSoftball!$C:$O,H$1-2011,FALSE),0)+IFERROR(VLOOKUP($A104,WVolleyball!$C:$O,H$1-2011,FALSE),0)</f>
        <v>88257</v>
      </c>
      <c r="I104">
        <f>IFERROR(VLOOKUP($A104,MBaseball!$C:$N,I$1-2010,FALSE),0)+IFERROR(VLOOKUP($A104,MBasketball!$C:$J,I$1-2006,FALSE),0)+IFERROR(VLOOKUP($A104,MFootball!$C:$O,I$1-2011,FALSE),0)+IFERROR(VLOOKUP($A104,MIceHockey!$C:$P,I$1-2011,FALSE),0)+IFERROR(VLOOKUP($A104,MLacrosse!$C:$O,I$1-2011,FALSE),0)+IFERROR(VLOOKUP($A104,MSoccer!$C:$O,I$1-2011,FALSE),0)+IFERROR(VLOOKUP($A104,MVolleyball!$C:$O,I$1-2011,FALSE),0)+IFERROR(VLOOKUP($A104,WBasketball!$C:$O,I$1-2011,FALSE),0)+IFERROR(VLOOKUP($A104,WFieldHockey!$C:$O,I$1-2011,FALSE),0)+IFERROR(VLOOKUP($A104,WIceHockey!$C:$O,I$1-2011,FALSE),0)+IFERROR(VLOOKUP($A104,WLacrosse!$C:$O,I$1-2011,FALSE),0)+IFERROR(VLOOKUP($A104,WSoccer!$C:$O,I$1-2011,FALSE),0)+IFERROR(VLOOKUP($A104,WSoftball!$C:$O,I$1-2011,FALSE),0)+IFERROR(VLOOKUP($A104,WVolleyball!$C:$O,I$1-2011,FALSE),0)</f>
        <v>101329</v>
      </c>
      <c r="J104">
        <f>IFERROR(VLOOKUP($A104,MBaseball!$C:$N,J$1-2010,FALSE),0)+IFERROR(VLOOKUP($A104,MBasketball!$C:$J,J$1-2006,FALSE),0)+IFERROR(VLOOKUP($A104,MFootball!$C:$O,J$1-2011,FALSE),0)+IFERROR(VLOOKUP($A104,MIceHockey!$C:$P,J$1-2011,FALSE),0)+IFERROR(VLOOKUP($A104,MLacrosse!$C:$O,J$1-2011,FALSE),0)+IFERROR(VLOOKUP($A104,MSoccer!$C:$O,J$1-2011,FALSE),0)+IFERROR(VLOOKUP($A104,MVolleyball!$C:$O,J$1-2011,FALSE),0)+IFERROR(VLOOKUP($A104,WBasketball!$C:$O,J$1-2011,FALSE),0)+IFERROR(VLOOKUP($A104,WFieldHockey!$C:$O,J$1-2011,FALSE),0)+IFERROR(VLOOKUP($A104,WIceHockey!$C:$O,J$1-2011,FALSE),0)+IFERROR(VLOOKUP($A104,WLacrosse!$C:$O,J$1-2011,FALSE),0)+IFERROR(VLOOKUP($A104,WSoccer!$C:$O,J$1-2011,FALSE),0)+IFERROR(VLOOKUP($A104,WSoftball!$C:$O,J$1-2011,FALSE),0)+IFERROR(VLOOKUP($A104,WVolleyball!$C:$O,J$1-2011,FALSE),0)</f>
        <v>95738</v>
      </c>
      <c r="K104">
        <f>IFERROR(VLOOKUP($A104,MBaseball!$C:$N,K$1-2010,FALSE),0)+IFERROR(VLOOKUP($A104,MBasketball!$C:$J,K$1-2006,FALSE),0)+IFERROR(VLOOKUP($A104,MFootball!$C:$O,K$1-2011,FALSE),0)+IFERROR(VLOOKUP($A104,MIceHockey!$C:$P,K$1-2011,FALSE),0)+IFERROR(VLOOKUP($A104,MLacrosse!$C:$O,K$1-2011,FALSE),0)+IFERROR(VLOOKUP($A104,MSoccer!$C:$O,K$1-2011,FALSE),0)+IFERROR(VLOOKUP($A104,MVolleyball!$C:$O,K$1-2011,FALSE),0)+IFERROR(VLOOKUP($A104,WBasketball!$C:$O,K$1-2011,FALSE),0)+IFERROR(VLOOKUP($A104,WFieldHockey!$C:$O,K$1-2011,FALSE),0)+IFERROR(VLOOKUP($A104,WIceHockey!$C:$O,K$1-2011,FALSE),0)+IFERROR(VLOOKUP($A104,WLacrosse!$C:$O,K$1-2011,FALSE),0)+IFERROR(VLOOKUP($A104,WSoccer!$C:$O,K$1-2011,FALSE),0)+IFERROR(VLOOKUP($A104,WSoftball!$C:$O,K$1-2011,FALSE),0)+IFERROR(VLOOKUP($A104,WVolleyball!$C:$O,K$1-2011,FALSE),0)</f>
        <v>99781</v>
      </c>
      <c r="L104">
        <f>IFERROR(VLOOKUP($A104,MBaseball!$C:$N,L$1-2010,FALSE),0)+IFERROR(VLOOKUP($A104,MBasketball!$C:$J,L$1-2006,FALSE),0)+IFERROR(VLOOKUP($A104,MFootball!$C:$O,L$1-2011,FALSE),0)+IFERROR(VLOOKUP($A104,MIceHockey!$C:$P,L$1-2011,FALSE),0)+IFERROR(VLOOKUP($A104,MLacrosse!$C:$O,L$1-2011,FALSE),0)+IFERROR(VLOOKUP($A104,MSoccer!$C:$O,L$1-2011,FALSE),0)+IFERROR(VLOOKUP($A104,MVolleyball!$C:$O,L$1-2011,FALSE),0)+IFERROR(VLOOKUP($A104,WBasketball!$C:$O,L$1-2011,FALSE),0)+IFERROR(VLOOKUP($A104,WFieldHockey!$C:$O,L$1-2011,FALSE),0)+IFERROR(VLOOKUP($A104,WIceHockey!$C:$O,L$1-2011,FALSE),0)+IFERROR(VLOOKUP($A104,WLacrosse!$C:$O,L$1-2011,FALSE),0)+IFERROR(VLOOKUP($A104,WSoccer!$C:$O,L$1-2011,FALSE),0)+IFERROR(VLOOKUP($A104,WSoftball!$C:$O,L$1-2011,FALSE),0)+IFERROR(VLOOKUP($A104,WVolleyball!$C:$O,L$1-2011,FALSE),0)</f>
        <v>4496</v>
      </c>
      <c r="M104">
        <f>IFERROR(VLOOKUP($A104,MBaseball!$C:$N,M$1-2010,FALSE),0)+IFERROR(VLOOKUP($A104,MBasketball!$C:$J,M$1-2006,FALSE),0)+IFERROR(VLOOKUP($A104,MFootball!$C:$O,M$1-2011,FALSE),0)+IFERROR(VLOOKUP($A104,MIceHockey!$C:$P,M$1-2011,FALSE),0)+IFERROR(VLOOKUP($A104,MLacrosse!$C:$O,M$1-2011,FALSE),0)+IFERROR(VLOOKUP($A104,MSoccer!$C:$O,M$1-2011,FALSE),0)+IFERROR(VLOOKUP($A104,MVolleyball!$C:$O,M$1-2011,FALSE),0)+IFERROR(VLOOKUP($A104,WBasketball!$C:$O,M$1-2011,FALSE),0)+IFERROR(VLOOKUP($A104,WFieldHockey!$C:$O,M$1-2011,FALSE),0)+IFERROR(VLOOKUP($A104,WIceHockey!$C:$O,M$1-2011,FALSE),0)+IFERROR(VLOOKUP($A104,WLacrosse!$C:$O,M$1-2011,FALSE),0)+IFERROR(VLOOKUP($A104,WSoccer!$C:$O,M$1-2011,FALSE),0)+IFERROR(VLOOKUP($A104,WSoftball!$C:$O,M$1-2011,FALSE),0)+IFERROR(VLOOKUP($A104,WVolleyball!$C:$O,M$1-2011,FALSE),0)</f>
        <v>77821</v>
      </c>
      <c r="N104">
        <f>IFERROR(VLOOKUP($A104,MBaseball!$C:$N,N$1-2010,FALSE),0)+IFERROR(VLOOKUP($A104,MBasketball!$C:$J,N$1-2006,FALSE),0)+IFERROR(VLOOKUP($A104,MFootball!$C:$O,N$1-2011,FALSE),0)+IFERROR(VLOOKUP($A104,MIceHockey!$C:$P,N$1-2011,FALSE),0)+IFERROR(VLOOKUP($A104,MLacrosse!$C:$O,N$1-2011,FALSE),0)+IFERROR(VLOOKUP($A104,MSoccer!$C:$O,N$1-2011,FALSE),0)+IFERROR(VLOOKUP($A104,MVolleyball!$C:$O,N$1-2011,FALSE),0)+IFERROR(VLOOKUP($A104,WBasketball!$C:$O,N$1-2011,FALSE),0)+IFERROR(VLOOKUP($A104,WFieldHockey!$C:$O,N$1-2011,FALSE),0)+IFERROR(VLOOKUP($A104,WIceHockey!$C:$O,N$1-2011,FALSE),0)+IFERROR(VLOOKUP($A104,WLacrosse!$C:$O,N$1-2011,FALSE),0)+IFERROR(VLOOKUP($A104,WSoccer!$C:$O,N$1-2011,FALSE),0)+IFERROR(VLOOKUP($A104,WSoftball!$C:$O,N$1-2011,FALSE),0)+IFERROR(VLOOKUP($A104,WVolleyball!$C:$O,N$1-2011,FALSE),0)</f>
        <v>91968</v>
      </c>
    </row>
    <row r="105" spans="1:14" x14ac:dyDescent="0.2">
      <c r="A105">
        <v>199111</v>
      </c>
      <c r="B105">
        <v>11700</v>
      </c>
      <c r="C105" t="s">
        <v>162</v>
      </c>
      <c r="D105">
        <v>104</v>
      </c>
      <c r="E105">
        <f>IFERROR(VLOOKUP($A105,MBaseball!$C:$N,E$1-2010,FALSE),0)+IFERROR(VLOOKUP($A105,MBasketball!$C:$J,E$1-2006,FALSE),0)+IFERROR(VLOOKUP($A105,MFootball!$C:$O,E$1-2011,FALSE),0)+IFERROR(VLOOKUP($A105,MIceHockey!$C:$P,E$1-2011,FALSE),0)+IFERROR(VLOOKUP($A105,MLacrosse!$C:$O,E$1-2011,FALSE),0)+IFERROR(VLOOKUP($A105,MSoccer!$C:$O,E$1-2011,FALSE),0)+IFERROR(VLOOKUP($A105,MVolleyball!$C:$O,E$1-2011,FALSE),0)+IFERROR(VLOOKUP($A105,WBasketball!$C:$O,E$1-2011,FALSE),0)+IFERROR(VLOOKUP($A105,WFieldHockey!$C:$O,E$1-2011,FALSE),0)+IFERROR(VLOOKUP($A105,WIceHockey!$C:$O,E$1-2011,FALSE),0)+IFERROR(VLOOKUP($A105,WLacrosse!$C:$O,E$1-2011,FALSE),0)+IFERROR(VLOOKUP($A105,WSoccer!$C:$O,E$1-2011,FALSE),0)+IFERROR(VLOOKUP($A105,WSoftball!$C:$O,E$1-2011,FALSE),0)+IFERROR(VLOOKUP($A105,WVolleyball!$C:$O,E$1-2011,FALSE),0)</f>
        <v>48143</v>
      </c>
      <c r="F105">
        <f>IFERROR(VLOOKUP($A105,MBaseball!$C:$N,F$1-2010,FALSE),0)+IFERROR(VLOOKUP($A105,MBasketball!$C:$J,F$1-2006,FALSE),0)+IFERROR(VLOOKUP($A105,MFootball!$C:$O,F$1-2011,FALSE),0)+IFERROR(VLOOKUP($A105,MIceHockey!$C:$P,F$1-2011,FALSE),0)+IFERROR(VLOOKUP($A105,MLacrosse!$C:$O,F$1-2011,FALSE),0)+IFERROR(VLOOKUP($A105,MSoccer!$C:$O,F$1-2011,FALSE),0)+IFERROR(VLOOKUP($A105,MVolleyball!$C:$O,F$1-2011,FALSE),0)+IFERROR(VLOOKUP($A105,WBasketball!$C:$O,F$1-2011,FALSE),0)+IFERROR(VLOOKUP($A105,WFieldHockey!$C:$O,F$1-2011,FALSE),0)+IFERROR(VLOOKUP($A105,WIceHockey!$C:$O,F$1-2011,FALSE),0)+IFERROR(VLOOKUP($A105,WLacrosse!$C:$O,F$1-2011,FALSE),0)+IFERROR(VLOOKUP($A105,WSoccer!$C:$O,F$1-2011,FALSE),0)+IFERROR(VLOOKUP($A105,WSoftball!$C:$O,F$1-2011,FALSE),0)+IFERROR(VLOOKUP($A105,WVolleyball!$C:$O,F$1-2011,FALSE),0)</f>
        <v>28086</v>
      </c>
      <c r="G105">
        <f>IFERROR(VLOOKUP($A105,MBaseball!$C:$N,G$1-2010,FALSE),0)+IFERROR(VLOOKUP($A105,MBasketball!$C:$J,G$1-2006,FALSE),0)+IFERROR(VLOOKUP($A105,MFootball!$C:$O,G$1-2011,FALSE),0)+IFERROR(VLOOKUP($A105,MIceHockey!$C:$P,G$1-2011,FALSE),0)+IFERROR(VLOOKUP($A105,MLacrosse!$C:$O,G$1-2011,FALSE),0)+IFERROR(VLOOKUP($A105,MSoccer!$C:$O,G$1-2011,FALSE),0)+IFERROR(VLOOKUP($A105,MVolleyball!$C:$O,G$1-2011,FALSE),0)+IFERROR(VLOOKUP($A105,WBasketball!$C:$O,G$1-2011,FALSE),0)+IFERROR(VLOOKUP($A105,WFieldHockey!$C:$O,G$1-2011,FALSE),0)+IFERROR(VLOOKUP($A105,WIceHockey!$C:$O,G$1-2011,FALSE),0)+IFERROR(VLOOKUP($A105,WLacrosse!$C:$O,G$1-2011,FALSE),0)+IFERROR(VLOOKUP($A105,WSoccer!$C:$O,G$1-2011,FALSE),0)+IFERROR(VLOOKUP($A105,WSoftball!$C:$O,G$1-2011,FALSE),0)+IFERROR(VLOOKUP($A105,WVolleyball!$C:$O,G$1-2011,FALSE),0)</f>
        <v>34037</v>
      </c>
      <c r="H105">
        <f>IFERROR(VLOOKUP($A105,MBaseball!$C:$N,H$1-2010,FALSE),0)+IFERROR(VLOOKUP($A105,MBasketball!$C:$J,H$1-2006,FALSE),0)+IFERROR(VLOOKUP($A105,MFootball!$C:$O,H$1-2011,FALSE),0)+IFERROR(VLOOKUP($A105,MIceHockey!$C:$P,H$1-2011,FALSE),0)+IFERROR(VLOOKUP($A105,MLacrosse!$C:$O,H$1-2011,FALSE),0)+IFERROR(VLOOKUP($A105,MSoccer!$C:$O,H$1-2011,FALSE),0)+IFERROR(VLOOKUP($A105,MVolleyball!$C:$O,H$1-2011,FALSE),0)+IFERROR(VLOOKUP($A105,WBasketball!$C:$O,H$1-2011,FALSE),0)+IFERROR(VLOOKUP($A105,WFieldHockey!$C:$O,H$1-2011,FALSE),0)+IFERROR(VLOOKUP($A105,WIceHockey!$C:$O,H$1-2011,FALSE),0)+IFERROR(VLOOKUP($A105,WLacrosse!$C:$O,H$1-2011,FALSE),0)+IFERROR(VLOOKUP($A105,WSoccer!$C:$O,H$1-2011,FALSE),0)+IFERROR(VLOOKUP($A105,WSoftball!$C:$O,H$1-2011,FALSE),0)+IFERROR(VLOOKUP($A105,WVolleyball!$C:$O,H$1-2011,FALSE),0)</f>
        <v>29182</v>
      </c>
      <c r="I105">
        <f>IFERROR(VLOOKUP($A105,MBaseball!$C:$N,I$1-2010,FALSE),0)+IFERROR(VLOOKUP($A105,MBasketball!$C:$J,I$1-2006,FALSE),0)+IFERROR(VLOOKUP($A105,MFootball!$C:$O,I$1-2011,FALSE),0)+IFERROR(VLOOKUP($A105,MIceHockey!$C:$P,I$1-2011,FALSE),0)+IFERROR(VLOOKUP($A105,MLacrosse!$C:$O,I$1-2011,FALSE),0)+IFERROR(VLOOKUP($A105,MSoccer!$C:$O,I$1-2011,FALSE),0)+IFERROR(VLOOKUP($A105,MVolleyball!$C:$O,I$1-2011,FALSE),0)+IFERROR(VLOOKUP($A105,WBasketball!$C:$O,I$1-2011,FALSE),0)+IFERROR(VLOOKUP($A105,WFieldHockey!$C:$O,I$1-2011,FALSE),0)+IFERROR(VLOOKUP($A105,WIceHockey!$C:$O,I$1-2011,FALSE),0)+IFERROR(VLOOKUP($A105,WLacrosse!$C:$O,I$1-2011,FALSE),0)+IFERROR(VLOOKUP($A105,WSoccer!$C:$O,I$1-2011,FALSE),0)+IFERROR(VLOOKUP($A105,WSoftball!$C:$O,I$1-2011,FALSE),0)+IFERROR(VLOOKUP($A105,WVolleyball!$C:$O,I$1-2011,FALSE),0)</f>
        <v>33941</v>
      </c>
      <c r="J105">
        <f>IFERROR(VLOOKUP($A105,MBaseball!$C:$N,J$1-2010,FALSE),0)+IFERROR(VLOOKUP($A105,MBasketball!$C:$J,J$1-2006,FALSE),0)+IFERROR(VLOOKUP($A105,MFootball!$C:$O,J$1-2011,FALSE),0)+IFERROR(VLOOKUP($A105,MIceHockey!$C:$P,J$1-2011,FALSE),0)+IFERROR(VLOOKUP($A105,MLacrosse!$C:$O,J$1-2011,FALSE),0)+IFERROR(VLOOKUP($A105,MSoccer!$C:$O,J$1-2011,FALSE),0)+IFERROR(VLOOKUP($A105,MVolleyball!$C:$O,J$1-2011,FALSE),0)+IFERROR(VLOOKUP($A105,WBasketball!$C:$O,J$1-2011,FALSE),0)+IFERROR(VLOOKUP($A105,WFieldHockey!$C:$O,J$1-2011,FALSE),0)+IFERROR(VLOOKUP($A105,WIceHockey!$C:$O,J$1-2011,FALSE),0)+IFERROR(VLOOKUP($A105,WLacrosse!$C:$O,J$1-2011,FALSE),0)+IFERROR(VLOOKUP($A105,WSoccer!$C:$O,J$1-2011,FALSE),0)+IFERROR(VLOOKUP($A105,WSoftball!$C:$O,J$1-2011,FALSE),0)+IFERROR(VLOOKUP($A105,WVolleyball!$C:$O,J$1-2011,FALSE),0)</f>
        <v>37932</v>
      </c>
      <c r="K105">
        <f>IFERROR(VLOOKUP($A105,MBaseball!$C:$N,K$1-2010,FALSE),0)+IFERROR(VLOOKUP($A105,MBasketball!$C:$J,K$1-2006,FALSE),0)+IFERROR(VLOOKUP($A105,MFootball!$C:$O,K$1-2011,FALSE),0)+IFERROR(VLOOKUP($A105,MIceHockey!$C:$P,K$1-2011,FALSE),0)+IFERROR(VLOOKUP($A105,MLacrosse!$C:$O,K$1-2011,FALSE),0)+IFERROR(VLOOKUP($A105,MSoccer!$C:$O,K$1-2011,FALSE),0)+IFERROR(VLOOKUP($A105,MVolleyball!$C:$O,K$1-2011,FALSE),0)+IFERROR(VLOOKUP($A105,WBasketball!$C:$O,K$1-2011,FALSE),0)+IFERROR(VLOOKUP($A105,WFieldHockey!$C:$O,K$1-2011,FALSE),0)+IFERROR(VLOOKUP($A105,WIceHockey!$C:$O,K$1-2011,FALSE),0)+IFERROR(VLOOKUP($A105,WLacrosse!$C:$O,K$1-2011,FALSE),0)+IFERROR(VLOOKUP($A105,WSoccer!$C:$O,K$1-2011,FALSE),0)+IFERROR(VLOOKUP($A105,WSoftball!$C:$O,K$1-2011,FALSE),0)+IFERROR(VLOOKUP($A105,WVolleyball!$C:$O,K$1-2011,FALSE),0)</f>
        <v>24540</v>
      </c>
      <c r="L105">
        <f>IFERROR(VLOOKUP($A105,MBaseball!$C:$N,L$1-2010,FALSE),0)+IFERROR(VLOOKUP($A105,MBasketball!$C:$J,L$1-2006,FALSE),0)+IFERROR(VLOOKUP($A105,MFootball!$C:$O,L$1-2011,FALSE),0)+IFERROR(VLOOKUP($A105,MIceHockey!$C:$P,L$1-2011,FALSE),0)+IFERROR(VLOOKUP($A105,MLacrosse!$C:$O,L$1-2011,FALSE),0)+IFERROR(VLOOKUP($A105,MSoccer!$C:$O,L$1-2011,FALSE),0)+IFERROR(VLOOKUP($A105,MVolleyball!$C:$O,L$1-2011,FALSE),0)+IFERROR(VLOOKUP($A105,WBasketball!$C:$O,L$1-2011,FALSE),0)+IFERROR(VLOOKUP($A105,WFieldHockey!$C:$O,L$1-2011,FALSE),0)+IFERROR(VLOOKUP($A105,WIceHockey!$C:$O,L$1-2011,FALSE),0)+IFERROR(VLOOKUP($A105,WLacrosse!$C:$O,L$1-2011,FALSE),0)+IFERROR(VLOOKUP($A105,WSoccer!$C:$O,L$1-2011,FALSE),0)+IFERROR(VLOOKUP($A105,WSoftball!$C:$O,L$1-2011,FALSE),0)+IFERROR(VLOOKUP($A105,WVolleyball!$C:$O,L$1-2011,FALSE),0)</f>
        <v>3879</v>
      </c>
      <c r="M105">
        <f>IFERROR(VLOOKUP($A105,MBaseball!$C:$N,M$1-2010,FALSE),0)+IFERROR(VLOOKUP($A105,MBasketball!$C:$J,M$1-2006,FALSE),0)+IFERROR(VLOOKUP($A105,MFootball!$C:$O,M$1-2011,FALSE),0)+IFERROR(VLOOKUP($A105,MIceHockey!$C:$P,M$1-2011,FALSE),0)+IFERROR(VLOOKUP($A105,MLacrosse!$C:$O,M$1-2011,FALSE),0)+IFERROR(VLOOKUP($A105,MSoccer!$C:$O,M$1-2011,FALSE),0)+IFERROR(VLOOKUP($A105,MVolleyball!$C:$O,M$1-2011,FALSE),0)+IFERROR(VLOOKUP($A105,WBasketball!$C:$O,M$1-2011,FALSE),0)+IFERROR(VLOOKUP($A105,WFieldHockey!$C:$O,M$1-2011,FALSE),0)+IFERROR(VLOOKUP($A105,WIceHockey!$C:$O,M$1-2011,FALSE),0)+IFERROR(VLOOKUP($A105,WLacrosse!$C:$O,M$1-2011,FALSE),0)+IFERROR(VLOOKUP($A105,WSoccer!$C:$O,M$1-2011,FALSE),0)+IFERROR(VLOOKUP($A105,WSoftball!$C:$O,M$1-2011,FALSE),0)+IFERROR(VLOOKUP($A105,WVolleyball!$C:$O,M$1-2011,FALSE),0)</f>
        <v>12703</v>
      </c>
      <c r="N105">
        <f>IFERROR(VLOOKUP($A105,MBaseball!$C:$N,N$1-2010,FALSE),0)+IFERROR(VLOOKUP($A105,MBasketball!$C:$J,N$1-2006,FALSE),0)+IFERROR(VLOOKUP($A105,MFootball!$C:$O,N$1-2011,FALSE),0)+IFERROR(VLOOKUP($A105,MIceHockey!$C:$P,N$1-2011,FALSE),0)+IFERROR(VLOOKUP($A105,MLacrosse!$C:$O,N$1-2011,FALSE),0)+IFERROR(VLOOKUP($A105,MSoccer!$C:$O,N$1-2011,FALSE),0)+IFERROR(VLOOKUP($A105,MVolleyball!$C:$O,N$1-2011,FALSE),0)+IFERROR(VLOOKUP($A105,WBasketball!$C:$O,N$1-2011,FALSE),0)+IFERROR(VLOOKUP($A105,WFieldHockey!$C:$O,N$1-2011,FALSE),0)+IFERROR(VLOOKUP($A105,WIceHockey!$C:$O,N$1-2011,FALSE),0)+IFERROR(VLOOKUP($A105,WLacrosse!$C:$O,N$1-2011,FALSE),0)+IFERROR(VLOOKUP($A105,WSoccer!$C:$O,N$1-2011,FALSE),0)+IFERROR(VLOOKUP($A105,WSoftball!$C:$O,N$1-2011,FALSE),0)+IFERROR(VLOOKUP($A105,WVolleyball!$C:$O,N$1-2011,FALSE),0)</f>
        <v>11709</v>
      </c>
    </row>
    <row r="106" spans="1:14" x14ac:dyDescent="0.2">
      <c r="A106">
        <v>199148</v>
      </c>
      <c r="B106">
        <v>24660</v>
      </c>
      <c r="C106" t="s">
        <v>163</v>
      </c>
      <c r="D106">
        <v>105</v>
      </c>
      <c r="E106">
        <f>IFERROR(VLOOKUP($A106,MBaseball!$C:$N,E$1-2010,FALSE),0)+IFERROR(VLOOKUP($A106,MBasketball!$C:$J,E$1-2006,FALSE),0)+IFERROR(VLOOKUP($A106,MFootball!$C:$O,E$1-2011,FALSE),0)+IFERROR(VLOOKUP($A106,MIceHockey!$C:$P,E$1-2011,FALSE),0)+IFERROR(VLOOKUP($A106,MLacrosse!$C:$O,E$1-2011,FALSE),0)+IFERROR(VLOOKUP($A106,MSoccer!$C:$O,E$1-2011,FALSE),0)+IFERROR(VLOOKUP($A106,MVolleyball!$C:$O,E$1-2011,FALSE),0)+IFERROR(VLOOKUP($A106,WBasketball!$C:$O,E$1-2011,FALSE),0)+IFERROR(VLOOKUP($A106,WFieldHockey!$C:$O,E$1-2011,FALSE),0)+IFERROR(VLOOKUP($A106,WIceHockey!$C:$O,E$1-2011,FALSE),0)+IFERROR(VLOOKUP($A106,WLacrosse!$C:$O,E$1-2011,FALSE),0)+IFERROR(VLOOKUP($A106,WSoccer!$C:$O,E$1-2011,FALSE),0)+IFERROR(VLOOKUP($A106,WSoftball!$C:$O,E$1-2011,FALSE),0)+IFERROR(VLOOKUP($A106,WVolleyball!$C:$O,E$1-2011,FALSE),0)</f>
        <v>91909</v>
      </c>
      <c r="F106">
        <f>IFERROR(VLOOKUP($A106,MBaseball!$C:$N,F$1-2010,FALSE),0)+IFERROR(VLOOKUP($A106,MBasketball!$C:$J,F$1-2006,FALSE),0)+IFERROR(VLOOKUP($A106,MFootball!$C:$O,F$1-2011,FALSE),0)+IFERROR(VLOOKUP($A106,MIceHockey!$C:$P,F$1-2011,FALSE),0)+IFERROR(VLOOKUP($A106,MLacrosse!$C:$O,F$1-2011,FALSE),0)+IFERROR(VLOOKUP($A106,MSoccer!$C:$O,F$1-2011,FALSE),0)+IFERROR(VLOOKUP($A106,MVolleyball!$C:$O,F$1-2011,FALSE),0)+IFERROR(VLOOKUP($A106,WBasketball!$C:$O,F$1-2011,FALSE),0)+IFERROR(VLOOKUP($A106,WFieldHockey!$C:$O,F$1-2011,FALSE),0)+IFERROR(VLOOKUP($A106,WIceHockey!$C:$O,F$1-2011,FALSE),0)+IFERROR(VLOOKUP($A106,WLacrosse!$C:$O,F$1-2011,FALSE),0)+IFERROR(VLOOKUP($A106,WSoccer!$C:$O,F$1-2011,FALSE),0)+IFERROR(VLOOKUP($A106,WSoftball!$C:$O,F$1-2011,FALSE),0)+IFERROR(VLOOKUP($A106,WVolleyball!$C:$O,F$1-2011,FALSE),0)</f>
        <v>36253</v>
      </c>
      <c r="G106">
        <f>IFERROR(VLOOKUP($A106,MBaseball!$C:$N,G$1-2010,FALSE),0)+IFERROR(VLOOKUP($A106,MBasketball!$C:$J,G$1-2006,FALSE),0)+IFERROR(VLOOKUP($A106,MFootball!$C:$O,G$1-2011,FALSE),0)+IFERROR(VLOOKUP($A106,MIceHockey!$C:$P,G$1-2011,FALSE),0)+IFERROR(VLOOKUP($A106,MLacrosse!$C:$O,G$1-2011,FALSE),0)+IFERROR(VLOOKUP($A106,MSoccer!$C:$O,G$1-2011,FALSE),0)+IFERROR(VLOOKUP($A106,MVolleyball!$C:$O,G$1-2011,FALSE),0)+IFERROR(VLOOKUP($A106,WBasketball!$C:$O,G$1-2011,FALSE),0)+IFERROR(VLOOKUP($A106,WFieldHockey!$C:$O,G$1-2011,FALSE),0)+IFERROR(VLOOKUP($A106,WIceHockey!$C:$O,G$1-2011,FALSE),0)+IFERROR(VLOOKUP($A106,WLacrosse!$C:$O,G$1-2011,FALSE),0)+IFERROR(VLOOKUP($A106,WSoccer!$C:$O,G$1-2011,FALSE),0)+IFERROR(VLOOKUP($A106,WSoftball!$C:$O,G$1-2011,FALSE),0)+IFERROR(VLOOKUP($A106,WVolleyball!$C:$O,G$1-2011,FALSE),0)</f>
        <v>45831</v>
      </c>
      <c r="H106">
        <f>IFERROR(VLOOKUP($A106,MBaseball!$C:$N,H$1-2010,FALSE),0)+IFERROR(VLOOKUP($A106,MBasketball!$C:$J,H$1-2006,FALSE),0)+IFERROR(VLOOKUP($A106,MFootball!$C:$O,H$1-2011,FALSE),0)+IFERROR(VLOOKUP($A106,MIceHockey!$C:$P,H$1-2011,FALSE),0)+IFERROR(VLOOKUP($A106,MLacrosse!$C:$O,H$1-2011,FALSE),0)+IFERROR(VLOOKUP($A106,MSoccer!$C:$O,H$1-2011,FALSE),0)+IFERROR(VLOOKUP($A106,MVolleyball!$C:$O,H$1-2011,FALSE),0)+IFERROR(VLOOKUP($A106,WBasketball!$C:$O,H$1-2011,FALSE),0)+IFERROR(VLOOKUP($A106,WFieldHockey!$C:$O,H$1-2011,FALSE),0)+IFERROR(VLOOKUP($A106,WIceHockey!$C:$O,H$1-2011,FALSE),0)+IFERROR(VLOOKUP($A106,WLacrosse!$C:$O,H$1-2011,FALSE),0)+IFERROR(VLOOKUP($A106,WSoccer!$C:$O,H$1-2011,FALSE),0)+IFERROR(VLOOKUP($A106,WSoftball!$C:$O,H$1-2011,FALSE),0)+IFERROR(VLOOKUP($A106,WVolleyball!$C:$O,H$1-2011,FALSE),0)</f>
        <v>46199</v>
      </c>
      <c r="I106">
        <f>IFERROR(VLOOKUP($A106,MBaseball!$C:$N,I$1-2010,FALSE),0)+IFERROR(VLOOKUP($A106,MBasketball!$C:$J,I$1-2006,FALSE),0)+IFERROR(VLOOKUP($A106,MFootball!$C:$O,I$1-2011,FALSE),0)+IFERROR(VLOOKUP($A106,MIceHockey!$C:$P,I$1-2011,FALSE),0)+IFERROR(VLOOKUP($A106,MLacrosse!$C:$O,I$1-2011,FALSE),0)+IFERROR(VLOOKUP($A106,MSoccer!$C:$O,I$1-2011,FALSE),0)+IFERROR(VLOOKUP($A106,MVolleyball!$C:$O,I$1-2011,FALSE),0)+IFERROR(VLOOKUP($A106,WBasketball!$C:$O,I$1-2011,FALSE),0)+IFERROR(VLOOKUP($A106,WFieldHockey!$C:$O,I$1-2011,FALSE),0)+IFERROR(VLOOKUP($A106,WIceHockey!$C:$O,I$1-2011,FALSE),0)+IFERROR(VLOOKUP($A106,WLacrosse!$C:$O,I$1-2011,FALSE),0)+IFERROR(VLOOKUP($A106,WSoccer!$C:$O,I$1-2011,FALSE),0)+IFERROR(VLOOKUP($A106,WSoftball!$C:$O,I$1-2011,FALSE),0)+IFERROR(VLOOKUP($A106,WVolleyball!$C:$O,I$1-2011,FALSE),0)</f>
        <v>50266</v>
      </c>
      <c r="J106">
        <f>IFERROR(VLOOKUP($A106,MBaseball!$C:$N,J$1-2010,FALSE),0)+IFERROR(VLOOKUP($A106,MBasketball!$C:$J,J$1-2006,FALSE),0)+IFERROR(VLOOKUP($A106,MFootball!$C:$O,J$1-2011,FALSE),0)+IFERROR(VLOOKUP($A106,MIceHockey!$C:$P,J$1-2011,FALSE),0)+IFERROR(VLOOKUP($A106,MLacrosse!$C:$O,J$1-2011,FALSE),0)+IFERROR(VLOOKUP($A106,MSoccer!$C:$O,J$1-2011,FALSE),0)+IFERROR(VLOOKUP($A106,MVolleyball!$C:$O,J$1-2011,FALSE),0)+IFERROR(VLOOKUP($A106,WBasketball!$C:$O,J$1-2011,FALSE),0)+IFERROR(VLOOKUP($A106,WFieldHockey!$C:$O,J$1-2011,FALSE),0)+IFERROR(VLOOKUP($A106,WIceHockey!$C:$O,J$1-2011,FALSE),0)+IFERROR(VLOOKUP($A106,WLacrosse!$C:$O,J$1-2011,FALSE),0)+IFERROR(VLOOKUP($A106,WSoccer!$C:$O,J$1-2011,FALSE),0)+IFERROR(VLOOKUP($A106,WSoftball!$C:$O,J$1-2011,FALSE),0)+IFERROR(VLOOKUP($A106,WVolleyball!$C:$O,J$1-2011,FALSE),0)</f>
        <v>25396</v>
      </c>
      <c r="K106">
        <f>IFERROR(VLOOKUP($A106,MBaseball!$C:$N,K$1-2010,FALSE),0)+IFERROR(VLOOKUP($A106,MBasketball!$C:$J,K$1-2006,FALSE),0)+IFERROR(VLOOKUP($A106,MFootball!$C:$O,K$1-2011,FALSE),0)+IFERROR(VLOOKUP($A106,MIceHockey!$C:$P,K$1-2011,FALSE),0)+IFERROR(VLOOKUP($A106,MLacrosse!$C:$O,K$1-2011,FALSE),0)+IFERROR(VLOOKUP($A106,MSoccer!$C:$O,K$1-2011,FALSE),0)+IFERROR(VLOOKUP($A106,MVolleyball!$C:$O,K$1-2011,FALSE),0)+IFERROR(VLOOKUP($A106,WBasketball!$C:$O,K$1-2011,FALSE),0)+IFERROR(VLOOKUP($A106,WFieldHockey!$C:$O,K$1-2011,FALSE),0)+IFERROR(VLOOKUP($A106,WIceHockey!$C:$O,K$1-2011,FALSE),0)+IFERROR(VLOOKUP($A106,WLacrosse!$C:$O,K$1-2011,FALSE),0)+IFERROR(VLOOKUP($A106,WSoccer!$C:$O,K$1-2011,FALSE),0)+IFERROR(VLOOKUP($A106,WSoftball!$C:$O,K$1-2011,FALSE),0)+IFERROR(VLOOKUP($A106,WVolleyball!$C:$O,K$1-2011,FALSE),0)</f>
        <v>22346</v>
      </c>
      <c r="L106">
        <f>IFERROR(VLOOKUP($A106,MBaseball!$C:$N,L$1-2010,FALSE),0)+IFERROR(VLOOKUP($A106,MBasketball!$C:$J,L$1-2006,FALSE),0)+IFERROR(VLOOKUP($A106,MFootball!$C:$O,L$1-2011,FALSE),0)+IFERROR(VLOOKUP($A106,MIceHockey!$C:$P,L$1-2011,FALSE),0)+IFERROR(VLOOKUP($A106,MLacrosse!$C:$O,L$1-2011,FALSE),0)+IFERROR(VLOOKUP($A106,MSoccer!$C:$O,L$1-2011,FALSE),0)+IFERROR(VLOOKUP($A106,MVolleyball!$C:$O,L$1-2011,FALSE),0)+IFERROR(VLOOKUP($A106,WBasketball!$C:$O,L$1-2011,FALSE),0)+IFERROR(VLOOKUP($A106,WFieldHockey!$C:$O,L$1-2011,FALSE),0)+IFERROR(VLOOKUP($A106,WIceHockey!$C:$O,L$1-2011,FALSE),0)+IFERROR(VLOOKUP($A106,WLacrosse!$C:$O,L$1-2011,FALSE),0)+IFERROR(VLOOKUP($A106,WSoccer!$C:$O,L$1-2011,FALSE),0)+IFERROR(VLOOKUP($A106,WSoftball!$C:$O,L$1-2011,FALSE),0)+IFERROR(VLOOKUP($A106,WVolleyball!$C:$O,L$1-2011,FALSE),0)</f>
        <v>14307</v>
      </c>
      <c r="M106">
        <f>IFERROR(VLOOKUP($A106,MBaseball!$C:$N,M$1-2010,FALSE),0)+IFERROR(VLOOKUP($A106,MBasketball!$C:$J,M$1-2006,FALSE),0)+IFERROR(VLOOKUP($A106,MFootball!$C:$O,M$1-2011,FALSE),0)+IFERROR(VLOOKUP($A106,MIceHockey!$C:$P,M$1-2011,FALSE),0)+IFERROR(VLOOKUP($A106,MLacrosse!$C:$O,M$1-2011,FALSE),0)+IFERROR(VLOOKUP($A106,MSoccer!$C:$O,M$1-2011,FALSE),0)+IFERROR(VLOOKUP($A106,MVolleyball!$C:$O,M$1-2011,FALSE),0)+IFERROR(VLOOKUP($A106,WBasketball!$C:$O,M$1-2011,FALSE),0)+IFERROR(VLOOKUP($A106,WFieldHockey!$C:$O,M$1-2011,FALSE),0)+IFERROR(VLOOKUP($A106,WIceHockey!$C:$O,M$1-2011,FALSE),0)+IFERROR(VLOOKUP($A106,WLacrosse!$C:$O,M$1-2011,FALSE),0)+IFERROR(VLOOKUP($A106,WSoccer!$C:$O,M$1-2011,FALSE),0)+IFERROR(VLOOKUP($A106,WSoftball!$C:$O,M$1-2011,FALSE),0)+IFERROR(VLOOKUP($A106,WVolleyball!$C:$O,M$1-2011,FALSE),0)</f>
        <v>36353</v>
      </c>
      <c r="N106">
        <f>IFERROR(VLOOKUP($A106,MBaseball!$C:$N,N$1-2010,FALSE),0)+IFERROR(VLOOKUP($A106,MBasketball!$C:$J,N$1-2006,FALSE),0)+IFERROR(VLOOKUP($A106,MFootball!$C:$O,N$1-2011,FALSE),0)+IFERROR(VLOOKUP($A106,MIceHockey!$C:$P,N$1-2011,FALSE),0)+IFERROR(VLOOKUP($A106,MLacrosse!$C:$O,N$1-2011,FALSE),0)+IFERROR(VLOOKUP($A106,MSoccer!$C:$O,N$1-2011,FALSE),0)+IFERROR(VLOOKUP($A106,MVolleyball!$C:$O,N$1-2011,FALSE),0)+IFERROR(VLOOKUP($A106,WBasketball!$C:$O,N$1-2011,FALSE),0)+IFERROR(VLOOKUP($A106,WFieldHockey!$C:$O,N$1-2011,FALSE),0)+IFERROR(VLOOKUP($A106,WIceHockey!$C:$O,N$1-2011,FALSE),0)+IFERROR(VLOOKUP($A106,WLacrosse!$C:$O,N$1-2011,FALSE),0)+IFERROR(VLOOKUP($A106,WSoccer!$C:$O,N$1-2011,FALSE),0)+IFERROR(VLOOKUP($A106,WSoftball!$C:$O,N$1-2011,FALSE),0)+IFERROR(VLOOKUP($A106,WVolleyball!$C:$O,N$1-2011,FALSE),0)</f>
        <v>35733</v>
      </c>
    </row>
    <row r="107" spans="1:14" x14ac:dyDescent="0.2">
      <c r="A107">
        <v>199157</v>
      </c>
      <c r="B107">
        <v>20500</v>
      </c>
      <c r="C107" t="s">
        <v>164</v>
      </c>
      <c r="D107">
        <v>106</v>
      </c>
      <c r="E107">
        <f>IFERROR(VLOOKUP($A107,MBaseball!$C:$N,E$1-2010,FALSE),0)+IFERROR(VLOOKUP($A107,MBasketball!$C:$J,E$1-2006,FALSE),0)+IFERROR(VLOOKUP($A107,MFootball!$C:$O,E$1-2011,FALSE),0)+IFERROR(VLOOKUP($A107,MIceHockey!$C:$P,E$1-2011,FALSE),0)+IFERROR(VLOOKUP($A107,MLacrosse!$C:$O,E$1-2011,FALSE),0)+IFERROR(VLOOKUP($A107,MSoccer!$C:$O,E$1-2011,FALSE),0)+IFERROR(VLOOKUP($A107,MVolleyball!$C:$O,E$1-2011,FALSE),0)+IFERROR(VLOOKUP($A107,WBasketball!$C:$O,E$1-2011,FALSE),0)+IFERROR(VLOOKUP($A107,WFieldHockey!$C:$O,E$1-2011,FALSE),0)+IFERROR(VLOOKUP($A107,WIceHockey!$C:$O,E$1-2011,FALSE),0)+IFERROR(VLOOKUP($A107,WLacrosse!$C:$O,E$1-2011,FALSE),0)+IFERROR(VLOOKUP($A107,WSoccer!$C:$O,E$1-2011,FALSE),0)+IFERROR(VLOOKUP($A107,WSoftball!$C:$O,E$1-2011,FALSE),0)+IFERROR(VLOOKUP($A107,WVolleyball!$C:$O,E$1-2011,FALSE),0)</f>
        <v>32338</v>
      </c>
      <c r="F107">
        <f>IFERROR(VLOOKUP($A107,MBaseball!$C:$N,F$1-2010,FALSE),0)+IFERROR(VLOOKUP($A107,MBasketball!$C:$J,F$1-2006,FALSE),0)+IFERROR(VLOOKUP($A107,MFootball!$C:$O,F$1-2011,FALSE),0)+IFERROR(VLOOKUP($A107,MIceHockey!$C:$P,F$1-2011,FALSE),0)+IFERROR(VLOOKUP($A107,MLacrosse!$C:$O,F$1-2011,FALSE),0)+IFERROR(VLOOKUP($A107,MSoccer!$C:$O,F$1-2011,FALSE),0)+IFERROR(VLOOKUP($A107,MVolleyball!$C:$O,F$1-2011,FALSE),0)+IFERROR(VLOOKUP($A107,WBasketball!$C:$O,F$1-2011,FALSE),0)+IFERROR(VLOOKUP($A107,WFieldHockey!$C:$O,F$1-2011,FALSE),0)+IFERROR(VLOOKUP($A107,WIceHockey!$C:$O,F$1-2011,FALSE),0)+IFERROR(VLOOKUP($A107,WLacrosse!$C:$O,F$1-2011,FALSE),0)+IFERROR(VLOOKUP($A107,WSoccer!$C:$O,F$1-2011,FALSE),0)+IFERROR(VLOOKUP($A107,WSoftball!$C:$O,F$1-2011,FALSE),0)+IFERROR(VLOOKUP($A107,WVolleyball!$C:$O,F$1-2011,FALSE),0)</f>
        <v>64455</v>
      </c>
      <c r="G107">
        <f>IFERROR(VLOOKUP($A107,MBaseball!$C:$N,G$1-2010,FALSE),0)+IFERROR(VLOOKUP($A107,MBasketball!$C:$J,G$1-2006,FALSE),0)+IFERROR(VLOOKUP($A107,MFootball!$C:$O,G$1-2011,FALSE),0)+IFERROR(VLOOKUP($A107,MIceHockey!$C:$P,G$1-2011,FALSE),0)+IFERROR(VLOOKUP($A107,MLacrosse!$C:$O,G$1-2011,FALSE),0)+IFERROR(VLOOKUP($A107,MSoccer!$C:$O,G$1-2011,FALSE),0)+IFERROR(VLOOKUP($A107,MVolleyball!$C:$O,G$1-2011,FALSE),0)+IFERROR(VLOOKUP($A107,WBasketball!$C:$O,G$1-2011,FALSE),0)+IFERROR(VLOOKUP($A107,WFieldHockey!$C:$O,G$1-2011,FALSE),0)+IFERROR(VLOOKUP($A107,WIceHockey!$C:$O,G$1-2011,FALSE),0)+IFERROR(VLOOKUP($A107,WLacrosse!$C:$O,G$1-2011,FALSE),0)+IFERROR(VLOOKUP($A107,WSoccer!$C:$O,G$1-2011,FALSE),0)+IFERROR(VLOOKUP($A107,WSoftball!$C:$O,G$1-2011,FALSE),0)+IFERROR(VLOOKUP($A107,WVolleyball!$C:$O,G$1-2011,FALSE),0)</f>
        <v>44015</v>
      </c>
      <c r="H107">
        <f>IFERROR(VLOOKUP($A107,MBaseball!$C:$N,H$1-2010,FALSE),0)+IFERROR(VLOOKUP($A107,MBasketball!$C:$J,H$1-2006,FALSE),0)+IFERROR(VLOOKUP($A107,MFootball!$C:$O,H$1-2011,FALSE),0)+IFERROR(VLOOKUP($A107,MIceHockey!$C:$P,H$1-2011,FALSE),0)+IFERROR(VLOOKUP($A107,MLacrosse!$C:$O,H$1-2011,FALSE),0)+IFERROR(VLOOKUP($A107,MSoccer!$C:$O,H$1-2011,FALSE),0)+IFERROR(VLOOKUP($A107,MVolleyball!$C:$O,H$1-2011,FALSE),0)+IFERROR(VLOOKUP($A107,WBasketball!$C:$O,H$1-2011,FALSE),0)+IFERROR(VLOOKUP($A107,WFieldHockey!$C:$O,H$1-2011,FALSE),0)+IFERROR(VLOOKUP($A107,WIceHockey!$C:$O,H$1-2011,FALSE),0)+IFERROR(VLOOKUP($A107,WLacrosse!$C:$O,H$1-2011,FALSE),0)+IFERROR(VLOOKUP($A107,WSoccer!$C:$O,H$1-2011,FALSE),0)+IFERROR(VLOOKUP($A107,WSoftball!$C:$O,H$1-2011,FALSE),0)+IFERROR(VLOOKUP($A107,WVolleyball!$C:$O,H$1-2011,FALSE),0)</f>
        <v>57204</v>
      </c>
      <c r="I107">
        <f>IFERROR(VLOOKUP($A107,MBaseball!$C:$N,I$1-2010,FALSE),0)+IFERROR(VLOOKUP($A107,MBasketball!$C:$J,I$1-2006,FALSE),0)+IFERROR(VLOOKUP($A107,MFootball!$C:$O,I$1-2011,FALSE),0)+IFERROR(VLOOKUP($A107,MIceHockey!$C:$P,I$1-2011,FALSE),0)+IFERROR(VLOOKUP($A107,MLacrosse!$C:$O,I$1-2011,FALSE),0)+IFERROR(VLOOKUP($A107,MSoccer!$C:$O,I$1-2011,FALSE),0)+IFERROR(VLOOKUP($A107,MVolleyball!$C:$O,I$1-2011,FALSE),0)+IFERROR(VLOOKUP($A107,WBasketball!$C:$O,I$1-2011,FALSE),0)+IFERROR(VLOOKUP($A107,WFieldHockey!$C:$O,I$1-2011,FALSE),0)+IFERROR(VLOOKUP($A107,WIceHockey!$C:$O,I$1-2011,FALSE),0)+IFERROR(VLOOKUP($A107,WLacrosse!$C:$O,I$1-2011,FALSE),0)+IFERROR(VLOOKUP($A107,WSoccer!$C:$O,I$1-2011,FALSE),0)+IFERROR(VLOOKUP($A107,WSoftball!$C:$O,I$1-2011,FALSE),0)+IFERROR(VLOOKUP($A107,WVolleyball!$C:$O,I$1-2011,FALSE),0)</f>
        <v>64829</v>
      </c>
      <c r="J107">
        <f>IFERROR(VLOOKUP($A107,MBaseball!$C:$N,J$1-2010,FALSE),0)+IFERROR(VLOOKUP($A107,MBasketball!$C:$J,J$1-2006,FALSE),0)+IFERROR(VLOOKUP($A107,MFootball!$C:$O,J$1-2011,FALSE),0)+IFERROR(VLOOKUP($A107,MIceHockey!$C:$P,J$1-2011,FALSE),0)+IFERROR(VLOOKUP($A107,MLacrosse!$C:$O,J$1-2011,FALSE),0)+IFERROR(VLOOKUP($A107,MSoccer!$C:$O,J$1-2011,FALSE),0)+IFERROR(VLOOKUP($A107,MVolleyball!$C:$O,J$1-2011,FALSE),0)+IFERROR(VLOOKUP($A107,WBasketball!$C:$O,J$1-2011,FALSE),0)+IFERROR(VLOOKUP($A107,WFieldHockey!$C:$O,J$1-2011,FALSE),0)+IFERROR(VLOOKUP($A107,WIceHockey!$C:$O,J$1-2011,FALSE),0)+IFERROR(VLOOKUP($A107,WLacrosse!$C:$O,J$1-2011,FALSE),0)+IFERROR(VLOOKUP($A107,WSoccer!$C:$O,J$1-2011,FALSE),0)+IFERROR(VLOOKUP($A107,WSoftball!$C:$O,J$1-2011,FALSE),0)+IFERROR(VLOOKUP($A107,WVolleyball!$C:$O,J$1-2011,FALSE),0)</f>
        <v>59505</v>
      </c>
      <c r="K107">
        <f>IFERROR(VLOOKUP($A107,MBaseball!$C:$N,K$1-2010,FALSE),0)+IFERROR(VLOOKUP($A107,MBasketball!$C:$J,K$1-2006,FALSE),0)+IFERROR(VLOOKUP($A107,MFootball!$C:$O,K$1-2011,FALSE),0)+IFERROR(VLOOKUP($A107,MIceHockey!$C:$P,K$1-2011,FALSE),0)+IFERROR(VLOOKUP($A107,MLacrosse!$C:$O,K$1-2011,FALSE),0)+IFERROR(VLOOKUP($A107,MSoccer!$C:$O,K$1-2011,FALSE),0)+IFERROR(VLOOKUP($A107,MVolleyball!$C:$O,K$1-2011,FALSE),0)+IFERROR(VLOOKUP($A107,WBasketball!$C:$O,K$1-2011,FALSE),0)+IFERROR(VLOOKUP($A107,WFieldHockey!$C:$O,K$1-2011,FALSE),0)+IFERROR(VLOOKUP($A107,WIceHockey!$C:$O,K$1-2011,FALSE),0)+IFERROR(VLOOKUP($A107,WLacrosse!$C:$O,K$1-2011,FALSE),0)+IFERROR(VLOOKUP($A107,WSoccer!$C:$O,K$1-2011,FALSE),0)+IFERROR(VLOOKUP($A107,WSoftball!$C:$O,K$1-2011,FALSE),0)+IFERROR(VLOOKUP($A107,WVolleyball!$C:$O,K$1-2011,FALSE),0)</f>
        <v>44274</v>
      </c>
      <c r="L107">
        <f>IFERROR(VLOOKUP($A107,MBaseball!$C:$N,L$1-2010,FALSE),0)+IFERROR(VLOOKUP($A107,MBasketball!$C:$J,L$1-2006,FALSE),0)+IFERROR(VLOOKUP($A107,MFootball!$C:$O,L$1-2011,FALSE),0)+IFERROR(VLOOKUP($A107,MIceHockey!$C:$P,L$1-2011,FALSE),0)+IFERROR(VLOOKUP($A107,MLacrosse!$C:$O,L$1-2011,FALSE),0)+IFERROR(VLOOKUP($A107,MSoccer!$C:$O,L$1-2011,FALSE),0)+IFERROR(VLOOKUP($A107,MVolleyball!$C:$O,L$1-2011,FALSE),0)+IFERROR(VLOOKUP($A107,WBasketball!$C:$O,L$1-2011,FALSE),0)+IFERROR(VLOOKUP($A107,WFieldHockey!$C:$O,L$1-2011,FALSE),0)+IFERROR(VLOOKUP($A107,WIceHockey!$C:$O,L$1-2011,FALSE),0)+IFERROR(VLOOKUP($A107,WLacrosse!$C:$O,L$1-2011,FALSE),0)+IFERROR(VLOOKUP($A107,WSoccer!$C:$O,L$1-2011,FALSE),0)+IFERROR(VLOOKUP($A107,WSoftball!$C:$O,L$1-2011,FALSE),0)+IFERROR(VLOOKUP($A107,WVolleyball!$C:$O,L$1-2011,FALSE),0)</f>
        <v>691</v>
      </c>
      <c r="M107">
        <f>IFERROR(VLOOKUP($A107,MBaseball!$C:$N,M$1-2010,FALSE),0)+IFERROR(VLOOKUP($A107,MBasketball!$C:$J,M$1-2006,FALSE),0)+IFERROR(VLOOKUP($A107,MFootball!$C:$O,M$1-2011,FALSE),0)+IFERROR(VLOOKUP($A107,MIceHockey!$C:$P,M$1-2011,FALSE),0)+IFERROR(VLOOKUP($A107,MLacrosse!$C:$O,M$1-2011,FALSE),0)+IFERROR(VLOOKUP($A107,MSoccer!$C:$O,M$1-2011,FALSE),0)+IFERROR(VLOOKUP($A107,MVolleyball!$C:$O,M$1-2011,FALSE),0)+IFERROR(VLOOKUP($A107,WBasketball!$C:$O,M$1-2011,FALSE),0)+IFERROR(VLOOKUP($A107,WFieldHockey!$C:$O,M$1-2011,FALSE),0)+IFERROR(VLOOKUP($A107,WIceHockey!$C:$O,M$1-2011,FALSE),0)+IFERROR(VLOOKUP($A107,WLacrosse!$C:$O,M$1-2011,FALSE),0)+IFERROR(VLOOKUP($A107,WSoccer!$C:$O,M$1-2011,FALSE),0)+IFERROR(VLOOKUP($A107,WSoftball!$C:$O,M$1-2011,FALSE),0)+IFERROR(VLOOKUP($A107,WVolleyball!$C:$O,M$1-2011,FALSE),0)</f>
        <v>46209</v>
      </c>
      <c r="N107">
        <f>IFERROR(VLOOKUP($A107,MBaseball!$C:$N,N$1-2010,FALSE),0)+IFERROR(VLOOKUP($A107,MBasketball!$C:$J,N$1-2006,FALSE),0)+IFERROR(VLOOKUP($A107,MFootball!$C:$O,N$1-2011,FALSE),0)+IFERROR(VLOOKUP($A107,MIceHockey!$C:$P,N$1-2011,FALSE),0)+IFERROR(VLOOKUP($A107,MLacrosse!$C:$O,N$1-2011,FALSE),0)+IFERROR(VLOOKUP($A107,MSoccer!$C:$O,N$1-2011,FALSE),0)+IFERROR(VLOOKUP($A107,MVolleyball!$C:$O,N$1-2011,FALSE),0)+IFERROR(VLOOKUP($A107,WBasketball!$C:$O,N$1-2011,FALSE),0)+IFERROR(VLOOKUP($A107,WFieldHockey!$C:$O,N$1-2011,FALSE),0)+IFERROR(VLOOKUP($A107,WIceHockey!$C:$O,N$1-2011,FALSE),0)+IFERROR(VLOOKUP($A107,WLacrosse!$C:$O,N$1-2011,FALSE),0)+IFERROR(VLOOKUP($A107,WSoccer!$C:$O,N$1-2011,FALSE),0)+IFERROR(VLOOKUP($A107,WSoftball!$C:$O,N$1-2011,FALSE),0)+IFERROR(VLOOKUP($A107,WVolleyball!$C:$O,N$1-2011,FALSE),0)</f>
        <v>49935</v>
      </c>
    </row>
    <row r="108" spans="1:14" x14ac:dyDescent="0.2">
      <c r="A108">
        <v>199193</v>
      </c>
      <c r="B108">
        <v>39580</v>
      </c>
      <c r="C108" t="s">
        <v>165</v>
      </c>
      <c r="D108">
        <v>107</v>
      </c>
      <c r="E108">
        <f>IFERROR(VLOOKUP($A108,MBaseball!$C:$N,E$1-2010,FALSE),0)+IFERROR(VLOOKUP($A108,MBasketball!$C:$J,E$1-2006,FALSE),0)+IFERROR(VLOOKUP($A108,MFootball!$C:$O,E$1-2011,FALSE),0)+IFERROR(VLOOKUP($A108,MIceHockey!$C:$P,E$1-2011,FALSE),0)+IFERROR(VLOOKUP($A108,MLacrosse!$C:$O,E$1-2011,FALSE),0)+IFERROR(VLOOKUP($A108,MSoccer!$C:$O,E$1-2011,FALSE),0)+IFERROR(VLOOKUP($A108,MVolleyball!$C:$O,E$1-2011,FALSE),0)+IFERROR(VLOOKUP($A108,WBasketball!$C:$O,E$1-2011,FALSE),0)+IFERROR(VLOOKUP($A108,WFieldHockey!$C:$O,E$1-2011,FALSE),0)+IFERROR(VLOOKUP($A108,WIceHockey!$C:$O,E$1-2011,FALSE),0)+IFERROR(VLOOKUP($A108,WLacrosse!$C:$O,E$1-2011,FALSE),0)+IFERROR(VLOOKUP($A108,WSoccer!$C:$O,E$1-2011,FALSE),0)+IFERROR(VLOOKUP($A108,WSoftball!$C:$O,E$1-2011,FALSE),0)+IFERROR(VLOOKUP($A108,WVolleyball!$C:$O,E$1-2011,FALSE),0)</f>
        <v>402594</v>
      </c>
      <c r="F108">
        <f>IFERROR(VLOOKUP($A108,MBaseball!$C:$N,F$1-2010,FALSE),0)+IFERROR(VLOOKUP($A108,MBasketball!$C:$J,F$1-2006,FALSE),0)+IFERROR(VLOOKUP($A108,MFootball!$C:$O,F$1-2011,FALSE),0)+IFERROR(VLOOKUP($A108,MIceHockey!$C:$P,F$1-2011,FALSE),0)+IFERROR(VLOOKUP($A108,MLacrosse!$C:$O,F$1-2011,FALSE),0)+IFERROR(VLOOKUP($A108,MSoccer!$C:$O,F$1-2011,FALSE),0)+IFERROR(VLOOKUP($A108,MVolleyball!$C:$O,F$1-2011,FALSE),0)+IFERROR(VLOOKUP($A108,WBasketball!$C:$O,F$1-2011,FALSE),0)+IFERROR(VLOOKUP($A108,WFieldHockey!$C:$O,F$1-2011,FALSE),0)+IFERROR(VLOOKUP($A108,WIceHockey!$C:$O,F$1-2011,FALSE),0)+IFERROR(VLOOKUP($A108,WLacrosse!$C:$O,F$1-2011,FALSE),0)+IFERROR(VLOOKUP($A108,WSoccer!$C:$O,F$1-2011,FALSE),0)+IFERROR(VLOOKUP($A108,WSoftball!$C:$O,F$1-2011,FALSE),0)+IFERROR(VLOOKUP($A108,WVolleyball!$C:$O,F$1-2011,FALSE),0)</f>
        <v>496705</v>
      </c>
      <c r="G108">
        <f>IFERROR(VLOOKUP($A108,MBaseball!$C:$N,G$1-2010,FALSE),0)+IFERROR(VLOOKUP($A108,MBasketball!$C:$J,G$1-2006,FALSE),0)+IFERROR(VLOOKUP($A108,MFootball!$C:$O,G$1-2011,FALSE),0)+IFERROR(VLOOKUP($A108,MIceHockey!$C:$P,G$1-2011,FALSE),0)+IFERROR(VLOOKUP($A108,MLacrosse!$C:$O,G$1-2011,FALSE),0)+IFERROR(VLOOKUP($A108,MSoccer!$C:$O,G$1-2011,FALSE),0)+IFERROR(VLOOKUP($A108,MVolleyball!$C:$O,G$1-2011,FALSE),0)+IFERROR(VLOOKUP($A108,WBasketball!$C:$O,G$1-2011,FALSE),0)+IFERROR(VLOOKUP($A108,WFieldHockey!$C:$O,G$1-2011,FALSE),0)+IFERROR(VLOOKUP($A108,WIceHockey!$C:$O,G$1-2011,FALSE),0)+IFERROR(VLOOKUP($A108,WLacrosse!$C:$O,G$1-2011,FALSE),0)+IFERROR(VLOOKUP($A108,WSoccer!$C:$O,G$1-2011,FALSE),0)+IFERROR(VLOOKUP($A108,WSoftball!$C:$O,G$1-2011,FALSE),0)+IFERROR(VLOOKUP($A108,WVolleyball!$C:$O,G$1-2011,FALSE),0)</f>
        <v>475353</v>
      </c>
      <c r="H108">
        <f>IFERROR(VLOOKUP($A108,MBaseball!$C:$N,H$1-2010,FALSE),0)+IFERROR(VLOOKUP($A108,MBasketball!$C:$J,H$1-2006,FALSE),0)+IFERROR(VLOOKUP($A108,MFootball!$C:$O,H$1-2011,FALSE),0)+IFERROR(VLOOKUP($A108,MIceHockey!$C:$P,H$1-2011,FALSE),0)+IFERROR(VLOOKUP($A108,MLacrosse!$C:$O,H$1-2011,FALSE),0)+IFERROR(VLOOKUP($A108,MSoccer!$C:$O,H$1-2011,FALSE),0)+IFERROR(VLOOKUP($A108,MVolleyball!$C:$O,H$1-2011,FALSE),0)+IFERROR(VLOOKUP($A108,WBasketball!$C:$O,H$1-2011,FALSE),0)+IFERROR(VLOOKUP($A108,WFieldHockey!$C:$O,H$1-2011,FALSE),0)+IFERROR(VLOOKUP($A108,WIceHockey!$C:$O,H$1-2011,FALSE),0)+IFERROR(VLOOKUP($A108,WLacrosse!$C:$O,H$1-2011,FALSE),0)+IFERROR(VLOOKUP($A108,WSoccer!$C:$O,H$1-2011,FALSE),0)+IFERROR(VLOOKUP($A108,WSoftball!$C:$O,H$1-2011,FALSE),0)+IFERROR(VLOOKUP($A108,WVolleyball!$C:$O,H$1-2011,FALSE),0)</f>
        <v>588581</v>
      </c>
      <c r="I108">
        <f>IFERROR(VLOOKUP($A108,MBaseball!$C:$N,I$1-2010,FALSE),0)+IFERROR(VLOOKUP($A108,MBasketball!$C:$J,I$1-2006,FALSE),0)+IFERROR(VLOOKUP($A108,MFootball!$C:$O,I$1-2011,FALSE),0)+IFERROR(VLOOKUP($A108,MIceHockey!$C:$P,I$1-2011,FALSE),0)+IFERROR(VLOOKUP($A108,MLacrosse!$C:$O,I$1-2011,FALSE),0)+IFERROR(VLOOKUP($A108,MSoccer!$C:$O,I$1-2011,FALSE),0)+IFERROR(VLOOKUP($A108,MVolleyball!$C:$O,I$1-2011,FALSE),0)+IFERROR(VLOOKUP($A108,WBasketball!$C:$O,I$1-2011,FALSE),0)+IFERROR(VLOOKUP($A108,WFieldHockey!$C:$O,I$1-2011,FALSE),0)+IFERROR(VLOOKUP($A108,WIceHockey!$C:$O,I$1-2011,FALSE),0)+IFERROR(VLOOKUP($A108,WLacrosse!$C:$O,I$1-2011,FALSE),0)+IFERROR(VLOOKUP($A108,WSoccer!$C:$O,I$1-2011,FALSE),0)+IFERROR(VLOOKUP($A108,WSoftball!$C:$O,I$1-2011,FALSE),0)+IFERROR(VLOOKUP($A108,WVolleyball!$C:$O,I$1-2011,FALSE),0)</f>
        <v>502905</v>
      </c>
      <c r="J108">
        <f>IFERROR(VLOOKUP($A108,MBaseball!$C:$N,J$1-2010,FALSE),0)+IFERROR(VLOOKUP($A108,MBasketball!$C:$J,J$1-2006,FALSE),0)+IFERROR(VLOOKUP($A108,MFootball!$C:$O,J$1-2011,FALSE),0)+IFERROR(VLOOKUP($A108,MIceHockey!$C:$P,J$1-2011,FALSE),0)+IFERROR(VLOOKUP($A108,MLacrosse!$C:$O,J$1-2011,FALSE),0)+IFERROR(VLOOKUP($A108,MSoccer!$C:$O,J$1-2011,FALSE),0)+IFERROR(VLOOKUP($A108,MVolleyball!$C:$O,J$1-2011,FALSE),0)+IFERROR(VLOOKUP($A108,WBasketball!$C:$O,J$1-2011,FALSE),0)+IFERROR(VLOOKUP($A108,WFieldHockey!$C:$O,J$1-2011,FALSE),0)+IFERROR(VLOOKUP($A108,WIceHockey!$C:$O,J$1-2011,FALSE),0)+IFERROR(VLOOKUP($A108,WLacrosse!$C:$O,J$1-2011,FALSE),0)+IFERROR(VLOOKUP($A108,WSoccer!$C:$O,J$1-2011,FALSE),0)+IFERROR(VLOOKUP($A108,WSoftball!$C:$O,J$1-2011,FALSE),0)+IFERROR(VLOOKUP($A108,WVolleyball!$C:$O,J$1-2011,FALSE),0)</f>
        <v>527043</v>
      </c>
      <c r="K108">
        <f>IFERROR(VLOOKUP($A108,MBaseball!$C:$N,K$1-2010,FALSE),0)+IFERROR(VLOOKUP($A108,MBasketball!$C:$J,K$1-2006,FALSE),0)+IFERROR(VLOOKUP($A108,MFootball!$C:$O,K$1-2011,FALSE),0)+IFERROR(VLOOKUP($A108,MIceHockey!$C:$P,K$1-2011,FALSE),0)+IFERROR(VLOOKUP($A108,MLacrosse!$C:$O,K$1-2011,FALSE),0)+IFERROR(VLOOKUP($A108,MSoccer!$C:$O,K$1-2011,FALSE),0)+IFERROR(VLOOKUP($A108,MVolleyball!$C:$O,K$1-2011,FALSE),0)+IFERROR(VLOOKUP($A108,WBasketball!$C:$O,K$1-2011,FALSE),0)+IFERROR(VLOOKUP($A108,WFieldHockey!$C:$O,K$1-2011,FALSE),0)+IFERROR(VLOOKUP($A108,WIceHockey!$C:$O,K$1-2011,FALSE),0)+IFERROR(VLOOKUP($A108,WLacrosse!$C:$O,K$1-2011,FALSE),0)+IFERROR(VLOOKUP($A108,WSoccer!$C:$O,K$1-2011,FALSE),0)+IFERROR(VLOOKUP($A108,WSoftball!$C:$O,K$1-2011,FALSE),0)+IFERROR(VLOOKUP($A108,WVolleyball!$C:$O,K$1-2011,FALSE),0)</f>
        <v>495328</v>
      </c>
      <c r="L108">
        <f>IFERROR(VLOOKUP($A108,MBaseball!$C:$N,L$1-2010,FALSE),0)+IFERROR(VLOOKUP($A108,MBasketball!$C:$J,L$1-2006,FALSE),0)+IFERROR(VLOOKUP($A108,MFootball!$C:$O,L$1-2011,FALSE),0)+IFERROR(VLOOKUP($A108,MIceHockey!$C:$P,L$1-2011,FALSE),0)+IFERROR(VLOOKUP($A108,MLacrosse!$C:$O,L$1-2011,FALSE),0)+IFERROR(VLOOKUP($A108,MSoccer!$C:$O,L$1-2011,FALSE),0)+IFERROR(VLOOKUP($A108,MVolleyball!$C:$O,L$1-2011,FALSE),0)+IFERROR(VLOOKUP($A108,WBasketball!$C:$O,L$1-2011,FALSE),0)+IFERROR(VLOOKUP($A108,WFieldHockey!$C:$O,L$1-2011,FALSE),0)+IFERROR(VLOOKUP($A108,WIceHockey!$C:$O,L$1-2011,FALSE),0)+IFERROR(VLOOKUP($A108,WLacrosse!$C:$O,L$1-2011,FALSE),0)+IFERROR(VLOOKUP($A108,WSoccer!$C:$O,L$1-2011,FALSE),0)+IFERROR(VLOOKUP($A108,WSoftball!$C:$O,L$1-2011,FALSE),0)+IFERROR(VLOOKUP($A108,WVolleyball!$C:$O,L$1-2011,FALSE),0)</f>
        <v>109051</v>
      </c>
      <c r="M108">
        <f>IFERROR(VLOOKUP($A108,MBaseball!$C:$N,M$1-2010,FALSE),0)+IFERROR(VLOOKUP($A108,MBasketball!$C:$J,M$1-2006,FALSE),0)+IFERROR(VLOOKUP($A108,MFootball!$C:$O,M$1-2011,FALSE),0)+IFERROR(VLOOKUP($A108,MIceHockey!$C:$P,M$1-2011,FALSE),0)+IFERROR(VLOOKUP($A108,MLacrosse!$C:$O,M$1-2011,FALSE),0)+IFERROR(VLOOKUP($A108,MSoccer!$C:$O,M$1-2011,FALSE),0)+IFERROR(VLOOKUP($A108,MVolleyball!$C:$O,M$1-2011,FALSE),0)+IFERROR(VLOOKUP($A108,WBasketball!$C:$O,M$1-2011,FALSE),0)+IFERROR(VLOOKUP($A108,WFieldHockey!$C:$O,M$1-2011,FALSE),0)+IFERROR(VLOOKUP($A108,WIceHockey!$C:$O,M$1-2011,FALSE),0)+IFERROR(VLOOKUP($A108,WLacrosse!$C:$O,M$1-2011,FALSE),0)+IFERROR(VLOOKUP($A108,WSoccer!$C:$O,M$1-2011,FALSE),0)+IFERROR(VLOOKUP($A108,WSoftball!$C:$O,M$1-2011,FALSE),0)+IFERROR(VLOOKUP($A108,WVolleyball!$C:$O,M$1-2011,FALSE),0)</f>
        <v>599029</v>
      </c>
      <c r="N108">
        <f>IFERROR(VLOOKUP($A108,MBaseball!$C:$N,N$1-2010,FALSE),0)+IFERROR(VLOOKUP($A108,MBasketball!$C:$J,N$1-2006,FALSE),0)+IFERROR(VLOOKUP($A108,MFootball!$C:$O,N$1-2011,FALSE),0)+IFERROR(VLOOKUP($A108,MIceHockey!$C:$P,N$1-2011,FALSE),0)+IFERROR(VLOOKUP($A108,MLacrosse!$C:$O,N$1-2011,FALSE),0)+IFERROR(VLOOKUP($A108,MSoccer!$C:$O,N$1-2011,FALSE),0)+IFERROR(VLOOKUP($A108,MVolleyball!$C:$O,N$1-2011,FALSE),0)+IFERROR(VLOOKUP($A108,WBasketball!$C:$O,N$1-2011,FALSE),0)+IFERROR(VLOOKUP($A108,WFieldHockey!$C:$O,N$1-2011,FALSE),0)+IFERROR(VLOOKUP($A108,WIceHockey!$C:$O,N$1-2011,FALSE),0)+IFERROR(VLOOKUP($A108,WLacrosse!$C:$O,N$1-2011,FALSE),0)+IFERROR(VLOOKUP($A108,WSoccer!$C:$O,N$1-2011,FALSE),0)+IFERROR(VLOOKUP($A108,WSoftball!$C:$O,N$1-2011,FALSE),0)+IFERROR(VLOOKUP($A108,WVolleyball!$C:$O,N$1-2011,FALSE),0)</f>
        <v>517217</v>
      </c>
    </row>
    <row r="109" spans="1:14" x14ac:dyDescent="0.2">
      <c r="A109">
        <v>199218</v>
      </c>
      <c r="B109">
        <v>48900</v>
      </c>
      <c r="C109" t="s">
        <v>166</v>
      </c>
      <c r="D109">
        <v>108</v>
      </c>
      <c r="E109">
        <f>IFERROR(VLOOKUP($A109,MBaseball!$C:$N,E$1-2010,FALSE),0)+IFERROR(VLOOKUP($A109,MBasketball!$C:$J,E$1-2006,FALSE),0)+IFERROR(VLOOKUP($A109,MFootball!$C:$O,E$1-2011,FALSE),0)+IFERROR(VLOOKUP($A109,MIceHockey!$C:$P,E$1-2011,FALSE),0)+IFERROR(VLOOKUP($A109,MLacrosse!$C:$O,E$1-2011,FALSE),0)+IFERROR(VLOOKUP($A109,MSoccer!$C:$O,E$1-2011,FALSE),0)+IFERROR(VLOOKUP($A109,MVolleyball!$C:$O,E$1-2011,FALSE),0)+IFERROR(VLOOKUP($A109,WBasketball!$C:$O,E$1-2011,FALSE),0)+IFERROR(VLOOKUP($A109,WFieldHockey!$C:$O,E$1-2011,FALSE),0)+IFERROR(VLOOKUP($A109,WIceHockey!$C:$O,E$1-2011,FALSE),0)+IFERROR(VLOOKUP($A109,WLacrosse!$C:$O,E$1-2011,FALSE),0)+IFERROR(VLOOKUP($A109,WSoccer!$C:$O,E$1-2011,FALSE),0)+IFERROR(VLOOKUP($A109,WSoftball!$C:$O,E$1-2011,FALSE),0)+IFERROR(VLOOKUP($A109,WVolleyball!$C:$O,E$1-2011,FALSE),0)</f>
        <v>112955</v>
      </c>
      <c r="F109">
        <f>IFERROR(VLOOKUP($A109,MBaseball!$C:$N,F$1-2010,FALSE),0)+IFERROR(VLOOKUP($A109,MBasketball!$C:$J,F$1-2006,FALSE),0)+IFERROR(VLOOKUP($A109,MFootball!$C:$O,F$1-2011,FALSE),0)+IFERROR(VLOOKUP($A109,MIceHockey!$C:$P,F$1-2011,FALSE),0)+IFERROR(VLOOKUP($A109,MLacrosse!$C:$O,F$1-2011,FALSE),0)+IFERROR(VLOOKUP($A109,MSoccer!$C:$O,F$1-2011,FALSE),0)+IFERROR(VLOOKUP($A109,MVolleyball!$C:$O,F$1-2011,FALSE),0)+IFERROR(VLOOKUP($A109,WBasketball!$C:$O,F$1-2011,FALSE),0)+IFERROR(VLOOKUP($A109,WFieldHockey!$C:$O,F$1-2011,FALSE),0)+IFERROR(VLOOKUP($A109,WIceHockey!$C:$O,F$1-2011,FALSE),0)+IFERROR(VLOOKUP($A109,WLacrosse!$C:$O,F$1-2011,FALSE),0)+IFERROR(VLOOKUP($A109,WSoccer!$C:$O,F$1-2011,FALSE),0)+IFERROR(VLOOKUP($A109,WSoftball!$C:$O,F$1-2011,FALSE),0)+IFERROR(VLOOKUP($A109,WVolleyball!$C:$O,F$1-2011,FALSE),0)</f>
        <v>70686</v>
      </c>
      <c r="G109">
        <f>IFERROR(VLOOKUP($A109,MBaseball!$C:$N,G$1-2010,FALSE),0)+IFERROR(VLOOKUP($A109,MBasketball!$C:$J,G$1-2006,FALSE),0)+IFERROR(VLOOKUP($A109,MFootball!$C:$O,G$1-2011,FALSE),0)+IFERROR(VLOOKUP($A109,MIceHockey!$C:$P,G$1-2011,FALSE),0)+IFERROR(VLOOKUP($A109,MLacrosse!$C:$O,G$1-2011,FALSE),0)+IFERROR(VLOOKUP($A109,MSoccer!$C:$O,G$1-2011,FALSE),0)+IFERROR(VLOOKUP($A109,MVolleyball!$C:$O,G$1-2011,FALSE),0)+IFERROR(VLOOKUP($A109,WBasketball!$C:$O,G$1-2011,FALSE),0)+IFERROR(VLOOKUP($A109,WFieldHockey!$C:$O,G$1-2011,FALSE),0)+IFERROR(VLOOKUP($A109,WIceHockey!$C:$O,G$1-2011,FALSE),0)+IFERROR(VLOOKUP($A109,WLacrosse!$C:$O,G$1-2011,FALSE),0)+IFERROR(VLOOKUP($A109,WSoccer!$C:$O,G$1-2011,FALSE),0)+IFERROR(VLOOKUP($A109,WSoftball!$C:$O,G$1-2011,FALSE),0)+IFERROR(VLOOKUP($A109,WVolleyball!$C:$O,G$1-2011,FALSE),0)</f>
        <v>74748</v>
      </c>
      <c r="H109">
        <f>IFERROR(VLOOKUP($A109,MBaseball!$C:$N,H$1-2010,FALSE),0)+IFERROR(VLOOKUP($A109,MBasketball!$C:$J,H$1-2006,FALSE),0)+IFERROR(VLOOKUP($A109,MFootball!$C:$O,H$1-2011,FALSE),0)+IFERROR(VLOOKUP($A109,MIceHockey!$C:$P,H$1-2011,FALSE),0)+IFERROR(VLOOKUP($A109,MLacrosse!$C:$O,H$1-2011,FALSE),0)+IFERROR(VLOOKUP($A109,MSoccer!$C:$O,H$1-2011,FALSE),0)+IFERROR(VLOOKUP($A109,MVolleyball!$C:$O,H$1-2011,FALSE),0)+IFERROR(VLOOKUP($A109,WBasketball!$C:$O,H$1-2011,FALSE),0)+IFERROR(VLOOKUP($A109,WFieldHockey!$C:$O,H$1-2011,FALSE),0)+IFERROR(VLOOKUP($A109,WIceHockey!$C:$O,H$1-2011,FALSE),0)+IFERROR(VLOOKUP($A109,WLacrosse!$C:$O,H$1-2011,FALSE),0)+IFERROR(VLOOKUP($A109,WSoccer!$C:$O,H$1-2011,FALSE),0)+IFERROR(VLOOKUP($A109,WSoftball!$C:$O,H$1-2011,FALSE),0)+IFERROR(VLOOKUP($A109,WVolleyball!$C:$O,H$1-2011,FALSE),0)</f>
        <v>77225</v>
      </c>
      <c r="I109">
        <f>IFERROR(VLOOKUP($A109,MBaseball!$C:$N,I$1-2010,FALSE),0)+IFERROR(VLOOKUP($A109,MBasketball!$C:$J,I$1-2006,FALSE),0)+IFERROR(VLOOKUP($A109,MFootball!$C:$O,I$1-2011,FALSE),0)+IFERROR(VLOOKUP($A109,MIceHockey!$C:$P,I$1-2011,FALSE),0)+IFERROR(VLOOKUP($A109,MLacrosse!$C:$O,I$1-2011,FALSE),0)+IFERROR(VLOOKUP($A109,MSoccer!$C:$O,I$1-2011,FALSE),0)+IFERROR(VLOOKUP($A109,MVolleyball!$C:$O,I$1-2011,FALSE),0)+IFERROR(VLOOKUP($A109,WBasketball!$C:$O,I$1-2011,FALSE),0)+IFERROR(VLOOKUP($A109,WFieldHockey!$C:$O,I$1-2011,FALSE),0)+IFERROR(VLOOKUP($A109,WIceHockey!$C:$O,I$1-2011,FALSE),0)+IFERROR(VLOOKUP($A109,WLacrosse!$C:$O,I$1-2011,FALSE),0)+IFERROR(VLOOKUP($A109,WSoccer!$C:$O,I$1-2011,FALSE),0)+IFERROR(VLOOKUP($A109,WSoftball!$C:$O,I$1-2011,FALSE),0)+IFERROR(VLOOKUP($A109,WVolleyball!$C:$O,I$1-2011,FALSE),0)</f>
        <v>66942</v>
      </c>
      <c r="J109">
        <f>IFERROR(VLOOKUP($A109,MBaseball!$C:$N,J$1-2010,FALSE),0)+IFERROR(VLOOKUP($A109,MBasketball!$C:$J,J$1-2006,FALSE),0)+IFERROR(VLOOKUP($A109,MFootball!$C:$O,J$1-2011,FALSE),0)+IFERROR(VLOOKUP($A109,MIceHockey!$C:$P,J$1-2011,FALSE),0)+IFERROR(VLOOKUP($A109,MLacrosse!$C:$O,J$1-2011,FALSE),0)+IFERROR(VLOOKUP($A109,MSoccer!$C:$O,J$1-2011,FALSE),0)+IFERROR(VLOOKUP($A109,MVolleyball!$C:$O,J$1-2011,FALSE),0)+IFERROR(VLOOKUP($A109,WBasketball!$C:$O,J$1-2011,FALSE),0)+IFERROR(VLOOKUP($A109,WFieldHockey!$C:$O,J$1-2011,FALSE),0)+IFERROR(VLOOKUP($A109,WIceHockey!$C:$O,J$1-2011,FALSE),0)+IFERROR(VLOOKUP($A109,WLacrosse!$C:$O,J$1-2011,FALSE),0)+IFERROR(VLOOKUP($A109,WSoccer!$C:$O,J$1-2011,FALSE),0)+IFERROR(VLOOKUP($A109,WSoftball!$C:$O,J$1-2011,FALSE),0)+IFERROR(VLOOKUP($A109,WVolleyball!$C:$O,J$1-2011,FALSE),0)</f>
        <v>45082</v>
      </c>
      <c r="K109">
        <f>IFERROR(VLOOKUP($A109,MBaseball!$C:$N,K$1-2010,FALSE),0)+IFERROR(VLOOKUP($A109,MBasketball!$C:$J,K$1-2006,FALSE),0)+IFERROR(VLOOKUP($A109,MFootball!$C:$O,K$1-2011,FALSE),0)+IFERROR(VLOOKUP($A109,MIceHockey!$C:$P,K$1-2011,FALSE),0)+IFERROR(VLOOKUP($A109,MLacrosse!$C:$O,K$1-2011,FALSE),0)+IFERROR(VLOOKUP($A109,MSoccer!$C:$O,K$1-2011,FALSE),0)+IFERROR(VLOOKUP($A109,MVolleyball!$C:$O,K$1-2011,FALSE),0)+IFERROR(VLOOKUP($A109,WBasketball!$C:$O,K$1-2011,FALSE),0)+IFERROR(VLOOKUP($A109,WFieldHockey!$C:$O,K$1-2011,FALSE),0)+IFERROR(VLOOKUP($A109,WIceHockey!$C:$O,K$1-2011,FALSE),0)+IFERROR(VLOOKUP($A109,WLacrosse!$C:$O,K$1-2011,FALSE),0)+IFERROR(VLOOKUP($A109,WSoccer!$C:$O,K$1-2011,FALSE),0)+IFERROR(VLOOKUP($A109,WSoftball!$C:$O,K$1-2011,FALSE),0)+IFERROR(VLOOKUP($A109,WVolleyball!$C:$O,K$1-2011,FALSE),0)</f>
        <v>44205</v>
      </c>
      <c r="L109">
        <f>IFERROR(VLOOKUP($A109,MBaseball!$C:$N,L$1-2010,FALSE),0)+IFERROR(VLOOKUP($A109,MBasketball!$C:$J,L$1-2006,FALSE),0)+IFERROR(VLOOKUP($A109,MFootball!$C:$O,L$1-2011,FALSE),0)+IFERROR(VLOOKUP($A109,MIceHockey!$C:$P,L$1-2011,FALSE),0)+IFERROR(VLOOKUP($A109,MLacrosse!$C:$O,L$1-2011,FALSE),0)+IFERROR(VLOOKUP($A109,MSoccer!$C:$O,L$1-2011,FALSE),0)+IFERROR(VLOOKUP($A109,MVolleyball!$C:$O,L$1-2011,FALSE),0)+IFERROR(VLOOKUP($A109,WBasketball!$C:$O,L$1-2011,FALSE),0)+IFERROR(VLOOKUP($A109,WFieldHockey!$C:$O,L$1-2011,FALSE),0)+IFERROR(VLOOKUP($A109,WIceHockey!$C:$O,L$1-2011,FALSE),0)+IFERROR(VLOOKUP($A109,WLacrosse!$C:$O,L$1-2011,FALSE),0)+IFERROR(VLOOKUP($A109,WSoccer!$C:$O,L$1-2011,FALSE),0)+IFERROR(VLOOKUP($A109,WSoftball!$C:$O,L$1-2011,FALSE),0)+IFERROR(VLOOKUP($A109,WVolleyball!$C:$O,L$1-2011,FALSE),0)</f>
        <v>36711</v>
      </c>
      <c r="M109">
        <f>IFERROR(VLOOKUP($A109,MBaseball!$C:$N,M$1-2010,FALSE),0)+IFERROR(VLOOKUP($A109,MBasketball!$C:$J,M$1-2006,FALSE),0)+IFERROR(VLOOKUP($A109,MFootball!$C:$O,M$1-2011,FALSE),0)+IFERROR(VLOOKUP($A109,MIceHockey!$C:$P,M$1-2011,FALSE),0)+IFERROR(VLOOKUP($A109,MLacrosse!$C:$O,M$1-2011,FALSE),0)+IFERROR(VLOOKUP($A109,MSoccer!$C:$O,M$1-2011,FALSE),0)+IFERROR(VLOOKUP($A109,MVolleyball!$C:$O,M$1-2011,FALSE),0)+IFERROR(VLOOKUP($A109,WBasketball!$C:$O,M$1-2011,FALSE),0)+IFERROR(VLOOKUP($A109,WFieldHockey!$C:$O,M$1-2011,FALSE),0)+IFERROR(VLOOKUP($A109,WIceHockey!$C:$O,M$1-2011,FALSE),0)+IFERROR(VLOOKUP($A109,WLacrosse!$C:$O,M$1-2011,FALSE),0)+IFERROR(VLOOKUP($A109,WSoccer!$C:$O,M$1-2011,FALSE),0)+IFERROR(VLOOKUP($A109,WSoftball!$C:$O,M$1-2011,FALSE),0)+IFERROR(VLOOKUP($A109,WVolleyball!$C:$O,M$1-2011,FALSE),0)</f>
        <v>57240</v>
      </c>
      <c r="N109">
        <f>IFERROR(VLOOKUP($A109,MBaseball!$C:$N,N$1-2010,FALSE),0)+IFERROR(VLOOKUP($A109,MBasketball!$C:$J,N$1-2006,FALSE),0)+IFERROR(VLOOKUP($A109,MFootball!$C:$O,N$1-2011,FALSE),0)+IFERROR(VLOOKUP($A109,MIceHockey!$C:$P,N$1-2011,FALSE),0)+IFERROR(VLOOKUP($A109,MLacrosse!$C:$O,N$1-2011,FALSE),0)+IFERROR(VLOOKUP($A109,MSoccer!$C:$O,N$1-2011,FALSE),0)+IFERROR(VLOOKUP($A109,MVolleyball!$C:$O,N$1-2011,FALSE),0)+IFERROR(VLOOKUP($A109,WBasketball!$C:$O,N$1-2011,FALSE),0)+IFERROR(VLOOKUP($A109,WFieldHockey!$C:$O,N$1-2011,FALSE),0)+IFERROR(VLOOKUP($A109,WIceHockey!$C:$O,N$1-2011,FALSE),0)+IFERROR(VLOOKUP($A109,WLacrosse!$C:$O,N$1-2011,FALSE),0)+IFERROR(VLOOKUP($A109,WSoccer!$C:$O,N$1-2011,FALSE),0)+IFERROR(VLOOKUP($A109,WSoftball!$C:$O,N$1-2011,FALSE),0)+IFERROR(VLOOKUP($A109,WVolleyball!$C:$O,N$1-2011,FALSE),0)</f>
        <v>29648</v>
      </c>
    </row>
    <row r="110" spans="1:14" x14ac:dyDescent="0.2">
      <c r="A110">
        <v>200280</v>
      </c>
      <c r="B110">
        <v>24220</v>
      </c>
      <c r="C110" t="s">
        <v>167</v>
      </c>
      <c r="D110">
        <v>109</v>
      </c>
      <c r="E110">
        <f>IFERROR(VLOOKUP($A110,MBaseball!$C:$N,E$1-2010,FALSE),0)+IFERROR(VLOOKUP($A110,MBasketball!$C:$J,E$1-2006,FALSE),0)+IFERROR(VLOOKUP($A110,MFootball!$C:$O,E$1-2011,FALSE),0)+IFERROR(VLOOKUP($A110,MIceHockey!$C:$P,E$1-2011,FALSE),0)+IFERROR(VLOOKUP($A110,MLacrosse!$C:$O,E$1-2011,FALSE),0)+IFERROR(VLOOKUP($A110,MSoccer!$C:$O,E$1-2011,FALSE),0)+IFERROR(VLOOKUP($A110,MVolleyball!$C:$O,E$1-2011,FALSE),0)+IFERROR(VLOOKUP($A110,WBasketball!$C:$O,E$1-2011,FALSE),0)+IFERROR(VLOOKUP($A110,WFieldHockey!$C:$O,E$1-2011,FALSE),0)+IFERROR(VLOOKUP($A110,WIceHockey!$C:$O,E$1-2011,FALSE),0)+IFERROR(VLOOKUP($A110,WLacrosse!$C:$O,E$1-2011,FALSE),0)+IFERROR(VLOOKUP($A110,WSoccer!$C:$O,E$1-2011,FALSE),0)+IFERROR(VLOOKUP($A110,WSoftball!$C:$O,E$1-2011,FALSE),0)+IFERROR(VLOOKUP($A110,WVolleyball!$C:$O,E$1-2011,FALSE),0)</f>
        <v>67812</v>
      </c>
      <c r="F110">
        <f>IFERROR(VLOOKUP($A110,MBaseball!$C:$N,F$1-2010,FALSE),0)+IFERROR(VLOOKUP($A110,MBasketball!$C:$J,F$1-2006,FALSE),0)+IFERROR(VLOOKUP($A110,MFootball!$C:$O,F$1-2011,FALSE),0)+IFERROR(VLOOKUP($A110,MIceHockey!$C:$P,F$1-2011,FALSE),0)+IFERROR(VLOOKUP($A110,MLacrosse!$C:$O,F$1-2011,FALSE),0)+IFERROR(VLOOKUP($A110,MSoccer!$C:$O,F$1-2011,FALSE),0)+IFERROR(VLOOKUP($A110,MVolleyball!$C:$O,F$1-2011,FALSE),0)+IFERROR(VLOOKUP($A110,WBasketball!$C:$O,F$1-2011,FALSE),0)+IFERROR(VLOOKUP($A110,WFieldHockey!$C:$O,F$1-2011,FALSE),0)+IFERROR(VLOOKUP($A110,WIceHockey!$C:$O,F$1-2011,FALSE),0)+IFERROR(VLOOKUP($A110,WLacrosse!$C:$O,F$1-2011,FALSE),0)+IFERROR(VLOOKUP($A110,WSoccer!$C:$O,F$1-2011,FALSE),0)+IFERROR(VLOOKUP($A110,WSoftball!$C:$O,F$1-2011,FALSE),0)+IFERROR(VLOOKUP($A110,WVolleyball!$C:$O,F$1-2011,FALSE),0)</f>
        <v>361146</v>
      </c>
      <c r="G110">
        <f>IFERROR(VLOOKUP($A110,MBaseball!$C:$N,G$1-2010,FALSE),0)+IFERROR(VLOOKUP($A110,MBasketball!$C:$J,G$1-2006,FALSE),0)+IFERROR(VLOOKUP($A110,MFootball!$C:$O,G$1-2011,FALSE),0)+IFERROR(VLOOKUP($A110,MIceHockey!$C:$P,G$1-2011,FALSE),0)+IFERROR(VLOOKUP($A110,MLacrosse!$C:$O,G$1-2011,FALSE),0)+IFERROR(VLOOKUP($A110,MSoccer!$C:$O,G$1-2011,FALSE),0)+IFERROR(VLOOKUP($A110,MVolleyball!$C:$O,G$1-2011,FALSE),0)+IFERROR(VLOOKUP($A110,WBasketball!$C:$O,G$1-2011,FALSE),0)+IFERROR(VLOOKUP($A110,WFieldHockey!$C:$O,G$1-2011,FALSE),0)+IFERROR(VLOOKUP($A110,WIceHockey!$C:$O,G$1-2011,FALSE),0)+IFERROR(VLOOKUP($A110,WLacrosse!$C:$O,G$1-2011,FALSE),0)+IFERROR(VLOOKUP($A110,WSoccer!$C:$O,G$1-2011,FALSE),0)+IFERROR(VLOOKUP($A110,WSoftball!$C:$O,G$1-2011,FALSE),0)+IFERROR(VLOOKUP($A110,WVolleyball!$C:$O,G$1-2011,FALSE),0)</f>
        <v>320310</v>
      </c>
      <c r="H110">
        <f>IFERROR(VLOOKUP($A110,MBaseball!$C:$N,H$1-2010,FALSE),0)+IFERROR(VLOOKUP($A110,MBasketball!$C:$J,H$1-2006,FALSE),0)+IFERROR(VLOOKUP($A110,MFootball!$C:$O,H$1-2011,FALSE),0)+IFERROR(VLOOKUP($A110,MIceHockey!$C:$P,H$1-2011,FALSE),0)+IFERROR(VLOOKUP($A110,MLacrosse!$C:$O,H$1-2011,FALSE),0)+IFERROR(VLOOKUP($A110,MSoccer!$C:$O,H$1-2011,FALSE),0)+IFERROR(VLOOKUP($A110,MVolleyball!$C:$O,H$1-2011,FALSE),0)+IFERROR(VLOOKUP($A110,WBasketball!$C:$O,H$1-2011,FALSE),0)+IFERROR(VLOOKUP($A110,WFieldHockey!$C:$O,H$1-2011,FALSE),0)+IFERROR(VLOOKUP($A110,WIceHockey!$C:$O,H$1-2011,FALSE),0)+IFERROR(VLOOKUP($A110,WLacrosse!$C:$O,H$1-2011,FALSE),0)+IFERROR(VLOOKUP($A110,WSoccer!$C:$O,H$1-2011,FALSE),0)+IFERROR(VLOOKUP($A110,WSoftball!$C:$O,H$1-2011,FALSE),0)+IFERROR(VLOOKUP($A110,WVolleyball!$C:$O,H$1-2011,FALSE),0)</f>
        <v>362259</v>
      </c>
      <c r="I110">
        <f>IFERROR(VLOOKUP($A110,MBaseball!$C:$N,I$1-2010,FALSE),0)+IFERROR(VLOOKUP($A110,MBasketball!$C:$J,I$1-2006,FALSE),0)+IFERROR(VLOOKUP($A110,MFootball!$C:$O,I$1-2011,FALSE),0)+IFERROR(VLOOKUP($A110,MIceHockey!$C:$P,I$1-2011,FALSE),0)+IFERROR(VLOOKUP($A110,MLacrosse!$C:$O,I$1-2011,FALSE),0)+IFERROR(VLOOKUP($A110,MSoccer!$C:$O,I$1-2011,FALSE),0)+IFERROR(VLOOKUP($A110,MVolleyball!$C:$O,I$1-2011,FALSE),0)+IFERROR(VLOOKUP($A110,WBasketball!$C:$O,I$1-2011,FALSE),0)+IFERROR(VLOOKUP($A110,WFieldHockey!$C:$O,I$1-2011,FALSE),0)+IFERROR(VLOOKUP($A110,WIceHockey!$C:$O,I$1-2011,FALSE),0)+IFERROR(VLOOKUP($A110,WLacrosse!$C:$O,I$1-2011,FALSE),0)+IFERROR(VLOOKUP($A110,WSoccer!$C:$O,I$1-2011,FALSE),0)+IFERROR(VLOOKUP($A110,WSoftball!$C:$O,I$1-2011,FALSE),0)+IFERROR(VLOOKUP($A110,WVolleyball!$C:$O,I$1-2011,FALSE),0)</f>
        <v>335049</v>
      </c>
      <c r="J110">
        <f>IFERROR(VLOOKUP($A110,MBaseball!$C:$N,J$1-2010,FALSE),0)+IFERROR(VLOOKUP($A110,MBasketball!$C:$J,J$1-2006,FALSE),0)+IFERROR(VLOOKUP($A110,MFootball!$C:$O,J$1-2011,FALSE),0)+IFERROR(VLOOKUP($A110,MIceHockey!$C:$P,J$1-2011,FALSE),0)+IFERROR(VLOOKUP($A110,MLacrosse!$C:$O,J$1-2011,FALSE),0)+IFERROR(VLOOKUP($A110,MSoccer!$C:$O,J$1-2011,FALSE),0)+IFERROR(VLOOKUP($A110,MVolleyball!$C:$O,J$1-2011,FALSE),0)+IFERROR(VLOOKUP($A110,WBasketball!$C:$O,J$1-2011,FALSE),0)+IFERROR(VLOOKUP($A110,WFieldHockey!$C:$O,J$1-2011,FALSE),0)+IFERROR(VLOOKUP($A110,WIceHockey!$C:$O,J$1-2011,FALSE),0)+IFERROR(VLOOKUP($A110,WLacrosse!$C:$O,J$1-2011,FALSE),0)+IFERROR(VLOOKUP($A110,WSoccer!$C:$O,J$1-2011,FALSE),0)+IFERROR(VLOOKUP($A110,WSoftball!$C:$O,J$1-2011,FALSE),0)+IFERROR(VLOOKUP($A110,WVolleyball!$C:$O,J$1-2011,FALSE),0)</f>
        <v>291611</v>
      </c>
      <c r="K110">
        <f>IFERROR(VLOOKUP($A110,MBaseball!$C:$N,K$1-2010,FALSE),0)+IFERROR(VLOOKUP($A110,MBasketball!$C:$J,K$1-2006,FALSE),0)+IFERROR(VLOOKUP($A110,MFootball!$C:$O,K$1-2011,FALSE),0)+IFERROR(VLOOKUP($A110,MIceHockey!$C:$P,K$1-2011,FALSE),0)+IFERROR(VLOOKUP($A110,MLacrosse!$C:$O,K$1-2011,FALSE),0)+IFERROR(VLOOKUP($A110,MSoccer!$C:$O,K$1-2011,FALSE),0)+IFERROR(VLOOKUP($A110,MVolleyball!$C:$O,K$1-2011,FALSE),0)+IFERROR(VLOOKUP($A110,WBasketball!$C:$O,K$1-2011,FALSE),0)+IFERROR(VLOOKUP($A110,WFieldHockey!$C:$O,K$1-2011,FALSE),0)+IFERROR(VLOOKUP($A110,WIceHockey!$C:$O,K$1-2011,FALSE),0)+IFERROR(VLOOKUP($A110,WLacrosse!$C:$O,K$1-2011,FALSE),0)+IFERROR(VLOOKUP($A110,WSoccer!$C:$O,K$1-2011,FALSE),0)+IFERROR(VLOOKUP($A110,WSoftball!$C:$O,K$1-2011,FALSE),0)+IFERROR(VLOOKUP($A110,WVolleyball!$C:$O,K$1-2011,FALSE),0)</f>
        <v>293341</v>
      </c>
      <c r="L110">
        <f>IFERROR(VLOOKUP($A110,MBaseball!$C:$N,L$1-2010,FALSE),0)+IFERROR(VLOOKUP($A110,MBasketball!$C:$J,L$1-2006,FALSE),0)+IFERROR(VLOOKUP($A110,MFootball!$C:$O,L$1-2011,FALSE),0)+IFERROR(VLOOKUP($A110,MIceHockey!$C:$P,L$1-2011,FALSE),0)+IFERROR(VLOOKUP($A110,MLacrosse!$C:$O,L$1-2011,FALSE),0)+IFERROR(VLOOKUP($A110,MSoccer!$C:$O,L$1-2011,FALSE),0)+IFERROR(VLOOKUP($A110,MVolleyball!$C:$O,L$1-2011,FALSE),0)+IFERROR(VLOOKUP($A110,WBasketball!$C:$O,L$1-2011,FALSE),0)+IFERROR(VLOOKUP($A110,WFieldHockey!$C:$O,L$1-2011,FALSE),0)+IFERROR(VLOOKUP($A110,WIceHockey!$C:$O,L$1-2011,FALSE),0)+IFERROR(VLOOKUP($A110,WLacrosse!$C:$O,L$1-2011,FALSE),0)+IFERROR(VLOOKUP($A110,WSoccer!$C:$O,L$1-2011,FALSE),0)+IFERROR(VLOOKUP($A110,WSoftball!$C:$O,L$1-2011,FALSE),0)+IFERROR(VLOOKUP($A110,WVolleyball!$C:$O,L$1-2011,FALSE),0)</f>
        <v>22463</v>
      </c>
      <c r="M110">
        <f>IFERROR(VLOOKUP($A110,MBaseball!$C:$N,M$1-2010,FALSE),0)+IFERROR(VLOOKUP($A110,MBasketball!$C:$J,M$1-2006,FALSE),0)+IFERROR(VLOOKUP($A110,MFootball!$C:$O,M$1-2011,FALSE),0)+IFERROR(VLOOKUP($A110,MIceHockey!$C:$P,M$1-2011,FALSE),0)+IFERROR(VLOOKUP($A110,MLacrosse!$C:$O,M$1-2011,FALSE),0)+IFERROR(VLOOKUP($A110,MSoccer!$C:$O,M$1-2011,FALSE),0)+IFERROR(VLOOKUP($A110,MVolleyball!$C:$O,M$1-2011,FALSE),0)+IFERROR(VLOOKUP($A110,WBasketball!$C:$O,M$1-2011,FALSE),0)+IFERROR(VLOOKUP($A110,WFieldHockey!$C:$O,M$1-2011,FALSE),0)+IFERROR(VLOOKUP($A110,WIceHockey!$C:$O,M$1-2011,FALSE),0)+IFERROR(VLOOKUP($A110,WLacrosse!$C:$O,M$1-2011,FALSE),0)+IFERROR(VLOOKUP($A110,WSoccer!$C:$O,M$1-2011,FALSE),0)+IFERROR(VLOOKUP($A110,WSoftball!$C:$O,M$1-2011,FALSE),0)+IFERROR(VLOOKUP($A110,WVolleyball!$C:$O,M$1-2011,FALSE),0)</f>
        <v>307916</v>
      </c>
      <c r="N110">
        <f>IFERROR(VLOOKUP($A110,MBaseball!$C:$N,N$1-2010,FALSE),0)+IFERROR(VLOOKUP($A110,MBasketball!$C:$J,N$1-2006,FALSE),0)+IFERROR(VLOOKUP($A110,MFootball!$C:$O,N$1-2011,FALSE),0)+IFERROR(VLOOKUP($A110,MIceHockey!$C:$P,N$1-2011,FALSE),0)+IFERROR(VLOOKUP($A110,MLacrosse!$C:$O,N$1-2011,FALSE),0)+IFERROR(VLOOKUP($A110,MSoccer!$C:$O,N$1-2011,FALSE),0)+IFERROR(VLOOKUP($A110,MVolleyball!$C:$O,N$1-2011,FALSE),0)+IFERROR(VLOOKUP($A110,WBasketball!$C:$O,N$1-2011,FALSE),0)+IFERROR(VLOOKUP($A110,WFieldHockey!$C:$O,N$1-2011,FALSE),0)+IFERROR(VLOOKUP($A110,WIceHockey!$C:$O,N$1-2011,FALSE),0)+IFERROR(VLOOKUP($A110,WLacrosse!$C:$O,N$1-2011,FALSE),0)+IFERROR(VLOOKUP($A110,WSoccer!$C:$O,N$1-2011,FALSE),0)+IFERROR(VLOOKUP($A110,WSoftball!$C:$O,N$1-2011,FALSE),0)+IFERROR(VLOOKUP($A110,WVolleyball!$C:$O,N$1-2011,FALSE),0)</f>
        <v>293707</v>
      </c>
    </row>
    <row r="111" spans="1:14" x14ac:dyDescent="0.2">
      <c r="A111">
        <v>200332</v>
      </c>
      <c r="B111">
        <v>22020</v>
      </c>
      <c r="C111" t="s">
        <v>168</v>
      </c>
      <c r="D111">
        <v>110</v>
      </c>
      <c r="E111">
        <f>IFERROR(VLOOKUP($A111,MBaseball!$C:$N,E$1-2010,FALSE),0)+IFERROR(VLOOKUP($A111,MBasketball!$C:$J,E$1-2006,FALSE),0)+IFERROR(VLOOKUP($A111,MFootball!$C:$O,E$1-2011,FALSE),0)+IFERROR(VLOOKUP($A111,MIceHockey!$C:$P,E$1-2011,FALSE),0)+IFERROR(VLOOKUP($A111,MLacrosse!$C:$O,E$1-2011,FALSE),0)+IFERROR(VLOOKUP($A111,MSoccer!$C:$O,E$1-2011,FALSE),0)+IFERROR(VLOOKUP($A111,MVolleyball!$C:$O,E$1-2011,FALSE),0)+IFERROR(VLOOKUP($A111,WBasketball!$C:$O,E$1-2011,FALSE),0)+IFERROR(VLOOKUP($A111,WFieldHockey!$C:$O,E$1-2011,FALSE),0)+IFERROR(VLOOKUP($A111,WIceHockey!$C:$O,E$1-2011,FALSE),0)+IFERROR(VLOOKUP($A111,WLacrosse!$C:$O,E$1-2011,FALSE),0)+IFERROR(VLOOKUP($A111,WSoccer!$C:$O,E$1-2011,FALSE),0)+IFERROR(VLOOKUP($A111,WSoftball!$C:$O,E$1-2011,FALSE),0)+IFERROR(VLOOKUP($A111,WVolleyball!$C:$O,E$1-2011,FALSE),0)</f>
        <v>51136</v>
      </c>
      <c r="F111">
        <f>IFERROR(VLOOKUP($A111,MBaseball!$C:$N,F$1-2010,FALSE),0)+IFERROR(VLOOKUP($A111,MBasketball!$C:$J,F$1-2006,FALSE),0)+IFERROR(VLOOKUP($A111,MFootball!$C:$O,F$1-2011,FALSE),0)+IFERROR(VLOOKUP($A111,MIceHockey!$C:$P,F$1-2011,FALSE),0)+IFERROR(VLOOKUP($A111,MLacrosse!$C:$O,F$1-2011,FALSE),0)+IFERROR(VLOOKUP($A111,MSoccer!$C:$O,F$1-2011,FALSE),0)+IFERROR(VLOOKUP($A111,MVolleyball!$C:$O,F$1-2011,FALSE),0)+IFERROR(VLOOKUP($A111,WBasketball!$C:$O,F$1-2011,FALSE),0)+IFERROR(VLOOKUP($A111,WFieldHockey!$C:$O,F$1-2011,FALSE),0)+IFERROR(VLOOKUP($A111,WIceHockey!$C:$O,F$1-2011,FALSE),0)+IFERROR(VLOOKUP($A111,WLacrosse!$C:$O,F$1-2011,FALSE),0)+IFERROR(VLOOKUP($A111,WSoccer!$C:$O,F$1-2011,FALSE),0)+IFERROR(VLOOKUP($A111,WSoftball!$C:$O,F$1-2011,FALSE),0)+IFERROR(VLOOKUP($A111,WVolleyball!$C:$O,F$1-2011,FALSE),0)</f>
        <v>190323</v>
      </c>
      <c r="G111">
        <f>IFERROR(VLOOKUP($A111,MBaseball!$C:$N,G$1-2010,FALSE),0)+IFERROR(VLOOKUP($A111,MBasketball!$C:$J,G$1-2006,FALSE),0)+IFERROR(VLOOKUP($A111,MFootball!$C:$O,G$1-2011,FALSE),0)+IFERROR(VLOOKUP($A111,MIceHockey!$C:$P,G$1-2011,FALSE),0)+IFERROR(VLOOKUP($A111,MLacrosse!$C:$O,G$1-2011,FALSE),0)+IFERROR(VLOOKUP($A111,MSoccer!$C:$O,G$1-2011,FALSE),0)+IFERROR(VLOOKUP($A111,MVolleyball!$C:$O,G$1-2011,FALSE),0)+IFERROR(VLOOKUP($A111,WBasketball!$C:$O,G$1-2011,FALSE),0)+IFERROR(VLOOKUP($A111,WFieldHockey!$C:$O,G$1-2011,FALSE),0)+IFERROR(VLOOKUP($A111,WIceHockey!$C:$O,G$1-2011,FALSE),0)+IFERROR(VLOOKUP($A111,WLacrosse!$C:$O,G$1-2011,FALSE),0)+IFERROR(VLOOKUP($A111,WSoccer!$C:$O,G$1-2011,FALSE),0)+IFERROR(VLOOKUP($A111,WSoftball!$C:$O,G$1-2011,FALSE),0)+IFERROR(VLOOKUP($A111,WVolleyball!$C:$O,G$1-2011,FALSE),0)</f>
        <v>193365</v>
      </c>
      <c r="H111">
        <f>IFERROR(VLOOKUP($A111,MBaseball!$C:$N,H$1-2010,FALSE),0)+IFERROR(VLOOKUP($A111,MBasketball!$C:$J,H$1-2006,FALSE),0)+IFERROR(VLOOKUP($A111,MFootball!$C:$O,H$1-2011,FALSE),0)+IFERROR(VLOOKUP($A111,MIceHockey!$C:$P,H$1-2011,FALSE),0)+IFERROR(VLOOKUP($A111,MLacrosse!$C:$O,H$1-2011,FALSE),0)+IFERROR(VLOOKUP($A111,MSoccer!$C:$O,H$1-2011,FALSE),0)+IFERROR(VLOOKUP($A111,MVolleyball!$C:$O,H$1-2011,FALSE),0)+IFERROR(VLOOKUP($A111,WBasketball!$C:$O,H$1-2011,FALSE),0)+IFERROR(VLOOKUP($A111,WFieldHockey!$C:$O,H$1-2011,FALSE),0)+IFERROR(VLOOKUP($A111,WIceHockey!$C:$O,H$1-2011,FALSE),0)+IFERROR(VLOOKUP($A111,WLacrosse!$C:$O,H$1-2011,FALSE),0)+IFERROR(VLOOKUP($A111,WSoccer!$C:$O,H$1-2011,FALSE),0)+IFERROR(VLOOKUP($A111,WSoftball!$C:$O,H$1-2011,FALSE),0)+IFERROR(VLOOKUP($A111,WVolleyball!$C:$O,H$1-2011,FALSE),0)</f>
        <v>193830</v>
      </c>
      <c r="I111">
        <f>IFERROR(VLOOKUP($A111,MBaseball!$C:$N,I$1-2010,FALSE),0)+IFERROR(VLOOKUP($A111,MBasketball!$C:$J,I$1-2006,FALSE),0)+IFERROR(VLOOKUP($A111,MFootball!$C:$O,I$1-2011,FALSE),0)+IFERROR(VLOOKUP($A111,MIceHockey!$C:$P,I$1-2011,FALSE),0)+IFERROR(VLOOKUP($A111,MLacrosse!$C:$O,I$1-2011,FALSE),0)+IFERROR(VLOOKUP($A111,MSoccer!$C:$O,I$1-2011,FALSE),0)+IFERROR(VLOOKUP($A111,MVolleyball!$C:$O,I$1-2011,FALSE),0)+IFERROR(VLOOKUP($A111,WBasketball!$C:$O,I$1-2011,FALSE),0)+IFERROR(VLOOKUP($A111,WFieldHockey!$C:$O,I$1-2011,FALSE),0)+IFERROR(VLOOKUP($A111,WIceHockey!$C:$O,I$1-2011,FALSE),0)+IFERROR(VLOOKUP($A111,WLacrosse!$C:$O,I$1-2011,FALSE),0)+IFERROR(VLOOKUP($A111,WSoccer!$C:$O,I$1-2011,FALSE),0)+IFERROR(VLOOKUP($A111,WSoftball!$C:$O,I$1-2011,FALSE),0)+IFERROR(VLOOKUP($A111,WVolleyball!$C:$O,I$1-2011,FALSE),0)</f>
        <v>193710</v>
      </c>
      <c r="J111">
        <f>IFERROR(VLOOKUP($A111,MBaseball!$C:$N,J$1-2010,FALSE),0)+IFERROR(VLOOKUP($A111,MBasketball!$C:$J,J$1-2006,FALSE),0)+IFERROR(VLOOKUP($A111,MFootball!$C:$O,J$1-2011,FALSE),0)+IFERROR(VLOOKUP($A111,MIceHockey!$C:$P,J$1-2011,FALSE),0)+IFERROR(VLOOKUP($A111,MLacrosse!$C:$O,J$1-2011,FALSE),0)+IFERROR(VLOOKUP($A111,MSoccer!$C:$O,J$1-2011,FALSE),0)+IFERROR(VLOOKUP($A111,MVolleyball!$C:$O,J$1-2011,FALSE),0)+IFERROR(VLOOKUP($A111,WBasketball!$C:$O,J$1-2011,FALSE),0)+IFERROR(VLOOKUP($A111,WFieldHockey!$C:$O,J$1-2011,FALSE),0)+IFERROR(VLOOKUP($A111,WIceHockey!$C:$O,J$1-2011,FALSE),0)+IFERROR(VLOOKUP($A111,WLacrosse!$C:$O,J$1-2011,FALSE),0)+IFERROR(VLOOKUP($A111,WSoccer!$C:$O,J$1-2011,FALSE),0)+IFERROR(VLOOKUP($A111,WSoftball!$C:$O,J$1-2011,FALSE),0)+IFERROR(VLOOKUP($A111,WVolleyball!$C:$O,J$1-2011,FALSE),0)</f>
        <v>203248</v>
      </c>
      <c r="K111">
        <f>IFERROR(VLOOKUP($A111,MBaseball!$C:$N,K$1-2010,FALSE),0)+IFERROR(VLOOKUP($A111,MBasketball!$C:$J,K$1-2006,FALSE),0)+IFERROR(VLOOKUP($A111,MFootball!$C:$O,K$1-2011,FALSE),0)+IFERROR(VLOOKUP($A111,MIceHockey!$C:$P,K$1-2011,FALSE),0)+IFERROR(VLOOKUP($A111,MLacrosse!$C:$O,K$1-2011,FALSE),0)+IFERROR(VLOOKUP($A111,MSoccer!$C:$O,K$1-2011,FALSE),0)+IFERROR(VLOOKUP($A111,MVolleyball!$C:$O,K$1-2011,FALSE),0)+IFERROR(VLOOKUP($A111,WBasketball!$C:$O,K$1-2011,FALSE),0)+IFERROR(VLOOKUP($A111,WFieldHockey!$C:$O,K$1-2011,FALSE),0)+IFERROR(VLOOKUP($A111,WIceHockey!$C:$O,K$1-2011,FALSE),0)+IFERROR(VLOOKUP($A111,WLacrosse!$C:$O,K$1-2011,FALSE),0)+IFERROR(VLOOKUP($A111,WSoccer!$C:$O,K$1-2011,FALSE),0)+IFERROR(VLOOKUP($A111,WSoftball!$C:$O,K$1-2011,FALSE),0)+IFERROR(VLOOKUP($A111,WVolleyball!$C:$O,K$1-2011,FALSE),0)</f>
        <v>181936</v>
      </c>
      <c r="L111">
        <f>IFERROR(VLOOKUP($A111,MBaseball!$C:$N,L$1-2010,FALSE),0)+IFERROR(VLOOKUP($A111,MBasketball!$C:$J,L$1-2006,FALSE),0)+IFERROR(VLOOKUP($A111,MFootball!$C:$O,L$1-2011,FALSE),0)+IFERROR(VLOOKUP($A111,MIceHockey!$C:$P,L$1-2011,FALSE),0)+IFERROR(VLOOKUP($A111,MLacrosse!$C:$O,L$1-2011,FALSE),0)+IFERROR(VLOOKUP($A111,MSoccer!$C:$O,L$1-2011,FALSE),0)+IFERROR(VLOOKUP($A111,MVolleyball!$C:$O,L$1-2011,FALSE),0)+IFERROR(VLOOKUP($A111,WBasketball!$C:$O,L$1-2011,FALSE),0)+IFERROR(VLOOKUP($A111,WFieldHockey!$C:$O,L$1-2011,FALSE),0)+IFERROR(VLOOKUP($A111,WIceHockey!$C:$O,L$1-2011,FALSE),0)+IFERROR(VLOOKUP($A111,WLacrosse!$C:$O,L$1-2011,FALSE),0)+IFERROR(VLOOKUP($A111,WSoccer!$C:$O,L$1-2011,FALSE),0)+IFERROR(VLOOKUP($A111,WSoftball!$C:$O,L$1-2011,FALSE),0)+IFERROR(VLOOKUP($A111,WVolleyball!$C:$O,L$1-2011,FALSE),0)</f>
        <v>48433</v>
      </c>
      <c r="M111">
        <f>IFERROR(VLOOKUP($A111,MBaseball!$C:$N,M$1-2010,FALSE),0)+IFERROR(VLOOKUP($A111,MBasketball!$C:$J,M$1-2006,FALSE),0)+IFERROR(VLOOKUP($A111,MFootball!$C:$O,M$1-2011,FALSE),0)+IFERROR(VLOOKUP($A111,MIceHockey!$C:$P,M$1-2011,FALSE),0)+IFERROR(VLOOKUP($A111,MLacrosse!$C:$O,M$1-2011,FALSE),0)+IFERROR(VLOOKUP($A111,MSoccer!$C:$O,M$1-2011,FALSE),0)+IFERROR(VLOOKUP($A111,MVolleyball!$C:$O,M$1-2011,FALSE),0)+IFERROR(VLOOKUP($A111,WBasketball!$C:$O,M$1-2011,FALSE),0)+IFERROR(VLOOKUP($A111,WFieldHockey!$C:$O,M$1-2011,FALSE),0)+IFERROR(VLOOKUP($A111,WIceHockey!$C:$O,M$1-2011,FALSE),0)+IFERROR(VLOOKUP($A111,WLacrosse!$C:$O,M$1-2011,FALSE),0)+IFERROR(VLOOKUP($A111,WSoccer!$C:$O,M$1-2011,FALSE),0)+IFERROR(VLOOKUP($A111,WSoftball!$C:$O,M$1-2011,FALSE),0)+IFERROR(VLOOKUP($A111,WVolleyball!$C:$O,M$1-2011,FALSE),0)</f>
        <v>154621</v>
      </c>
      <c r="N111">
        <f>IFERROR(VLOOKUP($A111,MBaseball!$C:$N,N$1-2010,FALSE),0)+IFERROR(VLOOKUP($A111,MBasketball!$C:$J,N$1-2006,FALSE),0)+IFERROR(VLOOKUP($A111,MFootball!$C:$O,N$1-2011,FALSE),0)+IFERROR(VLOOKUP($A111,MIceHockey!$C:$P,N$1-2011,FALSE),0)+IFERROR(VLOOKUP($A111,MLacrosse!$C:$O,N$1-2011,FALSE),0)+IFERROR(VLOOKUP($A111,MSoccer!$C:$O,N$1-2011,FALSE),0)+IFERROR(VLOOKUP($A111,MVolleyball!$C:$O,N$1-2011,FALSE),0)+IFERROR(VLOOKUP($A111,WBasketball!$C:$O,N$1-2011,FALSE),0)+IFERROR(VLOOKUP($A111,WFieldHockey!$C:$O,N$1-2011,FALSE),0)+IFERROR(VLOOKUP($A111,WIceHockey!$C:$O,N$1-2011,FALSE),0)+IFERROR(VLOOKUP($A111,WLacrosse!$C:$O,N$1-2011,FALSE),0)+IFERROR(VLOOKUP($A111,WSoccer!$C:$O,N$1-2011,FALSE),0)+IFERROR(VLOOKUP($A111,WSoftball!$C:$O,N$1-2011,FALSE),0)+IFERROR(VLOOKUP($A111,WVolleyball!$C:$O,N$1-2011,FALSE),0)</f>
        <v>161375</v>
      </c>
    </row>
    <row r="112" spans="1:14" x14ac:dyDescent="0.2">
      <c r="A112">
        <v>136172</v>
      </c>
      <c r="B112">
        <v>27260</v>
      </c>
      <c r="C112" t="s">
        <v>169</v>
      </c>
      <c r="D112">
        <v>111</v>
      </c>
      <c r="E112">
        <f>IFERROR(VLOOKUP($A112,MBaseball!$C:$N,E$1-2010,FALSE),0)+IFERROR(VLOOKUP($A112,MBasketball!$C:$J,E$1-2006,FALSE),0)+IFERROR(VLOOKUP($A112,MFootball!$C:$O,E$1-2011,FALSE),0)+IFERROR(VLOOKUP($A112,MIceHockey!$C:$P,E$1-2011,FALSE),0)+IFERROR(VLOOKUP($A112,MLacrosse!$C:$O,E$1-2011,FALSE),0)+IFERROR(VLOOKUP($A112,MSoccer!$C:$O,E$1-2011,FALSE),0)+IFERROR(VLOOKUP($A112,MVolleyball!$C:$O,E$1-2011,FALSE),0)+IFERROR(VLOOKUP($A112,WBasketball!$C:$O,E$1-2011,FALSE),0)+IFERROR(VLOOKUP($A112,WFieldHockey!$C:$O,E$1-2011,FALSE),0)+IFERROR(VLOOKUP($A112,WIceHockey!$C:$O,E$1-2011,FALSE),0)+IFERROR(VLOOKUP($A112,WLacrosse!$C:$O,E$1-2011,FALSE),0)+IFERROR(VLOOKUP($A112,WSoccer!$C:$O,E$1-2011,FALSE),0)+IFERROR(VLOOKUP($A112,WSoftball!$C:$O,E$1-2011,FALSE),0)+IFERROR(VLOOKUP($A112,WVolleyball!$C:$O,E$1-2011,FALSE),0)</f>
        <v>49899</v>
      </c>
      <c r="F112">
        <f>IFERROR(VLOOKUP($A112,MBaseball!$C:$N,F$1-2010,FALSE),0)+IFERROR(VLOOKUP($A112,MBasketball!$C:$J,F$1-2006,FALSE),0)+IFERROR(VLOOKUP($A112,MFootball!$C:$O,F$1-2011,FALSE),0)+IFERROR(VLOOKUP($A112,MIceHockey!$C:$P,F$1-2011,FALSE),0)+IFERROR(VLOOKUP($A112,MLacrosse!$C:$O,F$1-2011,FALSE),0)+IFERROR(VLOOKUP($A112,MSoccer!$C:$O,F$1-2011,FALSE),0)+IFERROR(VLOOKUP($A112,MVolleyball!$C:$O,F$1-2011,FALSE),0)+IFERROR(VLOOKUP($A112,WBasketball!$C:$O,F$1-2011,FALSE),0)+IFERROR(VLOOKUP($A112,WFieldHockey!$C:$O,F$1-2011,FALSE),0)+IFERROR(VLOOKUP($A112,WIceHockey!$C:$O,F$1-2011,FALSE),0)+IFERROR(VLOOKUP($A112,WLacrosse!$C:$O,F$1-2011,FALSE),0)+IFERROR(VLOOKUP($A112,WSoccer!$C:$O,F$1-2011,FALSE),0)+IFERROR(VLOOKUP($A112,WSoftball!$C:$O,F$1-2011,FALSE),0)+IFERROR(VLOOKUP($A112,WVolleyball!$C:$O,F$1-2011,FALSE),0)</f>
        <v>35348</v>
      </c>
      <c r="G112">
        <f>IFERROR(VLOOKUP($A112,MBaseball!$C:$N,G$1-2010,FALSE),0)+IFERROR(VLOOKUP($A112,MBasketball!$C:$J,G$1-2006,FALSE),0)+IFERROR(VLOOKUP($A112,MFootball!$C:$O,G$1-2011,FALSE),0)+IFERROR(VLOOKUP($A112,MIceHockey!$C:$P,G$1-2011,FALSE),0)+IFERROR(VLOOKUP($A112,MLacrosse!$C:$O,G$1-2011,FALSE),0)+IFERROR(VLOOKUP($A112,MSoccer!$C:$O,G$1-2011,FALSE),0)+IFERROR(VLOOKUP($A112,MVolleyball!$C:$O,G$1-2011,FALSE),0)+IFERROR(VLOOKUP($A112,WBasketball!$C:$O,G$1-2011,FALSE),0)+IFERROR(VLOOKUP($A112,WFieldHockey!$C:$O,G$1-2011,FALSE),0)+IFERROR(VLOOKUP($A112,WIceHockey!$C:$O,G$1-2011,FALSE),0)+IFERROR(VLOOKUP($A112,WLacrosse!$C:$O,G$1-2011,FALSE),0)+IFERROR(VLOOKUP($A112,WSoccer!$C:$O,G$1-2011,FALSE),0)+IFERROR(VLOOKUP($A112,WSoftball!$C:$O,G$1-2011,FALSE),0)+IFERROR(VLOOKUP($A112,WVolleyball!$C:$O,G$1-2011,FALSE),0)</f>
        <v>35299</v>
      </c>
      <c r="H112">
        <f>IFERROR(VLOOKUP($A112,MBaseball!$C:$N,H$1-2010,FALSE),0)+IFERROR(VLOOKUP($A112,MBasketball!$C:$J,H$1-2006,FALSE),0)+IFERROR(VLOOKUP($A112,MFootball!$C:$O,H$1-2011,FALSE),0)+IFERROR(VLOOKUP($A112,MIceHockey!$C:$P,H$1-2011,FALSE),0)+IFERROR(VLOOKUP($A112,MLacrosse!$C:$O,H$1-2011,FALSE),0)+IFERROR(VLOOKUP($A112,MSoccer!$C:$O,H$1-2011,FALSE),0)+IFERROR(VLOOKUP($A112,MVolleyball!$C:$O,H$1-2011,FALSE),0)+IFERROR(VLOOKUP($A112,WBasketball!$C:$O,H$1-2011,FALSE),0)+IFERROR(VLOOKUP($A112,WFieldHockey!$C:$O,H$1-2011,FALSE),0)+IFERROR(VLOOKUP($A112,WIceHockey!$C:$O,H$1-2011,FALSE),0)+IFERROR(VLOOKUP($A112,WLacrosse!$C:$O,H$1-2011,FALSE),0)+IFERROR(VLOOKUP($A112,WSoccer!$C:$O,H$1-2011,FALSE),0)+IFERROR(VLOOKUP($A112,WSoftball!$C:$O,H$1-2011,FALSE),0)+IFERROR(VLOOKUP($A112,WVolleyball!$C:$O,H$1-2011,FALSE),0)</f>
        <v>31729</v>
      </c>
      <c r="I112">
        <f>IFERROR(VLOOKUP($A112,MBaseball!$C:$N,I$1-2010,FALSE),0)+IFERROR(VLOOKUP($A112,MBasketball!$C:$J,I$1-2006,FALSE),0)+IFERROR(VLOOKUP($A112,MFootball!$C:$O,I$1-2011,FALSE),0)+IFERROR(VLOOKUP($A112,MIceHockey!$C:$P,I$1-2011,FALSE),0)+IFERROR(VLOOKUP($A112,MLacrosse!$C:$O,I$1-2011,FALSE),0)+IFERROR(VLOOKUP($A112,MSoccer!$C:$O,I$1-2011,FALSE),0)+IFERROR(VLOOKUP($A112,MVolleyball!$C:$O,I$1-2011,FALSE),0)+IFERROR(VLOOKUP($A112,WBasketball!$C:$O,I$1-2011,FALSE),0)+IFERROR(VLOOKUP($A112,WFieldHockey!$C:$O,I$1-2011,FALSE),0)+IFERROR(VLOOKUP($A112,WIceHockey!$C:$O,I$1-2011,FALSE),0)+IFERROR(VLOOKUP($A112,WLacrosse!$C:$O,I$1-2011,FALSE),0)+IFERROR(VLOOKUP($A112,WSoccer!$C:$O,I$1-2011,FALSE),0)+IFERROR(VLOOKUP($A112,WSoftball!$C:$O,I$1-2011,FALSE),0)+IFERROR(VLOOKUP($A112,WVolleyball!$C:$O,I$1-2011,FALSE),0)</f>
        <v>28988</v>
      </c>
      <c r="J112">
        <f>IFERROR(VLOOKUP($A112,MBaseball!$C:$N,J$1-2010,FALSE),0)+IFERROR(VLOOKUP($A112,MBasketball!$C:$J,J$1-2006,FALSE),0)+IFERROR(VLOOKUP($A112,MFootball!$C:$O,J$1-2011,FALSE),0)+IFERROR(VLOOKUP($A112,MIceHockey!$C:$P,J$1-2011,FALSE),0)+IFERROR(VLOOKUP($A112,MLacrosse!$C:$O,J$1-2011,FALSE),0)+IFERROR(VLOOKUP($A112,MSoccer!$C:$O,J$1-2011,FALSE),0)+IFERROR(VLOOKUP($A112,MVolleyball!$C:$O,J$1-2011,FALSE),0)+IFERROR(VLOOKUP($A112,WBasketball!$C:$O,J$1-2011,FALSE),0)+IFERROR(VLOOKUP($A112,WFieldHockey!$C:$O,J$1-2011,FALSE),0)+IFERROR(VLOOKUP($A112,WIceHockey!$C:$O,J$1-2011,FALSE),0)+IFERROR(VLOOKUP($A112,WLacrosse!$C:$O,J$1-2011,FALSE),0)+IFERROR(VLOOKUP($A112,WSoccer!$C:$O,J$1-2011,FALSE),0)+IFERROR(VLOOKUP($A112,WSoftball!$C:$O,J$1-2011,FALSE),0)+IFERROR(VLOOKUP($A112,WVolleyball!$C:$O,J$1-2011,FALSE),0)</f>
        <v>25043</v>
      </c>
      <c r="K112">
        <f>IFERROR(VLOOKUP($A112,MBaseball!$C:$N,K$1-2010,FALSE),0)+IFERROR(VLOOKUP($A112,MBasketball!$C:$J,K$1-2006,FALSE),0)+IFERROR(VLOOKUP($A112,MFootball!$C:$O,K$1-2011,FALSE),0)+IFERROR(VLOOKUP($A112,MIceHockey!$C:$P,K$1-2011,FALSE),0)+IFERROR(VLOOKUP($A112,MLacrosse!$C:$O,K$1-2011,FALSE),0)+IFERROR(VLOOKUP($A112,MSoccer!$C:$O,K$1-2011,FALSE),0)+IFERROR(VLOOKUP($A112,MVolleyball!$C:$O,K$1-2011,FALSE),0)+IFERROR(VLOOKUP($A112,WBasketball!$C:$O,K$1-2011,FALSE),0)+IFERROR(VLOOKUP($A112,WFieldHockey!$C:$O,K$1-2011,FALSE),0)+IFERROR(VLOOKUP($A112,WIceHockey!$C:$O,K$1-2011,FALSE),0)+IFERROR(VLOOKUP($A112,WLacrosse!$C:$O,K$1-2011,FALSE),0)+IFERROR(VLOOKUP($A112,WSoccer!$C:$O,K$1-2011,FALSE),0)+IFERROR(VLOOKUP($A112,WSoftball!$C:$O,K$1-2011,FALSE),0)+IFERROR(VLOOKUP($A112,WVolleyball!$C:$O,K$1-2011,FALSE),0)</f>
        <v>20248</v>
      </c>
      <c r="L112">
        <f>IFERROR(VLOOKUP($A112,MBaseball!$C:$N,L$1-2010,FALSE),0)+IFERROR(VLOOKUP($A112,MBasketball!$C:$J,L$1-2006,FALSE),0)+IFERROR(VLOOKUP($A112,MFootball!$C:$O,L$1-2011,FALSE),0)+IFERROR(VLOOKUP($A112,MIceHockey!$C:$P,L$1-2011,FALSE),0)+IFERROR(VLOOKUP($A112,MLacrosse!$C:$O,L$1-2011,FALSE),0)+IFERROR(VLOOKUP($A112,MSoccer!$C:$O,L$1-2011,FALSE),0)+IFERROR(VLOOKUP($A112,MVolleyball!$C:$O,L$1-2011,FALSE),0)+IFERROR(VLOOKUP($A112,WBasketball!$C:$O,L$1-2011,FALSE),0)+IFERROR(VLOOKUP($A112,WFieldHockey!$C:$O,L$1-2011,FALSE),0)+IFERROR(VLOOKUP($A112,WIceHockey!$C:$O,L$1-2011,FALSE),0)+IFERROR(VLOOKUP($A112,WLacrosse!$C:$O,L$1-2011,FALSE),0)+IFERROR(VLOOKUP($A112,WSoccer!$C:$O,L$1-2011,FALSE),0)+IFERROR(VLOOKUP($A112,WSoftball!$C:$O,L$1-2011,FALSE),0)+IFERROR(VLOOKUP($A112,WVolleyball!$C:$O,L$1-2011,FALSE),0)</f>
        <v>20475</v>
      </c>
      <c r="M112">
        <f>IFERROR(VLOOKUP($A112,MBaseball!$C:$N,M$1-2010,FALSE),0)+IFERROR(VLOOKUP($A112,MBasketball!$C:$J,M$1-2006,FALSE),0)+IFERROR(VLOOKUP($A112,MFootball!$C:$O,M$1-2011,FALSE),0)+IFERROR(VLOOKUP($A112,MIceHockey!$C:$P,M$1-2011,FALSE),0)+IFERROR(VLOOKUP($A112,MLacrosse!$C:$O,M$1-2011,FALSE),0)+IFERROR(VLOOKUP($A112,MSoccer!$C:$O,M$1-2011,FALSE),0)+IFERROR(VLOOKUP($A112,MVolleyball!$C:$O,M$1-2011,FALSE),0)+IFERROR(VLOOKUP($A112,WBasketball!$C:$O,M$1-2011,FALSE),0)+IFERROR(VLOOKUP($A112,WFieldHockey!$C:$O,M$1-2011,FALSE),0)+IFERROR(VLOOKUP($A112,WIceHockey!$C:$O,M$1-2011,FALSE),0)+IFERROR(VLOOKUP($A112,WLacrosse!$C:$O,M$1-2011,FALSE),0)+IFERROR(VLOOKUP($A112,WSoccer!$C:$O,M$1-2011,FALSE),0)+IFERROR(VLOOKUP($A112,WSoftball!$C:$O,M$1-2011,FALSE),0)+IFERROR(VLOOKUP($A112,WVolleyball!$C:$O,M$1-2011,FALSE),0)</f>
        <v>31603</v>
      </c>
      <c r="N112">
        <f>IFERROR(VLOOKUP($A112,MBaseball!$C:$N,N$1-2010,FALSE),0)+IFERROR(VLOOKUP($A112,MBasketball!$C:$J,N$1-2006,FALSE),0)+IFERROR(VLOOKUP($A112,MFootball!$C:$O,N$1-2011,FALSE),0)+IFERROR(VLOOKUP($A112,MIceHockey!$C:$P,N$1-2011,FALSE),0)+IFERROR(VLOOKUP($A112,MLacrosse!$C:$O,N$1-2011,FALSE),0)+IFERROR(VLOOKUP($A112,MSoccer!$C:$O,N$1-2011,FALSE),0)+IFERROR(VLOOKUP($A112,MVolleyball!$C:$O,N$1-2011,FALSE),0)+IFERROR(VLOOKUP($A112,WBasketball!$C:$O,N$1-2011,FALSE),0)+IFERROR(VLOOKUP($A112,WFieldHockey!$C:$O,N$1-2011,FALSE),0)+IFERROR(VLOOKUP($A112,WIceHockey!$C:$O,N$1-2011,FALSE),0)+IFERROR(VLOOKUP($A112,WLacrosse!$C:$O,N$1-2011,FALSE),0)+IFERROR(VLOOKUP($A112,WSoccer!$C:$O,N$1-2011,FALSE),0)+IFERROR(VLOOKUP($A112,WSoftball!$C:$O,N$1-2011,FALSE),0)+IFERROR(VLOOKUP($A112,WVolleyball!$C:$O,N$1-2011,FALSE),0)</f>
        <v>13250</v>
      </c>
    </row>
    <row r="113" spans="1:14" x14ac:dyDescent="0.2">
      <c r="A113">
        <v>227216</v>
      </c>
      <c r="B113">
        <v>19100</v>
      </c>
      <c r="C113" t="s">
        <v>170</v>
      </c>
      <c r="D113">
        <v>112</v>
      </c>
      <c r="E113">
        <f>IFERROR(VLOOKUP($A113,MBaseball!$C:$N,E$1-2010,FALSE),0)+IFERROR(VLOOKUP($A113,MBasketball!$C:$J,E$1-2006,FALSE),0)+IFERROR(VLOOKUP($A113,MFootball!$C:$O,E$1-2011,FALSE),0)+IFERROR(VLOOKUP($A113,MIceHockey!$C:$P,E$1-2011,FALSE),0)+IFERROR(VLOOKUP($A113,MLacrosse!$C:$O,E$1-2011,FALSE),0)+IFERROR(VLOOKUP($A113,MSoccer!$C:$O,E$1-2011,FALSE),0)+IFERROR(VLOOKUP($A113,MVolleyball!$C:$O,E$1-2011,FALSE),0)+IFERROR(VLOOKUP($A113,WBasketball!$C:$O,E$1-2011,FALSE),0)+IFERROR(VLOOKUP($A113,WFieldHockey!$C:$O,E$1-2011,FALSE),0)+IFERROR(VLOOKUP($A113,WIceHockey!$C:$O,E$1-2011,FALSE),0)+IFERROR(VLOOKUP($A113,WLacrosse!$C:$O,E$1-2011,FALSE),0)+IFERROR(VLOOKUP($A113,WSoccer!$C:$O,E$1-2011,FALSE),0)+IFERROR(VLOOKUP($A113,WSoftball!$C:$O,E$1-2011,FALSE),0)+IFERROR(VLOOKUP($A113,WVolleyball!$C:$O,E$1-2011,FALSE),0)</f>
        <v>78936</v>
      </c>
      <c r="F113">
        <f>IFERROR(VLOOKUP($A113,MBaseball!$C:$N,F$1-2010,FALSE),0)+IFERROR(VLOOKUP($A113,MBasketball!$C:$J,F$1-2006,FALSE),0)+IFERROR(VLOOKUP($A113,MFootball!$C:$O,F$1-2011,FALSE),0)+IFERROR(VLOOKUP($A113,MIceHockey!$C:$P,F$1-2011,FALSE),0)+IFERROR(VLOOKUP($A113,MLacrosse!$C:$O,F$1-2011,FALSE),0)+IFERROR(VLOOKUP($A113,MSoccer!$C:$O,F$1-2011,FALSE),0)+IFERROR(VLOOKUP($A113,MVolleyball!$C:$O,F$1-2011,FALSE),0)+IFERROR(VLOOKUP($A113,WBasketball!$C:$O,F$1-2011,FALSE),0)+IFERROR(VLOOKUP($A113,WFieldHockey!$C:$O,F$1-2011,FALSE),0)+IFERROR(VLOOKUP($A113,WIceHockey!$C:$O,F$1-2011,FALSE),0)+IFERROR(VLOOKUP($A113,WLacrosse!$C:$O,F$1-2011,FALSE),0)+IFERROR(VLOOKUP($A113,WSoccer!$C:$O,F$1-2011,FALSE),0)+IFERROR(VLOOKUP($A113,WSoftball!$C:$O,F$1-2011,FALSE),0)+IFERROR(VLOOKUP($A113,WVolleyball!$C:$O,F$1-2011,FALSE),0)</f>
        <v>140854</v>
      </c>
      <c r="G113">
        <f>IFERROR(VLOOKUP($A113,MBaseball!$C:$N,G$1-2010,FALSE),0)+IFERROR(VLOOKUP($A113,MBasketball!$C:$J,G$1-2006,FALSE),0)+IFERROR(VLOOKUP($A113,MFootball!$C:$O,G$1-2011,FALSE),0)+IFERROR(VLOOKUP($A113,MIceHockey!$C:$P,G$1-2011,FALSE),0)+IFERROR(VLOOKUP($A113,MLacrosse!$C:$O,G$1-2011,FALSE),0)+IFERROR(VLOOKUP($A113,MSoccer!$C:$O,G$1-2011,FALSE),0)+IFERROR(VLOOKUP($A113,MVolleyball!$C:$O,G$1-2011,FALSE),0)+IFERROR(VLOOKUP($A113,WBasketball!$C:$O,G$1-2011,FALSE),0)+IFERROR(VLOOKUP($A113,WFieldHockey!$C:$O,G$1-2011,FALSE),0)+IFERROR(VLOOKUP($A113,WIceHockey!$C:$O,G$1-2011,FALSE),0)+IFERROR(VLOOKUP($A113,WLacrosse!$C:$O,G$1-2011,FALSE),0)+IFERROR(VLOOKUP($A113,WSoccer!$C:$O,G$1-2011,FALSE),0)+IFERROR(VLOOKUP($A113,WSoftball!$C:$O,G$1-2011,FALSE),0)+IFERROR(VLOOKUP($A113,WVolleyball!$C:$O,G$1-2011,FALSE),0)</f>
        <v>90781</v>
      </c>
      <c r="H113">
        <f>IFERROR(VLOOKUP($A113,MBaseball!$C:$N,H$1-2010,FALSE),0)+IFERROR(VLOOKUP($A113,MBasketball!$C:$J,H$1-2006,FALSE),0)+IFERROR(VLOOKUP($A113,MFootball!$C:$O,H$1-2011,FALSE),0)+IFERROR(VLOOKUP($A113,MIceHockey!$C:$P,H$1-2011,FALSE),0)+IFERROR(VLOOKUP($A113,MLacrosse!$C:$O,H$1-2011,FALSE),0)+IFERROR(VLOOKUP($A113,MSoccer!$C:$O,H$1-2011,FALSE),0)+IFERROR(VLOOKUP($A113,MVolleyball!$C:$O,H$1-2011,FALSE),0)+IFERROR(VLOOKUP($A113,WBasketball!$C:$O,H$1-2011,FALSE),0)+IFERROR(VLOOKUP($A113,WFieldHockey!$C:$O,H$1-2011,FALSE),0)+IFERROR(VLOOKUP($A113,WIceHockey!$C:$O,H$1-2011,FALSE),0)+IFERROR(VLOOKUP($A113,WLacrosse!$C:$O,H$1-2011,FALSE),0)+IFERROR(VLOOKUP($A113,WSoccer!$C:$O,H$1-2011,FALSE),0)+IFERROR(VLOOKUP($A113,WSoftball!$C:$O,H$1-2011,FALSE),0)+IFERROR(VLOOKUP($A113,WVolleyball!$C:$O,H$1-2011,FALSE),0)</f>
        <v>145383</v>
      </c>
      <c r="I113">
        <f>IFERROR(VLOOKUP($A113,MBaseball!$C:$N,I$1-2010,FALSE),0)+IFERROR(VLOOKUP($A113,MBasketball!$C:$J,I$1-2006,FALSE),0)+IFERROR(VLOOKUP($A113,MFootball!$C:$O,I$1-2011,FALSE),0)+IFERROR(VLOOKUP($A113,MIceHockey!$C:$P,I$1-2011,FALSE),0)+IFERROR(VLOOKUP($A113,MLacrosse!$C:$O,I$1-2011,FALSE),0)+IFERROR(VLOOKUP($A113,MSoccer!$C:$O,I$1-2011,FALSE),0)+IFERROR(VLOOKUP($A113,MVolleyball!$C:$O,I$1-2011,FALSE),0)+IFERROR(VLOOKUP($A113,WBasketball!$C:$O,I$1-2011,FALSE),0)+IFERROR(VLOOKUP($A113,WFieldHockey!$C:$O,I$1-2011,FALSE),0)+IFERROR(VLOOKUP($A113,WIceHockey!$C:$O,I$1-2011,FALSE),0)+IFERROR(VLOOKUP($A113,WLacrosse!$C:$O,I$1-2011,FALSE),0)+IFERROR(VLOOKUP($A113,WSoccer!$C:$O,I$1-2011,FALSE),0)+IFERROR(VLOOKUP($A113,WSoftball!$C:$O,I$1-2011,FALSE),0)+IFERROR(VLOOKUP($A113,WVolleyball!$C:$O,I$1-2011,FALSE),0)</f>
        <v>167721</v>
      </c>
      <c r="J113">
        <f>IFERROR(VLOOKUP($A113,MBaseball!$C:$N,J$1-2010,FALSE),0)+IFERROR(VLOOKUP($A113,MBasketball!$C:$J,J$1-2006,FALSE),0)+IFERROR(VLOOKUP($A113,MFootball!$C:$O,J$1-2011,FALSE),0)+IFERROR(VLOOKUP($A113,MIceHockey!$C:$P,J$1-2011,FALSE),0)+IFERROR(VLOOKUP($A113,MLacrosse!$C:$O,J$1-2011,FALSE),0)+IFERROR(VLOOKUP($A113,MSoccer!$C:$O,J$1-2011,FALSE),0)+IFERROR(VLOOKUP($A113,MVolleyball!$C:$O,J$1-2011,FALSE),0)+IFERROR(VLOOKUP($A113,WBasketball!$C:$O,J$1-2011,FALSE),0)+IFERROR(VLOOKUP($A113,WFieldHockey!$C:$O,J$1-2011,FALSE),0)+IFERROR(VLOOKUP($A113,WIceHockey!$C:$O,J$1-2011,FALSE),0)+IFERROR(VLOOKUP($A113,WLacrosse!$C:$O,J$1-2011,FALSE),0)+IFERROR(VLOOKUP($A113,WSoccer!$C:$O,J$1-2011,FALSE),0)+IFERROR(VLOOKUP($A113,WSoftball!$C:$O,J$1-2011,FALSE),0)+IFERROR(VLOOKUP($A113,WVolleyball!$C:$O,J$1-2011,FALSE),0)</f>
        <v>168838</v>
      </c>
      <c r="K113">
        <f>IFERROR(VLOOKUP($A113,MBaseball!$C:$N,K$1-2010,FALSE),0)+IFERROR(VLOOKUP($A113,MBasketball!$C:$J,K$1-2006,FALSE),0)+IFERROR(VLOOKUP($A113,MFootball!$C:$O,K$1-2011,FALSE),0)+IFERROR(VLOOKUP($A113,MIceHockey!$C:$P,K$1-2011,FALSE),0)+IFERROR(VLOOKUP($A113,MLacrosse!$C:$O,K$1-2011,FALSE),0)+IFERROR(VLOOKUP($A113,MSoccer!$C:$O,K$1-2011,FALSE),0)+IFERROR(VLOOKUP($A113,MVolleyball!$C:$O,K$1-2011,FALSE),0)+IFERROR(VLOOKUP($A113,WBasketball!$C:$O,K$1-2011,FALSE),0)+IFERROR(VLOOKUP($A113,WFieldHockey!$C:$O,K$1-2011,FALSE),0)+IFERROR(VLOOKUP($A113,WIceHockey!$C:$O,K$1-2011,FALSE),0)+IFERROR(VLOOKUP($A113,WLacrosse!$C:$O,K$1-2011,FALSE),0)+IFERROR(VLOOKUP($A113,WSoccer!$C:$O,K$1-2011,FALSE),0)+IFERROR(VLOOKUP($A113,WSoftball!$C:$O,K$1-2011,FALSE),0)+IFERROR(VLOOKUP($A113,WVolleyball!$C:$O,K$1-2011,FALSE),0)</f>
        <v>157694</v>
      </c>
      <c r="L113">
        <f>IFERROR(VLOOKUP($A113,MBaseball!$C:$N,L$1-2010,FALSE),0)+IFERROR(VLOOKUP($A113,MBasketball!$C:$J,L$1-2006,FALSE),0)+IFERROR(VLOOKUP($A113,MFootball!$C:$O,L$1-2011,FALSE),0)+IFERROR(VLOOKUP($A113,MIceHockey!$C:$P,L$1-2011,FALSE),0)+IFERROR(VLOOKUP($A113,MLacrosse!$C:$O,L$1-2011,FALSE),0)+IFERROR(VLOOKUP($A113,MSoccer!$C:$O,L$1-2011,FALSE),0)+IFERROR(VLOOKUP($A113,MVolleyball!$C:$O,L$1-2011,FALSE),0)+IFERROR(VLOOKUP($A113,WBasketball!$C:$O,L$1-2011,FALSE),0)+IFERROR(VLOOKUP($A113,WFieldHockey!$C:$O,L$1-2011,FALSE),0)+IFERROR(VLOOKUP($A113,WIceHockey!$C:$O,L$1-2011,FALSE),0)+IFERROR(VLOOKUP($A113,WLacrosse!$C:$O,L$1-2011,FALSE),0)+IFERROR(VLOOKUP($A113,WSoccer!$C:$O,L$1-2011,FALSE),0)+IFERROR(VLOOKUP($A113,WSoftball!$C:$O,L$1-2011,FALSE),0)+IFERROR(VLOOKUP($A113,WVolleyball!$C:$O,L$1-2011,FALSE),0)</f>
        <v>53143</v>
      </c>
      <c r="M113">
        <f>IFERROR(VLOOKUP($A113,MBaseball!$C:$N,M$1-2010,FALSE),0)+IFERROR(VLOOKUP($A113,MBasketball!$C:$J,M$1-2006,FALSE),0)+IFERROR(VLOOKUP($A113,MFootball!$C:$O,M$1-2011,FALSE),0)+IFERROR(VLOOKUP($A113,MIceHockey!$C:$P,M$1-2011,FALSE),0)+IFERROR(VLOOKUP($A113,MLacrosse!$C:$O,M$1-2011,FALSE),0)+IFERROR(VLOOKUP($A113,MSoccer!$C:$O,M$1-2011,FALSE),0)+IFERROR(VLOOKUP($A113,MVolleyball!$C:$O,M$1-2011,FALSE),0)+IFERROR(VLOOKUP($A113,WBasketball!$C:$O,M$1-2011,FALSE),0)+IFERROR(VLOOKUP($A113,WFieldHockey!$C:$O,M$1-2011,FALSE),0)+IFERROR(VLOOKUP($A113,WIceHockey!$C:$O,M$1-2011,FALSE),0)+IFERROR(VLOOKUP($A113,WLacrosse!$C:$O,M$1-2011,FALSE),0)+IFERROR(VLOOKUP($A113,WSoccer!$C:$O,M$1-2011,FALSE),0)+IFERROR(VLOOKUP($A113,WSoftball!$C:$O,M$1-2011,FALSE),0)+IFERROR(VLOOKUP($A113,WVolleyball!$C:$O,M$1-2011,FALSE),0)</f>
        <v>133081</v>
      </c>
      <c r="N113">
        <f>IFERROR(VLOOKUP($A113,MBaseball!$C:$N,N$1-2010,FALSE),0)+IFERROR(VLOOKUP($A113,MBasketball!$C:$J,N$1-2006,FALSE),0)+IFERROR(VLOOKUP($A113,MFootball!$C:$O,N$1-2011,FALSE),0)+IFERROR(VLOOKUP($A113,MIceHockey!$C:$P,N$1-2011,FALSE),0)+IFERROR(VLOOKUP($A113,MLacrosse!$C:$O,N$1-2011,FALSE),0)+IFERROR(VLOOKUP($A113,MSoccer!$C:$O,N$1-2011,FALSE),0)+IFERROR(VLOOKUP($A113,MVolleyball!$C:$O,N$1-2011,FALSE),0)+IFERROR(VLOOKUP($A113,WBasketball!$C:$O,N$1-2011,FALSE),0)+IFERROR(VLOOKUP($A113,WFieldHockey!$C:$O,N$1-2011,FALSE),0)+IFERROR(VLOOKUP($A113,WIceHockey!$C:$O,N$1-2011,FALSE),0)+IFERROR(VLOOKUP($A113,WLacrosse!$C:$O,N$1-2011,FALSE),0)+IFERROR(VLOOKUP($A113,WSoccer!$C:$O,N$1-2011,FALSE),0)+IFERROR(VLOOKUP($A113,WSoftball!$C:$O,N$1-2011,FALSE),0)+IFERROR(VLOOKUP($A113,WVolleyball!$C:$O,N$1-2011,FALSE),0)</f>
        <v>149458</v>
      </c>
    </row>
    <row r="114" spans="1:14" x14ac:dyDescent="0.2">
      <c r="A114">
        <v>105330</v>
      </c>
      <c r="B114">
        <v>22380</v>
      </c>
      <c r="C114" t="s">
        <v>171</v>
      </c>
      <c r="D114">
        <v>113</v>
      </c>
      <c r="E114">
        <f>IFERROR(VLOOKUP($A114,MBaseball!$C:$N,E$1-2010,FALSE),0)+IFERROR(VLOOKUP($A114,MBasketball!$C:$J,E$1-2006,FALSE),0)+IFERROR(VLOOKUP($A114,MFootball!$C:$O,E$1-2011,FALSE),0)+IFERROR(VLOOKUP($A114,MIceHockey!$C:$P,E$1-2011,FALSE),0)+IFERROR(VLOOKUP($A114,MLacrosse!$C:$O,E$1-2011,FALSE),0)+IFERROR(VLOOKUP($A114,MSoccer!$C:$O,E$1-2011,FALSE),0)+IFERROR(VLOOKUP($A114,MVolleyball!$C:$O,E$1-2011,FALSE),0)+IFERROR(VLOOKUP($A114,WBasketball!$C:$O,E$1-2011,FALSE),0)+IFERROR(VLOOKUP($A114,WFieldHockey!$C:$O,E$1-2011,FALSE),0)+IFERROR(VLOOKUP($A114,WIceHockey!$C:$O,E$1-2011,FALSE),0)+IFERROR(VLOOKUP($A114,WLacrosse!$C:$O,E$1-2011,FALSE),0)+IFERROR(VLOOKUP($A114,WSoccer!$C:$O,E$1-2011,FALSE),0)+IFERROR(VLOOKUP($A114,WSoftball!$C:$O,E$1-2011,FALSE),0)+IFERROR(VLOOKUP($A114,WVolleyball!$C:$O,E$1-2011,FALSE),0)</f>
        <v>30411</v>
      </c>
      <c r="F114">
        <f>IFERROR(VLOOKUP($A114,MBaseball!$C:$N,F$1-2010,FALSE),0)+IFERROR(VLOOKUP($A114,MBasketball!$C:$J,F$1-2006,FALSE),0)+IFERROR(VLOOKUP($A114,MFootball!$C:$O,F$1-2011,FALSE),0)+IFERROR(VLOOKUP($A114,MIceHockey!$C:$P,F$1-2011,FALSE),0)+IFERROR(VLOOKUP($A114,MLacrosse!$C:$O,F$1-2011,FALSE),0)+IFERROR(VLOOKUP($A114,MSoccer!$C:$O,F$1-2011,FALSE),0)+IFERROR(VLOOKUP($A114,MVolleyball!$C:$O,F$1-2011,FALSE),0)+IFERROR(VLOOKUP($A114,WBasketball!$C:$O,F$1-2011,FALSE),0)+IFERROR(VLOOKUP($A114,WFieldHockey!$C:$O,F$1-2011,FALSE),0)+IFERROR(VLOOKUP($A114,WIceHockey!$C:$O,F$1-2011,FALSE),0)+IFERROR(VLOOKUP($A114,WLacrosse!$C:$O,F$1-2011,FALSE),0)+IFERROR(VLOOKUP($A114,WSoccer!$C:$O,F$1-2011,FALSE),0)+IFERROR(VLOOKUP($A114,WSoftball!$C:$O,F$1-2011,FALSE),0)+IFERROR(VLOOKUP($A114,WVolleyball!$C:$O,F$1-2011,FALSE),0)</f>
        <v>56053</v>
      </c>
      <c r="G114">
        <f>IFERROR(VLOOKUP($A114,MBaseball!$C:$N,G$1-2010,FALSE),0)+IFERROR(VLOOKUP($A114,MBasketball!$C:$J,G$1-2006,FALSE),0)+IFERROR(VLOOKUP($A114,MFootball!$C:$O,G$1-2011,FALSE),0)+IFERROR(VLOOKUP($A114,MIceHockey!$C:$P,G$1-2011,FALSE),0)+IFERROR(VLOOKUP($A114,MLacrosse!$C:$O,G$1-2011,FALSE),0)+IFERROR(VLOOKUP($A114,MSoccer!$C:$O,G$1-2011,FALSE),0)+IFERROR(VLOOKUP($A114,MVolleyball!$C:$O,G$1-2011,FALSE),0)+IFERROR(VLOOKUP($A114,WBasketball!$C:$O,G$1-2011,FALSE),0)+IFERROR(VLOOKUP($A114,WFieldHockey!$C:$O,G$1-2011,FALSE),0)+IFERROR(VLOOKUP($A114,WIceHockey!$C:$O,G$1-2011,FALSE),0)+IFERROR(VLOOKUP($A114,WLacrosse!$C:$O,G$1-2011,FALSE),0)+IFERROR(VLOOKUP($A114,WSoccer!$C:$O,G$1-2011,FALSE),0)+IFERROR(VLOOKUP($A114,WSoftball!$C:$O,G$1-2011,FALSE),0)+IFERROR(VLOOKUP($A114,WVolleyball!$C:$O,G$1-2011,FALSE),0)</f>
        <v>60120</v>
      </c>
      <c r="H114">
        <f>IFERROR(VLOOKUP($A114,MBaseball!$C:$N,H$1-2010,FALSE),0)+IFERROR(VLOOKUP($A114,MBasketball!$C:$J,H$1-2006,FALSE),0)+IFERROR(VLOOKUP($A114,MFootball!$C:$O,H$1-2011,FALSE),0)+IFERROR(VLOOKUP($A114,MIceHockey!$C:$P,H$1-2011,FALSE),0)+IFERROR(VLOOKUP($A114,MLacrosse!$C:$O,H$1-2011,FALSE),0)+IFERROR(VLOOKUP($A114,MSoccer!$C:$O,H$1-2011,FALSE),0)+IFERROR(VLOOKUP($A114,MVolleyball!$C:$O,H$1-2011,FALSE),0)+IFERROR(VLOOKUP($A114,WBasketball!$C:$O,H$1-2011,FALSE),0)+IFERROR(VLOOKUP($A114,WFieldHockey!$C:$O,H$1-2011,FALSE),0)+IFERROR(VLOOKUP($A114,WIceHockey!$C:$O,H$1-2011,FALSE),0)+IFERROR(VLOOKUP($A114,WLacrosse!$C:$O,H$1-2011,FALSE),0)+IFERROR(VLOOKUP($A114,WSoccer!$C:$O,H$1-2011,FALSE),0)+IFERROR(VLOOKUP($A114,WSoftball!$C:$O,H$1-2011,FALSE),0)+IFERROR(VLOOKUP($A114,WVolleyball!$C:$O,H$1-2011,FALSE),0)</f>
        <v>54679</v>
      </c>
      <c r="I114">
        <f>IFERROR(VLOOKUP($A114,MBaseball!$C:$N,I$1-2010,FALSE),0)+IFERROR(VLOOKUP($A114,MBasketball!$C:$J,I$1-2006,FALSE),0)+IFERROR(VLOOKUP($A114,MFootball!$C:$O,I$1-2011,FALSE),0)+IFERROR(VLOOKUP($A114,MIceHockey!$C:$P,I$1-2011,FALSE),0)+IFERROR(VLOOKUP($A114,MLacrosse!$C:$O,I$1-2011,FALSE),0)+IFERROR(VLOOKUP($A114,MSoccer!$C:$O,I$1-2011,FALSE),0)+IFERROR(VLOOKUP($A114,MVolleyball!$C:$O,I$1-2011,FALSE),0)+IFERROR(VLOOKUP($A114,WBasketball!$C:$O,I$1-2011,FALSE),0)+IFERROR(VLOOKUP($A114,WFieldHockey!$C:$O,I$1-2011,FALSE),0)+IFERROR(VLOOKUP($A114,WIceHockey!$C:$O,I$1-2011,FALSE),0)+IFERROR(VLOOKUP($A114,WLacrosse!$C:$O,I$1-2011,FALSE),0)+IFERROR(VLOOKUP($A114,WSoccer!$C:$O,I$1-2011,FALSE),0)+IFERROR(VLOOKUP($A114,WSoftball!$C:$O,I$1-2011,FALSE),0)+IFERROR(VLOOKUP($A114,WVolleyball!$C:$O,I$1-2011,FALSE),0)</f>
        <v>62902</v>
      </c>
      <c r="J114">
        <f>IFERROR(VLOOKUP($A114,MBaseball!$C:$N,J$1-2010,FALSE),0)+IFERROR(VLOOKUP($A114,MBasketball!$C:$J,J$1-2006,FALSE),0)+IFERROR(VLOOKUP($A114,MFootball!$C:$O,J$1-2011,FALSE),0)+IFERROR(VLOOKUP($A114,MIceHockey!$C:$P,J$1-2011,FALSE),0)+IFERROR(VLOOKUP($A114,MLacrosse!$C:$O,J$1-2011,FALSE),0)+IFERROR(VLOOKUP($A114,MSoccer!$C:$O,J$1-2011,FALSE),0)+IFERROR(VLOOKUP($A114,MVolleyball!$C:$O,J$1-2011,FALSE),0)+IFERROR(VLOOKUP($A114,WBasketball!$C:$O,J$1-2011,FALSE),0)+IFERROR(VLOOKUP($A114,WFieldHockey!$C:$O,J$1-2011,FALSE),0)+IFERROR(VLOOKUP($A114,WIceHockey!$C:$O,J$1-2011,FALSE),0)+IFERROR(VLOOKUP($A114,WLacrosse!$C:$O,J$1-2011,FALSE),0)+IFERROR(VLOOKUP($A114,WSoccer!$C:$O,J$1-2011,FALSE),0)+IFERROR(VLOOKUP($A114,WSoftball!$C:$O,J$1-2011,FALSE),0)+IFERROR(VLOOKUP($A114,WVolleyball!$C:$O,J$1-2011,FALSE),0)</f>
        <v>52353</v>
      </c>
      <c r="K114">
        <f>IFERROR(VLOOKUP($A114,MBaseball!$C:$N,K$1-2010,FALSE),0)+IFERROR(VLOOKUP($A114,MBasketball!$C:$J,K$1-2006,FALSE),0)+IFERROR(VLOOKUP($A114,MFootball!$C:$O,K$1-2011,FALSE),0)+IFERROR(VLOOKUP($A114,MIceHockey!$C:$P,K$1-2011,FALSE),0)+IFERROR(VLOOKUP($A114,MLacrosse!$C:$O,K$1-2011,FALSE),0)+IFERROR(VLOOKUP($A114,MSoccer!$C:$O,K$1-2011,FALSE),0)+IFERROR(VLOOKUP($A114,MVolleyball!$C:$O,K$1-2011,FALSE),0)+IFERROR(VLOOKUP($A114,WBasketball!$C:$O,K$1-2011,FALSE),0)+IFERROR(VLOOKUP($A114,WFieldHockey!$C:$O,K$1-2011,FALSE),0)+IFERROR(VLOOKUP($A114,WIceHockey!$C:$O,K$1-2011,FALSE),0)+IFERROR(VLOOKUP($A114,WLacrosse!$C:$O,K$1-2011,FALSE),0)+IFERROR(VLOOKUP($A114,WSoccer!$C:$O,K$1-2011,FALSE),0)+IFERROR(VLOOKUP($A114,WSoftball!$C:$O,K$1-2011,FALSE),0)+IFERROR(VLOOKUP($A114,WVolleyball!$C:$O,K$1-2011,FALSE),0)</f>
        <v>51960</v>
      </c>
      <c r="L114">
        <f>IFERROR(VLOOKUP($A114,MBaseball!$C:$N,L$1-2010,FALSE),0)+IFERROR(VLOOKUP($A114,MBasketball!$C:$J,L$1-2006,FALSE),0)+IFERROR(VLOOKUP($A114,MFootball!$C:$O,L$1-2011,FALSE),0)+IFERROR(VLOOKUP($A114,MIceHockey!$C:$P,L$1-2011,FALSE),0)+IFERROR(VLOOKUP($A114,MLacrosse!$C:$O,L$1-2011,FALSE),0)+IFERROR(VLOOKUP($A114,MSoccer!$C:$O,L$1-2011,FALSE),0)+IFERROR(VLOOKUP($A114,MVolleyball!$C:$O,L$1-2011,FALSE),0)+IFERROR(VLOOKUP($A114,WBasketball!$C:$O,L$1-2011,FALSE),0)+IFERROR(VLOOKUP($A114,WFieldHockey!$C:$O,L$1-2011,FALSE),0)+IFERROR(VLOOKUP($A114,WIceHockey!$C:$O,L$1-2011,FALSE),0)+IFERROR(VLOOKUP($A114,WLacrosse!$C:$O,L$1-2011,FALSE),0)+IFERROR(VLOOKUP($A114,WSoccer!$C:$O,L$1-2011,FALSE),0)+IFERROR(VLOOKUP($A114,WSoftball!$C:$O,L$1-2011,FALSE),0)+IFERROR(VLOOKUP($A114,WVolleyball!$C:$O,L$1-2011,FALSE),0)</f>
        <v>3</v>
      </c>
      <c r="M114">
        <f>IFERROR(VLOOKUP($A114,MBaseball!$C:$N,M$1-2010,FALSE),0)+IFERROR(VLOOKUP($A114,MBasketball!$C:$J,M$1-2006,FALSE),0)+IFERROR(VLOOKUP($A114,MFootball!$C:$O,M$1-2011,FALSE),0)+IFERROR(VLOOKUP($A114,MIceHockey!$C:$P,M$1-2011,FALSE),0)+IFERROR(VLOOKUP($A114,MLacrosse!$C:$O,M$1-2011,FALSE),0)+IFERROR(VLOOKUP($A114,MSoccer!$C:$O,M$1-2011,FALSE),0)+IFERROR(VLOOKUP($A114,MVolleyball!$C:$O,M$1-2011,FALSE),0)+IFERROR(VLOOKUP($A114,WBasketball!$C:$O,M$1-2011,FALSE),0)+IFERROR(VLOOKUP($A114,WFieldHockey!$C:$O,M$1-2011,FALSE),0)+IFERROR(VLOOKUP($A114,WIceHockey!$C:$O,M$1-2011,FALSE),0)+IFERROR(VLOOKUP($A114,WLacrosse!$C:$O,M$1-2011,FALSE),0)+IFERROR(VLOOKUP($A114,WSoccer!$C:$O,M$1-2011,FALSE),0)+IFERROR(VLOOKUP($A114,WSoftball!$C:$O,M$1-2011,FALSE),0)+IFERROR(VLOOKUP($A114,WVolleyball!$C:$O,M$1-2011,FALSE),0)</f>
        <v>52353</v>
      </c>
      <c r="N114">
        <f>IFERROR(VLOOKUP($A114,MBaseball!$C:$N,N$1-2010,FALSE),0)+IFERROR(VLOOKUP($A114,MBasketball!$C:$J,N$1-2006,FALSE),0)+IFERROR(VLOOKUP($A114,MFootball!$C:$O,N$1-2011,FALSE),0)+IFERROR(VLOOKUP($A114,MIceHockey!$C:$P,N$1-2011,FALSE),0)+IFERROR(VLOOKUP($A114,MLacrosse!$C:$O,N$1-2011,FALSE),0)+IFERROR(VLOOKUP($A114,MSoccer!$C:$O,N$1-2011,FALSE),0)+IFERROR(VLOOKUP($A114,MVolleyball!$C:$O,N$1-2011,FALSE),0)+IFERROR(VLOOKUP($A114,WBasketball!$C:$O,N$1-2011,FALSE),0)+IFERROR(VLOOKUP($A114,WFieldHockey!$C:$O,N$1-2011,FALSE),0)+IFERROR(VLOOKUP($A114,WIceHockey!$C:$O,N$1-2011,FALSE),0)+IFERROR(VLOOKUP($A114,WLacrosse!$C:$O,N$1-2011,FALSE),0)+IFERROR(VLOOKUP($A114,WSoccer!$C:$O,N$1-2011,FALSE),0)+IFERROR(VLOOKUP($A114,WSoftball!$C:$O,N$1-2011,FALSE),0)+IFERROR(VLOOKUP($A114,WVolleyball!$C:$O,N$1-2011,FALSE),0)</f>
        <v>55719</v>
      </c>
    </row>
    <row r="115" spans="1:14" x14ac:dyDescent="0.2">
      <c r="A115">
        <v>127741</v>
      </c>
      <c r="B115">
        <v>24540</v>
      </c>
      <c r="C115" t="s">
        <v>172</v>
      </c>
      <c r="D115">
        <v>114</v>
      </c>
      <c r="E115">
        <f>IFERROR(VLOOKUP($A115,MBaseball!$C:$N,E$1-2010,FALSE),0)+IFERROR(VLOOKUP($A115,MBasketball!$C:$J,E$1-2006,FALSE),0)+IFERROR(VLOOKUP($A115,MFootball!$C:$O,E$1-2011,FALSE),0)+IFERROR(VLOOKUP($A115,MIceHockey!$C:$P,E$1-2011,FALSE),0)+IFERROR(VLOOKUP($A115,MLacrosse!$C:$O,E$1-2011,FALSE),0)+IFERROR(VLOOKUP($A115,MSoccer!$C:$O,E$1-2011,FALSE),0)+IFERROR(VLOOKUP($A115,MVolleyball!$C:$O,E$1-2011,FALSE),0)+IFERROR(VLOOKUP($A115,WBasketball!$C:$O,E$1-2011,FALSE),0)+IFERROR(VLOOKUP($A115,WFieldHockey!$C:$O,E$1-2011,FALSE),0)+IFERROR(VLOOKUP($A115,WIceHockey!$C:$O,E$1-2011,FALSE),0)+IFERROR(VLOOKUP($A115,WLacrosse!$C:$O,E$1-2011,FALSE),0)+IFERROR(VLOOKUP($A115,WSoccer!$C:$O,E$1-2011,FALSE),0)+IFERROR(VLOOKUP($A115,WSoftball!$C:$O,E$1-2011,FALSE),0)+IFERROR(VLOOKUP($A115,WVolleyball!$C:$O,E$1-2011,FALSE),0)</f>
        <v>45673</v>
      </c>
      <c r="F115">
        <f>IFERROR(VLOOKUP($A115,MBaseball!$C:$N,F$1-2010,FALSE),0)+IFERROR(VLOOKUP($A115,MBasketball!$C:$J,F$1-2006,FALSE),0)+IFERROR(VLOOKUP($A115,MFootball!$C:$O,F$1-2011,FALSE),0)+IFERROR(VLOOKUP($A115,MIceHockey!$C:$P,F$1-2011,FALSE),0)+IFERROR(VLOOKUP($A115,MLacrosse!$C:$O,F$1-2011,FALSE),0)+IFERROR(VLOOKUP($A115,MSoccer!$C:$O,F$1-2011,FALSE),0)+IFERROR(VLOOKUP($A115,MVolleyball!$C:$O,F$1-2011,FALSE),0)+IFERROR(VLOOKUP($A115,WBasketball!$C:$O,F$1-2011,FALSE),0)+IFERROR(VLOOKUP($A115,WFieldHockey!$C:$O,F$1-2011,FALSE),0)+IFERROR(VLOOKUP($A115,WIceHockey!$C:$O,F$1-2011,FALSE),0)+IFERROR(VLOOKUP($A115,WLacrosse!$C:$O,F$1-2011,FALSE),0)+IFERROR(VLOOKUP($A115,WSoccer!$C:$O,F$1-2011,FALSE),0)+IFERROR(VLOOKUP($A115,WSoftball!$C:$O,F$1-2011,FALSE),0)+IFERROR(VLOOKUP($A115,WVolleyball!$C:$O,F$1-2011,FALSE),0)</f>
        <v>45383</v>
      </c>
      <c r="G115">
        <f>IFERROR(VLOOKUP($A115,MBaseball!$C:$N,G$1-2010,FALSE),0)+IFERROR(VLOOKUP($A115,MBasketball!$C:$J,G$1-2006,FALSE),0)+IFERROR(VLOOKUP($A115,MFootball!$C:$O,G$1-2011,FALSE),0)+IFERROR(VLOOKUP($A115,MIceHockey!$C:$P,G$1-2011,FALSE),0)+IFERROR(VLOOKUP($A115,MLacrosse!$C:$O,G$1-2011,FALSE),0)+IFERROR(VLOOKUP($A115,MSoccer!$C:$O,G$1-2011,FALSE),0)+IFERROR(VLOOKUP($A115,MVolleyball!$C:$O,G$1-2011,FALSE),0)+IFERROR(VLOOKUP($A115,WBasketball!$C:$O,G$1-2011,FALSE),0)+IFERROR(VLOOKUP($A115,WFieldHockey!$C:$O,G$1-2011,FALSE),0)+IFERROR(VLOOKUP($A115,WIceHockey!$C:$O,G$1-2011,FALSE),0)+IFERROR(VLOOKUP($A115,WLacrosse!$C:$O,G$1-2011,FALSE),0)+IFERROR(VLOOKUP($A115,WSoccer!$C:$O,G$1-2011,FALSE),0)+IFERROR(VLOOKUP($A115,WSoftball!$C:$O,G$1-2011,FALSE),0)+IFERROR(VLOOKUP($A115,WVolleyball!$C:$O,G$1-2011,FALSE),0)</f>
        <v>54704</v>
      </c>
      <c r="H115">
        <f>IFERROR(VLOOKUP($A115,MBaseball!$C:$N,H$1-2010,FALSE),0)+IFERROR(VLOOKUP($A115,MBasketball!$C:$J,H$1-2006,FALSE),0)+IFERROR(VLOOKUP($A115,MFootball!$C:$O,H$1-2011,FALSE),0)+IFERROR(VLOOKUP($A115,MIceHockey!$C:$P,H$1-2011,FALSE),0)+IFERROR(VLOOKUP($A115,MLacrosse!$C:$O,H$1-2011,FALSE),0)+IFERROR(VLOOKUP($A115,MSoccer!$C:$O,H$1-2011,FALSE),0)+IFERROR(VLOOKUP($A115,MVolleyball!$C:$O,H$1-2011,FALSE),0)+IFERROR(VLOOKUP($A115,WBasketball!$C:$O,H$1-2011,FALSE),0)+IFERROR(VLOOKUP($A115,WFieldHockey!$C:$O,H$1-2011,FALSE),0)+IFERROR(VLOOKUP($A115,WIceHockey!$C:$O,H$1-2011,FALSE),0)+IFERROR(VLOOKUP($A115,WLacrosse!$C:$O,H$1-2011,FALSE),0)+IFERROR(VLOOKUP($A115,WSoccer!$C:$O,H$1-2011,FALSE),0)+IFERROR(VLOOKUP($A115,WSoftball!$C:$O,H$1-2011,FALSE),0)+IFERROR(VLOOKUP($A115,WVolleyball!$C:$O,H$1-2011,FALSE),0)</f>
        <v>57015</v>
      </c>
      <c r="I115">
        <f>IFERROR(VLOOKUP($A115,MBaseball!$C:$N,I$1-2010,FALSE),0)+IFERROR(VLOOKUP($A115,MBasketball!$C:$J,I$1-2006,FALSE),0)+IFERROR(VLOOKUP($A115,MFootball!$C:$O,I$1-2011,FALSE),0)+IFERROR(VLOOKUP($A115,MIceHockey!$C:$P,I$1-2011,FALSE),0)+IFERROR(VLOOKUP($A115,MLacrosse!$C:$O,I$1-2011,FALSE),0)+IFERROR(VLOOKUP($A115,MSoccer!$C:$O,I$1-2011,FALSE),0)+IFERROR(VLOOKUP($A115,MVolleyball!$C:$O,I$1-2011,FALSE),0)+IFERROR(VLOOKUP($A115,WBasketball!$C:$O,I$1-2011,FALSE),0)+IFERROR(VLOOKUP($A115,WFieldHockey!$C:$O,I$1-2011,FALSE),0)+IFERROR(VLOOKUP($A115,WIceHockey!$C:$O,I$1-2011,FALSE),0)+IFERROR(VLOOKUP($A115,WLacrosse!$C:$O,I$1-2011,FALSE),0)+IFERROR(VLOOKUP($A115,WSoccer!$C:$O,I$1-2011,FALSE),0)+IFERROR(VLOOKUP($A115,WSoftball!$C:$O,I$1-2011,FALSE),0)+IFERROR(VLOOKUP($A115,WVolleyball!$C:$O,I$1-2011,FALSE),0)</f>
        <v>56270</v>
      </c>
      <c r="J115">
        <f>IFERROR(VLOOKUP($A115,MBaseball!$C:$N,J$1-2010,FALSE),0)+IFERROR(VLOOKUP($A115,MBasketball!$C:$J,J$1-2006,FALSE),0)+IFERROR(VLOOKUP($A115,MFootball!$C:$O,J$1-2011,FALSE),0)+IFERROR(VLOOKUP($A115,MIceHockey!$C:$P,J$1-2011,FALSE),0)+IFERROR(VLOOKUP($A115,MLacrosse!$C:$O,J$1-2011,FALSE),0)+IFERROR(VLOOKUP($A115,MSoccer!$C:$O,J$1-2011,FALSE),0)+IFERROR(VLOOKUP($A115,MVolleyball!$C:$O,J$1-2011,FALSE),0)+IFERROR(VLOOKUP($A115,WBasketball!$C:$O,J$1-2011,FALSE),0)+IFERROR(VLOOKUP($A115,WFieldHockey!$C:$O,J$1-2011,FALSE),0)+IFERROR(VLOOKUP($A115,WIceHockey!$C:$O,J$1-2011,FALSE),0)+IFERROR(VLOOKUP($A115,WLacrosse!$C:$O,J$1-2011,FALSE),0)+IFERROR(VLOOKUP($A115,WSoccer!$C:$O,J$1-2011,FALSE),0)+IFERROR(VLOOKUP($A115,WSoftball!$C:$O,J$1-2011,FALSE),0)+IFERROR(VLOOKUP($A115,WVolleyball!$C:$O,J$1-2011,FALSE),0)</f>
        <v>60474</v>
      </c>
      <c r="K115">
        <f>IFERROR(VLOOKUP($A115,MBaseball!$C:$N,K$1-2010,FALSE),0)+IFERROR(VLOOKUP($A115,MBasketball!$C:$J,K$1-2006,FALSE),0)+IFERROR(VLOOKUP($A115,MFootball!$C:$O,K$1-2011,FALSE),0)+IFERROR(VLOOKUP($A115,MIceHockey!$C:$P,K$1-2011,FALSE),0)+IFERROR(VLOOKUP($A115,MLacrosse!$C:$O,K$1-2011,FALSE),0)+IFERROR(VLOOKUP($A115,MSoccer!$C:$O,K$1-2011,FALSE),0)+IFERROR(VLOOKUP($A115,MVolleyball!$C:$O,K$1-2011,FALSE),0)+IFERROR(VLOOKUP($A115,WBasketball!$C:$O,K$1-2011,FALSE),0)+IFERROR(VLOOKUP($A115,WFieldHockey!$C:$O,K$1-2011,FALSE),0)+IFERROR(VLOOKUP($A115,WIceHockey!$C:$O,K$1-2011,FALSE),0)+IFERROR(VLOOKUP($A115,WLacrosse!$C:$O,K$1-2011,FALSE),0)+IFERROR(VLOOKUP($A115,WSoccer!$C:$O,K$1-2011,FALSE),0)+IFERROR(VLOOKUP($A115,WSoftball!$C:$O,K$1-2011,FALSE),0)+IFERROR(VLOOKUP($A115,WVolleyball!$C:$O,K$1-2011,FALSE),0)</f>
        <v>57050</v>
      </c>
      <c r="L115">
        <f>IFERROR(VLOOKUP($A115,MBaseball!$C:$N,L$1-2010,FALSE),0)+IFERROR(VLOOKUP($A115,MBasketball!$C:$J,L$1-2006,FALSE),0)+IFERROR(VLOOKUP($A115,MFootball!$C:$O,L$1-2011,FALSE),0)+IFERROR(VLOOKUP($A115,MIceHockey!$C:$P,L$1-2011,FALSE),0)+IFERROR(VLOOKUP($A115,MLacrosse!$C:$O,L$1-2011,FALSE),0)+IFERROR(VLOOKUP($A115,MSoccer!$C:$O,L$1-2011,FALSE),0)+IFERROR(VLOOKUP($A115,MVolleyball!$C:$O,L$1-2011,FALSE),0)+IFERROR(VLOOKUP($A115,WBasketball!$C:$O,L$1-2011,FALSE),0)+IFERROR(VLOOKUP($A115,WFieldHockey!$C:$O,L$1-2011,FALSE),0)+IFERROR(VLOOKUP($A115,WIceHockey!$C:$O,L$1-2011,FALSE),0)+IFERROR(VLOOKUP($A115,WLacrosse!$C:$O,L$1-2011,FALSE),0)+IFERROR(VLOOKUP($A115,WSoccer!$C:$O,L$1-2011,FALSE),0)+IFERROR(VLOOKUP($A115,WSoftball!$C:$O,L$1-2011,FALSE),0)+IFERROR(VLOOKUP($A115,WVolleyball!$C:$O,L$1-2011,FALSE),0)</f>
        <v>4838</v>
      </c>
      <c r="M115">
        <f>IFERROR(VLOOKUP($A115,MBaseball!$C:$N,M$1-2010,FALSE),0)+IFERROR(VLOOKUP($A115,MBasketball!$C:$J,M$1-2006,FALSE),0)+IFERROR(VLOOKUP($A115,MFootball!$C:$O,M$1-2011,FALSE),0)+IFERROR(VLOOKUP($A115,MIceHockey!$C:$P,M$1-2011,FALSE),0)+IFERROR(VLOOKUP($A115,MLacrosse!$C:$O,M$1-2011,FALSE),0)+IFERROR(VLOOKUP($A115,MSoccer!$C:$O,M$1-2011,FALSE),0)+IFERROR(VLOOKUP($A115,MVolleyball!$C:$O,M$1-2011,FALSE),0)+IFERROR(VLOOKUP($A115,WBasketball!$C:$O,M$1-2011,FALSE),0)+IFERROR(VLOOKUP($A115,WFieldHockey!$C:$O,M$1-2011,FALSE),0)+IFERROR(VLOOKUP($A115,WIceHockey!$C:$O,M$1-2011,FALSE),0)+IFERROR(VLOOKUP($A115,WLacrosse!$C:$O,M$1-2011,FALSE),0)+IFERROR(VLOOKUP($A115,WSoccer!$C:$O,M$1-2011,FALSE),0)+IFERROR(VLOOKUP($A115,WSoftball!$C:$O,M$1-2011,FALSE),0)+IFERROR(VLOOKUP($A115,WVolleyball!$C:$O,M$1-2011,FALSE),0)</f>
        <v>52292</v>
      </c>
      <c r="N115">
        <f>IFERROR(VLOOKUP($A115,MBaseball!$C:$N,N$1-2010,FALSE),0)+IFERROR(VLOOKUP($A115,MBasketball!$C:$J,N$1-2006,FALSE),0)+IFERROR(VLOOKUP($A115,MFootball!$C:$O,N$1-2011,FALSE),0)+IFERROR(VLOOKUP($A115,MIceHockey!$C:$P,N$1-2011,FALSE),0)+IFERROR(VLOOKUP($A115,MLacrosse!$C:$O,N$1-2011,FALSE),0)+IFERROR(VLOOKUP($A115,MSoccer!$C:$O,N$1-2011,FALSE),0)+IFERROR(VLOOKUP($A115,MVolleyball!$C:$O,N$1-2011,FALSE),0)+IFERROR(VLOOKUP($A115,WBasketball!$C:$O,N$1-2011,FALSE),0)+IFERROR(VLOOKUP($A115,WFieldHockey!$C:$O,N$1-2011,FALSE),0)+IFERROR(VLOOKUP($A115,WIceHockey!$C:$O,N$1-2011,FALSE),0)+IFERROR(VLOOKUP($A115,WLacrosse!$C:$O,N$1-2011,FALSE),0)+IFERROR(VLOOKUP($A115,WSoccer!$C:$O,N$1-2011,FALSE),0)+IFERROR(VLOOKUP($A115,WSoftball!$C:$O,N$1-2011,FALSE),0)+IFERROR(VLOOKUP($A115,WVolleyball!$C:$O,N$1-2011,FALSE),0)</f>
        <v>52523</v>
      </c>
    </row>
    <row r="116" spans="1:14" x14ac:dyDescent="0.2">
      <c r="A116">
        <v>147703</v>
      </c>
      <c r="B116">
        <v>16980</v>
      </c>
      <c r="C116" t="s">
        <v>173</v>
      </c>
      <c r="D116">
        <v>115</v>
      </c>
      <c r="E116">
        <f>IFERROR(VLOOKUP($A116,MBaseball!$C:$N,E$1-2010,FALSE),0)+IFERROR(VLOOKUP($A116,MBasketball!$C:$J,E$1-2006,FALSE),0)+IFERROR(VLOOKUP($A116,MFootball!$C:$O,E$1-2011,FALSE),0)+IFERROR(VLOOKUP($A116,MIceHockey!$C:$P,E$1-2011,FALSE),0)+IFERROR(VLOOKUP($A116,MLacrosse!$C:$O,E$1-2011,FALSE),0)+IFERROR(VLOOKUP($A116,MSoccer!$C:$O,E$1-2011,FALSE),0)+IFERROR(VLOOKUP($A116,MVolleyball!$C:$O,E$1-2011,FALSE),0)+IFERROR(VLOOKUP($A116,WBasketball!$C:$O,E$1-2011,FALSE),0)+IFERROR(VLOOKUP($A116,WFieldHockey!$C:$O,E$1-2011,FALSE),0)+IFERROR(VLOOKUP($A116,WIceHockey!$C:$O,E$1-2011,FALSE),0)+IFERROR(VLOOKUP($A116,WLacrosse!$C:$O,E$1-2011,FALSE),0)+IFERROR(VLOOKUP($A116,WSoccer!$C:$O,E$1-2011,FALSE),0)+IFERROR(VLOOKUP($A116,WSoftball!$C:$O,E$1-2011,FALSE),0)+IFERROR(VLOOKUP($A116,WVolleyball!$C:$O,E$1-2011,FALSE),0)</f>
        <v>38471</v>
      </c>
      <c r="F116">
        <f>IFERROR(VLOOKUP($A116,MBaseball!$C:$N,F$1-2010,FALSE),0)+IFERROR(VLOOKUP($A116,MBasketball!$C:$J,F$1-2006,FALSE),0)+IFERROR(VLOOKUP($A116,MFootball!$C:$O,F$1-2011,FALSE),0)+IFERROR(VLOOKUP($A116,MIceHockey!$C:$P,F$1-2011,FALSE),0)+IFERROR(VLOOKUP($A116,MLacrosse!$C:$O,F$1-2011,FALSE),0)+IFERROR(VLOOKUP($A116,MSoccer!$C:$O,F$1-2011,FALSE),0)+IFERROR(VLOOKUP($A116,MVolleyball!$C:$O,F$1-2011,FALSE),0)+IFERROR(VLOOKUP($A116,WBasketball!$C:$O,F$1-2011,FALSE),0)+IFERROR(VLOOKUP($A116,WFieldHockey!$C:$O,F$1-2011,FALSE),0)+IFERROR(VLOOKUP($A116,WIceHockey!$C:$O,F$1-2011,FALSE),0)+IFERROR(VLOOKUP($A116,WLacrosse!$C:$O,F$1-2011,FALSE),0)+IFERROR(VLOOKUP($A116,WSoccer!$C:$O,F$1-2011,FALSE),0)+IFERROR(VLOOKUP($A116,WSoftball!$C:$O,F$1-2011,FALSE),0)+IFERROR(VLOOKUP($A116,WVolleyball!$C:$O,F$1-2011,FALSE),0)</f>
        <v>90936</v>
      </c>
      <c r="G116">
        <f>IFERROR(VLOOKUP($A116,MBaseball!$C:$N,G$1-2010,FALSE),0)+IFERROR(VLOOKUP($A116,MBasketball!$C:$J,G$1-2006,FALSE),0)+IFERROR(VLOOKUP($A116,MFootball!$C:$O,G$1-2011,FALSE),0)+IFERROR(VLOOKUP($A116,MIceHockey!$C:$P,G$1-2011,FALSE),0)+IFERROR(VLOOKUP($A116,MLacrosse!$C:$O,G$1-2011,FALSE),0)+IFERROR(VLOOKUP($A116,MSoccer!$C:$O,G$1-2011,FALSE),0)+IFERROR(VLOOKUP($A116,MVolleyball!$C:$O,G$1-2011,FALSE),0)+IFERROR(VLOOKUP($A116,WBasketball!$C:$O,G$1-2011,FALSE),0)+IFERROR(VLOOKUP($A116,WFieldHockey!$C:$O,G$1-2011,FALSE),0)+IFERROR(VLOOKUP($A116,WIceHockey!$C:$O,G$1-2011,FALSE),0)+IFERROR(VLOOKUP($A116,WLacrosse!$C:$O,G$1-2011,FALSE),0)+IFERROR(VLOOKUP($A116,WSoccer!$C:$O,G$1-2011,FALSE),0)+IFERROR(VLOOKUP($A116,WSoftball!$C:$O,G$1-2011,FALSE),0)+IFERROR(VLOOKUP($A116,WVolleyball!$C:$O,G$1-2011,FALSE),0)</f>
        <v>112183</v>
      </c>
      <c r="H116">
        <f>IFERROR(VLOOKUP($A116,MBaseball!$C:$N,H$1-2010,FALSE),0)+IFERROR(VLOOKUP($A116,MBasketball!$C:$J,H$1-2006,FALSE),0)+IFERROR(VLOOKUP($A116,MFootball!$C:$O,H$1-2011,FALSE),0)+IFERROR(VLOOKUP($A116,MIceHockey!$C:$P,H$1-2011,FALSE),0)+IFERROR(VLOOKUP($A116,MLacrosse!$C:$O,H$1-2011,FALSE),0)+IFERROR(VLOOKUP($A116,MSoccer!$C:$O,H$1-2011,FALSE),0)+IFERROR(VLOOKUP($A116,MVolleyball!$C:$O,H$1-2011,FALSE),0)+IFERROR(VLOOKUP($A116,WBasketball!$C:$O,H$1-2011,FALSE),0)+IFERROR(VLOOKUP($A116,WFieldHockey!$C:$O,H$1-2011,FALSE),0)+IFERROR(VLOOKUP($A116,WIceHockey!$C:$O,H$1-2011,FALSE),0)+IFERROR(VLOOKUP($A116,WLacrosse!$C:$O,H$1-2011,FALSE),0)+IFERROR(VLOOKUP($A116,WSoccer!$C:$O,H$1-2011,FALSE),0)+IFERROR(VLOOKUP($A116,WSoftball!$C:$O,H$1-2011,FALSE),0)+IFERROR(VLOOKUP($A116,WVolleyball!$C:$O,H$1-2011,FALSE),0)</f>
        <v>86931</v>
      </c>
      <c r="I116">
        <f>IFERROR(VLOOKUP($A116,MBaseball!$C:$N,I$1-2010,FALSE),0)+IFERROR(VLOOKUP($A116,MBasketball!$C:$J,I$1-2006,FALSE),0)+IFERROR(VLOOKUP($A116,MFootball!$C:$O,I$1-2011,FALSE),0)+IFERROR(VLOOKUP($A116,MIceHockey!$C:$P,I$1-2011,FALSE),0)+IFERROR(VLOOKUP($A116,MLacrosse!$C:$O,I$1-2011,FALSE),0)+IFERROR(VLOOKUP($A116,MSoccer!$C:$O,I$1-2011,FALSE),0)+IFERROR(VLOOKUP($A116,MVolleyball!$C:$O,I$1-2011,FALSE),0)+IFERROR(VLOOKUP($A116,WBasketball!$C:$O,I$1-2011,FALSE),0)+IFERROR(VLOOKUP($A116,WFieldHockey!$C:$O,I$1-2011,FALSE),0)+IFERROR(VLOOKUP($A116,WIceHockey!$C:$O,I$1-2011,FALSE),0)+IFERROR(VLOOKUP($A116,WLacrosse!$C:$O,I$1-2011,FALSE),0)+IFERROR(VLOOKUP($A116,WSoccer!$C:$O,I$1-2011,FALSE),0)+IFERROR(VLOOKUP($A116,WSoftball!$C:$O,I$1-2011,FALSE),0)+IFERROR(VLOOKUP($A116,WVolleyball!$C:$O,I$1-2011,FALSE),0)</f>
        <v>89687</v>
      </c>
      <c r="J116">
        <f>IFERROR(VLOOKUP($A116,MBaseball!$C:$N,J$1-2010,FALSE),0)+IFERROR(VLOOKUP($A116,MBasketball!$C:$J,J$1-2006,FALSE),0)+IFERROR(VLOOKUP($A116,MFootball!$C:$O,J$1-2011,FALSE),0)+IFERROR(VLOOKUP($A116,MIceHockey!$C:$P,J$1-2011,FALSE),0)+IFERROR(VLOOKUP($A116,MLacrosse!$C:$O,J$1-2011,FALSE),0)+IFERROR(VLOOKUP($A116,MSoccer!$C:$O,J$1-2011,FALSE),0)+IFERROR(VLOOKUP($A116,MVolleyball!$C:$O,J$1-2011,FALSE),0)+IFERROR(VLOOKUP($A116,WBasketball!$C:$O,J$1-2011,FALSE),0)+IFERROR(VLOOKUP($A116,WFieldHockey!$C:$O,J$1-2011,FALSE),0)+IFERROR(VLOOKUP($A116,WIceHockey!$C:$O,J$1-2011,FALSE),0)+IFERROR(VLOOKUP($A116,WLacrosse!$C:$O,J$1-2011,FALSE),0)+IFERROR(VLOOKUP($A116,WSoccer!$C:$O,J$1-2011,FALSE),0)+IFERROR(VLOOKUP($A116,WSoftball!$C:$O,J$1-2011,FALSE),0)+IFERROR(VLOOKUP($A116,WVolleyball!$C:$O,J$1-2011,FALSE),0)</f>
        <v>70874</v>
      </c>
      <c r="K116">
        <f>IFERROR(VLOOKUP($A116,MBaseball!$C:$N,K$1-2010,FALSE),0)+IFERROR(VLOOKUP($A116,MBasketball!$C:$J,K$1-2006,FALSE),0)+IFERROR(VLOOKUP($A116,MFootball!$C:$O,K$1-2011,FALSE),0)+IFERROR(VLOOKUP($A116,MIceHockey!$C:$P,K$1-2011,FALSE),0)+IFERROR(VLOOKUP($A116,MLacrosse!$C:$O,K$1-2011,FALSE),0)+IFERROR(VLOOKUP($A116,MSoccer!$C:$O,K$1-2011,FALSE),0)+IFERROR(VLOOKUP($A116,MVolleyball!$C:$O,K$1-2011,FALSE),0)+IFERROR(VLOOKUP($A116,WBasketball!$C:$O,K$1-2011,FALSE),0)+IFERROR(VLOOKUP($A116,WFieldHockey!$C:$O,K$1-2011,FALSE),0)+IFERROR(VLOOKUP($A116,WIceHockey!$C:$O,K$1-2011,FALSE),0)+IFERROR(VLOOKUP($A116,WLacrosse!$C:$O,K$1-2011,FALSE),0)+IFERROR(VLOOKUP($A116,WSoccer!$C:$O,K$1-2011,FALSE),0)+IFERROR(VLOOKUP($A116,WSoftball!$C:$O,K$1-2011,FALSE),0)+IFERROR(VLOOKUP($A116,WVolleyball!$C:$O,K$1-2011,FALSE),0)</f>
        <v>58004</v>
      </c>
      <c r="L116">
        <f>IFERROR(VLOOKUP($A116,MBaseball!$C:$N,L$1-2010,FALSE),0)+IFERROR(VLOOKUP($A116,MBasketball!$C:$J,L$1-2006,FALSE),0)+IFERROR(VLOOKUP($A116,MFootball!$C:$O,L$1-2011,FALSE),0)+IFERROR(VLOOKUP($A116,MIceHockey!$C:$P,L$1-2011,FALSE),0)+IFERROR(VLOOKUP($A116,MLacrosse!$C:$O,L$1-2011,FALSE),0)+IFERROR(VLOOKUP($A116,MSoccer!$C:$O,L$1-2011,FALSE),0)+IFERROR(VLOOKUP($A116,MVolleyball!$C:$O,L$1-2011,FALSE),0)+IFERROR(VLOOKUP($A116,WBasketball!$C:$O,L$1-2011,FALSE),0)+IFERROR(VLOOKUP($A116,WFieldHockey!$C:$O,L$1-2011,FALSE),0)+IFERROR(VLOOKUP($A116,WIceHockey!$C:$O,L$1-2011,FALSE),0)+IFERROR(VLOOKUP($A116,WLacrosse!$C:$O,L$1-2011,FALSE),0)+IFERROR(VLOOKUP($A116,WSoccer!$C:$O,L$1-2011,FALSE),0)+IFERROR(VLOOKUP($A116,WSoftball!$C:$O,L$1-2011,FALSE),0)+IFERROR(VLOOKUP($A116,WVolleyball!$C:$O,L$1-2011,FALSE),0)</f>
        <v>9056</v>
      </c>
      <c r="M116">
        <f>IFERROR(VLOOKUP($A116,MBaseball!$C:$N,M$1-2010,FALSE),0)+IFERROR(VLOOKUP($A116,MBasketball!$C:$J,M$1-2006,FALSE),0)+IFERROR(VLOOKUP($A116,MFootball!$C:$O,M$1-2011,FALSE),0)+IFERROR(VLOOKUP($A116,MIceHockey!$C:$P,M$1-2011,FALSE),0)+IFERROR(VLOOKUP($A116,MLacrosse!$C:$O,M$1-2011,FALSE),0)+IFERROR(VLOOKUP($A116,MSoccer!$C:$O,M$1-2011,FALSE),0)+IFERROR(VLOOKUP($A116,MVolleyball!$C:$O,M$1-2011,FALSE),0)+IFERROR(VLOOKUP($A116,WBasketball!$C:$O,M$1-2011,FALSE),0)+IFERROR(VLOOKUP($A116,WFieldHockey!$C:$O,M$1-2011,FALSE),0)+IFERROR(VLOOKUP($A116,WIceHockey!$C:$O,M$1-2011,FALSE),0)+IFERROR(VLOOKUP($A116,WLacrosse!$C:$O,M$1-2011,FALSE),0)+IFERROR(VLOOKUP($A116,WSoccer!$C:$O,M$1-2011,FALSE),0)+IFERROR(VLOOKUP($A116,WSoftball!$C:$O,M$1-2011,FALSE),0)+IFERROR(VLOOKUP($A116,WVolleyball!$C:$O,M$1-2011,FALSE),0)</f>
        <v>72349</v>
      </c>
      <c r="N116">
        <f>IFERROR(VLOOKUP($A116,MBaseball!$C:$N,N$1-2010,FALSE),0)+IFERROR(VLOOKUP($A116,MBasketball!$C:$J,N$1-2006,FALSE),0)+IFERROR(VLOOKUP($A116,MFootball!$C:$O,N$1-2011,FALSE),0)+IFERROR(VLOOKUP($A116,MIceHockey!$C:$P,N$1-2011,FALSE),0)+IFERROR(VLOOKUP($A116,MLacrosse!$C:$O,N$1-2011,FALSE),0)+IFERROR(VLOOKUP($A116,MSoccer!$C:$O,N$1-2011,FALSE),0)+IFERROR(VLOOKUP($A116,MVolleyball!$C:$O,N$1-2011,FALSE),0)+IFERROR(VLOOKUP($A116,WBasketball!$C:$O,N$1-2011,FALSE),0)+IFERROR(VLOOKUP($A116,WFieldHockey!$C:$O,N$1-2011,FALSE),0)+IFERROR(VLOOKUP($A116,WIceHockey!$C:$O,N$1-2011,FALSE),0)+IFERROR(VLOOKUP($A116,WLacrosse!$C:$O,N$1-2011,FALSE),0)+IFERROR(VLOOKUP($A116,WSoccer!$C:$O,N$1-2011,FALSE),0)+IFERROR(VLOOKUP($A116,WSoftball!$C:$O,N$1-2011,FALSE),0)+IFERROR(VLOOKUP($A116,WVolleyball!$C:$O,N$1-2011,FALSE),0)</f>
        <v>71133</v>
      </c>
    </row>
    <row r="117" spans="1:14" x14ac:dyDescent="0.2">
      <c r="A117">
        <v>154095</v>
      </c>
      <c r="B117">
        <v>47940</v>
      </c>
      <c r="C117" t="s">
        <v>174</v>
      </c>
      <c r="D117">
        <v>116</v>
      </c>
      <c r="E117">
        <f>IFERROR(VLOOKUP($A117,MBaseball!$C:$N,E$1-2010,FALSE),0)+IFERROR(VLOOKUP($A117,MBasketball!$C:$J,E$1-2006,FALSE),0)+IFERROR(VLOOKUP($A117,MFootball!$C:$O,E$1-2011,FALSE),0)+IFERROR(VLOOKUP($A117,MIceHockey!$C:$P,E$1-2011,FALSE),0)+IFERROR(VLOOKUP($A117,MLacrosse!$C:$O,E$1-2011,FALSE),0)+IFERROR(VLOOKUP($A117,MSoccer!$C:$O,E$1-2011,FALSE),0)+IFERROR(VLOOKUP($A117,MVolleyball!$C:$O,E$1-2011,FALSE),0)+IFERROR(VLOOKUP($A117,WBasketball!$C:$O,E$1-2011,FALSE),0)+IFERROR(VLOOKUP($A117,WFieldHockey!$C:$O,E$1-2011,FALSE),0)+IFERROR(VLOOKUP($A117,WIceHockey!$C:$O,E$1-2011,FALSE),0)+IFERROR(VLOOKUP($A117,WLacrosse!$C:$O,E$1-2011,FALSE),0)+IFERROR(VLOOKUP($A117,WSoccer!$C:$O,E$1-2011,FALSE),0)+IFERROR(VLOOKUP($A117,WSoftball!$C:$O,E$1-2011,FALSE),0)+IFERROR(VLOOKUP($A117,WVolleyball!$C:$O,E$1-2011,FALSE),0)</f>
        <v>126549</v>
      </c>
      <c r="F117">
        <f>IFERROR(VLOOKUP($A117,MBaseball!$C:$N,F$1-2010,FALSE),0)+IFERROR(VLOOKUP($A117,MBasketball!$C:$J,F$1-2006,FALSE),0)+IFERROR(VLOOKUP($A117,MFootball!$C:$O,F$1-2011,FALSE),0)+IFERROR(VLOOKUP($A117,MIceHockey!$C:$P,F$1-2011,FALSE),0)+IFERROR(VLOOKUP($A117,MLacrosse!$C:$O,F$1-2011,FALSE),0)+IFERROR(VLOOKUP($A117,MSoccer!$C:$O,F$1-2011,FALSE),0)+IFERROR(VLOOKUP($A117,MVolleyball!$C:$O,F$1-2011,FALSE),0)+IFERROR(VLOOKUP($A117,WBasketball!$C:$O,F$1-2011,FALSE),0)+IFERROR(VLOOKUP($A117,WFieldHockey!$C:$O,F$1-2011,FALSE),0)+IFERROR(VLOOKUP($A117,WIceHockey!$C:$O,F$1-2011,FALSE),0)+IFERROR(VLOOKUP($A117,WLacrosse!$C:$O,F$1-2011,FALSE),0)+IFERROR(VLOOKUP($A117,WSoccer!$C:$O,F$1-2011,FALSE),0)+IFERROR(VLOOKUP($A117,WSoftball!$C:$O,F$1-2011,FALSE),0)+IFERROR(VLOOKUP($A117,WVolleyball!$C:$O,F$1-2011,FALSE),0)</f>
        <v>160698</v>
      </c>
      <c r="G117">
        <f>IFERROR(VLOOKUP($A117,MBaseball!$C:$N,G$1-2010,FALSE),0)+IFERROR(VLOOKUP($A117,MBasketball!$C:$J,G$1-2006,FALSE),0)+IFERROR(VLOOKUP($A117,MFootball!$C:$O,G$1-2011,FALSE),0)+IFERROR(VLOOKUP($A117,MIceHockey!$C:$P,G$1-2011,FALSE),0)+IFERROR(VLOOKUP($A117,MLacrosse!$C:$O,G$1-2011,FALSE),0)+IFERROR(VLOOKUP($A117,MSoccer!$C:$O,G$1-2011,FALSE),0)+IFERROR(VLOOKUP($A117,MVolleyball!$C:$O,G$1-2011,FALSE),0)+IFERROR(VLOOKUP($A117,WBasketball!$C:$O,G$1-2011,FALSE),0)+IFERROR(VLOOKUP($A117,WFieldHockey!$C:$O,G$1-2011,FALSE),0)+IFERROR(VLOOKUP($A117,WIceHockey!$C:$O,G$1-2011,FALSE),0)+IFERROR(VLOOKUP($A117,WLacrosse!$C:$O,G$1-2011,FALSE),0)+IFERROR(VLOOKUP($A117,WSoccer!$C:$O,G$1-2011,FALSE),0)+IFERROR(VLOOKUP($A117,WSoftball!$C:$O,G$1-2011,FALSE),0)+IFERROR(VLOOKUP($A117,WVolleyball!$C:$O,G$1-2011,FALSE),0)</f>
        <v>126556</v>
      </c>
      <c r="H117">
        <f>IFERROR(VLOOKUP($A117,MBaseball!$C:$N,H$1-2010,FALSE),0)+IFERROR(VLOOKUP($A117,MBasketball!$C:$J,H$1-2006,FALSE),0)+IFERROR(VLOOKUP($A117,MFootball!$C:$O,H$1-2011,FALSE),0)+IFERROR(VLOOKUP($A117,MIceHockey!$C:$P,H$1-2011,FALSE),0)+IFERROR(VLOOKUP($A117,MLacrosse!$C:$O,H$1-2011,FALSE),0)+IFERROR(VLOOKUP($A117,MSoccer!$C:$O,H$1-2011,FALSE),0)+IFERROR(VLOOKUP($A117,MVolleyball!$C:$O,H$1-2011,FALSE),0)+IFERROR(VLOOKUP($A117,WBasketball!$C:$O,H$1-2011,FALSE),0)+IFERROR(VLOOKUP($A117,WFieldHockey!$C:$O,H$1-2011,FALSE),0)+IFERROR(VLOOKUP($A117,WIceHockey!$C:$O,H$1-2011,FALSE),0)+IFERROR(VLOOKUP($A117,WLacrosse!$C:$O,H$1-2011,FALSE),0)+IFERROR(VLOOKUP($A117,WSoccer!$C:$O,H$1-2011,FALSE),0)+IFERROR(VLOOKUP($A117,WSoftball!$C:$O,H$1-2011,FALSE),0)+IFERROR(VLOOKUP($A117,WVolleyball!$C:$O,H$1-2011,FALSE),0)</f>
        <v>117866</v>
      </c>
      <c r="I117">
        <f>IFERROR(VLOOKUP($A117,MBaseball!$C:$N,I$1-2010,FALSE),0)+IFERROR(VLOOKUP($A117,MBasketball!$C:$J,I$1-2006,FALSE),0)+IFERROR(VLOOKUP($A117,MFootball!$C:$O,I$1-2011,FALSE),0)+IFERROR(VLOOKUP($A117,MIceHockey!$C:$P,I$1-2011,FALSE),0)+IFERROR(VLOOKUP($A117,MLacrosse!$C:$O,I$1-2011,FALSE),0)+IFERROR(VLOOKUP($A117,MSoccer!$C:$O,I$1-2011,FALSE),0)+IFERROR(VLOOKUP($A117,MVolleyball!$C:$O,I$1-2011,FALSE),0)+IFERROR(VLOOKUP($A117,WBasketball!$C:$O,I$1-2011,FALSE),0)+IFERROR(VLOOKUP($A117,WFieldHockey!$C:$O,I$1-2011,FALSE),0)+IFERROR(VLOOKUP($A117,WIceHockey!$C:$O,I$1-2011,FALSE),0)+IFERROR(VLOOKUP($A117,WLacrosse!$C:$O,I$1-2011,FALSE),0)+IFERROR(VLOOKUP($A117,WSoccer!$C:$O,I$1-2011,FALSE),0)+IFERROR(VLOOKUP($A117,WSoftball!$C:$O,I$1-2011,FALSE),0)+IFERROR(VLOOKUP($A117,WVolleyball!$C:$O,I$1-2011,FALSE),0)</f>
        <v>109845</v>
      </c>
      <c r="J117">
        <f>IFERROR(VLOOKUP($A117,MBaseball!$C:$N,J$1-2010,FALSE),0)+IFERROR(VLOOKUP($A117,MBasketball!$C:$J,J$1-2006,FALSE),0)+IFERROR(VLOOKUP($A117,MFootball!$C:$O,J$1-2011,FALSE),0)+IFERROR(VLOOKUP($A117,MIceHockey!$C:$P,J$1-2011,FALSE),0)+IFERROR(VLOOKUP($A117,MLacrosse!$C:$O,J$1-2011,FALSE),0)+IFERROR(VLOOKUP($A117,MSoccer!$C:$O,J$1-2011,FALSE),0)+IFERROR(VLOOKUP($A117,MVolleyball!$C:$O,J$1-2011,FALSE),0)+IFERROR(VLOOKUP($A117,WBasketball!$C:$O,J$1-2011,FALSE),0)+IFERROR(VLOOKUP($A117,WFieldHockey!$C:$O,J$1-2011,FALSE),0)+IFERROR(VLOOKUP($A117,WIceHockey!$C:$O,J$1-2011,FALSE),0)+IFERROR(VLOOKUP($A117,WLacrosse!$C:$O,J$1-2011,FALSE),0)+IFERROR(VLOOKUP($A117,WSoccer!$C:$O,J$1-2011,FALSE),0)+IFERROR(VLOOKUP($A117,WSoftball!$C:$O,J$1-2011,FALSE),0)+IFERROR(VLOOKUP($A117,WVolleyball!$C:$O,J$1-2011,FALSE),0)</f>
        <v>111163</v>
      </c>
      <c r="K117">
        <f>IFERROR(VLOOKUP($A117,MBaseball!$C:$N,K$1-2010,FALSE),0)+IFERROR(VLOOKUP($A117,MBasketball!$C:$J,K$1-2006,FALSE),0)+IFERROR(VLOOKUP($A117,MFootball!$C:$O,K$1-2011,FALSE),0)+IFERROR(VLOOKUP($A117,MIceHockey!$C:$P,K$1-2011,FALSE),0)+IFERROR(VLOOKUP($A117,MLacrosse!$C:$O,K$1-2011,FALSE),0)+IFERROR(VLOOKUP($A117,MSoccer!$C:$O,K$1-2011,FALSE),0)+IFERROR(VLOOKUP($A117,MVolleyball!$C:$O,K$1-2011,FALSE),0)+IFERROR(VLOOKUP($A117,WBasketball!$C:$O,K$1-2011,FALSE),0)+IFERROR(VLOOKUP($A117,WFieldHockey!$C:$O,K$1-2011,FALSE),0)+IFERROR(VLOOKUP($A117,WIceHockey!$C:$O,K$1-2011,FALSE),0)+IFERROR(VLOOKUP($A117,WLacrosse!$C:$O,K$1-2011,FALSE),0)+IFERROR(VLOOKUP($A117,WSoccer!$C:$O,K$1-2011,FALSE),0)+IFERROR(VLOOKUP($A117,WSoftball!$C:$O,K$1-2011,FALSE),0)+IFERROR(VLOOKUP($A117,WVolleyball!$C:$O,K$1-2011,FALSE),0)</f>
        <v>110090</v>
      </c>
      <c r="L117">
        <f>IFERROR(VLOOKUP($A117,MBaseball!$C:$N,L$1-2010,FALSE),0)+IFERROR(VLOOKUP($A117,MBasketball!$C:$J,L$1-2006,FALSE),0)+IFERROR(VLOOKUP($A117,MFootball!$C:$O,L$1-2011,FALSE),0)+IFERROR(VLOOKUP($A117,MIceHockey!$C:$P,L$1-2011,FALSE),0)+IFERROR(VLOOKUP($A117,MLacrosse!$C:$O,L$1-2011,FALSE),0)+IFERROR(VLOOKUP($A117,MSoccer!$C:$O,L$1-2011,FALSE),0)+IFERROR(VLOOKUP($A117,MVolleyball!$C:$O,L$1-2011,FALSE),0)+IFERROR(VLOOKUP($A117,WBasketball!$C:$O,L$1-2011,FALSE),0)+IFERROR(VLOOKUP($A117,WFieldHockey!$C:$O,L$1-2011,FALSE),0)+IFERROR(VLOOKUP($A117,WIceHockey!$C:$O,L$1-2011,FALSE),0)+IFERROR(VLOOKUP($A117,WLacrosse!$C:$O,L$1-2011,FALSE),0)+IFERROR(VLOOKUP($A117,WSoccer!$C:$O,L$1-2011,FALSE),0)+IFERROR(VLOOKUP($A117,WSoftball!$C:$O,L$1-2011,FALSE),0)+IFERROR(VLOOKUP($A117,WVolleyball!$C:$O,L$1-2011,FALSE),0)</f>
        <v>17455</v>
      </c>
      <c r="M117">
        <f>IFERROR(VLOOKUP($A117,MBaseball!$C:$N,M$1-2010,FALSE),0)+IFERROR(VLOOKUP($A117,MBasketball!$C:$J,M$1-2006,FALSE),0)+IFERROR(VLOOKUP($A117,MFootball!$C:$O,M$1-2011,FALSE),0)+IFERROR(VLOOKUP($A117,MIceHockey!$C:$P,M$1-2011,FALSE),0)+IFERROR(VLOOKUP($A117,MLacrosse!$C:$O,M$1-2011,FALSE),0)+IFERROR(VLOOKUP($A117,MSoccer!$C:$O,M$1-2011,FALSE),0)+IFERROR(VLOOKUP($A117,MVolleyball!$C:$O,M$1-2011,FALSE),0)+IFERROR(VLOOKUP($A117,WBasketball!$C:$O,M$1-2011,FALSE),0)+IFERROR(VLOOKUP($A117,WFieldHockey!$C:$O,M$1-2011,FALSE),0)+IFERROR(VLOOKUP($A117,WIceHockey!$C:$O,M$1-2011,FALSE),0)+IFERROR(VLOOKUP($A117,WLacrosse!$C:$O,M$1-2011,FALSE),0)+IFERROR(VLOOKUP($A117,WSoccer!$C:$O,M$1-2011,FALSE),0)+IFERROR(VLOOKUP($A117,WSoftball!$C:$O,M$1-2011,FALSE),0)+IFERROR(VLOOKUP($A117,WVolleyball!$C:$O,M$1-2011,FALSE),0)</f>
        <v>66938</v>
      </c>
      <c r="N117">
        <f>IFERROR(VLOOKUP($A117,MBaseball!$C:$N,N$1-2010,FALSE),0)+IFERROR(VLOOKUP($A117,MBasketball!$C:$J,N$1-2006,FALSE),0)+IFERROR(VLOOKUP($A117,MFootball!$C:$O,N$1-2011,FALSE),0)+IFERROR(VLOOKUP($A117,MIceHockey!$C:$P,N$1-2011,FALSE),0)+IFERROR(VLOOKUP($A117,MLacrosse!$C:$O,N$1-2011,FALSE),0)+IFERROR(VLOOKUP($A117,MSoccer!$C:$O,N$1-2011,FALSE),0)+IFERROR(VLOOKUP($A117,MVolleyball!$C:$O,N$1-2011,FALSE),0)+IFERROR(VLOOKUP($A117,WBasketball!$C:$O,N$1-2011,FALSE),0)+IFERROR(VLOOKUP($A117,WFieldHockey!$C:$O,N$1-2011,FALSE),0)+IFERROR(VLOOKUP($A117,WIceHockey!$C:$O,N$1-2011,FALSE),0)+IFERROR(VLOOKUP($A117,WLacrosse!$C:$O,N$1-2011,FALSE),0)+IFERROR(VLOOKUP($A117,WSoccer!$C:$O,N$1-2011,FALSE),0)+IFERROR(VLOOKUP($A117,WSoftball!$C:$O,N$1-2011,FALSE),0)+IFERROR(VLOOKUP($A117,WVolleyball!$C:$O,N$1-2011,FALSE),0)</f>
        <v>110808</v>
      </c>
    </row>
    <row r="118" spans="1:14" x14ac:dyDescent="0.2">
      <c r="A118">
        <v>160038</v>
      </c>
      <c r="B118">
        <v>35060</v>
      </c>
      <c r="C118" t="s">
        <v>175</v>
      </c>
      <c r="D118">
        <v>117</v>
      </c>
      <c r="E118">
        <f>IFERROR(VLOOKUP($A118,MBaseball!$C:$N,E$1-2010,FALSE),0)+IFERROR(VLOOKUP($A118,MBasketball!$C:$J,E$1-2006,FALSE),0)+IFERROR(VLOOKUP($A118,MFootball!$C:$O,E$1-2011,FALSE),0)+IFERROR(VLOOKUP($A118,MIceHockey!$C:$P,E$1-2011,FALSE),0)+IFERROR(VLOOKUP($A118,MLacrosse!$C:$O,E$1-2011,FALSE),0)+IFERROR(VLOOKUP($A118,MSoccer!$C:$O,E$1-2011,FALSE),0)+IFERROR(VLOOKUP($A118,MVolleyball!$C:$O,E$1-2011,FALSE),0)+IFERROR(VLOOKUP($A118,WBasketball!$C:$O,E$1-2011,FALSE),0)+IFERROR(VLOOKUP($A118,WFieldHockey!$C:$O,E$1-2011,FALSE),0)+IFERROR(VLOOKUP($A118,WIceHockey!$C:$O,E$1-2011,FALSE),0)+IFERROR(VLOOKUP($A118,WLacrosse!$C:$O,E$1-2011,FALSE),0)+IFERROR(VLOOKUP($A118,WSoccer!$C:$O,E$1-2011,FALSE),0)+IFERROR(VLOOKUP($A118,WSoftball!$C:$O,E$1-2011,FALSE),0)+IFERROR(VLOOKUP($A118,WVolleyball!$C:$O,E$1-2011,FALSE),0)</f>
        <v>46890</v>
      </c>
      <c r="F118">
        <f>IFERROR(VLOOKUP($A118,MBaseball!$C:$N,F$1-2010,FALSE),0)+IFERROR(VLOOKUP($A118,MBasketball!$C:$J,F$1-2006,FALSE),0)+IFERROR(VLOOKUP($A118,MFootball!$C:$O,F$1-2011,FALSE),0)+IFERROR(VLOOKUP($A118,MIceHockey!$C:$P,F$1-2011,FALSE),0)+IFERROR(VLOOKUP($A118,MLacrosse!$C:$O,F$1-2011,FALSE),0)+IFERROR(VLOOKUP($A118,MSoccer!$C:$O,F$1-2011,FALSE),0)+IFERROR(VLOOKUP($A118,MVolleyball!$C:$O,F$1-2011,FALSE),0)+IFERROR(VLOOKUP($A118,WBasketball!$C:$O,F$1-2011,FALSE),0)+IFERROR(VLOOKUP($A118,WFieldHockey!$C:$O,F$1-2011,FALSE),0)+IFERROR(VLOOKUP($A118,WIceHockey!$C:$O,F$1-2011,FALSE),0)+IFERROR(VLOOKUP($A118,WLacrosse!$C:$O,F$1-2011,FALSE),0)+IFERROR(VLOOKUP($A118,WSoccer!$C:$O,F$1-2011,FALSE),0)+IFERROR(VLOOKUP($A118,WSoftball!$C:$O,F$1-2011,FALSE),0)+IFERROR(VLOOKUP($A118,WVolleyball!$C:$O,F$1-2011,FALSE),0)</f>
        <v>69936</v>
      </c>
      <c r="G118">
        <f>IFERROR(VLOOKUP($A118,MBaseball!$C:$N,G$1-2010,FALSE),0)+IFERROR(VLOOKUP($A118,MBasketball!$C:$J,G$1-2006,FALSE),0)+IFERROR(VLOOKUP($A118,MFootball!$C:$O,G$1-2011,FALSE),0)+IFERROR(VLOOKUP($A118,MIceHockey!$C:$P,G$1-2011,FALSE),0)+IFERROR(VLOOKUP($A118,MLacrosse!$C:$O,G$1-2011,FALSE),0)+IFERROR(VLOOKUP($A118,MSoccer!$C:$O,G$1-2011,FALSE),0)+IFERROR(VLOOKUP($A118,MVolleyball!$C:$O,G$1-2011,FALSE),0)+IFERROR(VLOOKUP($A118,WBasketball!$C:$O,G$1-2011,FALSE),0)+IFERROR(VLOOKUP($A118,WFieldHockey!$C:$O,G$1-2011,FALSE),0)+IFERROR(VLOOKUP($A118,WIceHockey!$C:$O,G$1-2011,FALSE),0)+IFERROR(VLOOKUP($A118,WLacrosse!$C:$O,G$1-2011,FALSE),0)+IFERROR(VLOOKUP($A118,WSoccer!$C:$O,G$1-2011,FALSE),0)+IFERROR(VLOOKUP($A118,WSoftball!$C:$O,G$1-2011,FALSE),0)+IFERROR(VLOOKUP($A118,WVolleyball!$C:$O,G$1-2011,FALSE),0)</f>
        <v>83937</v>
      </c>
      <c r="H118">
        <f>IFERROR(VLOOKUP($A118,MBaseball!$C:$N,H$1-2010,FALSE),0)+IFERROR(VLOOKUP($A118,MBasketball!$C:$J,H$1-2006,FALSE),0)+IFERROR(VLOOKUP($A118,MFootball!$C:$O,H$1-2011,FALSE),0)+IFERROR(VLOOKUP($A118,MIceHockey!$C:$P,H$1-2011,FALSE),0)+IFERROR(VLOOKUP($A118,MLacrosse!$C:$O,H$1-2011,FALSE),0)+IFERROR(VLOOKUP($A118,MSoccer!$C:$O,H$1-2011,FALSE),0)+IFERROR(VLOOKUP($A118,MVolleyball!$C:$O,H$1-2011,FALSE),0)+IFERROR(VLOOKUP($A118,WBasketball!$C:$O,H$1-2011,FALSE),0)+IFERROR(VLOOKUP($A118,WFieldHockey!$C:$O,H$1-2011,FALSE),0)+IFERROR(VLOOKUP($A118,WIceHockey!$C:$O,H$1-2011,FALSE),0)+IFERROR(VLOOKUP($A118,WLacrosse!$C:$O,H$1-2011,FALSE),0)+IFERROR(VLOOKUP($A118,WSoccer!$C:$O,H$1-2011,FALSE),0)+IFERROR(VLOOKUP($A118,WSoftball!$C:$O,H$1-2011,FALSE),0)+IFERROR(VLOOKUP($A118,WVolleyball!$C:$O,H$1-2011,FALSE),0)</f>
        <v>76869</v>
      </c>
      <c r="I118">
        <f>IFERROR(VLOOKUP($A118,MBaseball!$C:$N,I$1-2010,FALSE),0)+IFERROR(VLOOKUP($A118,MBasketball!$C:$J,I$1-2006,FALSE),0)+IFERROR(VLOOKUP($A118,MFootball!$C:$O,I$1-2011,FALSE),0)+IFERROR(VLOOKUP($A118,MIceHockey!$C:$P,I$1-2011,FALSE),0)+IFERROR(VLOOKUP($A118,MLacrosse!$C:$O,I$1-2011,FALSE),0)+IFERROR(VLOOKUP($A118,MSoccer!$C:$O,I$1-2011,FALSE),0)+IFERROR(VLOOKUP($A118,MVolleyball!$C:$O,I$1-2011,FALSE),0)+IFERROR(VLOOKUP($A118,WBasketball!$C:$O,I$1-2011,FALSE),0)+IFERROR(VLOOKUP($A118,WFieldHockey!$C:$O,I$1-2011,FALSE),0)+IFERROR(VLOOKUP($A118,WIceHockey!$C:$O,I$1-2011,FALSE),0)+IFERROR(VLOOKUP($A118,WLacrosse!$C:$O,I$1-2011,FALSE),0)+IFERROR(VLOOKUP($A118,WSoccer!$C:$O,I$1-2011,FALSE),0)+IFERROR(VLOOKUP($A118,WSoftball!$C:$O,I$1-2011,FALSE),0)+IFERROR(VLOOKUP($A118,WVolleyball!$C:$O,I$1-2011,FALSE),0)</f>
        <v>76452</v>
      </c>
      <c r="J118">
        <f>IFERROR(VLOOKUP($A118,MBaseball!$C:$N,J$1-2010,FALSE),0)+IFERROR(VLOOKUP($A118,MBasketball!$C:$J,J$1-2006,FALSE),0)+IFERROR(VLOOKUP($A118,MFootball!$C:$O,J$1-2011,FALSE),0)+IFERROR(VLOOKUP($A118,MIceHockey!$C:$P,J$1-2011,FALSE),0)+IFERROR(VLOOKUP($A118,MLacrosse!$C:$O,J$1-2011,FALSE),0)+IFERROR(VLOOKUP($A118,MSoccer!$C:$O,J$1-2011,FALSE),0)+IFERROR(VLOOKUP($A118,MVolleyball!$C:$O,J$1-2011,FALSE),0)+IFERROR(VLOOKUP($A118,WBasketball!$C:$O,J$1-2011,FALSE),0)+IFERROR(VLOOKUP($A118,WFieldHockey!$C:$O,J$1-2011,FALSE),0)+IFERROR(VLOOKUP($A118,WIceHockey!$C:$O,J$1-2011,FALSE),0)+IFERROR(VLOOKUP($A118,WLacrosse!$C:$O,J$1-2011,FALSE),0)+IFERROR(VLOOKUP($A118,WSoccer!$C:$O,J$1-2011,FALSE),0)+IFERROR(VLOOKUP($A118,WSoftball!$C:$O,J$1-2011,FALSE),0)+IFERROR(VLOOKUP($A118,WVolleyball!$C:$O,J$1-2011,FALSE),0)</f>
        <v>67213</v>
      </c>
      <c r="K118">
        <f>IFERROR(VLOOKUP($A118,MBaseball!$C:$N,K$1-2010,FALSE),0)+IFERROR(VLOOKUP($A118,MBasketball!$C:$J,K$1-2006,FALSE),0)+IFERROR(VLOOKUP($A118,MFootball!$C:$O,K$1-2011,FALSE),0)+IFERROR(VLOOKUP($A118,MIceHockey!$C:$P,K$1-2011,FALSE),0)+IFERROR(VLOOKUP($A118,MLacrosse!$C:$O,K$1-2011,FALSE),0)+IFERROR(VLOOKUP($A118,MSoccer!$C:$O,K$1-2011,FALSE),0)+IFERROR(VLOOKUP($A118,MVolleyball!$C:$O,K$1-2011,FALSE),0)+IFERROR(VLOOKUP($A118,WBasketball!$C:$O,K$1-2011,FALSE),0)+IFERROR(VLOOKUP($A118,WFieldHockey!$C:$O,K$1-2011,FALSE),0)+IFERROR(VLOOKUP($A118,WIceHockey!$C:$O,K$1-2011,FALSE),0)+IFERROR(VLOOKUP($A118,WLacrosse!$C:$O,K$1-2011,FALSE),0)+IFERROR(VLOOKUP($A118,WSoccer!$C:$O,K$1-2011,FALSE),0)+IFERROR(VLOOKUP($A118,WSoftball!$C:$O,K$1-2011,FALSE),0)+IFERROR(VLOOKUP($A118,WVolleyball!$C:$O,K$1-2011,FALSE),0)</f>
        <v>56295</v>
      </c>
      <c r="L118">
        <f>IFERROR(VLOOKUP($A118,MBaseball!$C:$N,L$1-2010,FALSE),0)+IFERROR(VLOOKUP($A118,MBasketball!$C:$J,L$1-2006,FALSE),0)+IFERROR(VLOOKUP($A118,MFootball!$C:$O,L$1-2011,FALSE),0)+IFERROR(VLOOKUP($A118,MIceHockey!$C:$P,L$1-2011,FALSE),0)+IFERROR(VLOOKUP($A118,MLacrosse!$C:$O,L$1-2011,FALSE),0)+IFERROR(VLOOKUP($A118,MSoccer!$C:$O,L$1-2011,FALSE),0)+IFERROR(VLOOKUP($A118,MVolleyball!$C:$O,L$1-2011,FALSE),0)+IFERROR(VLOOKUP($A118,WBasketball!$C:$O,L$1-2011,FALSE),0)+IFERROR(VLOOKUP($A118,WFieldHockey!$C:$O,L$1-2011,FALSE),0)+IFERROR(VLOOKUP($A118,WIceHockey!$C:$O,L$1-2011,FALSE),0)+IFERROR(VLOOKUP($A118,WLacrosse!$C:$O,L$1-2011,FALSE),0)+IFERROR(VLOOKUP($A118,WSoccer!$C:$O,L$1-2011,FALSE),0)+IFERROR(VLOOKUP($A118,WSoftball!$C:$O,L$1-2011,FALSE),0)+IFERROR(VLOOKUP($A118,WVolleyball!$C:$O,L$1-2011,FALSE),0)</f>
        <v>34346</v>
      </c>
      <c r="M118">
        <f>IFERROR(VLOOKUP($A118,MBaseball!$C:$N,M$1-2010,FALSE),0)+IFERROR(VLOOKUP($A118,MBasketball!$C:$J,M$1-2006,FALSE),0)+IFERROR(VLOOKUP($A118,MFootball!$C:$O,M$1-2011,FALSE),0)+IFERROR(VLOOKUP($A118,MIceHockey!$C:$P,M$1-2011,FALSE),0)+IFERROR(VLOOKUP($A118,MLacrosse!$C:$O,M$1-2011,FALSE),0)+IFERROR(VLOOKUP($A118,MSoccer!$C:$O,M$1-2011,FALSE),0)+IFERROR(VLOOKUP($A118,MVolleyball!$C:$O,M$1-2011,FALSE),0)+IFERROR(VLOOKUP($A118,WBasketball!$C:$O,M$1-2011,FALSE),0)+IFERROR(VLOOKUP($A118,WFieldHockey!$C:$O,M$1-2011,FALSE),0)+IFERROR(VLOOKUP($A118,WIceHockey!$C:$O,M$1-2011,FALSE),0)+IFERROR(VLOOKUP($A118,WLacrosse!$C:$O,M$1-2011,FALSE),0)+IFERROR(VLOOKUP($A118,WSoccer!$C:$O,M$1-2011,FALSE),0)+IFERROR(VLOOKUP($A118,WSoftball!$C:$O,M$1-2011,FALSE),0)+IFERROR(VLOOKUP($A118,WVolleyball!$C:$O,M$1-2011,FALSE),0)</f>
        <v>62549</v>
      </c>
      <c r="N118">
        <f>IFERROR(VLOOKUP($A118,MBaseball!$C:$N,N$1-2010,FALSE),0)+IFERROR(VLOOKUP($A118,MBasketball!$C:$J,N$1-2006,FALSE),0)+IFERROR(VLOOKUP($A118,MFootball!$C:$O,N$1-2011,FALSE),0)+IFERROR(VLOOKUP($A118,MIceHockey!$C:$P,N$1-2011,FALSE),0)+IFERROR(VLOOKUP($A118,MLacrosse!$C:$O,N$1-2011,FALSE),0)+IFERROR(VLOOKUP($A118,MSoccer!$C:$O,N$1-2011,FALSE),0)+IFERROR(VLOOKUP($A118,MVolleyball!$C:$O,N$1-2011,FALSE),0)+IFERROR(VLOOKUP($A118,WBasketball!$C:$O,N$1-2011,FALSE),0)+IFERROR(VLOOKUP($A118,WFieldHockey!$C:$O,N$1-2011,FALSE),0)+IFERROR(VLOOKUP($A118,WIceHockey!$C:$O,N$1-2011,FALSE),0)+IFERROR(VLOOKUP($A118,WLacrosse!$C:$O,N$1-2011,FALSE),0)+IFERROR(VLOOKUP($A118,WSoccer!$C:$O,N$1-2011,FALSE),0)+IFERROR(VLOOKUP($A118,WSoftball!$C:$O,N$1-2011,FALSE),0)+IFERROR(VLOOKUP($A118,WVolleyball!$C:$O,N$1-2011,FALSE),0)</f>
        <v>31945</v>
      </c>
    </row>
    <row r="119" spans="1:14" x14ac:dyDescent="0.2">
      <c r="A119">
        <v>171571</v>
      </c>
      <c r="B119">
        <v>19820</v>
      </c>
      <c r="C119" t="s">
        <v>176</v>
      </c>
      <c r="D119">
        <v>118</v>
      </c>
      <c r="E119">
        <f>IFERROR(VLOOKUP($A119,MBaseball!$C:$N,E$1-2010,FALSE),0)+IFERROR(VLOOKUP($A119,MBasketball!$C:$J,E$1-2006,FALSE),0)+IFERROR(VLOOKUP($A119,MFootball!$C:$O,E$1-2011,FALSE),0)+IFERROR(VLOOKUP($A119,MIceHockey!$C:$P,E$1-2011,FALSE),0)+IFERROR(VLOOKUP($A119,MLacrosse!$C:$O,E$1-2011,FALSE),0)+IFERROR(VLOOKUP($A119,MSoccer!$C:$O,E$1-2011,FALSE),0)+IFERROR(VLOOKUP($A119,MVolleyball!$C:$O,E$1-2011,FALSE),0)+IFERROR(VLOOKUP($A119,WBasketball!$C:$O,E$1-2011,FALSE),0)+IFERROR(VLOOKUP($A119,WFieldHockey!$C:$O,E$1-2011,FALSE),0)+IFERROR(VLOOKUP($A119,WIceHockey!$C:$O,E$1-2011,FALSE),0)+IFERROR(VLOOKUP($A119,WLacrosse!$C:$O,E$1-2011,FALSE),0)+IFERROR(VLOOKUP($A119,WSoccer!$C:$O,E$1-2011,FALSE),0)+IFERROR(VLOOKUP($A119,WSoftball!$C:$O,E$1-2011,FALSE),0)+IFERROR(VLOOKUP($A119,WVolleyball!$C:$O,E$1-2011,FALSE),0)</f>
        <v>66239</v>
      </c>
      <c r="F119">
        <f>IFERROR(VLOOKUP($A119,MBaseball!$C:$N,F$1-2010,FALSE),0)+IFERROR(VLOOKUP($A119,MBasketball!$C:$J,F$1-2006,FALSE),0)+IFERROR(VLOOKUP($A119,MFootball!$C:$O,F$1-2011,FALSE),0)+IFERROR(VLOOKUP($A119,MIceHockey!$C:$P,F$1-2011,FALSE),0)+IFERROR(VLOOKUP($A119,MLacrosse!$C:$O,F$1-2011,FALSE),0)+IFERROR(VLOOKUP($A119,MSoccer!$C:$O,F$1-2011,FALSE),0)+IFERROR(VLOOKUP($A119,MVolleyball!$C:$O,F$1-2011,FALSE),0)+IFERROR(VLOOKUP($A119,WBasketball!$C:$O,F$1-2011,FALSE),0)+IFERROR(VLOOKUP($A119,WFieldHockey!$C:$O,F$1-2011,FALSE),0)+IFERROR(VLOOKUP($A119,WIceHockey!$C:$O,F$1-2011,FALSE),0)+IFERROR(VLOOKUP($A119,WLacrosse!$C:$O,F$1-2011,FALSE),0)+IFERROR(VLOOKUP($A119,WSoccer!$C:$O,F$1-2011,FALSE),0)+IFERROR(VLOOKUP($A119,WSoftball!$C:$O,F$1-2011,FALSE),0)+IFERROR(VLOOKUP($A119,WVolleyball!$C:$O,F$1-2011,FALSE),0)</f>
        <v>28290</v>
      </c>
      <c r="G119">
        <f>IFERROR(VLOOKUP($A119,MBaseball!$C:$N,G$1-2010,FALSE),0)+IFERROR(VLOOKUP($A119,MBasketball!$C:$J,G$1-2006,FALSE),0)+IFERROR(VLOOKUP($A119,MFootball!$C:$O,G$1-2011,FALSE),0)+IFERROR(VLOOKUP($A119,MIceHockey!$C:$P,G$1-2011,FALSE),0)+IFERROR(VLOOKUP($A119,MLacrosse!$C:$O,G$1-2011,FALSE),0)+IFERROR(VLOOKUP($A119,MSoccer!$C:$O,G$1-2011,FALSE),0)+IFERROR(VLOOKUP($A119,MVolleyball!$C:$O,G$1-2011,FALSE),0)+IFERROR(VLOOKUP($A119,WBasketball!$C:$O,G$1-2011,FALSE),0)+IFERROR(VLOOKUP($A119,WFieldHockey!$C:$O,G$1-2011,FALSE),0)+IFERROR(VLOOKUP($A119,WIceHockey!$C:$O,G$1-2011,FALSE),0)+IFERROR(VLOOKUP($A119,WLacrosse!$C:$O,G$1-2011,FALSE),0)+IFERROR(VLOOKUP($A119,WSoccer!$C:$O,G$1-2011,FALSE),0)+IFERROR(VLOOKUP($A119,WSoftball!$C:$O,G$1-2011,FALSE),0)+IFERROR(VLOOKUP($A119,WVolleyball!$C:$O,G$1-2011,FALSE),0)</f>
        <v>26502</v>
      </c>
      <c r="H119">
        <f>IFERROR(VLOOKUP($A119,MBaseball!$C:$N,H$1-2010,FALSE),0)+IFERROR(VLOOKUP($A119,MBasketball!$C:$J,H$1-2006,FALSE),0)+IFERROR(VLOOKUP($A119,MFootball!$C:$O,H$1-2011,FALSE),0)+IFERROR(VLOOKUP($A119,MIceHockey!$C:$P,H$1-2011,FALSE),0)+IFERROR(VLOOKUP($A119,MLacrosse!$C:$O,H$1-2011,FALSE),0)+IFERROR(VLOOKUP($A119,MSoccer!$C:$O,H$1-2011,FALSE),0)+IFERROR(VLOOKUP($A119,MVolleyball!$C:$O,H$1-2011,FALSE),0)+IFERROR(VLOOKUP($A119,WBasketball!$C:$O,H$1-2011,FALSE),0)+IFERROR(VLOOKUP($A119,WFieldHockey!$C:$O,H$1-2011,FALSE),0)+IFERROR(VLOOKUP($A119,WIceHockey!$C:$O,H$1-2011,FALSE),0)+IFERROR(VLOOKUP($A119,WLacrosse!$C:$O,H$1-2011,FALSE),0)+IFERROR(VLOOKUP($A119,WSoccer!$C:$O,H$1-2011,FALSE),0)+IFERROR(VLOOKUP($A119,WSoftball!$C:$O,H$1-2011,FALSE),0)+IFERROR(VLOOKUP($A119,WVolleyball!$C:$O,H$1-2011,FALSE),0)</f>
        <v>25335</v>
      </c>
      <c r="I119">
        <f>IFERROR(VLOOKUP($A119,MBaseball!$C:$N,I$1-2010,FALSE),0)+IFERROR(VLOOKUP($A119,MBasketball!$C:$J,I$1-2006,FALSE),0)+IFERROR(VLOOKUP($A119,MFootball!$C:$O,I$1-2011,FALSE),0)+IFERROR(VLOOKUP($A119,MIceHockey!$C:$P,I$1-2011,FALSE),0)+IFERROR(VLOOKUP($A119,MLacrosse!$C:$O,I$1-2011,FALSE),0)+IFERROR(VLOOKUP($A119,MSoccer!$C:$O,I$1-2011,FALSE),0)+IFERROR(VLOOKUP($A119,MVolleyball!$C:$O,I$1-2011,FALSE),0)+IFERROR(VLOOKUP($A119,WBasketball!$C:$O,I$1-2011,FALSE),0)+IFERROR(VLOOKUP($A119,WFieldHockey!$C:$O,I$1-2011,FALSE),0)+IFERROR(VLOOKUP($A119,WIceHockey!$C:$O,I$1-2011,FALSE),0)+IFERROR(VLOOKUP($A119,WLacrosse!$C:$O,I$1-2011,FALSE),0)+IFERROR(VLOOKUP($A119,WSoccer!$C:$O,I$1-2011,FALSE),0)+IFERROR(VLOOKUP($A119,WSoftball!$C:$O,I$1-2011,FALSE),0)+IFERROR(VLOOKUP($A119,WVolleyball!$C:$O,I$1-2011,FALSE),0)</f>
        <v>19104</v>
      </c>
      <c r="J119">
        <f>IFERROR(VLOOKUP($A119,MBaseball!$C:$N,J$1-2010,FALSE),0)+IFERROR(VLOOKUP($A119,MBasketball!$C:$J,J$1-2006,FALSE),0)+IFERROR(VLOOKUP($A119,MFootball!$C:$O,J$1-2011,FALSE),0)+IFERROR(VLOOKUP($A119,MIceHockey!$C:$P,J$1-2011,FALSE),0)+IFERROR(VLOOKUP($A119,MLacrosse!$C:$O,J$1-2011,FALSE),0)+IFERROR(VLOOKUP($A119,MSoccer!$C:$O,J$1-2011,FALSE),0)+IFERROR(VLOOKUP($A119,MVolleyball!$C:$O,J$1-2011,FALSE),0)+IFERROR(VLOOKUP($A119,WBasketball!$C:$O,J$1-2011,FALSE),0)+IFERROR(VLOOKUP($A119,WFieldHockey!$C:$O,J$1-2011,FALSE),0)+IFERROR(VLOOKUP($A119,WIceHockey!$C:$O,J$1-2011,FALSE),0)+IFERROR(VLOOKUP($A119,WLacrosse!$C:$O,J$1-2011,FALSE),0)+IFERROR(VLOOKUP($A119,WSoccer!$C:$O,J$1-2011,FALSE),0)+IFERROR(VLOOKUP($A119,WSoftball!$C:$O,J$1-2011,FALSE),0)+IFERROR(VLOOKUP($A119,WVolleyball!$C:$O,J$1-2011,FALSE),0)</f>
        <v>25192</v>
      </c>
      <c r="K119">
        <f>IFERROR(VLOOKUP($A119,MBaseball!$C:$N,K$1-2010,FALSE),0)+IFERROR(VLOOKUP($A119,MBasketball!$C:$J,K$1-2006,FALSE),0)+IFERROR(VLOOKUP($A119,MFootball!$C:$O,K$1-2011,FALSE),0)+IFERROR(VLOOKUP($A119,MIceHockey!$C:$P,K$1-2011,FALSE),0)+IFERROR(VLOOKUP($A119,MLacrosse!$C:$O,K$1-2011,FALSE),0)+IFERROR(VLOOKUP($A119,MSoccer!$C:$O,K$1-2011,FALSE),0)+IFERROR(VLOOKUP($A119,MVolleyball!$C:$O,K$1-2011,FALSE),0)+IFERROR(VLOOKUP($A119,WBasketball!$C:$O,K$1-2011,FALSE),0)+IFERROR(VLOOKUP($A119,WFieldHockey!$C:$O,K$1-2011,FALSE),0)+IFERROR(VLOOKUP($A119,WIceHockey!$C:$O,K$1-2011,FALSE),0)+IFERROR(VLOOKUP($A119,WLacrosse!$C:$O,K$1-2011,FALSE),0)+IFERROR(VLOOKUP($A119,WSoccer!$C:$O,K$1-2011,FALSE),0)+IFERROR(VLOOKUP($A119,WSoftball!$C:$O,K$1-2011,FALSE),0)+IFERROR(VLOOKUP($A119,WVolleyball!$C:$O,K$1-2011,FALSE),0)</f>
        <v>16692</v>
      </c>
      <c r="L119">
        <f>IFERROR(VLOOKUP($A119,MBaseball!$C:$N,L$1-2010,FALSE),0)+IFERROR(VLOOKUP($A119,MBasketball!$C:$J,L$1-2006,FALSE),0)+IFERROR(VLOOKUP($A119,MFootball!$C:$O,L$1-2011,FALSE),0)+IFERROR(VLOOKUP($A119,MIceHockey!$C:$P,L$1-2011,FALSE),0)+IFERROR(VLOOKUP($A119,MLacrosse!$C:$O,L$1-2011,FALSE),0)+IFERROR(VLOOKUP($A119,MSoccer!$C:$O,L$1-2011,FALSE),0)+IFERROR(VLOOKUP($A119,MVolleyball!$C:$O,L$1-2011,FALSE),0)+IFERROR(VLOOKUP($A119,WBasketball!$C:$O,L$1-2011,FALSE),0)+IFERROR(VLOOKUP($A119,WFieldHockey!$C:$O,L$1-2011,FALSE),0)+IFERROR(VLOOKUP($A119,WIceHockey!$C:$O,L$1-2011,FALSE),0)+IFERROR(VLOOKUP($A119,WLacrosse!$C:$O,L$1-2011,FALSE),0)+IFERROR(VLOOKUP($A119,WSoccer!$C:$O,L$1-2011,FALSE),0)+IFERROR(VLOOKUP($A119,WSoftball!$C:$O,L$1-2011,FALSE),0)+IFERROR(VLOOKUP($A119,WVolleyball!$C:$O,L$1-2011,FALSE),0)</f>
        <v>3351</v>
      </c>
      <c r="M119">
        <f>IFERROR(VLOOKUP($A119,MBaseball!$C:$N,M$1-2010,FALSE),0)+IFERROR(VLOOKUP($A119,MBasketball!$C:$J,M$1-2006,FALSE),0)+IFERROR(VLOOKUP($A119,MFootball!$C:$O,M$1-2011,FALSE),0)+IFERROR(VLOOKUP($A119,MIceHockey!$C:$P,M$1-2011,FALSE),0)+IFERROR(VLOOKUP($A119,MLacrosse!$C:$O,M$1-2011,FALSE),0)+IFERROR(VLOOKUP($A119,MSoccer!$C:$O,M$1-2011,FALSE),0)+IFERROR(VLOOKUP($A119,MVolleyball!$C:$O,M$1-2011,FALSE),0)+IFERROR(VLOOKUP($A119,WBasketball!$C:$O,M$1-2011,FALSE),0)+IFERROR(VLOOKUP($A119,WFieldHockey!$C:$O,M$1-2011,FALSE),0)+IFERROR(VLOOKUP($A119,WIceHockey!$C:$O,M$1-2011,FALSE),0)+IFERROR(VLOOKUP($A119,WLacrosse!$C:$O,M$1-2011,FALSE),0)+IFERROR(VLOOKUP($A119,WSoccer!$C:$O,M$1-2011,FALSE),0)+IFERROR(VLOOKUP($A119,WSoftball!$C:$O,M$1-2011,FALSE),0)+IFERROR(VLOOKUP($A119,WVolleyball!$C:$O,M$1-2011,FALSE),0)</f>
        <v>21707</v>
      </c>
      <c r="N119">
        <f>IFERROR(VLOOKUP($A119,MBaseball!$C:$N,N$1-2010,FALSE),0)+IFERROR(VLOOKUP($A119,MBasketball!$C:$J,N$1-2006,FALSE),0)+IFERROR(VLOOKUP($A119,MFootball!$C:$O,N$1-2011,FALSE),0)+IFERROR(VLOOKUP($A119,MIceHockey!$C:$P,N$1-2011,FALSE),0)+IFERROR(VLOOKUP($A119,MLacrosse!$C:$O,N$1-2011,FALSE),0)+IFERROR(VLOOKUP($A119,MSoccer!$C:$O,N$1-2011,FALSE),0)+IFERROR(VLOOKUP($A119,MVolleyball!$C:$O,N$1-2011,FALSE),0)+IFERROR(VLOOKUP($A119,WBasketball!$C:$O,N$1-2011,FALSE),0)+IFERROR(VLOOKUP($A119,WFieldHockey!$C:$O,N$1-2011,FALSE),0)+IFERROR(VLOOKUP($A119,WIceHockey!$C:$O,N$1-2011,FALSE),0)+IFERROR(VLOOKUP($A119,WLacrosse!$C:$O,N$1-2011,FALSE),0)+IFERROR(VLOOKUP($A119,WSoccer!$C:$O,N$1-2011,FALSE),0)+IFERROR(VLOOKUP($A119,WSoftball!$C:$O,N$1-2011,FALSE),0)+IFERROR(VLOOKUP($A119,WVolleyball!$C:$O,N$1-2011,FALSE),0)</f>
        <v>12927</v>
      </c>
    </row>
    <row r="120" spans="1:14" x14ac:dyDescent="0.2">
      <c r="A120">
        <v>204857</v>
      </c>
      <c r="B120">
        <v>11900</v>
      </c>
      <c r="C120" t="s">
        <v>177</v>
      </c>
      <c r="D120">
        <v>119</v>
      </c>
      <c r="E120">
        <f>IFERROR(VLOOKUP($A120,MBaseball!$C:$N,E$1-2010,FALSE),0)+IFERROR(VLOOKUP($A120,MBasketball!$C:$J,E$1-2006,FALSE),0)+IFERROR(VLOOKUP($A120,MFootball!$C:$O,E$1-2011,FALSE),0)+IFERROR(VLOOKUP($A120,MIceHockey!$C:$P,E$1-2011,FALSE),0)+IFERROR(VLOOKUP($A120,MLacrosse!$C:$O,E$1-2011,FALSE),0)+IFERROR(VLOOKUP($A120,MSoccer!$C:$O,E$1-2011,FALSE),0)+IFERROR(VLOOKUP($A120,MVolleyball!$C:$O,E$1-2011,FALSE),0)+IFERROR(VLOOKUP($A120,WBasketball!$C:$O,E$1-2011,FALSE),0)+IFERROR(VLOOKUP($A120,WFieldHockey!$C:$O,E$1-2011,FALSE),0)+IFERROR(VLOOKUP($A120,WIceHockey!$C:$O,E$1-2011,FALSE),0)+IFERROR(VLOOKUP($A120,WLacrosse!$C:$O,E$1-2011,FALSE),0)+IFERROR(VLOOKUP($A120,WSoccer!$C:$O,E$1-2011,FALSE),0)+IFERROR(VLOOKUP($A120,WSoftball!$C:$O,E$1-2011,FALSE),0)+IFERROR(VLOOKUP($A120,WVolleyball!$C:$O,E$1-2011,FALSE),0)</f>
        <v>129173</v>
      </c>
      <c r="F120">
        <f>IFERROR(VLOOKUP($A120,MBaseball!$C:$N,F$1-2010,FALSE),0)+IFERROR(VLOOKUP($A120,MBasketball!$C:$J,F$1-2006,FALSE),0)+IFERROR(VLOOKUP($A120,MFootball!$C:$O,F$1-2011,FALSE),0)+IFERROR(VLOOKUP($A120,MIceHockey!$C:$P,F$1-2011,FALSE),0)+IFERROR(VLOOKUP($A120,MLacrosse!$C:$O,F$1-2011,FALSE),0)+IFERROR(VLOOKUP($A120,MSoccer!$C:$O,F$1-2011,FALSE),0)+IFERROR(VLOOKUP($A120,MVolleyball!$C:$O,F$1-2011,FALSE),0)+IFERROR(VLOOKUP($A120,WBasketball!$C:$O,F$1-2011,FALSE),0)+IFERROR(VLOOKUP($A120,WFieldHockey!$C:$O,F$1-2011,FALSE),0)+IFERROR(VLOOKUP($A120,WIceHockey!$C:$O,F$1-2011,FALSE),0)+IFERROR(VLOOKUP($A120,WLacrosse!$C:$O,F$1-2011,FALSE),0)+IFERROR(VLOOKUP($A120,WSoccer!$C:$O,F$1-2011,FALSE),0)+IFERROR(VLOOKUP($A120,WSoftball!$C:$O,F$1-2011,FALSE),0)+IFERROR(VLOOKUP($A120,WVolleyball!$C:$O,F$1-2011,FALSE),0)</f>
        <v>178206</v>
      </c>
      <c r="G120">
        <f>IFERROR(VLOOKUP($A120,MBaseball!$C:$N,G$1-2010,FALSE),0)+IFERROR(VLOOKUP($A120,MBasketball!$C:$J,G$1-2006,FALSE),0)+IFERROR(VLOOKUP($A120,MFootball!$C:$O,G$1-2011,FALSE),0)+IFERROR(VLOOKUP($A120,MIceHockey!$C:$P,G$1-2011,FALSE),0)+IFERROR(VLOOKUP($A120,MLacrosse!$C:$O,G$1-2011,FALSE),0)+IFERROR(VLOOKUP($A120,MSoccer!$C:$O,G$1-2011,FALSE),0)+IFERROR(VLOOKUP($A120,MVolleyball!$C:$O,G$1-2011,FALSE),0)+IFERROR(VLOOKUP($A120,WBasketball!$C:$O,G$1-2011,FALSE),0)+IFERROR(VLOOKUP($A120,WFieldHockey!$C:$O,G$1-2011,FALSE),0)+IFERROR(VLOOKUP($A120,WIceHockey!$C:$O,G$1-2011,FALSE),0)+IFERROR(VLOOKUP($A120,WLacrosse!$C:$O,G$1-2011,FALSE),0)+IFERROR(VLOOKUP($A120,WSoccer!$C:$O,G$1-2011,FALSE),0)+IFERROR(VLOOKUP($A120,WSoftball!$C:$O,G$1-2011,FALSE),0)+IFERROR(VLOOKUP($A120,WVolleyball!$C:$O,G$1-2011,FALSE),0)</f>
        <v>198148</v>
      </c>
      <c r="H120">
        <f>IFERROR(VLOOKUP($A120,MBaseball!$C:$N,H$1-2010,FALSE),0)+IFERROR(VLOOKUP($A120,MBasketball!$C:$J,H$1-2006,FALSE),0)+IFERROR(VLOOKUP($A120,MFootball!$C:$O,H$1-2011,FALSE),0)+IFERROR(VLOOKUP($A120,MIceHockey!$C:$P,H$1-2011,FALSE),0)+IFERROR(VLOOKUP($A120,MLacrosse!$C:$O,H$1-2011,FALSE),0)+IFERROR(VLOOKUP($A120,MSoccer!$C:$O,H$1-2011,FALSE),0)+IFERROR(VLOOKUP($A120,MVolleyball!$C:$O,H$1-2011,FALSE),0)+IFERROR(VLOOKUP($A120,WBasketball!$C:$O,H$1-2011,FALSE),0)+IFERROR(VLOOKUP($A120,WFieldHockey!$C:$O,H$1-2011,FALSE),0)+IFERROR(VLOOKUP($A120,WIceHockey!$C:$O,H$1-2011,FALSE),0)+IFERROR(VLOOKUP($A120,WLacrosse!$C:$O,H$1-2011,FALSE),0)+IFERROR(VLOOKUP($A120,WSoccer!$C:$O,H$1-2011,FALSE),0)+IFERROR(VLOOKUP($A120,WSoftball!$C:$O,H$1-2011,FALSE),0)+IFERROR(VLOOKUP($A120,WVolleyball!$C:$O,H$1-2011,FALSE),0)</f>
        <v>194184</v>
      </c>
      <c r="I120">
        <f>IFERROR(VLOOKUP($A120,MBaseball!$C:$N,I$1-2010,FALSE),0)+IFERROR(VLOOKUP($A120,MBasketball!$C:$J,I$1-2006,FALSE),0)+IFERROR(VLOOKUP($A120,MFootball!$C:$O,I$1-2011,FALSE),0)+IFERROR(VLOOKUP($A120,MIceHockey!$C:$P,I$1-2011,FALSE),0)+IFERROR(VLOOKUP($A120,MLacrosse!$C:$O,I$1-2011,FALSE),0)+IFERROR(VLOOKUP($A120,MSoccer!$C:$O,I$1-2011,FALSE),0)+IFERROR(VLOOKUP($A120,MVolleyball!$C:$O,I$1-2011,FALSE),0)+IFERROR(VLOOKUP($A120,WBasketball!$C:$O,I$1-2011,FALSE),0)+IFERROR(VLOOKUP($A120,WFieldHockey!$C:$O,I$1-2011,FALSE),0)+IFERROR(VLOOKUP($A120,WIceHockey!$C:$O,I$1-2011,FALSE),0)+IFERROR(VLOOKUP($A120,WLacrosse!$C:$O,I$1-2011,FALSE),0)+IFERROR(VLOOKUP($A120,WSoccer!$C:$O,I$1-2011,FALSE),0)+IFERROR(VLOOKUP($A120,WSoftball!$C:$O,I$1-2011,FALSE),0)+IFERROR(VLOOKUP($A120,WVolleyball!$C:$O,I$1-2011,FALSE),0)</f>
        <v>160799</v>
      </c>
      <c r="J120">
        <f>IFERROR(VLOOKUP($A120,MBaseball!$C:$N,J$1-2010,FALSE),0)+IFERROR(VLOOKUP($A120,MBasketball!$C:$J,J$1-2006,FALSE),0)+IFERROR(VLOOKUP($A120,MFootball!$C:$O,J$1-2011,FALSE),0)+IFERROR(VLOOKUP($A120,MIceHockey!$C:$P,J$1-2011,FALSE),0)+IFERROR(VLOOKUP($A120,MLacrosse!$C:$O,J$1-2011,FALSE),0)+IFERROR(VLOOKUP($A120,MSoccer!$C:$O,J$1-2011,FALSE),0)+IFERROR(VLOOKUP($A120,MVolleyball!$C:$O,J$1-2011,FALSE),0)+IFERROR(VLOOKUP($A120,WBasketball!$C:$O,J$1-2011,FALSE),0)+IFERROR(VLOOKUP($A120,WFieldHockey!$C:$O,J$1-2011,FALSE),0)+IFERROR(VLOOKUP($A120,WIceHockey!$C:$O,J$1-2011,FALSE),0)+IFERROR(VLOOKUP($A120,WLacrosse!$C:$O,J$1-2011,FALSE),0)+IFERROR(VLOOKUP($A120,WSoccer!$C:$O,J$1-2011,FALSE),0)+IFERROR(VLOOKUP($A120,WSoftball!$C:$O,J$1-2011,FALSE),0)+IFERROR(VLOOKUP($A120,WVolleyball!$C:$O,J$1-2011,FALSE),0)</f>
        <v>120865</v>
      </c>
      <c r="K120">
        <f>IFERROR(VLOOKUP($A120,MBaseball!$C:$N,K$1-2010,FALSE),0)+IFERROR(VLOOKUP($A120,MBasketball!$C:$J,K$1-2006,FALSE),0)+IFERROR(VLOOKUP($A120,MFootball!$C:$O,K$1-2011,FALSE),0)+IFERROR(VLOOKUP($A120,MIceHockey!$C:$P,K$1-2011,FALSE),0)+IFERROR(VLOOKUP($A120,MLacrosse!$C:$O,K$1-2011,FALSE),0)+IFERROR(VLOOKUP($A120,MSoccer!$C:$O,K$1-2011,FALSE),0)+IFERROR(VLOOKUP($A120,MVolleyball!$C:$O,K$1-2011,FALSE),0)+IFERROR(VLOOKUP($A120,WBasketball!$C:$O,K$1-2011,FALSE),0)+IFERROR(VLOOKUP($A120,WFieldHockey!$C:$O,K$1-2011,FALSE),0)+IFERROR(VLOOKUP($A120,WIceHockey!$C:$O,K$1-2011,FALSE),0)+IFERROR(VLOOKUP($A120,WLacrosse!$C:$O,K$1-2011,FALSE),0)+IFERROR(VLOOKUP($A120,WSoccer!$C:$O,K$1-2011,FALSE),0)+IFERROR(VLOOKUP($A120,WSoftball!$C:$O,K$1-2011,FALSE),0)+IFERROR(VLOOKUP($A120,WVolleyball!$C:$O,K$1-2011,FALSE),0)</f>
        <v>117887</v>
      </c>
      <c r="L120">
        <f>IFERROR(VLOOKUP($A120,MBaseball!$C:$N,L$1-2010,FALSE),0)+IFERROR(VLOOKUP($A120,MBasketball!$C:$J,L$1-2006,FALSE),0)+IFERROR(VLOOKUP($A120,MFootball!$C:$O,L$1-2011,FALSE),0)+IFERROR(VLOOKUP($A120,MIceHockey!$C:$P,L$1-2011,FALSE),0)+IFERROR(VLOOKUP($A120,MLacrosse!$C:$O,L$1-2011,FALSE),0)+IFERROR(VLOOKUP($A120,MSoccer!$C:$O,L$1-2011,FALSE),0)+IFERROR(VLOOKUP($A120,MVolleyball!$C:$O,L$1-2011,FALSE),0)+IFERROR(VLOOKUP($A120,WBasketball!$C:$O,L$1-2011,FALSE),0)+IFERROR(VLOOKUP($A120,WFieldHockey!$C:$O,L$1-2011,FALSE),0)+IFERROR(VLOOKUP($A120,WIceHockey!$C:$O,L$1-2011,FALSE),0)+IFERROR(VLOOKUP($A120,WLacrosse!$C:$O,L$1-2011,FALSE),0)+IFERROR(VLOOKUP($A120,WSoccer!$C:$O,L$1-2011,FALSE),0)+IFERROR(VLOOKUP($A120,WSoftball!$C:$O,L$1-2011,FALSE),0)+IFERROR(VLOOKUP($A120,WVolleyball!$C:$O,L$1-2011,FALSE),0)</f>
        <v>7022</v>
      </c>
      <c r="M120">
        <f>IFERROR(VLOOKUP($A120,MBaseball!$C:$N,M$1-2010,FALSE),0)+IFERROR(VLOOKUP($A120,MBasketball!$C:$J,M$1-2006,FALSE),0)+IFERROR(VLOOKUP($A120,MFootball!$C:$O,M$1-2011,FALSE),0)+IFERROR(VLOOKUP($A120,MIceHockey!$C:$P,M$1-2011,FALSE),0)+IFERROR(VLOOKUP($A120,MLacrosse!$C:$O,M$1-2011,FALSE),0)+IFERROR(VLOOKUP($A120,MSoccer!$C:$O,M$1-2011,FALSE),0)+IFERROR(VLOOKUP($A120,MVolleyball!$C:$O,M$1-2011,FALSE),0)+IFERROR(VLOOKUP($A120,WBasketball!$C:$O,M$1-2011,FALSE),0)+IFERROR(VLOOKUP($A120,WFieldHockey!$C:$O,M$1-2011,FALSE),0)+IFERROR(VLOOKUP($A120,WIceHockey!$C:$O,M$1-2011,FALSE),0)+IFERROR(VLOOKUP($A120,WLacrosse!$C:$O,M$1-2011,FALSE),0)+IFERROR(VLOOKUP($A120,WSoccer!$C:$O,M$1-2011,FALSE),0)+IFERROR(VLOOKUP($A120,WSoftball!$C:$O,M$1-2011,FALSE),0)+IFERROR(VLOOKUP($A120,WVolleyball!$C:$O,M$1-2011,FALSE),0)</f>
        <v>133405</v>
      </c>
      <c r="N120">
        <f>IFERROR(VLOOKUP($A120,MBaseball!$C:$N,N$1-2010,FALSE),0)+IFERROR(VLOOKUP($A120,MBasketball!$C:$J,N$1-2006,FALSE),0)+IFERROR(VLOOKUP($A120,MFootball!$C:$O,N$1-2011,FALSE),0)+IFERROR(VLOOKUP($A120,MIceHockey!$C:$P,N$1-2011,FALSE),0)+IFERROR(VLOOKUP($A120,MLacrosse!$C:$O,N$1-2011,FALSE),0)+IFERROR(VLOOKUP($A120,MSoccer!$C:$O,N$1-2011,FALSE),0)+IFERROR(VLOOKUP($A120,MVolleyball!$C:$O,N$1-2011,FALSE),0)+IFERROR(VLOOKUP($A120,WBasketball!$C:$O,N$1-2011,FALSE),0)+IFERROR(VLOOKUP($A120,WFieldHockey!$C:$O,N$1-2011,FALSE),0)+IFERROR(VLOOKUP($A120,WIceHockey!$C:$O,N$1-2011,FALSE),0)+IFERROR(VLOOKUP($A120,WLacrosse!$C:$O,N$1-2011,FALSE),0)+IFERROR(VLOOKUP($A120,WSoccer!$C:$O,N$1-2011,FALSE),0)+IFERROR(VLOOKUP($A120,WSoftball!$C:$O,N$1-2011,FALSE),0)+IFERROR(VLOOKUP($A120,WVolleyball!$C:$O,N$1-2011,FALSE),0)</f>
        <v>137167</v>
      </c>
    </row>
    <row r="121" spans="1:14" x14ac:dyDescent="0.2">
      <c r="A121">
        <v>204796</v>
      </c>
      <c r="B121">
        <v>18140</v>
      </c>
      <c r="C121" t="s">
        <v>178</v>
      </c>
      <c r="D121">
        <v>120</v>
      </c>
      <c r="E121">
        <f>IFERROR(VLOOKUP($A121,MBaseball!$C:$N,E$1-2010,FALSE),0)+IFERROR(VLOOKUP($A121,MBasketball!$C:$J,E$1-2006,FALSE),0)+IFERROR(VLOOKUP($A121,MFootball!$C:$O,E$1-2011,FALSE),0)+IFERROR(VLOOKUP($A121,MIceHockey!$C:$P,E$1-2011,FALSE),0)+IFERROR(VLOOKUP($A121,MLacrosse!$C:$O,E$1-2011,FALSE),0)+IFERROR(VLOOKUP($A121,MSoccer!$C:$O,E$1-2011,FALSE),0)+IFERROR(VLOOKUP($A121,MVolleyball!$C:$O,E$1-2011,FALSE),0)+IFERROR(VLOOKUP($A121,WBasketball!$C:$O,E$1-2011,FALSE),0)+IFERROR(VLOOKUP($A121,WFieldHockey!$C:$O,E$1-2011,FALSE),0)+IFERROR(VLOOKUP($A121,WIceHockey!$C:$O,E$1-2011,FALSE),0)+IFERROR(VLOOKUP($A121,WLacrosse!$C:$O,E$1-2011,FALSE),0)+IFERROR(VLOOKUP($A121,WSoccer!$C:$O,E$1-2011,FALSE),0)+IFERROR(VLOOKUP($A121,WSoftball!$C:$O,E$1-2011,FALSE),0)+IFERROR(VLOOKUP($A121,WVolleyball!$C:$O,E$1-2011,FALSE),0)</f>
        <v>461204</v>
      </c>
      <c r="F121">
        <f>IFERROR(VLOOKUP($A121,MBaseball!$C:$N,F$1-2010,FALSE),0)+IFERROR(VLOOKUP($A121,MBasketball!$C:$J,F$1-2006,FALSE),0)+IFERROR(VLOOKUP($A121,MFootball!$C:$O,F$1-2011,FALSE),0)+IFERROR(VLOOKUP($A121,MIceHockey!$C:$P,F$1-2011,FALSE),0)+IFERROR(VLOOKUP($A121,MLacrosse!$C:$O,F$1-2011,FALSE),0)+IFERROR(VLOOKUP($A121,MSoccer!$C:$O,F$1-2011,FALSE),0)+IFERROR(VLOOKUP($A121,MVolleyball!$C:$O,F$1-2011,FALSE),0)+IFERROR(VLOOKUP($A121,WBasketball!$C:$O,F$1-2011,FALSE),0)+IFERROR(VLOOKUP($A121,WFieldHockey!$C:$O,F$1-2011,FALSE),0)+IFERROR(VLOOKUP($A121,WIceHockey!$C:$O,F$1-2011,FALSE),0)+IFERROR(VLOOKUP($A121,WLacrosse!$C:$O,F$1-2011,FALSE),0)+IFERROR(VLOOKUP($A121,WSoccer!$C:$O,F$1-2011,FALSE),0)+IFERROR(VLOOKUP($A121,WSoftball!$C:$O,F$1-2011,FALSE),0)+IFERROR(VLOOKUP($A121,WVolleyball!$C:$O,F$1-2011,FALSE),0)</f>
        <v>1013403</v>
      </c>
      <c r="G121">
        <f>IFERROR(VLOOKUP($A121,MBaseball!$C:$N,G$1-2010,FALSE),0)+IFERROR(VLOOKUP($A121,MBasketball!$C:$J,G$1-2006,FALSE),0)+IFERROR(VLOOKUP($A121,MFootball!$C:$O,G$1-2011,FALSE),0)+IFERROR(VLOOKUP($A121,MIceHockey!$C:$P,G$1-2011,FALSE),0)+IFERROR(VLOOKUP($A121,MLacrosse!$C:$O,G$1-2011,FALSE),0)+IFERROR(VLOOKUP($A121,MSoccer!$C:$O,G$1-2011,FALSE),0)+IFERROR(VLOOKUP($A121,MVolleyball!$C:$O,G$1-2011,FALSE),0)+IFERROR(VLOOKUP($A121,WBasketball!$C:$O,G$1-2011,FALSE),0)+IFERROR(VLOOKUP($A121,WFieldHockey!$C:$O,G$1-2011,FALSE),0)+IFERROR(VLOOKUP($A121,WIceHockey!$C:$O,G$1-2011,FALSE),0)+IFERROR(VLOOKUP($A121,WLacrosse!$C:$O,G$1-2011,FALSE),0)+IFERROR(VLOOKUP($A121,WSoccer!$C:$O,G$1-2011,FALSE),0)+IFERROR(VLOOKUP($A121,WSoftball!$C:$O,G$1-2011,FALSE),0)+IFERROR(VLOOKUP($A121,WVolleyball!$C:$O,G$1-2011,FALSE),0)</f>
        <v>1067519</v>
      </c>
      <c r="H121">
        <f>IFERROR(VLOOKUP($A121,MBaseball!$C:$N,H$1-2010,FALSE),0)+IFERROR(VLOOKUP($A121,MBasketball!$C:$J,H$1-2006,FALSE),0)+IFERROR(VLOOKUP($A121,MFootball!$C:$O,H$1-2011,FALSE),0)+IFERROR(VLOOKUP($A121,MIceHockey!$C:$P,H$1-2011,FALSE),0)+IFERROR(VLOOKUP($A121,MLacrosse!$C:$O,H$1-2011,FALSE),0)+IFERROR(VLOOKUP($A121,MSoccer!$C:$O,H$1-2011,FALSE),0)+IFERROR(VLOOKUP($A121,MVolleyball!$C:$O,H$1-2011,FALSE),0)+IFERROR(VLOOKUP($A121,WBasketball!$C:$O,H$1-2011,FALSE),0)+IFERROR(VLOOKUP($A121,WFieldHockey!$C:$O,H$1-2011,FALSE),0)+IFERROR(VLOOKUP($A121,WIceHockey!$C:$O,H$1-2011,FALSE),0)+IFERROR(VLOOKUP($A121,WLacrosse!$C:$O,H$1-2011,FALSE),0)+IFERROR(VLOOKUP($A121,WSoccer!$C:$O,H$1-2011,FALSE),0)+IFERROR(VLOOKUP($A121,WSoftball!$C:$O,H$1-2011,FALSE),0)+IFERROR(VLOOKUP($A121,WVolleyball!$C:$O,H$1-2011,FALSE),0)</f>
        <v>1064377</v>
      </c>
      <c r="I121">
        <f>IFERROR(VLOOKUP($A121,MBaseball!$C:$N,I$1-2010,FALSE),0)+IFERROR(VLOOKUP($A121,MBasketball!$C:$J,I$1-2006,FALSE),0)+IFERROR(VLOOKUP($A121,MFootball!$C:$O,I$1-2011,FALSE),0)+IFERROR(VLOOKUP($A121,MIceHockey!$C:$P,I$1-2011,FALSE),0)+IFERROR(VLOOKUP($A121,MLacrosse!$C:$O,I$1-2011,FALSE),0)+IFERROR(VLOOKUP($A121,MSoccer!$C:$O,I$1-2011,FALSE),0)+IFERROR(VLOOKUP($A121,MVolleyball!$C:$O,I$1-2011,FALSE),0)+IFERROR(VLOOKUP($A121,WBasketball!$C:$O,I$1-2011,FALSE),0)+IFERROR(VLOOKUP($A121,WFieldHockey!$C:$O,I$1-2011,FALSE),0)+IFERROR(VLOOKUP($A121,WIceHockey!$C:$O,I$1-2011,FALSE),0)+IFERROR(VLOOKUP($A121,WLacrosse!$C:$O,I$1-2011,FALSE),0)+IFERROR(VLOOKUP($A121,WSoccer!$C:$O,I$1-2011,FALSE),0)+IFERROR(VLOOKUP($A121,WSoftball!$C:$O,I$1-2011,FALSE),0)+IFERROR(VLOOKUP($A121,WVolleyball!$C:$O,I$1-2011,FALSE),0)</f>
        <v>1070386</v>
      </c>
      <c r="J121">
        <f>IFERROR(VLOOKUP($A121,MBaseball!$C:$N,J$1-2010,FALSE),0)+IFERROR(VLOOKUP($A121,MBasketball!$C:$J,J$1-2006,FALSE),0)+IFERROR(VLOOKUP($A121,MFootball!$C:$O,J$1-2011,FALSE),0)+IFERROR(VLOOKUP($A121,MIceHockey!$C:$P,J$1-2011,FALSE),0)+IFERROR(VLOOKUP($A121,MLacrosse!$C:$O,J$1-2011,FALSE),0)+IFERROR(VLOOKUP($A121,MSoccer!$C:$O,J$1-2011,FALSE),0)+IFERROR(VLOOKUP($A121,MVolleyball!$C:$O,J$1-2011,FALSE),0)+IFERROR(VLOOKUP($A121,WBasketball!$C:$O,J$1-2011,FALSE),0)+IFERROR(VLOOKUP($A121,WFieldHockey!$C:$O,J$1-2011,FALSE),0)+IFERROR(VLOOKUP($A121,WIceHockey!$C:$O,J$1-2011,FALSE),0)+IFERROR(VLOOKUP($A121,WLacrosse!$C:$O,J$1-2011,FALSE),0)+IFERROR(VLOOKUP($A121,WSoccer!$C:$O,J$1-2011,FALSE),0)+IFERROR(VLOOKUP($A121,WSoftball!$C:$O,J$1-2011,FALSE),0)+IFERROR(VLOOKUP($A121,WVolleyball!$C:$O,J$1-2011,FALSE),0)</f>
        <v>980651</v>
      </c>
      <c r="K121">
        <f>IFERROR(VLOOKUP($A121,MBaseball!$C:$N,K$1-2010,FALSE),0)+IFERROR(VLOOKUP($A121,MBasketball!$C:$J,K$1-2006,FALSE),0)+IFERROR(VLOOKUP($A121,MFootball!$C:$O,K$1-2011,FALSE),0)+IFERROR(VLOOKUP($A121,MIceHockey!$C:$P,K$1-2011,FALSE),0)+IFERROR(VLOOKUP($A121,MLacrosse!$C:$O,K$1-2011,FALSE),0)+IFERROR(VLOOKUP($A121,MSoccer!$C:$O,K$1-2011,FALSE),0)+IFERROR(VLOOKUP($A121,MVolleyball!$C:$O,K$1-2011,FALSE),0)+IFERROR(VLOOKUP($A121,WBasketball!$C:$O,K$1-2011,FALSE),0)+IFERROR(VLOOKUP($A121,WFieldHockey!$C:$O,K$1-2011,FALSE),0)+IFERROR(VLOOKUP($A121,WIceHockey!$C:$O,K$1-2011,FALSE),0)+IFERROR(VLOOKUP($A121,WLacrosse!$C:$O,K$1-2011,FALSE),0)+IFERROR(VLOOKUP($A121,WSoccer!$C:$O,K$1-2011,FALSE),0)+IFERROR(VLOOKUP($A121,WSoftball!$C:$O,K$1-2011,FALSE),0)+IFERROR(VLOOKUP($A121,WVolleyball!$C:$O,K$1-2011,FALSE),0)</f>
        <v>957547</v>
      </c>
      <c r="L121">
        <f>IFERROR(VLOOKUP($A121,MBaseball!$C:$N,L$1-2010,FALSE),0)+IFERROR(VLOOKUP($A121,MBasketball!$C:$J,L$1-2006,FALSE),0)+IFERROR(VLOOKUP($A121,MFootball!$C:$O,L$1-2011,FALSE),0)+IFERROR(VLOOKUP($A121,MIceHockey!$C:$P,L$1-2011,FALSE),0)+IFERROR(VLOOKUP($A121,MLacrosse!$C:$O,L$1-2011,FALSE),0)+IFERROR(VLOOKUP($A121,MSoccer!$C:$O,L$1-2011,FALSE),0)+IFERROR(VLOOKUP($A121,MVolleyball!$C:$O,L$1-2011,FALSE),0)+IFERROR(VLOOKUP($A121,WBasketball!$C:$O,L$1-2011,FALSE),0)+IFERROR(VLOOKUP($A121,WFieldHockey!$C:$O,L$1-2011,FALSE),0)+IFERROR(VLOOKUP($A121,WIceHockey!$C:$O,L$1-2011,FALSE),0)+IFERROR(VLOOKUP($A121,WLacrosse!$C:$O,L$1-2011,FALSE),0)+IFERROR(VLOOKUP($A121,WSoccer!$C:$O,L$1-2011,FALSE),0)+IFERROR(VLOOKUP($A121,WSoftball!$C:$O,L$1-2011,FALSE),0)+IFERROR(VLOOKUP($A121,WVolleyball!$C:$O,L$1-2011,FALSE),0)</f>
        <v>32107</v>
      </c>
      <c r="M121">
        <f>IFERROR(VLOOKUP($A121,MBaseball!$C:$N,M$1-2010,FALSE),0)+IFERROR(VLOOKUP($A121,MBasketball!$C:$J,M$1-2006,FALSE),0)+IFERROR(VLOOKUP($A121,MFootball!$C:$O,M$1-2011,FALSE),0)+IFERROR(VLOOKUP($A121,MIceHockey!$C:$P,M$1-2011,FALSE),0)+IFERROR(VLOOKUP($A121,MLacrosse!$C:$O,M$1-2011,FALSE),0)+IFERROR(VLOOKUP($A121,MSoccer!$C:$O,M$1-2011,FALSE),0)+IFERROR(VLOOKUP($A121,MVolleyball!$C:$O,M$1-2011,FALSE),0)+IFERROR(VLOOKUP($A121,WBasketball!$C:$O,M$1-2011,FALSE),0)+IFERROR(VLOOKUP($A121,WFieldHockey!$C:$O,M$1-2011,FALSE),0)+IFERROR(VLOOKUP($A121,WIceHockey!$C:$O,M$1-2011,FALSE),0)+IFERROR(VLOOKUP($A121,WLacrosse!$C:$O,M$1-2011,FALSE),0)+IFERROR(VLOOKUP($A121,WSoccer!$C:$O,M$1-2011,FALSE),0)+IFERROR(VLOOKUP($A121,WSoftball!$C:$O,M$1-2011,FALSE),0)+IFERROR(VLOOKUP($A121,WVolleyball!$C:$O,M$1-2011,FALSE),0)</f>
        <v>952055</v>
      </c>
      <c r="N121">
        <f>IFERROR(VLOOKUP($A121,MBaseball!$C:$N,N$1-2010,FALSE),0)+IFERROR(VLOOKUP($A121,MBasketball!$C:$J,N$1-2006,FALSE),0)+IFERROR(VLOOKUP($A121,MFootball!$C:$O,N$1-2011,FALSE),0)+IFERROR(VLOOKUP($A121,MIceHockey!$C:$P,N$1-2011,FALSE),0)+IFERROR(VLOOKUP($A121,MLacrosse!$C:$O,N$1-2011,FALSE),0)+IFERROR(VLOOKUP($A121,MSoccer!$C:$O,N$1-2011,FALSE),0)+IFERROR(VLOOKUP($A121,MVolleyball!$C:$O,N$1-2011,FALSE),0)+IFERROR(VLOOKUP($A121,WBasketball!$C:$O,N$1-2011,FALSE),0)+IFERROR(VLOOKUP($A121,WFieldHockey!$C:$O,N$1-2011,FALSE),0)+IFERROR(VLOOKUP($A121,WIceHockey!$C:$O,N$1-2011,FALSE),0)+IFERROR(VLOOKUP($A121,WLacrosse!$C:$O,N$1-2011,FALSE),0)+IFERROR(VLOOKUP($A121,WSoccer!$C:$O,N$1-2011,FALSE),0)+IFERROR(VLOOKUP($A121,WSoftball!$C:$O,N$1-2011,FALSE),0)+IFERROR(VLOOKUP($A121,WVolleyball!$C:$O,N$1-2011,FALSE),0)</f>
        <v>1148485</v>
      </c>
    </row>
    <row r="122" spans="1:14" x14ac:dyDescent="0.2">
      <c r="A122">
        <v>207500</v>
      </c>
      <c r="B122">
        <v>36420</v>
      </c>
      <c r="C122" t="s">
        <v>179</v>
      </c>
      <c r="D122">
        <v>121</v>
      </c>
      <c r="E122">
        <f>IFERROR(VLOOKUP($A122,MBaseball!$C:$N,E$1-2010,FALSE),0)+IFERROR(VLOOKUP($A122,MBasketball!$C:$J,E$1-2006,FALSE),0)+IFERROR(VLOOKUP($A122,MFootball!$C:$O,E$1-2011,FALSE),0)+IFERROR(VLOOKUP($A122,MIceHockey!$C:$P,E$1-2011,FALSE),0)+IFERROR(VLOOKUP($A122,MLacrosse!$C:$O,E$1-2011,FALSE),0)+IFERROR(VLOOKUP($A122,MSoccer!$C:$O,E$1-2011,FALSE),0)+IFERROR(VLOOKUP($A122,MVolleyball!$C:$O,E$1-2011,FALSE),0)+IFERROR(VLOOKUP($A122,WBasketball!$C:$O,E$1-2011,FALSE),0)+IFERROR(VLOOKUP($A122,WFieldHockey!$C:$O,E$1-2011,FALSE),0)+IFERROR(VLOOKUP($A122,WIceHockey!$C:$O,E$1-2011,FALSE),0)+IFERROR(VLOOKUP($A122,WLacrosse!$C:$O,E$1-2011,FALSE),0)+IFERROR(VLOOKUP($A122,WSoccer!$C:$O,E$1-2011,FALSE),0)+IFERROR(VLOOKUP($A122,WSoftball!$C:$O,E$1-2011,FALSE),0)+IFERROR(VLOOKUP($A122,WVolleyball!$C:$O,E$1-2011,FALSE),0)</f>
        <v>277923</v>
      </c>
      <c r="F122">
        <f>IFERROR(VLOOKUP($A122,MBaseball!$C:$N,F$1-2010,FALSE),0)+IFERROR(VLOOKUP($A122,MBasketball!$C:$J,F$1-2006,FALSE),0)+IFERROR(VLOOKUP($A122,MFootball!$C:$O,F$1-2011,FALSE),0)+IFERROR(VLOOKUP($A122,MIceHockey!$C:$P,F$1-2011,FALSE),0)+IFERROR(VLOOKUP($A122,MLacrosse!$C:$O,F$1-2011,FALSE),0)+IFERROR(VLOOKUP($A122,MSoccer!$C:$O,F$1-2011,FALSE),0)+IFERROR(VLOOKUP($A122,MVolleyball!$C:$O,F$1-2011,FALSE),0)+IFERROR(VLOOKUP($A122,WBasketball!$C:$O,F$1-2011,FALSE),0)+IFERROR(VLOOKUP($A122,WFieldHockey!$C:$O,F$1-2011,FALSE),0)+IFERROR(VLOOKUP($A122,WIceHockey!$C:$O,F$1-2011,FALSE),0)+IFERROR(VLOOKUP($A122,WLacrosse!$C:$O,F$1-2011,FALSE),0)+IFERROR(VLOOKUP($A122,WSoccer!$C:$O,F$1-2011,FALSE),0)+IFERROR(VLOOKUP($A122,WSoftball!$C:$O,F$1-2011,FALSE),0)+IFERROR(VLOOKUP($A122,WVolleyball!$C:$O,F$1-2011,FALSE),0)</f>
        <v>631216</v>
      </c>
      <c r="G122">
        <f>IFERROR(VLOOKUP($A122,MBaseball!$C:$N,G$1-2010,FALSE),0)+IFERROR(VLOOKUP($A122,MBasketball!$C:$J,G$1-2006,FALSE),0)+IFERROR(VLOOKUP($A122,MFootball!$C:$O,G$1-2011,FALSE),0)+IFERROR(VLOOKUP($A122,MIceHockey!$C:$P,G$1-2011,FALSE),0)+IFERROR(VLOOKUP($A122,MLacrosse!$C:$O,G$1-2011,FALSE),0)+IFERROR(VLOOKUP($A122,MSoccer!$C:$O,G$1-2011,FALSE),0)+IFERROR(VLOOKUP($A122,MVolleyball!$C:$O,G$1-2011,FALSE),0)+IFERROR(VLOOKUP($A122,WBasketball!$C:$O,G$1-2011,FALSE),0)+IFERROR(VLOOKUP($A122,WFieldHockey!$C:$O,G$1-2011,FALSE),0)+IFERROR(VLOOKUP($A122,WIceHockey!$C:$O,G$1-2011,FALSE),0)+IFERROR(VLOOKUP($A122,WLacrosse!$C:$O,G$1-2011,FALSE),0)+IFERROR(VLOOKUP($A122,WSoccer!$C:$O,G$1-2011,FALSE),0)+IFERROR(VLOOKUP($A122,WSoftball!$C:$O,G$1-2011,FALSE),0)+IFERROR(VLOOKUP($A122,WVolleyball!$C:$O,G$1-2011,FALSE),0)</f>
        <v>657720</v>
      </c>
      <c r="H122">
        <f>IFERROR(VLOOKUP($A122,MBaseball!$C:$N,H$1-2010,FALSE),0)+IFERROR(VLOOKUP($A122,MBasketball!$C:$J,H$1-2006,FALSE),0)+IFERROR(VLOOKUP($A122,MFootball!$C:$O,H$1-2011,FALSE),0)+IFERROR(VLOOKUP($A122,MIceHockey!$C:$P,H$1-2011,FALSE),0)+IFERROR(VLOOKUP($A122,MLacrosse!$C:$O,H$1-2011,FALSE),0)+IFERROR(VLOOKUP($A122,MSoccer!$C:$O,H$1-2011,FALSE),0)+IFERROR(VLOOKUP($A122,MVolleyball!$C:$O,H$1-2011,FALSE),0)+IFERROR(VLOOKUP($A122,WBasketball!$C:$O,H$1-2011,FALSE),0)+IFERROR(VLOOKUP($A122,WFieldHockey!$C:$O,H$1-2011,FALSE),0)+IFERROR(VLOOKUP($A122,WIceHockey!$C:$O,H$1-2011,FALSE),0)+IFERROR(VLOOKUP($A122,WLacrosse!$C:$O,H$1-2011,FALSE),0)+IFERROR(VLOOKUP($A122,WSoccer!$C:$O,H$1-2011,FALSE),0)+IFERROR(VLOOKUP($A122,WSoftball!$C:$O,H$1-2011,FALSE),0)+IFERROR(VLOOKUP($A122,WVolleyball!$C:$O,H$1-2011,FALSE),0)</f>
        <v>673745</v>
      </c>
      <c r="I122">
        <f>IFERROR(VLOOKUP($A122,MBaseball!$C:$N,I$1-2010,FALSE),0)+IFERROR(VLOOKUP($A122,MBasketball!$C:$J,I$1-2006,FALSE),0)+IFERROR(VLOOKUP($A122,MFootball!$C:$O,I$1-2011,FALSE),0)+IFERROR(VLOOKUP($A122,MIceHockey!$C:$P,I$1-2011,FALSE),0)+IFERROR(VLOOKUP($A122,MLacrosse!$C:$O,I$1-2011,FALSE),0)+IFERROR(VLOOKUP($A122,MSoccer!$C:$O,I$1-2011,FALSE),0)+IFERROR(VLOOKUP($A122,MVolleyball!$C:$O,I$1-2011,FALSE),0)+IFERROR(VLOOKUP($A122,WBasketball!$C:$O,I$1-2011,FALSE),0)+IFERROR(VLOOKUP($A122,WFieldHockey!$C:$O,I$1-2011,FALSE),0)+IFERROR(VLOOKUP($A122,WIceHockey!$C:$O,I$1-2011,FALSE),0)+IFERROR(VLOOKUP($A122,WLacrosse!$C:$O,I$1-2011,FALSE),0)+IFERROR(VLOOKUP($A122,WSoccer!$C:$O,I$1-2011,FALSE),0)+IFERROR(VLOOKUP($A122,WSoftball!$C:$O,I$1-2011,FALSE),0)+IFERROR(VLOOKUP($A122,WVolleyball!$C:$O,I$1-2011,FALSE),0)</f>
        <v>653094</v>
      </c>
      <c r="J122">
        <f>IFERROR(VLOOKUP($A122,MBaseball!$C:$N,J$1-2010,FALSE),0)+IFERROR(VLOOKUP($A122,MBasketball!$C:$J,J$1-2006,FALSE),0)+IFERROR(VLOOKUP($A122,MFootball!$C:$O,J$1-2011,FALSE),0)+IFERROR(VLOOKUP($A122,MIceHockey!$C:$P,J$1-2011,FALSE),0)+IFERROR(VLOOKUP($A122,MLacrosse!$C:$O,J$1-2011,FALSE),0)+IFERROR(VLOOKUP($A122,MSoccer!$C:$O,J$1-2011,FALSE),0)+IFERROR(VLOOKUP($A122,MVolleyball!$C:$O,J$1-2011,FALSE),0)+IFERROR(VLOOKUP($A122,WBasketball!$C:$O,J$1-2011,FALSE),0)+IFERROR(VLOOKUP($A122,WFieldHockey!$C:$O,J$1-2011,FALSE),0)+IFERROR(VLOOKUP($A122,WIceHockey!$C:$O,J$1-2011,FALSE),0)+IFERROR(VLOOKUP($A122,WLacrosse!$C:$O,J$1-2011,FALSE),0)+IFERROR(VLOOKUP($A122,WSoccer!$C:$O,J$1-2011,FALSE),0)+IFERROR(VLOOKUP($A122,WSoftball!$C:$O,J$1-2011,FALSE),0)+IFERROR(VLOOKUP($A122,WVolleyball!$C:$O,J$1-2011,FALSE),0)</f>
        <v>708356</v>
      </c>
      <c r="K122">
        <f>IFERROR(VLOOKUP($A122,MBaseball!$C:$N,K$1-2010,FALSE),0)+IFERROR(VLOOKUP($A122,MBasketball!$C:$J,K$1-2006,FALSE),0)+IFERROR(VLOOKUP($A122,MFootball!$C:$O,K$1-2011,FALSE),0)+IFERROR(VLOOKUP($A122,MIceHockey!$C:$P,K$1-2011,FALSE),0)+IFERROR(VLOOKUP($A122,MLacrosse!$C:$O,K$1-2011,FALSE),0)+IFERROR(VLOOKUP($A122,MSoccer!$C:$O,K$1-2011,FALSE),0)+IFERROR(VLOOKUP($A122,MVolleyball!$C:$O,K$1-2011,FALSE),0)+IFERROR(VLOOKUP($A122,WBasketball!$C:$O,K$1-2011,FALSE),0)+IFERROR(VLOOKUP($A122,WFieldHockey!$C:$O,K$1-2011,FALSE),0)+IFERROR(VLOOKUP($A122,WIceHockey!$C:$O,K$1-2011,FALSE),0)+IFERROR(VLOOKUP($A122,WLacrosse!$C:$O,K$1-2011,FALSE),0)+IFERROR(VLOOKUP($A122,WSoccer!$C:$O,K$1-2011,FALSE),0)+IFERROR(VLOOKUP($A122,WSoftball!$C:$O,K$1-2011,FALSE),0)+IFERROR(VLOOKUP($A122,WVolleyball!$C:$O,K$1-2011,FALSE),0)</f>
        <v>580899</v>
      </c>
      <c r="L122">
        <f>IFERROR(VLOOKUP($A122,MBaseball!$C:$N,L$1-2010,FALSE),0)+IFERROR(VLOOKUP($A122,MBasketball!$C:$J,L$1-2006,FALSE),0)+IFERROR(VLOOKUP($A122,MFootball!$C:$O,L$1-2011,FALSE),0)+IFERROR(VLOOKUP($A122,MIceHockey!$C:$P,L$1-2011,FALSE),0)+IFERROR(VLOOKUP($A122,MLacrosse!$C:$O,L$1-2011,FALSE),0)+IFERROR(VLOOKUP($A122,MSoccer!$C:$O,L$1-2011,FALSE),0)+IFERROR(VLOOKUP($A122,MVolleyball!$C:$O,L$1-2011,FALSE),0)+IFERROR(VLOOKUP($A122,WBasketball!$C:$O,L$1-2011,FALSE),0)+IFERROR(VLOOKUP($A122,WFieldHockey!$C:$O,L$1-2011,FALSE),0)+IFERROR(VLOOKUP($A122,WIceHockey!$C:$O,L$1-2011,FALSE),0)+IFERROR(VLOOKUP($A122,WLacrosse!$C:$O,L$1-2011,FALSE),0)+IFERROR(VLOOKUP($A122,WSoccer!$C:$O,L$1-2011,FALSE),0)+IFERROR(VLOOKUP($A122,WSoftball!$C:$O,L$1-2011,FALSE),0)+IFERROR(VLOOKUP($A122,WVolleyball!$C:$O,L$1-2011,FALSE),0)</f>
        <v>175900</v>
      </c>
      <c r="M122">
        <f>IFERROR(VLOOKUP($A122,MBaseball!$C:$N,M$1-2010,FALSE),0)+IFERROR(VLOOKUP($A122,MBasketball!$C:$J,M$1-2006,FALSE),0)+IFERROR(VLOOKUP($A122,MFootball!$C:$O,M$1-2011,FALSE),0)+IFERROR(VLOOKUP($A122,MIceHockey!$C:$P,M$1-2011,FALSE),0)+IFERROR(VLOOKUP($A122,MLacrosse!$C:$O,M$1-2011,FALSE),0)+IFERROR(VLOOKUP($A122,MSoccer!$C:$O,M$1-2011,FALSE),0)+IFERROR(VLOOKUP($A122,MVolleyball!$C:$O,M$1-2011,FALSE),0)+IFERROR(VLOOKUP($A122,WBasketball!$C:$O,M$1-2011,FALSE),0)+IFERROR(VLOOKUP($A122,WFieldHockey!$C:$O,M$1-2011,FALSE),0)+IFERROR(VLOOKUP($A122,WIceHockey!$C:$O,M$1-2011,FALSE),0)+IFERROR(VLOOKUP($A122,WLacrosse!$C:$O,M$1-2011,FALSE),0)+IFERROR(VLOOKUP($A122,WSoccer!$C:$O,M$1-2011,FALSE),0)+IFERROR(VLOOKUP($A122,WSoftball!$C:$O,M$1-2011,FALSE),0)+IFERROR(VLOOKUP($A122,WVolleyball!$C:$O,M$1-2011,FALSE),0)</f>
        <v>669130</v>
      </c>
      <c r="N122">
        <f>IFERROR(VLOOKUP($A122,MBaseball!$C:$N,N$1-2010,FALSE),0)+IFERROR(VLOOKUP($A122,MBasketball!$C:$J,N$1-2006,FALSE),0)+IFERROR(VLOOKUP($A122,MFootball!$C:$O,N$1-2011,FALSE),0)+IFERROR(VLOOKUP($A122,MIceHockey!$C:$P,N$1-2011,FALSE),0)+IFERROR(VLOOKUP($A122,MLacrosse!$C:$O,N$1-2011,FALSE),0)+IFERROR(VLOOKUP($A122,MSoccer!$C:$O,N$1-2011,FALSE),0)+IFERROR(VLOOKUP($A122,MVolleyball!$C:$O,N$1-2011,FALSE),0)+IFERROR(VLOOKUP($A122,WBasketball!$C:$O,N$1-2011,FALSE),0)+IFERROR(VLOOKUP($A122,WFieldHockey!$C:$O,N$1-2011,FALSE),0)+IFERROR(VLOOKUP($A122,WIceHockey!$C:$O,N$1-2011,FALSE),0)+IFERROR(VLOOKUP($A122,WLacrosse!$C:$O,N$1-2011,FALSE),0)+IFERROR(VLOOKUP($A122,WSoccer!$C:$O,N$1-2011,FALSE),0)+IFERROR(VLOOKUP($A122,WSoftball!$C:$O,N$1-2011,FALSE),0)+IFERROR(VLOOKUP($A122,WVolleyball!$C:$O,N$1-2011,FALSE),0)</f>
        <v>632349</v>
      </c>
    </row>
    <row r="123" spans="1:14" x14ac:dyDescent="0.2">
      <c r="A123">
        <v>207388</v>
      </c>
      <c r="B123">
        <v>44660</v>
      </c>
      <c r="C123" t="s">
        <v>180</v>
      </c>
      <c r="D123">
        <v>122</v>
      </c>
      <c r="E123">
        <f>IFERROR(VLOOKUP($A123,MBaseball!$C:$N,E$1-2010,FALSE),0)+IFERROR(VLOOKUP($A123,MBasketball!$C:$J,E$1-2006,FALSE),0)+IFERROR(VLOOKUP($A123,MFootball!$C:$O,E$1-2011,FALSE),0)+IFERROR(VLOOKUP($A123,MIceHockey!$C:$P,E$1-2011,FALSE),0)+IFERROR(VLOOKUP($A123,MLacrosse!$C:$O,E$1-2011,FALSE),0)+IFERROR(VLOOKUP($A123,MSoccer!$C:$O,E$1-2011,FALSE),0)+IFERROR(VLOOKUP($A123,MVolleyball!$C:$O,E$1-2011,FALSE),0)+IFERROR(VLOOKUP($A123,WBasketball!$C:$O,E$1-2011,FALSE),0)+IFERROR(VLOOKUP($A123,WFieldHockey!$C:$O,E$1-2011,FALSE),0)+IFERROR(VLOOKUP($A123,WIceHockey!$C:$O,E$1-2011,FALSE),0)+IFERROR(VLOOKUP($A123,WLacrosse!$C:$O,E$1-2011,FALSE),0)+IFERROR(VLOOKUP($A123,WSoccer!$C:$O,E$1-2011,FALSE),0)+IFERROR(VLOOKUP($A123,WSoftball!$C:$O,E$1-2011,FALSE),0)+IFERROR(VLOOKUP($A123,WVolleyball!$C:$O,E$1-2011,FALSE),0)</f>
        <v>203994</v>
      </c>
      <c r="F123">
        <f>IFERROR(VLOOKUP($A123,MBaseball!$C:$N,F$1-2010,FALSE),0)+IFERROR(VLOOKUP($A123,MBasketball!$C:$J,F$1-2006,FALSE),0)+IFERROR(VLOOKUP($A123,MFootball!$C:$O,F$1-2011,FALSE),0)+IFERROR(VLOOKUP($A123,MIceHockey!$C:$P,F$1-2011,FALSE),0)+IFERROR(VLOOKUP($A123,MLacrosse!$C:$O,F$1-2011,FALSE),0)+IFERROR(VLOOKUP($A123,MSoccer!$C:$O,F$1-2011,FALSE),0)+IFERROR(VLOOKUP($A123,MVolleyball!$C:$O,F$1-2011,FALSE),0)+IFERROR(VLOOKUP($A123,WBasketball!$C:$O,F$1-2011,FALSE),0)+IFERROR(VLOOKUP($A123,WFieldHockey!$C:$O,F$1-2011,FALSE),0)+IFERROR(VLOOKUP($A123,WIceHockey!$C:$O,F$1-2011,FALSE),0)+IFERROR(VLOOKUP($A123,WLacrosse!$C:$O,F$1-2011,FALSE),0)+IFERROR(VLOOKUP($A123,WSoccer!$C:$O,F$1-2011,FALSE),0)+IFERROR(VLOOKUP($A123,WSoftball!$C:$O,F$1-2011,FALSE),0)+IFERROR(VLOOKUP($A123,WVolleyball!$C:$O,F$1-2011,FALSE),0)</f>
        <v>401970</v>
      </c>
      <c r="G123">
        <f>IFERROR(VLOOKUP($A123,MBaseball!$C:$N,G$1-2010,FALSE),0)+IFERROR(VLOOKUP($A123,MBasketball!$C:$J,G$1-2006,FALSE),0)+IFERROR(VLOOKUP($A123,MFootball!$C:$O,G$1-2011,FALSE),0)+IFERROR(VLOOKUP($A123,MIceHockey!$C:$P,G$1-2011,FALSE),0)+IFERROR(VLOOKUP($A123,MLacrosse!$C:$O,G$1-2011,FALSE),0)+IFERROR(VLOOKUP($A123,MSoccer!$C:$O,G$1-2011,FALSE),0)+IFERROR(VLOOKUP($A123,MVolleyball!$C:$O,G$1-2011,FALSE),0)+IFERROR(VLOOKUP($A123,WBasketball!$C:$O,G$1-2011,FALSE),0)+IFERROR(VLOOKUP($A123,WFieldHockey!$C:$O,G$1-2011,FALSE),0)+IFERROR(VLOOKUP($A123,WIceHockey!$C:$O,G$1-2011,FALSE),0)+IFERROR(VLOOKUP($A123,WLacrosse!$C:$O,G$1-2011,FALSE),0)+IFERROR(VLOOKUP($A123,WSoccer!$C:$O,G$1-2011,FALSE),0)+IFERROR(VLOOKUP($A123,WSoftball!$C:$O,G$1-2011,FALSE),0)+IFERROR(VLOOKUP($A123,WVolleyball!$C:$O,G$1-2011,FALSE),0)</f>
        <v>502633</v>
      </c>
      <c r="H123">
        <f>IFERROR(VLOOKUP($A123,MBaseball!$C:$N,H$1-2010,FALSE),0)+IFERROR(VLOOKUP($A123,MBasketball!$C:$J,H$1-2006,FALSE),0)+IFERROR(VLOOKUP($A123,MFootball!$C:$O,H$1-2011,FALSE),0)+IFERROR(VLOOKUP($A123,MIceHockey!$C:$P,H$1-2011,FALSE),0)+IFERROR(VLOOKUP($A123,MLacrosse!$C:$O,H$1-2011,FALSE),0)+IFERROR(VLOOKUP($A123,MSoccer!$C:$O,H$1-2011,FALSE),0)+IFERROR(VLOOKUP($A123,MVolleyball!$C:$O,H$1-2011,FALSE),0)+IFERROR(VLOOKUP($A123,WBasketball!$C:$O,H$1-2011,FALSE),0)+IFERROR(VLOOKUP($A123,WFieldHockey!$C:$O,H$1-2011,FALSE),0)+IFERROR(VLOOKUP($A123,WIceHockey!$C:$O,H$1-2011,FALSE),0)+IFERROR(VLOOKUP($A123,WLacrosse!$C:$O,H$1-2011,FALSE),0)+IFERROR(VLOOKUP($A123,WSoccer!$C:$O,H$1-2011,FALSE),0)+IFERROR(VLOOKUP($A123,WSoftball!$C:$O,H$1-2011,FALSE),0)+IFERROR(VLOOKUP($A123,WVolleyball!$C:$O,H$1-2011,FALSE),0)</f>
        <v>467594</v>
      </c>
      <c r="I123">
        <f>IFERROR(VLOOKUP($A123,MBaseball!$C:$N,I$1-2010,FALSE),0)+IFERROR(VLOOKUP($A123,MBasketball!$C:$J,I$1-2006,FALSE),0)+IFERROR(VLOOKUP($A123,MFootball!$C:$O,I$1-2011,FALSE),0)+IFERROR(VLOOKUP($A123,MIceHockey!$C:$P,I$1-2011,FALSE),0)+IFERROR(VLOOKUP($A123,MLacrosse!$C:$O,I$1-2011,FALSE),0)+IFERROR(VLOOKUP($A123,MSoccer!$C:$O,I$1-2011,FALSE),0)+IFERROR(VLOOKUP($A123,MVolleyball!$C:$O,I$1-2011,FALSE),0)+IFERROR(VLOOKUP($A123,WBasketball!$C:$O,I$1-2011,FALSE),0)+IFERROR(VLOOKUP($A123,WFieldHockey!$C:$O,I$1-2011,FALSE),0)+IFERROR(VLOOKUP($A123,WIceHockey!$C:$O,I$1-2011,FALSE),0)+IFERROR(VLOOKUP($A123,WLacrosse!$C:$O,I$1-2011,FALSE),0)+IFERROR(VLOOKUP($A123,WSoccer!$C:$O,I$1-2011,FALSE),0)+IFERROR(VLOOKUP($A123,WSoftball!$C:$O,I$1-2011,FALSE),0)+IFERROR(VLOOKUP($A123,WVolleyball!$C:$O,I$1-2011,FALSE),0)</f>
        <v>437973</v>
      </c>
      <c r="J123">
        <f>IFERROR(VLOOKUP($A123,MBaseball!$C:$N,J$1-2010,FALSE),0)+IFERROR(VLOOKUP($A123,MBasketball!$C:$J,J$1-2006,FALSE),0)+IFERROR(VLOOKUP($A123,MFootball!$C:$O,J$1-2011,FALSE),0)+IFERROR(VLOOKUP($A123,MIceHockey!$C:$P,J$1-2011,FALSE),0)+IFERROR(VLOOKUP($A123,MLacrosse!$C:$O,J$1-2011,FALSE),0)+IFERROR(VLOOKUP($A123,MSoccer!$C:$O,J$1-2011,FALSE),0)+IFERROR(VLOOKUP($A123,MVolleyball!$C:$O,J$1-2011,FALSE),0)+IFERROR(VLOOKUP($A123,WBasketball!$C:$O,J$1-2011,FALSE),0)+IFERROR(VLOOKUP($A123,WFieldHockey!$C:$O,J$1-2011,FALSE),0)+IFERROR(VLOOKUP($A123,WIceHockey!$C:$O,J$1-2011,FALSE),0)+IFERROR(VLOOKUP($A123,WLacrosse!$C:$O,J$1-2011,FALSE),0)+IFERROR(VLOOKUP($A123,WSoccer!$C:$O,J$1-2011,FALSE),0)+IFERROR(VLOOKUP($A123,WSoftball!$C:$O,J$1-2011,FALSE),0)+IFERROR(VLOOKUP($A123,WVolleyball!$C:$O,J$1-2011,FALSE),0)</f>
        <v>442609</v>
      </c>
      <c r="K123">
        <f>IFERROR(VLOOKUP($A123,MBaseball!$C:$N,K$1-2010,FALSE),0)+IFERROR(VLOOKUP($A123,MBasketball!$C:$J,K$1-2006,FALSE),0)+IFERROR(VLOOKUP($A123,MFootball!$C:$O,K$1-2011,FALSE),0)+IFERROR(VLOOKUP($A123,MIceHockey!$C:$P,K$1-2011,FALSE),0)+IFERROR(VLOOKUP($A123,MLacrosse!$C:$O,K$1-2011,FALSE),0)+IFERROR(VLOOKUP($A123,MSoccer!$C:$O,K$1-2011,FALSE),0)+IFERROR(VLOOKUP($A123,MVolleyball!$C:$O,K$1-2011,FALSE),0)+IFERROR(VLOOKUP($A123,WBasketball!$C:$O,K$1-2011,FALSE),0)+IFERROR(VLOOKUP($A123,WFieldHockey!$C:$O,K$1-2011,FALSE),0)+IFERROR(VLOOKUP($A123,WIceHockey!$C:$O,K$1-2011,FALSE),0)+IFERROR(VLOOKUP($A123,WLacrosse!$C:$O,K$1-2011,FALSE),0)+IFERROR(VLOOKUP($A123,WSoccer!$C:$O,K$1-2011,FALSE),0)+IFERROR(VLOOKUP($A123,WSoftball!$C:$O,K$1-2011,FALSE),0)+IFERROR(VLOOKUP($A123,WVolleyball!$C:$O,K$1-2011,FALSE),0)</f>
        <v>471031</v>
      </c>
      <c r="L123">
        <f>IFERROR(VLOOKUP($A123,MBaseball!$C:$N,L$1-2010,FALSE),0)+IFERROR(VLOOKUP($A123,MBasketball!$C:$J,L$1-2006,FALSE),0)+IFERROR(VLOOKUP($A123,MFootball!$C:$O,L$1-2011,FALSE),0)+IFERROR(VLOOKUP($A123,MIceHockey!$C:$P,L$1-2011,FALSE),0)+IFERROR(VLOOKUP($A123,MLacrosse!$C:$O,L$1-2011,FALSE),0)+IFERROR(VLOOKUP($A123,MSoccer!$C:$O,L$1-2011,FALSE),0)+IFERROR(VLOOKUP($A123,MVolleyball!$C:$O,L$1-2011,FALSE),0)+IFERROR(VLOOKUP($A123,WBasketball!$C:$O,L$1-2011,FALSE),0)+IFERROR(VLOOKUP($A123,WFieldHockey!$C:$O,L$1-2011,FALSE),0)+IFERROR(VLOOKUP($A123,WIceHockey!$C:$O,L$1-2011,FALSE),0)+IFERROR(VLOOKUP($A123,WLacrosse!$C:$O,L$1-2011,FALSE),0)+IFERROR(VLOOKUP($A123,WSoccer!$C:$O,L$1-2011,FALSE),0)+IFERROR(VLOOKUP($A123,WSoftball!$C:$O,L$1-2011,FALSE),0)+IFERROR(VLOOKUP($A123,WVolleyball!$C:$O,L$1-2011,FALSE),0)</f>
        <v>282667</v>
      </c>
      <c r="M123">
        <f>IFERROR(VLOOKUP($A123,MBaseball!$C:$N,M$1-2010,FALSE),0)+IFERROR(VLOOKUP($A123,MBasketball!$C:$J,M$1-2006,FALSE),0)+IFERROR(VLOOKUP($A123,MFootball!$C:$O,M$1-2011,FALSE),0)+IFERROR(VLOOKUP($A123,MIceHockey!$C:$P,M$1-2011,FALSE),0)+IFERROR(VLOOKUP($A123,MLacrosse!$C:$O,M$1-2011,FALSE),0)+IFERROR(VLOOKUP($A123,MSoccer!$C:$O,M$1-2011,FALSE),0)+IFERROR(VLOOKUP($A123,MVolleyball!$C:$O,M$1-2011,FALSE),0)+IFERROR(VLOOKUP($A123,WBasketball!$C:$O,M$1-2011,FALSE),0)+IFERROR(VLOOKUP($A123,WFieldHockey!$C:$O,M$1-2011,FALSE),0)+IFERROR(VLOOKUP($A123,WIceHockey!$C:$O,M$1-2011,FALSE),0)+IFERROR(VLOOKUP($A123,WLacrosse!$C:$O,M$1-2011,FALSE),0)+IFERROR(VLOOKUP($A123,WSoccer!$C:$O,M$1-2011,FALSE),0)+IFERROR(VLOOKUP($A123,WSoftball!$C:$O,M$1-2011,FALSE),0)+IFERROR(VLOOKUP($A123,WVolleyball!$C:$O,M$1-2011,FALSE),0)</f>
        <v>587805</v>
      </c>
      <c r="N123">
        <f>IFERROR(VLOOKUP($A123,MBaseball!$C:$N,N$1-2010,FALSE),0)+IFERROR(VLOOKUP($A123,MBasketball!$C:$J,N$1-2006,FALSE),0)+IFERROR(VLOOKUP($A123,MFootball!$C:$O,N$1-2011,FALSE),0)+IFERROR(VLOOKUP($A123,MIceHockey!$C:$P,N$1-2011,FALSE),0)+IFERROR(VLOOKUP($A123,MLacrosse!$C:$O,N$1-2011,FALSE),0)+IFERROR(VLOOKUP($A123,MSoccer!$C:$O,N$1-2011,FALSE),0)+IFERROR(VLOOKUP($A123,MVolleyball!$C:$O,N$1-2011,FALSE),0)+IFERROR(VLOOKUP($A123,WBasketball!$C:$O,N$1-2011,FALSE),0)+IFERROR(VLOOKUP($A123,WFieldHockey!$C:$O,N$1-2011,FALSE),0)+IFERROR(VLOOKUP($A123,WIceHockey!$C:$O,N$1-2011,FALSE),0)+IFERROR(VLOOKUP($A123,WLacrosse!$C:$O,N$1-2011,FALSE),0)+IFERROR(VLOOKUP($A123,WSoccer!$C:$O,N$1-2011,FALSE),0)+IFERROR(VLOOKUP($A123,WSoftball!$C:$O,N$1-2011,FALSE),0)+IFERROR(VLOOKUP($A123,WVolleyball!$C:$O,N$1-2011,FALSE),0)</f>
        <v>464341</v>
      </c>
    </row>
    <row r="124" spans="1:14" x14ac:dyDescent="0.2">
      <c r="A124">
        <v>209551</v>
      </c>
      <c r="B124">
        <v>21660</v>
      </c>
      <c r="C124" t="s">
        <v>182</v>
      </c>
      <c r="D124">
        <v>123</v>
      </c>
      <c r="E124">
        <f>IFERROR(VLOOKUP($A124,MBaseball!$C:$N,E$1-2010,FALSE),0)+IFERROR(VLOOKUP($A124,MBasketball!$C:$J,E$1-2006,FALSE),0)+IFERROR(VLOOKUP($A124,MFootball!$C:$O,E$1-2011,FALSE),0)+IFERROR(VLOOKUP($A124,MIceHockey!$C:$P,E$1-2011,FALSE),0)+IFERROR(VLOOKUP($A124,MLacrosse!$C:$O,E$1-2011,FALSE),0)+IFERROR(VLOOKUP($A124,MSoccer!$C:$O,E$1-2011,FALSE),0)+IFERROR(VLOOKUP($A124,MVolleyball!$C:$O,E$1-2011,FALSE),0)+IFERROR(VLOOKUP($A124,WBasketball!$C:$O,E$1-2011,FALSE),0)+IFERROR(VLOOKUP($A124,WFieldHockey!$C:$O,E$1-2011,FALSE),0)+IFERROR(VLOOKUP($A124,WIceHockey!$C:$O,E$1-2011,FALSE),0)+IFERROR(VLOOKUP($A124,WLacrosse!$C:$O,E$1-2011,FALSE),0)+IFERROR(VLOOKUP($A124,WSoccer!$C:$O,E$1-2011,FALSE),0)+IFERROR(VLOOKUP($A124,WSoftball!$C:$O,E$1-2011,FALSE),0)+IFERROR(VLOOKUP($A124,WVolleyball!$C:$O,E$1-2011,FALSE),0)</f>
        <v>248888</v>
      </c>
      <c r="F124">
        <f>IFERROR(VLOOKUP($A124,MBaseball!$C:$N,F$1-2010,FALSE),0)+IFERROR(VLOOKUP($A124,MBasketball!$C:$J,F$1-2006,FALSE),0)+IFERROR(VLOOKUP($A124,MFootball!$C:$O,F$1-2011,FALSE),0)+IFERROR(VLOOKUP($A124,MIceHockey!$C:$P,F$1-2011,FALSE),0)+IFERROR(VLOOKUP($A124,MLacrosse!$C:$O,F$1-2011,FALSE),0)+IFERROR(VLOOKUP($A124,MSoccer!$C:$O,F$1-2011,FALSE),0)+IFERROR(VLOOKUP($A124,MVolleyball!$C:$O,F$1-2011,FALSE),0)+IFERROR(VLOOKUP($A124,WBasketball!$C:$O,F$1-2011,FALSE),0)+IFERROR(VLOOKUP($A124,WFieldHockey!$C:$O,F$1-2011,FALSE),0)+IFERROR(VLOOKUP($A124,WIceHockey!$C:$O,F$1-2011,FALSE),0)+IFERROR(VLOOKUP($A124,WLacrosse!$C:$O,F$1-2011,FALSE),0)+IFERROR(VLOOKUP($A124,WSoccer!$C:$O,F$1-2011,FALSE),0)+IFERROR(VLOOKUP($A124,WSoftball!$C:$O,F$1-2011,FALSE),0)+IFERROR(VLOOKUP($A124,WVolleyball!$C:$O,F$1-2011,FALSE),0)</f>
        <v>514265</v>
      </c>
      <c r="G124">
        <f>IFERROR(VLOOKUP($A124,MBaseball!$C:$N,G$1-2010,FALSE),0)+IFERROR(VLOOKUP($A124,MBasketball!$C:$J,G$1-2006,FALSE),0)+IFERROR(VLOOKUP($A124,MFootball!$C:$O,G$1-2011,FALSE),0)+IFERROR(VLOOKUP($A124,MIceHockey!$C:$P,G$1-2011,FALSE),0)+IFERROR(VLOOKUP($A124,MLacrosse!$C:$O,G$1-2011,FALSE),0)+IFERROR(VLOOKUP($A124,MSoccer!$C:$O,G$1-2011,FALSE),0)+IFERROR(VLOOKUP($A124,MVolleyball!$C:$O,G$1-2011,FALSE),0)+IFERROR(VLOOKUP($A124,WBasketball!$C:$O,G$1-2011,FALSE),0)+IFERROR(VLOOKUP($A124,WFieldHockey!$C:$O,G$1-2011,FALSE),0)+IFERROR(VLOOKUP($A124,WIceHockey!$C:$O,G$1-2011,FALSE),0)+IFERROR(VLOOKUP($A124,WLacrosse!$C:$O,G$1-2011,FALSE),0)+IFERROR(VLOOKUP($A124,WSoccer!$C:$O,G$1-2011,FALSE),0)+IFERROR(VLOOKUP($A124,WSoftball!$C:$O,G$1-2011,FALSE),0)+IFERROR(VLOOKUP($A124,WVolleyball!$C:$O,G$1-2011,FALSE),0)</f>
        <v>545975</v>
      </c>
      <c r="H124">
        <f>IFERROR(VLOOKUP($A124,MBaseball!$C:$N,H$1-2010,FALSE),0)+IFERROR(VLOOKUP($A124,MBasketball!$C:$J,H$1-2006,FALSE),0)+IFERROR(VLOOKUP($A124,MFootball!$C:$O,H$1-2011,FALSE),0)+IFERROR(VLOOKUP($A124,MIceHockey!$C:$P,H$1-2011,FALSE),0)+IFERROR(VLOOKUP($A124,MLacrosse!$C:$O,H$1-2011,FALSE),0)+IFERROR(VLOOKUP($A124,MSoccer!$C:$O,H$1-2011,FALSE),0)+IFERROR(VLOOKUP($A124,MVolleyball!$C:$O,H$1-2011,FALSE),0)+IFERROR(VLOOKUP($A124,WBasketball!$C:$O,H$1-2011,FALSE),0)+IFERROR(VLOOKUP($A124,WFieldHockey!$C:$O,H$1-2011,FALSE),0)+IFERROR(VLOOKUP($A124,WIceHockey!$C:$O,H$1-2011,FALSE),0)+IFERROR(VLOOKUP($A124,WLacrosse!$C:$O,H$1-2011,FALSE),0)+IFERROR(VLOOKUP($A124,WSoccer!$C:$O,H$1-2011,FALSE),0)+IFERROR(VLOOKUP($A124,WSoftball!$C:$O,H$1-2011,FALSE),0)+IFERROR(VLOOKUP($A124,WVolleyball!$C:$O,H$1-2011,FALSE),0)</f>
        <v>484926</v>
      </c>
      <c r="I124">
        <f>IFERROR(VLOOKUP($A124,MBaseball!$C:$N,I$1-2010,FALSE),0)+IFERROR(VLOOKUP($A124,MBasketball!$C:$J,I$1-2006,FALSE),0)+IFERROR(VLOOKUP($A124,MFootball!$C:$O,I$1-2011,FALSE),0)+IFERROR(VLOOKUP($A124,MIceHockey!$C:$P,I$1-2011,FALSE),0)+IFERROR(VLOOKUP($A124,MLacrosse!$C:$O,I$1-2011,FALSE),0)+IFERROR(VLOOKUP($A124,MSoccer!$C:$O,I$1-2011,FALSE),0)+IFERROR(VLOOKUP($A124,MVolleyball!$C:$O,I$1-2011,FALSE),0)+IFERROR(VLOOKUP($A124,WBasketball!$C:$O,I$1-2011,FALSE),0)+IFERROR(VLOOKUP($A124,WFieldHockey!$C:$O,I$1-2011,FALSE),0)+IFERROR(VLOOKUP($A124,WIceHockey!$C:$O,I$1-2011,FALSE),0)+IFERROR(VLOOKUP($A124,WLacrosse!$C:$O,I$1-2011,FALSE),0)+IFERROR(VLOOKUP($A124,WSoccer!$C:$O,I$1-2011,FALSE),0)+IFERROR(VLOOKUP($A124,WSoftball!$C:$O,I$1-2011,FALSE),0)+IFERROR(VLOOKUP($A124,WVolleyball!$C:$O,I$1-2011,FALSE),0)</f>
        <v>590945</v>
      </c>
      <c r="J124">
        <f>IFERROR(VLOOKUP($A124,MBaseball!$C:$N,J$1-2010,FALSE),0)+IFERROR(VLOOKUP($A124,MBasketball!$C:$J,J$1-2006,FALSE),0)+IFERROR(VLOOKUP($A124,MFootball!$C:$O,J$1-2011,FALSE),0)+IFERROR(VLOOKUP($A124,MIceHockey!$C:$P,J$1-2011,FALSE),0)+IFERROR(VLOOKUP($A124,MLacrosse!$C:$O,J$1-2011,FALSE),0)+IFERROR(VLOOKUP($A124,MSoccer!$C:$O,J$1-2011,FALSE),0)+IFERROR(VLOOKUP($A124,MVolleyball!$C:$O,J$1-2011,FALSE),0)+IFERROR(VLOOKUP($A124,WBasketball!$C:$O,J$1-2011,FALSE),0)+IFERROR(VLOOKUP($A124,WFieldHockey!$C:$O,J$1-2011,FALSE),0)+IFERROR(VLOOKUP($A124,WIceHockey!$C:$O,J$1-2011,FALSE),0)+IFERROR(VLOOKUP($A124,WLacrosse!$C:$O,J$1-2011,FALSE),0)+IFERROR(VLOOKUP($A124,WSoccer!$C:$O,J$1-2011,FALSE),0)+IFERROR(VLOOKUP($A124,WSoftball!$C:$O,J$1-2011,FALSE),0)+IFERROR(VLOOKUP($A124,WVolleyball!$C:$O,J$1-2011,FALSE),0)</f>
        <v>572591</v>
      </c>
      <c r="K124">
        <f>IFERROR(VLOOKUP($A124,MBaseball!$C:$N,K$1-2010,FALSE),0)+IFERROR(VLOOKUP($A124,MBasketball!$C:$J,K$1-2006,FALSE),0)+IFERROR(VLOOKUP($A124,MFootball!$C:$O,K$1-2011,FALSE),0)+IFERROR(VLOOKUP($A124,MIceHockey!$C:$P,K$1-2011,FALSE),0)+IFERROR(VLOOKUP($A124,MLacrosse!$C:$O,K$1-2011,FALSE),0)+IFERROR(VLOOKUP($A124,MSoccer!$C:$O,K$1-2011,FALSE),0)+IFERROR(VLOOKUP($A124,MVolleyball!$C:$O,K$1-2011,FALSE),0)+IFERROR(VLOOKUP($A124,WBasketball!$C:$O,K$1-2011,FALSE),0)+IFERROR(VLOOKUP($A124,WFieldHockey!$C:$O,K$1-2011,FALSE),0)+IFERROR(VLOOKUP($A124,WIceHockey!$C:$O,K$1-2011,FALSE),0)+IFERROR(VLOOKUP($A124,WLacrosse!$C:$O,K$1-2011,FALSE),0)+IFERROR(VLOOKUP($A124,WSoccer!$C:$O,K$1-2011,FALSE),0)+IFERROR(VLOOKUP($A124,WSoftball!$C:$O,K$1-2011,FALSE),0)+IFERROR(VLOOKUP($A124,WVolleyball!$C:$O,K$1-2011,FALSE),0)</f>
        <v>593586</v>
      </c>
      <c r="L124">
        <f>IFERROR(VLOOKUP($A124,MBaseball!$C:$N,L$1-2010,FALSE),0)+IFERROR(VLOOKUP($A124,MBasketball!$C:$J,L$1-2006,FALSE),0)+IFERROR(VLOOKUP($A124,MFootball!$C:$O,L$1-2011,FALSE),0)+IFERROR(VLOOKUP($A124,MIceHockey!$C:$P,L$1-2011,FALSE),0)+IFERROR(VLOOKUP($A124,MLacrosse!$C:$O,L$1-2011,FALSE),0)+IFERROR(VLOOKUP($A124,MSoccer!$C:$O,L$1-2011,FALSE),0)+IFERROR(VLOOKUP($A124,MVolleyball!$C:$O,L$1-2011,FALSE),0)+IFERROR(VLOOKUP($A124,WBasketball!$C:$O,L$1-2011,FALSE),0)+IFERROR(VLOOKUP($A124,WFieldHockey!$C:$O,L$1-2011,FALSE),0)+IFERROR(VLOOKUP($A124,WIceHockey!$C:$O,L$1-2011,FALSE),0)+IFERROR(VLOOKUP($A124,WLacrosse!$C:$O,L$1-2011,FALSE),0)+IFERROR(VLOOKUP($A124,WSoccer!$C:$O,L$1-2011,FALSE),0)+IFERROR(VLOOKUP($A124,WSoftball!$C:$O,L$1-2011,FALSE),0)+IFERROR(VLOOKUP($A124,WVolleyball!$C:$O,L$1-2011,FALSE),0)</f>
        <v>52763</v>
      </c>
      <c r="M124">
        <f>IFERROR(VLOOKUP($A124,MBaseball!$C:$N,M$1-2010,FALSE),0)+IFERROR(VLOOKUP($A124,MBasketball!$C:$J,M$1-2006,FALSE),0)+IFERROR(VLOOKUP($A124,MFootball!$C:$O,M$1-2011,FALSE),0)+IFERROR(VLOOKUP($A124,MIceHockey!$C:$P,M$1-2011,FALSE),0)+IFERROR(VLOOKUP($A124,MLacrosse!$C:$O,M$1-2011,FALSE),0)+IFERROR(VLOOKUP($A124,MSoccer!$C:$O,M$1-2011,FALSE),0)+IFERROR(VLOOKUP($A124,MVolleyball!$C:$O,M$1-2011,FALSE),0)+IFERROR(VLOOKUP($A124,WBasketball!$C:$O,M$1-2011,FALSE),0)+IFERROR(VLOOKUP($A124,WFieldHockey!$C:$O,M$1-2011,FALSE),0)+IFERROR(VLOOKUP($A124,WIceHockey!$C:$O,M$1-2011,FALSE),0)+IFERROR(VLOOKUP($A124,WLacrosse!$C:$O,M$1-2011,FALSE),0)+IFERROR(VLOOKUP($A124,WSoccer!$C:$O,M$1-2011,FALSE),0)+IFERROR(VLOOKUP($A124,WSoftball!$C:$O,M$1-2011,FALSE),0)+IFERROR(VLOOKUP($A124,WVolleyball!$C:$O,M$1-2011,FALSE),0)</f>
        <v>591010</v>
      </c>
      <c r="N124">
        <f>IFERROR(VLOOKUP($A124,MBaseball!$C:$N,N$1-2010,FALSE),0)+IFERROR(VLOOKUP($A124,MBasketball!$C:$J,N$1-2006,FALSE),0)+IFERROR(VLOOKUP($A124,MFootball!$C:$O,N$1-2011,FALSE),0)+IFERROR(VLOOKUP($A124,MIceHockey!$C:$P,N$1-2011,FALSE),0)+IFERROR(VLOOKUP($A124,MLacrosse!$C:$O,N$1-2011,FALSE),0)+IFERROR(VLOOKUP($A124,MSoccer!$C:$O,N$1-2011,FALSE),0)+IFERROR(VLOOKUP($A124,MVolleyball!$C:$O,N$1-2011,FALSE),0)+IFERROR(VLOOKUP($A124,WBasketball!$C:$O,N$1-2011,FALSE),0)+IFERROR(VLOOKUP($A124,WFieldHockey!$C:$O,N$1-2011,FALSE),0)+IFERROR(VLOOKUP($A124,WIceHockey!$C:$O,N$1-2011,FALSE),0)+IFERROR(VLOOKUP($A124,WLacrosse!$C:$O,N$1-2011,FALSE),0)+IFERROR(VLOOKUP($A124,WSoccer!$C:$O,N$1-2011,FALSE),0)+IFERROR(VLOOKUP($A124,WSoftball!$C:$O,N$1-2011,FALSE),0)+IFERROR(VLOOKUP($A124,WVolleyball!$C:$O,N$1-2011,FALSE),0)</f>
        <v>500068</v>
      </c>
    </row>
    <row r="125" spans="1:14" x14ac:dyDescent="0.2">
      <c r="A125">
        <v>209542</v>
      </c>
      <c r="B125">
        <v>18700</v>
      </c>
      <c r="C125" t="s">
        <v>183</v>
      </c>
      <c r="D125">
        <v>124</v>
      </c>
      <c r="E125">
        <f>IFERROR(VLOOKUP($A125,MBaseball!$C:$N,E$1-2010,FALSE),0)+IFERROR(VLOOKUP($A125,MBasketball!$C:$J,E$1-2006,FALSE),0)+IFERROR(VLOOKUP($A125,MFootball!$C:$O,E$1-2011,FALSE),0)+IFERROR(VLOOKUP($A125,MIceHockey!$C:$P,E$1-2011,FALSE),0)+IFERROR(VLOOKUP($A125,MLacrosse!$C:$O,E$1-2011,FALSE),0)+IFERROR(VLOOKUP($A125,MSoccer!$C:$O,E$1-2011,FALSE),0)+IFERROR(VLOOKUP($A125,MVolleyball!$C:$O,E$1-2011,FALSE),0)+IFERROR(VLOOKUP($A125,WBasketball!$C:$O,E$1-2011,FALSE),0)+IFERROR(VLOOKUP($A125,WFieldHockey!$C:$O,E$1-2011,FALSE),0)+IFERROR(VLOOKUP($A125,WIceHockey!$C:$O,E$1-2011,FALSE),0)+IFERROR(VLOOKUP($A125,WLacrosse!$C:$O,E$1-2011,FALSE),0)+IFERROR(VLOOKUP($A125,WSoccer!$C:$O,E$1-2011,FALSE),0)+IFERROR(VLOOKUP($A125,WSoftball!$C:$O,E$1-2011,FALSE),0)+IFERROR(VLOOKUP($A125,WVolleyball!$C:$O,E$1-2011,FALSE),0)</f>
        <v>212281</v>
      </c>
      <c r="F125">
        <f>IFERROR(VLOOKUP($A125,MBaseball!$C:$N,F$1-2010,FALSE),0)+IFERROR(VLOOKUP($A125,MBasketball!$C:$J,F$1-2006,FALSE),0)+IFERROR(VLOOKUP($A125,MFootball!$C:$O,F$1-2011,FALSE),0)+IFERROR(VLOOKUP($A125,MIceHockey!$C:$P,F$1-2011,FALSE),0)+IFERROR(VLOOKUP($A125,MLacrosse!$C:$O,F$1-2011,FALSE),0)+IFERROR(VLOOKUP($A125,MSoccer!$C:$O,F$1-2011,FALSE),0)+IFERROR(VLOOKUP($A125,MVolleyball!$C:$O,F$1-2011,FALSE),0)+IFERROR(VLOOKUP($A125,WBasketball!$C:$O,F$1-2011,FALSE),0)+IFERROR(VLOOKUP($A125,WFieldHockey!$C:$O,F$1-2011,FALSE),0)+IFERROR(VLOOKUP($A125,WIceHockey!$C:$O,F$1-2011,FALSE),0)+IFERROR(VLOOKUP($A125,WLacrosse!$C:$O,F$1-2011,FALSE),0)+IFERROR(VLOOKUP($A125,WSoccer!$C:$O,F$1-2011,FALSE),0)+IFERROR(VLOOKUP($A125,WSoftball!$C:$O,F$1-2011,FALSE),0)+IFERROR(VLOOKUP($A125,WVolleyball!$C:$O,F$1-2011,FALSE),0)</f>
        <v>454472</v>
      </c>
      <c r="G125">
        <f>IFERROR(VLOOKUP($A125,MBaseball!$C:$N,G$1-2010,FALSE),0)+IFERROR(VLOOKUP($A125,MBasketball!$C:$J,G$1-2006,FALSE),0)+IFERROR(VLOOKUP($A125,MFootball!$C:$O,G$1-2011,FALSE),0)+IFERROR(VLOOKUP($A125,MIceHockey!$C:$P,G$1-2011,FALSE),0)+IFERROR(VLOOKUP($A125,MLacrosse!$C:$O,G$1-2011,FALSE),0)+IFERROR(VLOOKUP($A125,MSoccer!$C:$O,G$1-2011,FALSE),0)+IFERROR(VLOOKUP($A125,MVolleyball!$C:$O,G$1-2011,FALSE),0)+IFERROR(VLOOKUP($A125,WBasketball!$C:$O,G$1-2011,FALSE),0)+IFERROR(VLOOKUP($A125,WFieldHockey!$C:$O,G$1-2011,FALSE),0)+IFERROR(VLOOKUP($A125,WIceHockey!$C:$O,G$1-2011,FALSE),0)+IFERROR(VLOOKUP($A125,WLacrosse!$C:$O,G$1-2011,FALSE),0)+IFERROR(VLOOKUP($A125,WSoccer!$C:$O,G$1-2011,FALSE),0)+IFERROR(VLOOKUP($A125,WSoftball!$C:$O,G$1-2011,FALSE),0)+IFERROR(VLOOKUP($A125,WVolleyball!$C:$O,G$1-2011,FALSE),0)</f>
        <v>412915</v>
      </c>
      <c r="H125">
        <f>IFERROR(VLOOKUP($A125,MBaseball!$C:$N,H$1-2010,FALSE),0)+IFERROR(VLOOKUP($A125,MBasketball!$C:$J,H$1-2006,FALSE),0)+IFERROR(VLOOKUP($A125,MFootball!$C:$O,H$1-2011,FALSE),0)+IFERROR(VLOOKUP($A125,MIceHockey!$C:$P,H$1-2011,FALSE),0)+IFERROR(VLOOKUP($A125,MLacrosse!$C:$O,H$1-2011,FALSE),0)+IFERROR(VLOOKUP($A125,MSoccer!$C:$O,H$1-2011,FALSE),0)+IFERROR(VLOOKUP($A125,MVolleyball!$C:$O,H$1-2011,FALSE),0)+IFERROR(VLOOKUP($A125,WBasketball!$C:$O,H$1-2011,FALSE),0)+IFERROR(VLOOKUP($A125,WFieldHockey!$C:$O,H$1-2011,FALSE),0)+IFERROR(VLOOKUP($A125,WIceHockey!$C:$O,H$1-2011,FALSE),0)+IFERROR(VLOOKUP($A125,WLacrosse!$C:$O,H$1-2011,FALSE),0)+IFERROR(VLOOKUP($A125,WSoccer!$C:$O,H$1-2011,FALSE),0)+IFERROR(VLOOKUP($A125,WSoftball!$C:$O,H$1-2011,FALSE),0)+IFERROR(VLOOKUP($A125,WVolleyball!$C:$O,H$1-2011,FALSE),0)</f>
        <v>480132</v>
      </c>
      <c r="I125">
        <f>IFERROR(VLOOKUP($A125,MBaseball!$C:$N,I$1-2010,FALSE),0)+IFERROR(VLOOKUP($A125,MBasketball!$C:$J,I$1-2006,FALSE),0)+IFERROR(VLOOKUP($A125,MFootball!$C:$O,I$1-2011,FALSE),0)+IFERROR(VLOOKUP($A125,MIceHockey!$C:$P,I$1-2011,FALSE),0)+IFERROR(VLOOKUP($A125,MLacrosse!$C:$O,I$1-2011,FALSE),0)+IFERROR(VLOOKUP($A125,MSoccer!$C:$O,I$1-2011,FALSE),0)+IFERROR(VLOOKUP($A125,MVolleyball!$C:$O,I$1-2011,FALSE),0)+IFERROR(VLOOKUP($A125,WBasketball!$C:$O,I$1-2011,FALSE),0)+IFERROR(VLOOKUP($A125,WFieldHockey!$C:$O,I$1-2011,FALSE),0)+IFERROR(VLOOKUP($A125,WIceHockey!$C:$O,I$1-2011,FALSE),0)+IFERROR(VLOOKUP($A125,WLacrosse!$C:$O,I$1-2011,FALSE),0)+IFERROR(VLOOKUP($A125,WSoccer!$C:$O,I$1-2011,FALSE),0)+IFERROR(VLOOKUP($A125,WSoftball!$C:$O,I$1-2011,FALSE),0)+IFERROR(VLOOKUP($A125,WVolleyball!$C:$O,I$1-2011,FALSE),0)</f>
        <v>424599</v>
      </c>
      <c r="J125">
        <f>IFERROR(VLOOKUP($A125,MBaseball!$C:$N,J$1-2010,FALSE),0)+IFERROR(VLOOKUP($A125,MBasketball!$C:$J,J$1-2006,FALSE),0)+IFERROR(VLOOKUP($A125,MFootball!$C:$O,J$1-2011,FALSE),0)+IFERROR(VLOOKUP($A125,MIceHockey!$C:$P,J$1-2011,FALSE),0)+IFERROR(VLOOKUP($A125,MLacrosse!$C:$O,J$1-2011,FALSE),0)+IFERROR(VLOOKUP($A125,MSoccer!$C:$O,J$1-2011,FALSE),0)+IFERROR(VLOOKUP($A125,MVolleyball!$C:$O,J$1-2011,FALSE),0)+IFERROR(VLOOKUP($A125,WBasketball!$C:$O,J$1-2011,FALSE),0)+IFERROR(VLOOKUP($A125,WFieldHockey!$C:$O,J$1-2011,FALSE),0)+IFERROR(VLOOKUP($A125,WIceHockey!$C:$O,J$1-2011,FALSE),0)+IFERROR(VLOOKUP($A125,WLacrosse!$C:$O,J$1-2011,FALSE),0)+IFERROR(VLOOKUP($A125,WSoccer!$C:$O,J$1-2011,FALSE),0)+IFERROR(VLOOKUP($A125,WSoftball!$C:$O,J$1-2011,FALSE),0)+IFERROR(VLOOKUP($A125,WVolleyball!$C:$O,J$1-2011,FALSE),0)</f>
        <v>347403</v>
      </c>
      <c r="K125">
        <f>IFERROR(VLOOKUP($A125,MBaseball!$C:$N,K$1-2010,FALSE),0)+IFERROR(VLOOKUP($A125,MBasketball!$C:$J,K$1-2006,FALSE),0)+IFERROR(VLOOKUP($A125,MFootball!$C:$O,K$1-2011,FALSE),0)+IFERROR(VLOOKUP($A125,MIceHockey!$C:$P,K$1-2011,FALSE),0)+IFERROR(VLOOKUP($A125,MLacrosse!$C:$O,K$1-2011,FALSE),0)+IFERROR(VLOOKUP($A125,MSoccer!$C:$O,K$1-2011,FALSE),0)+IFERROR(VLOOKUP($A125,MVolleyball!$C:$O,K$1-2011,FALSE),0)+IFERROR(VLOOKUP($A125,WBasketball!$C:$O,K$1-2011,FALSE),0)+IFERROR(VLOOKUP($A125,WFieldHockey!$C:$O,K$1-2011,FALSE),0)+IFERROR(VLOOKUP($A125,WIceHockey!$C:$O,K$1-2011,FALSE),0)+IFERROR(VLOOKUP($A125,WLacrosse!$C:$O,K$1-2011,FALSE),0)+IFERROR(VLOOKUP($A125,WSoccer!$C:$O,K$1-2011,FALSE),0)+IFERROR(VLOOKUP($A125,WSoftball!$C:$O,K$1-2011,FALSE),0)+IFERROR(VLOOKUP($A125,WVolleyball!$C:$O,K$1-2011,FALSE),0)</f>
        <v>324109</v>
      </c>
      <c r="L125">
        <f>IFERROR(VLOOKUP($A125,MBaseball!$C:$N,L$1-2010,FALSE),0)+IFERROR(VLOOKUP($A125,MBasketball!$C:$J,L$1-2006,FALSE),0)+IFERROR(VLOOKUP($A125,MFootball!$C:$O,L$1-2011,FALSE),0)+IFERROR(VLOOKUP($A125,MIceHockey!$C:$P,L$1-2011,FALSE),0)+IFERROR(VLOOKUP($A125,MLacrosse!$C:$O,L$1-2011,FALSE),0)+IFERROR(VLOOKUP($A125,MSoccer!$C:$O,L$1-2011,FALSE),0)+IFERROR(VLOOKUP($A125,MVolleyball!$C:$O,L$1-2011,FALSE),0)+IFERROR(VLOOKUP($A125,WBasketball!$C:$O,L$1-2011,FALSE),0)+IFERROR(VLOOKUP($A125,WFieldHockey!$C:$O,L$1-2011,FALSE),0)+IFERROR(VLOOKUP($A125,WIceHockey!$C:$O,L$1-2011,FALSE),0)+IFERROR(VLOOKUP($A125,WLacrosse!$C:$O,L$1-2011,FALSE),0)+IFERROR(VLOOKUP($A125,WSoccer!$C:$O,L$1-2011,FALSE),0)+IFERROR(VLOOKUP($A125,WSoftball!$C:$O,L$1-2011,FALSE),0)+IFERROR(VLOOKUP($A125,WVolleyball!$C:$O,L$1-2011,FALSE),0)</f>
        <v>127035</v>
      </c>
      <c r="M125">
        <f>IFERROR(VLOOKUP($A125,MBaseball!$C:$N,M$1-2010,FALSE),0)+IFERROR(VLOOKUP($A125,MBasketball!$C:$J,M$1-2006,FALSE),0)+IFERROR(VLOOKUP($A125,MFootball!$C:$O,M$1-2011,FALSE),0)+IFERROR(VLOOKUP($A125,MIceHockey!$C:$P,M$1-2011,FALSE),0)+IFERROR(VLOOKUP($A125,MLacrosse!$C:$O,M$1-2011,FALSE),0)+IFERROR(VLOOKUP($A125,MSoccer!$C:$O,M$1-2011,FALSE),0)+IFERROR(VLOOKUP($A125,MVolleyball!$C:$O,M$1-2011,FALSE),0)+IFERROR(VLOOKUP($A125,WBasketball!$C:$O,M$1-2011,FALSE),0)+IFERROR(VLOOKUP($A125,WFieldHockey!$C:$O,M$1-2011,FALSE),0)+IFERROR(VLOOKUP($A125,WIceHockey!$C:$O,M$1-2011,FALSE),0)+IFERROR(VLOOKUP($A125,WLacrosse!$C:$O,M$1-2011,FALSE),0)+IFERROR(VLOOKUP($A125,WSoccer!$C:$O,M$1-2011,FALSE),0)+IFERROR(VLOOKUP($A125,WSoftball!$C:$O,M$1-2011,FALSE),0)+IFERROR(VLOOKUP($A125,WVolleyball!$C:$O,M$1-2011,FALSE),0)</f>
        <v>378012</v>
      </c>
      <c r="N125">
        <f>IFERROR(VLOOKUP($A125,MBaseball!$C:$N,N$1-2010,FALSE),0)+IFERROR(VLOOKUP($A125,MBasketball!$C:$J,N$1-2006,FALSE),0)+IFERROR(VLOOKUP($A125,MFootball!$C:$O,N$1-2011,FALSE),0)+IFERROR(VLOOKUP($A125,MIceHockey!$C:$P,N$1-2011,FALSE),0)+IFERROR(VLOOKUP($A125,MLacrosse!$C:$O,N$1-2011,FALSE),0)+IFERROR(VLOOKUP($A125,MSoccer!$C:$O,N$1-2011,FALSE),0)+IFERROR(VLOOKUP($A125,MVolleyball!$C:$O,N$1-2011,FALSE),0)+IFERROR(VLOOKUP($A125,WBasketball!$C:$O,N$1-2011,FALSE),0)+IFERROR(VLOOKUP($A125,WFieldHockey!$C:$O,N$1-2011,FALSE),0)+IFERROR(VLOOKUP($A125,WIceHockey!$C:$O,N$1-2011,FALSE),0)+IFERROR(VLOOKUP($A125,WLacrosse!$C:$O,N$1-2011,FALSE),0)+IFERROR(VLOOKUP($A125,WSoccer!$C:$O,N$1-2011,FALSE),0)+IFERROR(VLOOKUP($A125,WSoftball!$C:$O,N$1-2011,FALSE),0)+IFERROR(VLOOKUP($A125,WVolleyball!$C:$O,N$1-2011,FALSE),0)</f>
        <v>271417</v>
      </c>
    </row>
    <row r="126" spans="1:14" x14ac:dyDescent="0.2">
      <c r="A126">
        <v>214777</v>
      </c>
      <c r="B126">
        <v>44300</v>
      </c>
      <c r="C126" t="s">
        <v>184</v>
      </c>
      <c r="D126">
        <v>125</v>
      </c>
      <c r="E126">
        <f>IFERROR(VLOOKUP($A126,MBaseball!$C:$N,E$1-2010,FALSE),0)+IFERROR(VLOOKUP($A126,MBasketball!$C:$J,E$1-2006,FALSE),0)+IFERROR(VLOOKUP($A126,MFootball!$C:$O,E$1-2011,FALSE),0)+IFERROR(VLOOKUP($A126,MIceHockey!$C:$P,E$1-2011,FALSE),0)+IFERROR(VLOOKUP($A126,MLacrosse!$C:$O,E$1-2011,FALSE),0)+IFERROR(VLOOKUP($A126,MSoccer!$C:$O,E$1-2011,FALSE),0)+IFERROR(VLOOKUP($A126,MVolleyball!$C:$O,E$1-2011,FALSE),0)+IFERROR(VLOOKUP($A126,WBasketball!$C:$O,E$1-2011,FALSE),0)+IFERROR(VLOOKUP($A126,WFieldHockey!$C:$O,E$1-2011,FALSE),0)+IFERROR(VLOOKUP($A126,WIceHockey!$C:$O,E$1-2011,FALSE),0)+IFERROR(VLOOKUP($A126,WLacrosse!$C:$O,E$1-2011,FALSE),0)+IFERROR(VLOOKUP($A126,WSoccer!$C:$O,E$1-2011,FALSE),0)+IFERROR(VLOOKUP($A126,WSoftball!$C:$O,E$1-2011,FALSE),0)+IFERROR(VLOOKUP($A126,WVolleyball!$C:$O,E$1-2011,FALSE),0)</f>
        <v>351121</v>
      </c>
      <c r="F126">
        <f>IFERROR(VLOOKUP($A126,MBaseball!$C:$N,F$1-2010,FALSE),0)+IFERROR(VLOOKUP($A126,MBasketball!$C:$J,F$1-2006,FALSE),0)+IFERROR(VLOOKUP($A126,MFootball!$C:$O,F$1-2011,FALSE),0)+IFERROR(VLOOKUP($A126,MIceHockey!$C:$P,F$1-2011,FALSE),0)+IFERROR(VLOOKUP($A126,MLacrosse!$C:$O,F$1-2011,FALSE),0)+IFERROR(VLOOKUP($A126,MSoccer!$C:$O,F$1-2011,FALSE),0)+IFERROR(VLOOKUP($A126,MVolleyball!$C:$O,F$1-2011,FALSE),0)+IFERROR(VLOOKUP($A126,WBasketball!$C:$O,F$1-2011,FALSE),0)+IFERROR(VLOOKUP($A126,WFieldHockey!$C:$O,F$1-2011,FALSE),0)+IFERROR(VLOOKUP($A126,WIceHockey!$C:$O,F$1-2011,FALSE),0)+IFERROR(VLOOKUP($A126,WLacrosse!$C:$O,F$1-2011,FALSE),0)+IFERROR(VLOOKUP($A126,WSoccer!$C:$O,F$1-2011,FALSE),0)+IFERROR(VLOOKUP($A126,WSoftball!$C:$O,F$1-2011,FALSE),0)+IFERROR(VLOOKUP($A126,WVolleyball!$C:$O,F$1-2011,FALSE),0)</f>
        <v>1048501</v>
      </c>
      <c r="G126">
        <f>IFERROR(VLOOKUP($A126,MBaseball!$C:$N,G$1-2010,FALSE),0)+IFERROR(VLOOKUP($A126,MBasketball!$C:$J,G$1-2006,FALSE),0)+IFERROR(VLOOKUP($A126,MFootball!$C:$O,G$1-2011,FALSE),0)+IFERROR(VLOOKUP($A126,MIceHockey!$C:$P,G$1-2011,FALSE),0)+IFERROR(VLOOKUP($A126,MLacrosse!$C:$O,G$1-2011,FALSE),0)+IFERROR(VLOOKUP($A126,MSoccer!$C:$O,G$1-2011,FALSE),0)+IFERROR(VLOOKUP($A126,MVolleyball!$C:$O,G$1-2011,FALSE),0)+IFERROR(VLOOKUP($A126,WBasketball!$C:$O,G$1-2011,FALSE),0)+IFERROR(VLOOKUP($A126,WFieldHockey!$C:$O,G$1-2011,FALSE),0)+IFERROR(VLOOKUP($A126,WIceHockey!$C:$O,G$1-2011,FALSE),0)+IFERROR(VLOOKUP($A126,WLacrosse!$C:$O,G$1-2011,FALSE),0)+IFERROR(VLOOKUP($A126,WSoccer!$C:$O,G$1-2011,FALSE),0)+IFERROR(VLOOKUP($A126,WSoftball!$C:$O,G$1-2011,FALSE),0)+IFERROR(VLOOKUP($A126,WVolleyball!$C:$O,G$1-2011,FALSE),0)</f>
        <v>1038781</v>
      </c>
      <c r="H126">
        <f>IFERROR(VLOOKUP($A126,MBaseball!$C:$N,H$1-2010,FALSE),0)+IFERROR(VLOOKUP($A126,MBasketball!$C:$J,H$1-2006,FALSE),0)+IFERROR(VLOOKUP($A126,MFootball!$C:$O,H$1-2011,FALSE),0)+IFERROR(VLOOKUP($A126,MIceHockey!$C:$P,H$1-2011,FALSE),0)+IFERROR(VLOOKUP($A126,MLacrosse!$C:$O,H$1-2011,FALSE),0)+IFERROR(VLOOKUP($A126,MSoccer!$C:$O,H$1-2011,FALSE),0)+IFERROR(VLOOKUP($A126,MVolleyball!$C:$O,H$1-2011,FALSE),0)+IFERROR(VLOOKUP($A126,WBasketball!$C:$O,H$1-2011,FALSE),0)+IFERROR(VLOOKUP($A126,WFieldHockey!$C:$O,H$1-2011,FALSE),0)+IFERROR(VLOOKUP($A126,WIceHockey!$C:$O,H$1-2011,FALSE),0)+IFERROR(VLOOKUP($A126,WLacrosse!$C:$O,H$1-2011,FALSE),0)+IFERROR(VLOOKUP($A126,WSoccer!$C:$O,H$1-2011,FALSE),0)+IFERROR(VLOOKUP($A126,WSoftball!$C:$O,H$1-2011,FALSE),0)+IFERROR(VLOOKUP($A126,WVolleyball!$C:$O,H$1-2011,FALSE),0)</f>
        <v>1028113</v>
      </c>
      <c r="I126">
        <f>IFERROR(VLOOKUP($A126,MBaseball!$C:$N,I$1-2010,FALSE),0)+IFERROR(VLOOKUP($A126,MBasketball!$C:$J,I$1-2006,FALSE),0)+IFERROR(VLOOKUP($A126,MFootball!$C:$O,I$1-2011,FALSE),0)+IFERROR(VLOOKUP($A126,MIceHockey!$C:$P,I$1-2011,FALSE),0)+IFERROR(VLOOKUP($A126,MLacrosse!$C:$O,I$1-2011,FALSE),0)+IFERROR(VLOOKUP($A126,MSoccer!$C:$O,I$1-2011,FALSE),0)+IFERROR(VLOOKUP($A126,MVolleyball!$C:$O,I$1-2011,FALSE),0)+IFERROR(VLOOKUP($A126,WBasketball!$C:$O,I$1-2011,FALSE),0)+IFERROR(VLOOKUP($A126,WFieldHockey!$C:$O,I$1-2011,FALSE),0)+IFERROR(VLOOKUP($A126,WIceHockey!$C:$O,I$1-2011,FALSE),0)+IFERROR(VLOOKUP($A126,WLacrosse!$C:$O,I$1-2011,FALSE),0)+IFERROR(VLOOKUP($A126,WSoccer!$C:$O,I$1-2011,FALSE),0)+IFERROR(VLOOKUP($A126,WSoftball!$C:$O,I$1-2011,FALSE),0)+IFERROR(VLOOKUP($A126,WVolleyball!$C:$O,I$1-2011,FALSE),0)</f>
        <v>1046361</v>
      </c>
      <c r="J126">
        <f>IFERROR(VLOOKUP($A126,MBaseball!$C:$N,J$1-2010,FALSE),0)+IFERROR(VLOOKUP($A126,MBasketball!$C:$J,J$1-2006,FALSE),0)+IFERROR(VLOOKUP($A126,MFootball!$C:$O,J$1-2011,FALSE),0)+IFERROR(VLOOKUP($A126,MIceHockey!$C:$P,J$1-2011,FALSE),0)+IFERROR(VLOOKUP($A126,MLacrosse!$C:$O,J$1-2011,FALSE),0)+IFERROR(VLOOKUP($A126,MSoccer!$C:$O,J$1-2011,FALSE),0)+IFERROR(VLOOKUP($A126,MVolleyball!$C:$O,J$1-2011,FALSE),0)+IFERROR(VLOOKUP($A126,WBasketball!$C:$O,J$1-2011,FALSE),0)+IFERROR(VLOOKUP($A126,WFieldHockey!$C:$O,J$1-2011,FALSE),0)+IFERROR(VLOOKUP($A126,WIceHockey!$C:$O,J$1-2011,FALSE),0)+IFERROR(VLOOKUP($A126,WLacrosse!$C:$O,J$1-2011,FALSE),0)+IFERROR(VLOOKUP($A126,WSoccer!$C:$O,J$1-2011,FALSE),0)+IFERROR(VLOOKUP($A126,WSoftball!$C:$O,J$1-2011,FALSE),0)+IFERROR(VLOOKUP($A126,WVolleyball!$C:$O,J$1-2011,FALSE),0)</f>
        <v>1046514</v>
      </c>
      <c r="K126">
        <f>IFERROR(VLOOKUP($A126,MBaseball!$C:$N,K$1-2010,FALSE),0)+IFERROR(VLOOKUP($A126,MBasketball!$C:$J,K$1-2006,FALSE),0)+IFERROR(VLOOKUP($A126,MFootball!$C:$O,K$1-2011,FALSE),0)+IFERROR(VLOOKUP($A126,MIceHockey!$C:$P,K$1-2011,FALSE),0)+IFERROR(VLOOKUP($A126,MLacrosse!$C:$O,K$1-2011,FALSE),0)+IFERROR(VLOOKUP($A126,MSoccer!$C:$O,K$1-2011,FALSE),0)+IFERROR(VLOOKUP($A126,MVolleyball!$C:$O,K$1-2011,FALSE),0)+IFERROR(VLOOKUP($A126,WBasketball!$C:$O,K$1-2011,FALSE),0)+IFERROR(VLOOKUP($A126,WFieldHockey!$C:$O,K$1-2011,FALSE),0)+IFERROR(VLOOKUP($A126,WIceHockey!$C:$O,K$1-2011,FALSE),0)+IFERROR(VLOOKUP($A126,WLacrosse!$C:$O,K$1-2011,FALSE),0)+IFERROR(VLOOKUP($A126,WSoccer!$C:$O,K$1-2011,FALSE),0)+IFERROR(VLOOKUP($A126,WSoftball!$C:$O,K$1-2011,FALSE),0)+IFERROR(VLOOKUP($A126,WVolleyball!$C:$O,K$1-2011,FALSE),0)</f>
        <v>991512</v>
      </c>
      <c r="L126">
        <f>IFERROR(VLOOKUP($A126,MBaseball!$C:$N,L$1-2010,FALSE),0)+IFERROR(VLOOKUP($A126,MBasketball!$C:$J,L$1-2006,FALSE),0)+IFERROR(VLOOKUP($A126,MFootball!$C:$O,L$1-2011,FALSE),0)+IFERROR(VLOOKUP($A126,MIceHockey!$C:$P,L$1-2011,FALSE),0)+IFERROR(VLOOKUP($A126,MLacrosse!$C:$O,L$1-2011,FALSE),0)+IFERROR(VLOOKUP($A126,MSoccer!$C:$O,L$1-2011,FALSE),0)+IFERROR(VLOOKUP($A126,MVolleyball!$C:$O,L$1-2011,FALSE),0)+IFERROR(VLOOKUP($A126,WBasketball!$C:$O,L$1-2011,FALSE),0)+IFERROR(VLOOKUP($A126,WFieldHockey!$C:$O,L$1-2011,FALSE),0)+IFERROR(VLOOKUP($A126,WIceHockey!$C:$O,L$1-2011,FALSE),0)+IFERROR(VLOOKUP($A126,WLacrosse!$C:$O,L$1-2011,FALSE),0)+IFERROR(VLOOKUP($A126,WSoccer!$C:$O,L$1-2011,FALSE),0)+IFERROR(VLOOKUP($A126,WSoftball!$C:$O,L$1-2011,FALSE),0)+IFERROR(VLOOKUP($A126,WVolleyball!$C:$O,L$1-2011,FALSE),0)</f>
        <v>28120</v>
      </c>
      <c r="M126">
        <f>IFERROR(VLOOKUP($A126,MBaseball!$C:$N,M$1-2010,FALSE),0)+IFERROR(VLOOKUP($A126,MBasketball!$C:$J,M$1-2006,FALSE),0)+IFERROR(VLOOKUP($A126,MFootball!$C:$O,M$1-2011,FALSE),0)+IFERROR(VLOOKUP($A126,MIceHockey!$C:$P,M$1-2011,FALSE),0)+IFERROR(VLOOKUP($A126,MLacrosse!$C:$O,M$1-2011,FALSE),0)+IFERROR(VLOOKUP($A126,MSoccer!$C:$O,M$1-2011,FALSE),0)+IFERROR(VLOOKUP($A126,MVolleyball!$C:$O,M$1-2011,FALSE),0)+IFERROR(VLOOKUP($A126,WBasketball!$C:$O,M$1-2011,FALSE),0)+IFERROR(VLOOKUP($A126,WFieldHockey!$C:$O,M$1-2011,FALSE),0)+IFERROR(VLOOKUP($A126,WIceHockey!$C:$O,M$1-2011,FALSE),0)+IFERROR(VLOOKUP($A126,WLacrosse!$C:$O,M$1-2011,FALSE),0)+IFERROR(VLOOKUP($A126,WSoccer!$C:$O,M$1-2011,FALSE),0)+IFERROR(VLOOKUP($A126,WSoftball!$C:$O,M$1-2011,FALSE),0)+IFERROR(VLOOKUP($A126,WVolleyball!$C:$O,M$1-2011,FALSE),0)</f>
        <v>999115</v>
      </c>
      <c r="N126">
        <f>IFERROR(VLOOKUP($A126,MBaseball!$C:$N,N$1-2010,FALSE),0)+IFERROR(VLOOKUP($A126,MBasketball!$C:$J,N$1-2006,FALSE),0)+IFERROR(VLOOKUP($A126,MFootball!$C:$O,N$1-2011,FALSE),0)+IFERROR(VLOOKUP($A126,MIceHockey!$C:$P,N$1-2011,FALSE),0)+IFERROR(VLOOKUP($A126,MLacrosse!$C:$O,N$1-2011,FALSE),0)+IFERROR(VLOOKUP($A126,MSoccer!$C:$O,N$1-2011,FALSE),0)+IFERROR(VLOOKUP($A126,MVolleyball!$C:$O,N$1-2011,FALSE),0)+IFERROR(VLOOKUP($A126,WBasketball!$C:$O,N$1-2011,FALSE),0)+IFERROR(VLOOKUP($A126,WFieldHockey!$C:$O,N$1-2011,FALSE),0)+IFERROR(VLOOKUP($A126,WIceHockey!$C:$O,N$1-2011,FALSE),0)+IFERROR(VLOOKUP($A126,WLacrosse!$C:$O,N$1-2011,FALSE),0)+IFERROR(VLOOKUP($A126,WSoccer!$C:$O,N$1-2011,FALSE),0)+IFERROR(VLOOKUP($A126,WSoftball!$C:$O,N$1-2011,FALSE),0)+IFERROR(VLOOKUP($A126,WVolleyball!$C:$O,N$1-2011,FALSE),0)</f>
        <v>1042729</v>
      </c>
    </row>
    <row r="127" spans="1:14" x14ac:dyDescent="0.2">
      <c r="A127">
        <v>209807</v>
      </c>
      <c r="B127">
        <v>38900</v>
      </c>
      <c r="C127" t="s">
        <v>185</v>
      </c>
      <c r="D127">
        <v>126</v>
      </c>
      <c r="E127">
        <f>IFERROR(VLOOKUP($A127,MBaseball!$C:$N,E$1-2010,FALSE),0)+IFERROR(VLOOKUP($A127,MBasketball!$C:$J,E$1-2006,FALSE),0)+IFERROR(VLOOKUP($A127,MFootball!$C:$O,E$1-2011,FALSE),0)+IFERROR(VLOOKUP($A127,MIceHockey!$C:$P,E$1-2011,FALSE),0)+IFERROR(VLOOKUP($A127,MLacrosse!$C:$O,E$1-2011,FALSE),0)+IFERROR(VLOOKUP($A127,MSoccer!$C:$O,E$1-2011,FALSE),0)+IFERROR(VLOOKUP($A127,MVolleyball!$C:$O,E$1-2011,FALSE),0)+IFERROR(VLOOKUP($A127,WBasketball!$C:$O,E$1-2011,FALSE),0)+IFERROR(VLOOKUP($A127,WFieldHockey!$C:$O,E$1-2011,FALSE),0)+IFERROR(VLOOKUP($A127,WIceHockey!$C:$O,E$1-2011,FALSE),0)+IFERROR(VLOOKUP($A127,WLacrosse!$C:$O,E$1-2011,FALSE),0)+IFERROR(VLOOKUP($A127,WSoccer!$C:$O,E$1-2011,FALSE),0)+IFERROR(VLOOKUP($A127,WSoftball!$C:$O,E$1-2011,FALSE),0)+IFERROR(VLOOKUP($A127,WVolleyball!$C:$O,E$1-2011,FALSE),0)</f>
        <v>38278</v>
      </c>
      <c r="F127">
        <f>IFERROR(VLOOKUP($A127,MBaseball!$C:$N,F$1-2010,FALSE),0)+IFERROR(VLOOKUP($A127,MBasketball!$C:$J,F$1-2006,FALSE),0)+IFERROR(VLOOKUP($A127,MFootball!$C:$O,F$1-2011,FALSE),0)+IFERROR(VLOOKUP($A127,MIceHockey!$C:$P,F$1-2011,FALSE),0)+IFERROR(VLOOKUP($A127,MLacrosse!$C:$O,F$1-2011,FALSE),0)+IFERROR(VLOOKUP($A127,MSoccer!$C:$O,F$1-2011,FALSE),0)+IFERROR(VLOOKUP($A127,MVolleyball!$C:$O,F$1-2011,FALSE),0)+IFERROR(VLOOKUP($A127,WBasketball!$C:$O,F$1-2011,FALSE),0)+IFERROR(VLOOKUP($A127,WFieldHockey!$C:$O,F$1-2011,FALSE),0)+IFERROR(VLOOKUP($A127,WIceHockey!$C:$O,F$1-2011,FALSE),0)+IFERROR(VLOOKUP($A127,WLacrosse!$C:$O,F$1-2011,FALSE),0)+IFERROR(VLOOKUP($A127,WSoccer!$C:$O,F$1-2011,FALSE),0)+IFERROR(VLOOKUP($A127,WSoftball!$C:$O,F$1-2011,FALSE),0)+IFERROR(VLOOKUP($A127,WVolleyball!$C:$O,F$1-2011,FALSE),0)</f>
        <v>32844</v>
      </c>
      <c r="G127">
        <f>IFERROR(VLOOKUP($A127,MBaseball!$C:$N,G$1-2010,FALSE),0)+IFERROR(VLOOKUP($A127,MBasketball!$C:$J,G$1-2006,FALSE),0)+IFERROR(VLOOKUP($A127,MFootball!$C:$O,G$1-2011,FALSE),0)+IFERROR(VLOOKUP($A127,MIceHockey!$C:$P,G$1-2011,FALSE),0)+IFERROR(VLOOKUP($A127,MLacrosse!$C:$O,G$1-2011,FALSE),0)+IFERROR(VLOOKUP($A127,MSoccer!$C:$O,G$1-2011,FALSE),0)+IFERROR(VLOOKUP($A127,MVolleyball!$C:$O,G$1-2011,FALSE),0)+IFERROR(VLOOKUP($A127,WBasketball!$C:$O,G$1-2011,FALSE),0)+IFERROR(VLOOKUP($A127,WFieldHockey!$C:$O,G$1-2011,FALSE),0)+IFERROR(VLOOKUP($A127,WIceHockey!$C:$O,G$1-2011,FALSE),0)+IFERROR(VLOOKUP($A127,WLacrosse!$C:$O,G$1-2011,FALSE),0)+IFERROR(VLOOKUP($A127,WSoccer!$C:$O,G$1-2011,FALSE),0)+IFERROR(VLOOKUP($A127,WSoftball!$C:$O,G$1-2011,FALSE),0)+IFERROR(VLOOKUP($A127,WVolleyball!$C:$O,G$1-2011,FALSE),0)</f>
        <v>53986</v>
      </c>
      <c r="H127">
        <f>IFERROR(VLOOKUP($A127,MBaseball!$C:$N,H$1-2010,FALSE),0)+IFERROR(VLOOKUP($A127,MBasketball!$C:$J,H$1-2006,FALSE),0)+IFERROR(VLOOKUP($A127,MFootball!$C:$O,H$1-2011,FALSE),0)+IFERROR(VLOOKUP($A127,MIceHockey!$C:$P,H$1-2011,FALSE),0)+IFERROR(VLOOKUP($A127,MLacrosse!$C:$O,H$1-2011,FALSE),0)+IFERROR(VLOOKUP($A127,MSoccer!$C:$O,H$1-2011,FALSE),0)+IFERROR(VLOOKUP($A127,MVolleyball!$C:$O,H$1-2011,FALSE),0)+IFERROR(VLOOKUP($A127,WBasketball!$C:$O,H$1-2011,FALSE),0)+IFERROR(VLOOKUP($A127,WFieldHockey!$C:$O,H$1-2011,FALSE),0)+IFERROR(VLOOKUP($A127,WIceHockey!$C:$O,H$1-2011,FALSE),0)+IFERROR(VLOOKUP($A127,WLacrosse!$C:$O,H$1-2011,FALSE),0)+IFERROR(VLOOKUP($A127,WSoccer!$C:$O,H$1-2011,FALSE),0)+IFERROR(VLOOKUP($A127,WSoftball!$C:$O,H$1-2011,FALSE),0)+IFERROR(VLOOKUP($A127,WVolleyball!$C:$O,H$1-2011,FALSE),0)</f>
        <v>33613</v>
      </c>
      <c r="I127">
        <f>IFERROR(VLOOKUP($A127,MBaseball!$C:$N,I$1-2010,FALSE),0)+IFERROR(VLOOKUP($A127,MBasketball!$C:$J,I$1-2006,FALSE),0)+IFERROR(VLOOKUP($A127,MFootball!$C:$O,I$1-2011,FALSE),0)+IFERROR(VLOOKUP($A127,MIceHockey!$C:$P,I$1-2011,FALSE),0)+IFERROR(VLOOKUP($A127,MLacrosse!$C:$O,I$1-2011,FALSE),0)+IFERROR(VLOOKUP($A127,MSoccer!$C:$O,I$1-2011,FALSE),0)+IFERROR(VLOOKUP($A127,MVolleyball!$C:$O,I$1-2011,FALSE),0)+IFERROR(VLOOKUP($A127,WBasketball!$C:$O,I$1-2011,FALSE),0)+IFERROR(VLOOKUP($A127,WFieldHockey!$C:$O,I$1-2011,FALSE),0)+IFERROR(VLOOKUP($A127,WIceHockey!$C:$O,I$1-2011,FALSE),0)+IFERROR(VLOOKUP($A127,WLacrosse!$C:$O,I$1-2011,FALSE),0)+IFERROR(VLOOKUP($A127,WSoccer!$C:$O,I$1-2011,FALSE),0)+IFERROR(VLOOKUP($A127,WSoftball!$C:$O,I$1-2011,FALSE),0)+IFERROR(VLOOKUP($A127,WVolleyball!$C:$O,I$1-2011,FALSE),0)</f>
        <v>29273</v>
      </c>
      <c r="J127">
        <f>IFERROR(VLOOKUP($A127,MBaseball!$C:$N,J$1-2010,FALSE),0)+IFERROR(VLOOKUP($A127,MBasketball!$C:$J,J$1-2006,FALSE),0)+IFERROR(VLOOKUP($A127,MFootball!$C:$O,J$1-2011,FALSE),0)+IFERROR(VLOOKUP($A127,MIceHockey!$C:$P,J$1-2011,FALSE),0)+IFERROR(VLOOKUP($A127,MLacrosse!$C:$O,J$1-2011,FALSE),0)+IFERROR(VLOOKUP($A127,MSoccer!$C:$O,J$1-2011,FALSE),0)+IFERROR(VLOOKUP($A127,MVolleyball!$C:$O,J$1-2011,FALSE),0)+IFERROR(VLOOKUP($A127,WBasketball!$C:$O,J$1-2011,FALSE),0)+IFERROR(VLOOKUP($A127,WFieldHockey!$C:$O,J$1-2011,FALSE),0)+IFERROR(VLOOKUP($A127,WIceHockey!$C:$O,J$1-2011,FALSE),0)+IFERROR(VLOOKUP($A127,WLacrosse!$C:$O,J$1-2011,FALSE),0)+IFERROR(VLOOKUP($A127,WSoccer!$C:$O,J$1-2011,FALSE),0)+IFERROR(VLOOKUP($A127,WSoftball!$C:$O,J$1-2011,FALSE),0)+IFERROR(VLOOKUP($A127,WVolleyball!$C:$O,J$1-2011,FALSE),0)</f>
        <v>34099</v>
      </c>
      <c r="K127">
        <f>IFERROR(VLOOKUP($A127,MBaseball!$C:$N,K$1-2010,FALSE),0)+IFERROR(VLOOKUP($A127,MBasketball!$C:$J,K$1-2006,FALSE),0)+IFERROR(VLOOKUP($A127,MFootball!$C:$O,K$1-2011,FALSE),0)+IFERROR(VLOOKUP($A127,MIceHockey!$C:$P,K$1-2011,FALSE),0)+IFERROR(VLOOKUP($A127,MLacrosse!$C:$O,K$1-2011,FALSE),0)+IFERROR(VLOOKUP($A127,MSoccer!$C:$O,K$1-2011,FALSE),0)+IFERROR(VLOOKUP($A127,MVolleyball!$C:$O,K$1-2011,FALSE),0)+IFERROR(VLOOKUP($A127,WBasketball!$C:$O,K$1-2011,FALSE),0)+IFERROR(VLOOKUP($A127,WFieldHockey!$C:$O,K$1-2011,FALSE),0)+IFERROR(VLOOKUP($A127,WIceHockey!$C:$O,K$1-2011,FALSE),0)+IFERROR(VLOOKUP($A127,WLacrosse!$C:$O,K$1-2011,FALSE),0)+IFERROR(VLOOKUP($A127,WSoccer!$C:$O,K$1-2011,FALSE),0)+IFERROR(VLOOKUP($A127,WSoftball!$C:$O,K$1-2011,FALSE),0)+IFERROR(VLOOKUP($A127,WVolleyball!$C:$O,K$1-2011,FALSE),0)</f>
        <v>36118</v>
      </c>
      <c r="L127">
        <f>IFERROR(VLOOKUP($A127,MBaseball!$C:$N,L$1-2010,FALSE),0)+IFERROR(VLOOKUP($A127,MBasketball!$C:$J,L$1-2006,FALSE),0)+IFERROR(VLOOKUP($A127,MFootball!$C:$O,L$1-2011,FALSE),0)+IFERROR(VLOOKUP($A127,MIceHockey!$C:$P,L$1-2011,FALSE),0)+IFERROR(VLOOKUP($A127,MLacrosse!$C:$O,L$1-2011,FALSE),0)+IFERROR(VLOOKUP($A127,MSoccer!$C:$O,L$1-2011,FALSE),0)+IFERROR(VLOOKUP($A127,MVolleyball!$C:$O,L$1-2011,FALSE),0)+IFERROR(VLOOKUP($A127,WBasketball!$C:$O,L$1-2011,FALSE),0)+IFERROR(VLOOKUP($A127,WFieldHockey!$C:$O,L$1-2011,FALSE),0)+IFERROR(VLOOKUP($A127,WIceHockey!$C:$O,L$1-2011,FALSE),0)+IFERROR(VLOOKUP($A127,WLacrosse!$C:$O,L$1-2011,FALSE),0)+IFERROR(VLOOKUP($A127,WSoccer!$C:$O,L$1-2011,FALSE),0)+IFERROR(VLOOKUP($A127,WSoftball!$C:$O,L$1-2011,FALSE),0)+IFERROR(VLOOKUP($A127,WVolleyball!$C:$O,L$1-2011,FALSE),0)</f>
        <v>1492</v>
      </c>
      <c r="M127">
        <f>IFERROR(VLOOKUP($A127,MBaseball!$C:$N,M$1-2010,FALSE),0)+IFERROR(VLOOKUP($A127,MBasketball!$C:$J,M$1-2006,FALSE),0)+IFERROR(VLOOKUP($A127,MFootball!$C:$O,M$1-2011,FALSE),0)+IFERROR(VLOOKUP($A127,MIceHockey!$C:$P,M$1-2011,FALSE),0)+IFERROR(VLOOKUP($A127,MLacrosse!$C:$O,M$1-2011,FALSE),0)+IFERROR(VLOOKUP($A127,MSoccer!$C:$O,M$1-2011,FALSE),0)+IFERROR(VLOOKUP($A127,MVolleyball!$C:$O,M$1-2011,FALSE),0)+IFERROR(VLOOKUP($A127,WBasketball!$C:$O,M$1-2011,FALSE),0)+IFERROR(VLOOKUP($A127,WFieldHockey!$C:$O,M$1-2011,FALSE),0)+IFERROR(VLOOKUP($A127,WIceHockey!$C:$O,M$1-2011,FALSE),0)+IFERROR(VLOOKUP($A127,WLacrosse!$C:$O,M$1-2011,FALSE),0)+IFERROR(VLOOKUP($A127,WSoccer!$C:$O,M$1-2011,FALSE),0)+IFERROR(VLOOKUP($A127,WSoftball!$C:$O,M$1-2011,FALSE),0)+IFERROR(VLOOKUP($A127,WVolleyball!$C:$O,M$1-2011,FALSE),0)</f>
        <v>29728</v>
      </c>
      <c r="N127">
        <f>IFERROR(VLOOKUP($A127,MBaseball!$C:$N,N$1-2010,FALSE),0)+IFERROR(VLOOKUP($A127,MBasketball!$C:$J,N$1-2006,FALSE),0)+IFERROR(VLOOKUP($A127,MFootball!$C:$O,N$1-2011,FALSE),0)+IFERROR(VLOOKUP($A127,MIceHockey!$C:$P,N$1-2011,FALSE),0)+IFERROR(VLOOKUP($A127,MLacrosse!$C:$O,N$1-2011,FALSE),0)+IFERROR(VLOOKUP($A127,MSoccer!$C:$O,N$1-2011,FALSE),0)+IFERROR(VLOOKUP($A127,MVolleyball!$C:$O,N$1-2011,FALSE),0)+IFERROR(VLOOKUP($A127,WBasketball!$C:$O,N$1-2011,FALSE),0)+IFERROR(VLOOKUP($A127,WFieldHockey!$C:$O,N$1-2011,FALSE),0)+IFERROR(VLOOKUP($A127,WIceHockey!$C:$O,N$1-2011,FALSE),0)+IFERROR(VLOOKUP($A127,WLacrosse!$C:$O,N$1-2011,FALSE),0)+IFERROR(VLOOKUP($A127,WSoccer!$C:$O,N$1-2011,FALSE),0)+IFERROR(VLOOKUP($A127,WSoftball!$C:$O,N$1-2011,FALSE),0)+IFERROR(VLOOKUP($A127,WVolleyball!$C:$O,N$1-2011,FALSE),0)</f>
        <v>31799</v>
      </c>
    </row>
    <row r="128" spans="1:14" x14ac:dyDescent="0.2">
      <c r="A128">
        <v>227526</v>
      </c>
      <c r="B128">
        <v>26420</v>
      </c>
      <c r="C128" t="s">
        <v>186</v>
      </c>
      <c r="D128">
        <v>127</v>
      </c>
      <c r="E128">
        <f>IFERROR(VLOOKUP($A128,MBaseball!$C:$N,E$1-2010,FALSE),0)+IFERROR(VLOOKUP($A128,MBasketball!$C:$J,E$1-2006,FALSE),0)+IFERROR(VLOOKUP($A128,MFootball!$C:$O,E$1-2011,FALSE),0)+IFERROR(VLOOKUP($A128,MIceHockey!$C:$P,E$1-2011,FALSE),0)+IFERROR(VLOOKUP($A128,MLacrosse!$C:$O,E$1-2011,FALSE),0)+IFERROR(VLOOKUP($A128,MSoccer!$C:$O,E$1-2011,FALSE),0)+IFERROR(VLOOKUP($A128,MVolleyball!$C:$O,E$1-2011,FALSE),0)+IFERROR(VLOOKUP($A128,WBasketball!$C:$O,E$1-2011,FALSE),0)+IFERROR(VLOOKUP($A128,WFieldHockey!$C:$O,E$1-2011,FALSE),0)+IFERROR(VLOOKUP($A128,WIceHockey!$C:$O,E$1-2011,FALSE),0)+IFERROR(VLOOKUP($A128,WLacrosse!$C:$O,E$1-2011,FALSE),0)+IFERROR(VLOOKUP($A128,WSoccer!$C:$O,E$1-2011,FALSE),0)+IFERROR(VLOOKUP($A128,WSoftball!$C:$O,E$1-2011,FALSE),0)+IFERROR(VLOOKUP($A128,WVolleyball!$C:$O,E$1-2011,FALSE),0)</f>
        <v>26775</v>
      </c>
      <c r="F128">
        <f>IFERROR(VLOOKUP($A128,MBaseball!$C:$N,F$1-2010,FALSE),0)+IFERROR(VLOOKUP($A128,MBasketball!$C:$J,F$1-2006,FALSE),0)+IFERROR(VLOOKUP($A128,MFootball!$C:$O,F$1-2011,FALSE),0)+IFERROR(VLOOKUP($A128,MIceHockey!$C:$P,F$1-2011,FALSE),0)+IFERROR(VLOOKUP($A128,MLacrosse!$C:$O,F$1-2011,FALSE),0)+IFERROR(VLOOKUP($A128,MSoccer!$C:$O,F$1-2011,FALSE),0)+IFERROR(VLOOKUP($A128,MVolleyball!$C:$O,F$1-2011,FALSE),0)+IFERROR(VLOOKUP($A128,WBasketball!$C:$O,F$1-2011,FALSE),0)+IFERROR(VLOOKUP($A128,WFieldHockey!$C:$O,F$1-2011,FALSE),0)+IFERROR(VLOOKUP($A128,WIceHockey!$C:$O,F$1-2011,FALSE),0)+IFERROR(VLOOKUP($A128,WLacrosse!$C:$O,F$1-2011,FALSE),0)+IFERROR(VLOOKUP($A128,WSoccer!$C:$O,F$1-2011,FALSE),0)+IFERROR(VLOOKUP($A128,WSoftball!$C:$O,F$1-2011,FALSE),0)+IFERROR(VLOOKUP($A128,WVolleyball!$C:$O,F$1-2011,FALSE),0)</f>
        <v>25588</v>
      </c>
      <c r="G128">
        <f>IFERROR(VLOOKUP($A128,MBaseball!$C:$N,G$1-2010,FALSE),0)+IFERROR(VLOOKUP($A128,MBasketball!$C:$J,G$1-2006,FALSE),0)+IFERROR(VLOOKUP($A128,MFootball!$C:$O,G$1-2011,FALSE),0)+IFERROR(VLOOKUP($A128,MIceHockey!$C:$P,G$1-2011,FALSE),0)+IFERROR(VLOOKUP($A128,MLacrosse!$C:$O,G$1-2011,FALSE),0)+IFERROR(VLOOKUP($A128,MSoccer!$C:$O,G$1-2011,FALSE),0)+IFERROR(VLOOKUP($A128,MVolleyball!$C:$O,G$1-2011,FALSE),0)+IFERROR(VLOOKUP($A128,WBasketball!$C:$O,G$1-2011,FALSE),0)+IFERROR(VLOOKUP($A128,WFieldHockey!$C:$O,G$1-2011,FALSE),0)+IFERROR(VLOOKUP($A128,WIceHockey!$C:$O,G$1-2011,FALSE),0)+IFERROR(VLOOKUP($A128,WLacrosse!$C:$O,G$1-2011,FALSE),0)+IFERROR(VLOOKUP($A128,WSoccer!$C:$O,G$1-2011,FALSE),0)+IFERROR(VLOOKUP($A128,WSoftball!$C:$O,G$1-2011,FALSE),0)+IFERROR(VLOOKUP($A128,WVolleyball!$C:$O,G$1-2011,FALSE),0)</f>
        <v>31263</v>
      </c>
      <c r="H128">
        <f>IFERROR(VLOOKUP($A128,MBaseball!$C:$N,H$1-2010,FALSE),0)+IFERROR(VLOOKUP($A128,MBasketball!$C:$J,H$1-2006,FALSE),0)+IFERROR(VLOOKUP($A128,MFootball!$C:$O,H$1-2011,FALSE),0)+IFERROR(VLOOKUP($A128,MIceHockey!$C:$P,H$1-2011,FALSE),0)+IFERROR(VLOOKUP($A128,MLacrosse!$C:$O,H$1-2011,FALSE),0)+IFERROR(VLOOKUP($A128,MSoccer!$C:$O,H$1-2011,FALSE),0)+IFERROR(VLOOKUP($A128,MVolleyball!$C:$O,H$1-2011,FALSE),0)+IFERROR(VLOOKUP($A128,WBasketball!$C:$O,H$1-2011,FALSE),0)+IFERROR(VLOOKUP($A128,WFieldHockey!$C:$O,H$1-2011,FALSE),0)+IFERROR(VLOOKUP($A128,WIceHockey!$C:$O,H$1-2011,FALSE),0)+IFERROR(VLOOKUP($A128,WLacrosse!$C:$O,H$1-2011,FALSE),0)+IFERROR(VLOOKUP($A128,WSoccer!$C:$O,H$1-2011,FALSE),0)+IFERROR(VLOOKUP($A128,WSoftball!$C:$O,H$1-2011,FALSE),0)+IFERROR(VLOOKUP($A128,WVolleyball!$C:$O,H$1-2011,FALSE),0)</f>
        <v>59363</v>
      </c>
      <c r="I128">
        <f>IFERROR(VLOOKUP($A128,MBaseball!$C:$N,I$1-2010,FALSE),0)+IFERROR(VLOOKUP($A128,MBasketball!$C:$J,I$1-2006,FALSE),0)+IFERROR(VLOOKUP($A128,MFootball!$C:$O,I$1-2011,FALSE),0)+IFERROR(VLOOKUP($A128,MIceHockey!$C:$P,I$1-2011,FALSE),0)+IFERROR(VLOOKUP($A128,MLacrosse!$C:$O,I$1-2011,FALSE),0)+IFERROR(VLOOKUP($A128,MSoccer!$C:$O,I$1-2011,FALSE),0)+IFERROR(VLOOKUP($A128,MVolleyball!$C:$O,I$1-2011,FALSE),0)+IFERROR(VLOOKUP($A128,WBasketball!$C:$O,I$1-2011,FALSE),0)+IFERROR(VLOOKUP($A128,WFieldHockey!$C:$O,I$1-2011,FALSE),0)+IFERROR(VLOOKUP($A128,WIceHockey!$C:$O,I$1-2011,FALSE),0)+IFERROR(VLOOKUP($A128,WLacrosse!$C:$O,I$1-2011,FALSE),0)+IFERROR(VLOOKUP($A128,WSoccer!$C:$O,I$1-2011,FALSE),0)+IFERROR(VLOOKUP($A128,WSoftball!$C:$O,I$1-2011,FALSE),0)+IFERROR(VLOOKUP($A128,WVolleyball!$C:$O,I$1-2011,FALSE),0)</f>
        <v>102887</v>
      </c>
      <c r="J128">
        <f>IFERROR(VLOOKUP($A128,MBaseball!$C:$N,J$1-2010,FALSE),0)+IFERROR(VLOOKUP($A128,MBasketball!$C:$J,J$1-2006,FALSE),0)+IFERROR(VLOOKUP($A128,MFootball!$C:$O,J$1-2011,FALSE),0)+IFERROR(VLOOKUP($A128,MIceHockey!$C:$P,J$1-2011,FALSE),0)+IFERROR(VLOOKUP($A128,MLacrosse!$C:$O,J$1-2011,FALSE),0)+IFERROR(VLOOKUP($A128,MSoccer!$C:$O,J$1-2011,FALSE),0)+IFERROR(VLOOKUP($A128,MVolleyball!$C:$O,J$1-2011,FALSE),0)+IFERROR(VLOOKUP($A128,WBasketball!$C:$O,J$1-2011,FALSE),0)+IFERROR(VLOOKUP($A128,WFieldHockey!$C:$O,J$1-2011,FALSE),0)+IFERROR(VLOOKUP($A128,WIceHockey!$C:$O,J$1-2011,FALSE),0)+IFERROR(VLOOKUP($A128,WLacrosse!$C:$O,J$1-2011,FALSE),0)+IFERROR(VLOOKUP($A128,WSoccer!$C:$O,J$1-2011,FALSE),0)+IFERROR(VLOOKUP($A128,WSoftball!$C:$O,J$1-2011,FALSE),0)+IFERROR(VLOOKUP($A128,WVolleyball!$C:$O,J$1-2011,FALSE),0)</f>
        <v>45761</v>
      </c>
      <c r="K128">
        <f>IFERROR(VLOOKUP($A128,MBaseball!$C:$N,K$1-2010,FALSE),0)+IFERROR(VLOOKUP($A128,MBasketball!$C:$J,K$1-2006,FALSE),0)+IFERROR(VLOOKUP($A128,MFootball!$C:$O,K$1-2011,FALSE),0)+IFERROR(VLOOKUP($A128,MIceHockey!$C:$P,K$1-2011,FALSE),0)+IFERROR(VLOOKUP($A128,MLacrosse!$C:$O,K$1-2011,FALSE),0)+IFERROR(VLOOKUP($A128,MSoccer!$C:$O,K$1-2011,FALSE),0)+IFERROR(VLOOKUP($A128,MVolleyball!$C:$O,K$1-2011,FALSE),0)+IFERROR(VLOOKUP($A128,WBasketball!$C:$O,K$1-2011,FALSE),0)+IFERROR(VLOOKUP($A128,WFieldHockey!$C:$O,K$1-2011,FALSE),0)+IFERROR(VLOOKUP($A128,WIceHockey!$C:$O,K$1-2011,FALSE),0)+IFERROR(VLOOKUP($A128,WLacrosse!$C:$O,K$1-2011,FALSE),0)+IFERROR(VLOOKUP($A128,WSoccer!$C:$O,K$1-2011,FALSE),0)+IFERROR(VLOOKUP($A128,WSoftball!$C:$O,K$1-2011,FALSE),0)+IFERROR(VLOOKUP($A128,WVolleyball!$C:$O,K$1-2011,FALSE),0)</f>
        <v>43149</v>
      </c>
      <c r="L128">
        <f>IFERROR(VLOOKUP($A128,MBaseball!$C:$N,L$1-2010,FALSE),0)+IFERROR(VLOOKUP($A128,MBasketball!$C:$J,L$1-2006,FALSE),0)+IFERROR(VLOOKUP($A128,MFootball!$C:$O,L$1-2011,FALSE),0)+IFERROR(VLOOKUP($A128,MIceHockey!$C:$P,L$1-2011,FALSE),0)+IFERROR(VLOOKUP($A128,MLacrosse!$C:$O,L$1-2011,FALSE),0)+IFERROR(VLOOKUP($A128,MSoccer!$C:$O,L$1-2011,FALSE),0)+IFERROR(VLOOKUP($A128,MVolleyball!$C:$O,L$1-2011,FALSE),0)+IFERROR(VLOOKUP($A128,WBasketball!$C:$O,L$1-2011,FALSE),0)+IFERROR(VLOOKUP($A128,WFieldHockey!$C:$O,L$1-2011,FALSE),0)+IFERROR(VLOOKUP($A128,WIceHockey!$C:$O,L$1-2011,FALSE),0)+IFERROR(VLOOKUP($A128,WLacrosse!$C:$O,L$1-2011,FALSE),0)+IFERROR(VLOOKUP($A128,WSoccer!$C:$O,L$1-2011,FALSE),0)+IFERROR(VLOOKUP($A128,WSoftball!$C:$O,L$1-2011,FALSE),0)+IFERROR(VLOOKUP($A128,WVolleyball!$C:$O,L$1-2011,FALSE),0)</f>
        <v>9851</v>
      </c>
      <c r="M128">
        <f>IFERROR(VLOOKUP($A128,MBaseball!$C:$N,M$1-2010,FALSE),0)+IFERROR(VLOOKUP($A128,MBasketball!$C:$J,M$1-2006,FALSE),0)+IFERROR(VLOOKUP($A128,MFootball!$C:$O,M$1-2011,FALSE),0)+IFERROR(VLOOKUP($A128,MIceHockey!$C:$P,M$1-2011,FALSE),0)+IFERROR(VLOOKUP($A128,MLacrosse!$C:$O,M$1-2011,FALSE),0)+IFERROR(VLOOKUP($A128,MSoccer!$C:$O,M$1-2011,FALSE),0)+IFERROR(VLOOKUP($A128,MVolleyball!$C:$O,M$1-2011,FALSE),0)+IFERROR(VLOOKUP($A128,WBasketball!$C:$O,M$1-2011,FALSE),0)+IFERROR(VLOOKUP($A128,WFieldHockey!$C:$O,M$1-2011,FALSE),0)+IFERROR(VLOOKUP($A128,WIceHockey!$C:$O,M$1-2011,FALSE),0)+IFERROR(VLOOKUP($A128,WLacrosse!$C:$O,M$1-2011,FALSE),0)+IFERROR(VLOOKUP($A128,WSoccer!$C:$O,M$1-2011,FALSE),0)+IFERROR(VLOOKUP($A128,WSoftball!$C:$O,M$1-2011,FALSE),0)+IFERROR(VLOOKUP($A128,WVolleyball!$C:$O,M$1-2011,FALSE),0)</f>
        <v>28369</v>
      </c>
      <c r="N128">
        <f>IFERROR(VLOOKUP($A128,MBaseball!$C:$N,N$1-2010,FALSE),0)+IFERROR(VLOOKUP($A128,MBasketball!$C:$J,N$1-2006,FALSE),0)+IFERROR(VLOOKUP($A128,MFootball!$C:$O,N$1-2011,FALSE),0)+IFERROR(VLOOKUP($A128,MIceHockey!$C:$P,N$1-2011,FALSE),0)+IFERROR(VLOOKUP($A128,MLacrosse!$C:$O,N$1-2011,FALSE),0)+IFERROR(VLOOKUP($A128,MSoccer!$C:$O,N$1-2011,FALSE),0)+IFERROR(VLOOKUP($A128,MVolleyball!$C:$O,N$1-2011,FALSE),0)+IFERROR(VLOOKUP($A128,WBasketball!$C:$O,N$1-2011,FALSE),0)+IFERROR(VLOOKUP($A128,WFieldHockey!$C:$O,N$1-2011,FALSE),0)+IFERROR(VLOOKUP($A128,WIceHockey!$C:$O,N$1-2011,FALSE),0)+IFERROR(VLOOKUP($A128,WLacrosse!$C:$O,N$1-2011,FALSE),0)+IFERROR(VLOOKUP($A128,WSoccer!$C:$O,N$1-2011,FALSE),0)+IFERROR(VLOOKUP($A128,WSoftball!$C:$O,N$1-2011,FALSE),0)+IFERROR(VLOOKUP($A128,WVolleyball!$C:$O,N$1-2011,FALSE),0)</f>
        <v>45733</v>
      </c>
    </row>
    <row r="129" spans="1:14" x14ac:dyDescent="0.2">
      <c r="A129">
        <v>243780</v>
      </c>
      <c r="B129">
        <v>29200</v>
      </c>
      <c r="C129" t="s">
        <v>187</v>
      </c>
      <c r="D129">
        <v>128</v>
      </c>
      <c r="E129">
        <f>IFERROR(VLOOKUP($A129,MBaseball!$C:$N,E$1-2010,FALSE),0)+IFERROR(VLOOKUP($A129,MBasketball!$C:$J,E$1-2006,FALSE),0)+IFERROR(VLOOKUP($A129,MFootball!$C:$O,E$1-2011,FALSE),0)+IFERROR(VLOOKUP($A129,MIceHockey!$C:$P,E$1-2011,FALSE),0)+IFERROR(VLOOKUP($A129,MLacrosse!$C:$O,E$1-2011,FALSE),0)+IFERROR(VLOOKUP($A129,MSoccer!$C:$O,E$1-2011,FALSE),0)+IFERROR(VLOOKUP($A129,MVolleyball!$C:$O,E$1-2011,FALSE),0)+IFERROR(VLOOKUP($A129,WBasketball!$C:$O,E$1-2011,FALSE),0)+IFERROR(VLOOKUP($A129,WFieldHockey!$C:$O,E$1-2011,FALSE),0)+IFERROR(VLOOKUP($A129,WIceHockey!$C:$O,E$1-2011,FALSE),0)+IFERROR(VLOOKUP($A129,WLacrosse!$C:$O,E$1-2011,FALSE),0)+IFERROR(VLOOKUP($A129,WSoccer!$C:$O,E$1-2011,FALSE),0)+IFERROR(VLOOKUP($A129,WSoftball!$C:$O,E$1-2011,FALSE),0)+IFERROR(VLOOKUP($A129,WVolleyball!$C:$O,E$1-2011,FALSE),0)</f>
        <v>388609</v>
      </c>
      <c r="F129">
        <f>IFERROR(VLOOKUP($A129,MBaseball!$C:$N,F$1-2010,FALSE),0)+IFERROR(VLOOKUP($A129,MBasketball!$C:$J,F$1-2006,FALSE),0)+IFERROR(VLOOKUP($A129,MFootball!$C:$O,F$1-2011,FALSE),0)+IFERROR(VLOOKUP($A129,MIceHockey!$C:$P,F$1-2011,FALSE),0)+IFERROR(VLOOKUP($A129,MLacrosse!$C:$O,F$1-2011,FALSE),0)+IFERROR(VLOOKUP($A129,MSoccer!$C:$O,F$1-2011,FALSE),0)+IFERROR(VLOOKUP($A129,MVolleyball!$C:$O,F$1-2011,FALSE),0)+IFERROR(VLOOKUP($A129,WBasketball!$C:$O,F$1-2011,FALSE),0)+IFERROR(VLOOKUP($A129,WFieldHockey!$C:$O,F$1-2011,FALSE),0)+IFERROR(VLOOKUP($A129,WIceHockey!$C:$O,F$1-2011,FALSE),0)+IFERROR(VLOOKUP($A129,WLacrosse!$C:$O,F$1-2011,FALSE),0)+IFERROR(VLOOKUP($A129,WSoccer!$C:$O,F$1-2011,FALSE),0)+IFERROR(VLOOKUP($A129,WSoftball!$C:$O,F$1-2011,FALSE),0)+IFERROR(VLOOKUP($A129,WVolleyball!$C:$O,F$1-2011,FALSE),0)</f>
        <v>411172</v>
      </c>
      <c r="G129">
        <f>IFERROR(VLOOKUP($A129,MBaseball!$C:$N,G$1-2010,FALSE),0)+IFERROR(VLOOKUP($A129,MBasketball!$C:$J,G$1-2006,FALSE),0)+IFERROR(VLOOKUP($A129,MFootball!$C:$O,G$1-2011,FALSE),0)+IFERROR(VLOOKUP($A129,MIceHockey!$C:$P,G$1-2011,FALSE),0)+IFERROR(VLOOKUP($A129,MLacrosse!$C:$O,G$1-2011,FALSE),0)+IFERROR(VLOOKUP($A129,MSoccer!$C:$O,G$1-2011,FALSE),0)+IFERROR(VLOOKUP($A129,MVolleyball!$C:$O,G$1-2011,FALSE),0)+IFERROR(VLOOKUP($A129,WBasketball!$C:$O,G$1-2011,FALSE),0)+IFERROR(VLOOKUP($A129,WFieldHockey!$C:$O,G$1-2011,FALSE),0)+IFERROR(VLOOKUP($A129,WIceHockey!$C:$O,G$1-2011,FALSE),0)+IFERROR(VLOOKUP($A129,WLacrosse!$C:$O,G$1-2011,FALSE),0)+IFERROR(VLOOKUP($A129,WSoccer!$C:$O,G$1-2011,FALSE),0)+IFERROR(VLOOKUP($A129,WSoftball!$C:$O,G$1-2011,FALSE),0)+IFERROR(VLOOKUP($A129,WVolleyball!$C:$O,G$1-2011,FALSE),0)</f>
        <v>439142</v>
      </c>
      <c r="H129">
        <f>IFERROR(VLOOKUP($A129,MBaseball!$C:$N,H$1-2010,FALSE),0)+IFERROR(VLOOKUP($A129,MBasketball!$C:$J,H$1-2006,FALSE),0)+IFERROR(VLOOKUP($A129,MFootball!$C:$O,H$1-2011,FALSE),0)+IFERROR(VLOOKUP($A129,MIceHockey!$C:$P,H$1-2011,FALSE),0)+IFERROR(VLOOKUP($A129,MLacrosse!$C:$O,H$1-2011,FALSE),0)+IFERROR(VLOOKUP($A129,MSoccer!$C:$O,H$1-2011,FALSE),0)+IFERROR(VLOOKUP($A129,MVolleyball!$C:$O,H$1-2011,FALSE),0)+IFERROR(VLOOKUP($A129,WBasketball!$C:$O,H$1-2011,FALSE),0)+IFERROR(VLOOKUP($A129,WFieldHockey!$C:$O,H$1-2011,FALSE),0)+IFERROR(VLOOKUP($A129,WIceHockey!$C:$O,H$1-2011,FALSE),0)+IFERROR(VLOOKUP($A129,WLacrosse!$C:$O,H$1-2011,FALSE),0)+IFERROR(VLOOKUP($A129,WSoccer!$C:$O,H$1-2011,FALSE),0)+IFERROR(VLOOKUP($A129,WSoftball!$C:$O,H$1-2011,FALSE),0)+IFERROR(VLOOKUP($A129,WVolleyball!$C:$O,H$1-2011,FALSE),0)</f>
        <v>407053</v>
      </c>
      <c r="I129">
        <f>IFERROR(VLOOKUP($A129,MBaseball!$C:$N,I$1-2010,FALSE),0)+IFERROR(VLOOKUP($A129,MBasketball!$C:$J,I$1-2006,FALSE),0)+IFERROR(VLOOKUP($A129,MFootball!$C:$O,I$1-2011,FALSE),0)+IFERROR(VLOOKUP($A129,MIceHockey!$C:$P,I$1-2011,FALSE),0)+IFERROR(VLOOKUP($A129,MLacrosse!$C:$O,I$1-2011,FALSE),0)+IFERROR(VLOOKUP($A129,MSoccer!$C:$O,I$1-2011,FALSE),0)+IFERROR(VLOOKUP($A129,MVolleyball!$C:$O,I$1-2011,FALSE),0)+IFERROR(VLOOKUP($A129,WBasketball!$C:$O,I$1-2011,FALSE),0)+IFERROR(VLOOKUP($A129,WFieldHockey!$C:$O,I$1-2011,FALSE),0)+IFERROR(VLOOKUP($A129,WIceHockey!$C:$O,I$1-2011,FALSE),0)+IFERROR(VLOOKUP($A129,WLacrosse!$C:$O,I$1-2011,FALSE),0)+IFERROR(VLOOKUP($A129,WSoccer!$C:$O,I$1-2011,FALSE),0)+IFERROR(VLOOKUP($A129,WSoftball!$C:$O,I$1-2011,FALSE),0)+IFERROR(VLOOKUP($A129,WVolleyball!$C:$O,I$1-2011,FALSE),0)</f>
        <v>460415</v>
      </c>
      <c r="J129">
        <f>IFERROR(VLOOKUP($A129,MBaseball!$C:$N,J$1-2010,FALSE),0)+IFERROR(VLOOKUP($A129,MBasketball!$C:$J,J$1-2006,FALSE),0)+IFERROR(VLOOKUP($A129,MFootball!$C:$O,J$1-2011,FALSE),0)+IFERROR(VLOOKUP($A129,MIceHockey!$C:$P,J$1-2011,FALSE),0)+IFERROR(VLOOKUP($A129,MLacrosse!$C:$O,J$1-2011,FALSE),0)+IFERROR(VLOOKUP($A129,MSoccer!$C:$O,J$1-2011,FALSE),0)+IFERROR(VLOOKUP($A129,MVolleyball!$C:$O,J$1-2011,FALSE),0)+IFERROR(VLOOKUP($A129,WBasketball!$C:$O,J$1-2011,FALSE),0)+IFERROR(VLOOKUP($A129,WFieldHockey!$C:$O,J$1-2011,FALSE),0)+IFERROR(VLOOKUP($A129,WIceHockey!$C:$O,J$1-2011,FALSE),0)+IFERROR(VLOOKUP($A129,WLacrosse!$C:$O,J$1-2011,FALSE),0)+IFERROR(VLOOKUP($A129,WSoccer!$C:$O,J$1-2011,FALSE),0)+IFERROR(VLOOKUP($A129,WSoftball!$C:$O,J$1-2011,FALSE),0)+IFERROR(VLOOKUP($A129,WVolleyball!$C:$O,J$1-2011,FALSE),0)</f>
        <v>524737</v>
      </c>
      <c r="K129">
        <f>IFERROR(VLOOKUP($A129,MBaseball!$C:$N,K$1-2010,FALSE),0)+IFERROR(VLOOKUP($A129,MBasketball!$C:$J,K$1-2006,FALSE),0)+IFERROR(VLOOKUP($A129,MFootball!$C:$O,K$1-2011,FALSE),0)+IFERROR(VLOOKUP($A129,MIceHockey!$C:$P,K$1-2011,FALSE),0)+IFERROR(VLOOKUP($A129,MLacrosse!$C:$O,K$1-2011,FALSE),0)+IFERROR(VLOOKUP($A129,MSoccer!$C:$O,K$1-2011,FALSE),0)+IFERROR(VLOOKUP($A129,MVolleyball!$C:$O,K$1-2011,FALSE),0)+IFERROR(VLOOKUP($A129,WBasketball!$C:$O,K$1-2011,FALSE),0)+IFERROR(VLOOKUP($A129,WFieldHockey!$C:$O,K$1-2011,FALSE),0)+IFERROR(VLOOKUP($A129,WIceHockey!$C:$O,K$1-2011,FALSE),0)+IFERROR(VLOOKUP($A129,WLacrosse!$C:$O,K$1-2011,FALSE),0)+IFERROR(VLOOKUP($A129,WSoccer!$C:$O,K$1-2011,FALSE),0)+IFERROR(VLOOKUP($A129,WSoftball!$C:$O,K$1-2011,FALSE),0)+IFERROR(VLOOKUP($A129,WVolleyball!$C:$O,K$1-2011,FALSE),0)</f>
        <v>520354</v>
      </c>
      <c r="L129">
        <f>IFERROR(VLOOKUP($A129,MBaseball!$C:$N,L$1-2010,FALSE),0)+IFERROR(VLOOKUP($A129,MBasketball!$C:$J,L$1-2006,FALSE),0)+IFERROR(VLOOKUP($A129,MFootball!$C:$O,L$1-2011,FALSE),0)+IFERROR(VLOOKUP($A129,MIceHockey!$C:$P,L$1-2011,FALSE),0)+IFERROR(VLOOKUP($A129,MLacrosse!$C:$O,L$1-2011,FALSE),0)+IFERROR(VLOOKUP($A129,MSoccer!$C:$O,L$1-2011,FALSE),0)+IFERROR(VLOOKUP($A129,MVolleyball!$C:$O,L$1-2011,FALSE),0)+IFERROR(VLOOKUP($A129,WBasketball!$C:$O,L$1-2011,FALSE),0)+IFERROR(VLOOKUP($A129,WFieldHockey!$C:$O,L$1-2011,FALSE),0)+IFERROR(VLOOKUP($A129,WIceHockey!$C:$O,L$1-2011,FALSE),0)+IFERROR(VLOOKUP($A129,WLacrosse!$C:$O,L$1-2011,FALSE),0)+IFERROR(VLOOKUP($A129,WSoccer!$C:$O,L$1-2011,FALSE),0)+IFERROR(VLOOKUP($A129,WSoftball!$C:$O,L$1-2011,FALSE),0)+IFERROR(VLOOKUP($A129,WVolleyball!$C:$O,L$1-2011,FALSE),0)</f>
        <v>38678</v>
      </c>
      <c r="M129">
        <f>IFERROR(VLOOKUP($A129,MBaseball!$C:$N,M$1-2010,FALSE),0)+IFERROR(VLOOKUP($A129,MBasketball!$C:$J,M$1-2006,FALSE),0)+IFERROR(VLOOKUP($A129,MFootball!$C:$O,M$1-2011,FALSE),0)+IFERROR(VLOOKUP($A129,MIceHockey!$C:$P,M$1-2011,FALSE),0)+IFERROR(VLOOKUP($A129,MLacrosse!$C:$O,M$1-2011,FALSE),0)+IFERROR(VLOOKUP($A129,MSoccer!$C:$O,M$1-2011,FALSE),0)+IFERROR(VLOOKUP($A129,MVolleyball!$C:$O,M$1-2011,FALSE),0)+IFERROR(VLOOKUP($A129,WBasketball!$C:$O,M$1-2011,FALSE),0)+IFERROR(VLOOKUP($A129,WFieldHockey!$C:$O,M$1-2011,FALSE),0)+IFERROR(VLOOKUP($A129,WIceHockey!$C:$O,M$1-2011,FALSE),0)+IFERROR(VLOOKUP($A129,WLacrosse!$C:$O,M$1-2011,FALSE),0)+IFERROR(VLOOKUP($A129,WSoccer!$C:$O,M$1-2011,FALSE),0)+IFERROR(VLOOKUP($A129,WSoftball!$C:$O,M$1-2011,FALSE),0)+IFERROR(VLOOKUP($A129,WVolleyball!$C:$O,M$1-2011,FALSE),0)</f>
        <v>481934</v>
      </c>
      <c r="N129">
        <f>IFERROR(VLOOKUP($A129,MBaseball!$C:$N,N$1-2010,FALSE),0)+IFERROR(VLOOKUP($A129,MBasketball!$C:$J,N$1-2006,FALSE),0)+IFERROR(VLOOKUP($A129,MFootball!$C:$O,N$1-2011,FALSE),0)+IFERROR(VLOOKUP($A129,MIceHockey!$C:$P,N$1-2011,FALSE),0)+IFERROR(VLOOKUP($A129,MLacrosse!$C:$O,N$1-2011,FALSE),0)+IFERROR(VLOOKUP($A129,MSoccer!$C:$O,N$1-2011,FALSE),0)+IFERROR(VLOOKUP($A129,MVolleyball!$C:$O,N$1-2011,FALSE),0)+IFERROR(VLOOKUP($A129,WBasketball!$C:$O,N$1-2011,FALSE),0)+IFERROR(VLOOKUP($A129,WFieldHockey!$C:$O,N$1-2011,FALSE),0)+IFERROR(VLOOKUP($A129,WIceHockey!$C:$O,N$1-2011,FALSE),0)+IFERROR(VLOOKUP($A129,WLacrosse!$C:$O,N$1-2011,FALSE),0)+IFERROR(VLOOKUP($A129,WSoccer!$C:$O,N$1-2011,FALSE),0)+IFERROR(VLOOKUP($A129,WSoftball!$C:$O,N$1-2011,FALSE),0)+IFERROR(VLOOKUP($A129,WVolleyball!$C:$O,N$1-2011,FALSE),0)</f>
        <v>448348</v>
      </c>
    </row>
    <row r="130" spans="1:14" x14ac:dyDescent="0.2">
      <c r="A130">
        <v>151102</v>
      </c>
      <c r="B130">
        <v>23060</v>
      </c>
      <c r="C130" t="s">
        <v>188</v>
      </c>
      <c r="D130">
        <v>129</v>
      </c>
      <c r="E130">
        <f>IFERROR(VLOOKUP($A130,MBaseball!$C:$N,E$1-2010,FALSE),0)+IFERROR(VLOOKUP($A130,MBasketball!$C:$J,E$1-2006,FALSE),0)+IFERROR(VLOOKUP($A130,MFootball!$C:$O,E$1-2011,FALSE),0)+IFERROR(VLOOKUP($A130,MIceHockey!$C:$P,E$1-2011,FALSE),0)+IFERROR(VLOOKUP($A130,MLacrosse!$C:$O,E$1-2011,FALSE),0)+IFERROR(VLOOKUP($A130,MSoccer!$C:$O,E$1-2011,FALSE),0)+IFERROR(VLOOKUP($A130,MVolleyball!$C:$O,E$1-2011,FALSE),0)+IFERROR(VLOOKUP($A130,WBasketball!$C:$O,E$1-2011,FALSE),0)+IFERROR(VLOOKUP($A130,WFieldHockey!$C:$O,E$1-2011,FALSE),0)+IFERROR(VLOOKUP($A130,WIceHockey!$C:$O,E$1-2011,FALSE),0)+IFERROR(VLOOKUP($A130,WLacrosse!$C:$O,E$1-2011,FALSE),0)+IFERROR(VLOOKUP($A130,WSoccer!$C:$O,E$1-2011,FALSE),0)+IFERROR(VLOOKUP($A130,WSoftball!$C:$O,E$1-2011,FALSE),0)+IFERROR(VLOOKUP($A130,WVolleyball!$C:$O,E$1-2011,FALSE),0)</f>
        <v>48657</v>
      </c>
      <c r="F130">
        <f>IFERROR(VLOOKUP($A130,MBaseball!$C:$N,F$1-2010,FALSE),0)+IFERROR(VLOOKUP($A130,MBasketball!$C:$J,F$1-2006,FALSE),0)+IFERROR(VLOOKUP($A130,MFootball!$C:$O,F$1-2011,FALSE),0)+IFERROR(VLOOKUP($A130,MIceHockey!$C:$P,F$1-2011,FALSE),0)+IFERROR(VLOOKUP($A130,MLacrosse!$C:$O,F$1-2011,FALSE),0)+IFERROR(VLOOKUP($A130,MSoccer!$C:$O,F$1-2011,FALSE),0)+IFERROR(VLOOKUP($A130,MVolleyball!$C:$O,F$1-2011,FALSE),0)+IFERROR(VLOOKUP($A130,WBasketball!$C:$O,F$1-2011,FALSE),0)+IFERROR(VLOOKUP($A130,WFieldHockey!$C:$O,F$1-2011,FALSE),0)+IFERROR(VLOOKUP($A130,WIceHockey!$C:$O,F$1-2011,FALSE),0)+IFERROR(VLOOKUP($A130,WLacrosse!$C:$O,F$1-2011,FALSE),0)+IFERROR(VLOOKUP($A130,WSoccer!$C:$O,F$1-2011,FALSE),0)+IFERROR(VLOOKUP($A130,WSoftball!$C:$O,F$1-2011,FALSE),0)+IFERROR(VLOOKUP($A130,WVolleyball!$C:$O,F$1-2011,FALSE),0)</f>
        <v>33951</v>
      </c>
      <c r="G130">
        <f>IFERROR(VLOOKUP($A130,MBaseball!$C:$N,G$1-2010,FALSE),0)+IFERROR(VLOOKUP($A130,MBasketball!$C:$J,G$1-2006,FALSE),0)+IFERROR(VLOOKUP($A130,MFootball!$C:$O,G$1-2011,FALSE),0)+IFERROR(VLOOKUP($A130,MIceHockey!$C:$P,G$1-2011,FALSE),0)+IFERROR(VLOOKUP($A130,MLacrosse!$C:$O,G$1-2011,FALSE),0)+IFERROR(VLOOKUP($A130,MSoccer!$C:$O,G$1-2011,FALSE),0)+IFERROR(VLOOKUP($A130,MVolleyball!$C:$O,G$1-2011,FALSE),0)+IFERROR(VLOOKUP($A130,WBasketball!$C:$O,G$1-2011,FALSE),0)+IFERROR(VLOOKUP($A130,WFieldHockey!$C:$O,G$1-2011,FALSE),0)+IFERROR(VLOOKUP($A130,WIceHockey!$C:$O,G$1-2011,FALSE),0)+IFERROR(VLOOKUP($A130,WLacrosse!$C:$O,G$1-2011,FALSE),0)+IFERROR(VLOOKUP($A130,WSoccer!$C:$O,G$1-2011,FALSE),0)+IFERROR(VLOOKUP($A130,WSoftball!$C:$O,G$1-2011,FALSE),0)+IFERROR(VLOOKUP($A130,WVolleyball!$C:$O,G$1-2011,FALSE),0)</f>
        <v>30293</v>
      </c>
      <c r="H130">
        <f>IFERROR(VLOOKUP($A130,MBaseball!$C:$N,H$1-2010,FALSE),0)+IFERROR(VLOOKUP($A130,MBasketball!$C:$J,H$1-2006,FALSE),0)+IFERROR(VLOOKUP($A130,MFootball!$C:$O,H$1-2011,FALSE),0)+IFERROR(VLOOKUP($A130,MIceHockey!$C:$P,H$1-2011,FALSE),0)+IFERROR(VLOOKUP($A130,MLacrosse!$C:$O,H$1-2011,FALSE),0)+IFERROR(VLOOKUP($A130,MSoccer!$C:$O,H$1-2011,FALSE),0)+IFERROR(VLOOKUP($A130,MVolleyball!$C:$O,H$1-2011,FALSE),0)+IFERROR(VLOOKUP($A130,WBasketball!$C:$O,H$1-2011,FALSE),0)+IFERROR(VLOOKUP($A130,WFieldHockey!$C:$O,H$1-2011,FALSE),0)+IFERROR(VLOOKUP($A130,WIceHockey!$C:$O,H$1-2011,FALSE),0)+IFERROR(VLOOKUP($A130,WLacrosse!$C:$O,H$1-2011,FALSE),0)+IFERROR(VLOOKUP($A130,WSoccer!$C:$O,H$1-2011,FALSE),0)+IFERROR(VLOOKUP($A130,WSoftball!$C:$O,H$1-2011,FALSE),0)+IFERROR(VLOOKUP($A130,WVolleyball!$C:$O,H$1-2011,FALSE),0)</f>
        <v>29553</v>
      </c>
      <c r="I130">
        <f>IFERROR(VLOOKUP($A130,MBaseball!$C:$N,I$1-2010,FALSE),0)+IFERROR(VLOOKUP($A130,MBasketball!$C:$J,I$1-2006,FALSE),0)+IFERROR(VLOOKUP($A130,MFootball!$C:$O,I$1-2011,FALSE),0)+IFERROR(VLOOKUP($A130,MIceHockey!$C:$P,I$1-2011,FALSE),0)+IFERROR(VLOOKUP($A130,MLacrosse!$C:$O,I$1-2011,FALSE),0)+IFERROR(VLOOKUP($A130,MSoccer!$C:$O,I$1-2011,FALSE),0)+IFERROR(VLOOKUP($A130,MVolleyball!$C:$O,I$1-2011,FALSE),0)+IFERROR(VLOOKUP($A130,WBasketball!$C:$O,I$1-2011,FALSE),0)+IFERROR(VLOOKUP($A130,WFieldHockey!$C:$O,I$1-2011,FALSE),0)+IFERROR(VLOOKUP($A130,WIceHockey!$C:$O,I$1-2011,FALSE),0)+IFERROR(VLOOKUP($A130,WLacrosse!$C:$O,I$1-2011,FALSE),0)+IFERROR(VLOOKUP($A130,WSoccer!$C:$O,I$1-2011,FALSE),0)+IFERROR(VLOOKUP($A130,WSoftball!$C:$O,I$1-2011,FALSE),0)+IFERROR(VLOOKUP($A130,WVolleyball!$C:$O,I$1-2011,FALSE),0)</f>
        <v>27541</v>
      </c>
      <c r="J130">
        <f>IFERROR(VLOOKUP($A130,MBaseball!$C:$N,J$1-2010,FALSE),0)+IFERROR(VLOOKUP($A130,MBasketball!$C:$J,J$1-2006,FALSE),0)+IFERROR(VLOOKUP($A130,MFootball!$C:$O,J$1-2011,FALSE),0)+IFERROR(VLOOKUP($A130,MIceHockey!$C:$P,J$1-2011,FALSE),0)+IFERROR(VLOOKUP($A130,MLacrosse!$C:$O,J$1-2011,FALSE),0)+IFERROR(VLOOKUP($A130,MSoccer!$C:$O,J$1-2011,FALSE),0)+IFERROR(VLOOKUP($A130,MVolleyball!$C:$O,J$1-2011,FALSE),0)+IFERROR(VLOOKUP($A130,WBasketball!$C:$O,J$1-2011,FALSE),0)+IFERROR(VLOOKUP($A130,WFieldHockey!$C:$O,J$1-2011,FALSE),0)+IFERROR(VLOOKUP($A130,WIceHockey!$C:$O,J$1-2011,FALSE),0)+IFERROR(VLOOKUP($A130,WLacrosse!$C:$O,J$1-2011,FALSE),0)+IFERROR(VLOOKUP($A130,WSoccer!$C:$O,J$1-2011,FALSE),0)+IFERROR(VLOOKUP($A130,WSoftball!$C:$O,J$1-2011,FALSE),0)+IFERROR(VLOOKUP($A130,WVolleyball!$C:$O,J$1-2011,FALSE),0)</f>
        <v>25339</v>
      </c>
      <c r="K130">
        <f>IFERROR(VLOOKUP($A130,MBaseball!$C:$N,K$1-2010,FALSE),0)+IFERROR(VLOOKUP($A130,MBasketball!$C:$J,K$1-2006,FALSE),0)+IFERROR(VLOOKUP($A130,MFootball!$C:$O,K$1-2011,FALSE),0)+IFERROR(VLOOKUP($A130,MIceHockey!$C:$P,K$1-2011,FALSE),0)+IFERROR(VLOOKUP($A130,MLacrosse!$C:$O,K$1-2011,FALSE),0)+IFERROR(VLOOKUP($A130,MSoccer!$C:$O,K$1-2011,FALSE),0)+IFERROR(VLOOKUP($A130,MVolleyball!$C:$O,K$1-2011,FALSE),0)+IFERROR(VLOOKUP($A130,WBasketball!$C:$O,K$1-2011,FALSE),0)+IFERROR(VLOOKUP($A130,WFieldHockey!$C:$O,K$1-2011,FALSE),0)+IFERROR(VLOOKUP($A130,WIceHockey!$C:$O,K$1-2011,FALSE),0)+IFERROR(VLOOKUP($A130,WLacrosse!$C:$O,K$1-2011,FALSE),0)+IFERROR(VLOOKUP($A130,WSoccer!$C:$O,K$1-2011,FALSE),0)+IFERROR(VLOOKUP($A130,WSoftball!$C:$O,K$1-2011,FALSE),0)+IFERROR(VLOOKUP($A130,WVolleyball!$C:$O,K$1-2011,FALSE),0)</f>
        <v>19434</v>
      </c>
      <c r="L130">
        <f>IFERROR(VLOOKUP($A130,MBaseball!$C:$N,L$1-2010,FALSE),0)+IFERROR(VLOOKUP($A130,MBasketball!$C:$J,L$1-2006,FALSE),0)+IFERROR(VLOOKUP($A130,MFootball!$C:$O,L$1-2011,FALSE),0)+IFERROR(VLOOKUP($A130,MIceHockey!$C:$P,L$1-2011,FALSE),0)+IFERROR(VLOOKUP($A130,MLacrosse!$C:$O,L$1-2011,FALSE),0)+IFERROR(VLOOKUP($A130,MSoccer!$C:$O,L$1-2011,FALSE),0)+IFERROR(VLOOKUP($A130,MVolleyball!$C:$O,L$1-2011,FALSE),0)+IFERROR(VLOOKUP($A130,WBasketball!$C:$O,L$1-2011,FALSE),0)+IFERROR(VLOOKUP($A130,WFieldHockey!$C:$O,L$1-2011,FALSE),0)+IFERROR(VLOOKUP($A130,WIceHockey!$C:$O,L$1-2011,FALSE),0)+IFERROR(VLOOKUP($A130,WLacrosse!$C:$O,L$1-2011,FALSE),0)+IFERROR(VLOOKUP($A130,WSoccer!$C:$O,L$1-2011,FALSE),0)+IFERROR(VLOOKUP($A130,WSoftball!$C:$O,L$1-2011,FALSE),0)+IFERROR(VLOOKUP($A130,WVolleyball!$C:$O,L$1-2011,FALSE),0)</f>
        <v>4630</v>
      </c>
      <c r="M130">
        <f>IFERROR(VLOOKUP($A130,MBaseball!$C:$N,M$1-2010,FALSE),0)+IFERROR(VLOOKUP($A130,MBasketball!$C:$J,M$1-2006,FALSE),0)+IFERROR(VLOOKUP($A130,MFootball!$C:$O,M$1-2011,FALSE),0)+IFERROR(VLOOKUP($A130,MIceHockey!$C:$P,M$1-2011,FALSE),0)+IFERROR(VLOOKUP($A130,MLacrosse!$C:$O,M$1-2011,FALSE),0)+IFERROR(VLOOKUP($A130,MSoccer!$C:$O,M$1-2011,FALSE),0)+IFERROR(VLOOKUP($A130,MVolleyball!$C:$O,M$1-2011,FALSE),0)+IFERROR(VLOOKUP($A130,WBasketball!$C:$O,M$1-2011,FALSE),0)+IFERROR(VLOOKUP($A130,WFieldHockey!$C:$O,M$1-2011,FALSE),0)+IFERROR(VLOOKUP($A130,WIceHockey!$C:$O,M$1-2011,FALSE),0)+IFERROR(VLOOKUP($A130,WLacrosse!$C:$O,M$1-2011,FALSE),0)+IFERROR(VLOOKUP($A130,WSoccer!$C:$O,M$1-2011,FALSE),0)+IFERROR(VLOOKUP($A130,WSoftball!$C:$O,M$1-2011,FALSE),0)+IFERROR(VLOOKUP($A130,WVolleyball!$C:$O,M$1-2011,FALSE),0)</f>
        <v>20132</v>
      </c>
      <c r="N130">
        <f>IFERROR(VLOOKUP($A130,MBaseball!$C:$N,N$1-2010,FALSE),0)+IFERROR(VLOOKUP($A130,MBasketball!$C:$J,N$1-2006,FALSE),0)+IFERROR(VLOOKUP($A130,MFootball!$C:$O,N$1-2011,FALSE),0)+IFERROR(VLOOKUP($A130,MIceHockey!$C:$P,N$1-2011,FALSE),0)+IFERROR(VLOOKUP($A130,MLacrosse!$C:$O,N$1-2011,FALSE),0)+IFERROR(VLOOKUP($A130,MSoccer!$C:$O,N$1-2011,FALSE),0)+IFERROR(VLOOKUP($A130,MVolleyball!$C:$O,N$1-2011,FALSE),0)+IFERROR(VLOOKUP($A130,WBasketball!$C:$O,N$1-2011,FALSE),0)+IFERROR(VLOOKUP($A130,WFieldHockey!$C:$O,N$1-2011,FALSE),0)+IFERROR(VLOOKUP($A130,WIceHockey!$C:$O,N$1-2011,FALSE),0)+IFERROR(VLOOKUP($A130,WLacrosse!$C:$O,N$1-2011,FALSE),0)+IFERROR(VLOOKUP($A130,WSoccer!$C:$O,N$1-2011,FALSE),0)+IFERROR(VLOOKUP($A130,WSoftball!$C:$O,N$1-2011,FALSE),0)+IFERROR(VLOOKUP($A130,WVolleyball!$C:$O,N$1-2011,FALSE),0)</f>
        <v>24640</v>
      </c>
    </row>
    <row r="131" spans="1:14" x14ac:dyDescent="0.2">
      <c r="A131">
        <v>217484</v>
      </c>
      <c r="B131">
        <v>39300</v>
      </c>
      <c r="C131" t="s">
        <v>190</v>
      </c>
      <c r="D131">
        <v>130</v>
      </c>
      <c r="E131">
        <f>IFERROR(VLOOKUP($A131,MBaseball!$C:$N,E$1-2010,FALSE),0)+IFERROR(VLOOKUP($A131,MBasketball!$C:$J,E$1-2006,FALSE),0)+IFERROR(VLOOKUP($A131,MFootball!$C:$O,E$1-2011,FALSE),0)+IFERROR(VLOOKUP($A131,MIceHockey!$C:$P,E$1-2011,FALSE),0)+IFERROR(VLOOKUP($A131,MLacrosse!$C:$O,E$1-2011,FALSE),0)+IFERROR(VLOOKUP($A131,MSoccer!$C:$O,E$1-2011,FALSE),0)+IFERROR(VLOOKUP($A131,MVolleyball!$C:$O,E$1-2011,FALSE),0)+IFERROR(VLOOKUP($A131,WBasketball!$C:$O,E$1-2011,FALSE),0)+IFERROR(VLOOKUP($A131,WFieldHockey!$C:$O,E$1-2011,FALSE),0)+IFERROR(VLOOKUP($A131,WIceHockey!$C:$O,E$1-2011,FALSE),0)+IFERROR(VLOOKUP($A131,WLacrosse!$C:$O,E$1-2011,FALSE),0)+IFERROR(VLOOKUP($A131,WSoccer!$C:$O,E$1-2011,FALSE),0)+IFERROR(VLOOKUP($A131,WSoftball!$C:$O,E$1-2011,FALSE),0)+IFERROR(VLOOKUP($A131,WVolleyball!$C:$O,E$1-2011,FALSE),0)</f>
        <v>104645</v>
      </c>
      <c r="F131">
        <f>IFERROR(VLOOKUP($A131,MBaseball!$C:$N,F$1-2010,FALSE),0)+IFERROR(VLOOKUP($A131,MBasketball!$C:$J,F$1-2006,FALSE),0)+IFERROR(VLOOKUP($A131,MFootball!$C:$O,F$1-2011,FALSE),0)+IFERROR(VLOOKUP($A131,MIceHockey!$C:$P,F$1-2011,FALSE),0)+IFERROR(VLOOKUP($A131,MLacrosse!$C:$O,F$1-2011,FALSE),0)+IFERROR(VLOOKUP($A131,MSoccer!$C:$O,F$1-2011,FALSE),0)+IFERROR(VLOOKUP($A131,MVolleyball!$C:$O,F$1-2011,FALSE),0)+IFERROR(VLOOKUP($A131,WBasketball!$C:$O,F$1-2011,FALSE),0)+IFERROR(VLOOKUP($A131,WFieldHockey!$C:$O,F$1-2011,FALSE),0)+IFERROR(VLOOKUP($A131,WIceHockey!$C:$O,F$1-2011,FALSE),0)+IFERROR(VLOOKUP($A131,WLacrosse!$C:$O,F$1-2011,FALSE),0)+IFERROR(VLOOKUP($A131,WSoccer!$C:$O,F$1-2011,FALSE),0)+IFERROR(VLOOKUP($A131,WSoftball!$C:$O,F$1-2011,FALSE),0)+IFERROR(VLOOKUP($A131,WVolleyball!$C:$O,F$1-2011,FALSE),0)</f>
        <v>47468</v>
      </c>
      <c r="G131">
        <f>IFERROR(VLOOKUP($A131,MBaseball!$C:$N,G$1-2010,FALSE),0)+IFERROR(VLOOKUP($A131,MBasketball!$C:$J,G$1-2006,FALSE),0)+IFERROR(VLOOKUP($A131,MFootball!$C:$O,G$1-2011,FALSE),0)+IFERROR(VLOOKUP($A131,MIceHockey!$C:$P,G$1-2011,FALSE),0)+IFERROR(VLOOKUP($A131,MLacrosse!$C:$O,G$1-2011,FALSE),0)+IFERROR(VLOOKUP($A131,MSoccer!$C:$O,G$1-2011,FALSE),0)+IFERROR(VLOOKUP($A131,MVolleyball!$C:$O,G$1-2011,FALSE),0)+IFERROR(VLOOKUP($A131,WBasketball!$C:$O,G$1-2011,FALSE),0)+IFERROR(VLOOKUP($A131,WFieldHockey!$C:$O,G$1-2011,FALSE),0)+IFERROR(VLOOKUP($A131,WIceHockey!$C:$O,G$1-2011,FALSE),0)+IFERROR(VLOOKUP($A131,WLacrosse!$C:$O,G$1-2011,FALSE),0)+IFERROR(VLOOKUP($A131,WSoccer!$C:$O,G$1-2011,FALSE),0)+IFERROR(VLOOKUP($A131,WSoftball!$C:$O,G$1-2011,FALSE),0)+IFERROR(VLOOKUP($A131,WVolleyball!$C:$O,G$1-2011,FALSE),0)</f>
        <v>45552</v>
      </c>
      <c r="H131">
        <f>IFERROR(VLOOKUP($A131,MBaseball!$C:$N,H$1-2010,FALSE),0)+IFERROR(VLOOKUP($A131,MBasketball!$C:$J,H$1-2006,FALSE),0)+IFERROR(VLOOKUP($A131,MFootball!$C:$O,H$1-2011,FALSE),0)+IFERROR(VLOOKUP($A131,MIceHockey!$C:$P,H$1-2011,FALSE),0)+IFERROR(VLOOKUP($A131,MLacrosse!$C:$O,H$1-2011,FALSE),0)+IFERROR(VLOOKUP($A131,MSoccer!$C:$O,H$1-2011,FALSE),0)+IFERROR(VLOOKUP($A131,MVolleyball!$C:$O,H$1-2011,FALSE),0)+IFERROR(VLOOKUP($A131,WBasketball!$C:$O,H$1-2011,FALSE),0)+IFERROR(VLOOKUP($A131,WFieldHockey!$C:$O,H$1-2011,FALSE),0)+IFERROR(VLOOKUP($A131,WIceHockey!$C:$O,H$1-2011,FALSE),0)+IFERROR(VLOOKUP($A131,WLacrosse!$C:$O,H$1-2011,FALSE),0)+IFERROR(VLOOKUP($A131,WSoccer!$C:$O,H$1-2011,FALSE),0)+IFERROR(VLOOKUP($A131,WSoftball!$C:$O,H$1-2011,FALSE),0)+IFERROR(VLOOKUP($A131,WVolleyball!$C:$O,H$1-2011,FALSE),0)</f>
        <v>39913</v>
      </c>
      <c r="I131">
        <f>IFERROR(VLOOKUP($A131,MBaseball!$C:$N,I$1-2010,FALSE),0)+IFERROR(VLOOKUP($A131,MBasketball!$C:$J,I$1-2006,FALSE),0)+IFERROR(VLOOKUP($A131,MFootball!$C:$O,I$1-2011,FALSE),0)+IFERROR(VLOOKUP($A131,MIceHockey!$C:$P,I$1-2011,FALSE),0)+IFERROR(VLOOKUP($A131,MLacrosse!$C:$O,I$1-2011,FALSE),0)+IFERROR(VLOOKUP($A131,MSoccer!$C:$O,I$1-2011,FALSE),0)+IFERROR(VLOOKUP($A131,MVolleyball!$C:$O,I$1-2011,FALSE),0)+IFERROR(VLOOKUP($A131,WBasketball!$C:$O,I$1-2011,FALSE),0)+IFERROR(VLOOKUP($A131,WFieldHockey!$C:$O,I$1-2011,FALSE),0)+IFERROR(VLOOKUP($A131,WIceHockey!$C:$O,I$1-2011,FALSE),0)+IFERROR(VLOOKUP($A131,WLacrosse!$C:$O,I$1-2011,FALSE),0)+IFERROR(VLOOKUP($A131,WSoccer!$C:$O,I$1-2011,FALSE),0)+IFERROR(VLOOKUP($A131,WSoftball!$C:$O,I$1-2011,FALSE),0)+IFERROR(VLOOKUP($A131,WVolleyball!$C:$O,I$1-2011,FALSE),0)</f>
        <v>49350</v>
      </c>
      <c r="J131">
        <f>IFERROR(VLOOKUP($A131,MBaseball!$C:$N,J$1-2010,FALSE),0)+IFERROR(VLOOKUP($A131,MBasketball!$C:$J,J$1-2006,FALSE),0)+IFERROR(VLOOKUP($A131,MFootball!$C:$O,J$1-2011,FALSE),0)+IFERROR(VLOOKUP($A131,MIceHockey!$C:$P,J$1-2011,FALSE),0)+IFERROR(VLOOKUP($A131,MLacrosse!$C:$O,J$1-2011,FALSE),0)+IFERROR(VLOOKUP($A131,MSoccer!$C:$O,J$1-2011,FALSE),0)+IFERROR(VLOOKUP($A131,MVolleyball!$C:$O,J$1-2011,FALSE),0)+IFERROR(VLOOKUP($A131,WBasketball!$C:$O,J$1-2011,FALSE),0)+IFERROR(VLOOKUP($A131,WFieldHockey!$C:$O,J$1-2011,FALSE),0)+IFERROR(VLOOKUP($A131,WIceHockey!$C:$O,J$1-2011,FALSE),0)+IFERROR(VLOOKUP($A131,WLacrosse!$C:$O,J$1-2011,FALSE),0)+IFERROR(VLOOKUP($A131,WSoccer!$C:$O,J$1-2011,FALSE),0)+IFERROR(VLOOKUP($A131,WSoftball!$C:$O,J$1-2011,FALSE),0)+IFERROR(VLOOKUP($A131,WVolleyball!$C:$O,J$1-2011,FALSE),0)</f>
        <v>45499</v>
      </c>
      <c r="K131">
        <f>IFERROR(VLOOKUP($A131,MBaseball!$C:$N,K$1-2010,FALSE),0)+IFERROR(VLOOKUP($A131,MBasketball!$C:$J,K$1-2006,FALSE),0)+IFERROR(VLOOKUP($A131,MFootball!$C:$O,K$1-2011,FALSE),0)+IFERROR(VLOOKUP($A131,MIceHockey!$C:$P,K$1-2011,FALSE),0)+IFERROR(VLOOKUP($A131,MLacrosse!$C:$O,K$1-2011,FALSE),0)+IFERROR(VLOOKUP($A131,MSoccer!$C:$O,K$1-2011,FALSE),0)+IFERROR(VLOOKUP($A131,MVolleyball!$C:$O,K$1-2011,FALSE),0)+IFERROR(VLOOKUP($A131,WBasketball!$C:$O,K$1-2011,FALSE),0)+IFERROR(VLOOKUP($A131,WFieldHockey!$C:$O,K$1-2011,FALSE),0)+IFERROR(VLOOKUP($A131,WIceHockey!$C:$O,K$1-2011,FALSE),0)+IFERROR(VLOOKUP($A131,WLacrosse!$C:$O,K$1-2011,FALSE),0)+IFERROR(VLOOKUP($A131,WSoccer!$C:$O,K$1-2011,FALSE),0)+IFERROR(VLOOKUP($A131,WSoftball!$C:$O,K$1-2011,FALSE),0)+IFERROR(VLOOKUP($A131,WVolleyball!$C:$O,K$1-2011,FALSE),0)</f>
        <v>40372</v>
      </c>
      <c r="L131">
        <f>IFERROR(VLOOKUP($A131,MBaseball!$C:$N,L$1-2010,FALSE),0)+IFERROR(VLOOKUP($A131,MBasketball!$C:$J,L$1-2006,FALSE),0)+IFERROR(VLOOKUP($A131,MFootball!$C:$O,L$1-2011,FALSE),0)+IFERROR(VLOOKUP($A131,MIceHockey!$C:$P,L$1-2011,FALSE),0)+IFERROR(VLOOKUP($A131,MLacrosse!$C:$O,L$1-2011,FALSE),0)+IFERROR(VLOOKUP($A131,MSoccer!$C:$O,L$1-2011,FALSE),0)+IFERROR(VLOOKUP($A131,MVolleyball!$C:$O,L$1-2011,FALSE),0)+IFERROR(VLOOKUP($A131,WBasketball!$C:$O,L$1-2011,FALSE),0)+IFERROR(VLOOKUP($A131,WFieldHockey!$C:$O,L$1-2011,FALSE),0)+IFERROR(VLOOKUP($A131,WIceHockey!$C:$O,L$1-2011,FALSE),0)+IFERROR(VLOOKUP($A131,WLacrosse!$C:$O,L$1-2011,FALSE),0)+IFERROR(VLOOKUP($A131,WSoccer!$C:$O,L$1-2011,FALSE),0)+IFERROR(VLOOKUP($A131,WSoftball!$C:$O,L$1-2011,FALSE),0)+IFERROR(VLOOKUP($A131,WVolleyball!$C:$O,L$1-2011,FALSE),0)</f>
        <v>4111</v>
      </c>
      <c r="M131">
        <f>IFERROR(VLOOKUP($A131,MBaseball!$C:$N,M$1-2010,FALSE),0)+IFERROR(VLOOKUP($A131,MBasketball!$C:$J,M$1-2006,FALSE),0)+IFERROR(VLOOKUP($A131,MFootball!$C:$O,M$1-2011,FALSE),0)+IFERROR(VLOOKUP($A131,MIceHockey!$C:$P,M$1-2011,FALSE),0)+IFERROR(VLOOKUP($A131,MLacrosse!$C:$O,M$1-2011,FALSE),0)+IFERROR(VLOOKUP($A131,MSoccer!$C:$O,M$1-2011,FALSE),0)+IFERROR(VLOOKUP($A131,MVolleyball!$C:$O,M$1-2011,FALSE),0)+IFERROR(VLOOKUP($A131,WBasketball!$C:$O,M$1-2011,FALSE),0)+IFERROR(VLOOKUP($A131,WFieldHockey!$C:$O,M$1-2011,FALSE),0)+IFERROR(VLOOKUP($A131,WIceHockey!$C:$O,M$1-2011,FALSE),0)+IFERROR(VLOOKUP($A131,WLacrosse!$C:$O,M$1-2011,FALSE),0)+IFERROR(VLOOKUP($A131,WSoccer!$C:$O,M$1-2011,FALSE),0)+IFERROR(VLOOKUP($A131,WSoftball!$C:$O,M$1-2011,FALSE),0)+IFERROR(VLOOKUP($A131,WVolleyball!$C:$O,M$1-2011,FALSE),0)</f>
        <v>60862</v>
      </c>
      <c r="N131">
        <f>IFERROR(VLOOKUP($A131,MBaseball!$C:$N,N$1-2010,FALSE),0)+IFERROR(VLOOKUP($A131,MBasketball!$C:$J,N$1-2006,FALSE),0)+IFERROR(VLOOKUP($A131,MFootball!$C:$O,N$1-2011,FALSE),0)+IFERROR(VLOOKUP($A131,MIceHockey!$C:$P,N$1-2011,FALSE),0)+IFERROR(VLOOKUP($A131,MLacrosse!$C:$O,N$1-2011,FALSE),0)+IFERROR(VLOOKUP($A131,MSoccer!$C:$O,N$1-2011,FALSE),0)+IFERROR(VLOOKUP($A131,MVolleyball!$C:$O,N$1-2011,FALSE),0)+IFERROR(VLOOKUP($A131,WBasketball!$C:$O,N$1-2011,FALSE),0)+IFERROR(VLOOKUP($A131,WFieldHockey!$C:$O,N$1-2011,FALSE),0)+IFERROR(VLOOKUP($A131,WIceHockey!$C:$O,N$1-2011,FALSE),0)+IFERROR(VLOOKUP($A131,WLacrosse!$C:$O,N$1-2011,FALSE),0)+IFERROR(VLOOKUP($A131,WSoccer!$C:$O,N$1-2011,FALSE),0)+IFERROR(VLOOKUP($A131,WSoftball!$C:$O,N$1-2011,FALSE),0)+IFERROR(VLOOKUP($A131,WVolleyball!$C:$O,N$1-2011,FALSE),0)</f>
        <v>61378</v>
      </c>
    </row>
    <row r="132" spans="1:14" x14ac:dyDescent="0.2">
      <c r="A132">
        <v>186380</v>
      </c>
      <c r="B132">
        <v>35620</v>
      </c>
      <c r="C132" t="s">
        <v>191</v>
      </c>
      <c r="D132">
        <v>131</v>
      </c>
      <c r="E132">
        <f>IFERROR(VLOOKUP($A132,MBaseball!$C:$N,E$1-2010,FALSE),0)+IFERROR(VLOOKUP($A132,MBasketball!$C:$J,E$1-2006,FALSE),0)+IFERROR(VLOOKUP($A132,MFootball!$C:$O,E$1-2011,FALSE),0)+IFERROR(VLOOKUP($A132,MIceHockey!$C:$P,E$1-2011,FALSE),0)+IFERROR(VLOOKUP($A132,MLacrosse!$C:$O,E$1-2011,FALSE),0)+IFERROR(VLOOKUP($A132,MSoccer!$C:$O,E$1-2011,FALSE),0)+IFERROR(VLOOKUP($A132,MVolleyball!$C:$O,E$1-2011,FALSE),0)+IFERROR(VLOOKUP($A132,WBasketball!$C:$O,E$1-2011,FALSE),0)+IFERROR(VLOOKUP($A132,WFieldHockey!$C:$O,E$1-2011,FALSE),0)+IFERROR(VLOOKUP($A132,WIceHockey!$C:$O,E$1-2011,FALSE),0)+IFERROR(VLOOKUP($A132,WLacrosse!$C:$O,E$1-2011,FALSE),0)+IFERROR(VLOOKUP($A132,WSoccer!$C:$O,E$1-2011,FALSE),0)+IFERROR(VLOOKUP($A132,WSoftball!$C:$O,E$1-2011,FALSE),0)+IFERROR(VLOOKUP($A132,WVolleyball!$C:$O,E$1-2011,FALSE),0)</f>
        <v>167769</v>
      </c>
      <c r="F132">
        <f>IFERROR(VLOOKUP($A132,MBaseball!$C:$N,F$1-2010,FALSE),0)+IFERROR(VLOOKUP($A132,MBasketball!$C:$J,F$1-2006,FALSE),0)+IFERROR(VLOOKUP($A132,MFootball!$C:$O,F$1-2011,FALSE),0)+IFERROR(VLOOKUP($A132,MIceHockey!$C:$P,F$1-2011,FALSE),0)+IFERROR(VLOOKUP($A132,MLacrosse!$C:$O,F$1-2011,FALSE),0)+IFERROR(VLOOKUP($A132,MSoccer!$C:$O,F$1-2011,FALSE),0)+IFERROR(VLOOKUP($A132,MVolleyball!$C:$O,F$1-2011,FALSE),0)+IFERROR(VLOOKUP($A132,WBasketball!$C:$O,F$1-2011,FALSE),0)+IFERROR(VLOOKUP($A132,WFieldHockey!$C:$O,F$1-2011,FALSE),0)+IFERROR(VLOOKUP($A132,WIceHockey!$C:$O,F$1-2011,FALSE),0)+IFERROR(VLOOKUP($A132,WLacrosse!$C:$O,F$1-2011,FALSE),0)+IFERROR(VLOOKUP($A132,WSoccer!$C:$O,F$1-2011,FALSE),0)+IFERROR(VLOOKUP($A132,WSoftball!$C:$O,F$1-2011,FALSE),0)+IFERROR(VLOOKUP($A132,WVolleyball!$C:$O,F$1-2011,FALSE),0)</f>
        <v>373671</v>
      </c>
      <c r="G132">
        <f>IFERROR(VLOOKUP($A132,MBaseball!$C:$N,G$1-2010,FALSE),0)+IFERROR(VLOOKUP($A132,MBasketball!$C:$J,G$1-2006,FALSE),0)+IFERROR(VLOOKUP($A132,MFootball!$C:$O,G$1-2011,FALSE),0)+IFERROR(VLOOKUP($A132,MIceHockey!$C:$P,G$1-2011,FALSE),0)+IFERROR(VLOOKUP($A132,MLacrosse!$C:$O,G$1-2011,FALSE),0)+IFERROR(VLOOKUP($A132,MSoccer!$C:$O,G$1-2011,FALSE),0)+IFERROR(VLOOKUP($A132,MVolleyball!$C:$O,G$1-2011,FALSE),0)+IFERROR(VLOOKUP($A132,WBasketball!$C:$O,G$1-2011,FALSE),0)+IFERROR(VLOOKUP($A132,WFieldHockey!$C:$O,G$1-2011,FALSE),0)+IFERROR(VLOOKUP($A132,WIceHockey!$C:$O,G$1-2011,FALSE),0)+IFERROR(VLOOKUP($A132,WLacrosse!$C:$O,G$1-2011,FALSE),0)+IFERROR(VLOOKUP($A132,WSoccer!$C:$O,G$1-2011,FALSE),0)+IFERROR(VLOOKUP($A132,WSoftball!$C:$O,G$1-2011,FALSE),0)+IFERROR(VLOOKUP($A132,WVolleyball!$C:$O,G$1-2011,FALSE),0)</f>
        <v>414998</v>
      </c>
      <c r="H132">
        <f>IFERROR(VLOOKUP($A132,MBaseball!$C:$N,H$1-2010,FALSE),0)+IFERROR(VLOOKUP($A132,MBasketball!$C:$J,H$1-2006,FALSE),0)+IFERROR(VLOOKUP($A132,MFootball!$C:$O,H$1-2011,FALSE),0)+IFERROR(VLOOKUP($A132,MIceHockey!$C:$P,H$1-2011,FALSE),0)+IFERROR(VLOOKUP($A132,MLacrosse!$C:$O,H$1-2011,FALSE),0)+IFERROR(VLOOKUP($A132,MSoccer!$C:$O,H$1-2011,FALSE),0)+IFERROR(VLOOKUP($A132,MVolleyball!$C:$O,H$1-2011,FALSE),0)+IFERROR(VLOOKUP($A132,WBasketball!$C:$O,H$1-2011,FALSE),0)+IFERROR(VLOOKUP($A132,WFieldHockey!$C:$O,H$1-2011,FALSE),0)+IFERROR(VLOOKUP($A132,WIceHockey!$C:$O,H$1-2011,FALSE),0)+IFERROR(VLOOKUP($A132,WLacrosse!$C:$O,H$1-2011,FALSE),0)+IFERROR(VLOOKUP($A132,WSoccer!$C:$O,H$1-2011,FALSE),0)+IFERROR(VLOOKUP($A132,WSoftball!$C:$O,H$1-2011,FALSE),0)+IFERROR(VLOOKUP($A132,WVolleyball!$C:$O,H$1-2011,FALSE),0)</f>
        <v>389872</v>
      </c>
      <c r="I132">
        <f>IFERROR(VLOOKUP($A132,MBaseball!$C:$N,I$1-2010,FALSE),0)+IFERROR(VLOOKUP($A132,MBasketball!$C:$J,I$1-2006,FALSE),0)+IFERROR(VLOOKUP($A132,MFootball!$C:$O,I$1-2011,FALSE),0)+IFERROR(VLOOKUP($A132,MIceHockey!$C:$P,I$1-2011,FALSE),0)+IFERROR(VLOOKUP($A132,MLacrosse!$C:$O,I$1-2011,FALSE),0)+IFERROR(VLOOKUP($A132,MSoccer!$C:$O,I$1-2011,FALSE),0)+IFERROR(VLOOKUP($A132,MVolleyball!$C:$O,I$1-2011,FALSE),0)+IFERROR(VLOOKUP($A132,WBasketball!$C:$O,I$1-2011,FALSE),0)+IFERROR(VLOOKUP($A132,WFieldHockey!$C:$O,I$1-2011,FALSE),0)+IFERROR(VLOOKUP($A132,WIceHockey!$C:$O,I$1-2011,FALSE),0)+IFERROR(VLOOKUP($A132,WLacrosse!$C:$O,I$1-2011,FALSE),0)+IFERROR(VLOOKUP($A132,WSoccer!$C:$O,I$1-2011,FALSE),0)+IFERROR(VLOOKUP($A132,WSoftball!$C:$O,I$1-2011,FALSE),0)+IFERROR(VLOOKUP($A132,WVolleyball!$C:$O,I$1-2011,FALSE),0)</f>
        <v>356232</v>
      </c>
      <c r="J132">
        <f>IFERROR(VLOOKUP($A132,MBaseball!$C:$N,J$1-2010,FALSE),0)+IFERROR(VLOOKUP($A132,MBasketball!$C:$J,J$1-2006,FALSE),0)+IFERROR(VLOOKUP($A132,MFootball!$C:$O,J$1-2011,FALSE),0)+IFERROR(VLOOKUP($A132,MIceHockey!$C:$P,J$1-2011,FALSE),0)+IFERROR(VLOOKUP($A132,MLacrosse!$C:$O,J$1-2011,FALSE),0)+IFERROR(VLOOKUP($A132,MSoccer!$C:$O,J$1-2011,FALSE),0)+IFERROR(VLOOKUP($A132,MVolleyball!$C:$O,J$1-2011,FALSE),0)+IFERROR(VLOOKUP($A132,WBasketball!$C:$O,J$1-2011,FALSE),0)+IFERROR(VLOOKUP($A132,WFieldHockey!$C:$O,J$1-2011,FALSE),0)+IFERROR(VLOOKUP($A132,WIceHockey!$C:$O,J$1-2011,FALSE),0)+IFERROR(VLOOKUP($A132,WLacrosse!$C:$O,J$1-2011,FALSE),0)+IFERROR(VLOOKUP($A132,WSoccer!$C:$O,J$1-2011,FALSE),0)+IFERROR(VLOOKUP($A132,WSoftball!$C:$O,J$1-2011,FALSE),0)+IFERROR(VLOOKUP($A132,WVolleyball!$C:$O,J$1-2011,FALSE),0)</f>
        <v>338485</v>
      </c>
      <c r="K132">
        <f>IFERROR(VLOOKUP($A132,MBaseball!$C:$N,K$1-2010,FALSE),0)+IFERROR(VLOOKUP($A132,MBasketball!$C:$J,K$1-2006,FALSE),0)+IFERROR(VLOOKUP($A132,MFootball!$C:$O,K$1-2011,FALSE),0)+IFERROR(VLOOKUP($A132,MIceHockey!$C:$P,K$1-2011,FALSE),0)+IFERROR(VLOOKUP($A132,MLacrosse!$C:$O,K$1-2011,FALSE),0)+IFERROR(VLOOKUP($A132,MSoccer!$C:$O,K$1-2011,FALSE),0)+IFERROR(VLOOKUP($A132,MVolleyball!$C:$O,K$1-2011,FALSE),0)+IFERROR(VLOOKUP($A132,WBasketball!$C:$O,K$1-2011,FALSE),0)+IFERROR(VLOOKUP($A132,WFieldHockey!$C:$O,K$1-2011,FALSE),0)+IFERROR(VLOOKUP($A132,WIceHockey!$C:$O,K$1-2011,FALSE),0)+IFERROR(VLOOKUP($A132,WLacrosse!$C:$O,K$1-2011,FALSE),0)+IFERROR(VLOOKUP($A132,WSoccer!$C:$O,K$1-2011,FALSE),0)+IFERROR(VLOOKUP($A132,WSoftball!$C:$O,K$1-2011,FALSE),0)+IFERROR(VLOOKUP($A132,WVolleyball!$C:$O,K$1-2011,FALSE),0)</f>
        <v>265314</v>
      </c>
      <c r="L132">
        <f>IFERROR(VLOOKUP($A132,MBaseball!$C:$N,L$1-2010,FALSE),0)+IFERROR(VLOOKUP($A132,MBasketball!$C:$J,L$1-2006,FALSE),0)+IFERROR(VLOOKUP($A132,MFootball!$C:$O,L$1-2011,FALSE),0)+IFERROR(VLOOKUP($A132,MIceHockey!$C:$P,L$1-2011,FALSE),0)+IFERROR(VLOOKUP($A132,MLacrosse!$C:$O,L$1-2011,FALSE),0)+IFERROR(VLOOKUP($A132,MSoccer!$C:$O,L$1-2011,FALSE),0)+IFERROR(VLOOKUP($A132,MVolleyball!$C:$O,L$1-2011,FALSE),0)+IFERROR(VLOOKUP($A132,WBasketball!$C:$O,L$1-2011,FALSE),0)+IFERROR(VLOOKUP($A132,WFieldHockey!$C:$O,L$1-2011,FALSE),0)+IFERROR(VLOOKUP($A132,WIceHockey!$C:$O,L$1-2011,FALSE),0)+IFERROR(VLOOKUP($A132,WLacrosse!$C:$O,L$1-2011,FALSE),0)+IFERROR(VLOOKUP($A132,WSoccer!$C:$O,L$1-2011,FALSE),0)+IFERROR(VLOOKUP($A132,WSoftball!$C:$O,L$1-2011,FALSE),0)+IFERROR(VLOOKUP($A132,WVolleyball!$C:$O,L$1-2011,FALSE),0)</f>
        <v>20608</v>
      </c>
      <c r="M132">
        <f>IFERROR(VLOOKUP($A132,MBaseball!$C:$N,M$1-2010,FALSE),0)+IFERROR(VLOOKUP($A132,MBasketball!$C:$J,M$1-2006,FALSE),0)+IFERROR(VLOOKUP($A132,MFootball!$C:$O,M$1-2011,FALSE),0)+IFERROR(VLOOKUP($A132,MIceHockey!$C:$P,M$1-2011,FALSE),0)+IFERROR(VLOOKUP($A132,MLacrosse!$C:$O,M$1-2011,FALSE),0)+IFERROR(VLOOKUP($A132,MSoccer!$C:$O,M$1-2011,FALSE),0)+IFERROR(VLOOKUP($A132,MVolleyball!$C:$O,M$1-2011,FALSE),0)+IFERROR(VLOOKUP($A132,WBasketball!$C:$O,M$1-2011,FALSE),0)+IFERROR(VLOOKUP($A132,WFieldHockey!$C:$O,M$1-2011,FALSE),0)+IFERROR(VLOOKUP($A132,WIceHockey!$C:$O,M$1-2011,FALSE),0)+IFERROR(VLOOKUP($A132,WLacrosse!$C:$O,M$1-2011,FALSE),0)+IFERROR(VLOOKUP($A132,WSoccer!$C:$O,M$1-2011,FALSE),0)+IFERROR(VLOOKUP($A132,WSoftball!$C:$O,M$1-2011,FALSE),0)+IFERROR(VLOOKUP($A132,WVolleyball!$C:$O,M$1-2011,FALSE),0)</f>
        <v>378709</v>
      </c>
      <c r="N132">
        <f>IFERROR(VLOOKUP($A132,MBaseball!$C:$N,N$1-2010,FALSE),0)+IFERROR(VLOOKUP($A132,MBasketball!$C:$J,N$1-2006,FALSE),0)+IFERROR(VLOOKUP($A132,MFootball!$C:$O,N$1-2011,FALSE),0)+IFERROR(VLOOKUP($A132,MIceHockey!$C:$P,N$1-2011,FALSE),0)+IFERROR(VLOOKUP($A132,MLacrosse!$C:$O,N$1-2011,FALSE),0)+IFERROR(VLOOKUP($A132,MSoccer!$C:$O,N$1-2011,FALSE),0)+IFERROR(VLOOKUP($A132,MVolleyball!$C:$O,N$1-2011,FALSE),0)+IFERROR(VLOOKUP($A132,WBasketball!$C:$O,N$1-2011,FALSE),0)+IFERROR(VLOOKUP($A132,WFieldHockey!$C:$O,N$1-2011,FALSE),0)+IFERROR(VLOOKUP($A132,WIceHockey!$C:$O,N$1-2011,FALSE),0)+IFERROR(VLOOKUP($A132,WLacrosse!$C:$O,N$1-2011,FALSE),0)+IFERROR(VLOOKUP($A132,WSoccer!$C:$O,N$1-2011,FALSE),0)+IFERROR(VLOOKUP($A132,WSoftball!$C:$O,N$1-2011,FALSE),0)+IFERROR(VLOOKUP($A132,WVolleyball!$C:$O,N$1-2011,FALSE),0)</f>
        <v>392647</v>
      </c>
    </row>
    <row r="133" spans="1:14" x14ac:dyDescent="0.2">
      <c r="A133">
        <v>110617</v>
      </c>
      <c r="B133">
        <v>40900</v>
      </c>
      <c r="C133" t="s">
        <v>192</v>
      </c>
      <c r="D133">
        <v>132</v>
      </c>
      <c r="E133">
        <f>IFERROR(VLOOKUP($A133,MBaseball!$C:$N,E$1-2010,FALSE),0)+IFERROR(VLOOKUP($A133,MBasketball!$C:$J,E$1-2006,FALSE),0)+IFERROR(VLOOKUP($A133,MFootball!$C:$O,E$1-2011,FALSE),0)+IFERROR(VLOOKUP($A133,MIceHockey!$C:$P,E$1-2011,FALSE),0)+IFERROR(VLOOKUP($A133,MLacrosse!$C:$O,E$1-2011,FALSE),0)+IFERROR(VLOOKUP($A133,MSoccer!$C:$O,E$1-2011,FALSE),0)+IFERROR(VLOOKUP($A133,MVolleyball!$C:$O,E$1-2011,FALSE),0)+IFERROR(VLOOKUP($A133,WBasketball!$C:$O,E$1-2011,FALSE),0)+IFERROR(VLOOKUP($A133,WFieldHockey!$C:$O,E$1-2011,FALSE),0)+IFERROR(VLOOKUP($A133,WIceHockey!$C:$O,E$1-2011,FALSE),0)+IFERROR(VLOOKUP($A133,WLacrosse!$C:$O,E$1-2011,FALSE),0)+IFERROR(VLOOKUP($A133,WSoccer!$C:$O,E$1-2011,FALSE),0)+IFERROR(VLOOKUP($A133,WSoftball!$C:$O,E$1-2011,FALSE),0)+IFERROR(VLOOKUP($A133,WVolleyball!$C:$O,E$1-2011,FALSE),0)</f>
        <v>37944</v>
      </c>
      <c r="F133">
        <f>IFERROR(VLOOKUP($A133,MBaseball!$C:$N,F$1-2010,FALSE),0)+IFERROR(VLOOKUP($A133,MBasketball!$C:$J,F$1-2006,FALSE),0)+IFERROR(VLOOKUP($A133,MFootball!$C:$O,F$1-2011,FALSE),0)+IFERROR(VLOOKUP($A133,MIceHockey!$C:$P,F$1-2011,FALSE),0)+IFERROR(VLOOKUP($A133,MLacrosse!$C:$O,F$1-2011,FALSE),0)+IFERROR(VLOOKUP($A133,MSoccer!$C:$O,F$1-2011,FALSE),0)+IFERROR(VLOOKUP($A133,MVolleyball!$C:$O,F$1-2011,FALSE),0)+IFERROR(VLOOKUP($A133,WBasketball!$C:$O,F$1-2011,FALSE),0)+IFERROR(VLOOKUP($A133,WFieldHockey!$C:$O,F$1-2011,FALSE),0)+IFERROR(VLOOKUP($A133,WIceHockey!$C:$O,F$1-2011,FALSE),0)+IFERROR(VLOOKUP($A133,WLacrosse!$C:$O,F$1-2011,FALSE),0)+IFERROR(VLOOKUP($A133,WSoccer!$C:$O,F$1-2011,FALSE),0)+IFERROR(VLOOKUP($A133,WSoftball!$C:$O,F$1-2011,FALSE),0)+IFERROR(VLOOKUP($A133,WVolleyball!$C:$O,F$1-2011,FALSE),0)</f>
        <v>65172</v>
      </c>
      <c r="G133">
        <f>IFERROR(VLOOKUP($A133,MBaseball!$C:$N,G$1-2010,FALSE),0)+IFERROR(VLOOKUP($A133,MBasketball!$C:$J,G$1-2006,FALSE),0)+IFERROR(VLOOKUP($A133,MFootball!$C:$O,G$1-2011,FALSE),0)+IFERROR(VLOOKUP($A133,MIceHockey!$C:$P,G$1-2011,FALSE),0)+IFERROR(VLOOKUP($A133,MLacrosse!$C:$O,G$1-2011,FALSE),0)+IFERROR(VLOOKUP($A133,MSoccer!$C:$O,G$1-2011,FALSE),0)+IFERROR(VLOOKUP($A133,MVolleyball!$C:$O,G$1-2011,FALSE),0)+IFERROR(VLOOKUP($A133,WBasketball!$C:$O,G$1-2011,FALSE),0)+IFERROR(VLOOKUP($A133,WFieldHockey!$C:$O,G$1-2011,FALSE),0)+IFERROR(VLOOKUP($A133,WIceHockey!$C:$O,G$1-2011,FALSE),0)+IFERROR(VLOOKUP($A133,WLacrosse!$C:$O,G$1-2011,FALSE),0)+IFERROR(VLOOKUP($A133,WSoccer!$C:$O,G$1-2011,FALSE),0)+IFERROR(VLOOKUP($A133,WSoftball!$C:$O,G$1-2011,FALSE),0)+IFERROR(VLOOKUP($A133,WVolleyball!$C:$O,G$1-2011,FALSE),0)</f>
        <v>72213</v>
      </c>
      <c r="H133">
        <f>IFERROR(VLOOKUP($A133,MBaseball!$C:$N,H$1-2010,FALSE),0)+IFERROR(VLOOKUP($A133,MBasketball!$C:$J,H$1-2006,FALSE),0)+IFERROR(VLOOKUP($A133,MFootball!$C:$O,H$1-2011,FALSE),0)+IFERROR(VLOOKUP($A133,MIceHockey!$C:$P,H$1-2011,FALSE),0)+IFERROR(VLOOKUP($A133,MLacrosse!$C:$O,H$1-2011,FALSE),0)+IFERROR(VLOOKUP($A133,MSoccer!$C:$O,H$1-2011,FALSE),0)+IFERROR(VLOOKUP($A133,MVolleyball!$C:$O,H$1-2011,FALSE),0)+IFERROR(VLOOKUP($A133,WBasketball!$C:$O,H$1-2011,FALSE),0)+IFERROR(VLOOKUP($A133,WFieldHockey!$C:$O,H$1-2011,FALSE),0)+IFERROR(VLOOKUP($A133,WIceHockey!$C:$O,H$1-2011,FALSE),0)+IFERROR(VLOOKUP($A133,WLacrosse!$C:$O,H$1-2011,FALSE),0)+IFERROR(VLOOKUP($A133,WSoccer!$C:$O,H$1-2011,FALSE),0)+IFERROR(VLOOKUP($A133,WSoftball!$C:$O,H$1-2011,FALSE),0)+IFERROR(VLOOKUP($A133,WVolleyball!$C:$O,H$1-2011,FALSE),0)</f>
        <v>62369</v>
      </c>
      <c r="I133">
        <f>IFERROR(VLOOKUP($A133,MBaseball!$C:$N,I$1-2010,FALSE),0)+IFERROR(VLOOKUP($A133,MBasketball!$C:$J,I$1-2006,FALSE),0)+IFERROR(VLOOKUP($A133,MFootball!$C:$O,I$1-2011,FALSE),0)+IFERROR(VLOOKUP($A133,MIceHockey!$C:$P,I$1-2011,FALSE),0)+IFERROR(VLOOKUP($A133,MLacrosse!$C:$O,I$1-2011,FALSE),0)+IFERROR(VLOOKUP($A133,MSoccer!$C:$O,I$1-2011,FALSE),0)+IFERROR(VLOOKUP($A133,MVolleyball!$C:$O,I$1-2011,FALSE),0)+IFERROR(VLOOKUP($A133,WBasketball!$C:$O,I$1-2011,FALSE),0)+IFERROR(VLOOKUP($A133,WFieldHockey!$C:$O,I$1-2011,FALSE),0)+IFERROR(VLOOKUP($A133,WIceHockey!$C:$O,I$1-2011,FALSE),0)+IFERROR(VLOOKUP($A133,WLacrosse!$C:$O,I$1-2011,FALSE),0)+IFERROR(VLOOKUP($A133,WSoccer!$C:$O,I$1-2011,FALSE),0)+IFERROR(VLOOKUP($A133,WSoftball!$C:$O,I$1-2011,FALSE),0)+IFERROR(VLOOKUP($A133,WVolleyball!$C:$O,I$1-2011,FALSE),0)</f>
        <v>75814</v>
      </c>
      <c r="J133">
        <f>IFERROR(VLOOKUP($A133,MBaseball!$C:$N,J$1-2010,FALSE),0)+IFERROR(VLOOKUP($A133,MBasketball!$C:$J,J$1-2006,FALSE),0)+IFERROR(VLOOKUP($A133,MFootball!$C:$O,J$1-2011,FALSE),0)+IFERROR(VLOOKUP($A133,MIceHockey!$C:$P,J$1-2011,FALSE),0)+IFERROR(VLOOKUP($A133,MLacrosse!$C:$O,J$1-2011,FALSE),0)+IFERROR(VLOOKUP($A133,MSoccer!$C:$O,J$1-2011,FALSE),0)+IFERROR(VLOOKUP($A133,MVolleyball!$C:$O,J$1-2011,FALSE),0)+IFERROR(VLOOKUP($A133,WBasketball!$C:$O,J$1-2011,FALSE),0)+IFERROR(VLOOKUP($A133,WFieldHockey!$C:$O,J$1-2011,FALSE),0)+IFERROR(VLOOKUP($A133,WIceHockey!$C:$O,J$1-2011,FALSE),0)+IFERROR(VLOOKUP($A133,WLacrosse!$C:$O,J$1-2011,FALSE),0)+IFERROR(VLOOKUP($A133,WSoccer!$C:$O,J$1-2011,FALSE),0)+IFERROR(VLOOKUP($A133,WSoftball!$C:$O,J$1-2011,FALSE),0)+IFERROR(VLOOKUP($A133,WVolleyball!$C:$O,J$1-2011,FALSE),0)</f>
        <v>55206</v>
      </c>
      <c r="K133">
        <f>IFERROR(VLOOKUP($A133,MBaseball!$C:$N,K$1-2010,FALSE),0)+IFERROR(VLOOKUP($A133,MBasketball!$C:$J,K$1-2006,FALSE),0)+IFERROR(VLOOKUP($A133,MFootball!$C:$O,K$1-2011,FALSE),0)+IFERROR(VLOOKUP($A133,MIceHockey!$C:$P,K$1-2011,FALSE),0)+IFERROR(VLOOKUP($A133,MLacrosse!$C:$O,K$1-2011,FALSE),0)+IFERROR(VLOOKUP($A133,MSoccer!$C:$O,K$1-2011,FALSE),0)+IFERROR(VLOOKUP($A133,MVolleyball!$C:$O,K$1-2011,FALSE),0)+IFERROR(VLOOKUP($A133,WBasketball!$C:$O,K$1-2011,FALSE),0)+IFERROR(VLOOKUP($A133,WFieldHockey!$C:$O,K$1-2011,FALSE),0)+IFERROR(VLOOKUP($A133,WIceHockey!$C:$O,K$1-2011,FALSE),0)+IFERROR(VLOOKUP($A133,WLacrosse!$C:$O,K$1-2011,FALSE),0)+IFERROR(VLOOKUP($A133,WSoccer!$C:$O,K$1-2011,FALSE),0)+IFERROR(VLOOKUP($A133,WSoftball!$C:$O,K$1-2011,FALSE),0)+IFERROR(VLOOKUP($A133,WVolleyball!$C:$O,K$1-2011,FALSE),0)</f>
        <v>91376</v>
      </c>
      <c r="L133">
        <f>IFERROR(VLOOKUP($A133,MBaseball!$C:$N,L$1-2010,FALSE),0)+IFERROR(VLOOKUP($A133,MBasketball!$C:$J,L$1-2006,FALSE),0)+IFERROR(VLOOKUP($A133,MFootball!$C:$O,L$1-2011,FALSE),0)+IFERROR(VLOOKUP($A133,MIceHockey!$C:$P,L$1-2011,FALSE),0)+IFERROR(VLOOKUP($A133,MLacrosse!$C:$O,L$1-2011,FALSE),0)+IFERROR(VLOOKUP($A133,MSoccer!$C:$O,L$1-2011,FALSE),0)+IFERROR(VLOOKUP($A133,MVolleyball!$C:$O,L$1-2011,FALSE),0)+IFERROR(VLOOKUP($A133,WBasketball!$C:$O,L$1-2011,FALSE),0)+IFERROR(VLOOKUP($A133,WFieldHockey!$C:$O,L$1-2011,FALSE),0)+IFERROR(VLOOKUP($A133,WIceHockey!$C:$O,L$1-2011,FALSE),0)+IFERROR(VLOOKUP($A133,WLacrosse!$C:$O,L$1-2011,FALSE),0)+IFERROR(VLOOKUP($A133,WSoccer!$C:$O,L$1-2011,FALSE),0)+IFERROR(VLOOKUP($A133,WSoftball!$C:$O,L$1-2011,FALSE),0)+IFERROR(VLOOKUP($A133,WVolleyball!$C:$O,L$1-2011,FALSE),0)</f>
        <v>6324</v>
      </c>
      <c r="M133">
        <f>IFERROR(VLOOKUP($A133,MBaseball!$C:$N,M$1-2010,FALSE),0)+IFERROR(VLOOKUP($A133,MBasketball!$C:$J,M$1-2006,FALSE),0)+IFERROR(VLOOKUP($A133,MFootball!$C:$O,M$1-2011,FALSE),0)+IFERROR(VLOOKUP($A133,MIceHockey!$C:$P,M$1-2011,FALSE),0)+IFERROR(VLOOKUP($A133,MLacrosse!$C:$O,M$1-2011,FALSE),0)+IFERROR(VLOOKUP($A133,MSoccer!$C:$O,M$1-2011,FALSE),0)+IFERROR(VLOOKUP($A133,MVolleyball!$C:$O,M$1-2011,FALSE),0)+IFERROR(VLOOKUP($A133,WBasketball!$C:$O,M$1-2011,FALSE),0)+IFERROR(VLOOKUP($A133,WFieldHockey!$C:$O,M$1-2011,FALSE),0)+IFERROR(VLOOKUP($A133,WIceHockey!$C:$O,M$1-2011,FALSE),0)+IFERROR(VLOOKUP($A133,WLacrosse!$C:$O,M$1-2011,FALSE),0)+IFERROR(VLOOKUP($A133,WSoccer!$C:$O,M$1-2011,FALSE),0)+IFERROR(VLOOKUP($A133,WSoftball!$C:$O,M$1-2011,FALSE),0)+IFERROR(VLOOKUP($A133,WVolleyball!$C:$O,M$1-2011,FALSE),0)</f>
        <v>67052</v>
      </c>
      <c r="N133">
        <f>IFERROR(VLOOKUP($A133,MBaseball!$C:$N,N$1-2010,FALSE),0)+IFERROR(VLOOKUP($A133,MBasketball!$C:$J,N$1-2006,FALSE),0)+IFERROR(VLOOKUP($A133,MFootball!$C:$O,N$1-2011,FALSE),0)+IFERROR(VLOOKUP($A133,MIceHockey!$C:$P,N$1-2011,FALSE),0)+IFERROR(VLOOKUP($A133,MLacrosse!$C:$O,N$1-2011,FALSE),0)+IFERROR(VLOOKUP($A133,MSoccer!$C:$O,N$1-2011,FALSE),0)+IFERROR(VLOOKUP($A133,MVolleyball!$C:$O,N$1-2011,FALSE),0)+IFERROR(VLOOKUP($A133,WBasketball!$C:$O,N$1-2011,FALSE),0)+IFERROR(VLOOKUP($A133,WFieldHockey!$C:$O,N$1-2011,FALSE),0)+IFERROR(VLOOKUP($A133,WIceHockey!$C:$O,N$1-2011,FALSE),0)+IFERROR(VLOOKUP($A133,WLacrosse!$C:$O,N$1-2011,FALSE),0)+IFERROR(VLOOKUP($A133,WSoccer!$C:$O,N$1-2011,FALSE),0)+IFERROR(VLOOKUP($A133,WSoftball!$C:$O,N$1-2011,FALSE),0)+IFERROR(VLOOKUP($A133,WVolleyball!$C:$O,N$1-2011,FALSE),0)</f>
        <v>120797</v>
      </c>
    </row>
    <row r="134" spans="1:14" x14ac:dyDescent="0.2">
      <c r="A134">
        <v>227881</v>
      </c>
      <c r="B134">
        <v>26660</v>
      </c>
      <c r="C134" t="s">
        <v>193</v>
      </c>
      <c r="D134">
        <v>133</v>
      </c>
      <c r="E134">
        <f>IFERROR(VLOOKUP($A134,MBaseball!$C:$N,E$1-2010,FALSE),0)+IFERROR(VLOOKUP($A134,MBasketball!$C:$J,E$1-2006,FALSE),0)+IFERROR(VLOOKUP($A134,MFootball!$C:$O,E$1-2011,FALSE),0)+IFERROR(VLOOKUP($A134,MIceHockey!$C:$P,E$1-2011,FALSE),0)+IFERROR(VLOOKUP($A134,MLacrosse!$C:$O,E$1-2011,FALSE),0)+IFERROR(VLOOKUP($A134,MSoccer!$C:$O,E$1-2011,FALSE),0)+IFERROR(VLOOKUP($A134,MVolleyball!$C:$O,E$1-2011,FALSE),0)+IFERROR(VLOOKUP($A134,WBasketball!$C:$O,E$1-2011,FALSE),0)+IFERROR(VLOOKUP($A134,WFieldHockey!$C:$O,E$1-2011,FALSE),0)+IFERROR(VLOOKUP($A134,WIceHockey!$C:$O,E$1-2011,FALSE),0)+IFERROR(VLOOKUP($A134,WLacrosse!$C:$O,E$1-2011,FALSE),0)+IFERROR(VLOOKUP($A134,WSoccer!$C:$O,E$1-2011,FALSE),0)+IFERROR(VLOOKUP($A134,WSoftball!$C:$O,E$1-2011,FALSE),0)+IFERROR(VLOOKUP($A134,WVolleyball!$C:$O,E$1-2011,FALSE),0)</f>
        <v>54313</v>
      </c>
      <c r="F134">
        <f>IFERROR(VLOOKUP($A134,MBaseball!$C:$N,F$1-2010,FALSE),0)+IFERROR(VLOOKUP($A134,MBasketball!$C:$J,F$1-2006,FALSE),0)+IFERROR(VLOOKUP($A134,MFootball!$C:$O,F$1-2011,FALSE),0)+IFERROR(VLOOKUP($A134,MIceHockey!$C:$P,F$1-2011,FALSE),0)+IFERROR(VLOOKUP($A134,MLacrosse!$C:$O,F$1-2011,FALSE),0)+IFERROR(VLOOKUP($A134,MSoccer!$C:$O,F$1-2011,FALSE),0)+IFERROR(VLOOKUP($A134,MVolleyball!$C:$O,F$1-2011,FALSE),0)+IFERROR(VLOOKUP($A134,WBasketball!$C:$O,F$1-2011,FALSE),0)+IFERROR(VLOOKUP($A134,WFieldHockey!$C:$O,F$1-2011,FALSE),0)+IFERROR(VLOOKUP($A134,WIceHockey!$C:$O,F$1-2011,FALSE),0)+IFERROR(VLOOKUP($A134,WLacrosse!$C:$O,F$1-2011,FALSE),0)+IFERROR(VLOOKUP($A134,WSoccer!$C:$O,F$1-2011,FALSE),0)+IFERROR(VLOOKUP($A134,WSoftball!$C:$O,F$1-2011,FALSE),0)+IFERROR(VLOOKUP($A134,WVolleyball!$C:$O,F$1-2011,FALSE),0)</f>
        <v>115963</v>
      </c>
      <c r="G134">
        <f>IFERROR(VLOOKUP($A134,MBaseball!$C:$N,G$1-2010,FALSE),0)+IFERROR(VLOOKUP($A134,MBasketball!$C:$J,G$1-2006,FALSE),0)+IFERROR(VLOOKUP($A134,MFootball!$C:$O,G$1-2011,FALSE),0)+IFERROR(VLOOKUP($A134,MIceHockey!$C:$P,G$1-2011,FALSE),0)+IFERROR(VLOOKUP($A134,MLacrosse!$C:$O,G$1-2011,FALSE),0)+IFERROR(VLOOKUP($A134,MSoccer!$C:$O,G$1-2011,FALSE),0)+IFERROR(VLOOKUP($A134,MVolleyball!$C:$O,G$1-2011,FALSE),0)+IFERROR(VLOOKUP($A134,WBasketball!$C:$O,G$1-2011,FALSE),0)+IFERROR(VLOOKUP($A134,WFieldHockey!$C:$O,G$1-2011,FALSE),0)+IFERROR(VLOOKUP($A134,WIceHockey!$C:$O,G$1-2011,FALSE),0)+IFERROR(VLOOKUP($A134,WLacrosse!$C:$O,G$1-2011,FALSE),0)+IFERROR(VLOOKUP($A134,WSoccer!$C:$O,G$1-2011,FALSE),0)+IFERROR(VLOOKUP($A134,WSoftball!$C:$O,G$1-2011,FALSE),0)+IFERROR(VLOOKUP($A134,WVolleyball!$C:$O,G$1-2011,FALSE),0)</f>
        <v>113234</v>
      </c>
      <c r="H134">
        <f>IFERROR(VLOOKUP($A134,MBaseball!$C:$N,H$1-2010,FALSE),0)+IFERROR(VLOOKUP($A134,MBasketball!$C:$J,H$1-2006,FALSE),0)+IFERROR(VLOOKUP($A134,MFootball!$C:$O,H$1-2011,FALSE),0)+IFERROR(VLOOKUP($A134,MIceHockey!$C:$P,H$1-2011,FALSE),0)+IFERROR(VLOOKUP($A134,MLacrosse!$C:$O,H$1-2011,FALSE),0)+IFERROR(VLOOKUP($A134,MSoccer!$C:$O,H$1-2011,FALSE),0)+IFERROR(VLOOKUP($A134,MVolleyball!$C:$O,H$1-2011,FALSE),0)+IFERROR(VLOOKUP($A134,WBasketball!$C:$O,H$1-2011,FALSE),0)+IFERROR(VLOOKUP($A134,WFieldHockey!$C:$O,H$1-2011,FALSE),0)+IFERROR(VLOOKUP($A134,WIceHockey!$C:$O,H$1-2011,FALSE),0)+IFERROR(VLOOKUP($A134,WLacrosse!$C:$O,H$1-2011,FALSE),0)+IFERROR(VLOOKUP($A134,WSoccer!$C:$O,H$1-2011,FALSE),0)+IFERROR(VLOOKUP($A134,WSoftball!$C:$O,H$1-2011,FALSE),0)+IFERROR(VLOOKUP($A134,WVolleyball!$C:$O,H$1-2011,FALSE),0)</f>
        <v>100284</v>
      </c>
      <c r="I134">
        <f>IFERROR(VLOOKUP($A134,MBaseball!$C:$N,I$1-2010,FALSE),0)+IFERROR(VLOOKUP($A134,MBasketball!$C:$J,I$1-2006,FALSE),0)+IFERROR(VLOOKUP($A134,MFootball!$C:$O,I$1-2011,FALSE),0)+IFERROR(VLOOKUP($A134,MIceHockey!$C:$P,I$1-2011,FALSE),0)+IFERROR(VLOOKUP($A134,MLacrosse!$C:$O,I$1-2011,FALSE),0)+IFERROR(VLOOKUP($A134,MSoccer!$C:$O,I$1-2011,FALSE),0)+IFERROR(VLOOKUP($A134,MVolleyball!$C:$O,I$1-2011,FALSE),0)+IFERROR(VLOOKUP($A134,WBasketball!$C:$O,I$1-2011,FALSE),0)+IFERROR(VLOOKUP($A134,WFieldHockey!$C:$O,I$1-2011,FALSE),0)+IFERROR(VLOOKUP($A134,WIceHockey!$C:$O,I$1-2011,FALSE),0)+IFERROR(VLOOKUP($A134,WLacrosse!$C:$O,I$1-2011,FALSE),0)+IFERROR(VLOOKUP($A134,WSoccer!$C:$O,I$1-2011,FALSE),0)+IFERROR(VLOOKUP($A134,WSoftball!$C:$O,I$1-2011,FALSE),0)+IFERROR(VLOOKUP($A134,WVolleyball!$C:$O,I$1-2011,FALSE),0)</f>
        <v>107807</v>
      </c>
      <c r="J134">
        <f>IFERROR(VLOOKUP($A134,MBaseball!$C:$N,J$1-2010,FALSE),0)+IFERROR(VLOOKUP($A134,MBasketball!$C:$J,J$1-2006,FALSE),0)+IFERROR(VLOOKUP($A134,MFootball!$C:$O,J$1-2011,FALSE),0)+IFERROR(VLOOKUP($A134,MIceHockey!$C:$P,J$1-2011,FALSE),0)+IFERROR(VLOOKUP($A134,MLacrosse!$C:$O,J$1-2011,FALSE),0)+IFERROR(VLOOKUP($A134,MSoccer!$C:$O,J$1-2011,FALSE),0)+IFERROR(VLOOKUP($A134,MVolleyball!$C:$O,J$1-2011,FALSE),0)+IFERROR(VLOOKUP($A134,WBasketball!$C:$O,J$1-2011,FALSE),0)+IFERROR(VLOOKUP($A134,WFieldHockey!$C:$O,J$1-2011,FALSE),0)+IFERROR(VLOOKUP($A134,WIceHockey!$C:$O,J$1-2011,FALSE),0)+IFERROR(VLOOKUP($A134,WLacrosse!$C:$O,J$1-2011,FALSE),0)+IFERROR(VLOOKUP($A134,WSoccer!$C:$O,J$1-2011,FALSE),0)+IFERROR(VLOOKUP($A134,WSoftball!$C:$O,J$1-2011,FALSE),0)+IFERROR(VLOOKUP($A134,WVolleyball!$C:$O,J$1-2011,FALSE),0)</f>
        <v>68055</v>
      </c>
      <c r="K134">
        <f>IFERROR(VLOOKUP($A134,MBaseball!$C:$N,K$1-2010,FALSE),0)+IFERROR(VLOOKUP($A134,MBasketball!$C:$J,K$1-2006,FALSE),0)+IFERROR(VLOOKUP($A134,MFootball!$C:$O,K$1-2011,FALSE),0)+IFERROR(VLOOKUP($A134,MIceHockey!$C:$P,K$1-2011,FALSE),0)+IFERROR(VLOOKUP($A134,MLacrosse!$C:$O,K$1-2011,FALSE),0)+IFERROR(VLOOKUP($A134,MSoccer!$C:$O,K$1-2011,FALSE),0)+IFERROR(VLOOKUP($A134,MVolleyball!$C:$O,K$1-2011,FALSE),0)+IFERROR(VLOOKUP($A134,WBasketball!$C:$O,K$1-2011,FALSE),0)+IFERROR(VLOOKUP($A134,WFieldHockey!$C:$O,K$1-2011,FALSE),0)+IFERROR(VLOOKUP($A134,WIceHockey!$C:$O,K$1-2011,FALSE),0)+IFERROR(VLOOKUP($A134,WLacrosse!$C:$O,K$1-2011,FALSE),0)+IFERROR(VLOOKUP($A134,WSoccer!$C:$O,K$1-2011,FALSE),0)+IFERROR(VLOOKUP($A134,WSoftball!$C:$O,K$1-2011,FALSE),0)+IFERROR(VLOOKUP($A134,WVolleyball!$C:$O,K$1-2011,FALSE),0)</f>
        <v>59303</v>
      </c>
      <c r="L134">
        <f>IFERROR(VLOOKUP($A134,MBaseball!$C:$N,L$1-2010,FALSE),0)+IFERROR(VLOOKUP($A134,MBasketball!$C:$J,L$1-2006,FALSE),0)+IFERROR(VLOOKUP($A134,MFootball!$C:$O,L$1-2011,FALSE),0)+IFERROR(VLOOKUP($A134,MIceHockey!$C:$P,L$1-2011,FALSE),0)+IFERROR(VLOOKUP($A134,MLacrosse!$C:$O,L$1-2011,FALSE),0)+IFERROR(VLOOKUP($A134,MSoccer!$C:$O,L$1-2011,FALSE),0)+IFERROR(VLOOKUP($A134,MVolleyball!$C:$O,L$1-2011,FALSE),0)+IFERROR(VLOOKUP($A134,WBasketball!$C:$O,L$1-2011,FALSE),0)+IFERROR(VLOOKUP($A134,WFieldHockey!$C:$O,L$1-2011,FALSE),0)+IFERROR(VLOOKUP($A134,WIceHockey!$C:$O,L$1-2011,FALSE),0)+IFERROR(VLOOKUP($A134,WLacrosse!$C:$O,L$1-2011,FALSE),0)+IFERROR(VLOOKUP($A134,WSoccer!$C:$O,L$1-2011,FALSE),0)+IFERROR(VLOOKUP($A134,WSoftball!$C:$O,L$1-2011,FALSE),0)+IFERROR(VLOOKUP($A134,WVolleyball!$C:$O,L$1-2011,FALSE),0)</f>
        <v>57692</v>
      </c>
      <c r="M134">
        <f>IFERROR(VLOOKUP($A134,MBaseball!$C:$N,M$1-2010,FALSE),0)+IFERROR(VLOOKUP($A134,MBasketball!$C:$J,M$1-2006,FALSE),0)+IFERROR(VLOOKUP($A134,MFootball!$C:$O,M$1-2011,FALSE),0)+IFERROR(VLOOKUP($A134,MIceHockey!$C:$P,M$1-2011,FALSE),0)+IFERROR(VLOOKUP($A134,MLacrosse!$C:$O,M$1-2011,FALSE),0)+IFERROR(VLOOKUP($A134,MSoccer!$C:$O,M$1-2011,FALSE),0)+IFERROR(VLOOKUP($A134,MVolleyball!$C:$O,M$1-2011,FALSE),0)+IFERROR(VLOOKUP($A134,WBasketball!$C:$O,M$1-2011,FALSE),0)+IFERROR(VLOOKUP($A134,WFieldHockey!$C:$O,M$1-2011,FALSE),0)+IFERROR(VLOOKUP($A134,WIceHockey!$C:$O,M$1-2011,FALSE),0)+IFERROR(VLOOKUP($A134,WLacrosse!$C:$O,M$1-2011,FALSE),0)+IFERROR(VLOOKUP($A134,WSoccer!$C:$O,M$1-2011,FALSE),0)+IFERROR(VLOOKUP($A134,WSoftball!$C:$O,M$1-2011,FALSE),0)+IFERROR(VLOOKUP($A134,WVolleyball!$C:$O,M$1-2011,FALSE),0)</f>
        <v>86963</v>
      </c>
      <c r="N134">
        <f>IFERROR(VLOOKUP($A134,MBaseball!$C:$N,N$1-2010,FALSE),0)+IFERROR(VLOOKUP($A134,MBasketball!$C:$J,N$1-2006,FALSE),0)+IFERROR(VLOOKUP($A134,MFootball!$C:$O,N$1-2011,FALSE),0)+IFERROR(VLOOKUP($A134,MIceHockey!$C:$P,N$1-2011,FALSE),0)+IFERROR(VLOOKUP($A134,MLacrosse!$C:$O,N$1-2011,FALSE),0)+IFERROR(VLOOKUP($A134,MSoccer!$C:$O,N$1-2011,FALSE),0)+IFERROR(VLOOKUP($A134,MVolleyball!$C:$O,N$1-2011,FALSE),0)+IFERROR(VLOOKUP($A134,WBasketball!$C:$O,N$1-2011,FALSE),0)+IFERROR(VLOOKUP($A134,WFieldHockey!$C:$O,N$1-2011,FALSE),0)+IFERROR(VLOOKUP($A134,WIceHockey!$C:$O,N$1-2011,FALSE),0)+IFERROR(VLOOKUP($A134,WLacrosse!$C:$O,N$1-2011,FALSE),0)+IFERROR(VLOOKUP($A134,WSoccer!$C:$O,N$1-2011,FALSE),0)+IFERROR(VLOOKUP($A134,WSoftball!$C:$O,N$1-2011,FALSE),0)+IFERROR(VLOOKUP($A134,WVolleyball!$C:$O,N$1-2011,FALSE),0)</f>
        <v>51464</v>
      </c>
    </row>
    <row r="135" spans="1:14" x14ac:dyDescent="0.2">
      <c r="A135">
        <v>122409</v>
      </c>
      <c r="B135">
        <v>41740</v>
      </c>
      <c r="C135" t="s">
        <v>194</v>
      </c>
      <c r="D135">
        <v>134</v>
      </c>
      <c r="E135">
        <f>IFERROR(VLOOKUP($A135,MBaseball!$C:$N,E$1-2010,FALSE),0)+IFERROR(VLOOKUP($A135,MBasketball!$C:$J,E$1-2006,FALSE),0)+IFERROR(VLOOKUP($A135,MFootball!$C:$O,E$1-2011,FALSE),0)+IFERROR(VLOOKUP($A135,MIceHockey!$C:$P,E$1-2011,FALSE),0)+IFERROR(VLOOKUP($A135,MLacrosse!$C:$O,E$1-2011,FALSE),0)+IFERROR(VLOOKUP($A135,MSoccer!$C:$O,E$1-2011,FALSE),0)+IFERROR(VLOOKUP($A135,MVolleyball!$C:$O,E$1-2011,FALSE),0)+IFERROR(VLOOKUP($A135,WBasketball!$C:$O,E$1-2011,FALSE),0)+IFERROR(VLOOKUP($A135,WFieldHockey!$C:$O,E$1-2011,FALSE),0)+IFERROR(VLOOKUP($A135,WIceHockey!$C:$O,E$1-2011,FALSE),0)+IFERROR(VLOOKUP($A135,WLacrosse!$C:$O,E$1-2011,FALSE),0)+IFERROR(VLOOKUP($A135,WSoccer!$C:$O,E$1-2011,FALSE),0)+IFERROR(VLOOKUP($A135,WSoftball!$C:$O,E$1-2011,FALSE),0)+IFERROR(VLOOKUP($A135,WVolleyball!$C:$O,E$1-2011,FALSE),0)</f>
        <v>231204</v>
      </c>
      <c r="F135">
        <f>IFERROR(VLOOKUP($A135,MBaseball!$C:$N,F$1-2010,FALSE),0)+IFERROR(VLOOKUP($A135,MBasketball!$C:$J,F$1-2006,FALSE),0)+IFERROR(VLOOKUP($A135,MFootball!$C:$O,F$1-2011,FALSE),0)+IFERROR(VLOOKUP($A135,MIceHockey!$C:$P,F$1-2011,FALSE),0)+IFERROR(VLOOKUP($A135,MLacrosse!$C:$O,F$1-2011,FALSE),0)+IFERROR(VLOOKUP($A135,MSoccer!$C:$O,F$1-2011,FALSE),0)+IFERROR(VLOOKUP($A135,MVolleyball!$C:$O,F$1-2011,FALSE),0)+IFERROR(VLOOKUP($A135,WBasketball!$C:$O,F$1-2011,FALSE),0)+IFERROR(VLOOKUP($A135,WFieldHockey!$C:$O,F$1-2011,FALSE),0)+IFERROR(VLOOKUP($A135,WIceHockey!$C:$O,F$1-2011,FALSE),0)+IFERROR(VLOOKUP($A135,WLacrosse!$C:$O,F$1-2011,FALSE),0)+IFERROR(VLOOKUP($A135,WSoccer!$C:$O,F$1-2011,FALSE),0)+IFERROR(VLOOKUP($A135,WSoftball!$C:$O,F$1-2011,FALSE),0)+IFERROR(VLOOKUP($A135,WVolleyball!$C:$O,F$1-2011,FALSE),0)</f>
        <v>269593</v>
      </c>
      <c r="G135">
        <f>IFERROR(VLOOKUP($A135,MBaseball!$C:$N,G$1-2010,FALSE),0)+IFERROR(VLOOKUP($A135,MBasketball!$C:$J,G$1-2006,FALSE),0)+IFERROR(VLOOKUP($A135,MFootball!$C:$O,G$1-2011,FALSE),0)+IFERROR(VLOOKUP($A135,MIceHockey!$C:$P,G$1-2011,FALSE),0)+IFERROR(VLOOKUP($A135,MLacrosse!$C:$O,G$1-2011,FALSE),0)+IFERROR(VLOOKUP($A135,MSoccer!$C:$O,G$1-2011,FALSE),0)+IFERROR(VLOOKUP($A135,MVolleyball!$C:$O,G$1-2011,FALSE),0)+IFERROR(VLOOKUP($A135,WBasketball!$C:$O,G$1-2011,FALSE),0)+IFERROR(VLOOKUP($A135,WFieldHockey!$C:$O,G$1-2011,FALSE),0)+IFERROR(VLOOKUP($A135,WIceHockey!$C:$O,G$1-2011,FALSE),0)+IFERROR(VLOOKUP($A135,WLacrosse!$C:$O,G$1-2011,FALSE),0)+IFERROR(VLOOKUP($A135,WSoccer!$C:$O,G$1-2011,FALSE),0)+IFERROR(VLOOKUP($A135,WSoftball!$C:$O,G$1-2011,FALSE),0)+IFERROR(VLOOKUP($A135,WVolleyball!$C:$O,G$1-2011,FALSE),0)</f>
        <v>248751</v>
      </c>
      <c r="H135">
        <f>IFERROR(VLOOKUP($A135,MBaseball!$C:$N,H$1-2010,FALSE),0)+IFERROR(VLOOKUP($A135,MBasketball!$C:$J,H$1-2006,FALSE),0)+IFERROR(VLOOKUP($A135,MFootball!$C:$O,H$1-2011,FALSE),0)+IFERROR(VLOOKUP($A135,MIceHockey!$C:$P,H$1-2011,FALSE),0)+IFERROR(VLOOKUP($A135,MLacrosse!$C:$O,H$1-2011,FALSE),0)+IFERROR(VLOOKUP($A135,MSoccer!$C:$O,H$1-2011,FALSE),0)+IFERROR(VLOOKUP($A135,MVolleyball!$C:$O,H$1-2011,FALSE),0)+IFERROR(VLOOKUP($A135,WBasketball!$C:$O,H$1-2011,FALSE),0)+IFERROR(VLOOKUP($A135,WFieldHockey!$C:$O,H$1-2011,FALSE),0)+IFERROR(VLOOKUP($A135,WIceHockey!$C:$O,H$1-2011,FALSE),0)+IFERROR(VLOOKUP($A135,WLacrosse!$C:$O,H$1-2011,FALSE),0)+IFERROR(VLOOKUP($A135,WSoccer!$C:$O,H$1-2011,FALSE),0)+IFERROR(VLOOKUP($A135,WSoftball!$C:$O,H$1-2011,FALSE),0)+IFERROR(VLOOKUP($A135,WVolleyball!$C:$O,H$1-2011,FALSE),0)</f>
        <v>287545</v>
      </c>
      <c r="I135">
        <f>IFERROR(VLOOKUP($A135,MBaseball!$C:$N,I$1-2010,FALSE),0)+IFERROR(VLOOKUP($A135,MBasketball!$C:$J,I$1-2006,FALSE),0)+IFERROR(VLOOKUP($A135,MFootball!$C:$O,I$1-2011,FALSE),0)+IFERROR(VLOOKUP($A135,MIceHockey!$C:$P,I$1-2011,FALSE),0)+IFERROR(VLOOKUP($A135,MLacrosse!$C:$O,I$1-2011,FALSE),0)+IFERROR(VLOOKUP($A135,MSoccer!$C:$O,I$1-2011,FALSE),0)+IFERROR(VLOOKUP($A135,MVolleyball!$C:$O,I$1-2011,FALSE),0)+IFERROR(VLOOKUP($A135,WBasketball!$C:$O,I$1-2011,FALSE),0)+IFERROR(VLOOKUP($A135,WFieldHockey!$C:$O,I$1-2011,FALSE),0)+IFERROR(VLOOKUP($A135,WIceHockey!$C:$O,I$1-2011,FALSE),0)+IFERROR(VLOOKUP($A135,WLacrosse!$C:$O,I$1-2011,FALSE),0)+IFERROR(VLOOKUP($A135,WSoccer!$C:$O,I$1-2011,FALSE),0)+IFERROR(VLOOKUP($A135,WSoftball!$C:$O,I$1-2011,FALSE),0)+IFERROR(VLOOKUP($A135,WVolleyball!$C:$O,I$1-2011,FALSE),0)</f>
        <v>340077</v>
      </c>
      <c r="J135">
        <f>IFERROR(VLOOKUP($A135,MBaseball!$C:$N,J$1-2010,FALSE),0)+IFERROR(VLOOKUP($A135,MBasketball!$C:$J,J$1-2006,FALSE),0)+IFERROR(VLOOKUP($A135,MFootball!$C:$O,J$1-2011,FALSE),0)+IFERROR(VLOOKUP($A135,MIceHockey!$C:$P,J$1-2011,FALSE),0)+IFERROR(VLOOKUP($A135,MLacrosse!$C:$O,J$1-2011,FALSE),0)+IFERROR(VLOOKUP($A135,MSoccer!$C:$O,J$1-2011,FALSE),0)+IFERROR(VLOOKUP($A135,MVolleyball!$C:$O,J$1-2011,FALSE),0)+IFERROR(VLOOKUP($A135,WBasketball!$C:$O,J$1-2011,FALSE),0)+IFERROR(VLOOKUP($A135,WFieldHockey!$C:$O,J$1-2011,FALSE),0)+IFERROR(VLOOKUP($A135,WIceHockey!$C:$O,J$1-2011,FALSE),0)+IFERROR(VLOOKUP($A135,WLacrosse!$C:$O,J$1-2011,FALSE),0)+IFERROR(VLOOKUP($A135,WSoccer!$C:$O,J$1-2011,FALSE),0)+IFERROR(VLOOKUP($A135,WSoftball!$C:$O,J$1-2011,FALSE),0)+IFERROR(VLOOKUP($A135,WVolleyball!$C:$O,J$1-2011,FALSE),0)</f>
        <v>272692</v>
      </c>
      <c r="K135">
        <f>IFERROR(VLOOKUP($A135,MBaseball!$C:$N,K$1-2010,FALSE),0)+IFERROR(VLOOKUP($A135,MBasketball!$C:$J,K$1-2006,FALSE),0)+IFERROR(VLOOKUP($A135,MFootball!$C:$O,K$1-2011,FALSE),0)+IFERROR(VLOOKUP($A135,MIceHockey!$C:$P,K$1-2011,FALSE),0)+IFERROR(VLOOKUP($A135,MLacrosse!$C:$O,K$1-2011,FALSE),0)+IFERROR(VLOOKUP($A135,MSoccer!$C:$O,K$1-2011,FALSE),0)+IFERROR(VLOOKUP($A135,MVolleyball!$C:$O,K$1-2011,FALSE),0)+IFERROR(VLOOKUP($A135,WBasketball!$C:$O,K$1-2011,FALSE),0)+IFERROR(VLOOKUP($A135,WFieldHockey!$C:$O,K$1-2011,FALSE),0)+IFERROR(VLOOKUP($A135,WIceHockey!$C:$O,K$1-2011,FALSE),0)+IFERROR(VLOOKUP($A135,WLacrosse!$C:$O,K$1-2011,FALSE),0)+IFERROR(VLOOKUP($A135,WSoccer!$C:$O,K$1-2011,FALSE),0)+IFERROR(VLOOKUP($A135,WSoftball!$C:$O,K$1-2011,FALSE),0)+IFERROR(VLOOKUP($A135,WVolleyball!$C:$O,K$1-2011,FALSE),0)</f>
        <v>214173</v>
      </c>
      <c r="L135">
        <f>IFERROR(VLOOKUP($A135,MBaseball!$C:$N,L$1-2010,FALSE),0)+IFERROR(VLOOKUP($A135,MBasketball!$C:$J,L$1-2006,FALSE),0)+IFERROR(VLOOKUP($A135,MFootball!$C:$O,L$1-2011,FALSE),0)+IFERROR(VLOOKUP($A135,MIceHockey!$C:$P,L$1-2011,FALSE),0)+IFERROR(VLOOKUP($A135,MLacrosse!$C:$O,L$1-2011,FALSE),0)+IFERROR(VLOOKUP($A135,MSoccer!$C:$O,L$1-2011,FALSE),0)+IFERROR(VLOOKUP($A135,MVolleyball!$C:$O,L$1-2011,FALSE),0)+IFERROR(VLOOKUP($A135,WBasketball!$C:$O,L$1-2011,FALSE),0)+IFERROR(VLOOKUP($A135,WFieldHockey!$C:$O,L$1-2011,FALSE),0)+IFERROR(VLOOKUP($A135,WIceHockey!$C:$O,L$1-2011,FALSE),0)+IFERROR(VLOOKUP($A135,WLacrosse!$C:$O,L$1-2011,FALSE),0)+IFERROR(VLOOKUP($A135,WSoccer!$C:$O,L$1-2011,FALSE),0)+IFERROR(VLOOKUP($A135,WSoftball!$C:$O,L$1-2011,FALSE),0)+IFERROR(VLOOKUP($A135,WVolleyball!$C:$O,L$1-2011,FALSE),0)</f>
        <v>17333</v>
      </c>
      <c r="M135">
        <f>IFERROR(VLOOKUP($A135,MBaseball!$C:$N,M$1-2010,FALSE),0)+IFERROR(VLOOKUP($A135,MBasketball!$C:$J,M$1-2006,FALSE),0)+IFERROR(VLOOKUP($A135,MFootball!$C:$O,M$1-2011,FALSE),0)+IFERROR(VLOOKUP($A135,MIceHockey!$C:$P,M$1-2011,FALSE),0)+IFERROR(VLOOKUP($A135,MLacrosse!$C:$O,M$1-2011,FALSE),0)+IFERROR(VLOOKUP($A135,MSoccer!$C:$O,M$1-2011,FALSE),0)+IFERROR(VLOOKUP($A135,MVolleyball!$C:$O,M$1-2011,FALSE),0)+IFERROR(VLOOKUP($A135,WBasketball!$C:$O,M$1-2011,FALSE),0)+IFERROR(VLOOKUP($A135,WFieldHockey!$C:$O,M$1-2011,FALSE),0)+IFERROR(VLOOKUP($A135,WIceHockey!$C:$O,M$1-2011,FALSE),0)+IFERROR(VLOOKUP($A135,WLacrosse!$C:$O,M$1-2011,FALSE),0)+IFERROR(VLOOKUP($A135,WSoccer!$C:$O,M$1-2011,FALSE),0)+IFERROR(VLOOKUP($A135,WSoftball!$C:$O,M$1-2011,FALSE),0)+IFERROR(VLOOKUP($A135,WVolleyball!$C:$O,M$1-2011,FALSE),0)</f>
        <v>132783</v>
      </c>
      <c r="N135">
        <f>IFERROR(VLOOKUP($A135,MBaseball!$C:$N,N$1-2010,FALSE),0)+IFERROR(VLOOKUP($A135,MBasketball!$C:$J,N$1-2006,FALSE),0)+IFERROR(VLOOKUP($A135,MFootball!$C:$O,N$1-2011,FALSE),0)+IFERROR(VLOOKUP($A135,MIceHockey!$C:$P,N$1-2011,FALSE),0)+IFERROR(VLOOKUP($A135,MLacrosse!$C:$O,N$1-2011,FALSE),0)+IFERROR(VLOOKUP($A135,MSoccer!$C:$O,N$1-2011,FALSE),0)+IFERROR(VLOOKUP($A135,MVolleyball!$C:$O,N$1-2011,FALSE),0)+IFERROR(VLOOKUP($A135,WBasketball!$C:$O,N$1-2011,FALSE),0)+IFERROR(VLOOKUP($A135,WFieldHockey!$C:$O,N$1-2011,FALSE),0)+IFERROR(VLOOKUP($A135,WIceHockey!$C:$O,N$1-2011,FALSE),0)+IFERROR(VLOOKUP($A135,WLacrosse!$C:$O,N$1-2011,FALSE),0)+IFERROR(VLOOKUP($A135,WSoccer!$C:$O,N$1-2011,FALSE),0)+IFERROR(VLOOKUP($A135,WSoftball!$C:$O,N$1-2011,FALSE),0)+IFERROR(VLOOKUP($A135,WVolleyball!$C:$O,N$1-2011,FALSE),0)</f>
        <v>258170</v>
      </c>
    </row>
    <row r="136" spans="1:14" x14ac:dyDescent="0.2">
      <c r="A136">
        <v>122755</v>
      </c>
      <c r="B136">
        <v>41940</v>
      </c>
      <c r="C136" t="s">
        <v>195</v>
      </c>
      <c r="D136">
        <v>135</v>
      </c>
      <c r="E136">
        <f>IFERROR(VLOOKUP($A136,MBaseball!$C:$N,E$1-2010,FALSE),0)+IFERROR(VLOOKUP($A136,MBasketball!$C:$J,E$1-2006,FALSE),0)+IFERROR(VLOOKUP($A136,MFootball!$C:$O,E$1-2011,FALSE),0)+IFERROR(VLOOKUP($A136,MIceHockey!$C:$P,E$1-2011,FALSE),0)+IFERROR(VLOOKUP($A136,MLacrosse!$C:$O,E$1-2011,FALSE),0)+IFERROR(VLOOKUP($A136,MSoccer!$C:$O,E$1-2011,FALSE),0)+IFERROR(VLOOKUP($A136,MVolleyball!$C:$O,E$1-2011,FALSE),0)+IFERROR(VLOOKUP($A136,WBasketball!$C:$O,E$1-2011,FALSE),0)+IFERROR(VLOOKUP($A136,WFieldHockey!$C:$O,E$1-2011,FALSE),0)+IFERROR(VLOOKUP($A136,WIceHockey!$C:$O,E$1-2011,FALSE),0)+IFERROR(VLOOKUP($A136,WLacrosse!$C:$O,E$1-2011,FALSE),0)+IFERROR(VLOOKUP($A136,WSoccer!$C:$O,E$1-2011,FALSE),0)+IFERROR(VLOOKUP($A136,WSoftball!$C:$O,E$1-2011,FALSE),0)+IFERROR(VLOOKUP($A136,WVolleyball!$C:$O,E$1-2011,FALSE),0)</f>
        <v>51481</v>
      </c>
      <c r="F136">
        <f>IFERROR(VLOOKUP($A136,MBaseball!$C:$N,F$1-2010,FALSE),0)+IFERROR(VLOOKUP($A136,MBasketball!$C:$J,F$1-2006,FALSE),0)+IFERROR(VLOOKUP($A136,MFootball!$C:$O,F$1-2011,FALSE),0)+IFERROR(VLOOKUP($A136,MIceHockey!$C:$P,F$1-2011,FALSE),0)+IFERROR(VLOOKUP($A136,MLacrosse!$C:$O,F$1-2011,FALSE),0)+IFERROR(VLOOKUP($A136,MSoccer!$C:$O,F$1-2011,FALSE),0)+IFERROR(VLOOKUP($A136,MVolleyball!$C:$O,F$1-2011,FALSE),0)+IFERROR(VLOOKUP($A136,WBasketball!$C:$O,F$1-2011,FALSE),0)+IFERROR(VLOOKUP($A136,WFieldHockey!$C:$O,F$1-2011,FALSE),0)+IFERROR(VLOOKUP($A136,WIceHockey!$C:$O,F$1-2011,FALSE),0)+IFERROR(VLOOKUP($A136,WLacrosse!$C:$O,F$1-2011,FALSE),0)+IFERROR(VLOOKUP($A136,WSoccer!$C:$O,F$1-2011,FALSE),0)+IFERROR(VLOOKUP($A136,WSoftball!$C:$O,F$1-2011,FALSE),0)+IFERROR(VLOOKUP($A136,WVolleyball!$C:$O,F$1-2011,FALSE),0)</f>
        <v>100665</v>
      </c>
      <c r="G136">
        <f>IFERROR(VLOOKUP($A136,MBaseball!$C:$N,G$1-2010,FALSE),0)+IFERROR(VLOOKUP($A136,MBasketball!$C:$J,G$1-2006,FALSE),0)+IFERROR(VLOOKUP($A136,MFootball!$C:$O,G$1-2011,FALSE),0)+IFERROR(VLOOKUP($A136,MIceHockey!$C:$P,G$1-2011,FALSE),0)+IFERROR(VLOOKUP($A136,MLacrosse!$C:$O,G$1-2011,FALSE),0)+IFERROR(VLOOKUP($A136,MSoccer!$C:$O,G$1-2011,FALSE),0)+IFERROR(VLOOKUP($A136,MVolleyball!$C:$O,G$1-2011,FALSE),0)+IFERROR(VLOOKUP($A136,WBasketball!$C:$O,G$1-2011,FALSE),0)+IFERROR(VLOOKUP($A136,WFieldHockey!$C:$O,G$1-2011,FALSE),0)+IFERROR(VLOOKUP($A136,WIceHockey!$C:$O,G$1-2011,FALSE),0)+IFERROR(VLOOKUP($A136,WLacrosse!$C:$O,G$1-2011,FALSE),0)+IFERROR(VLOOKUP($A136,WSoccer!$C:$O,G$1-2011,FALSE),0)+IFERROR(VLOOKUP($A136,WSoftball!$C:$O,G$1-2011,FALSE),0)+IFERROR(VLOOKUP($A136,WVolleyball!$C:$O,G$1-2011,FALSE),0)</f>
        <v>117559</v>
      </c>
      <c r="H136">
        <f>IFERROR(VLOOKUP($A136,MBaseball!$C:$N,H$1-2010,FALSE),0)+IFERROR(VLOOKUP($A136,MBasketball!$C:$J,H$1-2006,FALSE),0)+IFERROR(VLOOKUP($A136,MFootball!$C:$O,H$1-2011,FALSE),0)+IFERROR(VLOOKUP($A136,MIceHockey!$C:$P,H$1-2011,FALSE),0)+IFERROR(VLOOKUP($A136,MLacrosse!$C:$O,H$1-2011,FALSE),0)+IFERROR(VLOOKUP($A136,MSoccer!$C:$O,H$1-2011,FALSE),0)+IFERROR(VLOOKUP($A136,MVolleyball!$C:$O,H$1-2011,FALSE),0)+IFERROR(VLOOKUP($A136,WBasketball!$C:$O,H$1-2011,FALSE),0)+IFERROR(VLOOKUP($A136,WFieldHockey!$C:$O,H$1-2011,FALSE),0)+IFERROR(VLOOKUP($A136,WIceHockey!$C:$O,H$1-2011,FALSE),0)+IFERROR(VLOOKUP($A136,WLacrosse!$C:$O,H$1-2011,FALSE),0)+IFERROR(VLOOKUP($A136,WSoccer!$C:$O,H$1-2011,FALSE),0)+IFERROR(VLOOKUP($A136,WSoftball!$C:$O,H$1-2011,FALSE),0)+IFERROR(VLOOKUP($A136,WVolleyball!$C:$O,H$1-2011,FALSE),0)</f>
        <v>121323</v>
      </c>
      <c r="I136">
        <f>IFERROR(VLOOKUP($A136,MBaseball!$C:$N,I$1-2010,FALSE),0)+IFERROR(VLOOKUP($A136,MBasketball!$C:$J,I$1-2006,FALSE),0)+IFERROR(VLOOKUP($A136,MFootball!$C:$O,I$1-2011,FALSE),0)+IFERROR(VLOOKUP($A136,MIceHockey!$C:$P,I$1-2011,FALSE),0)+IFERROR(VLOOKUP($A136,MLacrosse!$C:$O,I$1-2011,FALSE),0)+IFERROR(VLOOKUP($A136,MSoccer!$C:$O,I$1-2011,FALSE),0)+IFERROR(VLOOKUP($A136,MVolleyball!$C:$O,I$1-2011,FALSE),0)+IFERROR(VLOOKUP($A136,WBasketball!$C:$O,I$1-2011,FALSE),0)+IFERROR(VLOOKUP($A136,WFieldHockey!$C:$O,I$1-2011,FALSE),0)+IFERROR(VLOOKUP($A136,WIceHockey!$C:$O,I$1-2011,FALSE),0)+IFERROR(VLOOKUP($A136,WLacrosse!$C:$O,I$1-2011,FALSE),0)+IFERROR(VLOOKUP($A136,WSoccer!$C:$O,I$1-2011,FALSE),0)+IFERROR(VLOOKUP($A136,WSoftball!$C:$O,I$1-2011,FALSE),0)+IFERROR(VLOOKUP($A136,WVolleyball!$C:$O,I$1-2011,FALSE),0)</f>
        <v>118921</v>
      </c>
      <c r="J136">
        <f>IFERROR(VLOOKUP($A136,MBaseball!$C:$N,J$1-2010,FALSE),0)+IFERROR(VLOOKUP($A136,MBasketball!$C:$J,J$1-2006,FALSE),0)+IFERROR(VLOOKUP($A136,MFootball!$C:$O,J$1-2011,FALSE),0)+IFERROR(VLOOKUP($A136,MIceHockey!$C:$P,J$1-2011,FALSE),0)+IFERROR(VLOOKUP($A136,MLacrosse!$C:$O,J$1-2011,FALSE),0)+IFERROR(VLOOKUP($A136,MSoccer!$C:$O,J$1-2011,FALSE),0)+IFERROR(VLOOKUP($A136,MVolleyball!$C:$O,J$1-2011,FALSE),0)+IFERROR(VLOOKUP($A136,WBasketball!$C:$O,J$1-2011,FALSE),0)+IFERROR(VLOOKUP($A136,WFieldHockey!$C:$O,J$1-2011,FALSE),0)+IFERROR(VLOOKUP($A136,WIceHockey!$C:$O,J$1-2011,FALSE),0)+IFERROR(VLOOKUP($A136,WLacrosse!$C:$O,J$1-2011,FALSE),0)+IFERROR(VLOOKUP($A136,WSoccer!$C:$O,J$1-2011,FALSE),0)+IFERROR(VLOOKUP($A136,WSoftball!$C:$O,J$1-2011,FALSE),0)+IFERROR(VLOOKUP($A136,WVolleyball!$C:$O,J$1-2011,FALSE),0)</f>
        <v>97387</v>
      </c>
      <c r="K136">
        <f>IFERROR(VLOOKUP($A136,MBaseball!$C:$N,K$1-2010,FALSE),0)+IFERROR(VLOOKUP($A136,MBasketball!$C:$J,K$1-2006,FALSE),0)+IFERROR(VLOOKUP($A136,MFootball!$C:$O,K$1-2011,FALSE),0)+IFERROR(VLOOKUP($A136,MIceHockey!$C:$P,K$1-2011,FALSE),0)+IFERROR(VLOOKUP($A136,MLacrosse!$C:$O,K$1-2011,FALSE),0)+IFERROR(VLOOKUP($A136,MSoccer!$C:$O,K$1-2011,FALSE),0)+IFERROR(VLOOKUP($A136,MVolleyball!$C:$O,K$1-2011,FALSE),0)+IFERROR(VLOOKUP($A136,WBasketball!$C:$O,K$1-2011,FALSE),0)+IFERROR(VLOOKUP($A136,WFieldHockey!$C:$O,K$1-2011,FALSE),0)+IFERROR(VLOOKUP($A136,WIceHockey!$C:$O,K$1-2011,FALSE),0)+IFERROR(VLOOKUP($A136,WLacrosse!$C:$O,K$1-2011,FALSE),0)+IFERROR(VLOOKUP($A136,WSoccer!$C:$O,K$1-2011,FALSE),0)+IFERROR(VLOOKUP($A136,WSoftball!$C:$O,K$1-2011,FALSE),0)+IFERROR(VLOOKUP($A136,WVolleyball!$C:$O,K$1-2011,FALSE),0)</f>
        <v>116856</v>
      </c>
      <c r="L136">
        <f>IFERROR(VLOOKUP($A136,MBaseball!$C:$N,L$1-2010,FALSE),0)+IFERROR(VLOOKUP($A136,MBasketball!$C:$J,L$1-2006,FALSE),0)+IFERROR(VLOOKUP($A136,MFootball!$C:$O,L$1-2011,FALSE),0)+IFERROR(VLOOKUP($A136,MIceHockey!$C:$P,L$1-2011,FALSE),0)+IFERROR(VLOOKUP($A136,MLacrosse!$C:$O,L$1-2011,FALSE),0)+IFERROR(VLOOKUP($A136,MSoccer!$C:$O,L$1-2011,FALSE),0)+IFERROR(VLOOKUP($A136,MVolleyball!$C:$O,L$1-2011,FALSE),0)+IFERROR(VLOOKUP($A136,WBasketball!$C:$O,L$1-2011,FALSE),0)+IFERROR(VLOOKUP($A136,WFieldHockey!$C:$O,L$1-2011,FALSE),0)+IFERROR(VLOOKUP($A136,WIceHockey!$C:$O,L$1-2011,FALSE),0)+IFERROR(VLOOKUP($A136,WLacrosse!$C:$O,L$1-2011,FALSE),0)+IFERROR(VLOOKUP($A136,WSoccer!$C:$O,L$1-2011,FALSE),0)+IFERROR(VLOOKUP($A136,WSoftball!$C:$O,L$1-2011,FALSE),0)+IFERROR(VLOOKUP($A136,WVolleyball!$C:$O,L$1-2011,FALSE),0)</f>
        <v>11505</v>
      </c>
      <c r="M136">
        <f>IFERROR(VLOOKUP($A136,MBaseball!$C:$N,M$1-2010,FALSE),0)+IFERROR(VLOOKUP($A136,MBasketball!$C:$J,M$1-2006,FALSE),0)+IFERROR(VLOOKUP($A136,MFootball!$C:$O,M$1-2011,FALSE),0)+IFERROR(VLOOKUP($A136,MIceHockey!$C:$P,M$1-2011,FALSE),0)+IFERROR(VLOOKUP($A136,MLacrosse!$C:$O,M$1-2011,FALSE),0)+IFERROR(VLOOKUP($A136,MSoccer!$C:$O,M$1-2011,FALSE),0)+IFERROR(VLOOKUP($A136,MVolleyball!$C:$O,M$1-2011,FALSE),0)+IFERROR(VLOOKUP($A136,WBasketball!$C:$O,M$1-2011,FALSE),0)+IFERROR(VLOOKUP($A136,WFieldHockey!$C:$O,M$1-2011,FALSE),0)+IFERROR(VLOOKUP($A136,WIceHockey!$C:$O,M$1-2011,FALSE),0)+IFERROR(VLOOKUP($A136,WLacrosse!$C:$O,M$1-2011,FALSE),0)+IFERROR(VLOOKUP($A136,WSoccer!$C:$O,M$1-2011,FALSE),0)+IFERROR(VLOOKUP($A136,WSoftball!$C:$O,M$1-2011,FALSE),0)+IFERROR(VLOOKUP($A136,WVolleyball!$C:$O,M$1-2011,FALSE),0)</f>
        <v>122983</v>
      </c>
      <c r="N136">
        <f>IFERROR(VLOOKUP($A136,MBaseball!$C:$N,N$1-2010,FALSE),0)+IFERROR(VLOOKUP($A136,MBasketball!$C:$J,N$1-2006,FALSE),0)+IFERROR(VLOOKUP($A136,MFootball!$C:$O,N$1-2011,FALSE),0)+IFERROR(VLOOKUP($A136,MIceHockey!$C:$P,N$1-2011,FALSE),0)+IFERROR(VLOOKUP($A136,MLacrosse!$C:$O,N$1-2011,FALSE),0)+IFERROR(VLOOKUP($A136,MSoccer!$C:$O,N$1-2011,FALSE),0)+IFERROR(VLOOKUP($A136,MVolleyball!$C:$O,N$1-2011,FALSE),0)+IFERROR(VLOOKUP($A136,WBasketball!$C:$O,N$1-2011,FALSE),0)+IFERROR(VLOOKUP($A136,WFieldHockey!$C:$O,N$1-2011,FALSE),0)+IFERROR(VLOOKUP($A136,WIceHockey!$C:$O,N$1-2011,FALSE),0)+IFERROR(VLOOKUP($A136,WLacrosse!$C:$O,N$1-2011,FALSE),0)+IFERROR(VLOOKUP($A136,WSoccer!$C:$O,N$1-2011,FALSE),0)+IFERROR(VLOOKUP($A136,WSoftball!$C:$O,N$1-2011,FALSE),0)+IFERROR(VLOOKUP($A136,WVolleyball!$C:$O,N$1-2011,FALSE),0)</f>
        <v>122412</v>
      </c>
    </row>
    <row r="137" spans="1:14" x14ac:dyDescent="0.2">
      <c r="A137">
        <v>219471</v>
      </c>
      <c r="B137">
        <v>46820</v>
      </c>
      <c r="C137" t="s">
        <v>201</v>
      </c>
      <c r="D137">
        <v>136</v>
      </c>
      <c r="E137">
        <f>IFERROR(VLOOKUP($A137,MBaseball!$C:$N,E$1-2010,FALSE),0)+IFERROR(VLOOKUP($A137,MBasketball!$C:$J,E$1-2006,FALSE),0)+IFERROR(VLOOKUP($A137,MFootball!$C:$O,E$1-2011,FALSE),0)+IFERROR(VLOOKUP($A137,MIceHockey!$C:$P,E$1-2011,FALSE),0)+IFERROR(VLOOKUP($A137,MLacrosse!$C:$O,E$1-2011,FALSE),0)+IFERROR(VLOOKUP($A137,MSoccer!$C:$O,E$1-2011,FALSE),0)+IFERROR(VLOOKUP($A137,MVolleyball!$C:$O,E$1-2011,FALSE),0)+IFERROR(VLOOKUP($A137,WBasketball!$C:$O,E$1-2011,FALSE),0)+IFERROR(VLOOKUP($A137,WFieldHockey!$C:$O,E$1-2011,FALSE),0)+IFERROR(VLOOKUP($A137,WIceHockey!$C:$O,E$1-2011,FALSE),0)+IFERROR(VLOOKUP($A137,WLacrosse!$C:$O,E$1-2011,FALSE),0)+IFERROR(VLOOKUP($A137,WSoccer!$C:$O,E$1-2011,FALSE),0)+IFERROR(VLOOKUP($A137,WSoftball!$C:$O,E$1-2011,FALSE),0)+IFERROR(VLOOKUP($A137,WVolleyball!$C:$O,E$1-2011,FALSE),0)</f>
        <v>51267</v>
      </c>
      <c r="F137">
        <f>IFERROR(VLOOKUP($A137,MBaseball!$C:$N,F$1-2010,FALSE),0)+IFERROR(VLOOKUP($A137,MBasketball!$C:$J,F$1-2006,FALSE),0)+IFERROR(VLOOKUP($A137,MFootball!$C:$O,F$1-2011,FALSE),0)+IFERROR(VLOOKUP($A137,MIceHockey!$C:$P,F$1-2011,FALSE),0)+IFERROR(VLOOKUP($A137,MLacrosse!$C:$O,F$1-2011,FALSE),0)+IFERROR(VLOOKUP($A137,MSoccer!$C:$O,F$1-2011,FALSE),0)+IFERROR(VLOOKUP($A137,MVolleyball!$C:$O,F$1-2011,FALSE),0)+IFERROR(VLOOKUP($A137,WBasketball!$C:$O,F$1-2011,FALSE),0)+IFERROR(VLOOKUP($A137,WFieldHockey!$C:$O,F$1-2011,FALSE),0)+IFERROR(VLOOKUP($A137,WIceHockey!$C:$O,F$1-2011,FALSE),0)+IFERROR(VLOOKUP($A137,WLacrosse!$C:$O,F$1-2011,FALSE),0)+IFERROR(VLOOKUP($A137,WSoccer!$C:$O,F$1-2011,FALSE),0)+IFERROR(VLOOKUP($A137,WSoftball!$C:$O,F$1-2011,FALSE),0)+IFERROR(VLOOKUP($A137,WVolleyball!$C:$O,F$1-2011,FALSE),0)</f>
        <v>77905</v>
      </c>
      <c r="G137">
        <f>IFERROR(VLOOKUP($A137,MBaseball!$C:$N,G$1-2010,FALSE),0)+IFERROR(VLOOKUP($A137,MBasketball!$C:$J,G$1-2006,FALSE),0)+IFERROR(VLOOKUP($A137,MFootball!$C:$O,G$1-2011,FALSE),0)+IFERROR(VLOOKUP($A137,MIceHockey!$C:$P,G$1-2011,FALSE),0)+IFERROR(VLOOKUP($A137,MLacrosse!$C:$O,G$1-2011,FALSE),0)+IFERROR(VLOOKUP($A137,MSoccer!$C:$O,G$1-2011,FALSE),0)+IFERROR(VLOOKUP($A137,MVolleyball!$C:$O,G$1-2011,FALSE),0)+IFERROR(VLOOKUP($A137,WBasketball!$C:$O,G$1-2011,FALSE),0)+IFERROR(VLOOKUP($A137,WFieldHockey!$C:$O,G$1-2011,FALSE),0)+IFERROR(VLOOKUP($A137,WIceHockey!$C:$O,G$1-2011,FALSE),0)+IFERROR(VLOOKUP($A137,WLacrosse!$C:$O,G$1-2011,FALSE),0)+IFERROR(VLOOKUP($A137,WSoccer!$C:$O,G$1-2011,FALSE),0)+IFERROR(VLOOKUP($A137,WSoftball!$C:$O,G$1-2011,FALSE),0)+IFERROR(VLOOKUP($A137,WVolleyball!$C:$O,G$1-2011,FALSE),0)</f>
        <v>90977</v>
      </c>
      <c r="H137">
        <f>IFERROR(VLOOKUP($A137,MBaseball!$C:$N,H$1-2010,FALSE),0)+IFERROR(VLOOKUP($A137,MBasketball!$C:$J,H$1-2006,FALSE),0)+IFERROR(VLOOKUP($A137,MFootball!$C:$O,H$1-2011,FALSE),0)+IFERROR(VLOOKUP($A137,MIceHockey!$C:$P,H$1-2011,FALSE),0)+IFERROR(VLOOKUP($A137,MLacrosse!$C:$O,H$1-2011,FALSE),0)+IFERROR(VLOOKUP($A137,MSoccer!$C:$O,H$1-2011,FALSE),0)+IFERROR(VLOOKUP($A137,MVolleyball!$C:$O,H$1-2011,FALSE),0)+IFERROR(VLOOKUP($A137,WBasketball!$C:$O,H$1-2011,FALSE),0)+IFERROR(VLOOKUP($A137,WFieldHockey!$C:$O,H$1-2011,FALSE),0)+IFERROR(VLOOKUP($A137,WIceHockey!$C:$O,H$1-2011,FALSE),0)+IFERROR(VLOOKUP($A137,WLacrosse!$C:$O,H$1-2011,FALSE),0)+IFERROR(VLOOKUP($A137,WSoccer!$C:$O,H$1-2011,FALSE),0)+IFERROR(VLOOKUP($A137,WSoftball!$C:$O,H$1-2011,FALSE),0)+IFERROR(VLOOKUP($A137,WVolleyball!$C:$O,H$1-2011,FALSE),0)</f>
        <v>81859</v>
      </c>
      <c r="I137">
        <f>IFERROR(VLOOKUP($A137,MBaseball!$C:$N,I$1-2010,FALSE),0)+IFERROR(VLOOKUP($A137,MBasketball!$C:$J,I$1-2006,FALSE),0)+IFERROR(VLOOKUP($A137,MFootball!$C:$O,I$1-2011,FALSE),0)+IFERROR(VLOOKUP($A137,MIceHockey!$C:$P,I$1-2011,FALSE),0)+IFERROR(VLOOKUP($A137,MLacrosse!$C:$O,I$1-2011,FALSE),0)+IFERROR(VLOOKUP($A137,MSoccer!$C:$O,I$1-2011,FALSE),0)+IFERROR(VLOOKUP($A137,MVolleyball!$C:$O,I$1-2011,FALSE),0)+IFERROR(VLOOKUP($A137,WBasketball!$C:$O,I$1-2011,FALSE),0)+IFERROR(VLOOKUP($A137,WFieldHockey!$C:$O,I$1-2011,FALSE),0)+IFERROR(VLOOKUP($A137,WIceHockey!$C:$O,I$1-2011,FALSE),0)+IFERROR(VLOOKUP($A137,WLacrosse!$C:$O,I$1-2011,FALSE),0)+IFERROR(VLOOKUP($A137,WSoccer!$C:$O,I$1-2011,FALSE),0)+IFERROR(VLOOKUP($A137,WSoftball!$C:$O,I$1-2011,FALSE),0)+IFERROR(VLOOKUP($A137,WVolleyball!$C:$O,I$1-2011,FALSE),0)</f>
        <v>96061</v>
      </c>
      <c r="J137">
        <f>IFERROR(VLOOKUP($A137,MBaseball!$C:$N,J$1-2010,FALSE),0)+IFERROR(VLOOKUP($A137,MBasketball!$C:$J,J$1-2006,FALSE),0)+IFERROR(VLOOKUP($A137,MFootball!$C:$O,J$1-2011,FALSE),0)+IFERROR(VLOOKUP($A137,MIceHockey!$C:$P,J$1-2011,FALSE),0)+IFERROR(VLOOKUP($A137,MLacrosse!$C:$O,J$1-2011,FALSE),0)+IFERROR(VLOOKUP($A137,MSoccer!$C:$O,J$1-2011,FALSE),0)+IFERROR(VLOOKUP($A137,MVolleyball!$C:$O,J$1-2011,FALSE),0)+IFERROR(VLOOKUP($A137,WBasketball!$C:$O,J$1-2011,FALSE),0)+IFERROR(VLOOKUP($A137,WFieldHockey!$C:$O,J$1-2011,FALSE),0)+IFERROR(VLOOKUP($A137,WIceHockey!$C:$O,J$1-2011,FALSE),0)+IFERROR(VLOOKUP($A137,WLacrosse!$C:$O,J$1-2011,FALSE),0)+IFERROR(VLOOKUP($A137,WSoccer!$C:$O,J$1-2011,FALSE),0)+IFERROR(VLOOKUP($A137,WSoftball!$C:$O,J$1-2011,FALSE),0)+IFERROR(VLOOKUP($A137,WVolleyball!$C:$O,J$1-2011,FALSE),0)</f>
        <v>88128</v>
      </c>
      <c r="K137">
        <f>IFERROR(VLOOKUP($A137,MBaseball!$C:$N,K$1-2010,FALSE),0)+IFERROR(VLOOKUP($A137,MBasketball!$C:$J,K$1-2006,FALSE),0)+IFERROR(VLOOKUP($A137,MFootball!$C:$O,K$1-2011,FALSE),0)+IFERROR(VLOOKUP($A137,MIceHockey!$C:$P,K$1-2011,FALSE),0)+IFERROR(VLOOKUP($A137,MLacrosse!$C:$O,K$1-2011,FALSE),0)+IFERROR(VLOOKUP($A137,MSoccer!$C:$O,K$1-2011,FALSE),0)+IFERROR(VLOOKUP($A137,MVolleyball!$C:$O,K$1-2011,FALSE),0)+IFERROR(VLOOKUP($A137,WBasketball!$C:$O,K$1-2011,FALSE),0)+IFERROR(VLOOKUP($A137,WFieldHockey!$C:$O,K$1-2011,FALSE),0)+IFERROR(VLOOKUP($A137,WIceHockey!$C:$O,K$1-2011,FALSE),0)+IFERROR(VLOOKUP($A137,WLacrosse!$C:$O,K$1-2011,FALSE),0)+IFERROR(VLOOKUP($A137,WSoccer!$C:$O,K$1-2011,FALSE),0)+IFERROR(VLOOKUP($A137,WSoftball!$C:$O,K$1-2011,FALSE),0)+IFERROR(VLOOKUP($A137,WVolleyball!$C:$O,K$1-2011,FALSE),0)</f>
        <v>84125</v>
      </c>
      <c r="L137">
        <f>IFERROR(VLOOKUP($A137,MBaseball!$C:$N,L$1-2010,FALSE),0)+IFERROR(VLOOKUP($A137,MBasketball!$C:$J,L$1-2006,FALSE),0)+IFERROR(VLOOKUP($A137,MFootball!$C:$O,L$1-2011,FALSE),0)+IFERROR(VLOOKUP($A137,MIceHockey!$C:$P,L$1-2011,FALSE),0)+IFERROR(VLOOKUP($A137,MLacrosse!$C:$O,L$1-2011,FALSE),0)+IFERROR(VLOOKUP($A137,MSoccer!$C:$O,L$1-2011,FALSE),0)+IFERROR(VLOOKUP($A137,MVolleyball!$C:$O,L$1-2011,FALSE),0)+IFERROR(VLOOKUP($A137,WBasketball!$C:$O,L$1-2011,FALSE),0)+IFERROR(VLOOKUP($A137,WFieldHockey!$C:$O,L$1-2011,FALSE),0)+IFERROR(VLOOKUP($A137,WIceHockey!$C:$O,L$1-2011,FALSE),0)+IFERROR(VLOOKUP($A137,WLacrosse!$C:$O,L$1-2011,FALSE),0)+IFERROR(VLOOKUP($A137,WSoccer!$C:$O,L$1-2011,FALSE),0)+IFERROR(VLOOKUP($A137,WSoftball!$C:$O,L$1-2011,FALSE),0)+IFERROR(VLOOKUP($A137,WVolleyball!$C:$O,L$1-2011,FALSE),0)</f>
        <v>12702</v>
      </c>
      <c r="M137">
        <f>IFERROR(VLOOKUP($A137,MBaseball!$C:$N,M$1-2010,FALSE),0)+IFERROR(VLOOKUP($A137,MBasketball!$C:$J,M$1-2006,FALSE),0)+IFERROR(VLOOKUP($A137,MFootball!$C:$O,M$1-2011,FALSE),0)+IFERROR(VLOOKUP($A137,MIceHockey!$C:$P,M$1-2011,FALSE),0)+IFERROR(VLOOKUP($A137,MLacrosse!$C:$O,M$1-2011,FALSE),0)+IFERROR(VLOOKUP($A137,MSoccer!$C:$O,M$1-2011,FALSE),0)+IFERROR(VLOOKUP($A137,MVolleyball!$C:$O,M$1-2011,FALSE),0)+IFERROR(VLOOKUP($A137,WBasketball!$C:$O,M$1-2011,FALSE),0)+IFERROR(VLOOKUP($A137,WFieldHockey!$C:$O,M$1-2011,FALSE),0)+IFERROR(VLOOKUP($A137,WIceHockey!$C:$O,M$1-2011,FALSE),0)+IFERROR(VLOOKUP($A137,WLacrosse!$C:$O,M$1-2011,FALSE),0)+IFERROR(VLOOKUP($A137,WSoccer!$C:$O,M$1-2011,FALSE),0)+IFERROR(VLOOKUP($A137,WSoftball!$C:$O,M$1-2011,FALSE),0)+IFERROR(VLOOKUP($A137,WVolleyball!$C:$O,M$1-2011,FALSE),0)</f>
        <v>79492</v>
      </c>
      <c r="N137">
        <f>IFERROR(VLOOKUP($A137,MBaseball!$C:$N,N$1-2010,FALSE),0)+IFERROR(VLOOKUP($A137,MBasketball!$C:$J,N$1-2006,FALSE),0)+IFERROR(VLOOKUP($A137,MFootball!$C:$O,N$1-2011,FALSE),0)+IFERROR(VLOOKUP($A137,MIceHockey!$C:$P,N$1-2011,FALSE),0)+IFERROR(VLOOKUP($A137,MLacrosse!$C:$O,N$1-2011,FALSE),0)+IFERROR(VLOOKUP($A137,MSoccer!$C:$O,N$1-2011,FALSE),0)+IFERROR(VLOOKUP($A137,MVolleyball!$C:$O,N$1-2011,FALSE),0)+IFERROR(VLOOKUP($A137,WBasketball!$C:$O,N$1-2011,FALSE),0)+IFERROR(VLOOKUP($A137,WFieldHockey!$C:$O,N$1-2011,FALSE),0)+IFERROR(VLOOKUP($A137,WIceHockey!$C:$O,N$1-2011,FALSE),0)+IFERROR(VLOOKUP($A137,WLacrosse!$C:$O,N$1-2011,FALSE),0)+IFERROR(VLOOKUP($A137,WSoccer!$C:$O,N$1-2011,FALSE),0)+IFERROR(VLOOKUP($A137,WSoftball!$C:$O,N$1-2011,FALSE),0)+IFERROR(VLOOKUP($A137,WVolleyball!$C:$O,N$1-2011,FALSE),0)</f>
        <v>79692</v>
      </c>
    </row>
    <row r="138" spans="1:14" x14ac:dyDescent="0.2">
      <c r="A138">
        <v>219356</v>
      </c>
      <c r="B138">
        <v>15100</v>
      </c>
      <c r="C138" t="s">
        <v>202</v>
      </c>
      <c r="D138">
        <v>137</v>
      </c>
      <c r="E138">
        <f>IFERROR(VLOOKUP($A138,MBaseball!$C:$N,E$1-2010,FALSE),0)+IFERROR(VLOOKUP($A138,MBasketball!$C:$J,E$1-2006,FALSE),0)+IFERROR(VLOOKUP($A138,MFootball!$C:$O,E$1-2011,FALSE),0)+IFERROR(VLOOKUP($A138,MIceHockey!$C:$P,E$1-2011,FALSE),0)+IFERROR(VLOOKUP($A138,MLacrosse!$C:$O,E$1-2011,FALSE),0)+IFERROR(VLOOKUP($A138,MSoccer!$C:$O,E$1-2011,FALSE),0)+IFERROR(VLOOKUP($A138,MVolleyball!$C:$O,E$1-2011,FALSE),0)+IFERROR(VLOOKUP($A138,WBasketball!$C:$O,E$1-2011,FALSE),0)+IFERROR(VLOOKUP($A138,WFieldHockey!$C:$O,E$1-2011,FALSE),0)+IFERROR(VLOOKUP($A138,WIceHockey!$C:$O,E$1-2011,FALSE),0)+IFERROR(VLOOKUP($A138,WLacrosse!$C:$O,E$1-2011,FALSE),0)+IFERROR(VLOOKUP($A138,WSoccer!$C:$O,E$1-2011,FALSE),0)+IFERROR(VLOOKUP($A138,WSoftball!$C:$O,E$1-2011,FALSE),0)+IFERROR(VLOOKUP($A138,WVolleyball!$C:$O,E$1-2011,FALSE),0)</f>
        <v>87763</v>
      </c>
      <c r="F138">
        <f>IFERROR(VLOOKUP($A138,MBaseball!$C:$N,F$1-2010,FALSE),0)+IFERROR(VLOOKUP($A138,MBasketball!$C:$J,F$1-2006,FALSE),0)+IFERROR(VLOOKUP($A138,MFootball!$C:$O,F$1-2011,FALSE),0)+IFERROR(VLOOKUP($A138,MIceHockey!$C:$P,F$1-2011,FALSE),0)+IFERROR(VLOOKUP($A138,MLacrosse!$C:$O,F$1-2011,FALSE),0)+IFERROR(VLOOKUP($A138,MSoccer!$C:$O,F$1-2011,FALSE),0)+IFERROR(VLOOKUP($A138,MVolleyball!$C:$O,F$1-2011,FALSE),0)+IFERROR(VLOOKUP($A138,WBasketball!$C:$O,F$1-2011,FALSE),0)+IFERROR(VLOOKUP($A138,WFieldHockey!$C:$O,F$1-2011,FALSE),0)+IFERROR(VLOOKUP($A138,WIceHockey!$C:$O,F$1-2011,FALSE),0)+IFERROR(VLOOKUP($A138,WLacrosse!$C:$O,F$1-2011,FALSE),0)+IFERROR(VLOOKUP($A138,WSoccer!$C:$O,F$1-2011,FALSE),0)+IFERROR(VLOOKUP($A138,WSoftball!$C:$O,F$1-2011,FALSE),0)+IFERROR(VLOOKUP($A138,WVolleyball!$C:$O,F$1-2011,FALSE),0)</f>
        <v>107332</v>
      </c>
      <c r="G138">
        <f>IFERROR(VLOOKUP($A138,MBaseball!$C:$N,G$1-2010,FALSE),0)+IFERROR(VLOOKUP($A138,MBasketball!$C:$J,G$1-2006,FALSE),0)+IFERROR(VLOOKUP($A138,MFootball!$C:$O,G$1-2011,FALSE),0)+IFERROR(VLOOKUP($A138,MIceHockey!$C:$P,G$1-2011,FALSE),0)+IFERROR(VLOOKUP($A138,MLacrosse!$C:$O,G$1-2011,FALSE),0)+IFERROR(VLOOKUP($A138,MSoccer!$C:$O,G$1-2011,FALSE),0)+IFERROR(VLOOKUP($A138,MVolleyball!$C:$O,G$1-2011,FALSE),0)+IFERROR(VLOOKUP($A138,WBasketball!$C:$O,G$1-2011,FALSE),0)+IFERROR(VLOOKUP($A138,WFieldHockey!$C:$O,G$1-2011,FALSE),0)+IFERROR(VLOOKUP($A138,WIceHockey!$C:$O,G$1-2011,FALSE),0)+IFERROR(VLOOKUP($A138,WLacrosse!$C:$O,G$1-2011,FALSE),0)+IFERROR(VLOOKUP($A138,WSoccer!$C:$O,G$1-2011,FALSE),0)+IFERROR(VLOOKUP($A138,WSoftball!$C:$O,G$1-2011,FALSE),0)+IFERROR(VLOOKUP($A138,WVolleyball!$C:$O,G$1-2011,FALSE),0)</f>
        <v>123476</v>
      </c>
      <c r="H138">
        <f>IFERROR(VLOOKUP($A138,MBaseball!$C:$N,H$1-2010,FALSE),0)+IFERROR(VLOOKUP($A138,MBasketball!$C:$J,H$1-2006,FALSE),0)+IFERROR(VLOOKUP($A138,MFootball!$C:$O,H$1-2011,FALSE),0)+IFERROR(VLOOKUP($A138,MIceHockey!$C:$P,H$1-2011,FALSE),0)+IFERROR(VLOOKUP($A138,MLacrosse!$C:$O,H$1-2011,FALSE),0)+IFERROR(VLOOKUP($A138,MSoccer!$C:$O,H$1-2011,FALSE),0)+IFERROR(VLOOKUP($A138,MVolleyball!$C:$O,H$1-2011,FALSE),0)+IFERROR(VLOOKUP($A138,WBasketball!$C:$O,H$1-2011,FALSE),0)+IFERROR(VLOOKUP($A138,WFieldHockey!$C:$O,H$1-2011,FALSE),0)+IFERROR(VLOOKUP($A138,WIceHockey!$C:$O,H$1-2011,FALSE),0)+IFERROR(VLOOKUP($A138,WLacrosse!$C:$O,H$1-2011,FALSE),0)+IFERROR(VLOOKUP($A138,WSoccer!$C:$O,H$1-2011,FALSE),0)+IFERROR(VLOOKUP($A138,WSoftball!$C:$O,H$1-2011,FALSE),0)+IFERROR(VLOOKUP($A138,WVolleyball!$C:$O,H$1-2011,FALSE),0)</f>
        <v>134536</v>
      </c>
      <c r="I138">
        <f>IFERROR(VLOOKUP($A138,MBaseball!$C:$N,I$1-2010,FALSE),0)+IFERROR(VLOOKUP($A138,MBasketball!$C:$J,I$1-2006,FALSE),0)+IFERROR(VLOOKUP($A138,MFootball!$C:$O,I$1-2011,FALSE),0)+IFERROR(VLOOKUP($A138,MIceHockey!$C:$P,I$1-2011,FALSE),0)+IFERROR(VLOOKUP($A138,MLacrosse!$C:$O,I$1-2011,FALSE),0)+IFERROR(VLOOKUP($A138,MSoccer!$C:$O,I$1-2011,FALSE),0)+IFERROR(VLOOKUP($A138,MVolleyball!$C:$O,I$1-2011,FALSE),0)+IFERROR(VLOOKUP($A138,WBasketball!$C:$O,I$1-2011,FALSE),0)+IFERROR(VLOOKUP($A138,WFieldHockey!$C:$O,I$1-2011,FALSE),0)+IFERROR(VLOOKUP($A138,WIceHockey!$C:$O,I$1-2011,FALSE),0)+IFERROR(VLOOKUP($A138,WLacrosse!$C:$O,I$1-2011,FALSE),0)+IFERROR(VLOOKUP($A138,WSoccer!$C:$O,I$1-2011,FALSE),0)+IFERROR(VLOOKUP($A138,WSoftball!$C:$O,I$1-2011,FALSE),0)+IFERROR(VLOOKUP($A138,WVolleyball!$C:$O,I$1-2011,FALSE),0)</f>
        <v>134542</v>
      </c>
      <c r="J138">
        <f>IFERROR(VLOOKUP($A138,MBaseball!$C:$N,J$1-2010,FALSE),0)+IFERROR(VLOOKUP($A138,MBasketball!$C:$J,J$1-2006,FALSE),0)+IFERROR(VLOOKUP($A138,MFootball!$C:$O,J$1-2011,FALSE),0)+IFERROR(VLOOKUP($A138,MIceHockey!$C:$P,J$1-2011,FALSE),0)+IFERROR(VLOOKUP($A138,MLacrosse!$C:$O,J$1-2011,FALSE),0)+IFERROR(VLOOKUP($A138,MSoccer!$C:$O,J$1-2011,FALSE),0)+IFERROR(VLOOKUP($A138,MVolleyball!$C:$O,J$1-2011,FALSE),0)+IFERROR(VLOOKUP($A138,WBasketball!$C:$O,J$1-2011,FALSE),0)+IFERROR(VLOOKUP($A138,WFieldHockey!$C:$O,J$1-2011,FALSE),0)+IFERROR(VLOOKUP($A138,WIceHockey!$C:$O,J$1-2011,FALSE),0)+IFERROR(VLOOKUP($A138,WLacrosse!$C:$O,J$1-2011,FALSE),0)+IFERROR(VLOOKUP($A138,WSoccer!$C:$O,J$1-2011,FALSE),0)+IFERROR(VLOOKUP($A138,WSoftball!$C:$O,J$1-2011,FALSE),0)+IFERROR(VLOOKUP($A138,WVolleyball!$C:$O,J$1-2011,FALSE),0)</f>
        <v>108873</v>
      </c>
      <c r="K138">
        <f>IFERROR(VLOOKUP($A138,MBaseball!$C:$N,K$1-2010,FALSE),0)+IFERROR(VLOOKUP($A138,MBasketball!$C:$J,K$1-2006,FALSE),0)+IFERROR(VLOOKUP($A138,MFootball!$C:$O,K$1-2011,FALSE),0)+IFERROR(VLOOKUP($A138,MIceHockey!$C:$P,K$1-2011,FALSE),0)+IFERROR(VLOOKUP($A138,MLacrosse!$C:$O,K$1-2011,FALSE),0)+IFERROR(VLOOKUP($A138,MSoccer!$C:$O,K$1-2011,FALSE),0)+IFERROR(VLOOKUP($A138,MVolleyball!$C:$O,K$1-2011,FALSE),0)+IFERROR(VLOOKUP($A138,WBasketball!$C:$O,K$1-2011,FALSE),0)+IFERROR(VLOOKUP($A138,WFieldHockey!$C:$O,K$1-2011,FALSE),0)+IFERROR(VLOOKUP($A138,WIceHockey!$C:$O,K$1-2011,FALSE),0)+IFERROR(VLOOKUP($A138,WLacrosse!$C:$O,K$1-2011,FALSE),0)+IFERROR(VLOOKUP($A138,WSoccer!$C:$O,K$1-2011,FALSE),0)+IFERROR(VLOOKUP($A138,WSoftball!$C:$O,K$1-2011,FALSE),0)+IFERROR(VLOOKUP($A138,WVolleyball!$C:$O,K$1-2011,FALSE),0)</f>
        <v>120479</v>
      </c>
      <c r="L138">
        <f>IFERROR(VLOOKUP($A138,MBaseball!$C:$N,L$1-2010,FALSE),0)+IFERROR(VLOOKUP($A138,MBasketball!$C:$J,L$1-2006,FALSE),0)+IFERROR(VLOOKUP($A138,MFootball!$C:$O,L$1-2011,FALSE),0)+IFERROR(VLOOKUP($A138,MIceHockey!$C:$P,L$1-2011,FALSE),0)+IFERROR(VLOOKUP($A138,MLacrosse!$C:$O,L$1-2011,FALSE),0)+IFERROR(VLOOKUP($A138,MSoccer!$C:$O,L$1-2011,FALSE),0)+IFERROR(VLOOKUP($A138,MVolleyball!$C:$O,L$1-2011,FALSE),0)+IFERROR(VLOOKUP($A138,WBasketball!$C:$O,L$1-2011,FALSE),0)+IFERROR(VLOOKUP($A138,WFieldHockey!$C:$O,L$1-2011,FALSE),0)+IFERROR(VLOOKUP($A138,WIceHockey!$C:$O,L$1-2011,FALSE),0)+IFERROR(VLOOKUP($A138,WLacrosse!$C:$O,L$1-2011,FALSE),0)+IFERROR(VLOOKUP($A138,WSoccer!$C:$O,L$1-2011,FALSE),0)+IFERROR(VLOOKUP($A138,WSoftball!$C:$O,L$1-2011,FALSE),0)+IFERROR(VLOOKUP($A138,WVolleyball!$C:$O,L$1-2011,FALSE),0)</f>
        <v>37546</v>
      </c>
      <c r="M138">
        <f>IFERROR(VLOOKUP($A138,MBaseball!$C:$N,M$1-2010,FALSE),0)+IFERROR(VLOOKUP($A138,MBasketball!$C:$J,M$1-2006,FALSE),0)+IFERROR(VLOOKUP($A138,MFootball!$C:$O,M$1-2011,FALSE),0)+IFERROR(VLOOKUP($A138,MIceHockey!$C:$P,M$1-2011,FALSE),0)+IFERROR(VLOOKUP($A138,MLacrosse!$C:$O,M$1-2011,FALSE),0)+IFERROR(VLOOKUP($A138,MSoccer!$C:$O,M$1-2011,FALSE),0)+IFERROR(VLOOKUP($A138,MVolleyball!$C:$O,M$1-2011,FALSE),0)+IFERROR(VLOOKUP($A138,WBasketball!$C:$O,M$1-2011,FALSE),0)+IFERROR(VLOOKUP($A138,WFieldHockey!$C:$O,M$1-2011,FALSE),0)+IFERROR(VLOOKUP($A138,WIceHockey!$C:$O,M$1-2011,FALSE),0)+IFERROR(VLOOKUP($A138,WLacrosse!$C:$O,M$1-2011,FALSE),0)+IFERROR(VLOOKUP($A138,WSoccer!$C:$O,M$1-2011,FALSE),0)+IFERROR(VLOOKUP($A138,WSoftball!$C:$O,M$1-2011,FALSE),0)+IFERROR(VLOOKUP($A138,WVolleyball!$C:$O,M$1-2011,FALSE),0)</f>
        <v>144543</v>
      </c>
      <c r="N138">
        <f>IFERROR(VLOOKUP($A138,MBaseball!$C:$N,N$1-2010,FALSE),0)+IFERROR(VLOOKUP($A138,MBasketball!$C:$J,N$1-2006,FALSE),0)+IFERROR(VLOOKUP($A138,MFootball!$C:$O,N$1-2011,FALSE),0)+IFERROR(VLOOKUP($A138,MIceHockey!$C:$P,N$1-2011,FALSE),0)+IFERROR(VLOOKUP($A138,MLacrosse!$C:$O,N$1-2011,FALSE),0)+IFERROR(VLOOKUP($A138,MSoccer!$C:$O,N$1-2011,FALSE),0)+IFERROR(VLOOKUP($A138,MVolleyball!$C:$O,N$1-2011,FALSE),0)+IFERROR(VLOOKUP($A138,WBasketball!$C:$O,N$1-2011,FALSE),0)+IFERROR(VLOOKUP($A138,WFieldHockey!$C:$O,N$1-2011,FALSE),0)+IFERROR(VLOOKUP($A138,WIceHockey!$C:$O,N$1-2011,FALSE),0)+IFERROR(VLOOKUP($A138,WLacrosse!$C:$O,N$1-2011,FALSE),0)+IFERROR(VLOOKUP($A138,WSoccer!$C:$O,N$1-2011,FALSE),0)+IFERROR(VLOOKUP($A138,WSoftball!$C:$O,N$1-2011,FALSE),0)+IFERROR(VLOOKUP($A138,WVolleyball!$C:$O,N$1-2011,FALSE),0)</f>
        <v>149101</v>
      </c>
    </row>
    <row r="139" spans="1:14" x14ac:dyDescent="0.2">
      <c r="A139">
        <v>137351</v>
      </c>
      <c r="B139">
        <v>45300</v>
      </c>
      <c r="C139" t="s">
        <v>203</v>
      </c>
      <c r="D139">
        <v>138</v>
      </c>
      <c r="E139">
        <f>IFERROR(VLOOKUP($A139,MBaseball!$C:$N,E$1-2010,FALSE),0)+IFERROR(VLOOKUP($A139,MBasketball!$C:$J,E$1-2006,FALSE),0)+IFERROR(VLOOKUP($A139,MFootball!$C:$O,E$1-2011,FALSE),0)+IFERROR(VLOOKUP($A139,MIceHockey!$C:$P,E$1-2011,FALSE),0)+IFERROR(VLOOKUP($A139,MLacrosse!$C:$O,E$1-2011,FALSE),0)+IFERROR(VLOOKUP($A139,MSoccer!$C:$O,E$1-2011,FALSE),0)+IFERROR(VLOOKUP($A139,MVolleyball!$C:$O,E$1-2011,FALSE),0)+IFERROR(VLOOKUP($A139,WBasketball!$C:$O,E$1-2011,FALSE),0)+IFERROR(VLOOKUP($A139,WFieldHockey!$C:$O,E$1-2011,FALSE),0)+IFERROR(VLOOKUP($A139,WIceHockey!$C:$O,E$1-2011,FALSE),0)+IFERROR(VLOOKUP($A139,WLacrosse!$C:$O,E$1-2011,FALSE),0)+IFERROR(VLOOKUP($A139,WSoccer!$C:$O,E$1-2011,FALSE),0)+IFERROR(VLOOKUP($A139,WSoftball!$C:$O,E$1-2011,FALSE),0)+IFERROR(VLOOKUP($A139,WVolleyball!$C:$O,E$1-2011,FALSE),0)</f>
        <v>159146</v>
      </c>
      <c r="F139">
        <f>IFERROR(VLOOKUP($A139,MBaseball!$C:$N,F$1-2010,FALSE),0)+IFERROR(VLOOKUP($A139,MBasketball!$C:$J,F$1-2006,FALSE),0)+IFERROR(VLOOKUP($A139,MFootball!$C:$O,F$1-2011,FALSE),0)+IFERROR(VLOOKUP($A139,MIceHockey!$C:$P,F$1-2011,FALSE),0)+IFERROR(VLOOKUP($A139,MLacrosse!$C:$O,F$1-2011,FALSE),0)+IFERROR(VLOOKUP($A139,MSoccer!$C:$O,F$1-2011,FALSE),0)+IFERROR(VLOOKUP($A139,MVolleyball!$C:$O,F$1-2011,FALSE),0)+IFERROR(VLOOKUP($A139,WBasketball!$C:$O,F$1-2011,FALSE),0)+IFERROR(VLOOKUP($A139,WFieldHockey!$C:$O,F$1-2011,FALSE),0)+IFERROR(VLOOKUP($A139,WIceHockey!$C:$O,F$1-2011,FALSE),0)+IFERROR(VLOOKUP($A139,WLacrosse!$C:$O,F$1-2011,FALSE),0)+IFERROR(VLOOKUP($A139,WSoccer!$C:$O,F$1-2011,FALSE),0)+IFERROR(VLOOKUP($A139,WSoftball!$C:$O,F$1-2011,FALSE),0)+IFERROR(VLOOKUP($A139,WVolleyball!$C:$O,F$1-2011,FALSE),0)</f>
        <v>303861</v>
      </c>
      <c r="G139">
        <f>IFERROR(VLOOKUP($A139,MBaseball!$C:$N,G$1-2010,FALSE),0)+IFERROR(VLOOKUP($A139,MBasketball!$C:$J,G$1-2006,FALSE),0)+IFERROR(VLOOKUP($A139,MFootball!$C:$O,G$1-2011,FALSE),0)+IFERROR(VLOOKUP($A139,MIceHockey!$C:$P,G$1-2011,FALSE),0)+IFERROR(VLOOKUP($A139,MLacrosse!$C:$O,G$1-2011,FALSE),0)+IFERROR(VLOOKUP($A139,MSoccer!$C:$O,G$1-2011,FALSE),0)+IFERROR(VLOOKUP($A139,MVolleyball!$C:$O,G$1-2011,FALSE),0)+IFERROR(VLOOKUP($A139,WBasketball!$C:$O,G$1-2011,FALSE),0)+IFERROR(VLOOKUP($A139,WFieldHockey!$C:$O,G$1-2011,FALSE),0)+IFERROR(VLOOKUP($A139,WIceHockey!$C:$O,G$1-2011,FALSE),0)+IFERROR(VLOOKUP($A139,WLacrosse!$C:$O,G$1-2011,FALSE),0)+IFERROR(VLOOKUP($A139,WSoccer!$C:$O,G$1-2011,FALSE),0)+IFERROR(VLOOKUP($A139,WSoftball!$C:$O,G$1-2011,FALSE),0)+IFERROR(VLOOKUP($A139,WVolleyball!$C:$O,G$1-2011,FALSE),0)</f>
        <v>279200</v>
      </c>
      <c r="H139">
        <f>IFERROR(VLOOKUP($A139,MBaseball!$C:$N,H$1-2010,FALSE),0)+IFERROR(VLOOKUP($A139,MBasketball!$C:$J,H$1-2006,FALSE),0)+IFERROR(VLOOKUP($A139,MFootball!$C:$O,H$1-2011,FALSE),0)+IFERROR(VLOOKUP($A139,MIceHockey!$C:$P,H$1-2011,FALSE),0)+IFERROR(VLOOKUP($A139,MLacrosse!$C:$O,H$1-2011,FALSE),0)+IFERROR(VLOOKUP($A139,MSoccer!$C:$O,H$1-2011,FALSE),0)+IFERROR(VLOOKUP($A139,MVolleyball!$C:$O,H$1-2011,FALSE),0)+IFERROR(VLOOKUP($A139,WBasketball!$C:$O,H$1-2011,FALSE),0)+IFERROR(VLOOKUP($A139,WFieldHockey!$C:$O,H$1-2011,FALSE),0)+IFERROR(VLOOKUP($A139,WIceHockey!$C:$O,H$1-2011,FALSE),0)+IFERROR(VLOOKUP($A139,WLacrosse!$C:$O,H$1-2011,FALSE),0)+IFERROR(VLOOKUP($A139,WSoccer!$C:$O,H$1-2011,FALSE),0)+IFERROR(VLOOKUP($A139,WSoftball!$C:$O,H$1-2011,FALSE),0)+IFERROR(VLOOKUP($A139,WVolleyball!$C:$O,H$1-2011,FALSE),0)</f>
        <v>365785</v>
      </c>
      <c r="I139">
        <f>IFERROR(VLOOKUP($A139,MBaseball!$C:$N,I$1-2010,FALSE),0)+IFERROR(VLOOKUP($A139,MBasketball!$C:$J,I$1-2006,FALSE),0)+IFERROR(VLOOKUP($A139,MFootball!$C:$O,I$1-2011,FALSE),0)+IFERROR(VLOOKUP($A139,MIceHockey!$C:$P,I$1-2011,FALSE),0)+IFERROR(VLOOKUP($A139,MLacrosse!$C:$O,I$1-2011,FALSE),0)+IFERROR(VLOOKUP($A139,MSoccer!$C:$O,I$1-2011,FALSE),0)+IFERROR(VLOOKUP($A139,MVolleyball!$C:$O,I$1-2011,FALSE),0)+IFERROR(VLOOKUP($A139,WBasketball!$C:$O,I$1-2011,FALSE),0)+IFERROR(VLOOKUP($A139,WFieldHockey!$C:$O,I$1-2011,FALSE),0)+IFERROR(VLOOKUP($A139,WIceHockey!$C:$O,I$1-2011,FALSE),0)+IFERROR(VLOOKUP($A139,WLacrosse!$C:$O,I$1-2011,FALSE),0)+IFERROR(VLOOKUP($A139,WSoccer!$C:$O,I$1-2011,FALSE),0)+IFERROR(VLOOKUP($A139,WSoftball!$C:$O,I$1-2011,FALSE),0)+IFERROR(VLOOKUP($A139,WVolleyball!$C:$O,I$1-2011,FALSE),0)</f>
        <v>299227</v>
      </c>
      <c r="J139">
        <f>IFERROR(VLOOKUP($A139,MBaseball!$C:$N,J$1-2010,FALSE),0)+IFERROR(VLOOKUP($A139,MBasketball!$C:$J,J$1-2006,FALSE),0)+IFERROR(VLOOKUP($A139,MFootball!$C:$O,J$1-2011,FALSE),0)+IFERROR(VLOOKUP($A139,MIceHockey!$C:$P,J$1-2011,FALSE),0)+IFERROR(VLOOKUP($A139,MLacrosse!$C:$O,J$1-2011,FALSE),0)+IFERROR(VLOOKUP($A139,MSoccer!$C:$O,J$1-2011,FALSE),0)+IFERROR(VLOOKUP($A139,MVolleyball!$C:$O,J$1-2011,FALSE),0)+IFERROR(VLOOKUP($A139,WBasketball!$C:$O,J$1-2011,FALSE),0)+IFERROR(VLOOKUP($A139,WFieldHockey!$C:$O,J$1-2011,FALSE),0)+IFERROR(VLOOKUP($A139,WIceHockey!$C:$O,J$1-2011,FALSE),0)+IFERROR(VLOOKUP($A139,WLacrosse!$C:$O,J$1-2011,FALSE),0)+IFERROR(VLOOKUP($A139,WSoccer!$C:$O,J$1-2011,FALSE),0)+IFERROR(VLOOKUP($A139,WSoftball!$C:$O,J$1-2011,FALSE),0)+IFERROR(VLOOKUP($A139,WVolleyball!$C:$O,J$1-2011,FALSE),0)</f>
        <v>339438</v>
      </c>
      <c r="K139">
        <f>IFERROR(VLOOKUP($A139,MBaseball!$C:$N,K$1-2010,FALSE),0)+IFERROR(VLOOKUP($A139,MBasketball!$C:$J,K$1-2006,FALSE),0)+IFERROR(VLOOKUP($A139,MFootball!$C:$O,K$1-2011,FALSE),0)+IFERROR(VLOOKUP($A139,MIceHockey!$C:$P,K$1-2011,FALSE),0)+IFERROR(VLOOKUP($A139,MLacrosse!$C:$O,K$1-2011,FALSE),0)+IFERROR(VLOOKUP($A139,MSoccer!$C:$O,K$1-2011,FALSE),0)+IFERROR(VLOOKUP($A139,MVolleyball!$C:$O,K$1-2011,FALSE),0)+IFERROR(VLOOKUP($A139,WBasketball!$C:$O,K$1-2011,FALSE),0)+IFERROR(VLOOKUP($A139,WFieldHockey!$C:$O,K$1-2011,FALSE),0)+IFERROR(VLOOKUP($A139,WIceHockey!$C:$O,K$1-2011,FALSE),0)+IFERROR(VLOOKUP($A139,WLacrosse!$C:$O,K$1-2011,FALSE),0)+IFERROR(VLOOKUP($A139,WSoccer!$C:$O,K$1-2011,FALSE),0)+IFERROR(VLOOKUP($A139,WSoftball!$C:$O,K$1-2011,FALSE),0)+IFERROR(VLOOKUP($A139,WVolleyball!$C:$O,K$1-2011,FALSE),0)</f>
        <v>291515</v>
      </c>
      <c r="L139">
        <f>IFERROR(VLOOKUP($A139,MBaseball!$C:$N,L$1-2010,FALSE),0)+IFERROR(VLOOKUP($A139,MBasketball!$C:$J,L$1-2006,FALSE),0)+IFERROR(VLOOKUP($A139,MFootball!$C:$O,L$1-2011,FALSE),0)+IFERROR(VLOOKUP($A139,MIceHockey!$C:$P,L$1-2011,FALSE),0)+IFERROR(VLOOKUP($A139,MLacrosse!$C:$O,L$1-2011,FALSE),0)+IFERROR(VLOOKUP($A139,MSoccer!$C:$O,L$1-2011,FALSE),0)+IFERROR(VLOOKUP($A139,MVolleyball!$C:$O,L$1-2011,FALSE),0)+IFERROR(VLOOKUP($A139,WBasketball!$C:$O,L$1-2011,FALSE),0)+IFERROR(VLOOKUP($A139,WFieldHockey!$C:$O,L$1-2011,FALSE),0)+IFERROR(VLOOKUP($A139,WIceHockey!$C:$O,L$1-2011,FALSE),0)+IFERROR(VLOOKUP($A139,WLacrosse!$C:$O,L$1-2011,FALSE),0)+IFERROR(VLOOKUP($A139,WSoccer!$C:$O,L$1-2011,FALSE),0)+IFERROR(VLOOKUP($A139,WSoftball!$C:$O,L$1-2011,FALSE),0)+IFERROR(VLOOKUP($A139,WVolleyball!$C:$O,L$1-2011,FALSE),0)</f>
        <v>62958</v>
      </c>
      <c r="M139">
        <f>IFERROR(VLOOKUP($A139,MBaseball!$C:$N,M$1-2010,FALSE),0)+IFERROR(VLOOKUP($A139,MBasketball!$C:$J,M$1-2006,FALSE),0)+IFERROR(VLOOKUP($A139,MFootball!$C:$O,M$1-2011,FALSE),0)+IFERROR(VLOOKUP($A139,MIceHockey!$C:$P,M$1-2011,FALSE),0)+IFERROR(VLOOKUP($A139,MLacrosse!$C:$O,M$1-2011,FALSE),0)+IFERROR(VLOOKUP($A139,MSoccer!$C:$O,M$1-2011,FALSE),0)+IFERROR(VLOOKUP($A139,MVolleyball!$C:$O,M$1-2011,FALSE),0)+IFERROR(VLOOKUP($A139,WBasketball!$C:$O,M$1-2011,FALSE),0)+IFERROR(VLOOKUP($A139,WFieldHockey!$C:$O,M$1-2011,FALSE),0)+IFERROR(VLOOKUP($A139,WIceHockey!$C:$O,M$1-2011,FALSE),0)+IFERROR(VLOOKUP($A139,WLacrosse!$C:$O,M$1-2011,FALSE),0)+IFERROR(VLOOKUP($A139,WSoccer!$C:$O,M$1-2011,FALSE),0)+IFERROR(VLOOKUP($A139,WSoftball!$C:$O,M$1-2011,FALSE),0)+IFERROR(VLOOKUP($A139,WVolleyball!$C:$O,M$1-2011,FALSE),0)</f>
        <v>308296</v>
      </c>
      <c r="N139">
        <f>IFERROR(VLOOKUP($A139,MBaseball!$C:$N,N$1-2010,FALSE),0)+IFERROR(VLOOKUP($A139,MBasketball!$C:$J,N$1-2006,FALSE),0)+IFERROR(VLOOKUP($A139,MFootball!$C:$O,N$1-2011,FALSE),0)+IFERROR(VLOOKUP($A139,MIceHockey!$C:$P,N$1-2011,FALSE),0)+IFERROR(VLOOKUP($A139,MLacrosse!$C:$O,N$1-2011,FALSE),0)+IFERROR(VLOOKUP($A139,MSoccer!$C:$O,N$1-2011,FALSE),0)+IFERROR(VLOOKUP($A139,MVolleyball!$C:$O,N$1-2011,FALSE),0)+IFERROR(VLOOKUP($A139,WBasketball!$C:$O,N$1-2011,FALSE),0)+IFERROR(VLOOKUP($A139,WFieldHockey!$C:$O,N$1-2011,FALSE),0)+IFERROR(VLOOKUP($A139,WIceHockey!$C:$O,N$1-2011,FALSE),0)+IFERROR(VLOOKUP($A139,WLacrosse!$C:$O,N$1-2011,FALSE),0)+IFERROR(VLOOKUP($A139,WSoccer!$C:$O,N$1-2011,FALSE),0)+IFERROR(VLOOKUP($A139,WSoftball!$C:$O,N$1-2011,FALSE),0)+IFERROR(VLOOKUP($A139,WVolleyball!$C:$O,N$1-2011,FALSE),0)</f>
        <v>247037</v>
      </c>
    </row>
    <row r="140" spans="1:14" x14ac:dyDescent="0.2">
      <c r="A140">
        <v>179557</v>
      </c>
      <c r="B140">
        <v>16020</v>
      </c>
      <c r="C140" t="s">
        <v>204</v>
      </c>
      <c r="D140">
        <v>139</v>
      </c>
      <c r="E140">
        <f>IFERROR(VLOOKUP($A140,MBaseball!$C:$N,E$1-2010,FALSE),0)+IFERROR(VLOOKUP($A140,MBasketball!$C:$J,E$1-2006,FALSE),0)+IFERROR(VLOOKUP($A140,MFootball!$C:$O,E$1-2011,FALSE),0)+IFERROR(VLOOKUP($A140,MIceHockey!$C:$P,E$1-2011,FALSE),0)+IFERROR(VLOOKUP($A140,MLacrosse!$C:$O,E$1-2011,FALSE),0)+IFERROR(VLOOKUP($A140,MSoccer!$C:$O,E$1-2011,FALSE),0)+IFERROR(VLOOKUP($A140,MVolleyball!$C:$O,E$1-2011,FALSE),0)+IFERROR(VLOOKUP($A140,WBasketball!$C:$O,E$1-2011,FALSE),0)+IFERROR(VLOOKUP($A140,WFieldHockey!$C:$O,E$1-2011,FALSE),0)+IFERROR(VLOOKUP($A140,WIceHockey!$C:$O,E$1-2011,FALSE),0)+IFERROR(VLOOKUP($A140,WLacrosse!$C:$O,E$1-2011,FALSE),0)+IFERROR(VLOOKUP($A140,WSoccer!$C:$O,E$1-2011,FALSE),0)+IFERROR(VLOOKUP($A140,WSoftball!$C:$O,E$1-2011,FALSE),0)+IFERROR(VLOOKUP($A140,WVolleyball!$C:$O,E$1-2011,FALSE),0)</f>
        <v>45616</v>
      </c>
      <c r="F140">
        <f>IFERROR(VLOOKUP($A140,MBaseball!$C:$N,F$1-2010,FALSE),0)+IFERROR(VLOOKUP($A140,MBasketball!$C:$J,F$1-2006,FALSE),0)+IFERROR(VLOOKUP($A140,MFootball!$C:$O,F$1-2011,FALSE),0)+IFERROR(VLOOKUP($A140,MIceHockey!$C:$P,F$1-2011,FALSE),0)+IFERROR(VLOOKUP($A140,MLacrosse!$C:$O,F$1-2011,FALSE),0)+IFERROR(VLOOKUP($A140,MSoccer!$C:$O,F$1-2011,FALSE),0)+IFERROR(VLOOKUP($A140,MVolleyball!$C:$O,F$1-2011,FALSE),0)+IFERROR(VLOOKUP($A140,WBasketball!$C:$O,F$1-2011,FALSE),0)+IFERROR(VLOOKUP($A140,WFieldHockey!$C:$O,F$1-2011,FALSE),0)+IFERROR(VLOOKUP($A140,WIceHockey!$C:$O,F$1-2011,FALSE),0)+IFERROR(VLOOKUP($A140,WLacrosse!$C:$O,F$1-2011,FALSE),0)+IFERROR(VLOOKUP($A140,WSoccer!$C:$O,F$1-2011,FALSE),0)+IFERROR(VLOOKUP($A140,WSoftball!$C:$O,F$1-2011,FALSE),0)+IFERROR(VLOOKUP($A140,WVolleyball!$C:$O,F$1-2011,FALSE),0)</f>
        <v>69606</v>
      </c>
      <c r="G140">
        <f>IFERROR(VLOOKUP($A140,MBaseball!$C:$N,G$1-2010,FALSE),0)+IFERROR(VLOOKUP($A140,MBasketball!$C:$J,G$1-2006,FALSE),0)+IFERROR(VLOOKUP($A140,MFootball!$C:$O,G$1-2011,FALSE),0)+IFERROR(VLOOKUP($A140,MIceHockey!$C:$P,G$1-2011,FALSE),0)+IFERROR(VLOOKUP($A140,MLacrosse!$C:$O,G$1-2011,FALSE),0)+IFERROR(VLOOKUP($A140,MSoccer!$C:$O,G$1-2011,FALSE),0)+IFERROR(VLOOKUP($A140,MVolleyball!$C:$O,G$1-2011,FALSE),0)+IFERROR(VLOOKUP($A140,WBasketball!$C:$O,G$1-2011,FALSE),0)+IFERROR(VLOOKUP($A140,WFieldHockey!$C:$O,G$1-2011,FALSE),0)+IFERROR(VLOOKUP($A140,WIceHockey!$C:$O,G$1-2011,FALSE),0)+IFERROR(VLOOKUP($A140,WLacrosse!$C:$O,G$1-2011,FALSE),0)+IFERROR(VLOOKUP($A140,WSoccer!$C:$O,G$1-2011,FALSE),0)+IFERROR(VLOOKUP($A140,WSoftball!$C:$O,G$1-2011,FALSE),0)+IFERROR(VLOOKUP($A140,WVolleyball!$C:$O,G$1-2011,FALSE),0)</f>
        <v>71120</v>
      </c>
      <c r="H140">
        <f>IFERROR(VLOOKUP($A140,MBaseball!$C:$N,H$1-2010,FALSE),0)+IFERROR(VLOOKUP($A140,MBasketball!$C:$J,H$1-2006,FALSE),0)+IFERROR(VLOOKUP($A140,MFootball!$C:$O,H$1-2011,FALSE),0)+IFERROR(VLOOKUP($A140,MIceHockey!$C:$P,H$1-2011,FALSE),0)+IFERROR(VLOOKUP($A140,MLacrosse!$C:$O,H$1-2011,FALSE),0)+IFERROR(VLOOKUP($A140,MSoccer!$C:$O,H$1-2011,FALSE),0)+IFERROR(VLOOKUP($A140,MVolleyball!$C:$O,H$1-2011,FALSE),0)+IFERROR(VLOOKUP($A140,WBasketball!$C:$O,H$1-2011,FALSE),0)+IFERROR(VLOOKUP($A140,WFieldHockey!$C:$O,H$1-2011,FALSE),0)+IFERROR(VLOOKUP($A140,WIceHockey!$C:$O,H$1-2011,FALSE),0)+IFERROR(VLOOKUP($A140,WLacrosse!$C:$O,H$1-2011,FALSE),0)+IFERROR(VLOOKUP($A140,WSoccer!$C:$O,H$1-2011,FALSE),0)+IFERROR(VLOOKUP($A140,WSoftball!$C:$O,H$1-2011,FALSE),0)+IFERROR(VLOOKUP($A140,WVolleyball!$C:$O,H$1-2011,FALSE),0)</f>
        <v>69275</v>
      </c>
      <c r="I140">
        <f>IFERROR(VLOOKUP($A140,MBaseball!$C:$N,I$1-2010,FALSE),0)+IFERROR(VLOOKUP($A140,MBasketball!$C:$J,I$1-2006,FALSE),0)+IFERROR(VLOOKUP($A140,MFootball!$C:$O,I$1-2011,FALSE),0)+IFERROR(VLOOKUP($A140,MIceHockey!$C:$P,I$1-2011,FALSE),0)+IFERROR(VLOOKUP($A140,MLacrosse!$C:$O,I$1-2011,FALSE),0)+IFERROR(VLOOKUP($A140,MSoccer!$C:$O,I$1-2011,FALSE),0)+IFERROR(VLOOKUP($A140,MVolleyball!$C:$O,I$1-2011,FALSE),0)+IFERROR(VLOOKUP($A140,WBasketball!$C:$O,I$1-2011,FALSE),0)+IFERROR(VLOOKUP($A140,WFieldHockey!$C:$O,I$1-2011,FALSE),0)+IFERROR(VLOOKUP($A140,WIceHockey!$C:$O,I$1-2011,FALSE),0)+IFERROR(VLOOKUP($A140,WLacrosse!$C:$O,I$1-2011,FALSE),0)+IFERROR(VLOOKUP($A140,WSoccer!$C:$O,I$1-2011,FALSE),0)+IFERROR(VLOOKUP($A140,WSoftball!$C:$O,I$1-2011,FALSE),0)+IFERROR(VLOOKUP($A140,WVolleyball!$C:$O,I$1-2011,FALSE),0)</f>
        <v>54132</v>
      </c>
      <c r="J140">
        <f>IFERROR(VLOOKUP($A140,MBaseball!$C:$N,J$1-2010,FALSE),0)+IFERROR(VLOOKUP($A140,MBasketball!$C:$J,J$1-2006,FALSE),0)+IFERROR(VLOOKUP($A140,MFootball!$C:$O,J$1-2011,FALSE),0)+IFERROR(VLOOKUP($A140,MIceHockey!$C:$P,J$1-2011,FALSE),0)+IFERROR(VLOOKUP($A140,MLacrosse!$C:$O,J$1-2011,FALSE),0)+IFERROR(VLOOKUP($A140,MSoccer!$C:$O,J$1-2011,FALSE),0)+IFERROR(VLOOKUP($A140,MVolleyball!$C:$O,J$1-2011,FALSE),0)+IFERROR(VLOOKUP($A140,WBasketball!$C:$O,J$1-2011,FALSE),0)+IFERROR(VLOOKUP($A140,WFieldHockey!$C:$O,J$1-2011,FALSE),0)+IFERROR(VLOOKUP($A140,WIceHockey!$C:$O,J$1-2011,FALSE),0)+IFERROR(VLOOKUP($A140,WLacrosse!$C:$O,J$1-2011,FALSE),0)+IFERROR(VLOOKUP($A140,WSoccer!$C:$O,J$1-2011,FALSE),0)+IFERROR(VLOOKUP($A140,WSoftball!$C:$O,J$1-2011,FALSE),0)+IFERROR(VLOOKUP($A140,WVolleyball!$C:$O,J$1-2011,FALSE),0)</f>
        <v>47646</v>
      </c>
      <c r="K140">
        <f>IFERROR(VLOOKUP($A140,MBaseball!$C:$N,K$1-2010,FALSE),0)+IFERROR(VLOOKUP($A140,MBasketball!$C:$J,K$1-2006,FALSE),0)+IFERROR(VLOOKUP($A140,MFootball!$C:$O,K$1-2011,FALSE),0)+IFERROR(VLOOKUP($A140,MIceHockey!$C:$P,K$1-2011,FALSE),0)+IFERROR(VLOOKUP($A140,MLacrosse!$C:$O,K$1-2011,FALSE),0)+IFERROR(VLOOKUP($A140,MSoccer!$C:$O,K$1-2011,FALSE),0)+IFERROR(VLOOKUP($A140,MVolleyball!$C:$O,K$1-2011,FALSE),0)+IFERROR(VLOOKUP($A140,WBasketball!$C:$O,K$1-2011,FALSE),0)+IFERROR(VLOOKUP($A140,WFieldHockey!$C:$O,K$1-2011,FALSE),0)+IFERROR(VLOOKUP($A140,WIceHockey!$C:$O,K$1-2011,FALSE),0)+IFERROR(VLOOKUP($A140,WLacrosse!$C:$O,K$1-2011,FALSE),0)+IFERROR(VLOOKUP($A140,WSoccer!$C:$O,K$1-2011,FALSE),0)+IFERROR(VLOOKUP($A140,WSoftball!$C:$O,K$1-2011,FALSE),0)+IFERROR(VLOOKUP($A140,WVolleyball!$C:$O,K$1-2011,FALSE),0)</f>
        <v>56578</v>
      </c>
      <c r="L140">
        <f>IFERROR(VLOOKUP($A140,MBaseball!$C:$N,L$1-2010,FALSE),0)+IFERROR(VLOOKUP($A140,MBasketball!$C:$J,L$1-2006,FALSE),0)+IFERROR(VLOOKUP($A140,MFootball!$C:$O,L$1-2011,FALSE),0)+IFERROR(VLOOKUP($A140,MIceHockey!$C:$P,L$1-2011,FALSE),0)+IFERROR(VLOOKUP($A140,MLacrosse!$C:$O,L$1-2011,FALSE),0)+IFERROR(VLOOKUP($A140,MSoccer!$C:$O,L$1-2011,FALSE),0)+IFERROR(VLOOKUP($A140,MVolleyball!$C:$O,L$1-2011,FALSE),0)+IFERROR(VLOOKUP($A140,WBasketball!$C:$O,L$1-2011,FALSE),0)+IFERROR(VLOOKUP($A140,WFieldHockey!$C:$O,L$1-2011,FALSE),0)+IFERROR(VLOOKUP($A140,WIceHockey!$C:$O,L$1-2011,FALSE),0)+IFERROR(VLOOKUP($A140,WLacrosse!$C:$O,L$1-2011,FALSE),0)+IFERROR(VLOOKUP($A140,WSoccer!$C:$O,L$1-2011,FALSE),0)+IFERROR(VLOOKUP($A140,WSoftball!$C:$O,L$1-2011,FALSE),0)+IFERROR(VLOOKUP($A140,WVolleyball!$C:$O,L$1-2011,FALSE),0)</f>
        <v>28347</v>
      </c>
      <c r="M140">
        <f>IFERROR(VLOOKUP($A140,MBaseball!$C:$N,M$1-2010,FALSE),0)+IFERROR(VLOOKUP($A140,MBasketball!$C:$J,M$1-2006,FALSE),0)+IFERROR(VLOOKUP($A140,MFootball!$C:$O,M$1-2011,FALSE),0)+IFERROR(VLOOKUP($A140,MIceHockey!$C:$P,M$1-2011,FALSE),0)+IFERROR(VLOOKUP($A140,MLacrosse!$C:$O,M$1-2011,FALSE),0)+IFERROR(VLOOKUP($A140,MSoccer!$C:$O,M$1-2011,FALSE),0)+IFERROR(VLOOKUP($A140,MVolleyball!$C:$O,M$1-2011,FALSE),0)+IFERROR(VLOOKUP($A140,WBasketball!$C:$O,M$1-2011,FALSE),0)+IFERROR(VLOOKUP($A140,WFieldHockey!$C:$O,M$1-2011,FALSE),0)+IFERROR(VLOOKUP($A140,WIceHockey!$C:$O,M$1-2011,FALSE),0)+IFERROR(VLOOKUP($A140,WLacrosse!$C:$O,M$1-2011,FALSE),0)+IFERROR(VLOOKUP($A140,WSoccer!$C:$O,M$1-2011,FALSE),0)+IFERROR(VLOOKUP($A140,WSoftball!$C:$O,M$1-2011,FALSE),0)+IFERROR(VLOOKUP($A140,WVolleyball!$C:$O,M$1-2011,FALSE),0)</f>
        <v>43247</v>
      </c>
      <c r="N140">
        <f>IFERROR(VLOOKUP($A140,MBaseball!$C:$N,N$1-2010,FALSE),0)+IFERROR(VLOOKUP($A140,MBasketball!$C:$J,N$1-2006,FALSE),0)+IFERROR(VLOOKUP($A140,MFootball!$C:$O,N$1-2011,FALSE),0)+IFERROR(VLOOKUP($A140,MIceHockey!$C:$P,N$1-2011,FALSE),0)+IFERROR(VLOOKUP($A140,MLacrosse!$C:$O,N$1-2011,FALSE),0)+IFERROR(VLOOKUP($A140,MSoccer!$C:$O,N$1-2011,FALSE),0)+IFERROR(VLOOKUP($A140,MVolleyball!$C:$O,N$1-2011,FALSE),0)+IFERROR(VLOOKUP($A140,WBasketball!$C:$O,N$1-2011,FALSE),0)+IFERROR(VLOOKUP($A140,WFieldHockey!$C:$O,N$1-2011,FALSE),0)+IFERROR(VLOOKUP($A140,WIceHockey!$C:$O,N$1-2011,FALSE),0)+IFERROR(VLOOKUP($A140,WLacrosse!$C:$O,N$1-2011,FALSE),0)+IFERROR(VLOOKUP($A140,WSoccer!$C:$O,N$1-2011,FALSE),0)+IFERROR(VLOOKUP($A140,WSoftball!$C:$O,N$1-2011,FALSE),0)+IFERROR(VLOOKUP($A140,WVolleyball!$C:$O,N$1-2011,FALSE),0)</f>
        <v>29746</v>
      </c>
    </row>
    <row r="141" spans="1:14" x14ac:dyDescent="0.2">
      <c r="A141">
        <v>160621</v>
      </c>
      <c r="B141">
        <v>12940</v>
      </c>
      <c r="C141" t="s">
        <v>205</v>
      </c>
      <c r="D141">
        <v>140</v>
      </c>
      <c r="E141">
        <f>IFERROR(VLOOKUP($A141,MBaseball!$C:$N,E$1-2010,FALSE),0)+IFERROR(VLOOKUP($A141,MBasketball!$C:$J,E$1-2006,FALSE),0)+IFERROR(VLOOKUP($A141,MFootball!$C:$O,E$1-2011,FALSE),0)+IFERROR(VLOOKUP($A141,MIceHockey!$C:$P,E$1-2011,FALSE),0)+IFERROR(VLOOKUP($A141,MLacrosse!$C:$O,E$1-2011,FALSE),0)+IFERROR(VLOOKUP($A141,MSoccer!$C:$O,E$1-2011,FALSE),0)+IFERROR(VLOOKUP($A141,MVolleyball!$C:$O,E$1-2011,FALSE),0)+IFERROR(VLOOKUP($A141,WBasketball!$C:$O,E$1-2011,FALSE),0)+IFERROR(VLOOKUP($A141,WFieldHockey!$C:$O,E$1-2011,FALSE),0)+IFERROR(VLOOKUP($A141,WIceHockey!$C:$O,E$1-2011,FALSE),0)+IFERROR(VLOOKUP($A141,WLacrosse!$C:$O,E$1-2011,FALSE),0)+IFERROR(VLOOKUP($A141,WSoccer!$C:$O,E$1-2011,FALSE),0)+IFERROR(VLOOKUP($A141,WSoftball!$C:$O,E$1-2011,FALSE),0)+IFERROR(VLOOKUP($A141,WVolleyball!$C:$O,E$1-2011,FALSE),0)</f>
        <v>30167</v>
      </c>
      <c r="F141">
        <f>IFERROR(VLOOKUP($A141,MBaseball!$C:$N,F$1-2010,FALSE),0)+IFERROR(VLOOKUP($A141,MBasketball!$C:$J,F$1-2006,FALSE),0)+IFERROR(VLOOKUP($A141,MFootball!$C:$O,F$1-2011,FALSE),0)+IFERROR(VLOOKUP($A141,MIceHockey!$C:$P,F$1-2011,FALSE),0)+IFERROR(VLOOKUP($A141,MLacrosse!$C:$O,F$1-2011,FALSE),0)+IFERROR(VLOOKUP($A141,MSoccer!$C:$O,F$1-2011,FALSE),0)+IFERROR(VLOOKUP($A141,MVolleyball!$C:$O,F$1-2011,FALSE),0)+IFERROR(VLOOKUP($A141,WBasketball!$C:$O,F$1-2011,FALSE),0)+IFERROR(VLOOKUP($A141,WFieldHockey!$C:$O,F$1-2011,FALSE),0)+IFERROR(VLOOKUP($A141,WIceHockey!$C:$O,F$1-2011,FALSE),0)+IFERROR(VLOOKUP($A141,WLacrosse!$C:$O,F$1-2011,FALSE),0)+IFERROR(VLOOKUP($A141,WSoccer!$C:$O,F$1-2011,FALSE),0)+IFERROR(VLOOKUP($A141,WSoftball!$C:$O,F$1-2011,FALSE),0)+IFERROR(VLOOKUP($A141,WVolleyball!$C:$O,F$1-2011,FALSE),0)</f>
        <v>103240</v>
      </c>
      <c r="G141">
        <f>IFERROR(VLOOKUP($A141,MBaseball!$C:$N,G$1-2010,FALSE),0)+IFERROR(VLOOKUP($A141,MBasketball!$C:$J,G$1-2006,FALSE),0)+IFERROR(VLOOKUP($A141,MFootball!$C:$O,G$1-2011,FALSE),0)+IFERROR(VLOOKUP($A141,MIceHockey!$C:$P,G$1-2011,FALSE),0)+IFERROR(VLOOKUP($A141,MLacrosse!$C:$O,G$1-2011,FALSE),0)+IFERROR(VLOOKUP($A141,MSoccer!$C:$O,G$1-2011,FALSE),0)+IFERROR(VLOOKUP($A141,MVolleyball!$C:$O,G$1-2011,FALSE),0)+IFERROR(VLOOKUP($A141,WBasketball!$C:$O,G$1-2011,FALSE),0)+IFERROR(VLOOKUP($A141,WFieldHockey!$C:$O,G$1-2011,FALSE),0)+IFERROR(VLOOKUP($A141,WIceHockey!$C:$O,G$1-2011,FALSE),0)+IFERROR(VLOOKUP($A141,WLacrosse!$C:$O,G$1-2011,FALSE),0)+IFERROR(VLOOKUP($A141,WSoccer!$C:$O,G$1-2011,FALSE),0)+IFERROR(VLOOKUP($A141,WSoftball!$C:$O,G$1-2011,FALSE),0)+IFERROR(VLOOKUP($A141,WVolleyball!$C:$O,G$1-2011,FALSE),0)</f>
        <v>87902</v>
      </c>
      <c r="H141">
        <f>IFERROR(VLOOKUP($A141,MBaseball!$C:$N,H$1-2010,FALSE),0)+IFERROR(VLOOKUP($A141,MBasketball!$C:$J,H$1-2006,FALSE),0)+IFERROR(VLOOKUP($A141,MFootball!$C:$O,H$1-2011,FALSE),0)+IFERROR(VLOOKUP($A141,MIceHockey!$C:$P,H$1-2011,FALSE),0)+IFERROR(VLOOKUP($A141,MLacrosse!$C:$O,H$1-2011,FALSE),0)+IFERROR(VLOOKUP($A141,MSoccer!$C:$O,H$1-2011,FALSE),0)+IFERROR(VLOOKUP($A141,MVolleyball!$C:$O,H$1-2011,FALSE),0)+IFERROR(VLOOKUP($A141,WBasketball!$C:$O,H$1-2011,FALSE),0)+IFERROR(VLOOKUP($A141,WFieldHockey!$C:$O,H$1-2011,FALSE),0)+IFERROR(VLOOKUP($A141,WIceHockey!$C:$O,H$1-2011,FALSE),0)+IFERROR(VLOOKUP($A141,WLacrosse!$C:$O,H$1-2011,FALSE),0)+IFERROR(VLOOKUP($A141,WSoccer!$C:$O,H$1-2011,FALSE),0)+IFERROR(VLOOKUP($A141,WSoftball!$C:$O,H$1-2011,FALSE),0)+IFERROR(VLOOKUP($A141,WVolleyball!$C:$O,H$1-2011,FALSE),0)</f>
        <v>65329</v>
      </c>
      <c r="I141">
        <f>IFERROR(VLOOKUP($A141,MBaseball!$C:$N,I$1-2010,FALSE),0)+IFERROR(VLOOKUP($A141,MBasketball!$C:$J,I$1-2006,FALSE),0)+IFERROR(VLOOKUP($A141,MFootball!$C:$O,I$1-2011,FALSE),0)+IFERROR(VLOOKUP($A141,MIceHockey!$C:$P,I$1-2011,FALSE),0)+IFERROR(VLOOKUP($A141,MLacrosse!$C:$O,I$1-2011,FALSE),0)+IFERROR(VLOOKUP($A141,MSoccer!$C:$O,I$1-2011,FALSE),0)+IFERROR(VLOOKUP($A141,MVolleyball!$C:$O,I$1-2011,FALSE),0)+IFERROR(VLOOKUP($A141,WBasketball!$C:$O,I$1-2011,FALSE),0)+IFERROR(VLOOKUP($A141,WFieldHockey!$C:$O,I$1-2011,FALSE),0)+IFERROR(VLOOKUP($A141,WIceHockey!$C:$O,I$1-2011,FALSE),0)+IFERROR(VLOOKUP($A141,WLacrosse!$C:$O,I$1-2011,FALSE),0)+IFERROR(VLOOKUP($A141,WSoccer!$C:$O,I$1-2011,FALSE),0)+IFERROR(VLOOKUP($A141,WSoftball!$C:$O,I$1-2011,FALSE),0)+IFERROR(VLOOKUP($A141,WVolleyball!$C:$O,I$1-2011,FALSE),0)</f>
        <v>72116</v>
      </c>
      <c r="J141">
        <f>IFERROR(VLOOKUP($A141,MBaseball!$C:$N,J$1-2010,FALSE),0)+IFERROR(VLOOKUP($A141,MBasketball!$C:$J,J$1-2006,FALSE),0)+IFERROR(VLOOKUP($A141,MFootball!$C:$O,J$1-2011,FALSE),0)+IFERROR(VLOOKUP($A141,MIceHockey!$C:$P,J$1-2011,FALSE),0)+IFERROR(VLOOKUP($A141,MLacrosse!$C:$O,J$1-2011,FALSE),0)+IFERROR(VLOOKUP($A141,MSoccer!$C:$O,J$1-2011,FALSE),0)+IFERROR(VLOOKUP($A141,MVolleyball!$C:$O,J$1-2011,FALSE),0)+IFERROR(VLOOKUP($A141,WBasketball!$C:$O,J$1-2011,FALSE),0)+IFERROR(VLOOKUP($A141,WFieldHockey!$C:$O,J$1-2011,FALSE),0)+IFERROR(VLOOKUP($A141,WIceHockey!$C:$O,J$1-2011,FALSE),0)+IFERROR(VLOOKUP($A141,WLacrosse!$C:$O,J$1-2011,FALSE),0)+IFERROR(VLOOKUP($A141,WSoccer!$C:$O,J$1-2011,FALSE),0)+IFERROR(VLOOKUP($A141,WSoftball!$C:$O,J$1-2011,FALSE),0)+IFERROR(VLOOKUP($A141,WVolleyball!$C:$O,J$1-2011,FALSE),0)</f>
        <v>92489</v>
      </c>
      <c r="K141">
        <f>IFERROR(VLOOKUP($A141,MBaseball!$C:$N,K$1-2010,FALSE),0)+IFERROR(VLOOKUP($A141,MBasketball!$C:$J,K$1-2006,FALSE),0)+IFERROR(VLOOKUP($A141,MFootball!$C:$O,K$1-2011,FALSE),0)+IFERROR(VLOOKUP($A141,MIceHockey!$C:$P,K$1-2011,FALSE),0)+IFERROR(VLOOKUP($A141,MLacrosse!$C:$O,K$1-2011,FALSE),0)+IFERROR(VLOOKUP($A141,MSoccer!$C:$O,K$1-2011,FALSE),0)+IFERROR(VLOOKUP($A141,MVolleyball!$C:$O,K$1-2011,FALSE),0)+IFERROR(VLOOKUP($A141,WBasketball!$C:$O,K$1-2011,FALSE),0)+IFERROR(VLOOKUP($A141,WFieldHockey!$C:$O,K$1-2011,FALSE),0)+IFERROR(VLOOKUP($A141,WIceHockey!$C:$O,K$1-2011,FALSE),0)+IFERROR(VLOOKUP($A141,WLacrosse!$C:$O,K$1-2011,FALSE),0)+IFERROR(VLOOKUP($A141,WSoccer!$C:$O,K$1-2011,FALSE),0)+IFERROR(VLOOKUP($A141,WSoftball!$C:$O,K$1-2011,FALSE),0)+IFERROR(VLOOKUP($A141,WVolleyball!$C:$O,K$1-2011,FALSE),0)</f>
        <v>99375</v>
      </c>
      <c r="L141">
        <f>IFERROR(VLOOKUP($A141,MBaseball!$C:$N,L$1-2010,FALSE),0)+IFERROR(VLOOKUP($A141,MBasketball!$C:$J,L$1-2006,FALSE),0)+IFERROR(VLOOKUP($A141,MFootball!$C:$O,L$1-2011,FALSE),0)+IFERROR(VLOOKUP($A141,MIceHockey!$C:$P,L$1-2011,FALSE),0)+IFERROR(VLOOKUP($A141,MLacrosse!$C:$O,L$1-2011,FALSE),0)+IFERROR(VLOOKUP($A141,MSoccer!$C:$O,L$1-2011,FALSE),0)+IFERROR(VLOOKUP($A141,MVolleyball!$C:$O,L$1-2011,FALSE),0)+IFERROR(VLOOKUP($A141,WBasketball!$C:$O,L$1-2011,FALSE),0)+IFERROR(VLOOKUP($A141,WFieldHockey!$C:$O,L$1-2011,FALSE),0)+IFERROR(VLOOKUP($A141,WIceHockey!$C:$O,L$1-2011,FALSE),0)+IFERROR(VLOOKUP($A141,WLacrosse!$C:$O,L$1-2011,FALSE),0)+IFERROR(VLOOKUP($A141,WSoccer!$C:$O,L$1-2011,FALSE),0)+IFERROR(VLOOKUP($A141,WSoftball!$C:$O,L$1-2011,FALSE),0)+IFERROR(VLOOKUP($A141,WVolleyball!$C:$O,L$1-2011,FALSE),0)</f>
        <v>24145</v>
      </c>
      <c r="M141">
        <f>IFERROR(VLOOKUP($A141,MBaseball!$C:$N,M$1-2010,FALSE),0)+IFERROR(VLOOKUP($A141,MBasketball!$C:$J,M$1-2006,FALSE),0)+IFERROR(VLOOKUP($A141,MFootball!$C:$O,M$1-2011,FALSE),0)+IFERROR(VLOOKUP($A141,MIceHockey!$C:$P,M$1-2011,FALSE),0)+IFERROR(VLOOKUP($A141,MLacrosse!$C:$O,M$1-2011,FALSE),0)+IFERROR(VLOOKUP($A141,MSoccer!$C:$O,M$1-2011,FALSE),0)+IFERROR(VLOOKUP($A141,MVolleyball!$C:$O,M$1-2011,FALSE),0)+IFERROR(VLOOKUP($A141,WBasketball!$C:$O,M$1-2011,FALSE),0)+IFERROR(VLOOKUP($A141,WFieldHockey!$C:$O,M$1-2011,FALSE),0)+IFERROR(VLOOKUP($A141,WIceHockey!$C:$O,M$1-2011,FALSE),0)+IFERROR(VLOOKUP($A141,WLacrosse!$C:$O,M$1-2011,FALSE),0)+IFERROR(VLOOKUP($A141,WSoccer!$C:$O,M$1-2011,FALSE),0)+IFERROR(VLOOKUP($A141,WSoftball!$C:$O,M$1-2011,FALSE),0)+IFERROR(VLOOKUP($A141,WVolleyball!$C:$O,M$1-2011,FALSE),0)</f>
        <v>146426</v>
      </c>
      <c r="N141">
        <f>IFERROR(VLOOKUP($A141,MBaseball!$C:$N,N$1-2010,FALSE),0)+IFERROR(VLOOKUP($A141,MBasketball!$C:$J,N$1-2006,FALSE),0)+IFERROR(VLOOKUP($A141,MFootball!$C:$O,N$1-2011,FALSE),0)+IFERROR(VLOOKUP($A141,MIceHockey!$C:$P,N$1-2011,FALSE),0)+IFERROR(VLOOKUP($A141,MLacrosse!$C:$O,N$1-2011,FALSE),0)+IFERROR(VLOOKUP($A141,MSoccer!$C:$O,N$1-2011,FALSE),0)+IFERROR(VLOOKUP($A141,MVolleyball!$C:$O,N$1-2011,FALSE),0)+IFERROR(VLOOKUP($A141,WBasketball!$C:$O,N$1-2011,FALSE),0)+IFERROR(VLOOKUP($A141,WFieldHockey!$C:$O,N$1-2011,FALSE),0)+IFERROR(VLOOKUP($A141,WIceHockey!$C:$O,N$1-2011,FALSE),0)+IFERROR(VLOOKUP($A141,WLacrosse!$C:$O,N$1-2011,FALSE),0)+IFERROR(VLOOKUP($A141,WSoccer!$C:$O,N$1-2011,FALSE),0)+IFERROR(VLOOKUP($A141,WSoftball!$C:$O,N$1-2011,FALSE),0)+IFERROR(VLOOKUP($A141,WVolleyball!$C:$O,N$1-2011,FALSE),0)</f>
        <v>131273</v>
      </c>
    </row>
    <row r="142" spans="1:14" x14ac:dyDescent="0.2">
      <c r="A142">
        <v>149222</v>
      </c>
      <c r="B142">
        <v>16060</v>
      </c>
      <c r="C142" t="s">
        <v>206</v>
      </c>
      <c r="D142">
        <v>141</v>
      </c>
      <c r="E142">
        <f>IFERROR(VLOOKUP($A142,MBaseball!$C:$N,E$1-2010,FALSE),0)+IFERROR(VLOOKUP($A142,MBasketball!$C:$J,E$1-2006,FALSE),0)+IFERROR(VLOOKUP($A142,MFootball!$C:$O,E$1-2011,FALSE),0)+IFERROR(VLOOKUP($A142,MIceHockey!$C:$P,E$1-2011,FALSE),0)+IFERROR(VLOOKUP($A142,MLacrosse!$C:$O,E$1-2011,FALSE),0)+IFERROR(VLOOKUP($A142,MSoccer!$C:$O,E$1-2011,FALSE),0)+IFERROR(VLOOKUP($A142,MVolleyball!$C:$O,E$1-2011,FALSE),0)+IFERROR(VLOOKUP($A142,WBasketball!$C:$O,E$1-2011,FALSE),0)+IFERROR(VLOOKUP($A142,WFieldHockey!$C:$O,E$1-2011,FALSE),0)+IFERROR(VLOOKUP($A142,WIceHockey!$C:$O,E$1-2011,FALSE),0)+IFERROR(VLOOKUP($A142,WLacrosse!$C:$O,E$1-2011,FALSE),0)+IFERROR(VLOOKUP($A142,WSoccer!$C:$O,E$1-2011,FALSE),0)+IFERROR(VLOOKUP($A142,WSoftball!$C:$O,E$1-2011,FALSE),0)+IFERROR(VLOOKUP($A142,WVolleyball!$C:$O,E$1-2011,FALSE),0)</f>
        <v>87411</v>
      </c>
      <c r="F142">
        <f>IFERROR(VLOOKUP($A142,MBaseball!$C:$N,F$1-2010,FALSE),0)+IFERROR(VLOOKUP($A142,MBasketball!$C:$J,F$1-2006,FALSE),0)+IFERROR(VLOOKUP($A142,MFootball!$C:$O,F$1-2011,FALSE),0)+IFERROR(VLOOKUP($A142,MIceHockey!$C:$P,F$1-2011,FALSE),0)+IFERROR(VLOOKUP($A142,MLacrosse!$C:$O,F$1-2011,FALSE),0)+IFERROR(VLOOKUP($A142,MSoccer!$C:$O,F$1-2011,FALSE),0)+IFERROR(VLOOKUP($A142,MVolleyball!$C:$O,F$1-2011,FALSE),0)+IFERROR(VLOOKUP($A142,WBasketball!$C:$O,F$1-2011,FALSE),0)+IFERROR(VLOOKUP($A142,WFieldHockey!$C:$O,F$1-2011,FALSE),0)+IFERROR(VLOOKUP($A142,WIceHockey!$C:$O,F$1-2011,FALSE),0)+IFERROR(VLOOKUP($A142,WLacrosse!$C:$O,F$1-2011,FALSE),0)+IFERROR(VLOOKUP($A142,WSoccer!$C:$O,F$1-2011,FALSE),0)+IFERROR(VLOOKUP($A142,WSoftball!$C:$O,F$1-2011,FALSE),0)+IFERROR(VLOOKUP($A142,WVolleyball!$C:$O,F$1-2011,FALSE),0)</f>
        <v>80246</v>
      </c>
      <c r="G142">
        <f>IFERROR(VLOOKUP($A142,MBaseball!$C:$N,G$1-2010,FALSE),0)+IFERROR(VLOOKUP($A142,MBasketball!$C:$J,G$1-2006,FALSE),0)+IFERROR(VLOOKUP($A142,MFootball!$C:$O,G$1-2011,FALSE),0)+IFERROR(VLOOKUP($A142,MIceHockey!$C:$P,G$1-2011,FALSE),0)+IFERROR(VLOOKUP($A142,MLacrosse!$C:$O,G$1-2011,FALSE),0)+IFERROR(VLOOKUP($A142,MSoccer!$C:$O,G$1-2011,FALSE),0)+IFERROR(VLOOKUP($A142,MVolleyball!$C:$O,G$1-2011,FALSE),0)+IFERROR(VLOOKUP($A142,WBasketball!$C:$O,G$1-2011,FALSE),0)+IFERROR(VLOOKUP($A142,WFieldHockey!$C:$O,G$1-2011,FALSE),0)+IFERROR(VLOOKUP($A142,WIceHockey!$C:$O,G$1-2011,FALSE),0)+IFERROR(VLOOKUP($A142,WLacrosse!$C:$O,G$1-2011,FALSE),0)+IFERROR(VLOOKUP($A142,WSoccer!$C:$O,G$1-2011,FALSE),0)+IFERROR(VLOOKUP($A142,WSoftball!$C:$O,G$1-2011,FALSE),0)+IFERROR(VLOOKUP($A142,WVolleyball!$C:$O,G$1-2011,FALSE),0)</f>
        <v>68237</v>
      </c>
      <c r="H142">
        <f>IFERROR(VLOOKUP($A142,MBaseball!$C:$N,H$1-2010,FALSE),0)+IFERROR(VLOOKUP($A142,MBasketball!$C:$J,H$1-2006,FALSE),0)+IFERROR(VLOOKUP($A142,MFootball!$C:$O,H$1-2011,FALSE),0)+IFERROR(VLOOKUP($A142,MIceHockey!$C:$P,H$1-2011,FALSE),0)+IFERROR(VLOOKUP($A142,MLacrosse!$C:$O,H$1-2011,FALSE),0)+IFERROR(VLOOKUP($A142,MSoccer!$C:$O,H$1-2011,FALSE),0)+IFERROR(VLOOKUP($A142,MVolleyball!$C:$O,H$1-2011,FALSE),0)+IFERROR(VLOOKUP($A142,WBasketball!$C:$O,H$1-2011,FALSE),0)+IFERROR(VLOOKUP($A142,WFieldHockey!$C:$O,H$1-2011,FALSE),0)+IFERROR(VLOOKUP($A142,WIceHockey!$C:$O,H$1-2011,FALSE),0)+IFERROR(VLOOKUP($A142,WLacrosse!$C:$O,H$1-2011,FALSE),0)+IFERROR(VLOOKUP($A142,WSoccer!$C:$O,H$1-2011,FALSE),0)+IFERROR(VLOOKUP($A142,WSoftball!$C:$O,H$1-2011,FALSE),0)+IFERROR(VLOOKUP($A142,WVolleyball!$C:$O,H$1-2011,FALSE),0)</f>
        <v>74482</v>
      </c>
      <c r="I142">
        <f>IFERROR(VLOOKUP($A142,MBaseball!$C:$N,I$1-2010,FALSE),0)+IFERROR(VLOOKUP($A142,MBasketball!$C:$J,I$1-2006,FALSE),0)+IFERROR(VLOOKUP($A142,MFootball!$C:$O,I$1-2011,FALSE),0)+IFERROR(VLOOKUP($A142,MIceHockey!$C:$P,I$1-2011,FALSE),0)+IFERROR(VLOOKUP($A142,MLacrosse!$C:$O,I$1-2011,FALSE),0)+IFERROR(VLOOKUP($A142,MSoccer!$C:$O,I$1-2011,FALSE),0)+IFERROR(VLOOKUP($A142,MVolleyball!$C:$O,I$1-2011,FALSE),0)+IFERROR(VLOOKUP($A142,WBasketball!$C:$O,I$1-2011,FALSE),0)+IFERROR(VLOOKUP($A142,WFieldHockey!$C:$O,I$1-2011,FALSE),0)+IFERROR(VLOOKUP($A142,WIceHockey!$C:$O,I$1-2011,FALSE),0)+IFERROR(VLOOKUP($A142,WLacrosse!$C:$O,I$1-2011,FALSE),0)+IFERROR(VLOOKUP($A142,WSoccer!$C:$O,I$1-2011,FALSE),0)+IFERROR(VLOOKUP($A142,WSoftball!$C:$O,I$1-2011,FALSE),0)+IFERROR(VLOOKUP($A142,WVolleyball!$C:$O,I$1-2011,FALSE),0)</f>
        <v>61163</v>
      </c>
      <c r="J142">
        <f>IFERROR(VLOOKUP($A142,MBaseball!$C:$N,J$1-2010,FALSE),0)+IFERROR(VLOOKUP($A142,MBasketball!$C:$J,J$1-2006,FALSE),0)+IFERROR(VLOOKUP($A142,MFootball!$C:$O,J$1-2011,FALSE),0)+IFERROR(VLOOKUP($A142,MIceHockey!$C:$P,J$1-2011,FALSE),0)+IFERROR(VLOOKUP($A142,MLacrosse!$C:$O,J$1-2011,FALSE),0)+IFERROR(VLOOKUP($A142,MSoccer!$C:$O,J$1-2011,FALSE),0)+IFERROR(VLOOKUP($A142,MVolleyball!$C:$O,J$1-2011,FALSE),0)+IFERROR(VLOOKUP($A142,WBasketball!$C:$O,J$1-2011,FALSE),0)+IFERROR(VLOOKUP($A142,WFieldHockey!$C:$O,J$1-2011,FALSE),0)+IFERROR(VLOOKUP($A142,WIceHockey!$C:$O,J$1-2011,FALSE),0)+IFERROR(VLOOKUP($A142,WLacrosse!$C:$O,J$1-2011,FALSE),0)+IFERROR(VLOOKUP($A142,WSoccer!$C:$O,J$1-2011,FALSE),0)+IFERROR(VLOOKUP($A142,WSoftball!$C:$O,J$1-2011,FALSE),0)+IFERROR(VLOOKUP($A142,WVolleyball!$C:$O,J$1-2011,FALSE),0)</f>
        <v>50900</v>
      </c>
      <c r="K142">
        <f>IFERROR(VLOOKUP($A142,MBaseball!$C:$N,K$1-2010,FALSE),0)+IFERROR(VLOOKUP($A142,MBasketball!$C:$J,K$1-2006,FALSE),0)+IFERROR(VLOOKUP($A142,MFootball!$C:$O,K$1-2011,FALSE),0)+IFERROR(VLOOKUP($A142,MIceHockey!$C:$P,K$1-2011,FALSE),0)+IFERROR(VLOOKUP($A142,MLacrosse!$C:$O,K$1-2011,FALSE),0)+IFERROR(VLOOKUP($A142,MSoccer!$C:$O,K$1-2011,FALSE),0)+IFERROR(VLOOKUP($A142,MVolleyball!$C:$O,K$1-2011,FALSE),0)+IFERROR(VLOOKUP($A142,WBasketball!$C:$O,K$1-2011,FALSE),0)+IFERROR(VLOOKUP($A142,WFieldHockey!$C:$O,K$1-2011,FALSE),0)+IFERROR(VLOOKUP($A142,WIceHockey!$C:$O,K$1-2011,FALSE),0)+IFERROR(VLOOKUP($A142,WLacrosse!$C:$O,K$1-2011,FALSE),0)+IFERROR(VLOOKUP($A142,WSoccer!$C:$O,K$1-2011,FALSE),0)+IFERROR(VLOOKUP($A142,WSoftball!$C:$O,K$1-2011,FALSE),0)+IFERROR(VLOOKUP($A142,WVolleyball!$C:$O,K$1-2011,FALSE),0)</f>
        <v>49763</v>
      </c>
      <c r="L142">
        <f>IFERROR(VLOOKUP($A142,MBaseball!$C:$N,L$1-2010,FALSE),0)+IFERROR(VLOOKUP($A142,MBasketball!$C:$J,L$1-2006,FALSE),0)+IFERROR(VLOOKUP($A142,MFootball!$C:$O,L$1-2011,FALSE),0)+IFERROR(VLOOKUP($A142,MIceHockey!$C:$P,L$1-2011,FALSE),0)+IFERROR(VLOOKUP($A142,MLacrosse!$C:$O,L$1-2011,FALSE),0)+IFERROR(VLOOKUP($A142,MSoccer!$C:$O,L$1-2011,FALSE),0)+IFERROR(VLOOKUP($A142,MVolleyball!$C:$O,L$1-2011,FALSE),0)+IFERROR(VLOOKUP($A142,WBasketball!$C:$O,L$1-2011,FALSE),0)+IFERROR(VLOOKUP($A142,WFieldHockey!$C:$O,L$1-2011,FALSE),0)+IFERROR(VLOOKUP($A142,WIceHockey!$C:$O,L$1-2011,FALSE),0)+IFERROR(VLOOKUP($A142,WLacrosse!$C:$O,L$1-2011,FALSE),0)+IFERROR(VLOOKUP($A142,WSoccer!$C:$O,L$1-2011,FALSE),0)+IFERROR(VLOOKUP($A142,WSoftball!$C:$O,L$1-2011,FALSE),0)+IFERROR(VLOOKUP($A142,WVolleyball!$C:$O,L$1-2011,FALSE),0)</f>
        <v>20261</v>
      </c>
      <c r="M142">
        <f>IFERROR(VLOOKUP($A142,MBaseball!$C:$N,M$1-2010,FALSE),0)+IFERROR(VLOOKUP($A142,MBasketball!$C:$J,M$1-2006,FALSE),0)+IFERROR(VLOOKUP($A142,MFootball!$C:$O,M$1-2011,FALSE),0)+IFERROR(VLOOKUP($A142,MIceHockey!$C:$P,M$1-2011,FALSE),0)+IFERROR(VLOOKUP($A142,MLacrosse!$C:$O,M$1-2011,FALSE),0)+IFERROR(VLOOKUP($A142,MSoccer!$C:$O,M$1-2011,FALSE),0)+IFERROR(VLOOKUP($A142,MVolleyball!$C:$O,M$1-2011,FALSE),0)+IFERROR(VLOOKUP($A142,WBasketball!$C:$O,M$1-2011,FALSE),0)+IFERROR(VLOOKUP($A142,WFieldHockey!$C:$O,M$1-2011,FALSE),0)+IFERROR(VLOOKUP($A142,WIceHockey!$C:$O,M$1-2011,FALSE),0)+IFERROR(VLOOKUP($A142,WLacrosse!$C:$O,M$1-2011,FALSE),0)+IFERROR(VLOOKUP($A142,WSoccer!$C:$O,M$1-2011,FALSE),0)+IFERROR(VLOOKUP($A142,WSoftball!$C:$O,M$1-2011,FALSE),0)+IFERROR(VLOOKUP($A142,WVolleyball!$C:$O,M$1-2011,FALSE),0)</f>
        <v>58947</v>
      </c>
      <c r="N142">
        <f>IFERROR(VLOOKUP($A142,MBaseball!$C:$N,N$1-2010,FALSE),0)+IFERROR(VLOOKUP($A142,MBasketball!$C:$J,N$1-2006,FALSE),0)+IFERROR(VLOOKUP($A142,MFootball!$C:$O,N$1-2011,FALSE),0)+IFERROR(VLOOKUP($A142,MIceHockey!$C:$P,N$1-2011,FALSE),0)+IFERROR(VLOOKUP($A142,MLacrosse!$C:$O,N$1-2011,FALSE),0)+IFERROR(VLOOKUP($A142,MSoccer!$C:$O,N$1-2011,FALSE),0)+IFERROR(VLOOKUP($A142,MVolleyball!$C:$O,N$1-2011,FALSE),0)+IFERROR(VLOOKUP($A142,WBasketball!$C:$O,N$1-2011,FALSE),0)+IFERROR(VLOOKUP($A142,WFieldHockey!$C:$O,N$1-2011,FALSE),0)+IFERROR(VLOOKUP($A142,WIceHockey!$C:$O,N$1-2011,FALSE),0)+IFERROR(VLOOKUP($A142,WLacrosse!$C:$O,N$1-2011,FALSE),0)+IFERROR(VLOOKUP($A142,WSoccer!$C:$O,N$1-2011,FALSE),0)+IFERROR(VLOOKUP($A142,WSoftball!$C:$O,N$1-2011,FALSE),0)+IFERROR(VLOOKUP($A142,WVolleyball!$C:$O,N$1-2011,FALSE),0)</f>
        <v>58003</v>
      </c>
    </row>
    <row r="143" spans="1:14" x14ac:dyDescent="0.2">
      <c r="A143">
        <v>149231</v>
      </c>
      <c r="B143">
        <v>41180</v>
      </c>
      <c r="C143" t="s">
        <v>207</v>
      </c>
      <c r="D143">
        <v>142</v>
      </c>
      <c r="E143">
        <f>IFERROR(VLOOKUP($A143,MBaseball!$C:$N,E$1-2010,FALSE),0)+IFERROR(VLOOKUP($A143,MBasketball!$C:$J,E$1-2006,FALSE),0)+IFERROR(VLOOKUP($A143,MFootball!$C:$O,E$1-2011,FALSE),0)+IFERROR(VLOOKUP($A143,MIceHockey!$C:$P,E$1-2011,FALSE),0)+IFERROR(VLOOKUP($A143,MLacrosse!$C:$O,E$1-2011,FALSE),0)+IFERROR(VLOOKUP($A143,MSoccer!$C:$O,E$1-2011,FALSE),0)+IFERROR(VLOOKUP($A143,MVolleyball!$C:$O,E$1-2011,FALSE),0)+IFERROR(VLOOKUP($A143,WBasketball!$C:$O,E$1-2011,FALSE),0)+IFERROR(VLOOKUP($A143,WFieldHockey!$C:$O,E$1-2011,FALSE),0)+IFERROR(VLOOKUP($A143,WIceHockey!$C:$O,E$1-2011,FALSE),0)+IFERROR(VLOOKUP($A143,WLacrosse!$C:$O,E$1-2011,FALSE),0)+IFERROR(VLOOKUP($A143,WSoccer!$C:$O,E$1-2011,FALSE),0)+IFERROR(VLOOKUP($A143,WSoftball!$C:$O,E$1-2011,FALSE),0)+IFERROR(VLOOKUP($A143,WVolleyball!$C:$O,E$1-2011,FALSE),0)</f>
        <v>47861</v>
      </c>
      <c r="F143">
        <f>IFERROR(VLOOKUP($A143,MBaseball!$C:$N,F$1-2010,FALSE),0)+IFERROR(VLOOKUP($A143,MBasketball!$C:$J,F$1-2006,FALSE),0)+IFERROR(VLOOKUP($A143,MFootball!$C:$O,F$1-2011,FALSE),0)+IFERROR(VLOOKUP($A143,MIceHockey!$C:$P,F$1-2011,FALSE),0)+IFERROR(VLOOKUP($A143,MLacrosse!$C:$O,F$1-2011,FALSE),0)+IFERROR(VLOOKUP($A143,MSoccer!$C:$O,F$1-2011,FALSE),0)+IFERROR(VLOOKUP($A143,MVolleyball!$C:$O,F$1-2011,FALSE),0)+IFERROR(VLOOKUP($A143,WBasketball!$C:$O,F$1-2011,FALSE),0)+IFERROR(VLOOKUP($A143,WFieldHockey!$C:$O,F$1-2011,FALSE),0)+IFERROR(VLOOKUP($A143,WIceHockey!$C:$O,F$1-2011,FALSE),0)+IFERROR(VLOOKUP($A143,WLacrosse!$C:$O,F$1-2011,FALSE),0)+IFERROR(VLOOKUP($A143,WSoccer!$C:$O,F$1-2011,FALSE),0)+IFERROR(VLOOKUP($A143,WSoftball!$C:$O,F$1-2011,FALSE),0)+IFERROR(VLOOKUP($A143,WVolleyball!$C:$O,F$1-2011,FALSE),0)</f>
        <v>31021</v>
      </c>
      <c r="G143">
        <f>IFERROR(VLOOKUP($A143,MBaseball!$C:$N,G$1-2010,FALSE),0)+IFERROR(VLOOKUP($A143,MBasketball!$C:$J,G$1-2006,FALSE),0)+IFERROR(VLOOKUP($A143,MFootball!$C:$O,G$1-2011,FALSE),0)+IFERROR(VLOOKUP($A143,MIceHockey!$C:$P,G$1-2011,FALSE),0)+IFERROR(VLOOKUP($A143,MLacrosse!$C:$O,G$1-2011,FALSE),0)+IFERROR(VLOOKUP($A143,MSoccer!$C:$O,G$1-2011,FALSE),0)+IFERROR(VLOOKUP($A143,MVolleyball!$C:$O,G$1-2011,FALSE),0)+IFERROR(VLOOKUP($A143,WBasketball!$C:$O,G$1-2011,FALSE),0)+IFERROR(VLOOKUP($A143,WFieldHockey!$C:$O,G$1-2011,FALSE),0)+IFERROR(VLOOKUP($A143,WIceHockey!$C:$O,G$1-2011,FALSE),0)+IFERROR(VLOOKUP($A143,WLacrosse!$C:$O,G$1-2011,FALSE),0)+IFERROR(VLOOKUP($A143,WSoccer!$C:$O,G$1-2011,FALSE),0)+IFERROR(VLOOKUP($A143,WSoftball!$C:$O,G$1-2011,FALSE),0)+IFERROR(VLOOKUP($A143,WVolleyball!$C:$O,G$1-2011,FALSE),0)</f>
        <v>36069</v>
      </c>
      <c r="H143">
        <f>IFERROR(VLOOKUP($A143,MBaseball!$C:$N,H$1-2010,FALSE),0)+IFERROR(VLOOKUP($A143,MBasketball!$C:$J,H$1-2006,FALSE),0)+IFERROR(VLOOKUP($A143,MFootball!$C:$O,H$1-2011,FALSE),0)+IFERROR(VLOOKUP($A143,MIceHockey!$C:$P,H$1-2011,FALSE),0)+IFERROR(VLOOKUP($A143,MLacrosse!$C:$O,H$1-2011,FALSE),0)+IFERROR(VLOOKUP($A143,MSoccer!$C:$O,H$1-2011,FALSE),0)+IFERROR(VLOOKUP($A143,MVolleyball!$C:$O,H$1-2011,FALSE),0)+IFERROR(VLOOKUP($A143,WBasketball!$C:$O,H$1-2011,FALSE),0)+IFERROR(VLOOKUP($A143,WFieldHockey!$C:$O,H$1-2011,FALSE),0)+IFERROR(VLOOKUP($A143,WIceHockey!$C:$O,H$1-2011,FALSE),0)+IFERROR(VLOOKUP($A143,WLacrosse!$C:$O,H$1-2011,FALSE),0)+IFERROR(VLOOKUP($A143,WSoccer!$C:$O,H$1-2011,FALSE),0)+IFERROR(VLOOKUP($A143,WSoftball!$C:$O,H$1-2011,FALSE),0)+IFERROR(VLOOKUP($A143,WVolleyball!$C:$O,H$1-2011,FALSE),0)</f>
        <v>31025</v>
      </c>
      <c r="I143">
        <f>IFERROR(VLOOKUP($A143,MBaseball!$C:$N,I$1-2010,FALSE),0)+IFERROR(VLOOKUP($A143,MBasketball!$C:$J,I$1-2006,FALSE),0)+IFERROR(VLOOKUP($A143,MFootball!$C:$O,I$1-2011,FALSE),0)+IFERROR(VLOOKUP($A143,MIceHockey!$C:$P,I$1-2011,FALSE),0)+IFERROR(VLOOKUP($A143,MLacrosse!$C:$O,I$1-2011,FALSE),0)+IFERROR(VLOOKUP($A143,MSoccer!$C:$O,I$1-2011,FALSE),0)+IFERROR(VLOOKUP($A143,MVolleyball!$C:$O,I$1-2011,FALSE),0)+IFERROR(VLOOKUP($A143,WBasketball!$C:$O,I$1-2011,FALSE),0)+IFERROR(VLOOKUP($A143,WFieldHockey!$C:$O,I$1-2011,FALSE),0)+IFERROR(VLOOKUP($A143,WIceHockey!$C:$O,I$1-2011,FALSE),0)+IFERROR(VLOOKUP($A143,WLacrosse!$C:$O,I$1-2011,FALSE),0)+IFERROR(VLOOKUP($A143,WSoccer!$C:$O,I$1-2011,FALSE),0)+IFERROR(VLOOKUP($A143,WSoftball!$C:$O,I$1-2011,FALSE),0)+IFERROR(VLOOKUP($A143,WVolleyball!$C:$O,I$1-2011,FALSE),0)</f>
        <v>32037</v>
      </c>
      <c r="J143">
        <f>IFERROR(VLOOKUP($A143,MBaseball!$C:$N,J$1-2010,FALSE),0)+IFERROR(VLOOKUP($A143,MBasketball!$C:$J,J$1-2006,FALSE),0)+IFERROR(VLOOKUP($A143,MFootball!$C:$O,J$1-2011,FALSE),0)+IFERROR(VLOOKUP($A143,MIceHockey!$C:$P,J$1-2011,FALSE),0)+IFERROR(VLOOKUP($A143,MLacrosse!$C:$O,J$1-2011,FALSE),0)+IFERROR(VLOOKUP($A143,MSoccer!$C:$O,J$1-2011,FALSE),0)+IFERROR(VLOOKUP($A143,MVolleyball!$C:$O,J$1-2011,FALSE),0)+IFERROR(VLOOKUP($A143,WBasketball!$C:$O,J$1-2011,FALSE),0)+IFERROR(VLOOKUP($A143,WFieldHockey!$C:$O,J$1-2011,FALSE),0)+IFERROR(VLOOKUP($A143,WIceHockey!$C:$O,J$1-2011,FALSE),0)+IFERROR(VLOOKUP($A143,WLacrosse!$C:$O,J$1-2011,FALSE),0)+IFERROR(VLOOKUP($A143,WSoccer!$C:$O,J$1-2011,FALSE),0)+IFERROR(VLOOKUP($A143,WSoftball!$C:$O,J$1-2011,FALSE),0)+IFERROR(VLOOKUP($A143,WVolleyball!$C:$O,J$1-2011,FALSE),0)</f>
        <v>24238</v>
      </c>
      <c r="K143">
        <f>IFERROR(VLOOKUP($A143,MBaseball!$C:$N,K$1-2010,FALSE),0)+IFERROR(VLOOKUP($A143,MBasketball!$C:$J,K$1-2006,FALSE),0)+IFERROR(VLOOKUP($A143,MFootball!$C:$O,K$1-2011,FALSE),0)+IFERROR(VLOOKUP($A143,MIceHockey!$C:$P,K$1-2011,FALSE),0)+IFERROR(VLOOKUP($A143,MLacrosse!$C:$O,K$1-2011,FALSE),0)+IFERROR(VLOOKUP($A143,MSoccer!$C:$O,K$1-2011,FALSE),0)+IFERROR(VLOOKUP($A143,MVolleyball!$C:$O,K$1-2011,FALSE),0)+IFERROR(VLOOKUP($A143,WBasketball!$C:$O,K$1-2011,FALSE),0)+IFERROR(VLOOKUP($A143,WFieldHockey!$C:$O,K$1-2011,FALSE),0)+IFERROR(VLOOKUP($A143,WIceHockey!$C:$O,K$1-2011,FALSE),0)+IFERROR(VLOOKUP($A143,WLacrosse!$C:$O,K$1-2011,FALSE),0)+IFERROR(VLOOKUP($A143,WSoccer!$C:$O,K$1-2011,FALSE),0)+IFERROR(VLOOKUP($A143,WSoftball!$C:$O,K$1-2011,FALSE),0)+IFERROR(VLOOKUP($A143,WVolleyball!$C:$O,K$1-2011,FALSE),0)</f>
        <v>18960</v>
      </c>
      <c r="L143">
        <f>IFERROR(VLOOKUP($A143,MBaseball!$C:$N,L$1-2010,FALSE),0)+IFERROR(VLOOKUP($A143,MBasketball!$C:$J,L$1-2006,FALSE),0)+IFERROR(VLOOKUP($A143,MFootball!$C:$O,L$1-2011,FALSE),0)+IFERROR(VLOOKUP($A143,MIceHockey!$C:$P,L$1-2011,FALSE),0)+IFERROR(VLOOKUP($A143,MLacrosse!$C:$O,L$1-2011,FALSE),0)+IFERROR(VLOOKUP($A143,MSoccer!$C:$O,L$1-2011,FALSE),0)+IFERROR(VLOOKUP($A143,MVolleyball!$C:$O,L$1-2011,FALSE),0)+IFERROR(VLOOKUP($A143,WBasketball!$C:$O,L$1-2011,FALSE),0)+IFERROR(VLOOKUP($A143,WFieldHockey!$C:$O,L$1-2011,FALSE),0)+IFERROR(VLOOKUP($A143,WIceHockey!$C:$O,L$1-2011,FALSE),0)+IFERROR(VLOOKUP($A143,WLacrosse!$C:$O,L$1-2011,FALSE),0)+IFERROR(VLOOKUP($A143,WSoccer!$C:$O,L$1-2011,FALSE),0)+IFERROR(VLOOKUP($A143,WSoftball!$C:$O,L$1-2011,FALSE),0)+IFERROR(VLOOKUP($A143,WVolleyball!$C:$O,L$1-2011,FALSE),0)</f>
        <v>6181</v>
      </c>
      <c r="M143">
        <f>IFERROR(VLOOKUP($A143,MBaseball!$C:$N,M$1-2010,FALSE),0)+IFERROR(VLOOKUP($A143,MBasketball!$C:$J,M$1-2006,FALSE),0)+IFERROR(VLOOKUP($A143,MFootball!$C:$O,M$1-2011,FALSE),0)+IFERROR(VLOOKUP($A143,MIceHockey!$C:$P,M$1-2011,FALSE),0)+IFERROR(VLOOKUP($A143,MLacrosse!$C:$O,M$1-2011,FALSE),0)+IFERROR(VLOOKUP($A143,MSoccer!$C:$O,M$1-2011,FALSE),0)+IFERROR(VLOOKUP($A143,MVolleyball!$C:$O,M$1-2011,FALSE),0)+IFERROR(VLOOKUP($A143,WBasketball!$C:$O,M$1-2011,FALSE),0)+IFERROR(VLOOKUP($A143,WFieldHockey!$C:$O,M$1-2011,FALSE),0)+IFERROR(VLOOKUP($A143,WIceHockey!$C:$O,M$1-2011,FALSE),0)+IFERROR(VLOOKUP($A143,WLacrosse!$C:$O,M$1-2011,FALSE),0)+IFERROR(VLOOKUP($A143,WSoccer!$C:$O,M$1-2011,FALSE),0)+IFERROR(VLOOKUP($A143,WSoftball!$C:$O,M$1-2011,FALSE),0)+IFERROR(VLOOKUP($A143,WVolleyball!$C:$O,M$1-2011,FALSE),0)</f>
        <v>16430</v>
      </c>
      <c r="N143">
        <f>IFERROR(VLOOKUP($A143,MBaseball!$C:$N,N$1-2010,FALSE),0)+IFERROR(VLOOKUP($A143,MBasketball!$C:$J,N$1-2006,FALSE),0)+IFERROR(VLOOKUP($A143,MFootball!$C:$O,N$1-2011,FALSE),0)+IFERROR(VLOOKUP($A143,MIceHockey!$C:$P,N$1-2011,FALSE),0)+IFERROR(VLOOKUP($A143,MLacrosse!$C:$O,N$1-2011,FALSE),0)+IFERROR(VLOOKUP($A143,MSoccer!$C:$O,N$1-2011,FALSE),0)+IFERROR(VLOOKUP($A143,MVolleyball!$C:$O,N$1-2011,FALSE),0)+IFERROR(VLOOKUP($A143,WBasketball!$C:$O,N$1-2011,FALSE),0)+IFERROR(VLOOKUP($A143,WFieldHockey!$C:$O,N$1-2011,FALSE),0)+IFERROR(VLOOKUP($A143,WIceHockey!$C:$O,N$1-2011,FALSE),0)+IFERROR(VLOOKUP($A143,WLacrosse!$C:$O,N$1-2011,FALSE),0)+IFERROR(VLOOKUP($A143,WSoccer!$C:$O,N$1-2011,FALSE),0)+IFERROR(VLOOKUP($A143,WSoftball!$C:$O,N$1-2011,FALSE),0)+IFERROR(VLOOKUP($A143,WVolleyball!$C:$O,N$1-2011,FALSE),0)</f>
        <v>18931</v>
      </c>
    </row>
    <row r="144" spans="1:14" x14ac:dyDescent="0.2">
      <c r="A144">
        <v>176372</v>
      </c>
      <c r="B144">
        <v>25620</v>
      </c>
      <c r="C144" t="s">
        <v>208</v>
      </c>
      <c r="D144">
        <v>143</v>
      </c>
      <c r="E144">
        <f>IFERROR(VLOOKUP($A144,MBaseball!$C:$N,E$1-2010,FALSE),0)+IFERROR(VLOOKUP($A144,MBasketball!$C:$J,E$1-2006,FALSE),0)+IFERROR(VLOOKUP($A144,MFootball!$C:$O,E$1-2011,FALSE),0)+IFERROR(VLOOKUP($A144,MIceHockey!$C:$P,E$1-2011,FALSE),0)+IFERROR(VLOOKUP($A144,MLacrosse!$C:$O,E$1-2011,FALSE),0)+IFERROR(VLOOKUP($A144,MSoccer!$C:$O,E$1-2011,FALSE),0)+IFERROR(VLOOKUP($A144,MVolleyball!$C:$O,E$1-2011,FALSE),0)+IFERROR(VLOOKUP($A144,WBasketball!$C:$O,E$1-2011,FALSE),0)+IFERROR(VLOOKUP($A144,WFieldHockey!$C:$O,E$1-2011,FALSE),0)+IFERROR(VLOOKUP($A144,WIceHockey!$C:$O,E$1-2011,FALSE),0)+IFERROR(VLOOKUP($A144,WLacrosse!$C:$O,E$1-2011,FALSE),0)+IFERROR(VLOOKUP($A144,WSoccer!$C:$O,E$1-2011,FALSE),0)+IFERROR(VLOOKUP($A144,WSoftball!$C:$O,E$1-2011,FALSE),0)+IFERROR(VLOOKUP($A144,WVolleyball!$C:$O,E$1-2011,FALSE),0)</f>
        <v>139486</v>
      </c>
      <c r="F144">
        <f>IFERROR(VLOOKUP($A144,MBaseball!$C:$N,F$1-2010,FALSE),0)+IFERROR(VLOOKUP($A144,MBasketball!$C:$J,F$1-2006,FALSE),0)+IFERROR(VLOOKUP($A144,MFootball!$C:$O,F$1-2011,FALSE),0)+IFERROR(VLOOKUP($A144,MIceHockey!$C:$P,F$1-2011,FALSE),0)+IFERROR(VLOOKUP($A144,MLacrosse!$C:$O,F$1-2011,FALSE),0)+IFERROR(VLOOKUP($A144,MSoccer!$C:$O,F$1-2011,FALSE),0)+IFERROR(VLOOKUP($A144,MVolleyball!$C:$O,F$1-2011,FALSE),0)+IFERROR(VLOOKUP($A144,WBasketball!$C:$O,F$1-2011,FALSE),0)+IFERROR(VLOOKUP($A144,WFieldHockey!$C:$O,F$1-2011,FALSE),0)+IFERROR(VLOOKUP($A144,WIceHockey!$C:$O,F$1-2011,FALSE),0)+IFERROR(VLOOKUP($A144,WLacrosse!$C:$O,F$1-2011,FALSE),0)+IFERROR(VLOOKUP($A144,WSoccer!$C:$O,F$1-2011,FALSE),0)+IFERROR(VLOOKUP($A144,WSoftball!$C:$O,F$1-2011,FALSE),0)+IFERROR(VLOOKUP($A144,WVolleyball!$C:$O,F$1-2011,FALSE),0)</f>
        <v>273338</v>
      </c>
      <c r="G144">
        <f>IFERROR(VLOOKUP($A144,MBaseball!$C:$N,G$1-2010,FALSE),0)+IFERROR(VLOOKUP($A144,MBasketball!$C:$J,G$1-2006,FALSE),0)+IFERROR(VLOOKUP($A144,MFootball!$C:$O,G$1-2011,FALSE),0)+IFERROR(VLOOKUP($A144,MIceHockey!$C:$P,G$1-2011,FALSE),0)+IFERROR(VLOOKUP($A144,MLacrosse!$C:$O,G$1-2011,FALSE),0)+IFERROR(VLOOKUP($A144,MSoccer!$C:$O,G$1-2011,FALSE),0)+IFERROR(VLOOKUP($A144,MVolleyball!$C:$O,G$1-2011,FALSE),0)+IFERROR(VLOOKUP($A144,WBasketball!$C:$O,G$1-2011,FALSE),0)+IFERROR(VLOOKUP($A144,WFieldHockey!$C:$O,G$1-2011,FALSE),0)+IFERROR(VLOOKUP($A144,WIceHockey!$C:$O,G$1-2011,FALSE),0)+IFERROR(VLOOKUP($A144,WLacrosse!$C:$O,G$1-2011,FALSE),0)+IFERROR(VLOOKUP($A144,WSoccer!$C:$O,G$1-2011,FALSE),0)+IFERROR(VLOOKUP($A144,WSoftball!$C:$O,G$1-2011,FALSE),0)+IFERROR(VLOOKUP($A144,WVolleyball!$C:$O,G$1-2011,FALSE),0)</f>
        <v>322933</v>
      </c>
      <c r="H144">
        <f>IFERROR(VLOOKUP($A144,MBaseball!$C:$N,H$1-2010,FALSE),0)+IFERROR(VLOOKUP($A144,MBasketball!$C:$J,H$1-2006,FALSE),0)+IFERROR(VLOOKUP($A144,MFootball!$C:$O,H$1-2011,FALSE),0)+IFERROR(VLOOKUP($A144,MIceHockey!$C:$P,H$1-2011,FALSE),0)+IFERROR(VLOOKUP($A144,MLacrosse!$C:$O,H$1-2011,FALSE),0)+IFERROR(VLOOKUP($A144,MSoccer!$C:$O,H$1-2011,FALSE),0)+IFERROR(VLOOKUP($A144,MVolleyball!$C:$O,H$1-2011,FALSE),0)+IFERROR(VLOOKUP($A144,WBasketball!$C:$O,H$1-2011,FALSE),0)+IFERROR(VLOOKUP($A144,WFieldHockey!$C:$O,H$1-2011,FALSE),0)+IFERROR(VLOOKUP($A144,WIceHockey!$C:$O,H$1-2011,FALSE),0)+IFERROR(VLOOKUP($A144,WLacrosse!$C:$O,H$1-2011,FALSE),0)+IFERROR(VLOOKUP($A144,WSoccer!$C:$O,H$1-2011,FALSE),0)+IFERROR(VLOOKUP($A144,WSoftball!$C:$O,H$1-2011,FALSE),0)+IFERROR(VLOOKUP($A144,WVolleyball!$C:$O,H$1-2011,FALSE),0)</f>
        <v>312274</v>
      </c>
      <c r="I144">
        <f>IFERROR(VLOOKUP($A144,MBaseball!$C:$N,I$1-2010,FALSE),0)+IFERROR(VLOOKUP($A144,MBasketball!$C:$J,I$1-2006,FALSE),0)+IFERROR(VLOOKUP($A144,MFootball!$C:$O,I$1-2011,FALSE),0)+IFERROR(VLOOKUP($A144,MIceHockey!$C:$P,I$1-2011,FALSE),0)+IFERROR(VLOOKUP($A144,MLacrosse!$C:$O,I$1-2011,FALSE),0)+IFERROR(VLOOKUP($A144,MSoccer!$C:$O,I$1-2011,FALSE),0)+IFERROR(VLOOKUP($A144,MVolleyball!$C:$O,I$1-2011,FALSE),0)+IFERROR(VLOOKUP($A144,WBasketball!$C:$O,I$1-2011,FALSE),0)+IFERROR(VLOOKUP($A144,WFieldHockey!$C:$O,I$1-2011,FALSE),0)+IFERROR(VLOOKUP($A144,WIceHockey!$C:$O,I$1-2011,FALSE),0)+IFERROR(VLOOKUP($A144,WLacrosse!$C:$O,I$1-2011,FALSE),0)+IFERROR(VLOOKUP($A144,WSoccer!$C:$O,I$1-2011,FALSE),0)+IFERROR(VLOOKUP($A144,WSoftball!$C:$O,I$1-2011,FALSE),0)+IFERROR(VLOOKUP($A144,WVolleyball!$C:$O,I$1-2011,FALSE),0)</f>
        <v>265303</v>
      </c>
      <c r="J144">
        <f>IFERROR(VLOOKUP($A144,MBaseball!$C:$N,J$1-2010,FALSE),0)+IFERROR(VLOOKUP($A144,MBasketball!$C:$J,J$1-2006,FALSE),0)+IFERROR(VLOOKUP($A144,MFootball!$C:$O,J$1-2011,FALSE),0)+IFERROR(VLOOKUP($A144,MIceHockey!$C:$P,J$1-2011,FALSE),0)+IFERROR(VLOOKUP($A144,MLacrosse!$C:$O,J$1-2011,FALSE),0)+IFERROR(VLOOKUP($A144,MSoccer!$C:$O,J$1-2011,FALSE),0)+IFERROR(VLOOKUP($A144,MVolleyball!$C:$O,J$1-2011,FALSE),0)+IFERROR(VLOOKUP($A144,WBasketball!$C:$O,J$1-2011,FALSE),0)+IFERROR(VLOOKUP($A144,WFieldHockey!$C:$O,J$1-2011,FALSE),0)+IFERROR(VLOOKUP($A144,WIceHockey!$C:$O,J$1-2011,FALSE),0)+IFERROR(VLOOKUP($A144,WLacrosse!$C:$O,J$1-2011,FALSE),0)+IFERROR(VLOOKUP($A144,WSoccer!$C:$O,J$1-2011,FALSE),0)+IFERROR(VLOOKUP($A144,WSoftball!$C:$O,J$1-2011,FALSE),0)+IFERROR(VLOOKUP($A144,WVolleyball!$C:$O,J$1-2011,FALSE),0)</f>
        <v>212509</v>
      </c>
      <c r="K144">
        <f>IFERROR(VLOOKUP($A144,MBaseball!$C:$N,K$1-2010,FALSE),0)+IFERROR(VLOOKUP($A144,MBasketball!$C:$J,K$1-2006,FALSE),0)+IFERROR(VLOOKUP($A144,MFootball!$C:$O,K$1-2011,FALSE),0)+IFERROR(VLOOKUP($A144,MIceHockey!$C:$P,K$1-2011,FALSE),0)+IFERROR(VLOOKUP($A144,MLacrosse!$C:$O,K$1-2011,FALSE),0)+IFERROR(VLOOKUP($A144,MSoccer!$C:$O,K$1-2011,FALSE),0)+IFERROR(VLOOKUP($A144,MVolleyball!$C:$O,K$1-2011,FALSE),0)+IFERROR(VLOOKUP($A144,WBasketball!$C:$O,K$1-2011,FALSE),0)+IFERROR(VLOOKUP($A144,WFieldHockey!$C:$O,K$1-2011,FALSE),0)+IFERROR(VLOOKUP($A144,WIceHockey!$C:$O,K$1-2011,FALSE),0)+IFERROR(VLOOKUP($A144,WLacrosse!$C:$O,K$1-2011,FALSE),0)+IFERROR(VLOOKUP($A144,WSoccer!$C:$O,K$1-2011,FALSE),0)+IFERROR(VLOOKUP($A144,WSoftball!$C:$O,K$1-2011,FALSE),0)+IFERROR(VLOOKUP($A144,WVolleyball!$C:$O,K$1-2011,FALSE),0)</f>
        <v>158750</v>
      </c>
      <c r="L144">
        <f>IFERROR(VLOOKUP($A144,MBaseball!$C:$N,L$1-2010,FALSE),0)+IFERROR(VLOOKUP($A144,MBasketball!$C:$J,L$1-2006,FALSE),0)+IFERROR(VLOOKUP($A144,MFootball!$C:$O,L$1-2011,FALSE),0)+IFERROR(VLOOKUP($A144,MIceHockey!$C:$P,L$1-2011,FALSE),0)+IFERROR(VLOOKUP($A144,MLacrosse!$C:$O,L$1-2011,FALSE),0)+IFERROR(VLOOKUP($A144,MSoccer!$C:$O,L$1-2011,FALSE),0)+IFERROR(VLOOKUP($A144,MVolleyball!$C:$O,L$1-2011,FALSE),0)+IFERROR(VLOOKUP($A144,WBasketball!$C:$O,L$1-2011,FALSE),0)+IFERROR(VLOOKUP($A144,WFieldHockey!$C:$O,L$1-2011,FALSE),0)+IFERROR(VLOOKUP($A144,WIceHockey!$C:$O,L$1-2011,FALSE),0)+IFERROR(VLOOKUP($A144,WLacrosse!$C:$O,L$1-2011,FALSE),0)+IFERROR(VLOOKUP($A144,WSoccer!$C:$O,L$1-2011,FALSE),0)+IFERROR(VLOOKUP($A144,WSoftball!$C:$O,L$1-2011,FALSE),0)+IFERROR(VLOOKUP($A144,WVolleyball!$C:$O,L$1-2011,FALSE),0)</f>
        <v>191920</v>
      </c>
      <c r="M144">
        <f>IFERROR(VLOOKUP($A144,MBaseball!$C:$N,M$1-2010,FALSE),0)+IFERROR(VLOOKUP($A144,MBasketball!$C:$J,M$1-2006,FALSE),0)+IFERROR(VLOOKUP($A144,MFootball!$C:$O,M$1-2011,FALSE),0)+IFERROR(VLOOKUP($A144,MIceHockey!$C:$P,M$1-2011,FALSE),0)+IFERROR(VLOOKUP($A144,MLacrosse!$C:$O,M$1-2011,FALSE),0)+IFERROR(VLOOKUP($A144,MSoccer!$C:$O,M$1-2011,FALSE),0)+IFERROR(VLOOKUP($A144,MVolleyball!$C:$O,M$1-2011,FALSE),0)+IFERROR(VLOOKUP($A144,WBasketball!$C:$O,M$1-2011,FALSE),0)+IFERROR(VLOOKUP($A144,WFieldHockey!$C:$O,M$1-2011,FALSE),0)+IFERROR(VLOOKUP($A144,WIceHockey!$C:$O,M$1-2011,FALSE),0)+IFERROR(VLOOKUP($A144,WLacrosse!$C:$O,M$1-2011,FALSE),0)+IFERROR(VLOOKUP($A144,WSoccer!$C:$O,M$1-2011,FALSE),0)+IFERROR(VLOOKUP($A144,WSoftball!$C:$O,M$1-2011,FALSE),0)+IFERROR(VLOOKUP($A144,WVolleyball!$C:$O,M$1-2011,FALSE),0)</f>
        <v>358638</v>
      </c>
      <c r="N144">
        <f>IFERROR(VLOOKUP($A144,MBaseball!$C:$N,N$1-2010,FALSE),0)+IFERROR(VLOOKUP($A144,MBasketball!$C:$J,N$1-2006,FALSE),0)+IFERROR(VLOOKUP($A144,MFootball!$C:$O,N$1-2011,FALSE),0)+IFERROR(VLOOKUP($A144,MIceHockey!$C:$P,N$1-2011,FALSE),0)+IFERROR(VLOOKUP($A144,MLacrosse!$C:$O,N$1-2011,FALSE),0)+IFERROR(VLOOKUP($A144,MSoccer!$C:$O,N$1-2011,FALSE),0)+IFERROR(VLOOKUP($A144,MVolleyball!$C:$O,N$1-2011,FALSE),0)+IFERROR(VLOOKUP($A144,WBasketball!$C:$O,N$1-2011,FALSE),0)+IFERROR(VLOOKUP($A144,WFieldHockey!$C:$O,N$1-2011,FALSE),0)+IFERROR(VLOOKUP($A144,WIceHockey!$C:$O,N$1-2011,FALSE),0)+IFERROR(VLOOKUP($A144,WLacrosse!$C:$O,N$1-2011,FALSE),0)+IFERROR(VLOOKUP($A144,WSoccer!$C:$O,N$1-2011,FALSE),0)+IFERROR(VLOOKUP($A144,WSoftball!$C:$O,N$1-2011,FALSE),0)+IFERROR(VLOOKUP($A144,WVolleyball!$C:$O,N$1-2011,FALSE),0)</f>
        <v>192972</v>
      </c>
    </row>
    <row r="145" spans="1:14" x14ac:dyDescent="0.2">
      <c r="A145">
        <v>230603</v>
      </c>
      <c r="B145">
        <v>16260</v>
      </c>
      <c r="C145" t="s">
        <v>209</v>
      </c>
      <c r="D145">
        <v>144</v>
      </c>
      <c r="E145">
        <f>IFERROR(VLOOKUP($A145,MBaseball!$C:$N,E$1-2010,FALSE),0)+IFERROR(VLOOKUP($A145,MBasketball!$C:$J,E$1-2006,FALSE),0)+IFERROR(VLOOKUP($A145,MFootball!$C:$O,E$1-2011,FALSE),0)+IFERROR(VLOOKUP($A145,MIceHockey!$C:$P,E$1-2011,FALSE),0)+IFERROR(VLOOKUP($A145,MLacrosse!$C:$O,E$1-2011,FALSE),0)+IFERROR(VLOOKUP($A145,MSoccer!$C:$O,E$1-2011,FALSE),0)+IFERROR(VLOOKUP($A145,MVolleyball!$C:$O,E$1-2011,FALSE),0)+IFERROR(VLOOKUP($A145,WBasketball!$C:$O,E$1-2011,FALSE),0)+IFERROR(VLOOKUP($A145,WFieldHockey!$C:$O,E$1-2011,FALSE),0)+IFERROR(VLOOKUP($A145,WIceHockey!$C:$O,E$1-2011,FALSE),0)+IFERROR(VLOOKUP($A145,WLacrosse!$C:$O,E$1-2011,FALSE),0)+IFERROR(VLOOKUP($A145,WSoccer!$C:$O,E$1-2011,FALSE),0)+IFERROR(VLOOKUP($A145,WSoftball!$C:$O,E$1-2011,FALSE),0)+IFERROR(VLOOKUP($A145,WVolleyball!$C:$O,E$1-2011,FALSE),0)</f>
        <v>45065</v>
      </c>
      <c r="F145">
        <f>IFERROR(VLOOKUP($A145,MBaseball!$C:$N,F$1-2010,FALSE),0)+IFERROR(VLOOKUP($A145,MBasketball!$C:$J,F$1-2006,FALSE),0)+IFERROR(VLOOKUP($A145,MFootball!$C:$O,F$1-2011,FALSE),0)+IFERROR(VLOOKUP($A145,MIceHockey!$C:$P,F$1-2011,FALSE),0)+IFERROR(VLOOKUP($A145,MLacrosse!$C:$O,F$1-2011,FALSE),0)+IFERROR(VLOOKUP($A145,MSoccer!$C:$O,F$1-2011,FALSE),0)+IFERROR(VLOOKUP($A145,MVolleyball!$C:$O,F$1-2011,FALSE),0)+IFERROR(VLOOKUP($A145,WBasketball!$C:$O,F$1-2011,FALSE),0)+IFERROR(VLOOKUP($A145,WFieldHockey!$C:$O,F$1-2011,FALSE),0)+IFERROR(VLOOKUP($A145,WIceHockey!$C:$O,F$1-2011,FALSE),0)+IFERROR(VLOOKUP($A145,WLacrosse!$C:$O,F$1-2011,FALSE),0)+IFERROR(VLOOKUP($A145,WSoccer!$C:$O,F$1-2011,FALSE),0)+IFERROR(VLOOKUP($A145,WSoftball!$C:$O,F$1-2011,FALSE),0)+IFERROR(VLOOKUP($A145,WVolleyball!$C:$O,F$1-2011,FALSE),0)</f>
        <v>34806</v>
      </c>
      <c r="G145">
        <f>IFERROR(VLOOKUP($A145,MBaseball!$C:$N,G$1-2010,FALSE),0)+IFERROR(VLOOKUP($A145,MBasketball!$C:$J,G$1-2006,FALSE),0)+IFERROR(VLOOKUP($A145,MFootball!$C:$O,G$1-2011,FALSE),0)+IFERROR(VLOOKUP($A145,MIceHockey!$C:$P,G$1-2011,FALSE),0)+IFERROR(VLOOKUP($A145,MLacrosse!$C:$O,G$1-2011,FALSE),0)+IFERROR(VLOOKUP($A145,MSoccer!$C:$O,G$1-2011,FALSE),0)+IFERROR(VLOOKUP($A145,MVolleyball!$C:$O,G$1-2011,FALSE),0)+IFERROR(VLOOKUP($A145,WBasketball!$C:$O,G$1-2011,FALSE),0)+IFERROR(VLOOKUP($A145,WFieldHockey!$C:$O,G$1-2011,FALSE),0)+IFERROR(VLOOKUP($A145,WIceHockey!$C:$O,G$1-2011,FALSE),0)+IFERROR(VLOOKUP($A145,WLacrosse!$C:$O,G$1-2011,FALSE),0)+IFERROR(VLOOKUP($A145,WSoccer!$C:$O,G$1-2011,FALSE),0)+IFERROR(VLOOKUP($A145,WSoftball!$C:$O,G$1-2011,FALSE),0)+IFERROR(VLOOKUP($A145,WVolleyball!$C:$O,G$1-2011,FALSE),0)</f>
        <v>44584</v>
      </c>
      <c r="H145">
        <f>IFERROR(VLOOKUP($A145,MBaseball!$C:$N,H$1-2010,FALSE),0)+IFERROR(VLOOKUP($A145,MBasketball!$C:$J,H$1-2006,FALSE),0)+IFERROR(VLOOKUP($A145,MFootball!$C:$O,H$1-2011,FALSE),0)+IFERROR(VLOOKUP($A145,MIceHockey!$C:$P,H$1-2011,FALSE),0)+IFERROR(VLOOKUP($A145,MLacrosse!$C:$O,H$1-2011,FALSE),0)+IFERROR(VLOOKUP($A145,MSoccer!$C:$O,H$1-2011,FALSE),0)+IFERROR(VLOOKUP($A145,MVolleyball!$C:$O,H$1-2011,FALSE),0)+IFERROR(VLOOKUP($A145,WBasketball!$C:$O,H$1-2011,FALSE),0)+IFERROR(VLOOKUP($A145,WFieldHockey!$C:$O,H$1-2011,FALSE),0)+IFERROR(VLOOKUP($A145,WIceHockey!$C:$O,H$1-2011,FALSE),0)+IFERROR(VLOOKUP($A145,WLacrosse!$C:$O,H$1-2011,FALSE),0)+IFERROR(VLOOKUP($A145,WSoccer!$C:$O,H$1-2011,FALSE),0)+IFERROR(VLOOKUP($A145,WSoftball!$C:$O,H$1-2011,FALSE),0)+IFERROR(VLOOKUP($A145,WVolleyball!$C:$O,H$1-2011,FALSE),0)</f>
        <v>56649</v>
      </c>
      <c r="I145">
        <f>IFERROR(VLOOKUP($A145,MBaseball!$C:$N,I$1-2010,FALSE),0)+IFERROR(VLOOKUP($A145,MBasketball!$C:$J,I$1-2006,FALSE),0)+IFERROR(VLOOKUP($A145,MFootball!$C:$O,I$1-2011,FALSE),0)+IFERROR(VLOOKUP($A145,MIceHockey!$C:$P,I$1-2011,FALSE),0)+IFERROR(VLOOKUP($A145,MLacrosse!$C:$O,I$1-2011,FALSE),0)+IFERROR(VLOOKUP($A145,MSoccer!$C:$O,I$1-2011,FALSE),0)+IFERROR(VLOOKUP($A145,MVolleyball!$C:$O,I$1-2011,FALSE),0)+IFERROR(VLOOKUP($A145,WBasketball!$C:$O,I$1-2011,FALSE),0)+IFERROR(VLOOKUP($A145,WFieldHockey!$C:$O,I$1-2011,FALSE),0)+IFERROR(VLOOKUP($A145,WIceHockey!$C:$O,I$1-2011,FALSE),0)+IFERROR(VLOOKUP($A145,WLacrosse!$C:$O,I$1-2011,FALSE),0)+IFERROR(VLOOKUP($A145,WSoccer!$C:$O,I$1-2011,FALSE),0)+IFERROR(VLOOKUP($A145,WSoftball!$C:$O,I$1-2011,FALSE),0)+IFERROR(VLOOKUP($A145,WVolleyball!$C:$O,I$1-2011,FALSE),0)</f>
        <v>80104</v>
      </c>
      <c r="J145">
        <f>IFERROR(VLOOKUP($A145,MBaseball!$C:$N,J$1-2010,FALSE),0)+IFERROR(VLOOKUP($A145,MBasketball!$C:$J,J$1-2006,FALSE),0)+IFERROR(VLOOKUP($A145,MFootball!$C:$O,J$1-2011,FALSE),0)+IFERROR(VLOOKUP($A145,MIceHockey!$C:$P,J$1-2011,FALSE),0)+IFERROR(VLOOKUP($A145,MLacrosse!$C:$O,J$1-2011,FALSE),0)+IFERROR(VLOOKUP($A145,MSoccer!$C:$O,J$1-2011,FALSE),0)+IFERROR(VLOOKUP($A145,MVolleyball!$C:$O,J$1-2011,FALSE),0)+IFERROR(VLOOKUP($A145,WBasketball!$C:$O,J$1-2011,FALSE),0)+IFERROR(VLOOKUP($A145,WFieldHockey!$C:$O,J$1-2011,FALSE),0)+IFERROR(VLOOKUP($A145,WIceHockey!$C:$O,J$1-2011,FALSE),0)+IFERROR(VLOOKUP($A145,WLacrosse!$C:$O,J$1-2011,FALSE),0)+IFERROR(VLOOKUP($A145,WSoccer!$C:$O,J$1-2011,FALSE),0)+IFERROR(VLOOKUP($A145,WSoftball!$C:$O,J$1-2011,FALSE),0)+IFERROR(VLOOKUP($A145,WVolleyball!$C:$O,J$1-2011,FALSE),0)</f>
        <v>59413</v>
      </c>
      <c r="K145">
        <f>IFERROR(VLOOKUP($A145,MBaseball!$C:$N,K$1-2010,FALSE),0)+IFERROR(VLOOKUP($A145,MBasketball!$C:$J,K$1-2006,FALSE),0)+IFERROR(VLOOKUP($A145,MFootball!$C:$O,K$1-2011,FALSE),0)+IFERROR(VLOOKUP($A145,MIceHockey!$C:$P,K$1-2011,FALSE),0)+IFERROR(VLOOKUP($A145,MLacrosse!$C:$O,K$1-2011,FALSE),0)+IFERROR(VLOOKUP($A145,MSoccer!$C:$O,K$1-2011,FALSE),0)+IFERROR(VLOOKUP($A145,MVolleyball!$C:$O,K$1-2011,FALSE),0)+IFERROR(VLOOKUP($A145,WBasketball!$C:$O,K$1-2011,FALSE),0)+IFERROR(VLOOKUP($A145,WFieldHockey!$C:$O,K$1-2011,FALSE),0)+IFERROR(VLOOKUP($A145,WIceHockey!$C:$O,K$1-2011,FALSE),0)+IFERROR(VLOOKUP($A145,WLacrosse!$C:$O,K$1-2011,FALSE),0)+IFERROR(VLOOKUP($A145,WSoccer!$C:$O,K$1-2011,FALSE),0)+IFERROR(VLOOKUP($A145,WSoftball!$C:$O,K$1-2011,FALSE),0)+IFERROR(VLOOKUP($A145,WVolleyball!$C:$O,K$1-2011,FALSE),0)</f>
        <v>44581</v>
      </c>
      <c r="L145">
        <f>IFERROR(VLOOKUP($A145,MBaseball!$C:$N,L$1-2010,FALSE),0)+IFERROR(VLOOKUP($A145,MBasketball!$C:$J,L$1-2006,FALSE),0)+IFERROR(VLOOKUP($A145,MFootball!$C:$O,L$1-2011,FALSE),0)+IFERROR(VLOOKUP($A145,MIceHockey!$C:$P,L$1-2011,FALSE),0)+IFERROR(VLOOKUP($A145,MLacrosse!$C:$O,L$1-2011,FALSE),0)+IFERROR(VLOOKUP($A145,MSoccer!$C:$O,L$1-2011,FALSE),0)+IFERROR(VLOOKUP($A145,MVolleyball!$C:$O,L$1-2011,FALSE),0)+IFERROR(VLOOKUP($A145,WBasketball!$C:$O,L$1-2011,FALSE),0)+IFERROR(VLOOKUP($A145,WFieldHockey!$C:$O,L$1-2011,FALSE),0)+IFERROR(VLOOKUP($A145,WIceHockey!$C:$O,L$1-2011,FALSE),0)+IFERROR(VLOOKUP($A145,WLacrosse!$C:$O,L$1-2011,FALSE),0)+IFERROR(VLOOKUP($A145,WSoccer!$C:$O,L$1-2011,FALSE),0)+IFERROR(VLOOKUP($A145,WSoftball!$C:$O,L$1-2011,FALSE),0)+IFERROR(VLOOKUP($A145,WVolleyball!$C:$O,L$1-2011,FALSE),0)</f>
        <v>12317</v>
      </c>
      <c r="M145">
        <f>IFERROR(VLOOKUP($A145,MBaseball!$C:$N,M$1-2010,FALSE),0)+IFERROR(VLOOKUP($A145,MBasketball!$C:$J,M$1-2006,FALSE),0)+IFERROR(VLOOKUP($A145,MFootball!$C:$O,M$1-2011,FALSE),0)+IFERROR(VLOOKUP($A145,MIceHockey!$C:$P,M$1-2011,FALSE),0)+IFERROR(VLOOKUP($A145,MLacrosse!$C:$O,M$1-2011,FALSE),0)+IFERROR(VLOOKUP($A145,MSoccer!$C:$O,M$1-2011,FALSE),0)+IFERROR(VLOOKUP($A145,MVolleyball!$C:$O,M$1-2011,FALSE),0)+IFERROR(VLOOKUP($A145,WBasketball!$C:$O,M$1-2011,FALSE),0)+IFERROR(VLOOKUP($A145,WFieldHockey!$C:$O,M$1-2011,FALSE),0)+IFERROR(VLOOKUP($A145,WIceHockey!$C:$O,M$1-2011,FALSE),0)+IFERROR(VLOOKUP($A145,WLacrosse!$C:$O,M$1-2011,FALSE),0)+IFERROR(VLOOKUP($A145,WSoccer!$C:$O,M$1-2011,FALSE),0)+IFERROR(VLOOKUP($A145,WSoftball!$C:$O,M$1-2011,FALSE),0)+IFERROR(VLOOKUP($A145,WVolleyball!$C:$O,M$1-2011,FALSE),0)</f>
        <v>29509</v>
      </c>
      <c r="N145">
        <f>IFERROR(VLOOKUP($A145,MBaseball!$C:$N,N$1-2010,FALSE),0)+IFERROR(VLOOKUP($A145,MBasketball!$C:$J,N$1-2006,FALSE),0)+IFERROR(VLOOKUP($A145,MFootball!$C:$O,N$1-2011,FALSE),0)+IFERROR(VLOOKUP($A145,MIceHockey!$C:$P,N$1-2011,FALSE),0)+IFERROR(VLOOKUP($A145,MLacrosse!$C:$O,N$1-2011,FALSE),0)+IFERROR(VLOOKUP($A145,MSoccer!$C:$O,N$1-2011,FALSE),0)+IFERROR(VLOOKUP($A145,MVolleyball!$C:$O,N$1-2011,FALSE),0)+IFERROR(VLOOKUP($A145,WBasketball!$C:$O,N$1-2011,FALSE),0)+IFERROR(VLOOKUP($A145,WFieldHockey!$C:$O,N$1-2011,FALSE),0)+IFERROR(VLOOKUP($A145,WIceHockey!$C:$O,N$1-2011,FALSE),0)+IFERROR(VLOOKUP($A145,WLacrosse!$C:$O,N$1-2011,FALSE),0)+IFERROR(VLOOKUP($A145,WSoccer!$C:$O,N$1-2011,FALSE),0)+IFERROR(VLOOKUP($A145,WSoftball!$C:$O,N$1-2011,FALSE),0)+IFERROR(VLOOKUP($A145,WVolleyball!$C:$O,N$1-2011,FALSE),0)</f>
        <v>38472</v>
      </c>
    </row>
    <row r="146" spans="1:14" x14ac:dyDescent="0.2">
      <c r="A146">
        <v>228431</v>
      </c>
      <c r="B146">
        <v>34860</v>
      </c>
      <c r="C146" t="s">
        <v>210</v>
      </c>
      <c r="D146">
        <v>145</v>
      </c>
      <c r="E146">
        <f>IFERROR(VLOOKUP($A146,MBaseball!$C:$N,E$1-2010,FALSE),0)+IFERROR(VLOOKUP($A146,MBasketball!$C:$J,E$1-2006,FALSE),0)+IFERROR(VLOOKUP($A146,MFootball!$C:$O,E$1-2011,FALSE),0)+IFERROR(VLOOKUP($A146,MIceHockey!$C:$P,E$1-2011,FALSE),0)+IFERROR(VLOOKUP($A146,MLacrosse!$C:$O,E$1-2011,FALSE),0)+IFERROR(VLOOKUP($A146,MSoccer!$C:$O,E$1-2011,FALSE),0)+IFERROR(VLOOKUP($A146,MVolleyball!$C:$O,E$1-2011,FALSE),0)+IFERROR(VLOOKUP($A146,WBasketball!$C:$O,E$1-2011,FALSE),0)+IFERROR(VLOOKUP($A146,WFieldHockey!$C:$O,E$1-2011,FALSE),0)+IFERROR(VLOOKUP($A146,WIceHockey!$C:$O,E$1-2011,FALSE),0)+IFERROR(VLOOKUP($A146,WLacrosse!$C:$O,E$1-2011,FALSE),0)+IFERROR(VLOOKUP($A146,WSoccer!$C:$O,E$1-2011,FALSE),0)+IFERROR(VLOOKUP($A146,WSoftball!$C:$O,E$1-2011,FALSE),0)+IFERROR(VLOOKUP($A146,WVolleyball!$C:$O,E$1-2011,FALSE),0)</f>
        <v>93762</v>
      </c>
      <c r="F146">
        <f>IFERROR(VLOOKUP($A146,MBaseball!$C:$N,F$1-2010,FALSE),0)+IFERROR(VLOOKUP($A146,MBasketball!$C:$J,F$1-2006,FALSE),0)+IFERROR(VLOOKUP($A146,MFootball!$C:$O,F$1-2011,FALSE),0)+IFERROR(VLOOKUP($A146,MIceHockey!$C:$P,F$1-2011,FALSE),0)+IFERROR(VLOOKUP($A146,MLacrosse!$C:$O,F$1-2011,FALSE),0)+IFERROR(VLOOKUP($A146,MSoccer!$C:$O,F$1-2011,FALSE),0)+IFERROR(VLOOKUP($A146,MVolleyball!$C:$O,F$1-2011,FALSE),0)+IFERROR(VLOOKUP($A146,WBasketball!$C:$O,F$1-2011,FALSE),0)+IFERROR(VLOOKUP($A146,WFieldHockey!$C:$O,F$1-2011,FALSE),0)+IFERROR(VLOOKUP($A146,WIceHockey!$C:$O,F$1-2011,FALSE),0)+IFERROR(VLOOKUP($A146,WLacrosse!$C:$O,F$1-2011,FALSE),0)+IFERROR(VLOOKUP($A146,WSoccer!$C:$O,F$1-2011,FALSE),0)+IFERROR(VLOOKUP($A146,WSoftball!$C:$O,F$1-2011,FALSE),0)+IFERROR(VLOOKUP($A146,WVolleyball!$C:$O,F$1-2011,FALSE),0)</f>
        <v>97278</v>
      </c>
      <c r="G146">
        <f>IFERROR(VLOOKUP($A146,MBaseball!$C:$N,G$1-2010,FALSE),0)+IFERROR(VLOOKUP($A146,MBasketball!$C:$J,G$1-2006,FALSE),0)+IFERROR(VLOOKUP($A146,MFootball!$C:$O,G$1-2011,FALSE),0)+IFERROR(VLOOKUP($A146,MIceHockey!$C:$P,G$1-2011,FALSE),0)+IFERROR(VLOOKUP($A146,MLacrosse!$C:$O,G$1-2011,FALSE),0)+IFERROR(VLOOKUP($A146,MSoccer!$C:$O,G$1-2011,FALSE),0)+IFERROR(VLOOKUP($A146,MVolleyball!$C:$O,G$1-2011,FALSE),0)+IFERROR(VLOOKUP($A146,WBasketball!$C:$O,G$1-2011,FALSE),0)+IFERROR(VLOOKUP($A146,WFieldHockey!$C:$O,G$1-2011,FALSE),0)+IFERROR(VLOOKUP($A146,WIceHockey!$C:$O,G$1-2011,FALSE),0)+IFERROR(VLOOKUP($A146,WLacrosse!$C:$O,G$1-2011,FALSE),0)+IFERROR(VLOOKUP($A146,WSoccer!$C:$O,G$1-2011,FALSE),0)+IFERROR(VLOOKUP($A146,WSoftball!$C:$O,G$1-2011,FALSE),0)+IFERROR(VLOOKUP($A146,WVolleyball!$C:$O,G$1-2011,FALSE),0)</f>
        <v>73932</v>
      </c>
      <c r="H146">
        <f>IFERROR(VLOOKUP($A146,MBaseball!$C:$N,H$1-2010,FALSE),0)+IFERROR(VLOOKUP($A146,MBasketball!$C:$J,H$1-2006,FALSE),0)+IFERROR(VLOOKUP($A146,MFootball!$C:$O,H$1-2011,FALSE),0)+IFERROR(VLOOKUP($A146,MIceHockey!$C:$P,H$1-2011,FALSE),0)+IFERROR(VLOOKUP($A146,MLacrosse!$C:$O,H$1-2011,FALSE),0)+IFERROR(VLOOKUP($A146,MSoccer!$C:$O,H$1-2011,FALSE),0)+IFERROR(VLOOKUP($A146,MVolleyball!$C:$O,H$1-2011,FALSE),0)+IFERROR(VLOOKUP($A146,WBasketball!$C:$O,H$1-2011,FALSE),0)+IFERROR(VLOOKUP($A146,WFieldHockey!$C:$O,H$1-2011,FALSE),0)+IFERROR(VLOOKUP($A146,WIceHockey!$C:$O,H$1-2011,FALSE),0)+IFERROR(VLOOKUP($A146,WLacrosse!$C:$O,H$1-2011,FALSE),0)+IFERROR(VLOOKUP($A146,WSoccer!$C:$O,H$1-2011,FALSE),0)+IFERROR(VLOOKUP($A146,WSoftball!$C:$O,H$1-2011,FALSE),0)+IFERROR(VLOOKUP($A146,WVolleyball!$C:$O,H$1-2011,FALSE),0)</f>
        <v>84205</v>
      </c>
      <c r="I146">
        <f>IFERROR(VLOOKUP($A146,MBaseball!$C:$N,I$1-2010,FALSE),0)+IFERROR(VLOOKUP($A146,MBasketball!$C:$J,I$1-2006,FALSE),0)+IFERROR(VLOOKUP($A146,MFootball!$C:$O,I$1-2011,FALSE),0)+IFERROR(VLOOKUP($A146,MIceHockey!$C:$P,I$1-2011,FALSE),0)+IFERROR(VLOOKUP($A146,MLacrosse!$C:$O,I$1-2011,FALSE),0)+IFERROR(VLOOKUP($A146,MSoccer!$C:$O,I$1-2011,FALSE),0)+IFERROR(VLOOKUP($A146,MVolleyball!$C:$O,I$1-2011,FALSE),0)+IFERROR(VLOOKUP($A146,WBasketball!$C:$O,I$1-2011,FALSE),0)+IFERROR(VLOOKUP($A146,WFieldHockey!$C:$O,I$1-2011,FALSE),0)+IFERROR(VLOOKUP($A146,WIceHockey!$C:$O,I$1-2011,FALSE),0)+IFERROR(VLOOKUP($A146,WLacrosse!$C:$O,I$1-2011,FALSE),0)+IFERROR(VLOOKUP($A146,WSoccer!$C:$O,I$1-2011,FALSE),0)+IFERROR(VLOOKUP($A146,WSoftball!$C:$O,I$1-2011,FALSE),0)+IFERROR(VLOOKUP($A146,WVolleyball!$C:$O,I$1-2011,FALSE),0)</f>
        <v>105929</v>
      </c>
      <c r="J146">
        <f>IFERROR(VLOOKUP($A146,MBaseball!$C:$N,J$1-2010,FALSE),0)+IFERROR(VLOOKUP($A146,MBasketball!$C:$J,J$1-2006,FALSE),0)+IFERROR(VLOOKUP($A146,MFootball!$C:$O,J$1-2011,FALSE),0)+IFERROR(VLOOKUP($A146,MIceHockey!$C:$P,J$1-2011,FALSE),0)+IFERROR(VLOOKUP($A146,MLacrosse!$C:$O,J$1-2011,FALSE),0)+IFERROR(VLOOKUP($A146,MSoccer!$C:$O,J$1-2011,FALSE),0)+IFERROR(VLOOKUP($A146,MVolleyball!$C:$O,J$1-2011,FALSE),0)+IFERROR(VLOOKUP($A146,WBasketball!$C:$O,J$1-2011,FALSE),0)+IFERROR(VLOOKUP($A146,WFieldHockey!$C:$O,J$1-2011,FALSE),0)+IFERROR(VLOOKUP($A146,WIceHockey!$C:$O,J$1-2011,FALSE),0)+IFERROR(VLOOKUP($A146,WLacrosse!$C:$O,J$1-2011,FALSE),0)+IFERROR(VLOOKUP($A146,WSoccer!$C:$O,J$1-2011,FALSE),0)+IFERROR(VLOOKUP($A146,WSoftball!$C:$O,J$1-2011,FALSE),0)+IFERROR(VLOOKUP($A146,WVolleyball!$C:$O,J$1-2011,FALSE),0)</f>
        <v>65601</v>
      </c>
      <c r="K146">
        <f>IFERROR(VLOOKUP($A146,MBaseball!$C:$N,K$1-2010,FALSE),0)+IFERROR(VLOOKUP($A146,MBasketball!$C:$J,K$1-2006,FALSE),0)+IFERROR(VLOOKUP($A146,MFootball!$C:$O,K$1-2011,FALSE),0)+IFERROR(VLOOKUP($A146,MIceHockey!$C:$P,K$1-2011,FALSE),0)+IFERROR(VLOOKUP($A146,MLacrosse!$C:$O,K$1-2011,FALSE),0)+IFERROR(VLOOKUP($A146,MSoccer!$C:$O,K$1-2011,FALSE),0)+IFERROR(VLOOKUP($A146,MVolleyball!$C:$O,K$1-2011,FALSE),0)+IFERROR(VLOOKUP($A146,WBasketball!$C:$O,K$1-2011,FALSE),0)+IFERROR(VLOOKUP($A146,WFieldHockey!$C:$O,K$1-2011,FALSE),0)+IFERROR(VLOOKUP($A146,WIceHockey!$C:$O,K$1-2011,FALSE),0)+IFERROR(VLOOKUP($A146,WLacrosse!$C:$O,K$1-2011,FALSE),0)+IFERROR(VLOOKUP($A146,WSoccer!$C:$O,K$1-2011,FALSE),0)+IFERROR(VLOOKUP($A146,WSoftball!$C:$O,K$1-2011,FALSE),0)+IFERROR(VLOOKUP($A146,WVolleyball!$C:$O,K$1-2011,FALSE),0)</f>
        <v>65222</v>
      </c>
      <c r="L146">
        <f>IFERROR(VLOOKUP($A146,MBaseball!$C:$N,L$1-2010,FALSE),0)+IFERROR(VLOOKUP($A146,MBasketball!$C:$J,L$1-2006,FALSE),0)+IFERROR(VLOOKUP($A146,MFootball!$C:$O,L$1-2011,FALSE),0)+IFERROR(VLOOKUP($A146,MIceHockey!$C:$P,L$1-2011,FALSE),0)+IFERROR(VLOOKUP($A146,MLacrosse!$C:$O,L$1-2011,FALSE),0)+IFERROR(VLOOKUP($A146,MSoccer!$C:$O,L$1-2011,FALSE),0)+IFERROR(VLOOKUP($A146,MVolleyball!$C:$O,L$1-2011,FALSE),0)+IFERROR(VLOOKUP($A146,WBasketball!$C:$O,L$1-2011,FALSE),0)+IFERROR(VLOOKUP($A146,WFieldHockey!$C:$O,L$1-2011,FALSE),0)+IFERROR(VLOOKUP($A146,WIceHockey!$C:$O,L$1-2011,FALSE),0)+IFERROR(VLOOKUP($A146,WLacrosse!$C:$O,L$1-2011,FALSE),0)+IFERROR(VLOOKUP($A146,WSoccer!$C:$O,L$1-2011,FALSE),0)+IFERROR(VLOOKUP($A146,WSoftball!$C:$O,L$1-2011,FALSE),0)+IFERROR(VLOOKUP($A146,WVolleyball!$C:$O,L$1-2011,FALSE),0)</f>
        <v>35556</v>
      </c>
      <c r="M146">
        <f>IFERROR(VLOOKUP($A146,MBaseball!$C:$N,M$1-2010,FALSE),0)+IFERROR(VLOOKUP($A146,MBasketball!$C:$J,M$1-2006,FALSE),0)+IFERROR(VLOOKUP($A146,MFootball!$C:$O,M$1-2011,FALSE),0)+IFERROR(VLOOKUP($A146,MIceHockey!$C:$P,M$1-2011,FALSE),0)+IFERROR(VLOOKUP($A146,MLacrosse!$C:$O,M$1-2011,FALSE),0)+IFERROR(VLOOKUP($A146,MSoccer!$C:$O,M$1-2011,FALSE),0)+IFERROR(VLOOKUP($A146,MVolleyball!$C:$O,M$1-2011,FALSE),0)+IFERROR(VLOOKUP($A146,WBasketball!$C:$O,M$1-2011,FALSE),0)+IFERROR(VLOOKUP($A146,WFieldHockey!$C:$O,M$1-2011,FALSE),0)+IFERROR(VLOOKUP($A146,WIceHockey!$C:$O,M$1-2011,FALSE),0)+IFERROR(VLOOKUP($A146,WLacrosse!$C:$O,M$1-2011,FALSE),0)+IFERROR(VLOOKUP($A146,WSoccer!$C:$O,M$1-2011,FALSE),0)+IFERROR(VLOOKUP($A146,WSoftball!$C:$O,M$1-2011,FALSE),0)+IFERROR(VLOOKUP($A146,WVolleyball!$C:$O,M$1-2011,FALSE),0)</f>
        <v>72014</v>
      </c>
      <c r="N146">
        <f>IFERROR(VLOOKUP($A146,MBaseball!$C:$N,N$1-2010,FALSE),0)+IFERROR(VLOOKUP($A146,MBasketball!$C:$J,N$1-2006,FALSE),0)+IFERROR(VLOOKUP($A146,MFootball!$C:$O,N$1-2011,FALSE),0)+IFERROR(VLOOKUP($A146,MIceHockey!$C:$P,N$1-2011,FALSE),0)+IFERROR(VLOOKUP($A146,MLacrosse!$C:$O,N$1-2011,FALSE),0)+IFERROR(VLOOKUP($A146,MSoccer!$C:$O,N$1-2011,FALSE),0)+IFERROR(VLOOKUP($A146,MVolleyball!$C:$O,N$1-2011,FALSE),0)+IFERROR(VLOOKUP($A146,WBasketball!$C:$O,N$1-2011,FALSE),0)+IFERROR(VLOOKUP($A146,WFieldHockey!$C:$O,N$1-2011,FALSE),0)+IFERROR(VLOOKUP($A146,WIceHockey!$C:$O,N$1-2011,FALSE),0)+IFERROR(VLOOKUP($A146,WLacrosse!$C:$O,N$1-2011,FALSE),0)+IFERROR(VLOOKUP($A146,WSoccer!$C:$O,N$1-2011,FALSE),0)+IFERROR(VLOOKUP($A146,WSoftball!$C:$O,N$1-2011,FALSE),0)+IFERROR(VLOOKUP($A146,WVolleyball!$C:$O,N$1-2011,FALSE),0)</f>
        <v>74931</v>
      </c>
    </row>
    <row r="147" spans="1:14" x14ac:dyDescent="0.2">
      <c r="A147">
        <v>196097</v>
      </c>
      <c r="B147">
        <v>35620</v>
      </c>
      <c r="C147" t="s">
        <v>211</v>
      </c>
      <c r="D147">
        <v>146</v>
      </c>
      <c r="E147">
        <f>IFERROR(VLOOKUP($A147,MBaseball!$C:$N,E$1-2010,FALSE),0)+IFERROR(VLOOKUP($A147,MBasketball!$C:$J,E$1-2006,FALSE),0)+IFERROR(VLOOKUP($A147,MFootball!$C:$O,E$1-2011,FALSE),0)+IFERROR(VLOOKUP($A147,MIceHockey!$C:$P,E$1-2011,FALSE),0)+IFERROR(VLOOKUP($A147,MLacrosse!$C:$O,E$1-2011,FALSE),0)+IFERROR(VLOOKUP($A147,MSoccer!$C:$O,E$1-2011,FALSE),0)+IFERROR(VLOOKUP($A147,MVolleyball!$C:$O,E$1-2011,FALSE),0)+IFERROR(VLOOKUP($A147,WBasketball!$C:$O,E$1-2011,FALSE),0)+IFERROR(VLOOKUP($A147,WFieldHockey!$C:$O,E$1-2011,FALSE),0)+IFERROR(VLOOKUP($A147,WIceHockey!$C:$O,E$1-2011,FALSE),0)+IFERROR(VLOOKUP($A147,WLacrosse!$C:$O,E$1-2011,FALSE),0)+IFERROR(VLOOKUP($A147,WSoccer!$C:$O,E$1-2011,FALSE),0)+IFERROR(VLOOKUP($A147,WSoftball!$C:$O,E$1-2011,FALSE),0)+IFERROR(VLOOKUP($A147,WVolleyball!$C:$O,E$1-2011,FALSE),0)</f>
        <v>76583</v>
      </c>
      <c r="F147">
        <f>IFERROR(VLOOKUP($A147,MBaseball!$C:$N,F$1-2010,FALSE),0)+IFERROR(VLOOKUP($A147,MBasketball!$C:$J,F$1-2006,FALSE),0)+IFERROR(VLOOKUP($A147,MFootball!$C:$O,F$1-2011,FALSE),0)+IFERROR(VLOOKUP($A147,MIceHockey!$C:$P,F$1-2011,FALSE),0)+IFERROR(VLOOKUP($A147,MLacrosse!$C:$O,F$1-2011,FALSE),0)+IFERROR(VLOOKUP($A147,MSoccer!$C:$O,F$1-2011,FALSE),0)+IFERROR(VLOOKUP($A147,MVolleyball!$C:$O,F$1-2011,FALSE),0)+IFERROR(VLOOKUP($A147,WBasketball!$C:$O,F$1-2011,FALSE),0)+IFERROR(VLOOKUP($A147,WFieldHockey!$C:$O,F$1-2011,FALSE),0)+IFERROR(VLOOKUP($A147,WIceHockey!$C:$O,F$1-2011,FALSE),0)+IFERROR(VLOOKUP($A147,WLacrosse!$C:$O,F$1-2011,FALSE),0)+IFERROR(VLOOKUP($A147,WSoccer!$C:$O,F$1-2011,FALSE),0)+IFERROR(VLOOKUP($A147,WSoftball!$C:$O,F$1-2011,FALSE),0)+IFERROR(VLOOKUP($A147,WVolleyball!$C:$O,F$1-2011,FALSE),0)</f>
        <v>86302</v>
      </c>
      <c r="G147">
        <f>IFERROR(VLOOKUP($A147,MBaseball!$C:$N,G$1-2010,FALSE),0)+IFERROR(VLOOKUP($A147,MBasketball!$C:$J,G$1-2006,FALSE),0)+IFERROR(VLOOKUP($A147,MFootball!$C:$O,G$1-2011,FALSE),0)+IFERROR(VLOOKUP($A147,MIceHockey!$C:$P,G$1-2011,FALSE),0)+IFERROR(VLOOKUP($A147,MLacrosse!$C:$O,G$1-2011,FALSE),0)+IFERROR(VLOOKUP($A147,MSoccer!$C:$O,G$1-2011,FALSE),0)+IFERROR(VLOOKUP($A147,MVolleyball!$C:$O,G$1-2011,FALSE),0)+IFERROR(VLOOKUP($A147,WBasketball!$C:$O,G$1-2011,FALSE),0)+IFERROR(VLOOKUP($A147,WFieldHockey!$C:$O,G$1-2011,FALSE),0)+IFERROR(VLOOKUP($A147,WIceHockey!$C:$O,G$1-2011,FALSE),0)+IFERROR(VLOOKUP($A147,WLacrosse!$C:$O,G$1-2011,FALSE),0)+IFERROR(VLOOKUP($A147,WSoccer!$C:$O,G$1-2011,FALSE),0)+IFERROR(VLOOKUP($A147,WSoftball!$C:$O,G$1-2011,FALSE),0)+IFERROR(VLOOKUP($A147,WVolleyball!$C:$O,G$1-2011,FALSE),0)</f>
        <v>92177</v>
      </c>
      <c r="H147">
        <f>IFERROR(VLOOKUP($A147,MBaseball!$C:$N,H$1-2010,FALSE),0)+IFERROR(VLOOKUP($A147,MBasketball!$C:$J,H$1-2006,FALSE),0)+IFERROR(VLOOKUP($A147,MFootball!$C:$O,H$1-2011,FALSE),0)+IFERROR(VLOOKUP($A147,MIceHockey!$C:$P,H$1-2011,FALSE),0)+IFERROR(VLOOKUP($A147,MLacrosse!$C:$O,H$1-2011,FALSE),0)+IFERROR(VLOOKUP($A147,MSoccer!$C:$O,H$1-2011,FALSE),0)+IFERROR(VLOOKUP($A147,MVolleyball!$C:$O,H$1-2011,FALSE),0)+IFERROR(VLOOKUP($A147,WBasketball!$C:$O,H$1-2011,FALSE),0)+IFERROR(VLOOKUP($A147,WFieldHockey!$C:$O,H$1-2011,FALSE),0)+IFERROR(VLOOKUP($A147,WIceHockey!$C:$O,H$1-2011,FALSE),0)+IFERROR(VLOOKUP($A147,WLacrosse!$C:$O,H$1-2011,FALSE),0)+IFERROR(VLOOKUP($A147,WSoccer!$C:$O,H$1-2011,FALSE),0)+IFERROR(VLOOKUP($A147,WSoftball!$C:$O,H$1-2011,FALSE),0)+IFERROR(VLOOKUP($A147,WVolleyball!$C:$O,H$1-2011,FALSE),0)</f>
        <v>93851</v>
      </c>
      <c r="I147">
        <f>IFERROR(VLOOKUP($A147,MBaseball!$C:$N,I$1-2010,FALSE),0)+IFERROR(VLOOKUP($A147,MBasketball!$C:$J,I$1-2006,FALSE),0)+IFERROR(VLOOKUP($A147,MFootball!$C:$O,I$1-2011,FALSE),0)+IFERROR(VLOOKUP($A147,MIceHockey!$C:$P,I$1-2011,FALSE),0)+IFERROR(VLOOKUP($A147,MLacrosse!$C:$O,I$1-2011,FALSE),0)+IFERROR(VLOOKUP($A147,MSoccer!$C:$O,I$1-2011,FALSE),0)+IFERROR(VLOOKUP($A147,MVolleyball!$C:$O,I$1-2011,FALSE),0)+IFERROR(VLOOKUP($A147,WBasketball!$C:$O,I$1-2011,FALSE),0)+IFERROR(VLOOKUP($A147,WFieldHockey!$C:$O,I$1-2011,FALSE),0)+IFERROR(VLOOKUP($A147,WIceHockey!$C:$O,I$1-2011,FALSE),0)+IFERROR(VLOOKUP($A147,WLacrosse!$C:$O,I$1-2011,FALSE),0)+IFERROR(VLOOKUP($A147,WSoccer!$C:$O,I$1-2011,FALSE),0)+IFERROR(VLOOKUP($A147,WSoftball!$C:$O,I$1-2011,FALSE),0)+IFERROR(VLOOKUP($A147,WVolleyball!$C:$O,I$1-2011,FALSE),0)</f>
        <v>98788</v>
      </c>
      <c r="J147">
        <f>IFERROR(VLOOKUP($A147,MBaseball!$C:$N,J$1-2010,FALSE),0)+IFERROR(VLOOKUP($A147,MBasketball!$C:$J,J$1-2006,FALSE),0)+IFERROR(VLOOKUP($A147,MFootball!$C:$O,J$1-2011,FALSE),0)+IFERROR(VLOOKUP($A147,MIceHockey!$C:$P,J$1-2011,FALSE),0)+IFERROR(VLOOKUP($A147,MLacrosse!$C:$O,J$1-2011,FALSE),0)+IFERROR(VLOOKUP($A147,MSoccer!$C:$O,J$1-2011,FALSE),0)+IFERROR(VLOOKUP($A147,MVolleyball!$C:$O,J$1-2011,FALSE),0)+IFERROR(VLOOKUP($A147,WBasketball!$C:$O,J$1-2011,FALSE),0)+IFERROR(VLOOKUP($A147,WFieldHockey!$C:$O,J$1-2011,FALSE),0)+IFERROR(VLOOKUP($A147,WIceHockey!$C:$O,J$1-2011,FALSE),0)+IFERROR(VLOOKUP($A147,WLacrosse!$C:$O,J$1-2011,FALSE),0)+IFERROR(VLOOKUP($A147,WSoccer!$C:$O,J$1-2011,FALSE),0)+IFERROR(VLOOKUP($A147,WSoftball!$C:$O,J$1-2011,FALSE),0)+IFERROR(VLOOKUP($A147,WVolleyball!$C:$O,J$1-2011,FALSE),0)</f>
        <v>78234</v>
      </c>
      <c r="K147">
        <f>IFERROR(VLOOKUP($A147,MBaseball!$C:$N,K$1-2010,FALSE),0)+IFERROR(VLOOKUP($A147,MBasketball!$C:$J,K$1-2006,FALSE),0)+IFERROR(VLOOKUP($A147,MFootball!$C:$O,K$1-2011,FALSE),0)+IFERROR(VLOOKUP($A147,MIceHockey!$C:$P,K$1-2011,FALSE),0)+IFERROR(VLOOKUP($A147,MLacrosse!$C:$O,K$1-2011,FALSE),0)+IFERROR(VLOOKUP($A147,MSoccer!$C:$O,K$1-2011,FALSE),0)+IFERROR(VLOOKUP($A147,MVolleyball!$C:$O,K$1-2011,FALSE),0)+IFERROR(VLOOKUP($A147,WBasketball!$C:$O,K$1-2011,FALSE),0)+IFERROR(VLOOKUP($A147,WFieldHockey!$C:$O,K$1-2011,FALSE),0)+IFERROR(VLOOKUP($A147,WIceHockey!$C:$O,K$1-2011,FALSE),0)+IFERROR(VLOOKUP($A147,WLacrosse!$C:$O,K$1-2011,FALSE),0)+IFERROR(VLOOKUP($A147,WSoccer!$C:$O,K$1-2011,FALSE),0)+IFERROR(VLOOKUP($A147,WSoftball!$C:$O,K$1-2011,FALSE),0)+IFERROR(VLOOKUP($A147,WVolleyball!$C:$O,K$1-2011,FALSE),0)</f>
        <v>78451</v>
      </c>
      <c r="L147">
        <f>IFERROR(VLOOKUP($A147,MBaseball!$C:$N,L$1-2010,FALSE),0)+IFERROR(VLOOKUP($A147,MBasketball!$C:$J,L$1-2006,FALSE),0)+IFERROR(VLOOKUP($A147,MFootball!$C:$O,L$1-2011,FALSE),0)+IFERROR(VLOOKUP($A147,MIceHockey!$C:$P,L$1-2011,FALSE),0)+IFERROR(VLOOKUP($A147,MLacrosse!$C:$O,L$1-2011,FALSE),0)+IFERROR(VLOOKUP($A147,MSoccer!$C:$O,L$1-2011,FALSE),0)+IFERROR(VLOOKUP($A147,MVolleyball!$C:$O,L$1-2011,FALSE),0)+IFERROR(VLOOKUP($A147,WBasketball!$C:$O,L$1-2011,FALSE),0)+IFERROR(VLOOKUP($A147,WFieldHockey!$C:$O,L$1-2011,FALSE),0)+IFERROR(VLOOKUP($A147,WIceHockey!$C:$O,L$1-2011,FALSE),0)+IFERROR(VLOOKUP($A147,WLacrosse!$C:$O,L$1-2011,FALSE),0)+IFERROR(VLOOKUP($A147,WSoccer!$C:$O,L$1-2011,FALSE),0)+IFERROR(VLOOKUP($A147,WSoftball!$C:$O,L$1-2011,FALSE),0)+IFERROR(VLOOKUP($A147,WVolleyball!$C:$O,L$1-2011,FALSE),0)</f>
        <v>8512</v>
      </c>
      <c r="M147">
        <f>IFERROR(VLOOKUP($A147,MBaseball!$C:$N,M$1-2010,FALSE),0)+IFERROR(VLOOKUP($A147,MBasketball!$C:$J,M$1-2006,FALSE),0)+IFERROR(VLOOKUP($A147,MFootball!$C:$O,M$1-2011,FALSE),0)+IFERROR(VLOOKUP($A147,MIceHockey!$C:$P,M$1-2011,FALSE),0)+IFERROR(VLOOKUP($A147,MLacrosse!$C:$O,M$1-2011,FALSE),0)+IFERROR(VLOOKUP($A147,MSoccer!$C:$O,M$1-2011,FALSE),0)+IFERROR(VLOOKUP($A147,MVolleyball!$C:$O,M$1-2011,FALSE),0)+IFERROR(VLOOKUP($A147,WBasketball!$C:$O,M$1-2011,FALSE),0)+IFERROR(VLOOKUP($A147,WFieldHockey!$C:$O,M$1-2011,FALSE),0)+IFERROR(VLOOKUP($A147,WIceHockey!$C:$O,M$1-2011,FALSE),0)+IFERROR(VLOOKUP($A147,WLacrosse!$C:$O,M$1-2011,FALSE),0)+IFERROR(VLOOKUP($A147,WSoccer!$C:$O,M$1-2011,FALSE),0)+IFERROR(VLOOKUP($A147,WSoftball!$C:$O,M$1-2011,FALSE),0)+IFERROR(VLOOKUP($A147,WVolleyball!$C:$O,M$1-2011,FALSE),0)</f>
        <v>76137</v>
      </c>
      <c r="N147">
        <f>IFERROR(VLOOKUP($A147,MBaseball!$C:$N,N$1-2010,FALSE),0)+IFERROR(VLOOKUP($A147,MBasketball!$C:$J,N$1-2006,FALSE),0)+IFERROR(VLOOKUP($A147,MFootball!$C:$O,N$1-2011,FALSE),0)+IFERROR(VLOOKUP($A147,MIceHockey!$C:$P,N$1-2011,FALSE),0)+IFERROR(VLOOKUP($A147,MLacrosse!$C:$O,N$1-2011,FALSE),0)+IFERROR(VLOOKUP($A147,MSoccer!$C:$O,N$1-2011,FALSE),0)+IFERROR(VLOOKUP($A147,MVolleyball!$C:$O,N$1-2011,FALSE),0)+IFERROR(VLOOKUP($A147,WBasketball!$C:$O,N$1-2011,FALSE),0)+IFERROR(VLOOKUP($A147,WFieldHockey!$C:$O,N$1-2011,FALSE),0)+IFERROR(VLOOKUP($A147,WIceHockey!$C:$O,N$1-2011,FALSE),0)+IFERROR(VLOOKUP($A147,WLacrosse!$C:$O,N$1-2011,FALSE),0)+IFERROR(VLOOKUP($A147,WSoccer!$C:$O,N$1-2011,FALSE),0)+IFERROR(VLOOKUP($A147,WSoftball!$C:$O,N$1-2011,FALSE),0)+IFERROR(VLOOKUP($A147,WVolleyball!$C:$O,N$1-2011,FALSE),0)</f>
        <v>57872</v>
      </c>
    </row>
    <row r="148" spans="1:14" x14ac:dyDescent="0.2">
      <c r="A148">
        <v>221759</v>
      </c>
      <c r="B148">
        <v>28940</v>
      </c>
      <c r="C148" t="s">
        <v>212</v>
      </c>
      <c r="D148">
        <v>147</v>
      </c>
      <c r="E148">
        <f>IFERROR(VLOOKUP($A148,MBaseball!$C:$N,E$1-2010,FALSE),0)+IFERROR(VLOOKUP($A148,MBasketball!$C:$J,E$1-2006,FALSE),0)+IFERROR(VLOOKUP($A148,MFootball!$C:$O,E$1-2011,FALSE),0)+IFERROR(VLOOKUP($A148,MIceHockey!$C:$P,E$1-2011,FALSE),0)+IFERROR(VLOOKUP($A148,MLacrosse!$C:$O,E$1-2011,FALSE),0)+IFERROR(VLOOKUP($A148,MSoccer!$C:$O,E$1-2011,FALSE),0)+IFERROR(VLOOKUP($A148,MVolleyball!$C:$O,E$1-2011,FALSE),0)+IFERROR(VLOOKUP($A148,WBasketball!$C:$O,E$1-2011,FALSE),0)+IFERROR(VLOOKUP($A148,WFieldHockey!$C:$O,E$1-2011,FALSE),0)+IFERROR(VLOOKUP($A148,WIceHockey!$C:$O,E$1-2011,FALSE),0)+IFERROR(VLOOKUP($A148,WLacrosse!$C:$O,E$1-2011,FALSE),0)+IFERROR(VLOOKUP($A148,WSoccer!$C:$O,E$1-2011,FALSE),0)+IFERROR(VLOOKUP($A148,WSoftball!$C:$O,E$1-2011,FALSE),0)+IFERROR(VLOOKUP($A148,WVolleyball!$C:$O,E$1-2011,FALSE),0)</f>
        <v>608814</v>
      </c>
      <c r="F148">
        <f>IFERROR(VLOOKUP($A148,MBaseball!$C:$N,F$1-2010,FALSE),0)+IFERROR(VLOOKUP($A148,MBasketball!$C:$J,F$1-2006,FALSE),0)+IFERROR(VLOOKUP($A148,MFootball!$C:$O,F$1-2011,FALSE),0)+IFERROR(VLOOKUP($A148,MIceHockey!$C:$P,F$1-2011,FALSE),0)+IFERROR(VLOOKUP($A148,MLacrosse!$C:$O,F$1-2011,FALSE),0)+IFERROR(VLOOKUP($A148,MSoccer!$C:$O,F$1-2011,FALSE),0)+IFERROR(VLOOKUP($A148,MVolleyball!$C:$O,F$1-2011,FALSE),0)+IFERROR(VLOOKUP($A148,WBasketball!$C:$O,F$1-2011,FALSE),0)+IFERROR(VLOOKUP($A148,WFieldHockey!$C:$O,F$1-2011,FALSE),0)+IFERROR(VLOOKUP($A148,WIceHockey!$C:$O,F$1-2011,FALSE),0)+IFERROR(VLOOKUP($A148,WLacrosse!$C:$O,F$1-2011,FALSE),0)+IFERROR(VLOOKUP($A148,WSoccer!$C:$O,F$1-2011,FALSE),0)+IFERROR(VLOOKUP($A148,WSoftball!$C:$O,F$1-2011,FALSE),0)+IFERROR(VLOOKUP($A148,WVolleyball!$C:$O,F$1-2011,FALSE),0)</f>
        <v>959819</v>
      </c>
      <c r="G148">
        <f>IFERROR(VLOOKUP($A148,MBaseball!$C:$N,G$1-2010,FALSE),0)+IFERROR(VLOOKUP($A148,MBasketball!$C:$J,G$1-2006,FALSE),0)+IFERROR(VLOOKUP($A148,MFootball!$C:$O,G$1-2011,FALSE),0)+IFERROR(VLOOKUP($A148,MIceHockey!$C:$P,G$1-2011,FALSE),0)+IFERROR(VLOOKUP($A148,MLacrosse!$C:$O,G$1-2011,FALSE),0)+IFERROR(VLOOKUP($A148,MSoccer!$C:$O,G$1-2011,FALSE),0)+IFERROR(VLOOKUP($A148,MVolleyball!$C:$O,G$1-2011,FALSE),0)+IFERROR(VLOOKUP($A148,WBasketball!$C:$O,G$1-2011,FALSE),0)+IFERROR(VLOOKUP($A148,WFieldHockey!$C:$O,G$1-2011,FALSE),0)+IFERROR(VLOOKUP($A148,WIceHockey!$C:$O,G$1-2011,FALSE),0)+IFERROR(VLOOKUP($A148,WLacrosse!$C:$O,G$1-2011,FALSE),0)+IFERROR(VLOOKUP($A148,WSoccer!$C:$O,G$1-2011,FALSE),0)+IFERROR(VLOOKUP($A148,WSoftball!$C:$O,G$1-2011,FALSE),0)+IFERROR(VLOOKUP($A148,WVolleyball!$C:$O,G$1-2011,FALSE),0)</f>
        <v>990435</v>
      </c>
      <c r="H148">
        <f>IFERROR(VLOOKUP($A148,MBaseball!$C:$N,H$1-2010,FALSE),0)+IFERROR(VLOOKUP($A148,MBasketball!$C:$J,H$1-2006,FALSE),0)+IFERROR(VLOOKUP($A148,MFootball!$C:$O,H$1-2011,FALSE),0)+IFERROR(VLOOKUP($A148,MIceHockey!$C:$P,H$1-2011,FALSE),0)+IFERROR(VLOOKUP($A148,MLacrosse!$C:$O,H$1-2011,FALSE),0)+IFERROR(VLOOKUP($A148,MSoccer!$C:$O,H$1-2011,FALSE),0)+IFERROR(VLOOKUP($A148,MVolleyball!$C:$O,H$1-2011,FALSE),0)+IFERROR(VLOOKUP($A148,WBasketball!$C:$O,H$1-2011,FALSE),0)+IFERROR(VLOOKUP($A148,WFieldHockey!$C:$O,H$1-2011,FALSE),0)+IFERROR(VLOOKUP($A148,WIceHockey!$C:$O,H$1-2011,FALSE),0)+IFERROR(VLOOKUP($A148,WLacrosse!$C:$O,H$1-2011,FALSE),0)+IFERROR(VLOOKUP($A148,WSoccer!$C:$O,H$1-2011,FALSE),0)+IFERROR(VLOOKUP($A148,WSoftball!$C:$O,H$1-2011,FALSE),0)+IFERROR(VLOOKUP($A148,WVolleyball!$C:$O,H$1-2011,FALSE),0)</f>
        <v>994575</v>
      </c>
      <c r="I148">
        <f>IFERROR(VLOOKUP($A148,MBaseball!$C:$N,I$1-2010,FALSE),0)+IFERROR(VLOOKUP($A148,MBasketball!$C:$J,I$1-2006,FALSE),0)+IFERROR(VLOOKUP($A148,MFootball!$C:$O,I$1-2011,FALSE),0)+IFERROR(VLOOKUP($A148,MIceHockey!$C:$P,I$1-2011,FALSE),0)+IFERROR(VLOOKUP($A148,MLacrosse!$C:$O,I$1-2011,FALSE),0)+IFERROR(VLOOKUP($A148,MSoccer!$C:$O,I$1-2011,FALSE),0)+IFERROR(VLOOKUP($A148,MVolleyball!$C:$O,I$1-2011,FALSE),0)+IFERROR(VLOOKUP($A148,WBasketball!$C:$O,I$1-2011,FALSE),0)+IFERROR(VLOOKUP($A148,WFieldHockey!$C:$O,I$1-2011,FALSE),0)+IFERROR(VLOOKUP($A148,WIceHockey!$C:$O,I$1-2011,FALSE),0)+IFERROR(VLOOKUP($A148,WLacrosse!$C:$O,I$1-2011,FALSE),0)+IFERROR(VLOOKUP($A148,WSoccer!$C:$O,I$1-2011,FALSE),0)+IFERROR(VLOOKUP($A148,WSoftball!$C:$O,I$1-2011,FALSE),0)+IFERROR(VLOOKUP($A148,WVolleyball!$C:$O,I$1-2011,FALSE),0)</f>
        <v>949094</v>
      </c>
      <c r="J148">
        <f>IFERROR(VLOOKUP($A148,MBaseball!$C:$N,J$1-2010,FALSE),0)+IFERROR(VLOOKUP($A148,MBasketball!$C:$J,J$1-2006,FALSE),0)+IFERROR(VLOOKUP($A148,MFootball!$C:$O,J$1-2011,FALSE),0)+IFERROR(VLOOKUP($A148,MIceHockey!$C:$P,J$1-2011,FALSE),0)+IFERROR(VLOOKUP($A148,MLacrosse!$C:$O,J$1-2011,FALSE),0)+IFERROR(VLOOKUP($A148,MSoccer!$C:$O,J$1-2011,FALSE),0)+IFERROR(VLOOKUP($A148,MVolleyball!$C:$O,J$1-2011,FALSE),0)+IFERROR(VLOOKUP($A148,WBasketball!$C:$O,J$1-2011,FALSE),0)+IFERROR(VLOOKUP($A148,WFieldHockey!$C:$O,J$1-2011,FALSE),0)+IFERROR(VLOOKUP($A148,WIceHockey!$C:$O,J$1-2011,FALSE),0)+IFERROR(VLOOKUP($A148,WLacrosse!$C:$O,J$1-2011,FALSE),0)+IFERROR(VLOOKUP($A148,WSoccer!$C:$O,J$1-2011,FALSE),0)+IFERROR(VLOOKUP($A148,WSoftball!$C:$O,J$1-2011,FALSE),0)+IFERROR(VLOOKUP($A148,WVolleyball!$C:$O,J$1-2011,FALSE),0)</f>
        <v>885112</v>
      </c>
      <c r="K148">
        <f>IFERROR(VLOOKUP($A148,MBaseball!$C:$N,K$1-2010,FALSE),0)+IFERROR(VLOOKUP($A148,MBasketball!$C:$J,K$1-2006,FALSE),0)+IFERROR(VLOOKUP($A148,MFootball!$C:$O,K$1-2011,FALSE),0)+IFERROR(VLOOKUP($A148,MIceHockey!$C:$P,K$1-2011,FALSE),0)+IFERROR(VLOOKUP($A148,MLacrosse!$C:$O,K$1-2011,FALSE),0)+IFERROR(VLOOKUP($A148,MSoccer!$C:$O,K$1-2011,FALSE),0)+IFERROR(VLOOKUP($A148,MVolleyball!$C:$O,K$1-2011,FALSE),0)+IFERROR(VLOOKUP($A148,WBasketball!$C:$O,K$1-2011,FALSE),0)+IFERROR(VLOOKUP($A148,WFieldHockey!$C:$O,K$1-2011,FALSE),0)+IFERROR(VLOOKUP($A148,WIceHockey!$C:$O,K$1-2011,FALSE),0)+IFERROR(VLOOKUP($A148,WLacrosse!$C:$O,K$1-2011,FALSE),0)+IFERROR(VLOOKUP($A148,WSoccer!$C:$O,K$1-2011,FALSE),0)+IFERROR(VLOOKUP($A148,WSoftball!$C:$O,K$1-2011,FALSE),0)+IFERROR(VLOOKUP($A148,WVolleyball!$C:$O,K$1-2011,FALSE),0)</f>
        <v>956342</v>
      </c>
      <c r="L148">
        <f>IFERROR(VLOOKUP($A148,MBaseball!$C:$N,L$1-2010,FALSE),0)+IFERROR(VLOOKUP($A148,MBasketball!$C:$J,L$1-2006,FALSE),0)+IFERROR(VLOOKUP($A148,MFootball!$C:$O,L$1-2011,FALSE),0)+IFERROR(VLOOKUP($A148,MIceHockey!$C:$P,L$1-2011,FALSE),0)+IFERROR(VLOOKUP($A148,MLacrosse!$C:$O,L$1-2011,FALSE),0)+IFERROR(VLOOKUP($A148,MSoccer!$C:$O,L$1-2011,FALSE),0)+IFERROR(VLOOKUP($A148,MVolleyball!$C:$O,L$1-2011,FALSE),0)+IFERROR(VLOOKUP($A148,WBasketball!$C:$O,L$1-2011,FALSE),0)+IFERROR(VLOOKUP($A148,WFieldHockey!$C:$O,L$1-2011,FALSE),0)+IFERROR(VLOOKUP($A148,WIceHockey!$C:$O,L$1-2011,FALSE),0)+IFERROR(VLOOKUP($A148,WLacrosse!$C:$O,L$1-2011,FALSE),0)+IFERROR(VLOOKUP($A148,WSoccer!$C:$O,L$1-2011,FALSE),0)+IFERROR(VLOOKUP($A148,WSoftball!$C:$O,L$1-2011,FALSE),0)+IFERROR(VLOOKUP($A148,WVolleyball!$C:$O,L$1-2011,FALSE),0)</f>
        <v>346231</v>
      </c>
      <c r="M148">
        <f>IFERROR(VLOOKUP($A148,MBaseball!$C:$N,M$1-2010,FALSE),0)+IFERROR(VLOOKUP($A148,MBasketball!$C:$J,M$1-2006,FALSE),0)+IFERROR(VLOOKUP($A148,MFootball!$C:$O,M$1-2011,FALSE),0)+IFERROR(VLOOKUP($A148,MIceHockey!$C:$P,M$1-2011,FALSE),0)+IFERROR(VLOOKUP($A148,MLacrosse!$C:$O,M$1-2011,FALSE),0)+IFERROR(VLOOKUP($A148,MSoccer!$C:$O,M$1-2011,FALSE),0)+IFERROR(VLOOKUP($A148,MVolleyball!$C:$O,M$1-2011,FALSE),0)+IFERROR(VLOOKUP($A148,WBasketball!$C:$O,M$1-2011,FALSE),0)+IFERROR(VLOOKUP($A148,WFieldHockey!$C:$O,M$1-2011,FALSE),0)+IFERROR(VLOOKUP($A148,WIceHockey!$C:$O,M$1-2011,FALSE),0)+IFERROR(VLOOKUP($A148,WLacrosse!$C:$O,M$1-2011,FALSE),0)+IFERROR(VLOOKUP($A148,WSoccer!$C:$O,M$1-2011,FALSE),0)+IFERROR(VLOOKUP($A148,WSoftball!$C:$O,M$1-2011,FALSE),0)+IFERROR(VLOOKUP($A148,WVolleyball!$C:$O,M$1-2011,FALSE),0)</f>
        <v>1066955</v>
      </c>
      <c r="N148">
        <f>IFERROR(VLOOKUP($A148,MBaseball!$C:$N,N$1-2010,FALSE),0)+IFERROR(VLOOKUP($A148,MBasketball!$C:$J,N$1-2006,FALSE),0)+IFERROR(VLOOKUP($A148,MFootball!$C:$O,N$1-2011,FALSE),0)+IFERROR(VLOOKUP($A148,MIceHockey!$C:$P,N$1-2011,FALSE),0)+IFERROR(VLOOKUP($A148,MLacrosse!$C:$O,N$1-2011,FALSE),0)+IFERROR(VLOOKUP($A148,MSoccer!$C:$O,N$1-2011,FALSE),0)+IFERROR(VLOOKUP($A148,MVolleyball!$C:$O,N$1-2011,FALSE),0)+IFERROR(VLOOKUP($A148,WBasketball!$C:$O,N$1-2011,FALSE),0)+IFERROR(VLOOKUP($A148,WFieldHockey!$C:$O,N$1-2011,FALSE),0)+IFERROR(VLOOKUP($A148,WIceHockey!$C:$O,N$1-2011,FALSE),0)+IFERROR(VLOOKUP($A148,WLacrosse!$C:$O,N$1-2011,FALSE),0)+IFERROR(VLOOKUP($A148,WSoccer!$C:$O,N$1-2011,FALSE),0)+IFERROR(VLOOKUP($A148,WSoftball!$C:$O,N$1-2011,FALSE),0)+IFERROR(VLOOKUP($A148,WVolleyball!$C:$O,N$1-2011,FALSE),0)</f>
        <v>946426</v>
      </c>
    </row>
    <row r="149" spans="1:14" x14ac:dyDescent="0.2">
      <c r="A149">
        <v>221740</v>
      </c>
      <c r="B149">
        <v>16860</v>
      </c>
      <c r="C149" t="s">
        <v>213</v>
      </c>
      <c r="D149">
        <v>148</v>
      </c>
      <c r="E149">
        <f>IFERROR(VLOOKUP($A149,MBaseball!$C:$N,E$1-2010,FALSE),0)+IFERROR(VLOOKUP($A149,MBasketball!$C:$J,E$1-2006,FALSE),0)+IFERROR(VLOOKUP($A149,MFootball!$C:$O,E$1-2011,FALSE),0)+IFERROR(VLOOKUP($A149,MIceHockey!$C:$P,E$1-2011,FALSE),0)+IFERROR(VLOOKUP($A149,MLacrosse!$C:$O,E$1-2011,FALSE),0)+IFERROR(VLOOKUP($A149,MSoccer!$C:$O,E$1-2011,FALSE),0)+IFERROR(VLOOKUP($A149,MVolleyball!$C:$O,E$1-2011,FALSE),0)+IFERROR(VLOOKUP($A149,WBasketball!$C:$O,E$1-2011,FALSE),0)+IFERROR(VLOOKUP($A149,WFieldHockey!$C:$O,E$1-2011,FALSE),0)+IFERROR(VLOOKUP($A149,WIceHockey!$C:$O,E$1-2011,FALSE),0)+IFERROR(VLOOKUP($A149,WLacrosse!$C:$O,E$1-2011,FALSE),0)+IFERROR(VLOOKUP($A149,WSoccer!$C:$O,E$1-2011,FALSE),0)+IFERROR(VLOOKUP($A149,WSoftball!$C:$O,E$1-2011,FALSE),0)+IFERROR(VLOOKUP($A149,WVolleyball!$C:$O,E$1-2011,FALSE),0)</f>
        <v>81066</v>
      </c>
      <c r="F149">
        <f>IFERROR(VLOOKUP($A149,MBaseball!$C:$N,F$1-2010,FALSE),0)+IFERROR(VLOOKUP($A149,MBasketball!$C:$J,F$1-2006,FALSE),0)+IFERROR(VLOOKUP($A149,MFootball!$C:$O,F$1-2011,FALSE),0)+IFERROR(VLOOKUP($A149,MIceHockey!$C:$P,F$1-2011,FALSE),0)+IFERROR(VLOOKUP($A149,MLacrosse!$C:$O,F$1-2011,FALSE),0)+IFERROR(VLOOKUP($A149,MSoccer!$C:$O,F$1-2011,FALSE),0)+IFERROR(VLOOKUP($A149,MVolleyball!$C:$O,F$1-2011,FALSE),0)+IFERROR(VLOOKUP($A149,WBasketball!$C:$O,F$1-2011,FALSE),0)+IFERROR(VLOOKUP($A149,WFieldHockey!$C:$O,F$1-2011,FALSE),0)+IFERROR(VLOOKUP($A149,WIceHockey!$C:$O,F$1-2011,FALSE),0)+IFERROR(VLOOKUP($A149,WLacrosse!$C:$O,F$1-2011,FALSE),0)+IFERROR(VLOOKUP($A149,WSoccer!$C:$O,F$1-2011,FALSE),0)+IFERROR(VLOOKUP($A149,WSoftball!$C:$O,F$1-2011,FALSE),0)+IFERROR(VLOOKUP($A149,WVolleyball!$C:$O,F$1-2011,FALSE),0)</f>
        <v>96050</v>
      </c>
      <c r="G149">
        <f>IFERROR(VLOOKUP($A149,MBaseball!$C:$N,G$1-2010,FALSE),0)+IFERROR(VLOOKUP($A149,MBasketball!$C:$J,G$1-2006,FALSE),0)+IFERROR(VLOOKUP($A149,MFootball!$C:$O,G$1-2011,FALSE),0)+IFERROR(VLOOKUP($A149,MIceHockey!$C:$P,G$1-2011,FALSE),0)+IFERROR(VLOOKUP($A149,MLacrosse!$C:$O,G$1-2011,FALSE),0)+IFERROR(VLOOKUP($A149,MSoccer!$C:$O,G$1-2011,FALSE),0)+IFERROR(VLOOKUP($A149,MVolleyball!$C:$O,G$1-2011,FALSE),0)+IFERROR(VLOOKUP($A149,WBasketball!$C:$O,G$1-2011,FALSE),0)+IFERROR(VLOOKUP($A149,WFieldHockey!$C:$O,G$1-2011,FALSE),0)+IFERROR(VLOOKUP($A149,WIceHockey!$C:$O,G$1-2011,FALSE),0)+IFERROR(VLOOKUP($A149,WLacrosse!$C:$O,G$1-2011,FALSE),0)+IFERROR(VLOOKUP($A149,WSoccer!$C:$O,G$1-2011,FALSE),0)+IFERROR(VLOOKUP($A149,WSoftball!$C:$O,G$1-2011,FALSE),0)+IFERROR(VLOOKUP($A149,WVolleyball!$C:$O,G$1-2011,FALSE),0)</f>
        <v>104406</v>
      </c>
      <c r="H149">
        <f>IFERROR(VLOOKUP($A149,MBaseball!$C:$N,H$1-2010,FALSE),0)+IFERROR(VLOOKUP($A149,MBasketball!$C:$J,H$1-2006,FALSE),0)+IFERROR(VLOOKUP($A149,MFootball!$C:$O,H$1-2011,FALSE),0)+IFERROR(VLOOKUP($A149,MIceHockey!$C:$P,H$1-2011,FALSE),0)+IFERROR(VLOOKUP($A149,MLacrosse!$C:$O,H$1-2011,FALSE),0)+IFERROR(VLOOKUP($A149,MSoccer!$C:$O,H$1-2011,FALSE),0)+IFERROR(VLOOKUP($A149,MVolleyball!$C:$O,H$1-2011,FALSE),0)+IFERROR(VLOOKUP($A149,WBasketball!$C:$O,H$1-2011,FALSE),0)+IFERROR(VLOOKUP($A149,WFieldHockey!$C:$O,H$1-2011,FALSE),0)+IFERROR(VLOOKUP($A149,WIceHockey!$C:$O,H$1-2011,FALSE),0)+IFERROR(VLOOKUP($A149,WLacrosse!$C:$O,H$1-2011,FALSE),0)+IFERROR(VLOOKUP($A149,WSoccer!$C:$O,H$1-2011,FALSE),0)+IFERROR(VLOOKUP($A149,WSoftball!$C:$O,H$1-2011,FALSE),0)+IFERROR(VLOOKUP($A149,WVolleyball!$C:$O,H$1-2011,FALSE),0)</f>
        <v>111375</v>
      </c>
      <c r="I149">
        <f>IFERROR(VLOOKUP($A149,MBaseball!$C:$N,I$1-2010,FALSE),0)+IFERROR(VLOOKUP($A149,MBasketball!$C:$J,I$1-2006,FALSE),0)+IFERROR(VLOOKUP($A149,MFootball!$C:$O,I$1-2011,FALSE),0)+IFERROR(VLOOKUP($A149,MIceHockey!$C:$P,I$1-2011,FALSE),0)+IFERROR(VLOOKUP($A149,MLacrosse!$C:$O,I$1-2011,FALSE),0)+IFERROR(VLOOKUP($A149,MSoccer!$C:$O,I$1-2011,FALSE),0)+IFERROR(VLOOKUP($A149,MVolleyball!$C:$O,I$1-2011,FALSE),0)+IFERROR(VLOOKUP($A149,WBasketball!$C:$O,I$1-2011,FALSE),0)+IFERROR(VLOOKUP($A149,WFieldHockey!$C:$O,I$1-2011,FALSE),0)+IFERROR(VLOOKUP($A149,WIceHockey!$C:$O,I$1-2011,FALSE),0)+IFERROR(VLOOKUP($A149,WLacrosse!$C:$O,I$1-2011,FALSE),0)+IFERROR(VLOOKUP($A149,WSoccer!$C:$O,I$1-2011,FALSE),0)+IFERROR(VLOOKUP($A149,WSoftball!$C:$O,I$1-2011,FALSE),0)+IFERROR(VLOOKUP($A149,WVolleyball!$C:$O,I$1-2011,FALSE),0)</f>
        <v>103483</v>
      </c>
      <c r="J149">
        <f>IFERROR(VLOOKUP($A149,MBaseball!$C:$N,J$1-2010,FALSE),0)+IFERROR(VLOOKUP($A149,MBasketball!$C:$J,J$1-2006,FALSE),0)+IFERROR(VLOOKUP($A149,MFootball!$C:$O,J$1-2011,FALSE),0)+IFERROR(VLOOKUP($A149,MIceHockey!$C:$P,J$1-2011,FALSE),0)+IFERROR(VLOOKUP($A149,MLacrosse!$C:$O,J$1-2011,FALSE),0)+IFERROR(VLOOKUP($A149,MSoccer!$C:$O,J$1-2011,FALSE),0)+IFERROR(VLOOKUP($A149,MVolleyball!$C:$O,J$1-2011,FALSE),0)+IFERROR(VLOOKUP($A149,WBasketball!$C:$O,J$1-2011,FALSE),0)+IFERROR(VLOOKUP($A149,WFieldHockey!$C:$O,J$1-2011,FALSE),0)+IFERROR(VLOOKUP($A149,WIceHockey!$C:$O,J$1-2011,FALSE),0)+IFERROR(VLOOKUP($A149,WLacrosse!$C:$O,J$1-2011,FALSE),0)+IFERROR(VLOOKUP($A149,WSoccer!$C:$O,J$1-2011,FALSE),0)+IFERROR(VLOOKUP($A149,WSoftball!$C:$O,J$1-2011,FALSE),0)+IFERROR(VLOOKUP($A149,WVolleyball!$C:$O,J$1-2011,FALSE),0)</f>
        <v>89316</v>
      </c>
      <c r="K149">
        <f>IFERROR(VLOOKUP($A149,MBaseball!$C:$N,K$1-2010,FALSE),0)+IFERROR(VLOOKUP($A149,MBasketball!$C:$J,K$1-2006,FALSE),0)+IFERROR(VLOOKUP($A149,MFootball!$C:$O,K$1-2011,FALSE),0)+IFERROR(VLOOKUP($A149,MIceHockey!$C:$P,K$1-2011,FALSE),0)+IFERROR(VLOOKUP($A149,MLacrosse!$C:$O,K$1-2011,FALSE),0)+IFERROR(VLOOKUP($A149,MSoccer!$C:$O,K$1-2011,FALSE),0)+IFERROR(VLOOKUP($A149,MVolleyball!$C:$O,K$1-2011,FALSE),0)+IFERROR(VLOOKUP($A149,WBasketball!$C:$O,K$1-2011,FALSE),0)+IFERROR(VLOOKUP($A149,WFieldHockey!$C:$O,K$1-2011,FALSE),0)+IFERROR(VLOOKUP($A149,WIceHockey!$C:$O,K$1-2011,FALSE),0)+IFERROR(VLOOKUP($A149,WLacrosse!$C:$O,K$1-2011,FALSE),0)+IFERROR(VLOOKUP($A149,WSoccer!$C:$O,K$1-2011,FALSE),0)+IFERROR(VLOOKUP($A149,WSoftball!$C:$O,K$1-2011,FALSE),0)+IFERROR(VLOOKUP($A149,WVolleyball!$C:$O,K$1-2011,FALSE),0)</f>
        <v>73352</v>
      </c>
      <c r="L149">
        <f>IFERROR(VLOOKUP($A149,MBaseball!$C:$N,L$1-2010,FALSE),0)+IFERROR(VLOOKUP($A149,MBasketball!$C:$J,L$1-2006,FALSE),0)+IFERROR(VLOOKUP($A149,MFootball!$C:$O,L$1-2011,FALSE),0)+IFERROR(VLOOKUP($A149,MIceHockey!$C:$P,L$1-2011,FALSE),0)+IFERROR(VLOOKUP($A149,MLacrosse!$C:$O,L$1-2011,FALSE),0)+IFERROR(VLOOKUP($A149,MSoccer!$C:$O,L$1-2011,FALSE),0)+IFERROR(VLOOKUP($A149,MVolleyball!$C:$O,L$1-2011,FALSE),0)+IFERROR(VLOOKUP($A149,WBasketball!$C:$O,L$1-2011,FALSE),0)+IFERROR(VLOOKUP($A149,WFieldHockey!$C:$O,L$1-2011,FALSE),0)+IFERROR(VLOOKUP($A149,WIceHockey!$C:$O,L$1-2011,FALSE),0)+IFERROR(VLOOKUP($A149,WLacrosse!$C:$O,L$1-2011,FALSE),0)+IFERROR(VLOOKUP($A149,WSoccer!$C:$O,L$1-2011,FALSE),0)+IFERROR(VLOOKUP($A149,WSoftball!$C:$O,L$1-2011,FALSE),0)+IFERROR(VLOOKUP($A149,WVolleyball!$C:$O,L$1-2011,FALSE),0)</f>
        <v>10372</v>
      </c>
      <c r="M149">
        <f>IFERROR(VLOOKUP($A149,MBaseball!$C:$N,M$1-2010,FALSE),0)+IFERROR(VLOOKUP($A149,MBasketball!$C:$J,M$1-2006,FALSE),0)+IFERROR(VLOOKUP($A149,MFootball!$C:$O,M$1-2011,FALSE),0)+IFERROR(VLOOKUP($A149,MIceHockey!$C:$P,M$1-2011,FALSE),0)+IFERROR(VLOOKUP($A149,MLacrosse!$C:$O,M$1-2011,FALSE),0)+IFERROR(VLOOKUP($A149,MSoccer!$C:$O,M$1-2011,FALSE),0)+IFERROR(VLOOKUP($A149,MVolleyball!$C:$O,M$1-2011,FALSE),0)+IFERROR(VLOOKUP($A149,WBasketball!$C:$O,M$1-2011,FALSE),0)+IFERROR(VLOOKUP($A149,WFieldHockey!$C:$O,M$1-2011,FALSE),0)+IFERROR(VLOOKUP($A149,WIceHockey!$C:$O,M$1-2011,FALSE),0)+IFERROR(VLOOKUP($A149,WLacrosse!$C:$O,M$1-2011,FALSE),0)+IFERROR(VLOOKUP($A149,WSoccer!$C:$O,M$1-2011,FALSE),0)+IFERROR(VLOOKUP($A149,WSoftball!$C:$O,M$1-2011,FALSE),0)+IFERROR(VLOOKUP($A149,WVolleyball!$C:$O,M$1-2011,FALSE),0)</f>
        <v>66500</v>
      </c>
      <c r="N149">
        <f>IFERROR(VLOOKUP($A149,MBaseball!$C:$N,N$1-2010,FALSE),0)+IFERROR(VLOOKUP($A149,MBasketball!$C:$J,N$1-2006,FALSE),0)+IFERROR(VLOOKUP($A149,MFootball!$C:$O,N$1-2011,FALSE),0)+IFERROR(VLOOKUP($A149,MIceHockey!$C:$P,N$1-2011,FALSE),0)+IFERROR(VLOOKUP($A149,MLacrosse!$C:$O,N$1-2011,FALSE),0)+IFERROR(VLOOKUP($A149,MSoccer!$C:$O,N$1-2011,FALSE),0)+IFERROR(VLOOKUP($A149,MVolleyball!$C:$O,N$1-2011,FALSE),0)+IFERROR(VLOOKUP($A149,WBasketball!$C:$O,N$1-2011,FALSE),0)+IFERROR(VLOOKUP($A149,WFieldHockey!$C:$O,N$1-2011,FALSE),0)+IFERROR(VLOOKUP($A149,WIceHockey!$C:$O,N$1-2011,FALSE),0)+IFERROR(VLOOKUP($A149,WLacrosse!$C:$O,N$1-2011,FALSE),0)+IFERROR(VLOOKUP($A149,WSoccer!$C:$O,N$1-2011,FALSE),0)+IFERROR(VLOOKUP($A149,WSoftball!$C:$O,N$1-2011,FALSE),0)+IFERROR(VLOOKUP($A149,WVolleyball!$C:$O,N$1-2011,FALSE),0)</f>
        <v>65659</v>
      </c>
    </row>
    <row r="150" spans="1:14" x14ac:dyDescent="0.2">
      <c r="A150">
        <v>221847</v>
      </c>
      <c r="B150">
        <v>18260</v>
      </c>
      <c r="C150" t="s">
        <v>215</v>
      </c>
      <c r="D150">
        <v>149</v>
      </c>
      <c r="E150">
        <f>IFERROR(VLOOKUP($A150,MBaseball!$C:$N,E$1-2010,FALSE),0)+IFERROR(VLOOKUP($A150,MBasketball!$C:$J,E$1-2006,FALSE),0)+IFERROR(VLOOKUP($A150,MFootball!$C:$O,E$1-2011,FALSE),0)+IFERROR(VLOOKUP($A150,MIceHockey!$C:$P,E$1-2011,FALSE),0)+IFERROR(VLOOKUP($A150,MLacrosse!$C:$O,E$1-2011,FALSE),0)+IFERROR(VLOOKUP($A150,MSoccer!$C:$O,E$1-2011,FALSE),0)+IFERROR(VLOOKUP($A150,MVolleyball!$C:$O,E$1-2011,FALSE),0)+IFERROR(VLOOKUP($A150,WBasketball!$C:$O,E$1-2011,FALSE),0)+IFERROR(VLOOKUP($A150,WFieldHockey!$C:$O,E$1-2011,FALSE),0)+IFERROR(VLOOKUP($A150,WIceHockey!$C:$O,E$1-2011,FALSE),0)+IFERROR(VLOOKUP($A150,WLacrosse!$C:$O,E$1-2011,FALSE),0)+IFERROR(VLOOKUP($A150,WSoccer!$C:$O,E$1-2011,FALSE),0)+IFERROR(VLOOKUP($A150,WSoftball!$C:$O,E$1-2011,FALSE),0)+IFERROR(VLOOKUP($A150,WVolleyball!$C:$O,E$1-2011,FALSE),0)</f>
        <v>54736</v>
      </c>
      <c r="F150">
        <f>IFERROR(VLOOKUP($A150,MBaseball!$C:$N,F$1-2010,FALSE),0)+IFERROR(VLOOKUP($A150,MBasketball!$C:$J,F$1-2006,FALSE),0)+IFERROR(VLOOKUP($A150,MFootball!$C:$O,F$1-2011,FALSE),0)+IFERROR(VLOOKUP($A150,MIceHockey!$C:$P,F$1-2011,FALSE),0)+IFERROR(VLOOKUP($A150,MLacrosse!$C:$O,F$1-2011,FALSE),0)+IFERROR(VLOOKUP($A150,MSoccer!$C:$O,F$1-2011,FALSE),0)+IFERROR(VLOOKUP($A150,MVolleyball!$C:$O,F$1-2011,FALSE),0)+IFERROR(VLOOKUP($A150,WBasketball!$C:$O,F$1-2011,FALSE),0)+IFERROR(VLOOKUP($A150,WFieldHockey!$C:$O,F$1-2011,FALSE),0)+IFERROR(VLOOKUP($A150,WIceHockey!$C:$O,F$1-2011,FALSE),0)+IFERROR(VLOOKUP($A150,WLacrosse!$C:$O,F$1-2011,FALSE),0)+IFERROR(VLOOKUP($A150,WSoccer!$C:$O,F$1-2011,FALSE),0)+IFERROR(VLOOKUP($A150,WSoftball!$C:$O,F$1-2011,FALSE),0)+IFERROR(VLOOKUP($A150,WVolleyball!$C:$O,F$1-2011,FALSE),0)</f>
        <v>64764</v>
      </c>
      <c r="G150">
        <f>IFERROR(VLOOKUP($A150,MBaseball!$C:$N,G$1-2010,FALSE),0)+IFERROR(VLOOKUP($A150,MBasketball!$C:$J,G$1-2006,FALSE),0)+IFERROR(VLOOKUP($A150,MFootball!$C:$O,G$1-2011,FALSE),0)+IFERROR(VLOOKUP($A150,MIceHockey!$C:$P,G$1-2011,FALSE),0)+IFERROR(VLOOKUP($A150,MLacrosse!$C:$O,G$1-2011,FALSE),0)+IFERROR(VLOOKUP($A150,MSoccer!$C:$O,G$1-2011,FALSE),0)+IFERROR(VLOOKUP($A150,MVolleyball!$C:$O,G$1-2011,FALSE),0)+IFERROR(VLOOKUP($A150,WBasketball!$C:$O,G$1-2011,FALSE),0)+IFERROR(VLOOKUP($A150,WFieldHockey!$C:$O,G$1-2011,FALSE),0)+IFERROR(VLOOKUP($A150,WIceHockey!$C:$O,G$1-2011,FALSE),0)+IFERROR(VLOOKUP($A150,WLacrosse!$C:$O,G$1-2011,FALSE),0)+IFERROR(VLOOKUP($A150,WSoccer!$C:$O,G$1-2011,FALSE),0)+IFERROR(VLOOKUP($A150,WSoftball!$C:$O,G$1-2011,FALSE),0)+IFERROR(VLOOKUP($A150,WVolleyball!$C:$O,G$1-2011,FALSE),0)</f>
        <v>68612</v>
      </c>
      <c r="H150">
        <f>IFERROR(VLOOKUP($A150,MBaseball!$C:$N,H$1-2010,FALSE),0)+IFERROR(VLOOKUP($A150,MBasketball!$C:$J,H$1-2006,FALSE),0)+IFERROR(VLOOKUP($A150,MFootball!$C:$O,H$1-2011,FALSE),0)+IFERROR(VLOOKUP($A150,MIceHockey!$C:$P,H$1-2011,FALSE),0)+IFERROR(VLOOKUP($A150,MLacrosse!$C:$O,H$1-2011,FALSE),0)+IFERROR(VLOOKUP($A150,MSoccer!$C:$O,H$1-2011,FALSE),0)+IFERROR(VLOOKUP($A150,MVolleyball!$C:$O,H$1-2011,FALSE),0)+IFERROR(VLOOKUP($A150,WBasketball!$C:$O,H$1-2011,FALSE),0)+IFERROR(VLOOKUP($A150,WFieldHockey!$C:$O,H$1-2011,FALSE),0)+IFERROR(VLOOKUP($A150,WIceHockey!$C:$O,H$1-2011,FALSE),0)+IFERROR(VLOOKUP($A150,WLacrosse!$C:$O,H$1-2011,FALSE),0)+IFERROR(VLOOKUP($A150,WSoccer!$C:$O,H$1-2011,FALSE),0)+IFERROR(VLOOKUP($A150,WSoftball!$C:$O,H$1-2011,FALSE),0)+IFERROR(VLOOKUP($A150,WVolleyball!$C:$O,H$1-2011,FALSE),0)</f>
        <v>64501</v>
      </c>
      <c r="I150">
        <f>IFERROR(VLOOKUP($A150,MBaseball!$C:$N,I$1-2010,FALSE),0)+IFERROR(VLOOKUP($A150,MBasketball!$C:$J,I$1-2006,FALSE),0)+IFERROR(VLOOKUP($A150,MFootball!$C:$O,I$1-2011,FALSE),0)+IFERROR(VLOOKUP($A150,MIceHockey!$C:$P,I$1-2011,FALSE),0)+IFERROR(VLOOKUP($A150,MLacrosse!$C:$O,I$1-2011,FALSE),0)+IFERROR(VLOOKUP($A150,MSoccer!$C:$O,I$1-2011,FALSE),0)+IFERROR(VLOOKUP($A150,MVolleyball!$C:$O,I$1-2011,FALSE),0)+IFERROR(VLOOKUP($A150,WBasketball!$C:$O,I$1-2011,FALSE),0)+IFERROR(VLOOKUP($A150,WFieldHockey!$C:$O,I$1-2011,FALSE),0)+IFERROR(VLOOKUP($A150,WIceHockey!$C:$O,I$1-2011,FALSE),0)+IFERROR(VLOOKUP($A150,WLacrosse!$C:$O,I$1-2011,FALSE),0)+IFERROR(VLOOKUP($A150,WSoccer!$C:$O,I$1-2011,FALSE),0)+IFERROR(VLOOKUP($A150,WSoftball!$C:$O,I$1-2011,FALSE),0)+IFERROR(VLOOKUP($A150,WVolleyball!$C:$O,I$1-2011,FALSE),0)</f>
        <v>65182</v>
      </c>
      <c r="J150">
        <f>IFERROR(VLOOKUP($A150,MBaseball!$C:$N,J$1-2010,FALSE),0)+IFERROR(VLOOKUP($A150,MBasketball!$C:$J,J$1-2006,FALSE),0)+IFERROR(VLOOKUP($A150,MFootball!$C:$O,J$1-2011,FALSE),0)+IFERROR(VLOOKUP($A150,MIceHockey!$C:$P,J$1-2011,FALSE),0)+IFERROR(VLOOKUP($A150,MLacrosse!$C:$O,J$1-2011,FALSE),0)+IFERROR(VLOOKUP($A150,MSoccer!$C:$O,J$1-2011,FALSE),0)+IFERROR(VLOOKUP($A150,MVolleyball!$C:$O,J$1-2011,FALSE),0)+IFERROR(VLOOKUP($A150,WBasketball!$C:$O,J$1-2011,FALSE),0)+IFERROR(VLOOKUP($A150,WFieldHockey!$C:$O,J$1-2011,FALSE),0)+IFERROR(VLOOKUP($A150,WIceHockey!$C:$O,J$1-2011,FALSE),0)+IFERROR(VLOOKUP($A150,WLacrosse!$C:$O,J$1-2011,FALSE),0)+IFERROR(VLOOKUP($A150,WSoccer!$C:$O,J$1-2011,FALSE),0)+IFERROR(VLOOKUP($A150,WSoftball!$C:$O,J$1-2011,FALSE),0)+IFERROR(VLOOKUP($A150,WVolleyball!$C:$O,J$1-2011,FALSE),0)</f>
        <v>66694</v>
      </c>
      <c r="K150">
        <f>IFERROR(VLOOKUP($A150,MBaseball!$C:$N,K$1-2010,FALSE),0)+IFERROR(VLOOKUP($A150,MBasketball!$C:$J,K$1-2006,FALSE),0)+IFERROR(VLOOKUP($A150,MFootball!$C:$O,K$1-2011,FALSE),0)+IFERROR(VLOOKUP($A150,MIceHockey!$C:$P,K$1-2011,FALSE),0)+IFERROR(VLOOKUP($A150,MLacrosse!$C:$O,K$1-2011,FALSE),0)+IFERROR(VLOOKUP($A150,MSoccer!$C:$O,K$1-2011,FALSE),0)+IFERROR(VLOOKUP($A150,MVolleyball!$C:$O,K$1-2011,FALSE),0)+IFERROR(VLOOKUP($A150,WBasketball!$C:$O,K$1-2011,FALSE),0)+IFERROR(VLOOKUP($A150,WFieldHockey!$C:$O,K$1-2011,FALSE),0)+IFERROR(VLOOKUP($A150,WIceHockey!$C:$O,K$1-2011,FALSE),0)+IFERROR(VLOOKUP($A150,WLacrosse!$C:$O,K$1-2011,FALSE),0)+IFERROR(VLOOKUP($A150,WSoccer!$C:$O,K$1-2011,FALSE),0)+IFERROR(VLOOKUP($A150,WSoftball!$C:$O,K$1-2011,FALSE),0)+IFERROR(VLOOKUP($A150,WVolleyball!$C:$O,K$1-2011,FALSE),0)</f>
        <v>68781</v>
      </c>
      <c r="L150">
        <f>IFERROR(VLOOKUP($A150,MBaseball!$C:$N,L$1-2010,FALSE),0)+IFERROR(VLOOKUP($A150,MBasketball!$C:$J,L$1-2006,FALSE),0)+IFERROR(VLOOKUP($A150,MFootball!$C:$O,L$1-2011,FALSE),0)+IFERROR(VLOOKUP($A150,MIceHockey!$C:$P,L$1-2011,FALSE),0)+IFERROR(VLOOKUP($A150,MLacrosse!$C:$O,L$1-2011,FALSE),0)+IFERROR(VLOOKUP($A150,MSoccer!$C:$O,L$1-2011,FALSE),0)+IFERROR(VLOOKUP($A150,MVolleyball!$C:$O,L$1-2011,FALSE),0)+IFERROR(VLOOKUP($A150,WBasketball!$C:$O,L$1-2011,FALSE),0)+IFERROR(VLOOKUP($A150,WFieldHockey!$C:$O,L$1-2011,FALSE),0)+IFERROR(VLOOKUP($A150,WIceHockey!$C:$O,L$1-2011,FALSE),0)+IFERROR(VLOOKUP($A150,WLacrosse!$C:$O,L$1-2011,FALSE),0)+IFERROR(VLOOKUP($A150,WSoccer!$C:$O,L$1-2011,FALSE),0)+IFERROR(VLOOKUP($A150,WSoftball!$C:$O,L$1-2011,FALSE),0)+IFERROR(VLOOKUP($A150,WVolleyball!$C:$O,L$1-2011,FALSE),0)</f>
        <v>22076</v>
      </c>
      <c r="M150">
        <f>IFERROR(VLOOKUP($A150,MBaseball!$C:$N,M$1-2010,FALSE),0)+IFERROR(VLOOKUP($A150,MBasketball!$C:$J,M$1-2006,FALSE),0)+IFERROR(VLOOKUP($A150,MFootball!$C:$O,M$1-2011,FALSE),0)+IFERROR(VLOOKUP($A150,MIceHockey!$C:$P,M$1-2011,FALSE),0)+IFERROR(VLOOKUP($A150,MLacrosse!$C:$O,M$1-2011,FALSE),0)+IFERROR(VLOOKUP($A150,MSoccer!$C:$O,M$1-2011,FALSE),0)+IFERROR(VLOOKUP($A150,MVolleyball!$C:$O,M$1-2011,FALSE),0)+IFERROR(VLOOKUP($A150,WBasketball!$C:$O,M$1-2011,FALSE),0)+IFERROR(VLOOKUP($A150,WFieldHockey!$C:$O,M$1-2011,FALSE),0)+IFERROR(VLOOKUP($A150,WIceHockey!$C:$O,M$1-2011,FALSE),0)+IFERROR(VLOOKUP($A150,WLacrosse!$C:$O,M$1-2011,FALSE),0)+IFERROR(VLOOKUP($A150,WSoccer!$C:$O,M$1-2011,FALSE),0)+IFERROR(VLOOKUP($A150,WSoftball!$C:$O,M$1-2011,FALSE),0)+IFERROR(VLOOKUP($A150,WVolleyball!$C:$O,M$1-2011,FALSE),0)</f>
        <v>59732</v>
      </c>
      <c r="N150">
        <f>IFERROR(VLOOKUP($A150,MBaseball!$C:$N,N$1-2010,FALSE),0)+IFERROR(VLOOKUP($A150,MBasketball!$C:$J,N$1-2006,FALSE),0)+IFERROR(VLOOKUP($A150,MFootball!$C:$O,N$1-2011,FALSE),0)+IFERROR(VLOOKUP($A150,MIceHockey!$C:$P,N$1-2011,FALSE),0)+IFERROR(VLOOKUP($A150,MLacrosse!$C:$O,N$1-2011,FALSE),0)+IFERROR(VLOOKUP($A150,MSoccer!$C:$O,N$1-2011,FALSE),0)+IFERROR(VLOOKUP($A150,MVolleyball!$C:$O,N$1-2011,FALSE),0)+IFERROR(VLOOKUP($A150,WBasketball!$C:$O,N$1-2011,FALSE),0)+IFERROR(VLOOKUP($A150,WFieldHockey!$C:$O,N$1-2011,FALSE),0)+IFERROR(VLOOKUP($A150,WIceHockey!$C:$O,N$1-2011,FALSE),0)+IFERROR(VLOOKUP($A150,WLacrosse!$C:$O,N$1-2011,FALSE),0)+IFERROR(VLOOKUP($A150,WSoccer!$C:$O,N$1-2011,FALSE),0)+IFERROR(VLOOKUP($A150,WSoftball!$C:$O,N$1-2011,FALSE),0)+IFERROR(VLOOKUP($A150,WVolleyball!$C:$O,N$1-2011,FALSE),0)</f>
        <v>65903</v>
      </c>
    </row>
    <row r="151" spans="1:14" x14ac:dyDescent="0.2">
      <c r="A151">
        <v>228778</v>
      </c>
      <c r="B151">
        <v>12420</v>
      </c>
      <c r="C151" t="s">
        <v>216</v>
      </c>
      <c r="D151">
        <v>150</v>
      </c>
      <c r="E151">
        <f>IFERROR(VLOOKUP($A151,MBaseball!$C:$N,E$1-2010,FALSE),0)+IFERROR(VLOOKUP($A151,MBasketball!$C:$J,E$1-2006,FALSE),0)+IFERROR(VLOOKUP($A151,MFootball!$C:$O,E$1-2011,FALSE),0)+IFERROR(VLOOKUP($A151,MIceHockey!$C:$P,E$1-2011,FALSE),0)+IFERROR(VLOOKUP($A151,MLacrosse!$C:$O,E$1-2011,FALSE),0)+IFERROR(VLOOKUP($A151,MSoccer!$C:$O,E$1-2011,FALSE),0)+IFERROR(VLOOKUP($A151,MVolleyball!$C:$O,E$1-2011,FALSE),0)+IFERROR(VLOOKUP($A151,WBasketball!$C:$O,E$1-2011,FALSE),0)+IFERROR(VLOOKUP($A151,WFieldHockey!$C:$O,E$1-2011,FALSE),0)+IFERROR(VLOOKUP($A151,WIceHockey!$C:$O,E$1-2011,FALSE),0)+IFERROR(VLOOKUP($A151,WLacrosse!$C:$O,E$1-2011,FALSE),0)+IFERROR(VLOOKUP($A151,WSoccer!$C:$O,E$1-2011,FALSE),0)+IFERROR(VLOOKUP($A151,WSoftball!$C:$O,E$1-2011,FALSE),0)+IFERROR(VLOOKUP($A151,WVolleyball!$C:$O,E$1-2011,FALSE),0)</f>
        <v>421919</v>
      </c>
      <c r="F151">
        <f>IFERROR(VLOOKUP($A151,MBaseball!$C:$N,F$1-2010,FALSE),0)+IFERROR(VLOOKUP($A151,MBasketball!$C:$J,F$1-2006,FALSE),0)+IFERROR(VLOOKUP($A151,MFootball!$C:$O,F$1-2011,FALSE),0)+IFERROR(VLOOKUP($A151,MIceHockey!$C:$P,F$1-2011,FALSE),0)+IFERROR(VLOOKUP($A151,MLacrosse!$C:$O,F$1-2011,FALSE),0)+IFERROR(VLOOKUP($A151,MSoccer!$C:$O,F$1-2011,FALSE),0)+IFERROR(VLOOKUP($A151,MVolleyball!$C:$O,F$1-2011,FALSE),0)+IFERROR(VLOOKUP($A151,WBasketball!$C:$O,F$1-2011,FALSE),0)+IFERROR(VLOOKUP($A151,WFieldHockey!$C:$O,F$1-2011,FALSE),0)+IFERROR(VLOOKUP($A151,WIceHockey!$C:$O,F$1-2011,FALSE),0)+IFERROR(VLOOKUP($A151,WLacrosse!$C:$O,F$1-2011,FALSE),0)+IFERROR(VLOOKUP($A151,WSoccer!$C:$O,F$1-2011,FALSE),0)+IFERROR(VLOOKUP($A151,WSoftball!$C:$O,F$1-2011,FALSE),0)+IFERROR(VLOOKUP($A151,WVolleyball!$C:$O,F$1-2011,FALSE),0)</f>
        <v>850279</v>
      </c>
      <c r="G151">
        <f>IFERROR(VLOOKUP($A151,MBaseball!$C:$N,G$1-2010,FALSE),0)+IFERROR(VLOOKUP($A151,MBasketball!$C:$J,G$1-2006,FALSE),0)+IFERROR(VLOOKUP($A151,MFootball!$C:$O,G$1-2011,FALSE),0)+IFERROR(VLOOKUP($A151,MIceHockey!$C:$P,G$1-2011,FALSE),0)+IFERROR(VLOOKUP($A151,MLacrosse!$C:$O,G$1-2011,FALSE),0)+IFERROR(VLOOKUP($A151,MSoccer!$C:$O,G$1-2011,FALSE),0)+IFERROR(VLOOKUP($A151,MVolleyball!$C:$O,G$1-2011,FALSE),0)+IFERROR(VLOOKUP($A151,WBasketball!$C:$O,G$1-2011,FALSE),0)+IFERROR(VLOOKUP($A151,WFieldHockey!$C:$O,G$1-2011,FALSE),0)+IFERROR(VLOOKUP($A151,WIceHockey!$C:$O,G$1-2011,FALSE),0)+IFERROR(VLOOKUP($A151,WLacrosse!$C:$O,G$1-2011,FALSE),0)+IFERROR(VLOOKUP($A151,WSoccer!$C:$O,G$1-2011,FALSE),0)+IFERROR(VLOOKUP($A151,WSoftball!$C:$O,G$1-2011,FALSE),0)+IFERROR(VLOOKUP($A151,WVolleyball!$C:$O,G$1-2011,FALSE),0)</f>
        <v>855805</v>
      </c>
      <c r="H151">
        <f>IFERROR(VLOOKUP($A151,MBaseball!$C:$N,H$1-2010,FALSE),0)+IFERROR(VLOOKUP($A151,MBasketball!$C:$J,H$1-2006,FALSE),0)+IFERROR(VLOOKUP($A151,MFootball!$C:$O,H$1-2011,FALSE),0)+IFERROR(VLOOKUP($A151,MIceHockey!$C:$P,H$1-2011,FALSE),0)+IFERROR(VLOOKUP($A151,MLacrosse!$C:$O,H$1-2011,FALSE),0)+IFERROR(VLOOKUP($A151,MSoccer!$C:$O,H$1-2011,FALSE),0)+IFERROR(VLOOKUP($A151,MVolleyball!$C:$O,H$1-2011,FALSE),0)+IFERROR(VLOOKUP($A151,WBasketball!$C:$O,H$1-2011,FALSE),0)+IFERROR(VLOOKUP($A151,WFieldHockey!$C:$O,H$1-2011,FALSE),0)+IFERROR(VLOOKUP($A151,WIceHockey!$C:$O,H$1-2011,FALSE),0)+IFERROR(VLOOKUP($A151,WLacrosse!$C:$O,H$1-2011,FALSE),0)+IFERROR(VLOOKUP($A151,WSoccer!$C:$O,H$1-2011,FALSE),0)+IFERROR(VLOOKUP($A151,WSoftball!$C:$O,H$1-2011,FALSE),0)+IFERROR(VLOOKUP($A151,WVolleyball!$C:$O,H$1-2011,FALSE),0)</f>
        <v>934334</v>
      </c>
      <c r="I151">
        <f>IFERROR(VLOOKUP($A151,MBaseball!$C:$N,I$1-2010,FALSE),0)+IFERROR(VLOOKUP($A151,MBasketball!$C:$J,I$1-2006,FALSE),0)+IFERROR(VLOOKUP($A151,MFootball!$C:$O,I$1-2011,FALSE),0)+IFERROR(VLOOKUP($A151,MIceHockey!$C:$P,I$1-2011,FALSE),0)+IFERROR(VLOOKUP($A151,MLacrosse!$C:$O,I$1-2011,FALSE),0)+IFERROR(VLOOKUP($A151,MSoccer!$C:$O,I$1-2011,FALSE),0)+IFERROR(VLOOKUP($A151,MVolleyball!$C:$O,I$1-2011,FALSE),0)+IFERROR(VLOOKUP($A151,WBasketball!$C:$O,I$1-2011,FALSE),0)+IFERROR(VLOOKUP($A151,WFieldHockey!$C:$O,I$1-2011,FALSE),0)+IFERROR(VLOOKUP($A151,WIceHockey!$C:$O,I$1-2011,FALSE),0)+IFERROR(VLOOKUP($A151,WLacrosse!$C:$O,I$1-2011,FALSE),0)+IFERROR(VLOOKUP($A151,WSoccer!$C:$O,I$1-2011,FALSE),0)+IFERROR(VLOOKUP($A151,WSoftball!$C:$O,I$1-2011,FALSE),0)+IFERROR(VLOOKUP($A151,WVolleyball!$C:$O,I$1-2011,FALSE),0)</f>
        <v>891614</v>
      </c>
      <c r="J151">
        <f>IFERROR(VLOOKUP($A151,MBaseball!$C:$N,J$1-2010,FALSE),0)+IFERROR(VLOOKUP($A151,MBasketball!$C:$J,J$1-2006,FALSE),0)+IFERROR(VLOOKUP($A151,MFootball!$C:$O,J$1-2011,FALSE),0)+IFERROR(VLOOKUP($A151,MIceHockey!$C:$P,J$1-2011,FALSE),0)+IFERROR(VLOOKUP($A151,MLacrosse!$C:$O,J$1-2011,FALSE),0)+IFERROR(VLOOKUP($A151,MSoccer!$C:$O,J$1-2011,FALSE),0)+IFERROR(VLOOKUP($A151,MVolleyball!$C:$O,J$1-2011,FALSE),0)+IFERROR(VLOOKUP($A151,WBasketball!$C:$O,J$1-2011,FALSE),0)+IFERROR(VLOOKUP($A151,WFieldHockey!$C:$O,J$1-2011,FALSE),0)+IFERROR(VLOOKUP($A151,WIceHockey!$C:$O,J$1-2011,FALSE),0)+IFERROR(VLOOKUP($A151,WLacrosse!$C:$O,J$1-2011,FALSE),0)+IFERROR(VLOOKUP($A151,WSoccer!$C:$O,J$1-2011,FALSE),0)+IFERROR(VLOOKUP($A151,WSoftball!$C:$O,J$1-2011,FALSE),0)+IFERROR(VLOOKUP($A151,WVolleyball!$C:$O,J$1-2011,FALSE),0)</f>
        <v>796468</v>
      </c>
      <c r="K151">
        <f>IFERROR(VLOOKUP($A151,MBaseball!$C:$N,K$1-2010,FALSE),0)+IFERROR(VLOOKUP($A151,MBasketball!$C:$J,K$1-2006,FALSE),0)+IFERROR(VLOOKUP($A151,MFootball!$C:$O,K$1-2011,FALSE),0)+IFERROR(VLOOKUP($A151,MIceHockey!$C:$P,K$1-2011,FALSE),0)+IFERROR(VLOOKUP($A151,MLacrosse!$C:$O,K$1-2011,FALSE),0)+IFERROR(VLOOKUP($A151,MSoccer!$C:$O,K$1-2011,FALSE),0)+IFERROR(VLOOKUP($A151,MVolleyball!$C:$O,K$1-2011,FALSE),0)+IFERROR(VLOOKUP($A151,WBasketball!$C:$O,K$1-2011,FALSE),0)+IFERROR(VLOOKUP($A151,WFieldHockey!$C:$O,K$1-2011,FALSE),0)+IFERROR(VLOOKUP($A151,WIceHockey!$C:$O,K$1-2011,FALSE),0)+IFERROR(VLOOKUP($A151,WLacrosse!$C:$O,K$1-2011,FALSE),0)+IFERROR(VLOOKUP($A151,WSoccer!$C:$O,K$1-2011,FALSE),0)+IFERROR(VLOOKUP($A151,WSoftball!$C:$O,K$1-2011,FALSE),0)+IFERROR(VLOOKUP($A151,WVolleyball!$C:$O,K$1-2011,FALSE),0)</f>
        <v>816789</v>
      </c>
      <c r="L151">
        <f>IFERROR(VLOOKUP($A151,MBaseball!$C:$N,L$1-2010,FALSE),0)+IFERROR(VLOOKUP($A151,MBasketball!$C:$J,L$1-2006,FALSE),0)+IFERROR(VLOOKUP($A151,MFootball!$C:$O,L$1-2011,FALSE),0)+IFERROR(VLOOKUP($A151,MIceHockey!$C:$P,L$1-2011,FALSE),0)+IFERROR(VLOOKUP($A151,MLacrosse!$C:$O,L$1-2011,FALSE),0)+IFERROR(VLOOKUP($A151,MSoccer!$C:$O,L$1-2011,FALSE),0)+IFERROR(VLOOKUP($A151,MVolleyball!$C:$O,L$1-2011,FALSE),0)+IFERROR(VLOOKUP($A151,WBasketball!$C:$O,L$1-2011,FALSE),0)+IFERROR(VLOOKUP($A151,WFieldHockey!$C:$O,L$1-2011,FALSE),0)+IFERROR(VLOOKUP($A151,WIceHockey!$C:$O,L$1-2011,FALSE),0)+IFERROR(VLOOKUP($A151,WLacrosse!$C:$O,L$1-2011,FALSE),0)+IFERROR(VLOOKUP($A151,WSoccer!$C:$O,L$1-2011,FALSE),0)+IFERROR(VLOOKUP($A151,WSoftball!$C:$O,L$1-2011,FALSE),0)+IFERROR(VLOOKUP($A151,WVolleyball!$C:$O,L$1-2011,FALSE),0)</f>
        <v>361240</v>
      </c>
      <c r="M151">
        <f>IFERROR(VLOOKUP($A151,MBaseball!$C:$N,M$1-2010,FALSE),0)+IFERROR(VLOOKUP($A151,MBasketball!$C:$J,M$1-2006,FALSE),0)+IFERROR(VLOOKUP($A151,MFootball!$C:$O,M$1-2011,FALSE),0)+IFERROR(VLOOKUP($A151,MIceHockey!$C:$P,M$1-2011,FALSE),0)+IFERROR(VLOOKUP($A151,MLacrosse!$C:$O,M$1-2011,FALSE),0)+IFERROR(VLOOKUP($A151,MSoccer!$C:$O,M$1-2011,FALSE),0)+IFERROR(VLOOKUP($A151,MVolleyball!$C:$O,M$1-2011,FALSE),0)+IFERROR(VLOOKUP($A151,WBasketball!$C:$O,M$1-2011,FALSE),0)+IFERROR(VLOOKUP($A151,WFieldHockey!$C:$O,M$1-2011,FALSE),0)+IFERROR(VLOOKUP($A151,WIceHockey!$C:$O,M$1-2011,FALSE),0)+IFERROR(VLOOKUP($A151,WLacrosse!$C:$O,M$1-2011,FALSE),0)+IFERROR(VLOOKUP($A151,WSoccer!$C:$O,M$1-2011,FALSE),0)+IFERROR(VLOOKUP($A151,WSoftball!$C:$O,M$1-2011,FALSE),0)+IFERROR(VLOOKUP($A151,WVolleyball!$C:$O,M$1-2011,FALSE),0)</f>
        <v>958232</v>
      </c>
      <c r="N151">
        <f>IFERROR(VLOOKUP($A151,MBaseball!$C:$N,N$1-2010,FALSE),0)+IFERROR(VLOOKUP($A151,MBasketball!$C:$J,N$1-2006,FALSE),0)+IFERROR(VLOOKUP($A151,MFootball!$C:$O,N$1-2011,FALSE),0)+IFERROR(VLOOKUP($A151,MIceHockey!$C:$P,N$1-2011,FALSE),0)+IFERROR(VLOOKUP($A151,MLacrosse!$C:$O,N$1-2011,FALSE),0)+IFERROR(VLOOKUP($A151,MSoccer!$C:$O,N$1-2011,FALSE),0)+IFERROR(VLOOKUP($A151,MVolleyball!$C:$O,N$1-2011,FALSE),0)+IFERROR(VLOOKUP($A151,WBasketball!$C:$O,N$1-2011,FALSE),0)+IFERROR(VLOOKUP($A151,WFieldHockey!$C:$O,N$1-2011,FALSE),0)+IFERROR(VLOOKUP($A151,WIceHockey!$C:$O,N$1-2011,FALSE),0)+IFERROR(VLOOKUP($A151,WLacrosse!$C:$O,N$1-2011,FALSE),0)+IFERROR(VLOOKUP($A151,WSoccer!$C:$O,N$1-2011,FALSE),0)+IFERROR(VLOOKUP($A151,WSoftball!$C:$O,N$1-2011,FALSE),0)+IFERROR(VLOOKUP($A151,WVolleyball!$C:$O,N$1-2011,FALSE),0)</f>
        <v>949412</v>
      </c>
    </row>
    <row r="152" spans="1:14" x14ac:dyDescent="0.2">
      <c r="A152">
        <v>228723</v>
      </c>
      <c r="B152">
        <v>17780</v>
      </c>
      <c r="C152" t="s">
        <v>217</v>
      </c>
      <c r="D152">
        <v>151</v>
      </c>
      <c r="E152">
        <f>IFERROR(VLOOKUP($A152,MBaseball!$C:$N,E$1-2010,FALSE),0)+IFERROR(VLOOKUP($A152,MBasketball!$C:$J,E$1-2006,FALSE),0)+IFERROR(VLOOKUP($A152,MFootball!$C:$O,E$1-2011,FALSE),0)+IFERROR(VLOOKUP($A152,MIceHockey!$C:$P,E$1-2011,FALSE),0)+IFERROR(VLOOKUP($A152,MLacrosse!$C:$O,E$1-2011,FALSE),0)+IFERROR(VLOOKUP($A152,MSoccer!$C:$O,E$1-2011,FALSE),0)+IFERROR(VLOOKUP($A152,MVolleyball!$C:$O,E$1-2011,FALSE),0)+IFERROR(VLOOKUP($A152,WBasketball!$C:$O,E$1-2011,FALSE),0)+IFERROR(VLOOKUP($A152,WFieldHockey!$C:$O,E$1-2011,FALSE),0)+IFERROR(VLOOKUP($A152,WIceHockey!$C:$O,E$1-2011,FALSE),0)+IFERROR(VLOOKUP($A152,WLacrosse!$C:$O,E$1-2011,FALSE),0)+IFERROR(VLOOKUP($A152,WSoccer!$C:$O,E$1-2011,FALSE),0)+IFERROR(VLOOKUP($A152,WSoftball!$C:$O,E$1-2011,FALSE),0)+IFERROR(VLOOKUP($A152,WVolleyball!$C:$O,E$1-2011,FALSE),0)</f>
        <v>462918</v>
      </c>
      <c r="F152">
        <f>IFERROR(VLOOKUP($A152,MBaseball!$C:$N,F$1-2010,FALSE),0)+IFERROR(VLOOKUP($A152,MBasketball!$C:$J,F$1-2006,FALSE),0)+IFERROR(VLOOKUP($A152,MFootball!$C:$O,F$1-2011,FALSE),0)+IFERROR(VLOOKUP($A152,MIceHockey!$C:$P,F$1-2011,FALSE),0)+IFERROR(VLOOKUP($A152,MLacrosse!$C:$O,F$1-2011,FALSE),0)+IFERROR(VLOOKUP($A152,MSoccer!$C:$O,F$1-2011,FALSE),0)+IFERROR(VLOOKUP($A152,MVolleyball!$C:$O,F$1-2011,FALSE),0)+IFERROR(VLOOKUP($A152,WBasketball!$C:$O,F$1-2011,FALSE),0)+IFERROR(VLOOKUP($A152,WFieldHockey!$C:$O,F$1-2011,FALSE),0)+IFERROR(VLOOKUP($A152,WIceHockey!$C:$O,F$1-2011,FALSE),0)+IFERROR(VLOOKUP($A152,WLacrosse!$C:$O,F$1-2011,FALSE),0)+IFERROR(VLOOKUP($A152,WSoccer!$C:$O,F$1-2011,FALSE),0)+IFERROR(VLOOKUP($A152,WSoftball!$C:$O,F$1-2011,FALSE),0)+IFERROR(VLOOKUP($A152,WVolleyball!$C:$O,F$1-2011,FALSE),0)</f>
        <v>982799</v>
      </c>
      <c r="G152">
        <f>IFERROR(VLOOKUP($A152,MBaseball!$C:$N,G$1-2010,FALSE),0)+IFERROR(VLOOKUP($A152,MBasketball!$C:$J,G$1-2006,FALSE),0)+IFERROR(VLOOKUP($A152,MFootball!$C:$O,G$1-2011,FALSE),0)+IFERROR(VLOOKUP($A152,MIceHockey!$C:$P,G$1-2011,FALSE),0)+IFERROR(VLOOKUP($A152,MLacrosse!$C:$O,G$1-2011,FALSE),0)+IFERROR(VLOOKUP($A152,MSoccer!$C:$O,G$1-2011,FALSE),0)+IFERROR(VLOOKUP($A152,MVolleyball!$C:$O,G$1-2011,FALSE),0)+IFERROR(VLOOKUP($A152,WBasketball!$C:$O,G$1-2011,FALSE),0)+IFERROR(VLOOKUP($A152,WFieldHockey!$C:$O,G$1-2011,FALSE),0)+IFERROR(VLOOKUP($A152,WIceHockey!$C:$O,G$1-2011,FALSE),0)+IFERROR(VLOOKUP($A152,WLacrosse!$C:$O,G$1-2011,FALSE),0)+IFERROR(VLOOKUP($A152,WSoccer!$C:$O,G$1-2011,FALSE),0)+IFERROR(VLOOKUP($A152,WSoftball!$C:$O,G$1-2011,FALSE),0)+IFERROR(VLOOKUP($A152,WVolleyball!$C:$O,G$1-2011,FALSE),0)</f>
        <v>1083554</v>
      </c>
      <c r="H152">
        <f>IFERROR(VLOOKUP($A152,MBaseball!$C:$N,H$1-2010,FALSE),0)+IFERROR(VLOOKUP($A152,MBasketball!$C:$J,H$1-2006,FALSE),0)+IFERROR(VLOOKUP($A152,MFootball!$C:$O,H$1-2011,FALSE),0)+IFERROR(VLOOKUP($A152,MIceHockey!$C:$P,H$1-2011,FALSE),0)+IFERROR(VLOOKUP($A152,MLacrosse!$C:$O,H$1-2011,FALSE),0)+IFERROR(VLOOKUP($A152,MSoccer!$C:$O,H$1-2011,FALSE),0)+IFERROR(VLOOKUP($A152,MVolleyball!$C:$O,H$1-2011,FALSE),0)+IFERROR(VLOOKUP($A152,WBasketball!$C:$O,H$1-2011,FALSE),0)+IFERROR(VLOOKUP($A152,WFieldHockey!$C:$O,H$1-2011,FALSE),0)+IFERROR(VLOOKUP($A152,WIceHockey!$C:$O,H$1-2011,FALSE),0)+IFERROR(VLOOKUP($A152,WLacrosse!$C:$O,H$1-2011,FALSE),0)+IFERROR(VLOOKUP($A152,WSoccer!$C:$O,H$1-2011,FALSE),0)+IFERROR(VLOOKUP($A152,WSoftball!$C:$O,H$1-2011,FALSE),0)+IFERROR(VLOOKUP($A152,WVolleyball!$C:$O,H$1-2011,FALSE),0)</f>
        <v>1046844</v>
      </c>
      <c r="I152">
        <f>IFERROR(VLOOKUP($A152,MBaseball!$C:$N,I$1-2010,FALSE),0)+IFERROR(VLOOKUP($A152,MBasketball!$C:$J,I$1-2006,FALSE),0)+IFERROR(VLOOKUP($A152,MFootball!$C:$O,I$1-2011,FALSE),0)+IFERROR(VLOOKUP($A152,MIceHockey!$C:$P,I$1-2011,FALSE),0)+IFERROR(VLOOKUP($A152,MLacrosse!$C:$O,I$1-2011,FALSE),0)+IFERROR(VLOOKUP($A152,MSoccer!$C:$O,I$1-2011,FALSE),0)+IFERROR(VLOOKUP($A152,MVolleyball!$C:$O,I$1-2011,FALSE),0)+IFERROR(VLOOKUP($A152,WBasketball!$C:$O,I$1-2011,FALSE),0)+IFERROR(VLOOKUP($A152,WFieldHockey!$C:$O,I$1-2011,FALSE),0)+IFERROR(VLOOKUP($A152,WIceHockey!$C:$O,I$1-2011,FALSE),0)+IFERROR(VLOOKUP($A152,WLacrosse!$C:$O,I$1-2011,FALSE),0)+IFERROR(VLOOKUP($A152,WSoccer!$C:$O,I$1-2011,FALSE),0)+IFERROR(VLOOKUP($A152,WSoftball!$C:$O,I$1-2011,FALSE),0)+IFERROR(VLOOKUP($A152,WVolleyball!$C:$O,I$1-2011,FALSE),0)</f>
        <v>1047403</v>
      </c>
      <c r="J152">
        <f>IFERROR(VLOOKUP($A152,MBaseball!$C:$N,J$1-2010,FALSE),0)+IFERROR(VLOOKUP($A152,MBasketball!$C:$J,J$1-2006,FALSE),0)+IFERROR(VLOOKUP($A152,MFootball!$C:$O,J$1-2011,FALSE),0)+IFERROR(VLOOKUP($A152,MIceHockey!$C:$P,J$1-2011,FALSE),0)+IFERROR(VLOOKUP($A152,MLacrosse!$C:$O,J$1-2011,FALSE),0)+IFERROR(VLOOKUP($A152,MSoccer!$C:$O,J$1-2011,FALSE),0)+IFERROR(VLOOKUP($A152,MVolleyball!$C:$O,J$1-2011,FALSE),0)+IFERROR(VLOOKUP($A152,WBasketball!$C:$O,J$1-2011,FALSE),0)+IFERROR(VLOOKUP($A152,WFieldHockey!$C:$O,J$1-2011,FALSE),0)+IFERROR(VLOOKUP($A152,WIceHockey!$C:$O,J$1-2011,FALSE),0)+IFERROR(VLOOKUP($A152,WLacrosse!$C:$O,J$1-2011,FALSE),0)+IFERROR(VLOOKUP($A152,WSoccer!$C:$O,J$1-2011,FALSE),0)+IFERROR(VLOOKUP($A152,WSoftball!$C:$O,J$1-2011,FALSE),0)+IFERROR(VLOOKUP($A152,WVolleyball!$C:$O,J$1-2011,FALSE),0)</f>
        <v>939699</v>
      </c>
      <c r="K152">
        <f>IFERROR(VLOOKUP($A152,MBaseball!$C:$N,K$1-2010,FALSE),0)+IFERROR(VLOOKUP($A152,MBasketball!$C:$J,K$1-2006,FALSE),0)+IFERROR(VLOOKUP($A152,MFootball!$C:$O,K$1-2011,FALSE),0)+IFERROR(VLOOKUP($A152,MIceHockey!$C:$P,K$1-2011,FALSE),0)+IFERROR(VLOOKUP($A152,MLacrosse!$C:$O,K$1-2011,FALSE),0)+IFERROR(VLOOKUP($A152,MSoccer!$C:$O,K$1-2011,FALSE),0)+IFERROR(VLOOKUP($A152,MVolleyball!$C:$O,K$1-2011,FALSE),0)+IFERROR(VLOOKUP($A152,WBasketball!$C:$O,K$1-2011,FALSE),0)+IFERROR(VLOOKUP($A152,WFieldHockey!$C:$O,K$1-2011,FALSE),0)+IFERROR(VLOOKUP($A152,WIceHockey!$C:$O,K$1-2011,FALSE),0)+IFERROR(VLOOKUP($A152,WLacrosse!$C:$O,K$1-2011,FALSE),0)+IFERROR(VLOOKUP($A152,WSoccer!$C:$O,K$1-2011,FALSE),0)+IFERROR(VLOOKUP($A152,WSoftball!$C:$O,K$1-2011,FALSE),0)+IFERROR(VLOOKUP($A152,WVolleyball!$C:$O,K$1-2011,FALSE),0)</f>
        <v>963431</v>
      </c>
      <c r="L152">
        <f>IFERROR(VLOOKUP($A152,MBaseball!$C:$N,L$1-2010,FALSE),0)+IFERROR(VLOOKUP($A152,MBasketball!$C:$J,L$1-2006,FALSE),0)+IFERROR(VLOOKUP($A152,MFootball!$C:$O,L$1-2011,FALSE),0)+IFERROR(VLOOKUP($A152,MIceHockey!$C:$P,L$1-2011,FALSE),0)+IFERROR(VLOOKUP($A152,MLacrosse!$C:$O,L$1-2011,FALSE),0)+IFERROR(VLOOKUP($A152,MSoccer!$C:$O,L$1-2011,FALSE),0)+IFERROR(VLOOKUP($A152,MVolleyball!$C:$O,L$1-2011,FALSE),0)+IFERROR(VLOOKUP($A152,WBasketball!$C:$O,L$1-2011,FALSE),0)+IFERROR(VLOOKUP($A152,WFieldHockey!$C:$O,L$1-2011,FALSE),0)+IFERROR(VLOOKUP($A152,WIceHockey!$C:$O,L$1-2011,FALSE),0)+IFERROR(VLOOKUP($A152,WLacrosse!$C:$O,L$1-2011,FALSE),0)+IFERROR(VLOOKUP($A152,WSoccer!$C:$O,L$1-2011,FALSE),0)+IFERROR(VLOOKUP($A152,WSoftball!$C:$O,L$1-2011,FALSE),0)+IFERROR(VLOOKUP($A152,WVolleyball!$C:$O,L$1-2011,FALSE),0)</f>
        <v>333696</v>
      </c>
      <c r="M152">
        <f>IFERROR(VLOOKUP($A152,MBaseball!$C:$N,M$1-2010,FALSE),0)+IFERROR(VLOOKUP($A152,MBasketball!$C:$J,M$1-2006,FALSE),0)+IFERROR(VLOOKUP($A152,MFootball!$C:$O,M$1-2011,FALSE),0)+IFERROR(VLOOKUP($A152,MIceHockey!$C:$P,M$1-2011,FALSE),0)+IFERROR(VLOOKUP($A152,MLacrosse!$C:$O,M$1-2011,FALSE),0)+IFERROR(VLOOKUP($A152,MSoccer!$C:$O,M$1-2011,FALSE),0)+IFERROR(VLOOKUP($A152,MVolleyball!$C:$O,M$1-2011,FALSE),0)+IFERROR(VLOOKUP($A152,WBasketball!$C:$O,M$1-2011,FALSE),0)+IFERROR(VLOOKUP($A152,WFieldHockey!$C:$O,M$1-2011,FALSE),0)+IFERROR(VLOOKUP($A152,WIceHockey!$C:$O,M$1-2011,FALSE),0)+IFERROR(VLOOKUP($A152,WLacrosse!$C:$O,M$1-2011,FALSE),0)+IFERROR(VLOOKUP($A152,WSoccer!$C:$O,M$1-2011,FALSE),0)+IFERROR(VLOOKUP($A152,WSoftball!$C:$O,M$1-2011,FALSE),0)+IFERROR(VLOOKUP($A152,WVolleyball!$C:$O,M$1-2011,FALSE),0)</f>
        <v>1078343</v>
      </c>
      <c r="N152">
        <f>IFERROR(VLOOKUP($A152,MBaseball!$C:$N,N$1-2010,FALSE),0)+IFERROR(VLOOKUP($A152,MBasketball!$C:$J,N$1-2006,FALSE),0)+IFERROR(VLOOKUP($A152,MFootball!$C:$O,N$1-2011,FALSE),0)+IFERROR(VLOOKUP($A152,MIceHockey!$C:$P,N$1-2011,FALSE),0)+IFERROR(VLOOKUP($A152,MLacrosse!$C:$O,N$1-2011,FALSE),0)+IFERROR(VLOOKUP($A152,MSoccer!$C:$O,N$1-2011,FALSE),0)+IFERROR(VLOOKUP($A152,MVolleyball!$C:$O,N$1-2011,FALSE),0)+IFERROR(VLOOKUP($A152,WBasketball!$C:$O,N$1-2011,FALSE),0)+IFERROR(VLOOKUP($A152,WFieldHockey!$C:$O,N$1-2011,FALSE),0)+IFERROR(VLOOKUP($A152,WIceHockey!$C:$O,N$1-2011,FALSE),0)+IFERROR(VLOOKUP($A152,WLacrosse!$C:$O,N$1-2011,FALSE),0)+IFERROR(VLOOKUP($A152,WSoccer!$C:$O,N$1-2011,FALSE),0)+IFERROR(VLOOKUP($A152,WSoftball!$C:$O,N$1-2011,FALSE),0)+IFERROR(VLOOKUP($A152,WVolleyball!$C:$O,N$1-2011,FALSE),0)</f>
        <v>819535</v>
      </c>
    </row>
    <row r="153" spans="1:14" x14ac:dyDescent="0.2">
      <c r="A153">
        <v>224147</v>
      </c>
      <c r="B153">
        <v>18580</v>
      </c>
      <c r="C153" t="s">
        <v>218</v>
      </c>
      <c r="D153">
        <v>152</v>
      </c>
      <c r="E153">
        <f>IFERROR(VLOOKUP($A153,MBaseball!$C:$N,E$1-2010,FALSE),0)+IFERROR(VLOOKUP($A153,MBasketball!$C:$J,E$1-2006,FALSE),0)+IFERROR(VLOOKUP($A153,MFootball!$C:$O,E$1-2011,FALSE),0)+IFERROR(VLOOKUP($A153,MIceHockey!$C:$P,E$1-2011,FALSE),0)+IFERROR(VLOOKUP($A153,MLacrosse!$C:$O,E$1-2011,FALSE),0)+IFERROR(VLOOKUP($A153,MSoccer!$C:$O,E$1-2011,FALSE),0)+IFERROR(VLOOKUP($A153,MVolleyball!$C:$O,E$1-2011,FALSE),0)+IFERROR(VLOOKUP($A153,WBasketball!$C:$O,E$1-2011,FALSE),0)+IFERROR(VLOOKUP($A153,WFieldHockey!$C:$O,E$1-2011,FALSE),0)+IFERROR(VLOOKUP($A153,WIceHockey!$C:$O,E$1-2011,FALSE),0)+IFERROR(VLOOKUP($A153,WLacrosse!$C:$O,E$1-2011,FALSE),0)+IFERROR(VLOOKUP($A153,WSoccer!$C:$O,E$1-2011,FALSE),0)+IFERROR(VLOOKUP($A153,WSoftball!$C:$O,E$1-2011,FALSE),0)+IFERROR(VLOOKUP($A153,WVolleyball!$C:$O,E$1-2011,FALSE),0)</f>
        <v>57033</v>
      </c>
      <c r="F153">
        <f>IFERROR(VLOOKUP($A153,MBaseball!$C:$N,F$1-2010,FALSE),0)+IFERROR(VLOOKUP($A153,MBasketball!$C:$J,F$1-2006,FALSE),0)+IFERROR(VLOOKUP($A153,MFootball!$C:$O,F$1-2011,FALSE),0)+IFERROR(VLOOKUP($A153,MIceHockey!$C:$P,F$1-2011,FALSE),0)+IFERROR(VLOOKUP($A153,MLacrosse!$C:$O,F$1-2011,FALSE),0)+IFERROR(VLOOKUP($A153,MSoccer!$C:$O,F$1-2011,FALSE),0)+IFERROR(VLOOKUP($A153,MVolleyball!$C:$O,F$1-2011,FALSE),0)+IFERROR(VLOOKUP($A153,WBasketball!$C:$O,F$1-2011,FALSE),0)+IFERROR(VLOOKUP($A153,WFieldHockey!$C:$O,F$1-2011,FALSE),0)+IFERROR(VLOOKUP($A153,WIceHockey!$C:$O,F$1-2011,FALSE),0)+IFERROR(VLOOKUP($A153,WLacrosse!$C:$O,F$1-2011,FALSE),0)+IFERROR(VLOOKUP($A153,WSoccer!$C:$O,F$1-2011,FALSE),0)+IFERROR(VLOOKUP($A153,WSoftball!$C:$O,F$1-2011,FALSE),0)+IFERROR(VLOOKUP($A153,WVolleyball!$C:$O,F$1-2011,FALSE),0)</f>
        <v>31880</v>
      </c>
      <c r="G153">
        <f>IFERROR(VLOOKUP($A153,MBaseball!$C:$N,G$1-2010,FALSE),0)+IFERROR(VLOOKUP($A153,MBasketball!$C:$J,G$1-2006,FALSE),0)+IFERROR(VLOOKUP($A153,MFootball!$C:$O,G$1-2011,FALSE),0)+IFERROR(VLOOKUP($A153,MIceHockey!$C:$P,G$1-2011,FALSE),0)+IFERROR(VLOOKUP($A153,MLacrosse!$C:$O,G$1-2011,FALSE),0)+IFERROR(VLOOKUP($A153,MSoccer!$C:$O,G$1-2011,FALSE),0)+IFERROR(VLOOKUP($A153,MVolleyball!$C:$O,G$1-2011,FALSE),0)+IFERROR(VLOOKUP($A153,WBasketball!$C:$O,G$1-2011,FALSE),0)+IFERROR(VLOOKUP($A153,WFieldHockey!$C:$O,G$1-2011,FALSE),0)+IFERROR(VLOOKUP($A153,WIceHockey!$C:$O,G$1-2011,FALSE),0)+IFERROR(VLOOKUP($A153,WLacrosse!$C:$O,G$1-2011,FALSE),0)+IFERROR(VLOOKUP($A153,WSoccer!$C:$O,G$1-2011,FALSE),0)+IFERROR(VLOOKUP($A153,WSoftball!$C:$O,G$1-2011,FALSE),0)+IFERROR(VLOOKUP($A153,WVolleyball!$C:$O,G$1-2011,FALSE),0)</f>
        <v>49394</v>
      </c>
      <c r="H153">
        <f>IFERROR(VLOOKUP($A153,MBaseball!$C:$N,H$1-2010,FALSE),0)+IFERROR(VLOOKUP($A153,MBasketball!$C:$J,H$1-2006,FALSE),0)+IFERROR(VLOOKUP($A153,MFootball!$C:$O,H$1-2011,FALSE),0)+IFERROR(VLOOKUP($A153,MIceHockey!$C:$P,H$1-2011,FALSE),0)+IFERROR(VLOOKUP($A153,MLacrosse!$C:$O,H$1-2011,FALSE),0)+IFERROR(VLOOKUP($A153,MSoccer!$C:$O,H$1-2011,FALSE),0)+IFERROR(VLOOKUP($A153,MVolleyball!$C:$O,H$1-2011,FALSE),0)+IFERROR(VLOOKUP($A153,WBasketball!$C:$O,H$1-2011,FALSE),0)+IFERROR(VLOOKUP($A153,WFieldHockey!$C:$O,H$1-2011,FALSE),0)+IFERROR(VLOOKUP($A153,WIceHockey!$C:$O,H$1-2011,FALSE),0)+IFERROR(VLOOKUP($A153,WLacrosse!$C:$O,H$1-2011,FALSE),0)+IFERROR(VLOOKUP($A153,WSoccer!$C:$O,H$1-2011,FALSE),0)+IFERROR(VLOOKUP($A153,WSoftball!$C:$O,H$1-2011,FALSE),0)+IFERROR(VLOOKUP($A153,WVolleyball!$C:$O,H$1-2011,FALSE),0)</f>
        <v>43703</v>
      </c>
      <c r="I153">
        <f>IFERROR(VLOOKUP($A153,MBaseball!$C:$N,I$1-2010,FALSE),0)+IFERROR(VLOOKUP($A153,MBasketball!$C:$J,I$1-2006,FALSE),0)+IFERROR(VLOOKUP($A153,MFootball!$C:$O,I$1-2011,FALSE),0)+IFERROR(VLOOKUP($A153,MIceHockey!$C:$P,I$1-2011,FALSE),0)+IFERROR(VLOOKUP($A153,MLacrosse!$C:$O,I$1-2011,FALSE),0)+IFERROR(VLOOKUP($A153,MSoccer!$C:$O,I$1-2011,FALSE),0)+IFERROR(VLOOKUP($A153,MVolleyball!$C:$O,I$1-2011,FALSE),0)+IFERROR(VLOOKUP($A153,WBasketball!$C:$O,I$1-2011,FALSE),0)+IFERROR(VLOOKUP($A153,WFieldHockey!$C:$O,I$1-2011,FALSE),0)+IFERROR(VLOOKUP($A153,WIceHockey!$C:$O,I$1-2011,FALSE),0)+IFERROR(VLOOKUP($A153,WLacrosse!$C:$O,I$1-2011,FALSE),0)+IFERROR(VLOOKUP($A153,WSoccer!$C:$O,I$1-2011,FALSE),0)+IFERROR(VLOOKUP($A153,WSoftball!$C:$O,I$1-2011,FALSE),0)+IFERROR(VLOOKUP($A153,WVolleyball!$C:$O,I$1-2011,FALSE),0)</f>
        <v>39250</v>
      </c>
      <c r="J153">
        <f>IFERROR(VLOOKUP($A153,MBaseball!$C:$N,J$1-2010,FALSE),0)+IFERROR(VLOOKUP($A153,MBasketball!$C:$J,J$1-2006,FALSE),0)+IFERROR(VLOOKUP($A153,MFootball!$C:$O,J$1-2011,FALSE),0)+IFERROR(VLOOKUP($A153,MIceHockey!$C:$P,J$1-2011,FALSE),0)+IFERROR(VLOOKUP($A153,MLacrosse!$C:$O,J$1-2011,FALSE),0)+IFERROR(VLOOKUP($A153,MSoccer!$C:$O,J$1-2011,FALSE),0)+IFERROR(VLOOKUP($A153,MVolleyball!$C:$O,J$1-2011,FALSE),0)+IFERROR(VLOOKUP($A153,WBasketball!$C:$O,J$1-2011,FALSE),0)+IFERROR(VLOOKUP($A153,WFieldHockey!$C:$O,J$1-2011,FALSE),0)+IFERROR(VLOOKUP($A153,WIceHockey!$C:$O,J$1-2011,FALSE),0)+IFERROR(VLOOKUP($A153,WLacrosse!$C:$O,J$1-2011,FALSE),0)+IFERROR(VLOOKUP($A153,WSoccer!$C:$O,J$1-2011,FALSE),0)+IFERROR(VLOOKUP($A153,WSoftball!$C:$O,J$1-2011,FALSE),0)+IFERROR(VLOOKUP($A153,WVolleyball!$C:$O,J$1-2011,FALSE),0)</f>
        <v>27898</v>
      </c>
      <c r="K153">
        <f>IFERROR(VLOOKUP($A153,MBaseball!$C:$N,K$1-2010,FALSE),0)+IFERROR(VLOOKUP($A153,MBasketball!$C:$J,K$1-2006,FALSE),0)+IFERROR(VLOOKUP($A153,MFootball!$C:$O,K$1-2011,FALSE),0)+IFERROR(VLOOKUP($A153,MIceHockey!$C:$P,K$1-2011,FALSE),0)+IFERROR(VLOOKUP($A153,MLacrosse!$C:$O,K$1-2011,FALSE),0)+IFERROR(VLOOKUP($A153,MSoccer!$C:$O,K$1-2011,FALSE),0)+IFERROR(VLOOKUP($A153,MVolleyball!$C:$O,K$1-2011,FALSE),0)+IFERROR(VLOOKUP($A153,WBasketball!$C:$O,K$1-2011,FALSE),0)+IFERROR(VLOOKUP($A153,WFieldHockey!$C:$O,K$1-2011,FALSE),0)+IFERROR(VLOOKUP($A153,WIceHockey!$C:$O,K$1-2011,FALSE),0)+IFERROR(VLOOKUP($A153,WLacrosse!$C:$O,K$1-2011,FALSE),0)+IFERROR(VLOOKUP($A153,WSoccer!$C:$O,K$1-2011,FALSE),0)+IFERROR(VLOOKUP($A153,WSoftball!$C:$O,K$1-2011,FALSE),0)+IFERROR(VLOOKUP($A153,WVolleyball!$C:$O,K$1-2011,FALSE),0)</f>
        <v>29755</v>
      </c>
      <c r="L153">
        <f>IFERROR(VLOOKUP($A153,MBaseball!$C:$N,L$1-2010,FALSE),0)+IFERROR(VLOOKUP($A153,MBasketball!$C:$J,L$1-2006,FALSE),0)+IFERROR(VLOOKUP($A153,MFootball!$C:$O,L$1-2011,FALSE),0)+IFERROR(VLOOKUP($A153,MIceHockey!$C:$P,L$1-2011,FALSE),0)+IFERROR(VLOOKUP($A153,MLacrosse!$C:$O,L$1-2011,FALSE),0)+IFERROR(VLOOKUP($A153,MSoccer!$C:$O,L$1-2011,FALSE),0)+IFERROR(VLOOKUP($A153,MVolleyball!$C:$O,L$1-2011,FALSE),0)+IFERROR(VLOOKUP($A153,WBasketball!$C:$O,L$1-2011,FALSE),0)+IFERROR(VLOOKUP($A153,WFieldHockey!$C:$O,L$1-2011,FALSE),0)+IFERROR(VLOOKUP($A153,WIceHockey!$C:$O,L$1-2011,FALSE),0)+IFERROR(VLOOKUP($A153,WLacrosse!$C:$O,L$1-2011,FALSE),0)+IFERROR(VLOOKUP($A153,WSoccer!$C:$O,L$1-2011,FALSE),0)+IFERROR(VLOOKUP($A153,WSoftball!$C:$O,L$1-2011,FALSE),0)+IFERROR(VLOOKUP($A153,WVolleyball!$C:$O,L$1-2011,FALSE),0)</f>
        <v>25998</v>
      </c>
      <c r="M153">
        <f>IFERROR(VLOOKUP($A153,MBaseball!$C:$N,M$1-2010,FALSE),0)+IFERROR(VLOOKUP($A153,MBasketball!$C:$J,M$1-2006,FALSE),0)+IFERROR(VLOOKUP($A153,MFootball!$C:$O,M$1-2011,FALSE),0)+IFERROR(VLOOKUP($A153,MIceHockey!$C:$P,M$1-2011,FALSE),0)+IFERROR(VLOOKUP($A153,MLacrosse!$C:$O,M$1-2011,FALSE),0)+IFERROR(VLOOKUP($A153,MSoccer!$C:$O,M$1-2011,FALSE),0)+IFERROR(VLOOKUP($A153,MVolleyball!$C:$O,M$1-2011,FALSE),0)+IFERROR(VLOOKUP($A153,WBasketball!$C:$O,M$1-2011,FALSE),0)+IFERROR(VLOOKUP($A153,WFieldHockey!$C:$O,M$1-2011,FALSE),0)+IFERROR(VLOOKUP($A153,WIceHockey!$C:$O,M$1-2011,FALSE),0)+IFERROR(VLOOKUP($A153,WLacrosse!$C:$O,M$1-2011,FALSE),0)+IFERROR(VLOOKUP($A153,WSoccer!$C:$O,M$1-2011,FALSE),0)+IFERROR(VLOOKUP($A153,WSoftball!$C:$O,M$1-2011,FALSE),0)+IFERROR(VLOOKUP($A153,WVolleyball!$C:$O,M$1-2011,FALSE),0)</f>
        <v>34155</v>
      </c>
      <c r="N153">
        <f>IFERROR(VLOOKUP($A153,MBaseball!$C:$N,N$1-2010,FALSE),0)+IFERROR(VLOOKUP($A153,MBasketball!$C:$J,N$1-2006,FALSE),0)+IFERROR(VLOOKUP($A153,MFootball!$C:$O,N$1-2011,FALSE),0)+IFERROR(VLOOKUP($A153,MIceHockey!$C:$P,N$1-2011,FALSE),0)+IFERROR(VLOOKUP($A153,MLacrosse!$C:$O,N$1-2011,FALSE),0)+IFERROR(VLOOKUP($A153,MSoccer!$C:$O,N$1-2011,FALSE),0)+IFERROR(VLOOKUP($A153,MVolleyball!$C:$O,N$1-2011,FALSE),0)+IFERROR(VLOOKUP($A153,WBasketball!$C:$O,N$1-2011,FALSE),0)+IFERROR(VLOOKUP($A153,WFieldHockey!$C:$O,N$1-2011,FALSE),0)+IFERROR(VLOOKUP($A153,WIceHockey!$C:$O,N$1-2011,FALSE),0)+IFERROR(VLOOKUP($A153,WLacrosse!$C:$O,N$1-2011,FALSE),0)+IFERROR(VLOOKUP($A153,WSoccer!$C:$O,N$1-2011,FALSE),0)+IFERROR(VLOOKUP($A153,WSoftball!$C:$O,N$1-2011,FALSE),0)+IFERROR(VLOOKUP($A153,WVolleyball!$C:$O,N$1-2011,FALSE),0)</f>
        <v>27385</v>
      </c>
    </row>
    <row r="154" spans="1:14" x14ac:dyDescent="0.2">
      <c r="A154">
        <v>228769</v>
      </c>
      <c r="B154">
        <v>19100</v>
      </c>
      <c r="C154" t="s">
        <v>219</v>
      </c>
      <c r="D154">
        <v>153</v>
      </c>
      <c r="E154">
        <f>IFERROR(VLOOKUP($A154,MBaseball!$C:$N,E$1-2010,FALSE),0)+IFERROR(VLOOKUP($A154,MBasketball!$C:$J,E$1-2006,FALSE),0)+IFERROR(VLOOKUP($A154,MFootball!$C:$O,E$1-2011,FALSE),0)+IFERROR(VLOOKUP($A154,MIceHockey!$C:$P,E$1-2011,FALSE),0)+IFERROR(VLOOKUP($A154,MLacrosse!$C:$O,E$1-2011,FALSE),0)+IFERROR(VLOOKUP($A154,MSoccer!$C:$O,E$1-2011,FALSE),0)+IFERROR(VLOOKUP($A154,MVolleyball!$C:$O,E$1-2011,FALSE),0)+IFERROR(VLOOKUP($A154,WBasketball!$C:$O,E$1-2011,FALSE),0)+IFERROR(VLOOKUP($A154,WFieldHockey!$C:$O,E$1-2011,FALSE),0)+IFERROR(VLOOKUP($A154,WIceHockey!$C:$O,E$1-2011,FALSE),0)+IFERROR(VLOOKUP($A154,WLacrosse!$C:$O,E$1-2011,FALSE),0)+IFERROR(VLOOKUP($A154,WSoccer!$C:$O,E$1-2011,FALSE),0)+IFERROR(VLOOKUP($A154,WSoftball!$C:$O,E$1-2011,FALSE),0)+IFERROR(VLOOKUP($A154,WVolleyball!$C:$O,E$1-2011,FALSE),0)</f>
        <v>64301</v>
      </c>
      <c r="F154">
        <f>IFERROR(VLOOKUP($A154,MBaseball!$C:$N,F$1-2010,FALSE),0)+IFERROR(VLOOKUP($A154,MBasketball!$C:$J,F$1-2006,FALSE),0)+IFERROR(VLOOKUP($A154,MFootball!$C:$O,F$1-2011,FALSE),0)+IFERROR(VLOOKUP($A154,MIceHockey!$C:$P,F$1-2011,FALSE),0)+IFERROR(VLOOKUP($A154,MLacrosse!$C:$O,F$1-2011,FALSE),0)+IFERROR(VLOOKUP($A154,MSoccer!$C:$O,F$1-2011,FALSE),0)+IFERROR(VLOOKUP($A154,MVolleyball!$C:$O,F$1-2011,FALSE),0)+IFERROR(VLOOKUP($A154,WBasketball!$C:$O,F$1-2011,FALSE),0)+IFERROR(VLOOKUP($A154,WFieldHockey!$C:$O,F$1-2011,FALSE),0)+IFERROR(VLOOKUP($A154,WIceHockey!$C:$O,F$1-2011,FALSE),0)+IFERROR(VLOOKUP($A154,WLacrosse!$C:$O,F$1-2011,FALSE),0)+IFERROR(VLOOKUP($A154,WSoccer!$C:$O,F$1-2011,FALSE),0)+IFERROR(VLOOKUP($A154,WSoftball!$C:$O,F$1-2011,FALSE),0)+IFERROR(VLOOKUP($A154,WVolleyball!$C:$O,F$1-2011,FALSE),0)</f>
        <v>44356</v>
      </c>
      <c r="G154">
        <f>IFERROR(VLOOKUP($A154,MBaseball!$C:$N,G$1-2010,FALSE),0)+IFERROR(VLOOKUP($A154,MBasketball!$C:$J,G$1-2006,FALSE),0)+IFERROR(VLOOKUP($A154,MFootball!$C:$O,G$1-2011,FALSE),0)+IFERROR(VLOOKUP($A154,MIceHockey!$C:$P,G$1-2011,FALSE),0)+IFERROR(VLOOKUP($A154,MLacrosse!$C:$O,G$1-2011,FALSE),0)+IFERROR(VLOOKUP($A154,MSoccer!$C:$O,G$1-2011,FALSE),0)+IFERROR(VLOOKUP($A154,MVolleyball!$C:$O,G$1-2011,FALSE),0)+IFERROR(VLOOKUP($A154,WBasketball!$C:$O,G$1-2011,FALSE),0)+IFERROR(VLOOKUP($A154,WFieldHockey!$C:$O,G$1-2011,FALSE),0)+IFERROR(VLOOKUP($A154,WIceHockey!$C:$O,G$1-2011,FALSE),0)+IFERROR(VLOOKUP($A154,WLacrosse!$C:$O,G$1-2011,FALSE),0)+IFERROR(VLOOKUP($A154,WSoccer!$C:$O,G$1-2011,FALSE),0)+IFERROR(VLOOKUP($A154,WSoftball!$C:$O,G$1-2011,FALSE),0)+IFERROR(VLOOKUP($A154,WVolleyball!$C:$O,G$1-2011,FALSE),0)</f>
        <v>67923</v>
      </c>
      <c r="H154">
        <f>IFERROR(VLOOKUP($A154,MBaseball!$C:$N,H$1-2010,FALSE),0)+IFERROR(VLOOKUP($A154,MBasketball!$C:$J,H$1-2006,FALSE),0)+IFERROR(VLOOKUP($A154,MFootball!$C:$O,H$1-2011,FALSE),0)+IFERROR(VLOOKUP($A154,MIceHockey!$C:$P,H$1-2011,FALSE),0)+IFERROR(VLOOKUP($A154,MLacrosse!$C:$O,H$1-2011,FALSE),0)+IFERROR(VLOOKUP($A154,MSoccer!$C:$O,H$1-2011,FALSE),0)+IFERROR(VLOOKUP($A154,MVolleyball!$C:$O,H$1-2011,FALSE),0)+IFERROR(VLOOKUP($A154,WBasketball!$C:$O,H$1-2011,FALSE),0)+IFERROR(VLOOKUP($A154,WFieldHockey!$C:$O,H$1-2011,FALSE),0)+IFERROR(VLOOKUP($A154,WIceHockey!$C:$O,H$1-2011,FALSE),0)+IFERROR(VLOOKUP($A154,WLacrosse!$C:$O,H$1-2011,FALSE),0)+IFERROR(VLOOKUP($A154,WSoccer!$C:$O,H$1-2011,FALSE),0)+IFERROR(VLOOKUP($A154,WSoftball!$C:$O,H$1-2011,FALSE),0)+IFERROR(VLOOKUP($A154,WVolleyball!$C:$O,H$1-2011,FALSE),0)</f>
        <v>57685</v>
      </c>
      <c r="I154">
        <f>IFERROR(VLOOKUP($A154,MBaseball!$C:$N,I$1-2010,FALSE),0)+IFERROR(VLOOKUP($A154,MBasketball!$C:$J,I$1-2006,FALSE),0)+IFERROR(VLOOKUP($A154,MFootball!$C:$O,I$1-2011,FALSE),0)+IFERROR(VLOOKUP($A154,MIceHockey!$C:$P,I$1-2011,FALSE),0)+IFERROR(VLOOKUP($A154,MLacrosse!$C:$O,I$1-2011,FALSE),0)+IFERROR(VLOOKUP($A154,MSoccer!$C:$O,I$1-2011,FALSE),0)+IFERROR(VLOOKUP($A154,MVolleyball!$C:$O,I$1-2011,FALSE),0)+IFERROR(VLOOKUP($A154,WBasketball!$C:$O,I$1-2011,FALSE),0)+IFERROR(VLOOKUP($A154,WFieldHockey!$C:$O,I$1-2011,FALSE),0)+IFERROR(VLOOKUP($A154,WIceHockey!$C:$O,I$1-2011,FALSE),0)+IFERROR(VLOOKUP($A154,WLacrosse!$C:$O,I$1-2011,FALSE),0)+IFERROR(VLOOKUP($A154,WSoccer!$C:$O,I$1-2011,FALSE),0)+IFERROR(VLOOKUP($A154,WSoftball!$C:$O,I$1-2011,FALSE),0)+IFERROR(VLOOKUP($A154,WVolleyball!$C:$O,I$1-2011,FALSE),0)</f>
        <v>60350</v>
      </c>
      <c r="J154">
        <f>IFERROR(VLOOKUP($A154,MBaseball!$C:$N,J$1-2010,FALSE),0)+IFERROR(VLOOKUP($A154,MBasketball!$C:$J,J$1-2006,FALSE),0)+IFERROR(VLOOKUP($A154,MFootball!$C:$O,J$1-2011,FALSE),0)+IFERROR(VLOOKUP($A154,MIceHockey!$C:$P,J$1-2011,FALSE),0)+IFERROR(VLOOKUP($A154,MLacrosse!$C:$O,J$1-2011,FALSE),0)+IFERROR(VLOOKUP($A154,MSoccer!$C:$O,J$1-2011,FALSE),0)+IFERROR(VLOOKUP($A154,MVolleyball!$C:$O,J$1-2011,FALSE),0)+IFERROR(VLOOKUP($A154,WBasketball!$C:$O,J$1-2011,FALSE),0)+IFERROR(VLOOKUP($A154,WFieldHockey!$C:$O,J$1-2011,FALSE),0)+IFERROR(VLOOKUP($A154,WIceHockey!$C:$O,J$1-2011,FALSE),0)+IFERROR(VLOOKUP($A154,WLacrosse!$C:$O,J$1-2011,FALSE),0)+IFERROR(VLOOKUP($A154,WSoccer!$C:$O,J$1-2011,FALSE),0)+IFERROR(VLOOKUP($A154,WSoftball!$C:$O,J$1-2011,FALSE),0)+IFERROR(VLOOKUP($A154,WVolleyball!$C:$O,J$1-2011,FALSE),0)</f>
        <v>43452</v>
      </c>
      <c r="K154">
        <f>IFERROR(VLOOKUP($A154,MBaseball!$C:$N,K$1-2010,FALSE),0)+IFERROR(VLOOKUP($A154,MBasketball!$C:$J,K$1-2006,FALSE),0)+IFERROR(VLOOKUP($A154,MFootball!$C:$O,K$1-2011,FALSE),0)+IFERROR(VLOOKUP($A154,MIceHockey!$C:$P,K$1-2011,FALSE),0)+IFERROR(VLOOKUP($A154,MLacrosse!$C:$O,K$1-2011,FALSE),0)+IFERROR(VLOOKUP($A154,MSoccer!$C:$O,K$1-2011,FALSE),0)+IFERROR(VLOOKUP($A154,MVolleyball!$C:$O,K$1-2011,FALSE),0)+IFERROR(VLOOKUP($A154,WBasketball!$C:$O,K$1-2011,FALSE),0)+IFERROR(VLOOKUP($A154,WFieldHockey!$C:$O,K$1-2011,FALSE),0)+IFERROR(VLOOKUP($A154,WIceHockey!$C:$O,K$1-2011,FALSE),0)+IFERROR(VLOOKUP($A154,WLacrosse!$C:$O,K$1-2011,FALSE),0)+IFERROR(VLOOKUP($A154,WSoccer!$C:$O,K$1-2011,FALSE),0)+IFERROR(VLOOKUP($A154,WSoftball!$C:$O,K$1-2011,FALSE),0)+IFERROR(VLOOKUP($A154,WVolleyball!$C:$O,K$1-2011,FALSE),0)</f>
        <v>44168</v>
      </c>
      <c r="L154">
        <f>IFERROR(VLOOKUP($A154,MBaseball!$C:$N,L$1-2010,FALSE),0)+IFERROR(VLOOKUP($A154,MBasketball!$C:$J,L$1-2006,FALSE),0)+IFERROR(VLOOKUP($A154,MFootball!$C:$O,L$1-2011,FALSE),0)+IFERROR(VLOOKUP($A154,MIceHockey!$C:$P,L$1-2011,FALSE),0)+IFERROR(VLOOKUP($A154,MLacrosse!$C:$O,L$1-2011,FALSE),0)+IFERROR(VLOOKUP($A154,MSoccer!$C:$O,L$1-2011,FALSE),0)+IFERROR(VLOOKUP($A154,MVolleyball!$C:$O,L$1-2011,FALSE),0)+IFERROR(VLOOKUP($A154,WBasketball!$C:$O,L$1-2011,FALSE),0)+IFERROR(VLOOKUP($A154,WFieldHockey!$C:$O,L$1-2011,FALSE),0)+IFERROR(VLOOKUP($A154,WIceHockey!$C:$O,L$1-2011,FALSE),0)+IFERROR(VLOOKUP($A154,WLacrosse!$C:$O,L$1-2011,FALSE),0)+IFERROR(VLOOKUP($A154,WSoccer!$C:$O,L$1-2011,FALSE),0)+IFERROR(VLOOKUP($A154,WSoftball!$C:$O,L$1-2011,FALSE),0)+IFERROR(VLOOKUP($A154,WVolleyball!$C:$O,L$1-2011,FALSE),0)</f>
        <v>22295</v>
      </c>
      <c r="M154">
        <f>IFERROR(VLOOKUP($A154,MBaseball!$C:$N,M$1-2010,FALSE),0)+IFERROR(VLOOKUP($A154,MBasketball!$C:$J,M$1-2006,FALSE),0)+IFERROR(VLOOKUP($A154,MFootball!$C:$O,M$1-2011,FALSE),0)+IFERROR(VLOOKUP($A154,MIceHockey!$C:$P,M$1-2011,FALSE),0)+IFERROR(VLOOKUP($A154,MLacrosse!$C:$O,M$1-2011,FALSE),0)+IFERROR(VLOOKUP($A154,MSoccer!$C:$O,M$1-2011,FALSE),0)+IFERROR(VLOOKUP($A154,MVolleyball!$C:$O,M$1-2011,FALSE),0)+IFERROR(VLOOKUP($A154,WBasketball!$C:$O,M$1-2011,FALSE),0)+IFERROR(VLOOKUP($A154,WFieldHockey!$C:$O,M$1-2011,FALSE),0)+IFERROR(VLOOKUP($A154,WIceHockey!$C:$O,M$1-2011,FALSE),0)+IFERROR(VLOOKUP($A154,WLacrosse!$C:$O,M$1-2011,FALSE),0)+IFERROR(VLOOKUP($A154,WSoccer!$C:$O,M$1-2011,FALSE),0)+IFERROR(VLOOKUP($A154,WSoftball!$C:$O,M$1-2011,FALSE),0)+IFERROR(VLOOKUP($A154,WVolleyball!$C:$O,M$1-2011,FALSE),0)</f>
        <v>37775</v>
      </c>
      <c r="N154">
        <f>IFERROR(VLOOKUP($A154,MBaseball!$C:$N,N$1-2010,FALSE),0)+IFERROR(VLOOKUP($A154,MBasketball!$C:$J,N$1-2006,FALSE),0)+IFERROR(VLOOKUP($A154,MFootball!$C:$O,N$1-2011,FALSE),0)+IFERROR(VLOOKUP($A154,MIceHockey!$C:$P,N$1-2011,FALSE),0)+IFERROR(VLOOKUP($A154,MLacrosse!$C:$O,N$1-2011,FALSE),0)+IFERROR(VLOOKUP($A154,MSoccer!$C:$O,N$1-2011,FALSE),0)+IFERROR(VLOOKUP($A154,MVolleyball!$C:$O,N$1-2011,FALSE),0)+IFERROR(VLOOKUP($A154,WBasketball!$C:$O,N$1-2011,FALSE),0)+IFERROR(VLOOKUP($A154,WFieldHockey!$C:$O,N$1-2011,FALSE),0)+IFERROR(VLOOKUP($A154,WIceHockey!$C:$O,N$1-2011,FALSE),0)+IFERROR(VLOOKUP($A154,WLacrosse!$C:$O,N$1-2011,FALSE),0)+IFERROR(VLOOKUP($A154,WSoccer!$C:$O,N$1-2011,FALSE),0)+IFERROR(VLOOKUP($A154,WSoftball!$C:$O,N$1-2011,FALSE),0)+IFERROR(VLOOKUP($A154,WVolleyball!$C:$O,N$1-2011,FALSE),0)</f>
        <v>31505</v>
      </c>
    </row>
    <row r="155" spans="1:14" x14ac:dyDescent="0.2">
      <c r="A155">
        <v>229063</v>
      </c>
      <c r="B155">
        <v>26420</v>
      </c>
      <c r="C155" t="s">
        <v>220</v>
      </c>
      <c r="D155">
        <v>154</v>
      </c>
      <c r="E155">
        <f>IFERROR(VLOOKUP($A155,MBaseball!$C:$N,E$1-2010,FALSE),0)+IFERROR(VLOOKUP($A155,MBasketball!$C:$J,E$1-2006,FALSE),0)+IFERROR(VLOOKUP($A155,MFootball!$C:$O,E$1-2011,FALSE),0)+IFERROR(VLOOKUP($A155,MIceHockey!$C:$P,E$1-2011,FALSE),0)+IFERROR(VLOOKUP($A155,MLacrosse!$C:$O,E$1-2011,FALSE),0)+IFERROR(VLOOKUP($A155,MSoccer!$C:$O,E$1-2011,FALSE),0)+IFERROR(VLOOKUP($A155,MVolleyball!$C:$O,E$1-2011,FALSE),0)+IFERROR(VLOOKUP($A155,WBasketball!$C:$O,E$1-2011,FALSE),0)+IFERROR(VLOOKUP($A155,WFieldHockey!$C:$O,E$1-2011,FALSE),0)+IFERROR(VLOOKUP($A155,WIceHockey!$C:$O,E$1-2011,FALSE),0)+IFERROR(VLOOKUP($A155,WLacrosse!$C:$O,E$1-2011,FALSE),0)+IFERROR(VLOOKUP($A155,WSoccer!$C:$O,E$1-2011,FALSE),0)+IFERROR(VLOOKUP($A155,WSoftball!$C:$O,E$1-2011,FALSE),0)+IFERROR(VLOOKUP($A155,WVolleyball!$C:$O,E$1-2011,FALSE),0)</f>
        <v>39080</v>
      </c>
      <c r="F155">
        <f>IFERROR(VLOOKUP($A155,MBaseball!$C:$N,F$1-2010,FALSE),0)+IFERROR(VLOOKUP($A155,MBasketball!$C:$J,F$1-2006,FALSE),0)+IFERROR(VLOOKUP($A155,MFootball!$C:$O,F$1-2011,FALSE),0)+IFERROR(VLOOKUP($A155,MIceHockey!$C:$P,F$1-2011,FALSE),0)+IFERROR(VLOOKUP($A155,MLacrosse!$C:$O,F$1-2011,FALSE),0)+IFERROR(VLOOKUP($A155,MSoccer!$C:$O,F$1-2011,FALSE),0)+IFERROR(VLOOKUP($A155,MVolleyball!$C:$O,F$1-2011,FALSE),0)+IFERROR(VLOOKUP($A155,WBasketball!$C:$O,F$1-2011,FALSE),0)+IFERROR(VLOOKUP($A155,WFieldHockey!$C:$O,F$1-2011,FALSE),0)+IFERROR(VLOOKUP($A155,WIceHockey!$C:$O,F$1-2011,FALSE),0)+IFERROR(VLOOKUP($A155,WLacrosse!$C:$O,F$1-2011,FALSE),0)+IFERROR(VLOOKUP($A155,WSoccer!$C:$O,F$1-2011,FALSE),0)+IFERROR(VLOOKUP($A155,WSoftball!$C:$O,F$1-2011,FALSE),0)+IFERROR(VLOOKUP($A155,WVolleyball!$C:$O,F$1-2011,FALSE),0)</f>
        <v>44500</v>
      </c>
      <c r="G155">
        <f>IFERROR(VLOOKUP($A155,MBaseball!$C:$N,G$1-2010,FALSE),0)+IFERROR(VLOOKUP($A155,MBasketball!$C:$J,G$1-2006,FALSE),0)+IFERROR(VLOOKUP($A155,MFootball!$C:$O,G$1-2011,FALSE),0)+IFERROR(VLOOKUP($A155,MIceHockey!$C:$P,G$1-2011,FALSE),0)+IFERROR(VLOOKUP($A155,MLacrosse!$C:$O,G$1-2011,FALSE),0)+IFERROR(VLOOKUP($A155,MSoccer!$C:$O,G$1-2011,FALSE),0)+IFERROR(VLOOKUP($A155,MVolleyball!$C:$O,G$1-2011,FALSE),0)+IFERROR(VLOOKUP($A155,WBasketball!$C:$O,G$1-2011,FALSE),0)+IFERROR(VLOOKUP($A155,WFieldHockey!$C:$O,G$1-2011,FALSE),0)+IFERROR(VLOOKUP($A155,WIceHockey!$C:$O,G$1-2011,FALSE),0)+IFERROR(VLOOKUP($A155,WLacrosse!$C:$O,G$1-2011,FALSE),0)+IFERROR(VLOOKUP($A155,WSoccer!$C:$O,G$1-2011,FALSE),0)+IFERROR(VLOOKUP($A155,WSoftball!$C:$O,G$1-2011,FALSE),0)+IFERROR(VLOOKUP($A155,WVolleyball!$C:$O,G$1-2011,FALSE),0)</f>
        <v>52809</v>
      </c>
      <c r="H155">
        <f>IFERROR(VLOOKUP($A155,MBaseball!$C:$N,H$1-2010,FALSE),0)+IFERROR(VLOOKUP($A155,MBasketball!$C:$J,H$1-2006,FALSE),0)+IFERROR(VLOOKUP($A155,MFootball!$C:$O,H$1-2011,FALSE),0)+IFERROR(VLOOKUP($A155,MIceHockey!$C:$P,H$1-2011,FALSE),0)+IFERROR(VLOOKUP($A155,MLacrosse!$C:$O,H$1-2011,FALSE),0)+IFERROR(VLOOKUP($A155,MSoccer!$C:$O,H$1-2011,FALSE),0)+IFERROR(VLOOKUP($A155,MVolleyball!$C:$O,H$1-2011,FALSE),0)+IFERROR(VLOOKUP($A155,WBasketball!$C:$O,H$1-2011,FALSE),0)+IFERROR(VLOOKUP($A155,WFieldHockey!$C:$O,H$1-2011,FALSE),0)+IFERROR(VLOOKUP($A155,WIceHockey!$C:$O,H$1-2011,FALSE),0)+IFERROR(VLOOKUP($A155,WLacrosse!$C:$O,H$1-2011,FALSE),0)+IFERROR(VLOOKUP($A155,WSoccer!$C:$O,H$1-2011,FALSE),0)+IFERROR(VLOOKUP($A155,WSoftball!$C:$O,H$1-2011,FALSE),0)+IFERROR(VLOOKUP($A155,WVolleyball!$C:$O,H$1-2011,FALSE),0)</f>
        <v>46671</v>
      </c>
      <c r="I155">
        <f>IFERROR(VLOOKUP($A155,MBaseball!$C:$N,I$1-2010,FALSE),0)+IFERROR(VLOOKUP($A155,MBasketball!$C:$J,I$1-2006,FALSE),0)+IFERROR(VLOOKUP($A155,MFootball!$C:$O,I$1-2011,FALSE),0)+IFERROR(VLOOKUP($A155,MIceHockey!$C:$P,I$1-2011,FALSE),0)+IFERROR(VLOOKUP($A155,MLacrosse!$C:$O,I$1-2011,FALSE),0)+IFERROR(VLOOKUP($A155,MSoccer!$C:$O,I$1-2011,FALSE),0)+IFERROR(VLOOKUP($A155,MVolleyball!$C:$O,I$1-2011,FALSE),0)+IFERROR(VLOOKUP($A155,WBasketball!$C:$O,I$1-2011,FALSE),0)+IFERROR(VLOOKUP($A155,WFieldHockey!$C:$O,I$1-2011,FALSE),0)+IFERROR(VLOOKUP($A155,WIceHockey!$C:$O,I$1-2011,FALSE),0)+IFERROR(VLOOKUP($A155,WLacrosse!$C:$O,I$1-2011,FALSE),0)+IFERROR(VLOOKUP($A155,WSoccer!$C:$O,I$1-2011,FALSE),0)+IFERROR(VLOOKUP($A155,WSoftball!$C:$O,I$1-2011,FALSE),0)+IFERROR(VLOOKUP($A155,WVolleyball!$C:$O,I$1-2011,FALSE),0)</f>
        <v>64729</v>
      </c>
      <c r="J155">
        <f>IFERROR(VLOOKUP($A155,MBaseball!$C:$N,J$1-2010,FALSE),0)+IFERROR(VLOOKUP($A155,MBasketball!$C:$J,J$1-2006,FALSE),0)+IFERROR(VLOOKUP($A155,MFootball!$C:$O,J$1-2011,FALSE),0)+IFERROR(VLOOKUP($A155,MIceHockey!$C:$P,J$1-2011,FALSE),0)+IFERROR(VLOOKUP($A155,MLacrosse!$C:$O,J$1-2011,FALSE),0)+IFERROR(VLOOKUP($A155,MSoccer!$C:$O,J$1-2011,FALSE),0)+IFERROR(VLOOKUP($A155,MVolleyball!$C:$O,J$1-2011,FALSE),0)+IFERROR(VLOOKUP($A155,WBasketball!$C:$O,J$1-2011,FALSE),0)+IFERROR(VLOOKUP($A155,WFieldHockey!$C:$O,J$1-2011,FALSE),0)+IFERROR(VLOOKUP($A155,WIceHockey!$C:$O,J$1-2011,FALSE),0)+IFERROR(VLOOKUP($A155,WLacrosse!$C:$O,J$1-2011,FALSE),0)+IFERROR(VLOOKUP($A155,WSoccer!$C:$O,J$1-2011,FALSE),0)+IFERROR(VLOOKUP($A155,WSoftball!$C:$O,J$1-2011,FALSE),0)+IFERROR(VLOOKUP($A155,WVolleyball!$C:$O,J$1-2011,FALSE),0)</f>
        <v>35095</v>
      </c>
      <c r="K155">
        <f>IFERROR(VLOOKUP($A155,MBaseball!$C:$N,K$1-2010,FALSE),0)+IFERROR(VLOOKUP($A155,MBasketball!$C:$J,K$1-2006,FALSE),0)+IFERROR(VLOOKUP($A155,MFootball!$C:$O,K$1-2011,FALSE),0)+IFERROR(VLOOKUP($A155,MIceHockey!$C:$P,K$1-2011,FALSE),0)+IFERROR(VLOOKUP($A155,MLacrosse!$C:$O,K$1-2011,FALSE),0)+IFERROR(VLOOKUP($A155,MSoccer!$C:$O,K$1-2011,FALSE),0)+IFERROR(VLOOKUP($A155,MVolleyball!$C:$O,K$1-2011,FALSE),0)+IFERROR(VLOOKUP($A155,WBasketball!$C:$O,K$1-2011,FALSE),0)+IFERROR(VLOOKUP($A155,WFieldHockey!$C:$O,K$1-2011,FALSE),0)+IFERROR(VLOOKUP($A155,WIceHockey!$C:$O,K$1-2011,FALSE),0)+IFERROR(VLOOKUP($A155,WLacrosse!$C:$O,K$1-2011,FALSE),0)+IFERROR(VLOOKUP($A155,WSoccer!$C:$O,K$1-2011,FALSE),0)+IFERROR(VLOOKUP($A155,WSoftball!$C:$O,K$1-2011,FALSE),0)+IFERROR(VLOOKUP($A155,WVolleyball!$C:$O,K$1-2011,FALSE),0)</f>
        <v>51977</v>
      </c>
      <c r="L155">
        <f>IFERROR(VLOOKUP($A155,MBaseball!$C:$N,L$1-2010,FALSE),0)+IFERROR(VLOOKUP($A155,MBasketball!$C:$J,L$1-2006,FALSE),0)+IFERROR(VLOOKUP($A155,MFootball!$C:$O,L$1-2011,FALSE),0)+IFERROR(VLOOKUP($A155,MIceHockey!$C:$P,L$1-2011,FALSE),0)+IFERROR(VLOOKUP($A155,MLacrosse!$C:$O,L$1-2011,FALSE),0)+IFERROR(VLOOKUP($A155,MSoccer!$C:$O,L$1-2011,FALSE),0)+IFERROR(VLOOKUP($A155,MVolleyball!$C:$O,L$1-2011,FALSE),0)+IFERROR(VLOOKUP($A155,WBasketball!$C:$O,L$1-2011,FALSE),0)+IFERROR(VLOOKUP($A155,WFieldHockey!$C:$O,L$1-2011,FALSE),0)+IFERROR(VLOOKUP($A155,WIceHockey!$C:$O,L$1-2011,FALSE),0)+IFERROR(VLOOKUP($A155,WLacrosse!$C:$O,L$1-2011,FALSE),0)+IFERROR(VLOOKUP($A155,WSoccer!$C:$O,L$1-2011,FALSE),0)+IFERROR(VLOOKUP($A155,WSoftball!$C:$O,L$1-2011,FALSE),0)+IFERROR(VLOOKUP($A155,WVolleyball!$C:$O,L$1-2011,FALSE),0)</f>
        <v>5988</v>
      </c>
      <c r="M155">
        <f>IFERROR(VLOOKUP($A155,MBaseball!$C:$N,M$1-2010,FALSE),0)+IFERROR(VLOOKUP($A155,MBasketball!$C:$J,M$1-2006,FALSE),0)+IFERROR(VLOOKUP($A155,MFootball!$C:$O,M$1-2011,FALSE),0)+IFERROR(VLOOKUP($A155,MIceHockey!$C:$P,M$1-2011,FALSE),0)+IFERROR(VLOOKUP($A155,MLacrosse!$C:$O,M$1-2011,FALSE),0)+IFERROR(VLOOKUP($A155,MSoccer!$C:$O,M$1-2011,FALSE),0)+IFERROR(VLOOKUP($A155,MVolleyball!$C:$O,M$1-2011,FALSE),0)+IFERROR(VLOOKUP($A155,WBasketball!$C:$O,M$1-2011,FALSE),0)+IFERROR(VLOOKUP($A155,WFieldHockey!$C:$O,M$1-2011,FALSE),0)+IFERROR(VLOOKUP($A155,WIceHockey!$C:$O,M$1-2011,FALSE),0)+IFERROR(VLOOKUP($A155,WLacrosse!$C:$O,M$1-2011,FALSE),0)+IFERROR(VLOOKUP($A155,WSoccer!$C:$O,M$1-2011,FALSE),0)+IFERROR(VLOOKUP($A155,WSoftball!$C:$O,M$1-2011,FALSE),0)+IFERROR(VLOOKUP($A155,WVolleyball!$C:$O,M$1-2011,FALSE),0)</f>
        <v>48096</v>
      </c>
      <c r="N155">
        <f>IFERROR(VLOOKUP($A155,MBaseball!$C:$N,N$1-2010,FALSE),0)+IFERROR(VLOOKUP($A155,MBasketball!$C:$J,N$1-2006,FALSE),0)+IFERROR(VLOOKUP($A155,MFootball!$C:$O,N$1-2011,FALSE),0)+IFERROR(VLOOKUP($A155,MIceHockey!$C:$P,N$1-2011,FALSE),0)+IFERROR(VLOOKUP($A155,MLacrosse!$C:$O,N$1-2011,FALSE),0)+IFERROR(VLOOKUP($A155,MSoccer!$C:$O,N$1-2011,FALSE),0)+IFERROR(VLOOKUP($A155,MVolleyball!$C:$O,N$1-2011,FALSE),0)+IFERROR(VLOOKUP($A155,WBasketball!$C:$O,N$1-2011,FALSE),0)+IFERROR(VLOOKUP($A155,WFieldHockey!$C:$O,N$1-2011,FALSE),0)+IFERROR(VLOOKUP($A155,WIceHockey!$C:$O,N$1-2011,FALSE),0)+IFERROR(VLOOKUP($A155,WLacrosse!$C:$O,N$1-2011,FALSE),0)+IFERROR(VLOOKUP($A155,WSoccer!$C:$O,N$1-2011,FALSE),0)+IFERROR(VLOOKUP($A155,WSoftball!$C:$O,N$1-2011,FALSE),0)+IFERROR(VLOOKUP($A155,WVolleyball!$C:$O,N$1-2011,FALSE),0)</f>
        <v>58935</v>
      </c>
    </row>
    <row r="156" spans="1:14" x14ac:dyDescent="0.2">
      <c r="A156">
        <v>228459</v>
      </c>
      <c r="B156">
        <v>12420</v>
      </c>
      <c r="C156" t="s">
        <v>221</v>
      </c>
      <c r="D156">
        <v>155</v>
      </c>
      <c r="E156">
        <f>IFERROR(VLOOKUP($A156,MBaseball!$C:$N,E$1-2010,FALSE),0)+IFERROR(VLOOKUP($A156,MBasketball!$C:$J,E$1-2006,FALSE),0)+IFERROR(VLOOKUP($A156,MFootball!$C:$O,E$1-2011,FALSE),0)+IFERROR(VLOOKUP($A156,MIceHockey!$C:$P,E$1-2011,FALSE),0)+IFERROR(VLOOKUP($A156,MLacrosse!$C:$O,E$1-2011,FALSE),0)+IFERROR(VLOOKUP($A156,MSoccer!$C:$O,E$1-2011,FALSE),0)+IFERROR(VLOOKUP($A156,MVolleyball!$C:$O,E$1-2011,FALSE),0)+IFERROR(VLOOKUP($A156,WBasketball!$C:$O,E$1-2011,FALSE),0)+IFERROR(VLOOKUP($A156,WFieldHockey!$C:$O,E$1-2011,FALSE),0)+IFERROR(VLOOKUP($A156,WIceHockey!$C:$O,E$1-2011,FALSE),0)+IFERROR(VLOOKUP($A156,WLacrosse!$C:$O,E$1-2011,FALSE),0)+IFERROR(VLOOKUP($A156,WSoccer!$C:$O,E$1-2011,FALSE),0)+IFERROR(VLOOKUP($A156,WSoftball!$C:$O,E$1-2011,FALSE),0)+IFERROR(VLOOKUP($A156,WVolleyball!$C:$O,E$1-2011,FALSE),0)</f>
        <v>108549</v>
      </c>
      <c r="F156">
        <f>IFERROR(VLOOKUP($A156,MBaseball!$C:$N,F$1-2010,FALSE),0)+IFERROR(VLOOKUP($A156,MBasketball!$C:$J,F$1-2006,FALSE),0)+IFERROR(VLOOKUP($A156,MFootball!$C:$O,F$1-2011,FALSE),0)+IFERROR(VLOOKUP($A156,MIceHockey!$C:$P,F$1-2011,FALSE),0)+IFERROR(VLOOKUP($A156,MLacrosse!$C:$O,F$1-2011,FALSE),0)+IFERROR(VLOOKUP($A156,MSoccer!$C:$O,F$1-2011,FALSE),0)+IFERROR(VLOOKUP($A156,MVolleyball!$C:$O,F$1-2011,FALSE),0)+IFERROR(VLOOKUP($A156,WBasketball!$C:$O,F$1-2011,FALSE),0)+IFERROR(VLOOKUP($A156,WFieldHockey!$C:$O,F$1-2011,FALSE),0)+IFERROR(VLOOKUP($A156,WIceHockey!$C:$O,F$1-2011,FALSE),0)+IFERROR(VLOOKUP($A156,WLacrosse!$C:$O,F$1-2011,FALSE),0)+IFERROR(VLOOKUP($A156,WSoccer!$C:$O,F$1-2011,FALSE),0)+IFERROR(VLOOKUP($A156,WSoftball!$C:$O,F$1-2011,FALSE),0)+IFERROR(VLOOKUP($A156,WVolleyball!$C:$O,F$1-2011,FALSE),0)</f>
        <v>210965</v>
      </c>
      <c r="G156">
        <f>IFERROR(VLOOKUP($A156,MBaseball!$C:$N,G$1-2010,FALSE),0)+IFERROR(VLOOKUP($A156,MBasketball!$C:$J,G$1-2006,FALSE),0)+IFERROR(VLOOKUP($A156,MFootball!$C:$O,G$1-2011,FALSE),0)+IFERROR(VLOOKUP($A156,MIceHockey!$C:$P,G$1-2011,FALSE),0)+IFERROR(VLOOKUP($A156,MLacrosse!$C:$O,G$1-2011,FALSE),0)+IFERROR(VLOOKUP($A156,MSoccer!$C:$O,G$1-2011,FALSE),0)+IFERROR(VLOOKUP($A156,MVolleyball!$C:$O,G$1-2011,FALSE),0)+IFERROR(VLOOKUP($A156,WBasketball!$C:$O,G$1-2011,FALSE),0)+IFERROR(VLOOKUP($A156,WFieldHockey!$C:$O,G$1-2011,FALSE),0)+IFERROR(VLOOKUP($A156,WIceHockey!$C:$O,G$1-2011,FALSE),0)+IFERROR(VLOOKUP($A156,WLacrosse!$C:$O,G$1-2011,FALSE),0)+IFERROR(VLOOKUP($A156,WSoccer!$C:$O,G$1-2011,FALSE),0)+IFERROR(VLOOKUP($A156,WSoftball!$C:$O,G$1-2011,FALSE),0)+IFERROR(VLOOKUP($A156,WVolleyball!$C:$O,G$1-2011,FALSE),0)</f>
        <v>216891</v>
      </c>
      <c r="H156">
        <f>IFERROR(VLOOKUP($A156,MBaseball!$C:$N,H$1-2010,FALSE),0)+IFERROR(VLOOKUP($A156,MBasketball!$C:$J,H$1-2006,FALSE),0)+IFERROR(VLOOKUP($A156,MFootball!$C:$O,H$1-2011,FALSE),0)+IFERROR(VLOOKUP($A156,MIceHockey!$C:$P,H$1-2011,FALSE),0)+IFERROR(VLOOKUP($A156,MLacrosse!$C:$O,H$1-2011,FALSE),0)+IFERROR(VLOOKUP($A156,MSoccer!$C:$O,H$1-2011,FALSE),0)+IFERROR(VLOOKUP($A156,MVolleyball!$C:$O,H$1-2011,FALSE),0)+IFERROR(VLOOKUP($A156,WBasketball!$C:$O,H$1-2011,FALSE),0)+IFERROR(VLOOKUP($A156,WFieldHockey!$C:$O,H$1-2011,FALSE),0)+IFERROR(VLOOKUP($A156,WIceHockey!$C:$O,H$1-2011,FALSE),0)+IFERROR(VLOOKUP($A156,WLacrosse!$C:$O,H$1-2011,FALSE),0)+IFERROR(VLOOKUP($A156,WSoccer!$C:$O,H$1-2011,FALSE),0)+IFERROR(VLOOKUP($A156,WSoftball!$C:$O,H$1-2011,FALSE),0)+IFERROR(VLOOKUP($A156,WVolleyball!$C:$O,H$1-2011,FALSE),0)</f>
        <v>210823</v>
      </c>
      <c r="I156">
        <f>IFERROR(VLOOKUP($A156,MBaseball!$C:$N,I$1-2010,FALSE),0)+IFERROR(VLOOKUP($A156,MBasketball!$C:$J,I$1-2006,FALSE),0)+IFERROR(VLOOKUP($A156,MFootball!$C:$O,I$1-2011,FALSE),0)+IFERROR(VLOOKUP($A156,MIceHockey!$C:$P,I$1-2011,FALSE),0)+IFERROR(VLOOKUP($A156,MLacrosse!$C:$O,I$1-2011,FALSE),0)+IFERROR(VLOOKUP($A156,MSoccer!$C:$O,I$1-2011,FALSE),0)+IFERROR(VLOOKUP($A156,MVolleyball!$C:$O,I$1-2011,FALSE),0)+IFERROR(VLOOKUP($A156,WBasketball!$C:$O,I$1-2011,FALSE),0)+IFERROR(VLOOKUP($A156,WFieldHockey!$C:$O,I$1-2011,FALSE),0)+IFERROR(VLOOKUP($A156,WIceHockey!$C:$O,I$1-2011,FALSE),0)+IFERROR(VLOOKUP($A156,WLacrosse!$C:$O,I$1-2011,FALSE),0)+IFERROR(VLOOKUP($A156,WSoccer!$C:$O,I$1-2011,FALSE),0)+IFERROR(VLOOKUP($A156,WSoftball!$C:$O,I$1-2011,FALSE),0)+IFERROR(VLOOKUP($A156,WVolleyball!$C:$O,I$1-2011,FALSE),0)</f>
        <v>198843</v>
      </c>
      <c r="J156">
        <f>IFERROR(VLOOKUP($A156,MBaseball!$C:$N,J$1-2010,FALSE),0)+IFERROR(VLOOKUP($A156,MBasketball!$C:$J,J$1-2006,FALSE),0)+IFERROR(VLOOKUP($A156,MFootball!$C:$O,J$1-2011,FALSE),0)+IFERROR(VLOOKUP($A156,MIceHockey!$C:$P,J$1-2011,FALSE),0)+IFERROR(VLOOKUP($A156,MLacrosse!$C:$O,J$1-2011,FALSE),0)+IFERROR(VLOOKUP($A156,MSoccer!$C:$O,J$1-2011,FALSE),0)+IFERROR(VLOOKUP($A156,MVolleyball!$C:$O,J$1-2011,FALSE),0)+IFERROR(VLOOKUP($A156,WBasketball!$C:$O,J$1-2011,FALSE),0)+IFERROR(VLOOKUP($A156,WFieldHockey!$C:$O,J$1-2011,FALSE),0)+IFERROR(VLOOKUP($A156,WIceHockey!$C:$O,J$1-2011,FALSE),0)+IFERROR(VLOOKUP($A156,WLacrosse!$C:$O,J$1-2011,FALSE),0)+IFERROR(VLOOKUP($A156,WSoccer!$C:$O,J$1-2011,FALSE),0)+IFERROR(VLOOKUP($A156,WSoftball!$C:$O,J$1-2011,FALSE),0)+IFERROR(VLOOKUP($A156,WVolleyball!$C:$O,J$1-2011,FALSE),0)</f>
        <v>142630</v>
      </c>
      <c r="K156">
        <f>IFERROR(VLOOKUP($A156,MBaseball!$C:$N,K$1-2010,FALSE),0)+IFERROR(VLOOKUP($A156,MBasketball!$C:$J,K$1-2006,FALSE),0)+IFERROR(VLOOKUP($A156,MFootball!$C:$O,K$1-2011,FALSE),0)+IFERROR(VLOOKUP($A156,MIceHockey!$C:$P,K$1-2011,FALSE),0)+IFERROR(VLOOKUP($A156,MLacrosse!$C:$O,K$1-2011,FALSE),0)+IFERROR(VLOOKUP($A156,MSoccer!$C:$O,K$1-2011,FALSE),0)+IFERROR(VLOOKUP($A156,MVolleyball!$C:$O,K$1-2011,FALSE),0)+IFERROR(VLOOKUP($A156,WBasketball!$C:$O,K$1-2011,FALSE),0)+IFERROR(VLOOKUP($A156,WFieldHockey!$C:$O,K$1-2011,FALSE),0)+IFERROR(VLOOKUP($A156,WIceHockey!$C:$O,K$1-2011,FALSE),0)+IFERROR(VLOOKUP($A156,WLacrosse!$C:$O,K$1-2011,FALSE),0)+IFERROR(VLOOKUP($A156,WSoccer!$C:$O,K$1-2011,FALSE),0)+IFERROR(VLOOKUP($A156,WSoftball!$C:$O,K$1-2011,FALSE),0)+IFERROR(VLOOKUP($A156,WVolleyball!$C:$O,K$1-2011,FALSE),0)</f>
        <v>177255</v>
      </c>
      <c r="L156">
        <f>IFERROR(VLOOKUP($A156,MBaseball!$C:$N,L$1-2010,FALSE),0)+IFERROR(VLOOKUP($A156,MBasketball!$C:$J,L$1-2006,FALSE),0)+IFERROR(VLOOKUP($A156,MFootball!$C:$O,L$1-2011,FALSE),0)+IFERROR(VLOOKUP($A156,MIceHockey!$C:$P,L$1-2011,FALSE),0)+IFERROR(VLOOKUP($A156,MLacrosse!$C:$O,L$1-2011,FALSE),0)+IFERROR(VLOOKUP($A156,MSoccer!$C:$O,L$1-2011,FALSE),0)+IFERROR(VLOOKUP($A156,MVolleyball!$C:$O,L$1-2011,FALSE),0)+IFERROR(VLOOKUP($A156,WBasketball!$C:$O,L$1-2011,FALSE),0)+IFERROR(VLOOKUP($A156,WFieldHockey!$C:$O,L$1-2011,FALSE),0)+IFERROR(VLOOKUP($A156,WIceHockey!$C:$O,L$1-2011,FALSE),0)+IFERROR(VLOOKUP($A156,WLacrosse!$C:$O,L$1-2011,FALSE),0)+IFERROR(VLOOKUP($A156,WSoccer!$C:$O,L$1-2011,FALSE),0)+IFERROR(VLOOKUP($A156,WSoftball!$C:$O,L$1-2011,FALSE),0)+IFERROR(VLOOKUP($A156,WVolleyball!$C:$O,L$1-2011,FALSE),0)</f>
        <v>100402</v>
      </c>
      <c r="M156">
        <f>IFERROR(VLOOKUP($A156,MBaseball!$C:$N,M$1-2010,FALSE),0)+IFERROR(VLOOKUP($A156,MBasketball!$C:$J,M$1-2006,FALSE),0)+IFERROR(VLOOKUP($A156,MFootball!$C:$O,M$1-2011,FALSE),0)+IFERROR(VLOOKUP($A156,MIceHockey!$C:$P,M$1-2011,FALSE),0)+IFERROR(VLOOKUP($A156,MLacrosse!$C:$O,M$1-2011,FALSE),0)+IFERROR(VLOOKUP($A156,MSoccer!$C:$O,M$1-2011,FALSE),0)+IFERROR(VLOOKUP($A156,MVolleyball!$C:$O,M$1-2011,FALSE),0)+IFERROR(VLOOKUP($A156,WBasketball!$C:$O,M$1-2011,FALSE),0)+IFERROR(VLOOKUP($A156,WFieldHockey!$C:$O,M$1-2011,FALSE),0)+IFERROR(VLOOKUP($A156,WIceHockey!$C:$O,M$1-2011,FALSE),0)+IFERROR(VLOOKUP($A156,WLacrosse!$C:$O,M$1-2011,FALSE),0)+IFERROR(VLOOKUP($A156,WSoccer!$C:$O,M$1-2011,FALSE),0)+IFERROR(VLOOKUP($A156,WSoftball!$C:$O,M$1-2011,FALSE),0)+IFERROR(VLOOKUP($A156,WVolleyball!$C:$O,M$1-2011,FALSE),0)</f>
        <v>190311</v>
      </c>
      <c r="N156">
        <f>IFERROR(VLOOKUP($A156,MBaseball!$C:$N,N$1-2010,FALSE),0)+IFERROR(VLOOKUP($A156,MBasketball!$C:$J,N$1-2006,FALSE),0)+IFERROR(VLOOKUP($A156,MFootball!$C:$O,N$1-2011,FALSE),0)+IFERROR(VLOOKUP($A156,MIceHockey!$C:$P,N$1-2011,FALSE),0)+IFERROR(VLOOKUP($A156,MLacrosse!$C:$O,N$1-2011,FALSE),0)+IFERROR(VLOOKUP($A156,MSoccer!$C:$O,N$1-2011,FALSE),0)+IFERROR(VLOOKUP($A156,MVolleyball!$C:$O,N$1-2011,FALSE),0)+IFERROR(VLOOKUP($A156,WBasketball!$C:$O,N$1-2011,FALSE),0)+IFERROR(VLOOKUP($A156,WFieldHockey!$C:$O,N$1-2011,FALSE),0)+IFERROR(VLOOKUP($A156,WIceHockey!$C:$O,N$1-2011,FALSE),0)+IFERROR(VLOOKUP($A156,WLacrosse!$C:$O,N$1-2011,FALSE),0)+IFERROR(VLOOKUP($A156,WSoccer!$C:$O,N$1-2011,FALSE),0)+IFERROR(VLOOKUP($A156,WSoftball!$C:$O,N$1-2011,FALSE),0)+IFERROR(VLOOKUP($A156,WVolleyball!$C:$O,N$1-2011,FALSE),0)</f>
        <v>147286</v>
      </c>
    </row>
    <row r="157" spans="1:14" x14ac:dyDescent="0.2">
      <c r="A157">
        <v>229115</v>
      </c>
      <c r="B157">
        <v>31180</v>
      </c>
      <c r="C157" t="s">
        <v>222</v>
      </c>
      <c r="D157">
        <v>156</v>
      </c>
      <c r="E157">
        <f>IFERROR(VLOOKUP($A157,MBaseball!$C:$N,E$1-2010,FALSE),0)+IFERROR(VLOOKUP($A157,MBasketball!$C:$J,E$1-2006,FALSE),0)+IFERROR(VLOOKUP($A157,MFootball!$C:$O,E$1-2011,FALSE),0)+IFERROR(VLOOKUP($A157,MIceHockey!$C:$P,E$1-2011,FALSE),0)+IFERROR(VLOOKUP($A157,MLacrosse!$C:$O,E$1-2011,FALSE),0)+IFERROR(VLOOKUP($A157,MSoccer!$C:$O,E$1-2011,FALSE),0)+IFERROR(VLOOKUP($A157,MVolleyball!$C:$O,E$1-2011,FALSE),0)+IFERROR(VLOOKUP($A157,WBasketball!$C:$O,E$1-2011,FALSE),0)+IFERROR(VLOOKUP($A157,WFieldHockey!$C:$O,E$1-2011,FALSE),0)+IFERROR(VLOOKUP($A157,WIceHockey!$C:$O,E$1-2011,FALSE),0)+IFERROR(VLOOKUP($A157,WLacrosse!$C:$O,E$1-2011,FALSE),0)+IFERROR(VLOOKUP($A157,WSoccer!$C:$O,E$1-2011,FALSE),0)+IFERROR(VLOOKUP($A157,WSoftball!$C:$O,E$1-2011,FALSE),0)+IFERROR(VLOOKUP($A157,WVolleyball!$C:$O,E$1-2011,FALSE),0)</f>
        <v>400962</v>
      </c>
      <c r="F157">
        <f>IFERROR(VLOOKUP($A157,MBaseball!$C:$N,F$1-2010,FALSE),0)+IFERROR(VLOOKUP($A157,MBasketball!$C:$J,F$1-2006,FALSE),0)+IFERROR(VLOOKUP($A157,MFootball!$C:$O,F$1-2011,FALSE),0)+IFERROR(VLOOKUP($A157,MIceHockey!$C:$P,F$1-2011,FALSE),0)+IFERROR(VLOOKUP($A157,MLacrosse!$C:$O,F$1-2011,FALSE),0)+IFERROR(VLOOKUP($A157,MSoccer!$C:$O,F$1-2011,FALSE),0)+IFERROR(VLOOKUP($A157,MVolleyball!$C:$O,F$1-2011,FALSE),0)+IFERROR(VLOOKUP($A157,WBasketball!$C:$O,F$1-2011,FALSE),0)+IFERROR(VLOOKUP($A157,WFieldHockey!$C:$O,F$1-2011,FALSE),0)+IFERROR(VLOOKUP($A157,WIceHockey!$C:$O,F$1-2011,FALSE),0)+IFERROR(VLOOKUP($A157,WLacrosse!$C:$O,F$1-2011,FALSE),0)+IFERROR(VLOOKUP($A157,WSoccer!$C:$O,F$1-2011,FALSE),0)+IFERROR(VLOOKUP($A157,WSoftball!$C:$O,F$1-2011,FALSE),0)+IFERROR(VLOOKUP($A157,WVolleyball!$C:$O,F$1-2011,FALSE),0)</f>
        <v>576449</v>
      </c>
      <c r="G157">
        <f>IFERROR(VLOOKUP($A157,MBaseball!$C:$N,G$1-2010,FALSE),0)+IFERROR(VLOOKUP($A157,MBasketball!$C:$J,G$1-2006,FALSE),0)+IFERROR(VLOOKUP($A157,MFootball!$C:$O,G$1-2011,FALSE),0)+IFERROR(VLOOKUP($A157,MIceHockey!$C:$P,G$1-2011,FALSE),0)+IFERROR(VLOOKUP($A157,MLacrosse!$C:$O,G$1-2011,FALSE),0)+IFERROR(VLOOKUP($A157,MSoccer!$C:$O,G$1-2011,FALSE),0)+IFERROR(VLOOKUP($A157,MVolleyball!$C:$O,G$1-2011,FALSE),0)+IFERROR(VLOOKUP($A157,WBasketball!$C:$O,G$1-2011,FALSE),0)+IFERROR(VLOOKUP($A157,WFieldHockey!$C:$O,G$1-2011,FALSE),0)+IFERROR(VLOOKUP($A157,WIceHockey!$C:$O,G$1-2011,FALSE),0)+IFERROR(VLOOKUP($A157,WLacrosse!$C:$O,G$1-2011,FALSE),0)+IFERROR(VLOOKUP($A157,WSoccer!$C:$O,G$1-2011,FALSE),0)+IFERROR(VLOOKUP($A157,WSoftball!$C:$O,G$1-2011,FALSE),0)+IFERROR(VLOOKUP($A157,WVolleyball!$C:$O,G$1-2011,FALSE),0)</f>
        <v>555978</v>
      </c>
      <c r="H157">
        <f>IFERROR(VLOOKUP($A157,MBaseball!$C:$N,H$1-2010,FALSE),0)+IFERROR(VLOOKUP($A157,MBasketball!$C:$J,H$1-2006,FALSE),0)+IFERROR(VLOOKUP($A157,MFootball!$C:$O,H$1-2011,FALSE),0)+IFERROR(VLOOKUP($A157,MIceHockey!$C:$P,H$1-2011,FALSE),0)+IFERROR(VLOOKUP($A157,MLacrosse!$C:$O,H$1-2011,FALSE),0)+IFERROR(VLOOKUP($A157,MSoccer!$C:$O,H$1-2011,FALSE),0)+IFERROR(VLOOKUP($A157,MVolleyball!$C:$O,H$1-2011,FALSE),0)+IFERROR(VLOOKUP($A157,WBasketball!$C:$O,H$1-2011,FALSE),0)+IFERROR(VLOOKUP($A157,WFieldHockey!$C:$O,H$1-2011,FALSE),0)+IFERROR(VLOOKUP($A157,WIceHockey!$C:$O,H$1-2011,FALSE),0)+IFERROR(VLOOKUP($A157,WLacrosse!$C:$O,H$1-2011,FALSE),0)+IFERROR(VLOOKUP($A157,WSoccer!$C:$O,H$1-2011,FALSE),0)+IFERROR(VLOOKUP($A157,WSoftball!$C:$O,H$1-2011,FALSE),0)+IFERROR(VLOOKUP($A157,WVolleyball!$C:$O,H$1-2011,FALSE),0)</f>
        <v>585258</v>
      </c>
      <c r="I157">
        <f>IFERROR(VLOOKUP($A157,MBaseball!$C:$N,I$1-2010,FALSE),0)+IFERROR(VLOOKUP($A157,MBasketball!$C:$J,I$1-2006,FALSE),0)+IFERROR(VLOOKUP($A157,MFootball!$C:$O,I$1-2011,FALSE),0)+IFERROR(VLOOKUP($A157,MIceHockey!$C:$P,I$1-2011,FALSE),0)+IFERROR(VLOOKUP($A157,MLacrosse!$C:$O,I$1-2011,FALSE),0)+IFERROR(VLOOKUP($A157,MSoccer!$C:$O,I$1-2011,FALSE),0)+IFERROR(VLOOKUP($A157,MVolleyball!$C:$O,I$1-2011,FALSE),0)+IFERROR(VLOOKUP($A157,WBasketball!$C:$O,I$1-2011,FALSE),0)+IFERROR(VLOOKUP($A157,WFieldHockey!$C:$O,I$1-2011,FALSE),0)+IFERROR(VLOOKUP($A157,WIceHockey!$C:$O,I$1-2011,FALSE),0)+IFERROR(VLOOKUP($A157,WLacrosse!$C:$O,I$1-2011,FALSE),0)+IFERROR(VLOOKUP($A157,WSoccer!$C:$O,I$1-2011,FALSE),0)+IFERROR(VLOOKUP($A157,WSoftball!$C:$O,I$1-2011,FALSE),0)+IFERROR(VLOOKUP($A157,WVolleyball!$C:$O,I$1-2011,FALSE),0)</f>
        <v>566893</v>
      </c>
      <c r="J157">
        <f>IFERROR(VLOOKUP($A157,MBaseball!$C:$N,J$1-2010,FALSE),0)+IFERROR(VLOOKUP($A157,MBasketball!$C:$J,J$1-2006,FALSE),0)+IFERROR(VLOOKUP($A157,MFootball!$C:$O,J$1-2011,FALSE),0)+IFERROR(VLOOKUP($A157,MIceHockey!$C:$P,J$1-2011,FALSE),0)+IFERROR(VLOOKUP($A157,MLacrosse!$C:$O,J$1-2011,FALSE),0)+IFERROR(VLOOKUP($A157,MSoccer!$C:$O,J$1-2011,FALSE),0)+IFERROR(VLOOKUP($A157,MVolleyball!$C:$O,J$1-2011,FALSE),0)+IFERROR(VLOOKUP($A157,WBasketball!$C:$O,J$1-2011,FALSE),0)+IFERROR(VLOOKUP($A157,WFieldHockey!$C:$O,J$1-2011,FALSE),0)+IFERROR(VLOOKUP($A157,WIceHockey!$C:$O,J$1-2011,FALSE),0)+IFERROR(VLOOKUP($A157,WLacrosse!$C:$O,J$1-2011,FALSE),0)+IFERROR(VLOOKUP($A157,WSoccer!$C:$O,J$1-2011,FALSE),0)+IFERROR(VLOOKUP($A157,WSoftball!$C:$O,J$1-2011,FALSE),0)+IFERROR(VLOOKUP($A157,WVolleyball!$C:$O,J$1-2011,FALSE),0)</f>
        <v>471226</v>
      </c>
      <c r="K157">
        <f>IFERROR(VLOOKUP($A157,MBaseball!$C:$N,K$1-2010,FALSE),0)+IFERROR(VLOOKUP($A157,MBasketball!$C:$J,K$1-2006,FALSE),0)+IFERROR(VLOOKUP($A157,MFootball!$C:$O,K$1-2011,FALSE),0)+IFERROR(VLOOKUP($A157,MIceHockey!$C:$P,K$1-2011,FALSE),0)+IFERROR(VLOOKUP($A157,MLacrosse!$C:$O,K$1-2011,FALSE),0)+IFERROR(VLOOKUP($A157,MSoccer!$C:$O,K$1-2011,FALSE),0)+IFERROR(VLOOKUP($A157,MVolleyball!$C:$O,K$1-2011,FALSE),0)+IFERROR(VLOOKUP($A157,WBasketball!$C:$O,K$1-2011,FALSE),0)+IFERROR(VLOOKUP($A157,WFieldHockey!$C:$O,K$1-2011,FALSE),0)+IFERROR(VLOOKUP($A157,WIceHockey!$C:$O,K$1-2011,FALSE),0)+IFERROR(VLOOKUP($A157,WLacrosse!$C:$O,K$1-2011,FALSE),0)+IFERROR(VLOOKUP($A157,WSoccer!$C:$O,K$1-2011,FALSE),0)+IFERROR(VLOOKUP($A157,WSoftball!$C:$O,K$1-2011,FALSE),0)+IFERROR(VLOOKUP($A157,WVolleyball!$C:$O,K$1-2011,FALSE),0)</f>
        <v>541565</v>
      </c>
      <c r="L157">
        <f>IFERROR(VLOOKUP($A157,MBaseball!$C:$N,L$1-2010,FALSE),0)+IFERROR(VLOOKUP($A157,MBasketball!$C:$J,L$1-2006,FALSE),0)+IFERROR(VLOOKUP($A157,MFootball!$C:$O,L$1-2011,FALSE),0)+IFERROR(VLOOKUP($A157,MIceHockey!$C:$P,L$1-2011,FALSE),0)+IFERROR(VLOOKUP($A157,MLacrosse!$C:$O,L$1-2011,FALSE),0)+IFERROR(VLOOKUP($A157,MSoccer!$C:$O,L$1-2011,FALSE),0)+IFERROR(VLOOKUP($A157,MVolleyball!$C:$O,L$1-2011,FALSE),0)+IFERROR(VLOOKUP($A157,WBasketball!$C:$O,L$1-2011,FALSE),0)+IFERROR(VLOOKUP($A157,WFieldHockey!$C:$O,L$1-2011,FALSE),0)+IFERROR(VLOOKUP($A157,WIceHockey!$C:$O,L$1-2011,FALSE),0)+IFERROR(VLOOKUP($A157,WLacrosse!$C:$O,L$1-2011,FALSE),0)+IFERROR(VLOOKUP($A157,WSoccer!$C:$O,L$1-2011,FALSE),0)+IFERROR(VLOOKUP($A157,WSoftball!$C:$O,L$1-2011,FALSE),0)+IFERROR(VLOOKUP($A157,WVolleyball!$C:$O,L$1-2011,FALSE),0)</f>
        <v>217337</v>
      </c>
      <c r="M157">
        <f>IFERROR(VLOOKUP($A157,MBaseball!$C:$N,M$1-2010,FALSE),0)+IFERROR(VLOOKUP($A157,MBasketball!$C:$J,M$1-2006,FALSE),0)+IFERROR(VLOOKUP($A157,MFootball!$C:$O,M$1-2011,FALSE),0)+IFERROR(VLOOKUP($A157,MIceHockey!$C:$P,M$1-2011,FALSE),0)+IFERROR(VLOOKUP($A157,MLacrosse!$C:$O,M$1-2011,FALSE),0)+IFERROR(VLOOKUP($A157,MSoccer!$C:$O,M$1-2011,FALSE),0)+IFERROR(VLOOKUP($A157,MVolleyball!$C:$O,M$1-2011,FALSE),0)+IFERROR(VLOOKUP($A157,WBasketball!$C:$O,M$1-2011,FALSE),0)+IFERROR(VLOOKUP($A157,WFieldHockey!$C:$O,M$1-2011,FALSE),0)+IFERROR(VLOOKUP($A157,WIceHockey!$C:$O,M$1-2011,FALSE),0)+IFERROR(VLOOKUP($A157,WLacrosse!$C:$O,M$1-2011,FALSE),0)+IFERROR(VLOOKUP($A157,WSoccer!$C:$O,M$1-2011,FALSE),0)+IFERROR(VLOOKUP($A157,WSoftball!$C:$O,M$1-2011,FALSE),0)+IFERROR(VLOOKUP($A157,WVolleyball!$C:$O,M$1-2011,FALSE),0)</f>
        <v>542064</v>
      </c>
      <c r="N157">
        <f>IFERROR(VLOOKUP($A157,MBaseball!$C:$N,N$1-2010,FALSE),0)+IFERROR(VLOOKUP($A157,MBasketball!$C:$J,N$1-2006,FALSE),0)+IFERROR(VLOOKUP($A157,MFootball!$C:$O,N$1-2011,FALSE),0)+IFERROR(VLOOKUP($A157,MIceHockey!$C:$P,N$1-2011,FALSE),0)+IFERROR(VLOOKUP($A157,MLacrosse!$C:$O,N$1-2011,FALSE),0)+IFERROR(VLOOKUP($A157,MSoccer!$C:$O,N$1-2011,FALSE),0)+IFERROR(VLOOKUP($A157,MVolleyball!$C:$O,N$1-2011,FALSE),0)+IFERROR(VLOOKUP($A157,WBasketball!$C:$O,N$1-2011,FALSE),0)+IFERROR(VLOOKUP($A157,WFieldHockey!$C:$O,N$1-2011,FALSE),0)+IFERROR(VLOOKUP($A157,WIceHockey!$C:$O,N$1-2011,FALSE),0)+IFERROR(VLOOKUP($A157,WLacrosse!$C:$O,N$1-2011,FALSE),0)+IFERROR(VLOOKUP($A157,WSoccer!$C:$O,N$1-2011,FALSE),0)+IFERROR(VLOOKUP($A157,WSoftball!$C:$O,N$1-2011,FALSE),0)+IFERROR(VLOOKUP($A157,WVolleyball!$C:$O,N$1-2011,FALSE),0)</f>
        <v>531395</v>
      </c>
    </row>
    <row r="158" spans="1:14" x14ac:dyDescent="0.2">
      <c r="A158">
        <v>206084</v>
      </c>
      <c r="B158">
        <v>45780</v>
      </c>
      <c r="C158" t="s">
        <v>223</v>
      </c>
      <c r="D158">
        <v>157</v>
      </c>
      <c r="E158">
        <f>IFERROR(VLOOKUP($A158,MBaseball!$C:$N,E$1-2010,FALSE),0)+IFERROR(VLOOKUP($A158,MBasketball!$C:$J,E$1-2006,FALSE),0)+IFERROR(VLOOKUP($A158,MFootball!$C:$O,E$1-2011,FALSE),0)+IFERROR(VLOOKUP($A158,MIceHockey!$C:$P,E$1-2011,FALSE),0)+IFERROR(VLOOKUP($A158,MLacrosse!$C:$O,E$1-2011,FALSE),0)+IFERROR(VLOOKUP($A158,MSoccer!$C:$O,E$1-2011,FALSE),0)+IFERROR(VLOOKUP($A158,MVolleyball!$C:$O,E$1-2011,FALSE),0)+IFERROR(VLOOKUP($A158,WBasketball!$C:$O,E$1-2011,FALSE),0)+IFERROR(VLOOKUP($A158,WFieldHockey!$C:$O,E$1-2011,FALSE),0)+IFERROR(VLOOKUP($A158,WIceHockey!$C:$O,E$1-2011,FALSE),0)+IFERROR(VLOOKUP($A158,WLacrosse!$C:$O,E$1-2011,FALSE),0)+IFERROR(VLOOKUP($A158,WSoccer!$C:$O,E$1-2011,FALSE),0)+IFERROR(VLOOKUP($A158,WSoftball!$C:$O,E$1-2011,FALSE),0)+IFERROR(VLOOKUP($A158,WVolleyball!$C:$O,E$1-2011,FALSE),0)</f>
        <v>150916</v>
      </c>
      <c r="F158">
        <f>IFERROR(VLOOKUP($A158,MBaseball!$C:$N,F$1-2010,FALSE),0)+IFERROR(VLOOKUP($A158,MBasketball!$C:$J,F$1-2006,FALSE),0)+IFERROR(VLOOKUP($A158,MFootball!$C:$O,F$1-2011,FALSE),0)+IFERROR(VLOOKUP($A158,MIceHockey!$C:$P,F$1-2011,FALSE),0)+IFERROR(VLOOKUP($A158,MLacrosse!$C:$O,F$1-2011,FALSE),0)+IFERROR(VLOOKUP($A158,MSoccer!$C:$O,F$1-2011,FALSE),0)+IFERROR(VLOOKUP($A158,MVolleyball!$C:$O,F$1-2011,FALSE),0)+IFERROR(VLOOKUP($A158,WBasketball!$C:$O,F$1-2011,FALSE),0)+IFERROR(VLOOKUP($A158,WFieldHockey!$C:$O,F$1-2011,FALSE),0)+IFERROR(VLOOKUP($A158,WIceHockey!$C:$O,F$1-2011,FALSE),0)+IFERROR(VLOOKUP($A158,WLacrosse!$C:$O,F$1-2011,FALSE),0)+IFERROR(VLOOKUP($A158,WSoccer!$C:$O,F$1-2011,FALSE),0)+IFERROR(VLOOKUP($A158,WSoftball!$C:$O,F$1-2011,FALSE),0)+IFERROR(VLOOKUP($A158,WVolleyball!$C:$O,F$1-2011,FALSE),0)</f>
        <v>184540</v>
      </c>
      <c r="G158">
        <f>IFERROR(VLOOKUP($A158,MBaseball!$C:$N,G$1-2010,FALSE),0)+IFERROR(VLOOKUP($A158,MBasketball!$C:$J,G$1-2006,FALSE),0)+IFERROR(VLOOKUP($A158,MFootball!$C:$O,G$1-2011,FALSE),0)+IFERROR(VLOOKUP($A158,MIceHockey!$C:$P,G$1-2011,FALSE),0)+IFERROR(VLOOKUP($A158,MLacrosse!$C:$O,G$1-2011,FALSE),0)+IFERROR(VLOOKUP($A158,MSoccer!$C:$O,G$1-2011,FALSE),0)+IFERROR(VLOOKUP($A158,MVolleyball!$C:$O,G$1-2011,FALSE),0)+IFERROR(VLOOKUP($A158,WBasketball!$C:$O,G$1-2011,FALSE),0)+IFERROR(VLOOKUP($A158,WFieldHockey!$C:$O,G$1-2011,FALSE),0)+IFERROR(VLOOKUP($A158,WIceHockey!$C:$O,G$1-2011,FALSE),0)+IFERROR(VLOOKUP($A158,WLacrosse!$C:$O,G$1-2011,FALSE),0)+IFERROR(VLOOKUP($A158,WSoccer!$C:$O,G$1-2011,FALSE),0)+IFERROR(VLOOKUP($A158,WSoftball!$C:$O,G$1-2011,FALSE),0)+IFERROR(VLOOKUP($A158,WVolleyball!$C:$O,G$1-2011,FALSE),0)</f>
        <v>189049</v>
      </c>
      <c r="H158">
        <f>IFERROR(VLOOKUP($A158,MBaseball!$C:$N,H$1-2010,FALSE),0)+IFERROR(VLOOKUP($A158,MBasketball!$C:$J,H$1-2006,FALSE),0)+IFERROR(VLOOKUP($A158,MFootball!$C:$O,H$1-2011,FALSE),0)+IFERROR(VLOOKUP($A158,MIceHockey!$C:$P,H$1-2011,FALSE),0)+IFERROR(VLOOKUP($A158,MLacrosse!$C:$O,H$1-2011,FALSE),0)+IFERROR(VLOOKUP($A158,MSoccer!$C:$O,H$1-2011,FALSE),0)+IFERROR(VLOOKUP($A158,MVolleyball!$C:$O,H$1-2011,FALSE),0)+IFERROR(VLOOKUP($A158,WBasketball!$C:$O,H$1-2011,FALSE),0)+IFERROR(VLOOKUP($A158,WFieldHockey!$C:$O,H$1-2011,FALSE),0)+IFERROR(VLOOKUP($A158,WIceHockey!$C:$O,H$1-2011,FALSE),0)+IFERROR(VLOOKUP($A158,WLacrosse!$C:$O,H$1-2011,FALSE),0)+IFERROR(VLOOKUP($A158,WSoccer!$C:$O,H$1-2011,FALSE),0)+IFERROR(VLOOKUP($A158,WSoftball!$C:$O,H$1-2011,FALSE),0)+IFERROR(VLOOKUP($A158,WVolleyball!$C:$O,H$1-2011,FALSE),0)</f>
        <v>194220</v>
      </c>
      <c r="I158">
        <f>IFERROR(VLOOKUP($A158,MBaseball!$C:$N,I$1-2010,FALSE),0)+IFERROR(VLOOKUP($A158,MBasketball!$C:$J,I$1-2006,FALSE),0)+IFERROR(VLOOKUP($A158,MFootball!$C:$O,I$1-2011,FALSE),0)+IFERROR(VLOOKUP($A158,MIceHockey!$C:$P,I$1-2011,FALSE),0)+IFERROR(VLOOKUP($A158,MLacrosse!$C:$O,I$1-2011,FALSE),0)+IFERROR(VLOOKUP($A158,MSoccer!$C:$O,I$1-2011,FALSE),0)+IFERROR(VLOOKUP($A158,MVolleyball!$C:$O,I$1-2011,FALSE),0)+IFERROR(VLOOKUP($A158,WBasketball!$C:$O,I$1-2011,FALSE),0)+IFERROR(VLOOKUP($A158,WFieldHockey!$C:$O,I$1-2011,FALSE),0)+IFERROR(VLOOKUP($A158,WIceHockey!$C:$O,I$1-2011,FALSE),0)+IFERROR(VLOOKUP($A158,WLacrosse!$C:$O,I$1-2011,FALSE),0)+IFERROR(VLOOKUP($A158,WSoccer!$C:$O,I$1-2011,FALSE),0)+IFERROR(VLOOKUP($A158,WSoftball!$C:$O,I$1-2011,FALSE),0)+IFERROR(VLOOKUP($A158,WVolleyball!$C:$O,I$1-2011,FALSE),0)</f>
        <v>190841</v>
      </c>
      <c r="J158">
        <f>IFERROR(VLOOKUP($A158,MBaseball!$C:$N,J$1-2010,FALSE),0)+IFERROR(VLOOKUP($A158,MBasketball!$C:$J,J$1-2006,FALSE),0)+IFERROR(VLOOKUP($A158,MFootball!$C:$O,J$1-2011,FALSE),0)+IFERROR(VLOOKUP($A158,MIceHockey!$C:$P,J$1-2011,FALSE),0)+IFERROR(VLOOKUP($A158,MLacrosse!$C:$O,J$1-2011,FALSE),0)+IFERROR(VLOOKUP($A158,MSoccer!$C:$O,J$1-2011,FALSE),0)+IFERROR(VLOOKUP($A158,MVolleyball!$C:$O,J$1-2011,FALSE),0)+IFERROR(VLOOKUP($A158,WBasketball!$C:$O,J$1-2011,FALSE),0)+IFERROR(VLOOKUP($A158,WFieldHockey!$C:$O,J$1-2011,FALSE),0)+IFERROR(VLOOKUP($A158,WIceHockey!$C:$O,J$1-2011,FALSE),0)+IFERROR(VLOOKUP($A158,WLacrosse!$C:$O,J$1-2011,FALSE),0)+IFERROR(VLOOKUP($A158,WSoccer!$C:$O,J$1-2011,FALSE),0)+IFERROR(VLOOKUP($A158,WSoftball!$C:$O,J$1-2011,FALSE),0)+IFERROR(VLOOKUP($A158,WVolleyball!$C:$O,J$1-2011,FALSE),0)</f>
        <v>219776</v>
      </c>
      <c r="K158">
        <f>IFERROR(VLOOKUP($A158,MBaseball!$C:$N,K$1-2010,FALSE),0)+IFERROR(VLOOKUP($A158,MBasketball!$C:$J,K$1-2006,FALSE),0)+IFERROR(VLOOKUP($A158,MFootball!$C:$O,K$1-2011,FALSE),0)+IFERROR(VLOOKUP($A158,MIceHockey!$C:$P,K$1-2011,FALSE),0)+IFERROR(VLOOKUP($A158,MLacrosse!$C:$O,K$1-2011,FALSE),0)+IFERROR(VLOOKUP($A158,MSoccer!$C:$O,K$1-2011,FALSE),0)+IFERROR(VLOOKUP($A158,MVolleyball!$C:$O,K$1-2011,FALSE),0)+IFERROR(VLOOKUP($A158,WBasketball!$C:$O,K$1-2011,FALSE),0)+IFERROR(VLOOKUP($A158,WFieldHockey!$C:$O,K$1-2011,FALSE),0)+IFERROR(VLOOKUP($A158,WIceHockey!$C:$O,K$1-2011,FALSE),0)+IFERROR(VLOOKUP($A158,WLacrosse!$C:$O,K$1-2011,FALSE),0)+IFERROR(VLOOKUP($A158,WSoccer!$C:$O,K$1-2011,FALSE),0)+IFERROR(VLOOKUP($A158,WSoftball!$C:$O,K$1-2011,FALSE),0)+IFERROR(VLOOKUP($A158,WVolleyball!$C:$O,K$1-2011,FALSE),0)</f>
        <v>183861</v>
      </c>
      <c r="L158">
        <f>IFERROR(VLOOKUP($A158,MBaseball!$C:$N,L$1-2010,FALSE),0)+IFERROR(VLOOKUP($A158,MBasketball!$C:$J,L$1-2006,FALSE),0)+IFERROR(VLOOKUP($A158,MFootball!$C:$O,L$1-2011,FALSE),0)+IFERROR(VLOOKUP($A158,MIceHockey!$C:$P,L$1-2011,FALSE),0)+IFERROR(VLOOKUP($A158,MLacrosse!$C:$O,L$1-2011,FALSE),0)+IFERROR(VLOOKUP($A158,MSoccer!$C:$O,L$1-2011,FALSE),0)+IFERROR(VLOOKUP($A158,MVolleyball!$C:$O,L$1-2011,FALSE),0)+IFERROR(VLOOKUP($A158,WBasketball!$C:$O,L$1-2011,FALSE),0)+IFERROR(VLOOKUP($A158,WFieldHockey!$C:$O,L$1-2011,FALSE),0)+IFERROR(VLOOKUP($A158,WIceHockey!$C:$O,L$1-2011,FALSE),0)+IFERROR(VLOOKUP($A158,WLacrosse!$C:$O,L$1-2011,FALSE),0)+IFERROR(VLOOKUP($A158,WSoccer!$C:$O,L$1-2011,FALSE),0)+IFERROR(VLOOKUP($A158,WSoftball!$C:$O,L$1-2011,FALSE),0)+IFERROR(VLOOKUP($A158,WVolleyball!$C:$O,L$1-2011,FALSE),0)</f>
        <v>2863</v>
      </c>
      <c r="M158">
        <f>IFERROR(VLOOKUP($A158,MBaseball!$C:$N,M$1-2010,FALSE),0)+IFERROR(VLOOKUP($A158,MBasketball!$C:$J,M$1-2006,FALSE),0)+IFERROR(VLOOKUP($A158,MFootball!$C:$O,M$1-2011,FALSE),0)+IFERROR(VLOOKUP($A158,MIceHockey!$C:$P,M$1-2011,FALSE),0)+IFERROR(VLOOKUP($A158,MLacrosse!$C:$O,M$1-2011,FALSE),0)+IFERROR(VLOOKUP($A158,MSoccer!$C:$O,M$1-2011,FALSE),0)+IFERROR(VLOOKUP($A158,MVolleyball!$C:$O,M$1-2011,FALSE),0)+IFERROR(VLOOKUP($A158,WBasketball!$C:$O,M$1-2011,FALSE),0)+IFERROR(VLOOKUP($A158,WFieldHockey!$C:$O,M$1-2011,FALSE),0)+IFERROR(VLOOKUP($A158,WIceHockey!$C:$O,M$1-2011,FALSE),0)+IFERROR(VLOOKUP($A158,WLacrosse!$C:$O,M$1-2011,FALSE),0)+IFERROR(VLOOKUP($A158,WSoccer!$C:$O,M$1-2011,FALSE),0)+IFERROR(VLOOKUP($A158,WSoftball!$C:$O,M$1-2011,FALSE),0)+IFERROR(VLOOKUP($A158,WVolleyball!$C:$O,M$1-2011,FALSE),0)</f>
        <v>174191</v>
      </c>
      <c r="N158">
        <f>IFERROR(VLOOKUP($A158,MBaseball!$C:$N,N$1-2010,FALSE),0)+IFERROR(VLOOKUP($A158,MBasketball!$C:$J,N$1-2006,FALSE),0)+IFERROR(VLOOKUP($A158,MFootball!$C:$O,N$1-2011,FALSE),0)+IFERROR(VLOOKUP($A158,MIceHockey!$C:$P,N$1-2011,FALSE),0)+IFERROR(VLOOKUP($A158,MLacrosse!$C:$O,N$1-2011,FALSE),0)+IFERROR(VLOOKUP($A158,MSoccer!$C:$O,N$1-2011,FALSE),0)+IFERROR(VLOOKUP($A158,MVolleyball!$C:$O,N$1-2011,FALSE),0)+IFERROR(VLOOKUP($A158,WBasketball!$C:$O,N$1-2011,FALSE),0)+IFERROR(VLOOKUP($A158,WFieldHockey!$C:$O,N$1-2011,FALSE),0)+IFERROR(VLOOKUP($A158,WIceHockey!$C:$O,N$1-2011,FALSE),0)+IFERROR(VLOOKUP($A158,WLacrosse!$C:$O,N$1-2011,FALSE),0)+IFERROR(VLOOKUP($A158,WSoccer!$C:$O,N$1-2011,FALSE),0)+IFERROR(VLOOKUP($A158,WSoftball!$C:$O,N$1-2011,FALSE),0)+IFERROR(VLOOKUP($A158,WVolleyball!$C:$O,N$1-2011,FALSE),0)</f>
        <v>187530</v>
      </c>
    </row>
    <row r="159" spans="1:14" x14ac:dyDescent="0.2">
      <c r="A159">
        <v>164076</v>
      </c>
      <c r="B159">
        <v>12580</v>
      </c>
      <c r="C159" t="s">
        <v>224</v>
      </c>
      <c r="D159">
        <v>158</v>
      </c>
      <c r="E159">
        <f>IFERROR(VLOOKUP($A159,MBaseball!$C:$N,E$1-2010,FALSE),0)+IFERROR(VLOOKUP($A159,MBasketball!$C:$J,E$1-2006,FALSE),0)+IFERROR(VLOOKUP($A159,MFootball!$C:$O,E$1-2011,FALSE),0)+IFERROR(VLOOKUP($A159,MIceHockey!$C:$P,E$1-2011,FALSE),0)+IFERROR(VLOOKUP($A159,MLacrosse!$C:$O,E$1-2011,FALSE),0)+IFERROR(VLOOKUP($A159,MSoccer!$C:$O,E$1-2011,FALSE),0)+IFERROR(VLOOKUP($A159,MVolleyball!$C:$O,E$1-2011,FALSE),0)+IFERROR(VLOOKUP($A159,WBasketball!$C:$O,E$1-2011,FALSE),0)+IFERROR(VLOOKUP($A159,WFieldHockey!$C:$O,E$1-2011,FALSE),0)+IFERROR(VLOOKUP($A159,WIceHockey!$C:$O,E$1-2011,FALSE),0)+IFERROR(VLOOKUP($A159,WLacrosse!$C:$O,E$1-2011,FALSE),0)+IFERROR(VLOOKUP($A159,WSoccer!$C:$O,E$1-2011,FALSE),0)+IFERROR(VLOOKUP($A159,WSoftball!$C:$O,E$1-2011,FALSE),0)+IFERROR(VLOOKUP($A159,WVolleyball!$C:$O,E$1-2011,FALSE),0)</f>
        <v>44855</v>
      </c>
      <c r="F159">
        <f>IFERROR(VLOOKUP($A159,MBaseball!$C:$N,F$1-2010,FALSE),0)+IFERROR(VLOOKUP($A159,MBasketball!$C:$J,F$1-2006,FALSE),0)+IFERROR(VLOOKUP($A159,MFootball!$C:$O,F$1-2011,FALSE),0)+IFERROR(VLOOKUP($A159,MIceHockey!$C:$P,F$1-2011,FALSE),0)+IFERROR(VLOOKUP($A159,MLacrosse!$C:$O,F$1-2011,FALSE),0)+IFERROR(VLOOKUP($A159,MSoccer!$C:$O,F$1-2011,FALSE),0)+IFERROR(VLOOKUP($A159,MVolleyball!$C:$O,F$1-2011,FALSE),0)+IFERROR(VLOOKUP($A159,WBasketball!$C:$O,F$1-2011,FALSE),0)+IFERROR(VLOOKUP($A159,WFieldHockey!$C:$O,F$1-2011,FALSE),0)+IFERROR(VLOOKUP($A159,WIceHockey!$C:$O,F$1-2011,FALSE),0)+IFERROR(VLOOKUP($A159,WLacrosse!$C:$O,F$1-2011,FALSE),0)+IFERROR(VLOOKUP($A159,WSoccer!$C:$O,F$1-2011,FALSE),0)+IFERROR(VLOOKUP($A159,WSoftball!$C:$O,F$1-2011,FALSE),0)+IFERROR(VLOOKUP($A159,WVolleyball!$C:$O,F$1-2011,FALSE),0)</f>
        <v>69823</v>
      </c>
      <c r="G159">
        <f>IFERROR(VLOOKUP($A159,MBaseball!$C:$N,G$1-2010,FALSE),0)+IFERROR(VLOOKUP($A159,MBasketball!$C:$J,G$1-2006,FALSE),0)+IFERROR(VLOOKUP($A159,MFootball!$C:$O,G$1-2011,FALSE),0)+IFERROR(VLOOKUP($A159,MIceHockey!$C:$P,G$1-2011,FALSE),0)+IFERROR(VLOOKUP($A159,MLacrosse!$C:$O,G$1-2011,FALSE),0)+IFERROR(VLOOKUP($A159,MSoccer!$C:$O,G$1-2011,FALSE),0)+IFERROR(VLOOKUP($A159,MVolleyball!$C:$O,G$1-2011,FALSE),0)+IFERROR(VLOOKUP($A159,WBasketball!$C:$O,G$1-2011,FALSE),0)+IFERROR(VLOOKUP($A159,WFieldHockey!$C:$O,G$1-2011,FALSE),0)+IFERROR(VLOOKUP($A159,WIceHockey!$C:$O,G$1-2011,FALSE),0)+IFERROR(VLOOKUP($A159,WLacrosse!$C:$O,G$1-2011,FALSE),0)+IFERROR(VLOOKUP($A159,WSoccer!$C:$O,G$1-2011,FALSE),0)+IFERROR(VLOOKUP($A159,WSoftball!$C:$O,G$1-2011,FALSE),0)+IFERROR(VLOOKUP($A159,WVolleyball!$C:$O,G$1-2011,FALSE),0)</f>
        <v>83389</v>
      </c>
      <c r="H159">
        <f>IFERROR(VLOOKUP($A159,MBaseball!$C:$N,H$1-2010,FALSE),0)+IFERROR(VLOOKUP($A159,MBasketball!$C:$J,H$1-2006,FALSE),0)+IFERROR(VLOOKUP($A159,MFootball!$C:$O,H$1-2011,FALSE),0)+IFERROR(VLOOKUP($A159,MIceHockey!$C:$P,H$1-2011,FALSE),0)+IFERROR(VLOOKUP($A159,MLacrosse!$C:$O,H$1-2011,FALSE),0)+IFERROR(VLOOKUP($A159,MSoccer!$C:$O,H$1-2011,FALSE),0)+IFERROR(VLOOKUP($A159,MVolleyball!$C:$O,H$1-2011,FALSE),0)+IFERROR(VLOOKUP($A159,WBasketball!$C:$O,H$1-2011,FALSE),0)+IFERROR(VLOOKUP($A159,WFieldHockey!$C:$O,H$1-2011,FALSE),0)+IFERROR(VLOOKUP($A159,WIceHockey!$C:$O,H$1-2011,FALSE),0)+IFERROR(VLOOKUP($A159,WLacrosse!$C:$O,H$1-2011,FALSE),0)+IFERROR(VLOOKUP($A159,WSoccer!$C:$O,H$1-2011,FALSE),0)+IFERROR(VLOOKUP($A159,WSoftball!$C:$O,H$1-2011,FALSE),0)+IFERROR(VLOOKUP($A159,WVolleyball!$C:$O,H$1-2011,FALSE),0)</f>
        <v>60137</v>
      </c>
      <c r="I159">
        <f>IFERROR(VLOOKUP($A159,MBaseball!$C:$N,I$1-2010,FALSE),0)+IFERROR(VLOOKUP($A159,MBasketball!$C:$J,I$1-2006,FALSE),0)+IFERROR(VLOOKUP($A159,MFootball!$C:$O,I$1-2011,FALSE),0)+IFERROR(VLOOKUP($A159,MIceHockey!$C:$P,I$1-2011,FALSE),0)+IFERROR(VLOOKUP($A159,MLacrosse!$C:$O,I$1-2011,FALSE),0)+IFERROR(VLOOKUP($A159,MSoccer!$C:$O,I$1-2011,FALSE),0)+IFERROR(VLOOKUP($A159,MVolleyball!$C:$O,I$1-2011,FALSE),0)+IFERROR(VLOOKUP($A159,WBasketball!$C:$O,I$1-2011,FALSE),0)+IFERROR(VLOOKUP($A159,WFieldHockey!$C:$O,I$1-2011,FALSE),0)+IFERROR(VLOOKUP($A159,WIceHockey!$C:$O,I$1-2011,FALSE),0)+IFERROR(VLOOKUP($A159,WLacrosse!$C:$O,I$1-2011,FALSE),0)+IFERROR(VLOOKUP($A159,WSoccer!$C:$O,I$1-2011,FALSE),0)+IFERROR(VLOOKUP($A159,WSoftball!$C:$O,I$1-2011,FALSE),0)+IFERROR(VLOOKUP($A159,WVolleyball!$C:$O,I$1-2011,FALSE),0)</f>
        <v>59769</v>
      </c>
      <c r="J159">
        <f>IFERROR(VLOOKUP($A159,MBaseball!$C:$N,J$1-2010,FALSE),0)+IFERROR(VLOOKUP($A159,MBasketball!$C:$J,J$1-2006,FALSE),0)+IFERROR(VLOOKUP($A159,MFootball!$C:$O,J$1-2011,FALSE),0)+IFERROR(VLOOKUP($A159,MIceHockey!$C:$P,J$1-2011,FALSE),0)+IFERROR(VLOOKUP($A159,MLacrosse!$C:$O,J$1-2011,FALSE),0)+IFERROR(VLOOKUP($A159,MSoccer!$C:$O,J$1-2011,FALSE),0)+IFERROR(VLOOKUP($A159,MVolleyball!$C:$O,J$1-2011,FALSE),0)+IFERROR(VLOOKUP($A159,WBasketball!$C:$O,J$1-2011,FALSE),0)+IFERROR(VLOOKUP($A159,WFieldHockey!$C:$O,J$1-2011,FALSE),0)+IFERROR(VLOOKUP($A159,WIceHockey!$C:$O,J$1-2011,FALSE),0)+IFERROR(VLOOKUP($A159,WLacrosse!$C:$O,J$1-2011,FALSE),0)+IFERROR(VLOOKUP($A159,WSoccer!$C:$O,J$1-2011,FALSE),0)+IFERROR(VLOOKUP($A159,WSoftball!$C:$O,J$1-2011,FALSE),0)+IFERROR(VLOOKUP($A159,WVolleyball!$C:$O,J$1-2011,FALSE),0)</f>
        <v>70851</v>
      </c>
      <c r="K159">
        <f>IFERROR(VLOOKUP($A159,MBaseball!$C:$N,K$1-2010,FALSE),0)+IFERROR(VLOOKUP($A159,MBasketball!$C:$J,K$1-2006,FALSE),0)+IFERROR(VLOOKUP($A159,MFootball!$C:$O,K$1-2011,FALSE),0)+IFERROR(VLOOKUP($A159,MIceHockey!$C:$P,K$1-2011,FALSE),0)+IFERROR(VLOOKUP($A159,MLacrosse!$C:$O,K$1-2011,FALSE),0)+IFERROR(VLOOKUP($A159,MSoccer!$C:$O,K$1-2011,FALSE),0)+IFERROR(VLOOKUP($A159,MVolleyball!$C:$O,K$1-2011,FALSE),0)+IFERROR(VLOOKUP($A159,WBasketball!$C:$O,K$1-2011,FALSE),0)+IFERROR(VLOOKUP($A159,WFieldHockey!$C:$O,K$1-2011,FALSE),0)+IFERROR(VLOOKUP($A159,WIceHockey!$C:$O,K$1-2011,FALSE),0)+IFERROR(VLOOKUP($A159,WLacrosse!$C:$O,K$1-2011,FALSE),0)+IFERROR(VLOOKUP($A159,WSoccer!$C:$O,K$1-2011,FALSE),0)+IFERROR(VLOOKUP($A159,WSoftball!$C:$O,K$1-2011,FALSE),0)+IFERROR(VLOOKUP($A159,WVolleyball!$C:$O,K$1-2011,FALSE),0)</f>
        <v>60773</v>
      </c>
      <c r="L159">
        <f>IFERROR(VLOOKUP($A159,MBaseball!$C:$N,L$1-2010,FALSE),0)+IFERROR(VLOOKUP($A159,MBasketball!$C:$J,L$1-2006,FALSE),0)+IFERROR(VLOOKUP($A159,MFootball!$C:$O,L$1-2011,FALSE),0)+IFERROR(VLOOKUP($A159,MIceHockey!$C:$P,L$1-2011,FALSE),0)+IFERROR(VLOOKUP($A159,MLacrosse!$C:$O,L$1-2011,FALSE),0)+IFERROR(VLOOKUP($A159,MSoccer!$C:$O,L$1-2011,FALSE),0)+IFERROR(VLOOKUP($A159,MVolleyball!$C:$O,L$1-2011,FALSE),0)+IFERROR(VLOOKUP($A159,WBasketball!$C:$O,L$1-2011,FALSE),0)+IFERROR(VLOOKUP($A159,WFieldHockey!$C:$O,L$1-2011,FALSE),0)+IFERROR(VLOOKUP($A159,WIceHockey!$C:$O,L$1-2011,FALSE),0)+IFERROR(VLOOKUP($A159,WLacrosse!$C:$O,L$1-2011,FALSE),0)+IFERROR(VLOOKUP($A159,WSoccer!$C:$O,L$1-2011,FALSE),0)+IFERROR(VLOOKUP($A159,WSoftball!$C:$O,L$1-2011,FALSE),0)+IFERROR(VLOOKUP($A159,WVolleyball!$C:$O,L$1-2011,FALSE),0)</f>
        <v>8947</v>
      </c>
      <c r="M159">
        <f>IFERROR(VLOOKUP($A159,MBaseball!$C:$N,M$1-2010,FALSE),0)+IFERROR(VLOOKUP($A159,MBasketball!$C:$J,M$1-2006,FALSE),0)+IFERROR(VLOOKUP($A159,MFootball!$C:$O,M$1-2011,FALSE),0)+IFERROR(VLOOKUP($A159,MIceHockey!$C:$P,M$1-2011,FALSE),0)+IFERROR(VLOOKUP($A159,MLacrosse!$C:$O,M$1-2011,FALSE),0)+IFERROR(VLOOKUP($A159,MSoccer!$C:$O,M$1-2011,FALSE),0)+IFERROR(VLOOKUP($A159,MVolleyball!$C:$O,M$1-2011,FALSE),0)+IFERROR(VLOOKUP($A159,WBasketball!$C:$O,M$1-2011,FALSE),0)+IFERROR(VLOOKUP($A159,WFieldHockey!$C:$O,M$1-2011,FALSE),0)+IFERROR(VLOOKUP($A159,WIceHockey!$C:$O,M$1-2011,FALSE),0)+IFERROR(VLOOKUP($A159,WLacrosse!$C:$O,M$1-2011,FALSE),0)+IFERROR(VLOOKUP($A159,WSoccer!$C:$O,M$1-2011,FALSE),0)+IFERROR(VLOOKUP($A159,WSoftball!$C:$O,M$1-2011,FALSE),0)+IFERROR(VLOOKUP($A159,WVolleyball!$C:$O,M$1-2011,FALSE),0)</f>
        <v>67994</v>
      </c>
      <c r="N159">
        <f>IFERROR(VLOOKUP($A159,MBaseball!$C:$N,N$1-2010,FALSE),0)+IFERROR(VLOOKUP($A159,MBasketball!$C:$J,N$1-2006,FALSE),0)+IFERROR(VLOOKUP($A159,MFootball!$C:$O,N$1-2011,FALSE),0)+IFERROR(VLOOKUP($A159,MIceHockey!$C:$P,N$1-2011,FALSE),0)+IFERROR(VLOOKUP($A159,MLacrosse!$C:$O,N$1-2011,FALSE),0)+IFERROR(VLOOKUP($A159,MSoccer!$C:$O,N$1-2011,FALSE),0)+IFERROR(VLOOKUP($A159,MVolleyball!$C:$O,N$1-2011,FALSE),0)+IFERROR(VLOOKUP($A159,WBasketball!$C:$O,N$1-2011,FALSE),0)+IFERROR(VLOOKUP($A159,WFieldHockey!$C:$O,N$1-2011,FALSE),0)+IFERROR(VLOOKUP($A159,WIceHockey!$C:$O,N$1-2011,FALSE),0)+IFERROR(VLOOKUP($A159,WLacrosse!$C:$O,N$1-2011,FALSE),0)+IFERROR(VLOOKUP($A159,WSoccer!$C:$O,N$1-2011,FALSE),0)+IFERROR(VLOOKUP($A159,WSoftball!$C:$O,N$1-2011,FALSE),0)+IFERROR(VLOOKUP($A159,WVolleyball!$C:$O,N$1-2011,FALSE),0)</f>
        <v>64656</v>
      </c>
    </row>
    <row r="160" spans="1:14" x14ac:dyDescent="0.2">
      <c r="A160">
        <v>100663</v>
      </c>
      <c r="B160">
        <v>13820</v>
      </c>
      <c r="C160" t="s">
        <v>226</v>
      </c>
      <c r="D160">
        <v>159</v>
      </c>
      <c r="E160">
        <f>IFERROR(VLOOKUP($A160,MBaseball!$C:$N,E$1-2010,FALSE),0)+IFERROR(VLOOKUP($A160,MBasketball!$C:$J,E$1-2006,FALSE),0)+IFERROR(VLOOKUP($A160,MFootball!$C:$O,E$1-2011,FALSE),0)+IFERROR(VLOOKUP($A160,MIceHockey!$C:$P,E$1-2011,FALSE),0)+IFERROR(VLOOKUP($A160,MLacrosse!$C:$O,E$1-2011,FALSE),0)+IFERROR(VLOOKUP($A160,MSoccer!$C:$O,E$1-2011,FALSE),0)+IFERROR(VLOOKUP($A160,MVolleyball!$C:$O,E$1-2011,FALSE),0)+IFERROR(VLOOKUP($A160,WBasketball!$C:$O,E$1-2011,FALSE),0)+IFERROR(VLOOKUP($A160,WFieldHockey!$C:$O,E$1-2011,FALSE),0)+IFERROR(VLOOKUP($A160,WIceHockey!$C:$O,E$1-2011,FALSE),0)+IFERROR(VLOOKUP($A160,WLacrosse!$C:$O,E$1-2011,FALSE),0)+IFERROR(VLOOKUP($A160,WSoccer!$C:$O,E$1-2011,FALSE),0)+IFERROR(VLOOKUP($A160,WSoftball!$C:$O,E$1-2011,FALSE),0)+IFERROR(VLOOKUP($A160,WVolleyball!$C:$O,E$1-2011,FALSE),0)</f>
        <v>87613</v>
      </c>
      <c r="F160">
        <f>IFERROR(VLOOKUP($A160,MBaseball!$C:$N,F$1-2010,FALSE),0)+IFERROR(VLOOKUP($A160,MBasketball!$C:$J,F$1-2006,FALSE),0)+IFERROR(VLOOKUP($A160,MFootball!$C:$O,F$1-2011,FALSE),0)+IFERROR(VLOOKUP($A160,MIceHockey!$C:$P,F$1-2011,FALSE),0)+IFERROR(VLOOKUP($A160,MLacrosse!$C:$O,F$1-2011,FALSE),0)+IFERROR(VLOOKUP($A160,MSoccer!$C:$O,F$1-2011,FALSE),0)+IFERROR(VLOOKUP($A160,MVolleyball!$C:$O,F$1-2011,FALSE),0)+IFERROR(VLOOKUP($A160,WBasketball!$C:$O,F$1-2011,FALSE),0)+IFERROR(VLOOKUP($A160,WFieldHockey!$C:$O,F$1-2011,FALSE),0)+IFERROR(VLOOKUP($A160,WIceHockey!$C:$O,F$1-2011,FALSE),0)+IFERROR(VLOOKUP($A160,WLacrosse!$C:$O,F$1-2011,FALSE),0)+IFERROR(VLOOKUP($A160,WSoccer!$C:$O,F$1-2011,FALSE),0)+IFERROR(VLOOKUP($A160,WSoftball!$C:$O,F$1-2011,FALSE),0)+IFERROR(VLOOKUP($A160,WVolleyball!$C:$O,F$1-2011,FALSE),0)</f>
        <v>173861</v>
      </c>
      <c r="G160">
        <f>IFERROR(VLOOKUP($A160,MBaseball!$C:$N,G$1-2010,FALSE),0)+IFERROR(VLOOKUP($A160,MBasketball!$C:$J,G$1-2006,FALSE),0)+IFERROR(VLOOKUP($A160,MFootball!$C:$O,G$1-2011,FALSE),0)+IFERROR(VLOOKUP($A160,MIceHockey!$C:$P,G$1-2011,FALSE),0)+IFERROR(VLOOKUP($A160,MLacrosse!$C:$O,G$1-2011,FALSE),0)+IFERROR(VLOOKUP($A160,MSoccer!$C:$O,G$1-2011,FALSE),0)+IFERROR(VLOOKUP($A160,MVolleyball!$C:$O,G$1-2011,FALSE),0)+IFERROR(VLOOKUP($A160,WBasketball!$C:$O,G$1-2011,FALSE),0)+IFERROR(VLOOKUP($A160,WFieldHockey!$C:$O,G$1-2011,FALSE),0)+IFERROR(VLOOKUP($A160,WIceHockey!$C:$O,G$1-2011,FALSE),0)+IFERROR(VLOOKUP($A160,WLacrosse!$C:$O,G$1-2011,FALSE),0)+IFERROR(VLOOKUP($A160,WSoccer!$C:$O,G$1-2011,FALSE),0)+IFERROR(VLOOKUP($A160,WSoftball!$C:$O,G$1-2011,FALSE),0)+IFERROR(VLOOKUP($A160,WVolleyball!$C:$O,G$1-2011,FALSE),0)</f>
        <v>45785</v>
      </c>
      <c r="H160">
        <f>IFERROR(VLOOKUP($A160,MBaseball!$C:$N,H$1-2010,FALSE),0)+IFERROR(VLOOKUP($A160,MBasketball!$C:$J,H$1-2006,FALSE),0)+IFERROR(VLOOKUP($A160,MFootball!$C:$O,H$1-2011,FALSE),0)+IFERROR(VLOOKUP($A160,MIceHockey!$C:$P,H$1-2011,FALSE),0)+IFERROR(VLOOKUP($A160,MLacrosse!$C:$O,H$1-2011,FALSE),0)+IFERROR(VLOOKUP($A160,MSoccer!$C:$O,H$1-2011,FALSE),0)+IFERROR(VLOOKUP($A160,MVolleyball!$C:$O,H$1-2011,FALSE),0)+IFERROR(VLOOKUP($A160,WBasketball!$C:$O,H$1-2011,FALSE),0)+IFERROR(VLOOKUP($A160,WFieldHockey!$C:$O,H$1-2011,FALSE),0)+IFERROR(VLOOKUP($A160,WIceHockey!$C:$O,H$1-2011,FALSE),0)+IFERROR(VLOOKUP($A160,WLacrosse!$C:$O,H$1-2011,FALSE),0)+IFERROR(VLOOKUP($A160,WSoccer!$C:$O,H$1-2011,FALSE),0)+IFERROR(VLOOKUP($A160,WSoftball!$C:$O,H$1-2011,FALSE),0)+IFERROR(VLOOKUP($A160,WVolleyball!$C:$O,H$1-2011,FALSE),0)</f>
        <v>39326</v>
      </c>
      <c r="I160">
        <f>IFERROR(VLOOKUP($A160,MBaseball!$C:$N,I$1-2010,FALSE),0)+IFERROR(VLOOKUP($A160,MBasketball!$C:$J,I$1-2006,FALSE),0)+IFERROR(VLOOKUP($A160,MFootball!$C:$O,I$1-2011,FALSE),0)+IFERROR(VLOOKUP($A160,MIceHockey!$C:$P,I$1-2011,FALSE),0)+IFERROR(VLOOKUP($A160,MLacrosse!$C:$O,I$1-2011,FALSE),0)+IFERROR(VLOOKUP($A160,MSoccer!$C:$O,I$1-2011,FALSE),0)+IFERROR(VLOOKUP($A160,MVolleyball!$C:$O,I$1-2011,FALSE),0)+IFERROR(VLOOKUP($A160,WBasketball!$C:$O,I$1-2011,FALSE),0)+IFERROR(VLOOKUP($A160,WFieldHockey!$C:$O,I$1-2011,FALSE),0)+IFERROR(VLOOKUP($A160,WIceHockey!$C:$O,I$1-2011,FALSE),0)+IFERROR(VLOOKUP($A160,WLacrosse!$C:$O,I$1-2011,FALSE),0)+IFERROR(VLOOKUP($A160,WSoccer!$C:$O,I$1-2011,FALSE),0)+IFERROR(VLOOKUP($A160,WSoftball!$C:$O,I$1-2011,FALSE),0)+IFERROR(VLOOKUP($A160,WVolleyball!$C:$O,I$1-2011,FALSE),0)</f>
        <v>197080</v>
      </c>
      <c r="J160">
        <f>IFERROR(VLOOKUP($A160,MBaseball!$C:$N,J$1-2010,FALSE),0)+IFERROR(VLOOKUP($A160,MBasketball!$C:$J,J$1-2006,FALSE),0)+IFERROR(VLOOKUP($A160,MFootball!$C:$O,J$1-2011,FALSE),0)+IFERROR(VLOOKUP($A160,MIceHockey!$C:$P,J$1-2011,FALSE),0)+IFERROR(VLOOKUP($A160,MLacrosse!$C:$O,J$1-2011,FALSE),0)+IFERROR(VLOOKUP($A160,MSoccer!$C:$O,J$1-2011,FALSE),0)+IFERROR(VLOOKUP($A160,MVolleyball!$C:$O,J$1-2011,FALSE),0)+IFERROR(VLOOKUP($A160,WBasketball!$C:$O,J$1-2011,FALSE),0)+IFERROR(VLOOKUP($A160,WFieldHockey!$C:$O,J$1-2011,FALSE),0)+IFERROR(VLOOKUP($A160,WIceHockey!$C:$O,J$1-2011,FALSE),0)+IFERROR(VLOOKUP($A160,WLacrosse!$C:$O,J$1-2011,FALSE),0)+IFERROR(VLOOKUP($A160,WSoccer!$C:$O,J$1-2011,FALSE),0)+IFERROR(VLOOKUP($A160,WSoftball!$C:$O,J$1-2011,FALSE),0)+IFERROR(VLOOKUP($A160,WVolleyball!$C:$O,J$1-2011,FALSE),0)</f>
        <v>174828</v>
      </c>
      <c r="K160">
        <f>IFERROR(VLOOKUP($A160,MBaseball!$C:$N,K$1-2010,FALSE),0)+IFERROR(VLOOKUP($A160,MBasketball!$C:$J,K$1-2006,FALSE),0)+IFERROR(VLOOKUP($A160,MFootball!$C:$O,K$1-2011,FALSE),0)+IFERROR(VLOOKUP($A160,MIceHockey!$C:$P,K$1-2011,FALSE),0)+IFERROR(VLOOKUP($A160,MLacrosse!$C:$O,K$1-2011,FALSE),0)+IFERROR(VLOOKUP($A160,MSoccer!$C:$O,K$1-2011,FALSE),0)+IFERROR(VLOOKUP($A160,MVolleyball!$C:$O,K$1-2011,FALSE),0)+IFERROR(VLOOKUP($A160,WBasketball!$C:$O,K$1-2011,FALSE),0)+IFERROR(VLOOKUP($A160,WFieldHockey!$C:$O,K$1-2011,FALSE),0)+IFERROR(VLOOKUP($A160,WIceHockey!$C:$O,K$1-2011,FALSE),0)+IFERROR(VLOOKUP($A160,WLacrosse!$C:$O,K$1-2011,FALSE),0)+IFERROR(VLOOKUP($A160,WSoccer!$C:$O,K$1-2011,FALSE),0)+IFERROR(VLOOKUP($A160,WSoftball!$C:$O,K$1-2011,FALSE),0)+IFERROR(VLOOKUP($A160,WVolleyball!$C:$O,K$1-2011,FALSE),0)</f>
        <v>170868</v>
      </c>
      <c r="L160">
        <f>IFERROR(VLOOKUP($A160,MBaseball!$C:$N,L$1-2010,FALSE),0)+IFERROR(VLOOKUP($A160,MBasketball!$C:$J,L$1-2006,FALSE),0)+IFERROR(VLOOKUP($A160,MFootball!$C:$O,L$1-2011,FALSE),0)+IFERROR(VLOOKUP($A160,MIceHockey!$C:$P,L$1-2011,FALSE),0)+IFERROR(VLOOKUP($A160,MLacrosse!$C:$O,L$1-2011,FALSE),0)+IFERROR(VLOOKUP($A160,MSoccer!$C:$O,L$1-2011,FALSE),0)+IFERROR(VLOOKUP($A160,MVolleyball!$C:$O,L$1-2011,FALSE),0)+IFERROR(VLOOKUP($A160,WBasketball!$C:$O,L$1-2011,FALSE),0)+IFERROR(VLOOKUP($A160,WFieldHockey!$C:$O,L$1-2011,FALSE),0)+IFERROR(VLOOKUP($A160,WIceHockey!$C:$O,L$1-2011,FALSE),0)+IFERROR(VLOOKUP($A160,WLacrosse!$C:$O,L$1-2011,FALSE),0)+IFERROR(VLOOKUP($A160,WSoccer!$C:$O,L$1-2011,FALSE),0)+IFERROR(VLOOKUP($A160,WSoftball!$C:$O,L$1-2011,FALSE),0)+IFERROR(VLOOKUP($A160,WVolleyball!$C:$O,L$1-2011,FALSE),0)</f>
        <v>69601</v>
      </c>
      <c r="M160">
        <f>IFERROR(VLOOKUP($A160,MBaseball!$C:$N,M$1-2010,FALSE),0)+IFERROR(VLOOKUP($A160,MBasketball!$C:$J,M$1-2006,FALSE),0)+IFERROR(VLOOKUP($A160,MFootball!$C:$O,M$1-2011,FALSE),0)+IFERROR(VLOOKUP($A160,MIceHockey!$C:$P,M$1-2011,FALSE),0)+IFERROR(VLOOKUP($A160,MLacrosse!$C:$O,M$1-2011,FALSE),0)+IFERROR(VLOOKUP($A160,MSoccer!$C:$O,M$1-2011,FALSE),0)+IFERROR(VLOOKUP($A160,MVolleyball!$C:$O,M$1-2011,FALSE),0)+IFERROR(VLOOKUP($A160,WBasketball!$C:$O,M$1-2011,FALSE),0)+IFERROR(VLOOKUP($A160,WFieldHockey!$C:$O,M$1-2011,FALSE),0)+IFERROR(VLOOKUP($A160,WIceHockey!$C:$O,M$1-2011,FALSE),0)+IFERROR(VLOOKUP($A160,WLacrosse!$C:$O,M$1-2011,FALSE),0)+IFERROR(VLOOKUP($A160,WSoccer!$C:$O,M$1-2011,FALSE),0)+IFERROR(VLOOKUP($A160,WSoftball!$C:$O,M$1-2011,FALSE),0)+IFERROR(VLOOKUP($A160,WVolleyball!$C:$O,M$1-2011,FALSE),0)</f>
        <v>159319</v>
      </c>
      <c r="N160">
        <f>IFERROR(VLOOKUP($A160,MBaseball!$C:$N,N$1-2010,FALSE),0)+IFERROR(VLOOKUP($A160,MBasketball!$C:$J,N$1-2006,FALSE),0)+IFERROR(VLOOKUP($A160,MFootball!$C:$O,N$1-2011,FALSE),0)+IFERROR(VLOOKUP($A160,MIceHockey!$C:$P,N$1-2011,FALSE),0)+IFERROR(VLOOKUP($A160,MLacrosse!$C:$O,N$1-2011,FALSE),0)+IFERROR(VLOOKUP($A160,MSoccer!$C:$O,N$1-2011,FALSE),0)+IFERROR(VLOOKUP($A160,MVolleyball!$C:$O,N$1-2011,FALSE),0)+IFERROR(VLOOKUP($A160,WBasketball!$C:$O,N$1-2011,FALSE),0)+IFERROR(VLOOKUP($A160,WFieldHockey!$C:$O,N$1-2011,FALSE),0)+IFERROR(VLOOKUP($A160,WIceHockey!$C:$O,N$1-2011,FALSE),0)+IFERROR(VLOOKUP($A160,WLacrosse!$C:$O,N$1-2011,FALSE),0)+IFERROR(VLOOKUP($A160,WSoccer!$C:$O,N$1-2011,FALSE),0)+IFERROR(VLOOKUP($A160,WSoftball!$C:$O,N$1-2011,FALSE),0)+IFERROR(VLOOKUP($A160,WVolleyball!$C:$O,N$1-2011,FALSE),0)</f>
        <v>159218</v>
      </c>
    </row>
    <row r="161" spans="1:14" x14ac:dyDescent="0.2">
      <c r="A161">
        <v>110644</v>
      </c>
      <c r="B161">
        <v>40900</v>
      </c>
      <c r="C161" t="s">
        <v>227</v>
      </c>
      <c r="D161">
        <v>160</v>
      </c>
      <c r="E161">
        <f>IFERROR(VLOOKUP($A161,MBaseball!$C:$N,E$1-2010,FALSE),0)+IFERROR(VLOOKUP($A161,MBasketball!$C:$J,E$1-2006,FALSE),0)+IFERROR(VLOOKUP($A161,MFootball!$C:$O,E$1-2011,FALSE),0)+IFERROR(VLOOKUP($A161,MIceHockey!$C:$P,E$1-2011,FALSE),0)+IFERROR(VLOOKUP($A161,MLacrosse!$C:$O,E$1-2011,FALSE),0)+IFERROR(VLOOKUP($A161,MSoccer!$C:$O,E$1-2011,FALSE),0)+IFERROR(VLOOKUP($A161,MVolleyball!$C:$O,E$1-2011,FALSE),0)+IFERROR(VLOOKUP($A161,WBasketball!$C:$O,E$1-2011,FALSE),0)+IFERROR(VLOOKUP($A161,WFieldHockey!$C:$O,E$1-2011,FALSE),0)+IFERROR(VLOOKUP($A161,WIceHockey!$C:$O,E$1-2011,FALSE),0)+IFERROR(VLOOKUP($A161,WLacrosse!$C:$O,E$1-2011,FALSE),0)+IFERROR(VLOOKUP($A161,WSoccer!$C:$O,E$1-2011,FALSE),0)+IFERROR(VLOOKUP($A161,WSoftball!$C:$O,E$1-2011,FALSE),0)+IFERROR(VLOOKUP($A161,WVolleyball!$C:$O,E$1-2011,FALSE),0)</f>
        <v>56744</v>
      </c>
      <c r="F161">
        <f>IFERROR(VLOOKUP($A161,MBaseball!$C:$N,F$1-2010,FALSE),0)+IFERROR(VLOOKUP($A161,MBasketball!$C:$J,F$1-2006,FALSE),0)+IFERROR(VLOOKUP($A161,MFootball!$C:$O,F$1-2011,FALSE),0)+IFERROR(VLOOKUP($A161,MIceHockey!$C:$P,F$1-2011,FALSE),0)+IFERROR(VLOOKUP($A161,MLacrosse!$C:$O,F$1-2011,FALSE),0)+IFERROR(VLOOKUP($A161,MSoccer!$C:$O,F$1-2011,FALSE),0)+IFERROR(VLOOKUP($A161,MVolleyball!$C:$O,F$1-2011,FALSE),0)+IFERROR(VLOOKUP($A161,WBasketball!$C:$O,F$1-2011,FALSE),0)+IFERROR(VLOOKUP($A161,WFieldHockey!$C:$O,F$1-2011,FALSE),0)+IFERROR(VLOOKUP($A161,WIceHockey!$C:$O,F$1-2011,FALSE),0)+IFERROR(VLOOKUP($A161,WLacrosse!$C:$O,F$1-2011,FALSE),0)+IFERROR(VLOOKUP($A161,WSoccer!$C:$O,F$1-2011,FALSE),0)+IFERROR(VLOOKUP($A161,WSoftball!$C:$O,F$1-2011,FALSE),0)+IFERROR(VLOOKUP($A161,WVolleyball!$C:$O,F$1-2011,FALSE),0)</f>
        <v>73021</v>
      </c>
      <c r="G161">
        <f>IFERROR(VLOOKUP($A161,MBaseball!$C:$N,G$1-2010,FALSE),0)+IFERROR(VLOOKUP($A161,MBasketball!$C:$J,G$1-2006,FALSE),0)+IFERROR(VLOOKUP($A161,MFootball!$C:$O,G$1-2011,FALSE),0)+IFERROR(VLOOKUP($A161,MIceHockey!$C:$P,G$1-2011,FALSE),0)+IFERROR(VLOOKUP($A161,MLacrosse!$C:$O,G$1-2011,FALSE),0)+IFERROR(VLOOKUP($A161,MSoccer!$C:$O,G$1-2011,FALSE),0)+IFERROR(VLOOKUP($A161,MVolleyball!$C:$O,G$1-2011,FALSE),0)+IFERROR(VLOOKUP($A161,WBasketball!$C:$O,G$1-2011,FALSE),0)+IFERROR(VLOOKUP($A161,WFieldHockey!$C:$O,G$1-2011,FALSE),0)+IFERROR(VLOOKUP($A161,WIceHockey!$C:$O,G$1-2011,FALSE),0)+IFERROR(VLOOKUP($A161,WLacrosse!$C:$O,G$1-2011,FALSE),0)+IFERROR(VLOOKUP($A161,WSoccer!$C:$O,G$1-2011,FALSE),0)+IFERROR(VLOOKUP($A161,WSoftball!$C:$O,G$1-2011,FALSE),0)+IFERROR(VLOOKUP($A161,WVolleyball!$C:$O,G$1-2011,FALSE),0)</f>
        <v>72818</v>
      </c>
      <c r="H161">
        <f>IFERROR(VLOOKUP($A161,MBaseball!$C:$N,H$1-2010,FALSE),0)+IFERROR(VLOOKUP($A161,MBasketball!$C:$J,H$1-2006,FALSE),0)+IFERROR(VLOOKUP($A161,MFootball!$C:$O,H$1-2011,FALSE),0)+IFERROR(VLOOKUP($A161,MIceHockey!$C:$P,H$1-2011,FALSE),0)+IFERROR(VLOOKUP($A161,MLacrosse!$C:$O,H$1-2011,FALSE),0)+IFERROR(VLOOKUP($A161,MSoccer!$C:$O,H$1-2011,FALSE),0)+IFERROR(VLOOKUP($A161,MVolleyball!$C:$O,H$1-2011,FALSE),0)+IFERROR(VLOOKUP($A161,WBasketball!$C:$O,H$1-2011,FALSE),0)+IFERROR(VLOOKUP($A161,WFieldHockey!$C:$O,H$1-2011,FALSE),0)+IFERROR(VLOOKUP($A161,WIceHockey!$C:$O,H$1-2011,FALSE),0)+IFERROR(VLOOKUP($A161,WLacrosse!$C:$O,H$1-2011,FALSE),0)+IFERROR(VLOOKUP($A161,WSoccer!$C:$O,H$1-2011,FALSE),0)+IFERROR(VLOOKUP($A161,WSoftball!$C:$O,H$1-2011,FALSE),0)+IFERROR(VLOOKUP($A161,WVolleyball!$C:$O,H$1-2011,FALSE),0)</f>
        <v>73035</v>
      </c>
      <c r="I161">
        <f>IFERROR(VLOOKUP($A161,MBaseball!$C:$N,I$1-2010,FALSE),0)+IFERROR(VLOOKUP($A161,MBasketball!$C:$J,I$1-2006,FALSE),0)+IFERROR(VLOOKUP($A161,MFootball!$C:$O,I$1-2011,FALSE),0)+IFERROR(VLOOKUP($A161,MIceHockey!$C:$P,I$1-2011,FALSE),0)+IFERROR(VLOOKUP($A161,MLacrosse!$C:$O,I$1-2011,FALSE),0)+IFERROR(VLOOKUP($A161,MSoccer!$C:$O,I$1-2011,FALSE),0)+IFERROR(VLOOKUP($A161,MVolleyball!$C:$O,I$1-2011,FALSE),0)+IFERROR(VLOOKUP($A161,WBasketball!$C:$O,I$1-2011,FALSE),0)+IFERROR(VLOOKUP($A161,WFieldHockey!$C:$O,I$1-2011,FALSE),0)+IFERROR(VLOOKUP($A161,WIceHockey!$C:$O,I$1-2011,FALSE),0)+IFERROR(VLOOKUP($A161,WLacrosse!$C:$O,I$1-2011,FALSE),0)+IFERROR(VLOOKUP($A161,WSoccer!$C:$O,I$1-2011,FALSE),0)+IFERROR(VLOOKUP($A161,WSoftball!$C:$O,I$1-2011,FALSE),0)+IFERROR(VLOOKUP($A161,WVolleyball!$C:$O,I$1-2011,FALSE),0)</f>
        <v>83044</v>
      </c>
      <c r="J161">
        <f>IFERROR(VLOOKUP($A161,MBaseball!$C:$N,J$1-2010,FALSE),0)+IFERROR(VLOOKUP($A161,MBasketball!$C:$J,J$1-2006,FALSE),0)+IFERROR(VLOOKUP($A161,MFootball!$C:$O,J$1-2011,FALSE),0)+IFERROR(VLOOKUP($A161,MIceHockey!$C:$P,J$1-2011,FALSE),0)+IFERROR(VLOOKUP($A161,MLacrosse!$C:$O,J$1-2011,FALSE),0)+IFERROR(VLOOKUP($A161,MSoccer!$C:$O,J$1-2011,FALSE),0)+IFERROR(VLOOKUP($A161,MVolleyball!$C:$O,J$1-2011,FALSE),0)+IFERROR(VLOOKUP($A161,WBasketball!$C:$O,J$1-2011,FALSE),0)+IFERROR(VLOOKUP($A161,WFieldHockey!$C:$O,J$1-2011,FALSE),0)+IFERROR(VLOOKUP($A161,WIceHockey!$C:$O,J$1-2011,FALSE),0)+IFERROR(VLOOKUP($A161,WLacrosse!$C:$O,J$1-2011,FALSE),0)+IFERROR(VLOOKUP($A161,WSoccer!$C:$O,J$1-2011,FALSE),0)+IFERROR(VLOOKUP($A161,WSoftball!$C:$O,J$1-2011,FALSE),0)+IFERROR(VLOOKUP($A161,WVolleyball!$C:$O,J$1-2011,FALSE),0)</f>
        <v>74221</v>
      </c>
      <c r="K161">
        <f>IFERROR(VLOOKUP($A161,MBaseball!$C:$N,K$1-2010,FALSE),0)+IFERROR(VLOOKUP($A161,MBasketball!$C:$J,K$1-2006,FALSE),0)+IFERROR(VLOOKUP($A161,MFootball!$C:$O,K$1-2011,FALSE),0)+IFERROR(VLOOKUP($A161,MIceHockey!$C:$P,K$1-2011,FALSE),0)+IFERROR(VLOOKUP($A161,MLacrosse!$C:$O,K$1-2011,FALSE),0)+IFERROR(VLOOKUP($A161,MSoccer!$C:$O,K$1-2011,FALSE),0)+IFERROR(VLOOKUP($A161,MVolleyball!$C:$O,K$1-2011,FALSE),0)+IFERROR(VLOOKUP($A161,WBasketball!$C:$O,K$1-2011,FALSE),0)+IFERROR(VLOOKUP($A161,WFieldHockey!$C:$O,K$1-2011,FALSE),0)+IFERROR(VLOOKUP($A161,WIceHockey!$C:$O,K$1-2011,FALSE),0)+IFERROR(VLOOKUP($A161,WLacrosse!$C:$O,K$1-2011,FALSE),0)+IFERROR(VLOOKUP($A161,WSoccer!$C:$O,K$1-2011,FALSE),0)+IFERROR(VLOOKUP($A161,WSoftball!$C:$O,K$1-2011,FALSE),0)+IFERROR(VLOOKUP($A161,WVolleyball!$C:$O,K$1-2011,FALSE),0)</f>
        <v>74217</v>
      </c>
      <c r="L161">
        <f>IFERROR(VLOOKUP($A161,MBaseball!$C:$N,L$1-2010,FALSE),0)+IFERROR(VLOOKUP($A161,MBasketball!$C:$J,L$1-2006,FALSE),0)+IFERROR(VLOOKUP($A161,MFootball!$C:$O,L$1-2011,FALSE),0)+IFERROR(VLOOKUP($A161,MIceHockey!$C:$P,L$1-2011,FALSE),0)+IFERROR(VLOOKUP($A161,MLacrosse!$C:$O,L$1-2011,FALSE),0)+IFERROR(VLOOKUP($A161,MSoccer!$C:$O,L$1-2011,FALSE),0)+IFERROR(VLOOKUP($A161,MVolleyball!$C:$O,L$1-2011,FALSE),0)+IFERROR(VLOOKUP($A161,WBasketball!$C:$O,L$1-2011,FALSE),0)+IFERROR(VLOOKUP($A161,WFieldHockey!$C:$O,L$1-2011,FALSE),0)+IFERROR(VLOOKUP($A161,WIceHockey!$C:$O,L$1-2011,FALSE),0)+IFERROR(VLOOKUP($A161,WLacrosse!$C:$O,L$1-2011,FALSE),0)+IFERROR(VLOOKUP($A161,WSoccer!$C:$O,L$1-2011,FALSE),0)+IFERROR(VLOOKUP($A161,WSoftball!$C:$O,L$1-2011,FALSE),0)+IFERROR(VLOOKUP($A161,WVolleyball!$C:$O,L$1-2011,FALSE),0)</f>
        <v>8074</v>
      </c>
      <c r="M161">
        <f>IFERROR(VLOOKUP($A161,MBaseball!$C:$N,M$1-2010,FALSE),0)+IFERROR(VLOOKUP($A161,MBasketball!$C:$J,M$1-2006,FALSE),0)+IFERROR(VLOOKUP($A161,MFootball!$C:$O,M$1-2011,FALSE),0)+IFERROR(VLOOKUP($A161,MIceHockey!$C:$P,M$1-2011,FALSE),0)+IFERROR(VLOOKUP($A161,MLacrosse!$C:$O,M$1-2011,FALSE),0)+IFERROR(VLOOKUP($A161,MSoccer!$C:$O,M$1-2011,FALSE),0)+IFERROR(VLOOKUP($A161,MVolleyball!$C:$O,M$1-2011,FALSE),0)+IFERROR(VLOOKUP($A161,WBasketball!$C:$O,M$1-2011,FALSE),0)+IFERROR(VLOOKUP($A161,WFieldHockey!$C:$O,M$1-2011,FALSE),0)+IFERROR(VLOOKUP($A161,WIceHockey!$C:$O,M$1-2011,FALSE),0)+IFERROR(VLOOKUP($A161,WLacrosse!$C:$O,M$1-2011,FALSE),0)+IFERROR(VLOOKUP($A161,WSoccer!$C:$O,M$1-2011,FALSE),0)+IFERROR(VLOOKUP($A161,WSoftball!$C:$O,M$1-2011,FALSE),0)+IFERROR(VLOOKUP($A161,WVolleyball!$C:$O,M$1-2011,FALSE),0)</f>
        <v>81094</v>
      </c>
      <c r="N161">
        <f>IFERROR(VLOOKUP($A161,MBaseball!$C:$N,N$1-2010,FALSE),0)+IFERROR(VLOOKUP($A161,MBasketball!$C:$J,N$1-2006,FALSE),0)+IFERROR(VLOOKUP($A161,MFootball!$C:$O,N$1-2011,FALSE),0)+IFERROR(VLOOKUP($A161,MIceHockey!$C:$P,N$1-2011,FALSE),0)+IFERROR(VLOOKUP($A161,MLacrosse!$C:$O,N$1-2011,FALSE),0)+IFERROR(VLOOKUP($A161,MSoccer!$C:$O,N$1-2011,FALSE),0)+IFERROR(VLOOKUP($A161,MVolleyball!$C:$O,N$1-2011,FALSE),0)+IFERROR(VLOOKUP($A161,WBasketball!$C:$O,N$1-2011,FALSE),0)+IFERROR(VLOOKUP($A161,WFieldHockey!$C:$O,N$1-2011,FALSE),0)+IFERROR(VLOOKUP($A161,WIceHockey!$C:$O,N$1-2011,FALSE),0)+IFERROR(VLOOKUP($A161,WLacrosse!$C:$O,N$1-2011,FALSE),0)+IFERROR(VLOOKUP($A161,WSoccer!$C:$O,N$1-2011,FALSE),0)+IFERROR(VLOOKUP($A161,WSoftball!$C:$O,N$1-2011,FALSE),0)+IFERROR(VLOOKUP($A161,WVolleyball!$C:$O,N$1-2011,FALSE),0)</f>
        <v>70816</v>
      </c>
    </row>
    <row r="162" spans="1:14" x14ac:dyDescent="0.2">
      <c r="A162">
        <v>110653</v>
      </c>
      <c r="B162">
        <v>31080</v>
      </c>
      <c r="C162" t="s">
        <v>228</v>
      </c>
      <c r="D162">
        <v>161</v>
      </c>
      <c r="E162">
        <f>IFERROR(VLOOKUP($A162,MBaseball!$C:$N,E$1-2010,FALSE),0)+IFERROR(VLOOKUP($A162,MBasketball!$C:$J,E$1-2006,FALSE),0)+IFERROR(VLOOKUP($A162,MFootball!$C:$O,E$1-2011,FALSE),0)+IFERROR(VLOOKUP($A162,MIceHockey!$C:$P,E$1-2011,FALSE),0)+IFERROR(VLOOKUP($A162,MLacrosse!$C:$O,E$1-2011,FALSE),0)+IFERROR(VLOOKUP($A162,MSoccer!$C:$O,E$1-2011,FALSE),0)+IFERROR(VLOOKUP($A162,MVolleyball!$C:$O,E$1-2011,FALSE),0)+IFERROR(VLOOKUP($A162,WBasketball!$C:$O,E$1-2011,FALSE),0)+IFERROR(VLOOKUP($A162,WFieldHockey!$C:$O,E$1-2011,FALSE),0)+IFERROR(VLOOKUP($A162,WIceHockey!$C:$O,E$1-2011,FALSE),0)+IFERROR(VLOOKUP($A162,WLacrosse!$C:$O,E$1-2011,FALSE),0)+IFERROR(VLOOKUP($A162,WSoccer!$C:$O,E$1-2011,FALSE),0)+IFERROR(VLOOKUP($A162,WSoftball!$C:$O,E$1-2011,FALSE),0)+IFERROR(VLOOKUP($A162,WVolleyball!$C:$O,E$1-2011,FALSE),0)</f>
        <v>78732</v>
      </c>
      <c r="F162">
        <f>IFERROR(VLOOKUP($A162,MBaseball!$C:$N,F$1-2010,FALSE),0)+IFERROR(VLOOKUP($A162,MBasketball!$C:$J,F$1-2006,FALSE),0)+IFERROR(VLOOKUP($A162,MFootball!$C:$O,F$1-2011,FALSE),0)+IFERROR(VLOOKUP($A162,MIceHockey!$C:$P,F$1-2011,FALSE),0)+IFERROR(VLOOKUP($A162,MLacrosse!$C:$O,F$1-2011,FALSE),0)+IFERROR(VLOOKUP($A162,MSoccer!$C:$O,F$1-2011,FALSE),0)+IFERROR(VLOOKUP($A162,MVolleyball!$C:$O,F$1-2011,FALSE),0)+IFERROR(VLOOKUP($A162,WBasketball!$C:$O,F$1-2011,FALSE),0)+IFERROR(VLOOKUP($A162,WFieldHockey!$C:$O,F$1-2011,FALSE),0)+IFERROR(VLOOKUP($A162,WIceHockey!$C:$O,F$1-2011,FALSE),0)+IFERROR(VLOOKUP($A162,WLacrosse!$C:$O,F$1-2011,FALSE),0)+IFERROR(VLOOKUP($A162,WSoccer!$C:$O,F$1-2011,FALSE),0)+IFERROR(VLOOKUP($A162,WSoftball!$C:$O,F$1-2011,FALSE),0)+IFERROR(VLOOKUP($A162,WVolleyball!$C:$O,F$1-2011,FALSE),0)</f>
        <v>56842</v>
      </c>
      <c r="G162">
        <f>IFERROR(VLOOKUP($A162,MBaseball!$C:$N,G$1-2010,FALSE),0)+IFERROR(VLOOKUP($A162,MBasketball!$C:$J,G$1-2006,FALSE),0)+IFERROR(VLOOKUP($A162,MFootball!$C:$O,G$1-2011,FALSE),0)+IFERROR(VLOOKUP($A162,MIceHockey!$C:$P,G$1-2011,FALSE),0)+IFERROR(VLOOKUP($A162,MLacrosse!$C:$O,G$1-2011,FALSE),0)+IFERROR(VLOOKUP($A162,MSoccer!$C:$O,G$1-2011,FALSE),0)+IFERROR(VLOOKUP($A162,MVolleyball!$C:$O,G$1-2011,FALSE),0)+IFERROR(VLOOKUP($A162,WBasketball!$C:$O,G$1-2011,FALSE),0)+IFERROR(VLOOKUP($A162,WFieldHockey!$C:$O,G$1-2011,FALSE),0)+IFERROR(VLOOKUP($A162,WIceHockey!$C:$O,G$1-2011,FALSE),0)+IFERROR(VLOOKUP($A162,WLacrosse!$C:$O,G$1-2011,FALSE),0)+IFERROR(VLOOKUP($A162,WSoccer!$C:$O,G$1-2011,FALSE),0)+IFERROR(VLOOKUP($A162,WSoftball!$C:$O,G$1-2011,FALSE),0)+IFERROR(VLOOKUP($A162,WVolleyball!$C:$O,G$1-2011,FALSE),0)</f>
        <v>45249</v>
      </c>
      <c r="H162">
        <f>IFERROR(VLOOKUP($A162,MBaseball!$C:$N,H$1-2010,FALSE),0)+IFERROR(VLOOKUP($A162,MBasketball!$C:$J,H$1-2006,FALSE),0)+IFERROR(VLOOKUP($A162,MFootball!$C:$O,H$1-2011,FALSE),0)+IFERROR(VLOOKUP($A162,MIceHockey!$C:$P,H$1-2011,FALSE),0)+IFERROR(VLOOKUP($A162,MLacrosse!$C:$O,H$1-2011,FALSE),0)+IFERROR(VLOOKUP($A162,MSoccer!$C:$O,H$1-2011,FALSE),0)+IFERROR(VLOOKUP($A162,MVolleyball!$C:$O,H$1-2011,FALSE),0)+IFERROR(VLOOKUP($A162,WBasketball!$C:$O,H$1-2011,FALSE),0)+IFERROR(VLOOKUP($A162,WFieldHockey!$C:$O,H$1-2011,FALSE),0)+IFERROR(VLOOKUP($A162,WIceHockey!$C:$O,H$1-2011,FALSE),0)+IFERROR(VLOOKUP($A162,WLacrosse!$C:$O,H$1-2011,FALSE),0)+IFERROR(VLOOKUP($A162,WSoccer!$C:$O,H$1-2011,FALSE),0)+IFERROR(VLOOKUP($A162,WSoftball!$C:$O,H$1-2011,FALSE),0)+IFERROR(VLOOKUP($A162,WVolleyball!$C:$O,H$1-2011,FALSE),0)</f>
        <v>44851</v>
      </c>
      <c r="I162">
        <f>IFERROR(VLOOKUP($A162,MBaseball!$C:$N,I$1-2010,FALSE),0)+IFERROR(VLOOKUP($A162,MBasketball!$C:$J,I$1-2006,FALSE),0)+IFERROR(VLOOKUP($A162,MFootball!$C:$O,I$1-2011,FALSE),0)+IFERROR(VLOOKUP($A162,MIceHockey!$C:$P,I$1-2011,FALSE),0)+IFERROR(VLOOKUP($A162,MLacrosse!$C:$O,I$1-2011,FALSE),0)+IFERROR(VLOOKUP($A162,MSoccer!$C:$O,I$1-2011,FALSE),0)+IFERROR(VLOOKUP($A162,MVolleyball!$C:$O,I$1-2011,FALSE),0)+IFERROR(VLOOKUP($A162,WBasketball!$C:$O,I$1-2011,FALSE),0)+IFERROR(VLOOKUP($A162,WFieldHockey!$C:$O,I$1-2011,FALSE),0)+IFERROR(VLOOKUP($A162,WIceHockey!$C:$O,I$1-2011,FALSE),0)+IFERROR(VLOOKUP($A162,WLacrosse!$C:$O,I$1-2011,FALSE),0)+IFERROR(VLOOKUP($A162,WSoccer!$C:$O,I$1-2011,FALSE),0)+IFERROR(VLOOKUP($A162,WSoftball!$C:$O,I$1-2011,FALSE),0)+IFERROR(VLOOKUP($A162,WVolleyball!$C:$O,I$1-2011,FALSE),0)</f>
        <v>51626</v>
      </c>
      <c r="J162">
        <f>IFERROR(VLOOKUP($A162,MBaseball!$C:$N,J$1-2010,FALSE),0)+IFERROR(VLOOKUP($A162,MBasketball!$C:$J,J$1-2006,FALSE),0)+IFERROR(VLOOKUP($A162,MFootball!$C:$O,J$1-2011,FALSE),0)+IFERROR(VLOOKUP($A162,MIceHockey!$C:$P,J$1-2011,FALSE),0)+IFERROR(VLOOKUP($A162,MLacrosse!$C:$O,J$1-2011,FALSE),0)+IFERROR(VLOOKUP($A162,MSoccer!$C:$O,J$1-2011,FALSE),0)+IFERROR(VLOOKUP($A162,MVolleyball!$C:$O,J$1-2011,FALSE),0)+IFERROR(VLOOKUP($A162,WBasketball!$C:$O,J$1-2011,FALSE),0)+IFERROR(VLOOKUP($A162,WFieldHockey!$C:$O,J$1-2011,FALSE),0)+IFERROR(VLOOKUP($A162,WIceHockey!$C:$O,J$1-2011,FALSE),0)+IFERROR(VLOOKUP($A162,WLacrosse!$C:$O,J$1-2011,FALSE),0)+IFERROR(VLOOKUP($A162,WSoccer!$C:$O,J$1-2011,FALSE),0)+IFERROR(VLOOKUP($A162,WSoftball!$C:$O,J$1-2011,FALSE),0)+IFERROR(VLOOKUP($A162,WVolleyball!$C:$O,J$1-2011,FALSE),0)</f>
        <v>34455</v>
      </c>
      <c r="K162">
        <f>IFERROR(VLOOKUP($A162,MBaseball!$C:$N,K$1-2010,FALSE),0)+IFERROR(VLOOKUP($A162,MBasketball!$C:$J,K$1-2006,FALSE),0)+IFERROR(VLOOKUP($A162,MFootball!$C:$O,K$1-2011,FALSE),0)+IFERROR(VLOOKUP($A162,MIceHockey!$C:$P,K$1-2011,FALSE),0)+IFERROR(VLOOKUP($A162,MLacrosse!$C:$O,K$1-2011,FALSE),0)+IFERROR(VLOOKUP($A162,MSoccer!$C:$O,K$1-2011,FALSE),0)+IFERROR(VLOOKUP($A162,MVolleyball!$C:$O,K$1-2011,FALSE),0)+IFERROR(VLOOKUP($A162,WBasketball!$C:$O,K$1-2011,FALSE),0)+IFERROR(VLOOKUP($A162,WFieldHockey!$C:$O,K$1-2011,FALSE),0)+IFERROR(VLOOKUP($A162,WIceHockey!$C:$O,K$1-2011,FALSE),0)+IFERROR(VLOOKUP($A162,WLacrosse!$C:$O,K$1-2011,FALSE),0)+IFERROR(VLOOKUP($A162,WSoccer!$C:$O,K$1-2011,FALSE),0)+IFERROR(VLOOKUP($A162,WSoftball!$C:$O,K$1-2011,FALSE),0)+IFERROR(VLOOKUP($A162,WVolleyball!$C:$O,K$1-2011,FALSE),0)</f>
        <v>25046</v>
      </c>
      <c r="L162">
        <f>IFERROR(VLOOKUP($A162,MBaseball!$C:$N,L$1-2010,FALSE),0)+IFERROR(VLOOKUP($A162,MBasketball!$C:$J,L$1-2006,FALSE),0)+IFERROR(VLOOKUP($A162,MFootball!$C:$O,L$1-2011,FALSE),0)+IFERROR(VLOOKUP($A162,MIceHockey!$C:$P,L$1-2011,FALSE),0)+IFERROR(VLOOKUP($A162,MLacrosse!$C:$O,L$1-2011,FALSE),0)+IFERROR(VLOOKUP($A162,MSoccer!$C:$O,L$1-2011,FALSE),0)+IFERROR(VLOOKUP($A162,MVolleyball!$C:$O,L$1-2011,FALSE),0)+IFERROR(VLOOKUP($A162,WBasketball!$C:$O,L$1-2011,FALSE),0)+IFERROR(VLOOKUP($A162,WFieldHockey!$C:$O,L$1-2011,FALSE),0)+IFERROR(VLOOKUP($A162,WIceHockey!$C:$O,L$1-2011,FALSE),0)+IFERROR(VLOOKUP($A162,WLacrosse!$C:$O,L$1-2011,FALSE),0)+IFERROR(VLOOKUP($A162,WSoccer!$C:$O,L$1-2011,FALSE),0)+IFERROR(VLOOKUP($A162,WSoftball!$C:$O,L$1-2011,FALSE),0)+IFERROR(VLOOKUP($A162,WVolleyball!$C:$O,L$1-2011,FALSE),0)</f>
        <v>19334</v>
      </c>
      <c r="M162">
        <f>IFERROR(VLOOKUP($A162,MBaseball!$C:$N,M$1-2010,FALSE),0)+IFERROR(VLOOKUP($A162,MBasketball!$C:$J,M$1-2006,FALSE),0)+IFERROR(VLOOKUP($A162,MFootball!$C:$O,M$1-2011,FALSE),0)+IFERROR(VLOOKUP($A162,MIceHockey!$C:$P,M$1-2011,FALSE),0)+IFERROR(VLOOKUP($A162,MLacrosse!$C:$O,M$1-2011,FALSE),0)+IFERROR(VLOOKUP($A162,MSoccer!$C:$O,M$1-2011,FALSE),0)+IFERROR(VLOOKUP($A162,MVolleyball!$C:$O,M$1-2011,FALSE),0)+IFERROR(VLOOKUP($A162,WBasketball!$C:$O,M$1-2011,FALSE),0)+IFERROR(VLOOKUP($A162,WFieldHockey!$C:$O,M$1-2011,FALSE),0)+IFERROR(VLOOKUP($A162,WIceHockey!$C:$O,M$1-2011,FALSE),0)+IFERROR(VLOOKUP($A162,WLacrosse!$C:$O,M$1-2011,FALSE),0)+IFERROR(VLOOKUP($A162,WSoccer!$C:$O,M$1-2011,FALSE),0)+IFERROR(VLOOKUP($A162,WSoftball!$C:$O,M$1-2011,FALSE),0)+IFERROR(VLOOKUP($A162,WVolleyball!$C:$O,M$1-2011,FALSE),0)</f>
        <v>55107</v>
      </c>
      <c r="N162">
        <f>IFERROR(VLOOKUP($A162,MBaseball!$C:$N,N$1-2010,FALSE),0)+IFERROR(VLOOKUP($A162,MBasketball!$C:$J,N$1-2006,FALSE),0)+IFERROR(VLOOKUP($A162,MFootball!$C:$O,N$1-2011,FALSE),0)+IFERROR(VLOOKUP($A162,MIceHockey!$C:$P,N$1-2011,FALSE),0)+IFERROR(VLOOKUP($A162,MLacrosse!$C:$O,N$1-2011,FALSE),0)+IFERROR(VLOOKUP($A162,MSoccer!$C:$O,N$1-2011,FALSE),0)+IFERROR(VLOOKUP($A162,MVolleyball!$C:$O,N$1-2011,FALSE),0)+IFERROR(VLOOKUP($A162,WBasketball!$C:$O,N$1-2011,FALSE),0)+IFERROR(VLOOKUP($A162,WFieldHockey!$C:$O,N$1-2011,FALSE),0)+IFERROR(VLOOKUP($A162,WIceHockey!$C:$O,N$1-2011,FALSE),0)+IFERROR(VLOOKUP($A162,WLacrosse!$C:$O,N$1-2011,FALSE),0)+IFERROR(VLOOKUP($A162,WSoccer!$C:$O,N$1-2011,FALSE),0)+IFERROR(VLOOKUP($A162,WSoftball!$C:$O,N$1-2011,FALSE),0)+IFERROR(VLOOKUP($A162,WVolleyball!$C:$O,N$1-2011,FALSE),0)</f>
        <v>50748</v>
      </c>
    </row>
    <row r="163" spans="1:14" x14ac:dyDescent="0.2">
      <c r="A163">
        <v>110671</v>
      </c>
      <c r="B163">
        <v>40140</v>
      </c>
      <c r="C163" t="s">
        <v>229</v>
      </c>
      <c r="D163">
        <v>162</v>
      </c>
      <c r="E163">
        <f>IFERROR(VLOOKUP($A163,MBaseball!$C:$N,E$1-2010,FALSE),0)+IFERROR(VLOOKUP($A163,MBasketball!$C:$J,E$1-2006,FALSE),0)+IFERROR(VLOOKUP($A163,MFootball!$C:$O,E$1-2011,FALSE),0)+IFERROR(VLOOKUP($A163,MIceHockey!$C:$P,E$1-2011,FALSE),0)+IFERROR(VLOOKUP($A163,MLacrosse!$C:$O,E$1-2011,FALSE),0)+IFERROR(VLOOKUP($A163,MSoccer!$C:$O,E$1-2011,FALSE),0)+IFERROR(VLOOKUP($A163,MVolleyball!$C:$O,E$1-2011,FALSE),0)+IFERROR(VLOOKUP($A163,WBasketball!$C:$O,E$1-2011,FALSE),0)+IFERROR(VLOOKUP($A163,WFieldHockey!$C:$O,E$1-2011,FALSE),0)+IFERROR(VLOOKUP($A163,WIceHockey!$C:$O,E$1-2011,FALSE),0)+IFERROR(VLOOKUP($A163,WLacrosse!$C:$O,E$1-2011,FALSE),0)+IFERROR(VLOOKUP($A163,WSoccer!$C:$O,E$1-2011,FALSE),0)+IFERROR(VLOOKUP($A163,WSoftball!$C:$O,E$1-2011,FALSE),0)+IFERROR(VLOOKUP($A163,WVolleyball!$C:$O,E$1-2011,FALSE),0)</f>
        <v>33082</v>
      </c>
      <c r="F163">
        <f>IFERROR(VLOOKUP($A163,MBaseball!$C:$N,F$1-2010,FALSE),0)+IFERROR(VLOOKUP($A163,MBasketball!$C:$J,F$1-2006,FALSE),0)+IFERROR(VLOOKUP($A163,MFootball!$C:$O,F$1-2011,FALSE),0)+IFERROR(VLOOKUP($A163,MIceHockey!$C:$P,F$1-2011,FALSE),0)+IFERROR(VLOOKUP($A163,MLacrosse!$C:$O,F$1-2011,FALSE),0)+IFERROR(VLOOKUP($A163,MSoccer!$C:$O,F$1-2011,FALSE),0)+IFERROR(VLOOKUP($A163,MVolleyball!$C:$O,F$1-2011,FALSE),0)+IFERROR(VLOOKUP($A163,WBasketball!$C:$O,F$1-2011,FALSE),0)+IFERROR(VLOOKUP($A163,WFieldHockey!$C:$O,F$1-2011,FALSE),0)+IFERROR(VLOOKUP($A163,WIceHockey!$C:$O,F$1-2011,FALSE),0)+IFERROR(VLOOKUP($A163,WLacrosse!$C:$O,F$1-2011,FALSE),0)+IFERROR(VLOOKUP($A163,WSoccer!$C:$O,F$1-2011,FALSE),0)+IFERROR(VLOOKUP($A163,WSoftball!$C:$O,F$1-2011,FALSE),0)+IFERROR(VLOOKUP($A163,WVolleyball!$C:$O,F$1-2011,FALSE),0)</f>
        <v>23463</v>
      </c>
      <c r="G163">
        <f>IFERROR(VLOOKUP($A163,MBaseball!$C:$N,G$1-2010,FALSE),0)+IFERROR(VLOOKUP($A163,MBasketball!$C:$J,G$1-2006,FALSE),0)+IFERROR(VLOOKUP($A163,MFootball!$C:$O,G$1-2011,FALSE),0)+IFERROR(VLOOKUP($A163,MIceHockey!$C:$P,G$1-2011,FALSE),0)+IFERROR(VLOOKUP($A163,MLacrosse!$C:$O,G$1-2011,FALSE),0)+IFERROR(VLOOKUP($A163,MSoccer!$C:$O,G$1-2011,FALSE),0)+IFERROR(VLOOKUP($A163,MVolleyball!$C:$O,G$1-2011,FALSE),0)+IFERROR(VLOOKUP($A163,WBasketball!$C:$O,G$1-2011,FALSE),0)+IFERROR(VLOOKUP($A163,WFieldHockey!$C:$O,G$1-2011,FALSE),0)+IFERROR(VLOOKUP($A163,WIceHockey!$C:$O,G$1-2011,FALSE),0)+IFERROR(VLOOKUP($A163,WLacrosse!$C:$O,G$1-2011,FALSE),0)+IFERROR(VLOOKUP($A163,WSoccer!$C:$O,G$1-2011,FALSE),0)+IFERROR(VLOOKUP($A163,WSoftball!$C:$O,G$1-2011,FALSE),0)+IFERROR(VLOOKUP($A163,WVolleyball!$C:$O,G$1-2011,FALSE),0)</f>
        <v>26598</v>
      </c>
      <c r="H163">
        <f>IFERROR(VLOOKUP($A163,MBaseball!$C:$N,H$1-2010,FALSE),0)+IFERROR(VLOOKUP($A163,MBasketball!$C:$J,H$1-2006,FALSE),0)+IFERROR(VLOOKUP($A163,MFootball!$C:$O,H$1-2011,FALSE),0)+IFERROR(VLOOKUP($A163,MIceHockey!$C:$P,H$1-2011,FALSE),0)+IFERROR(VLOOKUP($A163,MLacrosse!$C:$O,H$1-2011,FALSE),0)+IFERROR(VLOOKUP($A163,MSoccer!$C:$O,H$1-2011,FALSE),0)+IFERROR(VLOOKUP($A163,MVolleyball!$C:$O,H$1-2011,FALSE),0)+IFERROR(VLOOKUP($A163,WBasketball!$C:$O,H$1-2011,FALSE),0)+IFERROR(VLOOKUP($A163,WFieldHockey!$C:$O,H$1-2011,FALSE),0)+IFERROR(VLOOKUP($A163,WIceHockey!$C:$O,H$1-2011,FALSE),0)+IFERROR(VLOOKUP($A163,WLacrosse!$C:$O,H$1-2011,FALSE),0)+IFERROR(VLOOKUP($A163,WSoccer!$C:$O,H$1-2011,FALSE),0)+IFERROR(VLOOKUP($A163,WSoftball!$C:$O,H$1-2011,FALSE),0)+IFERROR(VLOOKUP($A163,WVolleyball!$C:$O,H$1-2011,FALSE),0)</f>
        <v>24719</v>
      </c>
      <c r="I163">
        <f>IFERROR(VLOOKUP($A163,MBaseball!$C:$N,I$1-2010,FALSE),0)+IFERROR(VLOOKUP($A163,MBasketball!$C:$J,I$1-2006,FALSE),0)+IFERROR(VLOOKUP($A163,MFootball!$C:$O,I$1-2011,FALSE),0)+IFERROR(VLOOKUP($A163,MIceHockey!$C:$P,I$1-2011,FALSE),0)+IFERROR(VLOOKUP($A163,MLacrosse!$C:$O,I$1-2011,FALSE),0)+IFERROR(VLOOKUP($A163,MSoccer!$C:$O,I$1-2011,FALSE),0)+IFERROR(VLOOKUP($A163,MVolleyball!$C:$O,I$1-2011,FALSE),0)+IFERROR(VLOOKUP($A163,WBasketball!$C:$O,I$1-2011,FALSE),0)+IFERROR(VLOOKUP($A163,WFieldHockey!$C:$O,I$1-2011,FALSE),0)+IFERROR(VLOOKUP($A163,WIceHockey!$C:$O,I$1-2011,FALSE),0)+IFERROR(VLOOKUP($A163,WLacrosse!$C:$O,I$1-2011,FALSE),0)+IFERROR(VLOOKUP($A163,WSoccer!$C:$O,I$1-2011,FALSE),0)+IFERROR(VLOOKUP($A163,WSoftball!$C:$O,I$1-2011,FALSE),0)+IFERROR(VLOOKUP($A163,WVolleyball!$C:$O,I$1-2011,FALSE),0)</f>
        <v>25328</v>
      </c>
      <c r="J163">
        <f>IFERROR(VLOOKUP($A163,MBaseball!$C:$N,J$1-2010,FALSE),0)+IFERROR(VLOOKUP($A163,MBasketball!$C:$J,J$1-2006,FALSE),0)+IFERROR(VLOOKUP($A163,MFootball!$C:$O,J$1-2011,FALSE),0)+IFERROR(VLOOKUP($A163,MIceHockey!$C:$P,J$1-2011,FALSE),0)+IFERROR(VLOOKUP($A163,MLacrosse!$C:$O,J$1-2011,FALSE),0)+IFERROR(VLOOKUP($A163,MSoccer!$C:$O,J$1-2011,FALSE),0)+IFERROR(VLOOKUP($A163,MVolleyball!$C:$O,J$1-2011,FALSE),0)+IFERROR(VLOOKUP($A163,WBasketball!$C:$O,J$1-2011,FALSE),0)+IFERROR(VLOOKUP($A163,WFieldHockey!$C:$O,J$1-2011,FALSE),0)+IFERROR(VLOOKUP($A163,WIceHockey!$C:$O,J$1-2011,FALSE),0)+IFERROR(VLOOKUP($A163,WLacrosse!$C:$O,J$1-2011,FALSE),0)+IFERROR(VLOOKUP($A163,WSoccer!$C:$O,J$1-2011,FALSE),0)+IFERROR(VLOOKUP($A163,WSoftball!$C:$O,J$1-2011,FALSE),0)+IFERROR(VLOOKUP($A163,WVolleyball!$C:$O,J$1-2011,FALSE),0)</f>
        <v>18225</v>
      </c>
      <c r="K163">
        <f>IFERROR(VLOOKUP($A163,MBaseball!$C:$N,K$1-2010,FALSE),0)+IFERROR(VLOOKUP($A163,MBasketball!$C:$J,K$1-2006,FALSE),0)+IFERROR(VLOOKUP($A163,MFootball!$C:$O,K$1-2011,FALSE),0)+IFERROR(VLOOKUP($A163,MIceHockey!$C:$P,K$1-2011,FALSE),0)+IFERROR(VLOOKUP($A163,MLacrosse!$C:$O,K$1-2011,FALSE),0)+IFERROR(VLOOKUP($A163,MSoccer!$C:$O,K$1-2011,FALSE),0)+IFERROR(VLOOKUP($A163,MVolleyball!$C:$O,K$1-2011,FALSE),0)+IFERROR(VLOOKUP($A163,WBasketball!$C:$O,K$1-2011,FALSE),0)+IFERROR(VLOOKUP($A163,WFieldHockey!$C:$O,K$1-2011,FALSE),0)+IFERROR(VLOOKUP($A163,WIceHockey!$C:$O,K$1-2011,FALSE),0)+IFERROR(VLOOKUP($A163,WLacrosse!$C:$O,K$1-2011,FALSE),0)+IFERROR(VLOOKUP($A163,WSoccer!$C:$O,K$1-2011,FALSE),0)+IFERROR(VLOOKUP($A163,WSoftball!$C:$O,K$1-2011,FALSE),0)+IFERROR(VLOOKUP($A163,WVolleyball!$C:$O,K$1-2011,FALSE),0)</f>
        <v>10676</v>
      </c>
      <c r="L163">
        <f>IFERROR(VLOOKUP($A163,MBaseball!$C:$N,L$1-2010,FALSE),0)+IFERROR(VLOOKUP($A163,MBasketball!$C:$J,L$1-2006,FALSE),0)+IFERROR(VLOOKUP($A163,MFootball!$C:$O,L$1-2011,FALSE),0)+IFERROR(VLOOKUP($A163,MIceHockey!$C:$P,L$1-2011,FALSE),0)+IFERROR(VLOOKUP($A163,MLacrosse!$C:$O,L$1-2011,FALSE),0)+IFERROR(VLOOKUP($A163,MSoccer!$C:$O,L$1-2011,FALSE),0)+IFERROR(VLOOKUP($A163,MVolleyball!$C:$O,L$1-2011,FALSE),0)+IFERROR(VLOOKUP($A163,WBasketball!$C:$O,L$1-2011,FALSE),0)+IFERROR(VLOOKUP($A163,WFieldHockey!$C:$O,L$1-2011,FALSE),0)+IFERROR(VLOOKUP($A163,WIceHockey!$C:$O,L$1-2011,FALSE),0)+IFERROR(VLOOKUP($A163,WLacrosse!$C:$O,L$1-2011,FALSE),0)+IFERROR(VLOOKUP($A163,WSoccer!$C:$O,L$1-2011,FALSE),0)+IFERROR(VLOOKUP($A163,WSoftball!$C:$O,L$1-2011,FALSE),0)+IFERROR(VLOOKUP($A163,WVolleyball!$C:$O,L$1-2011,FALSE),0)</f>
        <v>3602</v>
      </c>
      <c r="M163">
        <f>IFERROR(VLOOKUP($A163,MBaseball!$C:$N,M$1-2010,FALSE),0)+IFERROR(VLOOKUP($A163,MBasketball!$C:$J,M$1-2006,FALSE),0)+IFERROR(VLOOKUP($A163,MFootball!$C:$O,M$1-2011,FALSE),0)+IFERROR(VLOOKUP($A163,MIceHockey!$C:$P,M$1-2011,FALSE),0)+IFERROR(VLOOKUP($A163,MLacrosse!$C:$O,M$1-2011,FALSE),0)+IFERROR(VLOOKUP($A163,MSoccer!$C:$O,M$1-2011,FALSE),0)+IFERROR(VLOOKUP($A163,MVolleyball!$C:$O,M$1-2011,FALSE),0)+IFERROR(VLOOKUP($A163,WBasketball!$C:$O,M$1-2011,FALSE),0)+IFERROR(VLOOKUP($A163,WFieldHockey!$C:$O,M$1-2011,FALSE),0)+IFERROR(VLOOKUP($A163,WIceHockey!$C:$O,M$1-2011,FALSE),0)+IFERROR(VLOOKUP($A163,WLacrosse!$C:$O,M$1-2011,FALSE),0)+IFERROR(VLOOKUP($A163,WSoccer!$C:$O,M$1-2011,FALSE),0)+IFERROR(VLOOKUP($A163,WSoftball!$C:$O,M$1-2011,FALSE),0)+IFERROR(VLOOKUP($A163,WVolleyball!$C:$O,M$1-2011,FALSE),0)</f>
        <v>15108</v>
      </c>
      <c r="N163">
        <f>IFERROR(VLOOKUP($A163,MBaseball!$C:$N,N$1-2010,FALSE),0)+IFERROR(VLOOKUP($A163,MBasketball!$C:$J,N$1-2006,FALSE),0)+IFERROR(VLOOKUP($A163,MFootball!$C:$O,N$1-2011,FALSE),0)+IFERROR(VLOOKUP($A163,MIceHockey!$C:$P,N$1-2011,FALSE),0)+IFERROR(VLOOKUP($A163,MLacrosse!$C:$O,N$1-2011,FALSE),0)+IFERROR(VLOOKUP($A163,MSoccer!$C:$O,N$1-2011,FALSE),0)+IFERROR(VLOOKUP($A163,MVolleyball!$C:$O,N$1-2011,FALSE),0)+IFERROR(VLOOKUP($A163,WBasketball!$C:$O,N$1-2011,FALSE),0)+IFERROR(VLOOKUP($A163,WFieldHockey!$C:$O,N$1-2011,FALSE),0)+IFERROR(VLOOKUP($A163,WIceHockey!$C:$O,N$1-2011,FALSE),0)+IFERROR(VLOOKUP($A163,WLacrosse!$C:$O,N$1-2011,FALSE),0)+IFERROR(VLOOKUP($A163,WSoccer!$C:$O,N$1-2011,FALSE),0)+IFERROR(VLOOKUP($A163,WSoftball!$C:$O,N$1-2011,FALSE),0)+IFERROR(VLOOKUP($A163,WVolleyball!$C:$O,N$1-2011,FALSE),0)</f>
        <v>12819</v>
      </c>
    </row>
    <row r="164" spans="1:14" x14ac:dyDescent="0.2">
      <c r="A164">
        <v>110705</v>
      </c>
      <c r="B164">
        <v>42200</v>
      </c>
      <c r="C164" t="s">
        <v>230</v>
      </c>
      <c r="D164">
        <v>163</v>
      </c>
      <c r="E164">
        <f>IFERROR(VLOOKUP($A164,MBaseball!$C:$N,E$1-2010,FALSE),0)+IFERROR(VLOOKUP($A164,MBasketball!$C:$J,E$1-2006,FALSE),0)+IFERROR(VLOOKUP($A164,MFootball!$C:$O,E$1-2011,FALSE),0)+IFERROR(VLOOKUP($A164,MIceHockey!$C:$P,E$1-2011,FALSE),0)+IFERROR(VLOOKUP($A164,MLacrosse!$C:$O,E$1-2011,FALSE),0)+IFERROR(VLOOKUP($A164,MSoccer!$C:$O,E$1-2011,FALSE),0)+IFERROR(VLOOKUP($A164,MVolleyball!$C:$O,E$1-2011,FALSE),0)+IFERROR(VLOOKUP($A164,WBasketball!$C:$O,E$1-2011,FALSE),0)+IFERROR(VLOOKUP($A164,WFieldHockey!$C:$O,E$1-2011,FALSE),0)+IFERROR(VLOOKUP($A164,WIceHockey!$C:$O,E$1-2011,FALSE),0)+IFERROR(VLOOKUP($A164,WLacrosse!$C:$O,E$1-2011,FALSE),0)+IFERROR(VLOOKUP($A164,WSoccer!$C:$O,E$1-2011,FALSE),0)+IFERROR(VLOOKUP($A164,WSoftball!$C:$O,E$1-2011,FALSE),0)+IFERROR(VLOOKUP($A164,WVolleyball!$C:$O,E$1-2011,FALSE),0)</f>
        <v>115672</v>
      </c>
      <c r="F164">
        <f>IFERROR(VLOOKUP($A164,MBaseball!$C:$N,F$1-2010,FALSE),0)+IFERROR(VLOOKUP($A164,MBasketball!$C:$J,F$1-2006,FALSE),0)+IFERROR(VLOOKUP($A164,MFootball!$C:$O,F$1-2011,FALSE),0)+IFERROR(VLOOKUP($A164,MIceHockey!$C:$P,F$1-2011,FALSE),0)+IFERROR(VLOOKUP($A164,MLacrosse!$C:$O,F$1-2011,FALSE),0)+IFERROR(VLOOKUP($A164,MSoccer!$C:$O,F$1-2011,FALSE),0)+IFERROR(VLOOKUP($A164,MVolleyball!$C:$O,F$1-2011,FALSE),0)+IFERROR(VLOOKUP($A164,WBasketball!$C:$O,F$1-2011,FALSE),0)+IFERROR(VLOOKUP($A164,WFieldHockey!$C:$O,F$1-2011,FALSE),0)+IFERROR(VLOOKUP($A164,WIceHockey!$C:$O,F$1-2011,FALSE),0)+IFERROR(VLOOKUP($A164,WLacrosse!$C:$O,F$1-2011,FALSE),0)+IFERROR(VLOOKUP($A164,WSoccer!$C:$O,F$1-2011,FALSE),0)+IFERROR(VLOOKUP($A164,WSoftball!$C:$O,F$1-2011,FALSE),0)+IFERROR(VLOOKUP($A164,WVolleyball!$C:$O,F$1-2011,FALSE),0)</f>
        <v>69824</v>
      </c>
      <c r="G164">
        <f>IFERROR(VLOOKUP($A164,MBaseball!$C:$N,G$1-2010,FALSE),0)+IFERROR(VLOOKUP($A164,MBasketball!$C:$J,G$1-2006,FALSE),0)+IFERROR(VLOOKUP($A164,MFootball!$C:$O,G$1-2011,FALSE),0)+IFERROR(VLOOKUP($A164,MIceHockey!$C:$P,G$1-2011,FALSE),0)+IFERROR(VLOOKUP($A164,MLacrosse!$C:$O,G$1-2011,FALSE),0)+IFERROR(VLOOKUP($A164,MSoccer!$C:$O,G$1-2011,FALSE),0)+IFERROR(VLOOKUP($A164,MVolleyball!$C:$O,G$1-2011,FALSE),0)+IFERROR(VLOOKUP($A164,WBasketball!$C:$O,G$1-2011,FALSE),0)+IFERROR(VLOOKUP($A164,WFieldHockey!$C:$O,G$1-2011,FALSE),0)+IFERROR(VLOOKUP($A164,WIceHockey!$C:$O,G$1-2011,FALSE),0)+IFERROR(VLOOKUP($A164,WLacrosse!$C:$O,G$1-2011,FALSE),0)+IFERROR(VLOOKUP($A164,WSoccer!$C:$O,G$1-2011,FALSE),0)+IFERROR(VLOOKUP($A164,WSoftball!$C:$O,G$1-2011,FALSE),0)+IFERROR(VLOOKUP($A164,WVolleyball!$C:$O,G$1-2011,FALSE),0)</f>
        <v>76154</v>
      </c>
      <c r="H164">
        <f>IFERROR(VLOOKUP($A164,MBaseball!$C:$N,H$1-2010,FALSE),0)+IFERROR(VLOOKUP($A164,MBasketball!$C:$J,H$1-2006,FALSE),0)+IFERROR(VLOOKUP($A164,MFootball!$C:$O,H$1-2011,FALSE),0)+IFERROR(VLOOKUP($A164,MIceHockey!$C:$P,H$1-2011,FALSE),0)+IFERROR(VLOOKUP($A164,MLacrosse!$C:$O,H$1-2011,FALSE),0)+IFERROR(VLOOKUP($A164,MSoccer!$C:$O,H$1-2011,FALSE),0)+IFERROR(VLOOKUP($A164,MVolleyball!$C:$O,H$1-2011,FALSE),0)+IFERROR(VLOOKUP($A164,WBasketball!$C:$O,H$1-2011,FALSE),0)+IFERROR(VLOOKUP($A164,WFieldHockey!$C:$O,H$1-2011,FALSE),0)+IFERROR(VLOOKUP($A164,WIceHockey!$C:$O,H$1-2011,FALSE),0)+IFERROR(VLOOKUP($A164,WLacrosse!$C:$O,H$1-2011,FALSE),0)+IFERROR(VLOOKUP($A164,WSoccer!$C:$O,H$1-2011,FALSE),0)+IFERROR(VLOOKUP($A164,WSoftball!$C:$O,H$1-2011,FALSE),0)+IFERROR(VLOOKUP($A164,WVolleyball!$C:$O,H$1-2011,FALSE),0)</f>
        <v>73353</v>
      </c>
      <c r="I164">
        <f>IFERROR(VLOOKUP($A164,MBaseball!$C:$N,I$1-2010,FALSE),0)+IFERROR(VLOOKUP($A164,MBasketball!$C:$J,I$1-2006,FALSE),0)+IFERROR(VLOOKUP($A164,MFootball!$C:$O,I$1-2011,FALSE),0)+IFERROR(VLOOKUP($A164,MIceHockey!$C:$P,I$1-2011,FALSE),0)+IFERROR(VLOOKUP($A164,MLacrosse!$C:$O,I$1-2011,FALSE),0)+IFERROR(VLOOKUP($A164,MSoccer!$C:$O,I$1-2011,FALSE),0)+IFERROR(VLOOKUP($A164,MVolleyball!$C:$O,I$1-2011,FALSE),0)+IFERROR(VLOOKUP($A164,WBasketball!$C:$O,I$1-2011,FALSE),0)+IFERROR(VLOOKUP($A164,WFieldHockey!$C:$O,I$1-2011,FALSE),0)+IFERROR(VLOOKUP($A164,WIceHockey!$C:$O,I$1-2011,FALSE),0)+IFERROR(VLOOKUP($A164,WLacrosse!$C:$O,I$1-2011,FALSE),0)+IFERROR(VLOOKUP($A164,WSoccer!$C:$O,I$1-2011,FALSE),0)+IFERROR(VLOOKUP($A164,WSoftball!$C:$O,I$1-2011,FALSE),0)+IFERROR(VLOOKUP($A164,WVolleyball!$C:$O,I$1-2011,FALSE),0)</f>
        <v>60507</v>
      </c>
      <c r="J164">
        <f>IFERROR(VLOOKUP($A164,MBaseball!$C:$N,J$1-2010,FALSE),0)+IFERROR(VLOOKUP($A164,MBasketball!$C:$J,J$1-2006,FALSE),0)+IFERROR(VLOOKUP($A164,MFootball!$C:$O,J$1-2011,FALSE),0)+IFERROR(VLOOKUP($A164,MIceHockey!$C:$P,J$1-2011,FALSE),0)+IFERROR(VLOOKUP($A164,MLacrosse!$C:$O,J$1-2011,FALSE),0)+IFERROR(VLOOKUP($A164,MSoccer!$C:$O,J$1-2011,FALSE),0)+IFERROR(VLOOKUP($A164,MVolleyball!$C:$O,J$1-2011,FALSE),0)+IFERROR(VLOOKUP($A164,WBasketball!$C:$O,J$1-2011,FALSE),0)+IFERROR(VLOOKUP($A164,WFieldHockey!$C:$O,J$1-2011,FALSE),0)+IFERROR(VLOOKUP($A164,WIceHockey!$C:$O,J$1-2011,FALSE),0)+IFERROR(VLOOKUP($A164,WLacrosse!$C:$O,J$1-2011,FALSE),0)+IFERROR(VLOOKUP($A164,WSoccer!$C:$O,J$1-2011,FALSE),0)+IFERROR(VLOOKUP($A164,WSoftball!$C:$O,J$1-2011,FALSE),0)+IFERROR(VLOOKUP($A164,WVolleyball!$C:$O,J$1-2011,FALSE),0)</f>
        <v>43247</v>
      </c>
      <c r="K164">
        <f>IFERROR(VLOOKUP($A164,MBaseball!$C:$N,K$1-2010,FALSE),0)+IFERROR(VLOOKUP($A164,MBasketball!$C:$J,K$1-2006,FALSE),0)+IFERROR(VLOOKUP($A164,MFootball!$C:$O,K$1-2011,FALSE),0)+IFERROR(VLOOKUP($A164,MIceHockey!$C:$P,K$1-2011,FALSE),0)+IFERROR(VLOOKUP($A164,MLacrosse!$C:$O,K$1-2011,FALSE),0)+IFERROR(VLOOKUP($A164,MSoccer!$C:$O,K$1-2011,FALSE),0)+IFERROR(VLOOKUP($A164,MVolleyball!$C:$O,K$1-2011,FALSE),0)+IFERROR(VLOOKUP($A164,WBasketball!$C:$O,K$1-2011,FALSE),0)+IFERROR(VLOOKUP($A164,WFieldHockey!$C:$O,K$1-2011,FALSE),0)+IFERROR(VLOOKUP($A164,WIceHockey!$C:$O,K$1-2011,FALSE),0)+IFERROR(VLOOKUP($A164,WLacrosse!$C:$O,K$1-2011,FALSE),0)+IFERROR(VLOOKUP($A164,WSoccer!$C:$O,K$1-2011,FALSE),0)+IFERROR(VLOOKUP($A164,WSoftball!$C:$O,K$1-2011,FALSE),0)+IFERROR(VLOOKUP($A164,WVolleyball!$C:$O,K$1-2011,FALSE),0)</f>
        <v>22779</v>
      </c>
      <c r="L164">
        <f>IFERROR(VLOOKUP($A164,MBaseball!$C:$N,L$1-2010,FALSE),0)+IFERROR(VLOOKUP($A164,MBasketball!$C:$J,L$1-2006,FALSE),0)+IFERROR(VLOOKUP($A164,MFootball!$C:$O,L$1-2011,FALSE),0)+IFERROR(VLOOKUP($A164,MIceHockey!$C:$P,L$1-2011,FALSE),0)+IFERROR(VLOOKUP($A164,MLacrosse!$C:$O,L$1-2011,FALSE),0)+IFERROR(VLOOKUP($A164,MSoccer!$C:$O,L$1-2011,FALSE),0)+IFERROR(VLOOKUP($A164,MVolleyball!$C:$O,L$1-2011,FALSE),0)+IFERROR(VLOOKUP($A164,WBasketball!$C:$O,L$1-2011,FALSE),0)+IFERROR(VLOOKUP($A164,WFieldHockey!$C:$O,L$1-2011,FALSE),0)+IFERROR(VLOOKUP($A164,WIceHockey!$C:$O,L$1-2011,FALSE),0)+IFERROR(VLOOKUP($A164,WLacrosse!$C:$O,L$1-2011,FALSE),0)+IFERROR(VLOOKUP($A164,WSoccer!$C:$O,L$1-2011,FALSE),0)+IFERROR(VLOOKUP($A164,WSoftball!$C:$O,L$1-2011,FALSE),0)+IFERROR(VLOOKUP($A164,WVolleyball!$C:$O,L$1-2011,FALSE),0)</f>
        <v>8841</v>
      </c>
      <c r="M164">
        <f>IFERROR(VLOOKUP($A164,MBaseball!$C:$N,M$1-2010,FALSE),0)+IFERROR(VLOOKUP($A164,MBasketball!$C:$J,M$1-2006,FALSE),0)+IFERROR(VLOOKUP($A164,MFootball!$C:$O,M$1-2011,FALSE),0)+IFERROR(VLOOKUP($A164,MIceHockey!$C:$P,M$1-2011,FALSE),0)+IFERROR(VLOOKUP($A164,MLacrosse!$C:$O,M$1-2011,FALSE),0)+IFERROR(VLOOKUP($A164,MSoccer!$C:$O,M$1-2011,FALSE),0)+IFERROR(VLOOKUP($A164,MVolleyball!$C:$O,M$1-2011,FALSE),0)+IFERROR(VLOOKUP($A164,WBasketball!$C:$O,M$1-2011,FALSE),0)+IFERROR(VLOOKUP($A164,WFieldHockey!$C:$O,M$1-2011,FALSE),0)+IFERROR(VLOOKUP($A164,WIceHockey!$C:$O,M$1-2011,FALSE),0)+IFERROR(VLOOKUP($A164,WLacrosse!$C:$O,M$1-2011,FALSE),0)+IFERROR(VLOOKUP($A164,WSoccer!$C:$O,M$1-2011,FALSE),0)+IFERROR(VLOOKUP($A164,WSoftball!$C:$O,M$1-2011,FALSE),0)+IFERROR(VLOOKUP($A164,WVolleyball!$C:$O,M$1-2011,FALSE),0)</f>
        <v>45324</v>
      </c>
      <c r="N164">
        <f>IFERROR(VLOOKUP($A164,MBaseball!$C:$N,N$1-2010,FALSE),0)+IFERROR(VLOOKUP($A164,MBasketball!$C:$J,N$1-2006,FALSE),0)+IFERROR(VLOOKUP($A164,MFootball!$C:$O,N$1-2011,FALSE),0)+IFERROR(VLOOKUP($A164,MIceHockey!$C:$P,N$1-2011,FALSE),0)+IFERROR(VLOOKUP($A164,MLacrosse!$C:$O,N$1-2011,FALSE),0)+IFERROR(VLOOKUP($A164,MSoccer!$C:$O,N$1-2011,FALSE),0)+IFERROR(VLOOKUP($A164,MVolleyball!$C:$O,N$1-2011,FALSE),0)+IFERROR(VLOOKUP($A164,WBasketball!$C:$O,N$1-2011,FALSE),0)+IFERROR(VLOOKUP($A164,WFieldHockey!$C:$O,N$1-2011,FALSE),0)+IFERROR(VLOOKUP($A164,WIceHockey!$C:$O,N$1-2011,FALSE),0)+IFERROR(VLOOKUP($A164,WLacrosse!$C:$O,N$1-2011,FALSE),0)+IFERROR(VLOOKUP($A164,WSoccer!$C:$O,N$1-2011,FALSE),0)+IFERROR(VLOOKUP($A164,WSoftball!$C:$O,N$1-2011,FALSE),0)+IFERROR(VLOOKUP($A164,WVolleyball!$C:$O,N$1-2011,FALSE),0)</f>
        <v>38102</v>
      </c>
    </row>
    <row r="165" spans="1:14" x14ac:dyDescent="0.2">
      <c r="A165">
        <v>132903</v>
      </c>
      <c r="B165">
        <v>36740</v>
      </c>
      <c r="C165" t="s">
        <v>231</v>
      </c>
      <c r="D165">
        <v>164</v>
      </c>
      <c r="E165">
        <f>IFERROR(VLOOKUP($A165,MBaseball!$C:$N,E$1-2010,FALSE),0)+IFERROR(VLOOKUP($A165,MBasketball!$C:$J,E$1-2006,FALSE),0)+IFERROR(VLOOKUP($A165,MFootball!$C:$O,E$1-2011,FALSE),0)+IFERROR(VLOOKUP($A165,MIceHockey!$C:$P,E$1-2011,FALSE),0)+IFERROR(VLOOKUP($A165,MLacrosse!$C:$O,E$1-2011,FALSE),0)+IFERROR(VLOOKUP($A165,MSoccer!$C:$O,E$1-2011,FALSE),0)+IFERROR(VLOOKUP($A165,MVolleyball!$C:$O,E$1-2011,FALSE),0)+IFERROR(VLOOKUP($A165,WBasketball!$C:$O,E$1-2011,FALSE),0)+IFERROR(VLOOKUP($A165,WFieldHockey!$C:$O,E$1-2011,FALSE),0)+IFERROR(VLOOKUP($A165,WIceHockey!$C:$O,E$1-2011,FALSE),0)+IFERROR(VLOOKUP($A165,WLacrosse!$C:$O,E$1-2011,FALSE),0)+IFERROR(VLOOKUP($A165,WSoccer!$C:$O,E$1-2011,FALSE),0)+IFERROR(VLOOKUP($A165,WSoftball!$C:$O,E$1-2011,FALSE),0)+IFERROR(VLOOKUP($A165,WVolleyball!$C:$O,E$1-2011,FALSE),0)</f>
        <v>152980</v>
      </c>
      <c r="F165">
        <f>IFERROR(VLOOKUP($A165,MBaseball!$C:$N,F$1-2010,FALSE),0)+IFERROR(VLOOKUP($A165,MBasketball!$C:$J,F$1-2006,FALSE),0)+IFERROR(VLOOKUP($A165,MFootball!$C:$O,F$1-2011,FALSE),0)+IFERROR(VLOOKUP($A165,MIceHockey!$C:$P,F$1-2011,FALSE),0)+IFERROR(VLOOKUP($A165,MLacrosse!$C:$O,F$1-2011,FALSE),0)+IFERROR(VLOOKUP($A165,MSoccer!$C:$O,F$1-2011,FALSE),0)+IFERROR(VLOOKUP($A165,MVolleyball!$C:$O,F$1-2011,FALSE),0)+IFERROR(VLOOKUP($A165,WBasketball!$C:$O,F$1-2011,FALSE),0)+IFERROR(VLOOKUP($A165,WFieldHockey!$C:$O,F$1-2011,FALSE),0)+IFERROR(VLOOKUP($A165,WIceHockey!$C:$O,F$1-2011,FALSE),0)+IFERROR(VLOOKUP($A165,WLacrosse!$C:$O,F$1-2011,FALSE),0)+IFERROR(VLOOKUP($A165,WSoccer!$C:$O,F$1-2011,FALSE),0)+IFERROR(VLOOKUP($A165,WSoftball!$C:$O,F$1-2011,FALSE),0)+IFERROR(VLOOKUP($A165,WVolleyball!$C:$O,F$1-2011,FALSE),0)</f>
        <v>298415</v>
      </c>
      <c r="G165">
        <f>IFERROR(VLOOKUP($A165,MBaseball!$C:$N,G$1-2010,FALSE),0)+IFERROR(VLOOKUP($A165,MBasketball!$C:$J,G$1-2006,FALSE),0)+IFERROR(VLOOKUP($A165,MFootball!$C:$O,G$1-2011,FALSE),0)+IFERROR(VLOOKUP($A165,MIceHockey!$C:$P,G$1-2011,FALSE),0)+IFERROR(VLOOKUP($A165,MLacrosse!$C:$O,G$1-2011,FALSE),0)+IFERROR(VLOOKUP($A165,MSoccer!$C:$O,G$1-2011,FALSE),0)+IFERROR(VLOOKUP($A165,MVolleyball!$C:$O,G$1-2011,FALSE),0)+IFERROR(VLOOKUP($A165,WBasketball!$C:$O,G$1-2011,FALSE),0)+IFERROR(VLOOKUP($A165,WFieldHockey!$C:$O,G$1-2011,FALSE),0)+IFERROR(VLOOKUP($A165,WIceHockey!$C:$O,G$1-2011,FALSE),0)+IFERROR(VLOOKUP($A165,WLacrosse!$C:$O,G$1-2011,FALSE),0)+IFERROR(VLOOKUP($A165,WSoccer!$C:$O,G$1-2011,FALSE),0)+IFERROR(VLOOKUP($A165,WSoftball!$C:$O,G$1-2011,FALSE),0)+IFERROR(VLOOKUP($A165,WVolleyball!$C:$O,G$1-2011,FALSE),0)</f>
        <v>270259</v>
      </c>
      <c r="H165">
        <f>IFERROR(VLOOKUP($A165,MBaseball!$C:$N,H$1-2010,FALSE),0)+IFERROR(VLOOKUP($A165,MBasketball!$C:$J,H$1-2006,FALSE),0)+IFERROR(VLOOKUP($A165,MFootball!$C:$O,H$1-2011,FALSE),0)+IFERROR(VLOOKUP($A165,MIceHockey!$C:$P,H$1-2011,FALSE),0)+IFERROR(VLOOKUP($A165,MLacrosse!$C:$O,H$1-2011,FALSE),0)+IFERROR(VLOOKUP($A165,MSoccer!$C:$O,H$1-2011,FALSE),0)+IFERROR(VLOOKUP($A165,MVolleyball!$C:$O,H$1-2011,FALSE),0)+IFERROR(VLOOKUP($A165,WBasketball!$C:$O,H$1-2011,FALSE),0)+IFERROR(VLOOKUP($A165,WFieldHockey!$C:$O,H$1-2011,FALSE),0)+IFERROR(VLOOKUP($A165,WIceHockey!$C:$O,H$1-2011,FALSE),0)+IFERROR(VLOOKUP($A165,WLacrosse!$C:$O,H$1-2011,FALSE),0)+IFERROR(VLOOKUP($A165,WSoccer!$C:$O,H$1-2011,FALSE),0)+IFERROR(VLOOKUP($A165,WSoftball!$C:$O,H$1-2011,FALSE),0)+IFERROR(VLOOKUP($A165,WVolleyball!$C:$O,H$1-2011,FALSE),0)</f>
        <v>327240</v>
      </c>
      <c r="I165">
        <f>IFERROR(VLOOKUP($A165,MBaseball!$C:$N,I$1-2010,FALSE),0)+IFERROR(VLOOKUP($A165,MBasketball!$C:$J,I$1-2006,FALSE),0)+IFERROR(VLOOKUP($A165,MFootball!$C:$O,I$1-2011,FALSE),0)+IFERROR(VLOOKUP($A165,MIceHockey!$C:$P,I$1-2011,FALSE),0)+IFERROR(VLOOKUP($A165,MLacrosse!$C:$O,I$1-2011,FALSE),0)+IFERROR(VLOOKUP($A165,MSoccer!$C:$O,I$1-2011,FALSE),0)+IFERROR(VLOOKUP($A165,MVolleyball!$C:$O,I$1-2011,FALSE),0)+IFERROR(VLOOKUP($A165,WBasketball!$C:$O,I$1-2011,FALSE),0)+IFERROR(VLOOKUP($A165,WFieldHockey!$C:$O,I$1-2011,FALSE),0)+IFERROR(VLOOKUP($A165,WIceHockey!$C:$O,I$1-2011,FALSE),0)+IFERROR(VLOOKUP($A165,WLacrosse!$C:$O,I$1-2011,FALSE),0)+IFERROR(VLOOKUP($A165,WSoccer!$C:$O,I$1-2011,FALSE),0)+IFERROR(VLOOKUP($A165,WSoftball!$C:$O,I$1-2011,FALSE),0)+IFERROR(VLOOKUP($A165,WVolleyball!$C:$O,I$1-2011,FALSE),0)</f>
        <v>369226</v>
      </c>
      <c r="J165">
        <f>IFERROR(VLOOKUP($A165,MBaseball!$C:$N,J$1-2010,FALSE),0)+IFERROR(VLOOKUP($A165,MBasketball!$C:$J,J$1-2006,FALSE),0)+IFERROR(VLOOKUP($A165,MFootball!$C:$O,J$1-2011,FALSE),0)+IFERROR(VLOOKUP($A165,MIceHockey!$C:$P,J$1-2011,FALSE),0)+IFERROR(VLOOKUP($A165,MLacrosse!$C:$O,J$1-2011,FALSE),0)+IFERROR(VLOOKUP($A165,MSoccer!$C:$O,J$1-2011,FALSE),0)+IFERROR(VLOOKUP($A165,MVolleyball!$C:$O,J$1-2011,FALSE),0)+IFERROR(VLOOKUP($A165,WBasketball!$C:$O,J$1-2011,FALSE),0)+IFERROR(VLOOKUP($A165,WFieldHockey!$C:$O,J$1-2011,FALSE),0)+IFERROR(VLOOKUP($A165,WIceHockey!$C:$O,J$1-2011,FALSE),0)+IFERROR(VLOOKUP($A165,WLacrosse!$C:$O,J$1-2011,FALSE),0)+IFERROR(VLOOKUP($A165,WSoccer!$C:$O,J$1-2011,FALSE),0)+IFERROR(VLOOKUP($A165,WSoftball!$C:$O,J$1-2011,FALSE),0)+IFERROR(VLOOKUP($A165,WVolleyball!$C:$O,J$1-2011,FALSE),0)</f>
        <v>431444</v>
      </c>
      <c r="K165">
        <f>IFERROR(VLOOKUP($A165,MBaseball!$C:$N,K$1-2010,FALSE),0)+IFERROR(VLOOKUP($A165,MBasketball!$C:$J,K$1-2006,FALSE),0)+IFERROR(VLOOKUP($A165,MFootball!$C:$O,K$1-2011,FALSE),0)+IFERROR(VLOOKUP($A165,MIceHockey!$C:$P,K$1-2011,FALSE),0)+IFERROR(VLOOKUP($A165,MLacrosse!$C:$O,K$1-2011,FALSE),0)+IFERROR(VLOOKUP($A165,MSoccer!$C:$O,K$1-2011,FALSE),0)+IFERROR(VLOOKUP($A165,MVolleyball!$C:$O,K$1-2011,FALSE),0)+IFERROR(VLOOKUP($A165,WBasketball!$C:$O,K$1-2011,FALSE),0)+IFERROR(VLOOKUP($A165,WFieldHockey!$C:$O,K$1-2011,FALSE),0)+IFERROR(VLOOKUP($A165,WIceHockey!$C:$O,K$1-2011,FALSE),0)+IFERROR(VLOOKUP($A165,WLacrosse!$C:$O,K$1-2011,FALSE),0)+IFERROR(VLOOKUP($A165,WSoccer!$C:$O,K$1-2011,FALSE),0)+IFERROR(VLOOKUP($A165,WSoftball!$C:$O,K$1-2011,FALSE),0)+IFERROR(VLOOKUP($A165,WVolleyball!$C:$O,K$1-2011,FALSE),0)</f>
        <v>355305</v>
      </c>
      <c r="L165">
        <f>IFERROR(VLOOKUP($A165,MBaseball!$C:$N,L$1-2010,FALSE),0)+IFERROR(VLOOKUP($A165,MBasketball!$C:$J,L$1-2006,FALSE),0)+IFERROR(VLOOKUP($A165,MFootball!$C:$O,L$1-2011,FALSE),0)+IFERROR(VLOOKUP($A165,MIceHockey!$C:$P,L$1-2011,FALSE),0)+IFERROR(VLOOKUP($A165,MLacrosse!$C:$O,L$1-2011,FALSE),0)+IFERROR(VLOOKUP($A165,MSoccer!$C:$O,L$1-2011,FALSE),0)+IFERROR(VLOOKUP($A165,MVolleyball!$C:$O,L$1-2011,FALSE),0)+IFERROR(VLOOKUP($A165,WBasketball!$C:$O,L$1-2011,FALSE),0)+IFERROR(VLOOKUP($A165,WFieldHockey!$C:$O,L$1-2011,FALSE),0)+IFERROR(VLOOKUP($A165,WIceHockey!$C:$O,L$1-2011,FALSE),0)+IFERROR(VLOOKUP($A165,WLacrosse!$C:$O,L$1-2011,FALSE),0)+IFERROR(VLOOKUP($A165,WSoccer!$C:$O,L$1-2011,FALSE),0)+IFERROR(VLOOKUP($A165,WSoftball!$C:$O,L$1-2011,FALSE),0)+IFERROR(VLOOKUP($A165,WVolleyball!$C:$O,L$1-2011,FALSE),0)</f>
        <v>109823</v>
      </c>
      <c r="M165">
        <f>IFERROR(VLOOKUP($A165,MBaseball!$C:$N,M$1-2010,FALSE),0)+IFERROR(VLOOKUP($A165,MBasketball!$C:$J,M$1-2006,FALSE),0)+IFERROR(VLOOKUP($A165,MFootball!$C:$O,M$1-2011,FALSE),0)+IFERROR(VLOOKUP($A165,MIceHockey!$C:$P,M$1-2011,FALSE),0)+IFERROR(VLOOKUP($A165,MLacrosse!$C:$O,M$1-2011,FALSE),0)+IFERROR(VLOOKUP($A165,MSoccer!$C:$O,M$1-2011,FALSE),0)+IFERROR(VLOOKUP($A165,MVolleyball!$C:$O,M$1-2011,FALSE),0)+IFERROR(VLOOKUP($A165,WBasketball!$C:$O,M$1-2011,FALSE),0)+IFERROR(VLOOKUP($A165,WFieldHockey!$C:$O,M$1-2011,FALSE),0)+IFERROR(VLOOKUP($A165,WIceHockey!$C:$O,M$1-2011,FALSE),0)+IFERROR(VLOOKUP($A165,WLacrosse!$C:$O,M$1-2011,FALSE),0)+IFERROR(VLOOKUP($A165,WSoccer!$C:$O,M$1-2011,FALSE),0)+IFERROR(VLOOKUP($A165,WSoftball!$C:$O,M$1-2011,FALSE),0)+IFERROR(VLOOKUP($A165,WVolleyball!$C:$O,M$1-2011,FALSE),0)</f>
        <v>414659</v>
      </c>
      <c r="N165">
        <f>IFERROR(VLOOKUP($A165,MBaseball!$C:$N,N$1-2010,FALSE),0)+IFERROR(VLOOKUP($A165,MBasketball!$C:$J,N$1-2006,FALSE),0)+IFERROR(VLOOKUP($A165,MFootball!$C:$O,N$1-2011,FALSE),0)+IFERROR(VLOOKUP($A165,MIceHockey!$C:$P,N$1-2011,FALSE),0)+IFERROR(VLOOKUP($A165,MLacrosse!$C:$O,N$1-2011,FALSE),0)+IFERROR(VLOOKUP($A165,MSoccer!$C:$O,N$1-2011,FALSE),0)+IFERROR(VLOOKUP($A165,MVolleyball!$C:$O,N$1-2011,FALSE),0)+IFERROR(VLOOKUP($A165,WBasketball!$C:$O,N$1-2011,FALSE),0)+IFERROR(VLOOKUP($A165,WFieldHockey!$C:$O,N$1-2011,FALSE),0)+IFERROR(VLOOKUP($A165,WIceHockey!$C:$O,N$1-2011,FALSE),0)+IFERROR(VLOOKUP($A165,WLacrosse!$C:$O,N$1-2011,FALSE),0)+IFERROR(VLOOKUP($A165,WSoccer!$C:$O,N$1-2011,FALSE),0)+IFERROR(VLOOKUP($A165,WSoftball!$C:$O,N$1-2011,FALSE),0)+IFERROR(VLOOKUP($A165,WVolleyball!$C:$O,N$1-2011,FALSE),0)</f>
        <v>360219</v>
      </c>
    </row>
    <row r="166" spans="1:14" x14ac:dyDescent="0.2">
      <c r="A166">
        <v>110662</v>
      </c>
      <c r="B166">
        <v>31080</v>
      </c>
      <c r="C166" t="s">
        <v>232</v>
      </c>
      <c r="D166">
        <v>165</v>
      </c>
      <c r="E166">
        <f>IFERROR(VLOOKUP($A166,MBaseball!$C:$N,E$1-2010,FALSE),0)+IFERROR(VLOOKUP($A166,MBasketball!$C:$J,E$1-2006,FALSE),0)+IFERROR(VLOOKUP($A166,MFootball!$C:$O,E$1-2011,FALSE),0)+IFERROR(VLOOKUP($A166,MIceHockey!$C:$P,E$1-2011,FALSE),0)+IFERROR(VLOOKUP($A166,MLacrosse!$C:$O,E$1-2011,FALSE),0)+IFERROR(VLOOKUP($A166,MSoccer!$C:$O,E$1-2011,FALSE),0)+IFERROR(VLOOKUP($A166,MVolleyball!$C:$O,E$1-2011,FALSE),0)+IFERROR(VLOOKUP($A166,WBasketball!$C:$O,E$1-2011,FALSE),0)+IFERROR(VLOOKUP($A166,WFieldHockey!$C:$O,E$1-2011,FALSE),0)+IFERROR(VLOOKUP($A166,WIceHockey!$C:$O,E$1-2011,FALSE),0)+IFERROR(VLOOKUP($A166,WLacrosse!$C:$O,E$1-2011,FALSE),0)+IFERROR(VLOOKUP($A166,WSoccer!$C:$O,E$1-2011,FALSE),0)+IFERROR(VLOOKUP($A166,WSoftball!$C:$O,E$1-2011,FALSE),0)+IFERROR(VLOOKUP($A166,WVolleyball!$C:$O,E$1-2011,FALSE),0)</f>
        <v>266027</v>
      </c>
      <c r="F166">
        <f>IFERROR(VLOOKUP($A166,MBaseball!$C:$N,F$1-2010,FALSE),0)+IFERROR(VLOOKUP($A166,MBasketball!$C:$J,F$1-2006,FALSE),0)+IFERROR(VLOOKUP($A166,MFootball!$C:$O,F$1-2011,FALSE),0)+IFERROR(VLOOKUP($A166,MIceHockey!$C:$P,F$1-2011,FALSE),0)+IFERROR(VLOOKUP($A166,MLacrosse!$C:$O,F$1-2011,FALSE),0)+IFERROR(VLOOKUP($A166,MSoccer!$C:$O,F$1-2011,FALSE),0)+IFERROR(VLOOKUP($A166,MVolleyball!$C:$O,F$1-2011,FALSE),0)+IFERROR(VLOOKUP($A166,WBasketball!$C:$O,F$1-2011,FALSE),0)+IFERROR(VLOOKUP($A166,WFieldHockey!$C:$O,F$1-2011,FALSE),0)+IFERROR(VLOOKUP($A166,WIceHockey!$C:$O,F$1-2011,FALSE),0)+IFERROR(VLOOKUP($A166,WLacrosse!$C:$O,F$1-2011,FALSE),0)+IFERROR(VLOOKUP($A166,WSoccer!$C:$O,F$1-2011,FALSE),0)+IFERROR(VLOOKUP($A166,WSoftball!$C:$O,F$1-2011,FALSE),0)+IFERROR(VLOOKUP($A166,WVolleyball!$C:$O,F$1-2011,FALSE),0)</f>
        <v>590081</v>
      </c>
      <c r="G166">
        <f>IFERROR(VLOOKUP($A166,MBaseball!$C:$N,G$1-2010,FALSE),0)+IFERROR(VLOOKUP($A166,MBasketball!$C:$J,G$1-2006,FALSE),0)+IFERROR(VLOOKUP($A166,MFootball!$C:$O,G$1-2011,FALSE),0)+IFERROR(VLOOKUP($A166,MIceHockey!$C:$P,G$1-2011,FALSE),0)+IFERROR(VLOOKUP($A166,MLacrosse!$C:$O,G$1-2011,FALSE),0)+IFERROR(VLOOKUP($A166,MSoccer!$C:$O,G$1-2011,FALSE),0)+IFERROR(VLOOKUP($A166,MVolleyball!$C:$O,G$1-2011,FALSE),0)+IFERROR(VLOOKUP($A166,WBasketball!$C:$O,G$1-2011,FALSE),0)+IFERROR(VLOOKUP($A166,WFieldHockey!$C:$O,G$1-2011,FALSE),0)+IFERROR(VLOOKUP($A166,WIceHockey!$C:$O,G$1-2011,FALSE),0)+IFERROR(VLOOKUP($A166,WLacrosse!$C:$O,G$1-2011,FALSE),0)+IFERROR(VLOOKUP($A166,WSoccer!$C:$O,G$1-2011,FALSE),0)+IFERROR(VLOOKUP($A166,WSoftball!$C:$O,G$1-2011,FALSE),0)+IFERROR(VLOOKUP($A166,WVolleyball!$C:$O,G$1-2011,FALSE),0)</f>
        <v>557160</v>
      </c>
      <c r="H166">
        <f>IFERROR(VLOOKUP($A166,MBaseball!$C:$N,H$1-2010,FALSE),0)+IFERROR(VLOOKUP($A166,MBasketball!$C:$J,H$1-2006,FALSE),0)+IFERROR(VLOOKUP($A166,MFootball!$C:$O,H$1-2011,FALSE),0)+IFERROR(VLOOKUP($A166,MIceHockey!$C:$P,H$1-2011,FALSE),0)+IFERROR(VLOOKUP($A166,MLacrosse!$C:$O,H$1-2011,FALSE),0)+IFERROR(VLOOKUP($A166,MSoccer!$C:$O,H$1-2011,FALSE),0)+IFERROR(VLOOKUP($A166,MVolleyball!$C:$O,H$1-2011,FALSE),0)+IFERROR(VLOOKUP($A166,WBasketball!$C:$O,H$1-2011,FALSE),0)+IFERROR(VLOOKUP($A166,WFieldHockey!$C:$O,H$1-2011,FALSE),0)+IFERROR(VLOOKUP($A166,WIceHockey!$C:$O,H$1-2011,FALSE),0)+IFERROR(VLOOKUP($A166,WLacrosse!$C:$O,H$1-2011,FALSE),0)+IFERROR(VLOOKUP($A166,WSoccer!$C:$O,H$1-2011,FALSE),0)+IFERROR(VLOOKUP($A166,WSoftball!$C:$O,H$1-2011,FALSE),0)+IFERROR(VLOOKUP($A166,WVolleyball!$C:$O,H$1-2011,FALSE),0)</f>
        <v>558726</v>
      </c>
      <c r="I166">
        <f>IFERROR(VLOOKUP($A166,MBaseball!$C:$N,I$1-2010,FALSE),0)+IFERROR(VLOOKUP($A166,MBasketball!$C:$J,I$1-2006,FALSE),0)+IFERROR(VLOOKUP($A166,MFootball!$C:$O,I$1-2011,FALSE),0)+IFERROR(VLOOKUP($A166,MIceHockey!$C:$P,I$1-2011,FALSE),0)+IFERROR(VLOOKUP($A166,MLacrosse!$C:$O,I$1-2011,FALSE),0)+IFERROR(VLOOKUP($A166,MSoccer!$C:$O,I$1-2011,FALSE),0)+IFERROR(VLOOKUP($A166,MVolleyball!$C:$O,I$1-2011,FALSE),0)+IFERROR(VLOOKUP($A166,WBasketball!$C:$O,I$1-2011,FALSE),0)+IFERROR(VLOOKUP($A166,WFieldHockey!$C:$O,I$1-2011,FALSE),0)+IFERROR(VLOOKUP($A166,WIceHockey!$C:$O,I$1-2011,FALSE),0)+IFERROR(VLOOKUP($A166,WLacrosse!$C:$O,I$1-2011,FALSE),0)+IFERROR(VLOOKUP($A166,WSoccer!$C:$O,I$1-2011,FALSE),0)+IFERROR(VLOOKUP($A166,WSoftball!$C:$O,I$1-2011,FALSE),0)+IFERROR(VLOOKUP($A166,WVolleyball!$C:$O,I$1-2011,FALSE),0)</f>
        <v>570316</v>
      </c>
      <c r="J166">
        <f>IFERROR(VLOOKUP($A166,MBaseball!$C:$N,J$1-2010,FALSE),0)+IFERROR(VLOOKUP($A166,MBasketball!$C:$J,J$1-2006,FALSE),0)+IFERROR(VLOOKUP($A166,MFootball!$C:$O,J$1-2011,FALSE),0)+IFERROR(VLOOKUP($A166,MIceHockey!$C:$P,J$1-2011,FALSE),0)+IFERROR(VLOOKUP($A166,MLacrosse!$C:$O,J$1-2011,FALSE),0)+IFERROR(VLOOKUP($A166,MSoccer!$C:$O,J$1-2011,FALSE),0)+IFERROR(VLOOKUP($A166,MVolleyball!$C:$O,J$1-2011,FALSE),0)+IFERROR(VLOOKUP($A166,WBasketball!$C:$O,J$1-2011,FALSE),0)+IFERROR(VLOOKUP($A166,WFieldHockey!$C:$O,J$1-2011,FALSE),0)+IFERROR(VLOOKUP($A166,WIceHockey!$C:$O,J$1-2011,FALSE),0)+IFERROR(VLOOKUP($A166,WLacrosse!$C:$O,J$1-2011,FALSE),0)+IFERROR(VLOOKUP($A166,WSoccer!$C:$O,J$1-2011,FALSE),0)+IFERROR(VLOOKUP($A166,WSoftball!$C:$O,J$1-2011,FALSE),0)+IFERROR(VLOOKUP($A166,WVolleyball!$C:$O,J$1-2011,FALSE),0)</f>
        <v>494095</v>
      </c>
      <c r="K166">
        <f>IFERROR(VLOOKUP($A166,MBaseball!$C:$N,K$1-2010,FALSE),0)+IFERROR(VLOOKUP($A166,MBasketball!$C:$J,K$1-2006,FALSE),0)+IFERROR(VLOOKUP($A166,MFootball!$C:$O,K$1-2011,FALSE),0)+IFERROR(VLOOKUP($A166,MIceHockey!$C:$P,K$1-2011,FALSE),0)+IFERROR(VLOOKUP($A166,MLacrosse!$C:$O,K$1-2011,FALSE),0)+IFERROR(VLOOKUP($A166,MSoccer!$C:$O,K$1-2011,FALSE),0)+IFERROR(VLOOKUP($A166,MVolleyball!$C:$O,K$1-2011,FALSE),0)+IFERROR(VLOOKUP($A166,WBasketball!$C:$O,K$1-2011,FALSE),0)+IFERROR(VLOOKUP($A166,WFieldHockey!$C:$O,K$1-2011,FALSE),0)+IFERROR(VLOOKUP($A166,WIceHockey!$C:$O,K$1-2011,FALSE),0)+IFERROR(VLOOKUP($A166,WLacrosse!$C:$O,K$1-2011,FALSE),0)+IFERROR(VLOOKUP($A166,WSoccer!$C:$O,K$1-2011,FALSE),0)+IFERROR(VLOOKUP($A166,WSoftball!$C:$O,K$1-2011,FALSE),0)+IFERROR(VLOOKUP($A166,WVolleyball!$C:$O,K$1-2011,FALSE),0)</f>
        <v>345203</v>
      </c>
      <c r="L166">
        <f>IFERROR(VLOOKUP($A166,MBaseball!$C:$N,L$1-2010,FALSE),0)+IFERROR(VLOOKUP($A166,MBasketball!$C:$J,L$1-2006,FALSE),0)+IFERROR(VLOOKUP($A166,MFootball!$C:$O,L$1-2011,FALSE),0)+IFERROR(VLOOKUP($A166,MIceHockey!$C:$P,L$1-2011,FALSE),0)+IFERROR(VLOOKUP($A166,MLacrosse!$C:$O,L$1-2011,FALSE),0)+IFERROR(VLOOKUP($A166,MSoccer!$C:$O,L$1-2011,FALSE),0)+IFERROR(VLOOKUP($A166,MVolleyball!$C:$O,L$1-2011,FALSE),0)+IFERROR(VLOOKUP($A166,WBasketball!$C:$O,L$1-2011,FALSE),0)+IFERROR(VLOOKUP($A166,WFieldHockey!$C:$O,L$1-2011,FALSE),0)+IFERROR(VLOOKUP($A166,WIceHockey!$C:$O,L$1-2011,FALSE),0)+IFERROR(VLOOKUP($A166,WLacrosse!$C:$O,L$1-2011,FALSE),0)+IFERROR(VLOOKUP($A166,WSoccer!$C:$O,L$1-2011,FALSE),0)+IFERROR(VLOOKUP($A166,WSoftball!$C:$O,L$1-2011,FALSE),0)+IFERROR(VLOOKUP($A166,WVolleyball!$C:$O,L$1-2011,FALSE),0)</f>
        <v>25939</v>
      </c>
      <c r="M166">
        <f>IFERROR(VLOOKUP($A166,MBaseball!$C:$N,M$1-2010,FALSE),0)+IFERROR(VLOOKUP($A166,MBasketball!$C:$J,M$1-2006,FALSE),0)+IFERROR(VLOOKUP($A166,MFootball!$C:$O,M$1-2011,FALSE),0)+IFERROR(VLOOKUP($A166,MIceHockey!$C:$P,M$1-2011,FALSE),0)+IFERROR(VLOOKUP($A166,MLacrosse!$C:$O,M$1-2011,FALSE),0)+IFERROR(VLOOKUP($A166,MSoccer!$C:$O,M$1-2011,FALSE),0)+IFERROR(VLOOKUP($A166,MVolleyball!$C:$O,M$1-2011,FALSE),0)+IFERROR(VLOOKUP($A166,WBasketball!$C:$O,M$1-2011,FALSE),0)+IFERROR(VLOOKUP($A166,WFieldHockey!$C:$O,M$1-2011,FALSE),0)+IFERROR(VLOOKUP($A166,WIceHockey!$C:$O,M$1-2011,FALSE),0)+IFERROR(VLOOKUP($A166,WLacrosse!$C:$O,M$1-2011,FALSE),0)+IFERROR(VLOOKUP($A166,WSoccer!$C:$O,M$1-2011,FALSE),0)+IFERROR(VLOOKUP($A166,WSoftball!$C:$O,M$1-2011,FALSE),0)+IFERROR(VLOOKUP($A166,WVolleyball!$C:$O,M$1-2011,FALSE),0)</f>
        <v>440784</v>
      </c>
      <c r="N166">
        <f>IFERROR(VLOOKUP($A166,MBaseball!$C:$N,N$1-2010,FALSE),0)+IFERROR(VLOOKUP($A166,MBasketball!$C:$J,N$1-2006,FALSE),0)+IFERROR(VLOOKUP($A166,MFootball!$C:$O,N$1-2011,FALSE),0)+IFERROR(VLOOKUP($A166,MIceHockey!$C:$P,N$1-2011,FALSE),0)+IFERROR(VLOOKUP($A166,MLacrosse!$C:$O,N$1-2011,FALSE),0)+IFERROR(VLOOKUP($A166,MSoccer!$C:$O,N$1-2011,FALSE),0)+IFERROR(VLOOKUP($A166,MVolleyball!$C:$O,N$1-2011,FALSE),0)+IFERROR(VLOOKUP($A166,WBasketball!$C:$O,N$1-2011,FALSE),0)+IFERROR(VLOOKUP($A166,WFieldHockey!$C:$O,N$1-2011,FALSE),0)+IFERROR(VLOOKUP($A166,WIceHockey!$C:$O,N$1-2011,FALSE),0)+IFERROR(VLOOKUP($A166,WLacrosse!$C:$O,N$1-2011,FALSE),0)+IFERROR(VLOOKUP($A166,WSoccer!$C:$O,N$1-2011,FALSE),0)+IFERROR(VLOOKUP($A166,WSoftball!$C:$O,N$1-2011,FALSE),0)+IFERROR(VLOOKUP($A166,WVolleyball!$C:$O,N$1-2011,FALSE),0)</f>
        <v>482813</v>
      </c>
    </row>
    <row r="167" spans="1:14" x14ac:dyDescent="0.2">
      <c r="A167">
        <v>182281</v>
      </c>
      <c r="B167">
        <v>29820</v>
      </c>
      <c r="C167" t="s">
        <v>233</v>
      </c>
      <c r="D167">
        <v>166</v>
      </c>
      <c r="E167">
        <f>IFERROR(VLOOKUP($A167,MBaseball!$C:$N,E$1-2010,FALSE),0)+IFERROR(VLOOKUP($A167,MBasketball!$C:$J,E$1-2006,FALSE),0)+IFERROR(VLOOKUP($A167,MFootball!$C:$O,E$1-2011,FALSE),0)+IFERROR(VLOOKUP($A167,MIceHockey!$C:$P,E$1-2011,FALSE),0)+IFERROR(VLOOKUP($A167,MLacrosse!$C:$O,E$1-2011,FALSE),0)+IFERROR(VLOOKUP($A167,MSoccer!$C:$O,E$1-2011,FALSE),0)+IFERROR(VLOOKUP($A167,MVolleyball!$C:$O,E$1-2011,FALSE),0)+IFERROR(VLOOKUP($A167,WBasketball!$C:$O,E$1-2011,FALSE),0)+IFERROR(VLOOKUP($A167,WFieldHockey!$C:$O,E$1-2011,FALSE),0)+IFERROR(VLOOKUP($A167,WIceHockey!$C:$O,E$1-2011,FALSE),0)+IFERROR(VLOOKUP($A167,WLacrosse!$C:$O,E$1-2011,FALSE),0)+IFERROR(VLOOKUP($A167,WSoccer!$C:$O,E$1-2011,FALSE),0)+IFERROR(VLOOKUP($A167,WSoftball!$C:$O,E$1-2011,FALSE),0)+IFERROR(VLOOKUP($A167,WVolleyball!$C:$O,E$1-2011,FALSE),0)</f>
        <v>209525</v>
      </c>
      <c r="F167">
        <f>IFERROR(VLOOKUP($A167,MBaseball!$C:$N,F$1-2010,FALSE),0)+IFERROR(VLOOKUP($A167,MBasketball!$C:$J,F$1-2006,FALSE),0)+IFERROR(VLOOKUP($A167,MFootball!$C:$O,F$1-2011,FALSE),0)+IFERROR(VLOOKUP($A167,MIceHockey!$C:$P,F$1-2011,FALSE),0)+IFERROR(VLOOKUP($A167,MLacrosse!$C:$O,F$1-2011,FALSE),0)+IFERROR(VLOOKUP($A167,MSoccer!$C:$O,F$1-2011,FALSE),0)+IFERROR(VLOOKUP($A167,MVolleyball!$C:$O,F$1-2011,FALSE),0)+IFERROR(VLOOKUP($A167,WBasketball!$C:$O,F$1-2011,FALSE),0)+IFERROR(VLOOKUP($A167,WFieldHockey!$C:$O,F$1-2011,FALSE),0)+IFERROR(VLOOKUP($A167,WIceHockey!$C:$O,F$1-2011,FALSE),0)+IFERROR(VLOOKUP($A167,WLacrosse!$C:$O,F$1-2011,FALSE),0)+IFERROR(VLOOKUP($A167,WSoccer!$C:$O,F$1-2011,FALSE),0)+IFERROR(VLOOKUP($A167,WSoftball!$C:$O,F$1-2011,FALSE),0)+IFERROR(VLOOKUP($A167,WVolleyball!$C:$O,F$1-2011,FALSE),0)</f>
        <v>144088</v>
      </c>
      <c r="G167">
        <f>IFERROR(VLOOKUP($A167,MBaseball!$C:$N,G$1-2010,FALSE),0)+IFERROR(VLOOKUP($A167,MBasketball!$C:$J,G$1-2006,FALSE),0)+IFERROR(VLOOKUP($A167,MFootball!$C:$O,G$1-2011,FALSE),0)+IFERROR(VLOOKUP($A167,MIceHockey!$C:$P,G$1-2011,FALSE),0)+IFERROR(VLOOKUP($A167,MLacrosse!$C:$O,G$1-2011,FALSE),0)+IFERROR(VLOOKUP($A167,MSoccer!$C:$O,G$1-2011,FALSE),0)+IFERROR(VLOOKUP($A167,MVolleyball!$C:$O,G$1-2011,FALSE),0)+IFERROR(VLOOKUP($A167,WBasketball!$C:$O,G$1-2011,FALSE),0)+IFERROR(VLOOKUP($A167,WFieldHockey!$C:$O,G$1-2011,FALSE),0)+IFERROR(VLOOKUP($A167,WIceHockey!$C:$O,G$1-2011,FALSE),0)+IFERROR(VLOOKUP($A167,WLacrosse!$C:$O,G$1-2011,FALSE),0)+IFERROR(VLOOKUP($A167,WSoccer!$C:$O,G$1-2011,FALSE),0)+IFERROR(VLOOKUP($A167,WSoftball!$C:$O,G$1-2011,FALSE),0)+IFERROR(VLOOKUP($A167,WVolleyball!$C:$O,G$1-2011,FALSE),0)</f>
        <v>188613</v>
      </c>
      <c r="H167">
        <f>IFERROR(VLOOKUP($A167,MBaseball!$C:$N,H$1-2010,FALSE),0)+IFERROR(VLOOKUP($A167,MBasketball!$C:$J,H$1-2006,FALSE),0)+IFERROR(VLOOKUP($A167,MFootball!$C:$O,H$1-2011,FALSE),0)+IFERROR(VLOOKUP($A167,MIceHockey!$C:$P,H$1-2011,FALSE),0)+IFERROR(VLOOKUP($A167,MLacrosse!$C:$O,H$1-2011,FALSE),0)+IFERROR(VLOOKUP($A167,MSoccer!$C:$O,H$1-2011,FALSE),0)+IFERROR(VLOOKUP($A167,MVolleyball!$C:$O,H$1-2011,FALSE),0)+IFERROR(VLOOKUP($A167,WBasketball!$C:$O,H$1-2011,FALSE),0)+IFERROR(VLOOKUP($A167,WFieldHockey!$C:$O,H$1-2011,FALSE),0)+IFERROR(VLOOKUP($A167,WIceHockey!$C:$O,H$1-2011,FALSE),0)+IFERROR(VLOOKUP($A167,WLacrosse!$C:$O,H$1-2011,FALSE),0)+IFERROR(VLOOKUP($A167,WSoccer!$C:$O,H$1-2011,FALSE),0)+IFERROR(VLOOKUP($A167,WSoftball!$C:$O,H$1-2011,FALSE),0)+IFERROR(VLOOKUP($A167,WVolleyball!$C:$O,H$1-2011,FALSE),0)</f>
        <v>177349</v>
      </c>
      <c r="I167">
        <f>IFERROR(VLOOKUP($A167,MBaseball!$C:$N,I$1-2010,FALSE),0)+IFERROR(VLOOKUP($A167,MBasketball!$C:$J,I$1-2006,FALSE),0)+IFERROR(VLOOKUP($A167,MFootball!$C:$O,I$1-2011,FALSE),0)+IFERROR(VLOOKUP($A167,MIceHockey!$C:$P,I$1-2011,FALSE),0)+IFERROR(VLOOKUP($A167,MLacrosse!$C:$O,I$1-2011,FALSE),0)+IFERROR(VLOOKUP($A167,MSoccer!$C:$O,I$1-2011,FALSE),0)+IFERROR(VLOOKUP($A167,MVolleyball!$C:$O,I$1-2011,FALSE),0)+IFERROR(VLOOKUP($A167,WBasketball!$C:$O,I$1-2011,FALSE),0)+IFERROR(VLOOKUP($A167,WFieldHockey!$C:$O,I$1-2011,FALSE),0)+IFERROR(VLOOKUP($A167,WIceHockey!$C:$O,I$1-2011,FALSE),0)+IFERROR(VLOOKUP($A167,WLacrosse!$C:$O,I$1-2011,FALSE),0)+IFERROR(VLOOKUP($A167,WSoccer!$C:$O,I$1-2011,FALSE),0)+IFERROR(VLOOKUP($A167,WSoftball!$C:$O,I$1-2011,FALSE),0)+IFERROR(VLOOKUP($A167,WVolleyball!$C:$O,I$1-2011,FALSE),0)</f>
        <v>167023</v>
      </c>
      <c r="J167">
        <f>IFERROR(VLOOKUP($A167,MBaseball!$C:$N,J$1-2010,FALSE),0)+IFERROR(VLOOKUP($A167,MBasketball!$C:$J,J$1-2006,FALSE),0)+IFERROR(VLOOKUP($A167,MFootball!$C:$O,J$1-2011,FALSE),0)+IFERROR(VLOOKUP($A167,MIceHockey!$C:$P,J$1-2011,FALSE),0)+IFERROR(VLOOKUP($A167,MLacrosse!$C:$O,J$1-2011,FALSE),0)+IFERROR(VLOOKUP($A167,MSoccer!$C:$O,J$1-2011,FALSE),0)+IFERROR(VLOOKUP($A167,MVolleyball!$C:$O,J$1-2011,FALSE),0)+IFERROR(VLOOKUP($A167,WBasketball!$C:$O,J$1-2011,FALSE),0)+IFERROR(VLOOKUP($A167,WFieldHockey!$C:$O,J$1-2011,FALSE),0)+IFERROR(VLOOKUP($A167,WIceHockey!$C:$O,J$1-2011,FALSE),0)+IFERROR(VLOOKUP($A167,WLacrosse!$C:$O,J$1-2011,FALSE),0)+IFERROR(VLOOKUP($A167,WSoccer!$C:$O,J$1-2011,FALSE),0)+IFERROR(VLOOKUP($A167,WSoftball!$C:$O,J$1-2011,FALSE),0)+IFERROR(VLOOKUP($A167,WVolleyball!$C:$O,J$1-2011,FALSE),0)</f>
        <v>155271</v>
      </c>
      <c r="K167">
        <f>IFERROR(VLOOKUP($A167,MBaseball!$C:$N,K$1-2010,FALSE),0)+IFERROR(VLOOKUP($A167,MBasketball!$C:$J,K$1-2006,FALSE),0)+IFERROR(VLOOKUP($A167,MFootball!$C:$O,K$1-2011,FALSE),0)+IFERROR(VLOOKUP($A167,MIceHockey!$C:$P,K$1-2011,FALSE),0)+IFERROR(VLOOKUP($A167,MLacrosse!$C:$O,K$1-2011,FALSE),0)+IFERROR(VLOOKUP($A167,MSoccer!$C:$O,K$1-2011,FALSE),0)+IFERROR(VLOOKUP($A167,MVolleyball!$C:$O,K$1-2011,FALSE),0)+IFERROR(VLOOKUP($A167,WBasketball!$C:$O,K$1-2011,FALSE),0)+IFERROR(VLOOKUP($A167,WFieldHockey!$C:$O,K$1-2011,FALSE),0)+IFERROR(VLOOKUP($A167,WIceHockey!$C:$O,K$1-2011,FALSE),0)+IFERROR(VLOOKUP($A167,WLacrosse!$C:$O,K$1-2011,FALSE),0)+IFERROR(VLOOKUP($A167,WSoccer!$C:$O,K$1-2011,FALSE),0)+IFERROR(VLOOKUP($A167,WSoftball!$C:$O,K$1-2011,FALSE),0)+IFERROR(VLOOKUP($A167,WVolleyball!$C:$O,K$1-2011,FALSE),0)</f>
        <v>150357</v>
      </c>
      <c r="L167">
        <f>IFERROR(VLOOKUP($A167,MBaseball!$C:$N,L$1-2010,FALSE),0)+IFERROR(VLOOKUP($A167,MBasketball!$C:$J,L$1-2006,FALSE),0)+IFERROR(VLOOKUP($A167,MFootball!$C:$O,L$1-2011,FALSE),0)+IFERROR(VLOOKUP($A167,MIceHockey!$C:$P,L$1-2011,FALSE),0)+IFERROR(VLOOKUP($A167,MLacrosse!$C:$O,L$1-2011,FALSE),0)+IFERROR(VLOOKUP($A167,MSoccer!$C:$O,L$1-2011,FALSE),0)+IFERROR(VLOOKUP($A167,MVolleyball!$C:$O,L$1-2011,FALSE),0)+IFERROR(VLOOKUP($A167,WBasketball!$C:$O,L$1-2011,FALSE),0)+IFERROR(VLOOKUP($A167,WFieldHockey!$C:$O,L$1-2011,FALSE),0)+IFERROR(VLOOKUP($A167,WIceHockey!$C:$O,L$1-2011,FALSE),0)+IFERROR(VLOOKUP($A167,WLacrosse!$C:$O,L$1-2011,FALSE),0)+IFERROR(VLOOKUP($A167,WSoccer!$C:$O,L$1-2011,FALSE),0)+IFERROR(VLOOKUP($A167,WSoftball!$C:$O,L$1-2011,FALSE),0)+IFERROR(VLOOKUP($A167,WVolleyball!$C:$O,L$1-2011,FALSE),0)</f>
        <v>19521</v>
      </c>
      <c r="M167">
        <f>IFERROR(VLOOKUP($A167,MBaseball!$C:$N,M$1-2010,FALSE),0)+IFERROR(VLOOKUP($A167,MBasketball!$C:$J,M$1-2006,FALSE),0)+IFERROR(VLOOKUP($A167,MFootball!$C:$O,M$1-2011,FALSE),0)+IFERROR(VLOOKUP($A167,MIceHockey!$C:$P,M$1-2011,FALSE),0)+IFERROR(VLOOKUP($A167,MLacrosse!$C:$O,M$1-2011,FALSE),0)+IFERROR(VLOOKUP($A167,MSoccer!$C:$O,M$1-2011,FALSE),0)+IFERROR(VLOOKUP($A167,MVolleyball!$C:$O,M$1-2011,FALSE),0)+IFERROR(VLOOKUP($A167,WBasketball!$C:$O,M$1-2011,FALSE),0)+IFERROR(VLOOKUP($A167,WFieldHockey!$C:$O,M$1-2011,FALSE),0)+IFERROR(VLOOKUP($A167,WIceHockey!$C:$O,M$1-2011,FALSE),0)+IFERROR(VLOOKUP($A167,WLacrosse!$C:$O,M$1-2011,FALSE),0)+IFERROR(VLOOKUP($A167,WSoccer!$C:$O,M$1-2011,FALSE),0)+IFERROR(VLOOKUP($A167,WSoftball!$C:$O,M$1-2011,FALSE),0)+IFERROR(VLOOKUP($A167,WVolleyball!$C:$O,M$1-2011,FALSE),0)</f>
        <v>199177</v>
      </c>
      <c r="N167">
        <f>IFERROR(VLOOKUP($A167,MBaseball!$C:$N,N$1-2010,FALSE),0)+IFERROR(VLOOKUP($A167,MBasketball!$C:$J,N$1-2006,FALSE),0)+IFERROR(VLOOKUP($A167,MFootball!$C:$O,N$1-2011,FALSE),0)+IFERROR(VLOOKUP($A167,MIceHockey!$C:$P,N$1-2011,FALSE),0)+IFERROR(VLOOKUP($A167,MLacrosse!$C:$O,N$1-2011,FALSE),0)+IFERROR(VLOOKUP($A167,MSoccer!$C:$O,N$1-2011,FALSE),0)+IFERROR(VLOOKUP($A167,MVolleyball!$C:$O,N$1-2011,FALSE),0)+IFERROR(VLOOKUP($A167,WBasketball!$C:$O,N$1-2011,FALSE),0)+IFERROR(VLOOKUP($A167,WFieldHockey!$C:$O,N$1-2011,FALSE),0)+IFERROR(VLOOKUP($A167,WIceHockey!$C:$O,N$1-2011,FALSE),0)+IFERROR(VLOOKUP($A167,WLacrosse!$C:$O,N$1-2011,FALSE),0)+IFERROR(VLOOKUP($A167,WSoccer!$C:$O,N$1-2011,FALSE),0)+IFERROR(VLOOKUP($A167,WSoftball!$C:$O,N$1-2011,FALSE),0)+IFERROR(VLOOKUP($A167,WVolleyball!$C:$O,N$1-2011,FALSE),0)</f>
        <v>244030</v>
      </c>
    </row>
    <row r="168" spans="1:14" x14ac:dyDescent="0.2">
      <c r="A168">
        <v>230764</v>
      </c>
      <c r="B168">
        <v>41620</v>
      </c>
      <c r="C168" t="s">
        <v>234</v>
      </c>
      <c r="D168">
        <v>167</v>
      </c>
      <c r="E168">
        <f>IFERROR(VLOOKUP($A168,MBaseball!$C:$N,E$1-2010,FALSE),0)+IFERROR(VLOOKUP($A168,MBasketball!$C:$J,E$1-2006,FALSE),0)+IFERROR(VLOOKUP($A168,MFootball!$C:$O,E$1-2011,FALSE),0)+IFERROR(VLOOKUP($A168,MIceHockey!$C:$P,E$1-2011,FALSE),0)+IFERROR(VLOOKUP($A168,MLacrosse!$C:$O,E$1-2011,FALSE),0)+IFERROR(VLOOKUP($A168,MSoccer!$C:$O,E$1-2011,FALSE),0)+IFERROR(VLOOKUP($A168,MVolleyball!$C:$O,E$1-2011,FALSE),0)+IFERROR(VLOOKUP($A168,WBasketball!$C:$O,E$1-2011,FALSE),0)+IFERROR(VLOOKUP($A168,WFieldHockey!$C:$O,E$1-2011,FALSE),0)+IFERROR(VLOOKUP($A168,WIceHockey!$C:$O,E$1-2011,FALSE),0)+IFERROR(VLOOKUP($A168,WLacrosse!$C:$O,E$1-2011,FALSE),0)+IFERROR(VLOOKUP($A168,WSoccer!$C:$O,E$1-2011,FALSE),0)+IFERROR(VLOOKUP($A168,WSoftball!$C:$O,E$1-2011,FALSE),0)+IFERROR(VLOOKUP($A168,WVolleyball!$C:$O,E$1-2011,FALSE),0)</f>
        <v>232840</v>
      </c>
      <c r="F168">
        <f>IFERROR(VLOOKUP($A168,MBaseball!$C:$N,F$1-2010,FALSE),0)+IFERROR(VLOOKUP($A168,MBasketball!$C:$J,F$1-2006,FALSE),0)+IFERROR(VLOOKUP($A168,MFootball!$C:$O,F$1-2011,FALSE),0)+IFERROR(VLOOKUP($A168,MIceHockey!$C:$P,F$1-2011,FALSE),0)+IFERROR(VLOOKUP($A168,MLacrosse!$C:$O,F$1-2011,FALSE),0)+IFERROR(VLOOKUP($A168,MSoccer!$C:$O,F$1-2011,FALSE),0)+IFERROR(VLOOKUP($A168,MVolleyball!$C:$O,F$1-2011,FALSE),0)+IFERROR(VLOOKUP($A168,WBasketball!$C:$O,F$1-2011,FALSE),0)+IFERROR(VLOOKUP($A168,WFieldHockey!$C:$O,F$1-2011,FALSE),0)+IFERROR(VLOOKUP($A168,WIceHockey!$C:$O,F$1-2011,FALSE),0)+IFERROR(VLOOKUP($A168,WLacrosse!$C:$O,F$1-2011,FALSE),0)+IFERROR(VLOOKUP($A168,WSoccer!$C:$O,F$1-2011,FALSE),0)+IFERROR(VLOOKUP($A168,WSoftball!$C:$O,F$1-2011,FALSE),0)+IFERROR(VLOOKUP($A168,WVolleyball!$C:$O,F$1-2011,FALSE),0)</f>
        <v>353028</v>
      </c>
      <c r="G168">
        <f>IFERROR(VLOOKUP($A168,MBaseball!$C:$N,G$1-2010,FALSE),0)+IFERROR(VLOOKUP($A168,MBasketball!$C:$J,G$1-2006,FALSE),0)+IFERROR(VLOOKUP($A168,MFootball!$C:$O,G$1-2011,FALSE),0)+IFERROR(VLOOKUP($A168,MIceHockey!$C:$P,G$1-2011,FALSE),0)+IFERROR(VLOOKUP($A168,MLacrosse!$C:$O,G$1-2011,FALSE),0)+IFERROR(VLOOKUP($A168,MSoccer!$C:$O,G$1-2011,FALSE),0)+IFERROR(VLOOKUP($A168,MVolleyball!$C:$O,G$1-2011,FALSE),0)+IFERROR(VLOOKUP($A168,WBasketball!$C:$O,G$1-2011,FALSE),0)+IFERROR(VLOOKUP($A168,WFieldHockey!$C:$O,G$1-2011,FALSE),0)+IFERROR(VLOOKUP($A168,WIceHockey!$C:$O,G$1-2011,FALSE),0)+IFERROR(VLOOKUP($A168,WLacrosse!$C:$O,G$1-2011,FALSE),0)+IFERROR(VLOOKUP($A168,WSoccer!$C:$O,G$1-2011,FALSE),0)+IFERROR(VLOOKUP($A168,WSoftball!$C:$O,G$1-2011,FALSE),0)+IFERROR(VLOOKUP($A168,WVolleyball!$C:$O,G$1-2011,FALSE),0)</f>
        <v>419606</v>
      </c>
      <c r="H168">
        <f>IFERROR(VLOOKUP($A168,MBaseball!$C:$N,H$1-2010,FALSE),0)+IFERROR(VLOOKUP($A168,MBasketball!$C:$J,H$1-2006,FALSE),0)+IFERROR(VLOOKUP($A168,MFootball!$C:$O,H$1-2011,FALSE),0)+IFERROR(VLOOKUP($A168,MIceHockey!$C:$P,H$1-2011,FALSE),0)+IFERROR(VLOOKUP($A168,MLacrosse!$C:$O,H$1-2011,FALSE),0)+IFERROR(VLOOKUP($A168,MSoccer!$C:$O,H$1-2011,FALSE),0)+IFERROR(VLOOKUP($A168,MVolleyball!$C:$O,H$1-2011,FALSE),0)+IFERROR(VLOOKUP($A168,WBasketball!$C:$O,H$1-2011,FALSE),0)+IFERROR(VLOOKUP($A168,WFieldHockey!$C:$O,H$1-2011,FALSE),0)+IFERROR(VLOOKUP($A168,WIceHockey!$C:$O,H$1-2011,FALSE),0)+IFERROR(VLOOKUP($A168,WLacrosse!$C:$O,H$1-2011,FALSE),0)+IFERROR(VLOOKUP($A168,WSoccer!$C:$O,H$1-2011,FALSE),0)+IFERROR(VLOOKUP($A168,WSoftball!$C:$O,H$1-2011,FALSE),0)+IFERROR(VLOOKUP($A168,WVolleyball!$C:$O,H$1-2011,FALSE),0)</f>
        <v>394849</v>
      </c>
      <c r="I168">
        <f>IFERROR(VLOOKUP($A168,MBaseball!$C:$N,I$1-2010,FALSE),0)+IFERROR(VLOOKUP($A168,MBasketball!$C:$J,I$1-2006,FALSE),0)+IFERROR(VLOOKUP($A168,MFootball!$C:$O,I$1-2011,FALSE),0)+IFERROR(VLOOKUP($A168,MIceHockey!$C:$P,I$1-2011,FALSE),0)+IFERROR(VLOOKUP($A168,MLacrosse!$C:$O,I$1-2011,FALSE),0)+IFERROR(VLOOKUP($A168,MSoccer!$C:$O,I$1-2011,FALSE),0)+IFERROR(VLOOKUP($A168,MVolleyball!$C:$O,I$1-2011,FALSE),0)+IFERROR(VLOOKUP($A168,WBasketball!$C:$O,I$1-2011,FALSE),0)+IFERROR(VLOOKUP($A168,WFieldHockey!$C:$O,I$1-2011,FALSE),0)+IFERROR(VLOOKUP($A168,WIceHockey!$C:$O,I$1-2011,FALSE),0)+IFERROR(VLOOKUP($A168,WLacrosse!$C:$O,I$1-2011,FALSE),0)+IFERROR(VLOOKUP($A168,WSoccer!$C:$O,I$1-2011,FALSE),0)+IFERROR(VLOOKUP($A168,WSoftball!$C:$O,I$1-2011,FALSE),0)+IFERROR(VLOOKUP($A168,WVolleyball!$C:$O,I$1-2011,FALSE),0)</f>
        <v>442346</v>
      </c>
      <c r="J168">
        <f>IFERROR(VLOOKUP($A168,MBaseball!$C:$N,J$1-2010,FALSE),0)+IFERROR(VLOOKUP($A168,MBasketball!$C:$J,J$1-2006,FALSE),0)+IFERROR(VLOOKUP($A168,MFootball!$C:$O,J$1-2011,FALSE),0)+IFERROR(VLOOKUP($A168,MIceHockey!$C:$P,J$1-2011,FALSE),0)+IFERROR(VLOOKUP($A168,MLacrosse!$C:$O,J$1-2011,FALSE),0)+IFERROR(VLOOKUP($A168,MSoccer!$C:$O,J$1-2011,FALSE),0)+IFERROR(VLOOKUP($A168,MVolleyball!$C:$O,J$1-2011,FALSE),0)+IFERROR(VLOOKUP($A168,WBasketball!$C:$O,J$1-2011,FALSE),0)+IFERROR(VLOOKUP($A168,WFieldHockey!$C:$O,J$1-2011,FALSE),0)+IFERROR(VLOOKUP($A168,WIceHockey!$C:$O,J$1-2011,FALSE),0)+IFERROR(VLOOKUP($A168,WLacrosse!$C:$O,J$1-2011,FALSE),0)+IFERROR(VLOOKUP($A168,WSoccer!$C:$O,J$1-2011,FALSE),0)+IFERROR(VLOOKUP($A168,WSoftball!$C:$O,J$1-2011,FALSE),0)+IFERROR(VLOOKUP($A168,WVolleyball!$C:$O,J$1-2011,FALSE),0)</f>
        <v>392446</v>
      </c>
      <c r="K168">
        <f>IFERROR(VLOOKUP($A168,MBaseball!$C:$N,K$1-2010,FALSE),0)+IFERROR(VLOOKUP($A168,MBasketball!$C:$J,K$1-2006,FALSE),0)+IFERROR(VLOOKUP($A168,MFootball!$C:$O,K$1-2011,FALSE),0)+IFERROR(VLOOKUP($A168,MIceHockey!$C:$P,K$1-2011,FALSE),0)+IFERROR(VLOOKUP($A168,MLacrosse!$C:$O,K$1-2011,FALSE),0)+IFERROR(VLOOKUP($A168,MSoccer!$C:$O,K$1-2011,FALSE),0)+IFERROR(VLOOKUP($A168,MVolleyball!$C:$O,K$1-2011,FALSE),0)+IFERROR(VLOOKUP($A168,WBasketball!$C:$O,K$1-2011,FALSE),0)+IFERROR(VLOOKUP($A168,WFieldHockey!$C:$O,K$1-2011,FALSE),0)+IFERROR(VLOOKUP($A168,WIceHockey!$C:$O,K$1-2011,FALSE),0)+IFERROR(VLOOKUP($A168,WLacrosse!$C:$O,K$1-2011,FALSE),0)+IFERROR(VLOOKUP($A168,WSoccer!$C:$O,K$1-2011,FALSE),0)+IFERROR(VLOOKUP($A168,WSoftball!$C:$O,K$1-2011,FALSE),0)+IFERROR(VLOOKUP($A168,WVolleyball!$C:$O,K$1-2011,FALSE),0)</f>
        <v>415277</v>
      </c>
      <c r="L168">
        <f>IFERROR(VLOOKUP($A168,MBaseball!$C:$N,L$1-2010,FALSE),0)+IFERROR(VLOOKUP($A168,MBasketball!$C:$J,L$1-2006,FALSE),0)+IFERROR(VLOOKUP($A168,MFootball!$C:$O,L$1-2011,FALSE),0)+IFERROR(VLOOKUP($A168,MIceHockey!$C:$P,L$1-2011,FALSE),0)+IFERROR(VLOOKUP($A168,MLacrosse!$C:$O,L$1-2011,FALSE),0)+IFERROR(VLOOKUP($A168,MSoccer!$C:$O,L$1-2011,FALSE),0)+IFERROR(VLOOKUP($A168,MVolleyball!$C:$O,L$1-2011,FALSE),0)+IFERROR(VLOOKUP($A168,WBasketball!$C:$O,L$1-2011,FALSE),0)+IFERROR(VLOOKUP($A168,WFieldHockey!$C:$O,L$1-2011,FALSE),0)+IFERROR(VLOOKUP($A168,WIceHockey!$C:$O,L$1-2011,FALSE),0)+IFERROR(VLOOKUP($A168,WLacrosse!$C:$O,L$1-2011,FALSE),0)+IFERROR(VLOOKUP($A168,WSoccer!$C:$O,L$1-2011,FALSE),0)+IFERROR(VLOOKUP($A168,WSoftball!$C:$O,L$1-2011,FALSE),0)+IFERROR(VLOOKUP($A168,WVolleyball!$C:$O,L$1-2011,FALSE),0)</f>
        <v>33320</v>
      </c>
      <c r="M168">
        <f>IFERROR(VLOOKUP($A168,MBaseball!$C:$N,M$1-2010,FALSE),0)+IFERROR(VLOOKUP($A168,MBasketball!$C:$J,M$1-2006,FALSE),0)+IFERROR(VLOOKUP($A168,MFootball!$C:$O,M$1-2011,FALSE),0)+IFERROR(VLOOKUP($A168,MIceHockey!$C:$P,M$1-2011,FALSE),0)+IFERROR(VLOOKUP($A168,MLacrosse!$C:$O,M$1-2011,FALSE),0)+IFERROR(VLOOKUP($A168,MSoccer!$C:$O,M$1-2011,FALSE),0)+IFERROR(VLOOKUP($A168,MVolleyball!$C:$O,M$1-2011,FALSE),0)+IFERROR(VLOOKUP($A168,WBasketball!$C:$O,M$1-2011,FALSE),0)+IFERROR(VLOOKUP($A168,WFieldHockey!$C:$O,M$1-2011,FALSE),0)+IFERROR(VLOOKUP($A168,WIceHockey!$C:$O,M$1-2011,FALSE),0)+IFERROR(VLOOKUP($A168,WLacrosse!$C:$O,M$1-2011,FALSE),0)+IFERROR(VLOOKUP($A168,WSoccer!$C:$O,M$1-2011,FALSE),0)+IFERROR(VLOOKUP($A168,WSoftball!$C:$O,M$1-2011,FALSE),0)+IFERROR(VLOOKUP($A168,WVolleyball!$C:$O,M$1-2011,FALSE),0)</f>
        <v>423508</v>
      </c>
      <c r="N168">
        <f>IFERROR(VLOOKUP($A168,MBaseball!$C:$N,N$1-2010,FALSE),0)+IFERROR(VLOOKUP($A168,MBasketball!$C:$J,N$1-2006,FALSE),0)+IFERROR(VLOOKUP($A168,MFootball!$C:$O,N$1-2011,FALSE),0)+IFERROR(VLOOKUP($A168,MIceHockey!$C:$P,N$1-2011,FALSE),0)+IFERROR(VLOOKUP($A168,MLacrosse!$C:$O,N$1-2011,FALSE),0)+IFERROR(VLOOKUP($A168,MSoccer!$C:$O,N$1-2011,FALSE),0)+IFERROR(VLOOKUP($A168,MVolleyball!$C:$O,N$1-2011,FALSE),0)+IFERROR(VLOOKUP($A168,WBasketball!$C:$O,N$1-2011,FALSE),0)+IFERROR(VLOOKUP($A168,WFieldHockey!$C:$O,N$1-2011,FALSE),0)+IFERROR(VLOOKUP($A168,WIceHockey!$C:$O,N$1-2011,FALSE),0)+IFERROR(VLOOKUP($A168,WLacrosse!$C:$O,N$1-2011,FALSE),0)+IFERROR(VLOOKUP($A168,WSoccer!$C:$O,N$1-2011,FALSE),0)+IFERROR(VLOOKUP($A168,WSoftball!$C:$O,N$1-2011,FALSE),0)+IFERROR(VLOOKUP($A168,WVolleyball!$C:$O,N$1-2011,FALSE),0)</f>
        <v>436670</v>
      </c>
    </row>
    <row r="169" spans="1:14" x14ac:dyDescent="0.2">
      <c r="A169">
        <v>230728</v>
      </c>
      <c r="B169">
        <v>30860</v>
      </c>
      <c r="C169" t="s">
        <v>235</v>
      </c>
      <c r="D169">
        <v>168</v>
      </c>
      <c r="E169">
        <f>IFERROR(VLOOKUP($A169,MBaseball!$C:$N,E$1-2010,FALSE),0)+IFERROR(VLOOKUP($A169,MBasketball!$C:$J,E$1-2006,FALSE),0)+IFERROR(VLOOKUP($A169,MFootball!$C:$O,E$1-2011,FALSE),0)+IFERROR(VLOOKUP($A169,MIceHockey!$C:$P,E$1-2011,FALSE),0)+IFERROR(VLOOKUP($A169,MLacrosse!$C:$O,E$1-2011,FALSE),0)+IFERROR(VLOOKUP($A169,MSoccer!$C:$O,E$1-2011,FALSE),0)+IFERROR(VLOOKUP($A169,MVolleyball!$C:$O,E$1-2011,FALSE),0)+IFERROR(VLOOKUP($A169,WBasketball!$C:$O,E$1-2011,FALSE),0)+IFERROR(VLOOKUP($A169,WFieldHockey!$C:$O,E$1-2011,FALSE),0)+IFERROR(VLOOKUP($A169,WIceHockey!$C:$O,E$1-2011,FALSE),0)+IFERROR(VLOOKUP($A169,WLacrosse!$C:$O,E$1-2011,FALSE),0)+IFERROR(VLOOKUP($A169,WSoccer!$C:$O,E$1-2011,FALSE),0)+IFERROR(VLOOKUP($A169,WSoftball!$C:$O,E$1-2011,FALSE),0)+IFERROR(VLOOKUP($A169,WVolleyball!$C:$O,E$1-2011,FALSE),0)</f>
        <v>133637</v>
      </c>
      <c r="F169">
        <f>IFERROR(VLOOKUP($A169,MBaseball!$C:$N,F$1-2010,FALSE),0)+IFERROR(VLOOKUP($A169,MBasketball!$C:$J,F$1-2006,FALSE),0)+IFERROR(VLOOKUP($A169,MFootball!$C:$O,F$1-2011,FALSE),0)+IFERROR(VLOOKUP($A169,MIceHockey!$C:$P,F$1-2011,FALSE),0)+IFERROR(VLOOKUP($A169,MLacrosse!$C:$O,F$1-2011,FALSE),0)+IFERROR(VLOOKUP($A169,MSoccer!$C:$O,F$1-2011,FALSE),0)+IFERROR(VLOOKUP($A169,MVolleyball!$C:$O,F$1-2011,FALSE),0)+IFERROR(VLOOKUP($A169,WBasketball!$C:$O,F$1-2011,FALSE),0)+IFERROR(VLOOKUP($A169,WFieldHockey!$C:$O,F$1-2011,FALSE),0)+IFERROR(VLOOKUP($A169,WIceHockey!$C:$O,F$1-2011,FALSE),0)+IFERROR(VLOOKUP($A169,WLacrosse!$C:$O,F$1-2011,FALSE),0)+IFERROR(VLOOKUP($A169,WSoccer!$C:$O,F$1-2011,FALSE),0)+IFERROR(VLOOKUP($A169,WSoftball!$C:$O,F$1-2011,FALSE),0)+IFERROR(VLOOKUP($A169,WVolleyball!$C:$O,F$1-2011,FALSE),0)</f>
        <v>147938</v>
      </c>
      <c r="G169">
        <f>IFERROR(VLOOKUP($A169,MBaseball!$C:$N,G$1-2010,FALSE),0)+IFERROR(VLOOKUP($A169,MBasketball!$C:$J,G$1-2006,FALSE),0)+IFERROR(VLOOKUP($A169,MFootball!$C:$O,G$1-2011,FALSE),0)+IFERROR(VLOOKUP($A169,MIceHockey!$C:$P,G$1-2011,FALSE),0)+IFERROR(VLOOKUP($A169,MLacrosse!$C:$O,G$1-2011,FALSE),0)+IFERROR(VLOOKUP($A169,MSoccer!$C:$O,G$1-2011,FALSE),0)+IFERROR(VLOOKUP($A169,MVolleyball!$C:$O,G$1-2011,FALSE),0)+IFERROR(VLOOKUP($A169,WBasketball!$C:$O,G$1-2011,FALSE),0)+IFERROR(VLOOKUP($A169,WFieldHockey!$C:$O,G$1-2011,FALSE),0)+IFERROR(VLOOKUP($A169,WIceHockey!$C:$O,G$1-2011,FALSE),0)+IFERROR(VLOOKUP($A169,WLacrosse!$C:$O,G$1-2011,FALSE),0)+IFERROR(VLOOKUP($A169,WSoccer!$C:$O,G$1-2011,FALSE),0)+IFERROR(VLOOKUP($A169,WSoftball!$C:$O,G$1-2011,FALSE),0)+IFERROR(VLOOKUP($A169,WVolleyball!$C:$O,G$1-2011,FALSE),0)</f>
        <v>158610</v>
      </c>
      <c r="H169">
        <f>IFERROR(VLOOKUP($A169,MBaseball!$C:$N,H$1-2010,FALSE),0)+IFERROR(VLOOKUP($A169,MBasketball!$C:$J,H$1-2006,FALSE),0)+IFERROR(VLOOKUP($A169,MFootball!$C:$O,H$1-2011,FALSE),0)+IFERROR(VLOOKUP($A169,MIceHockey!$C:$P,H$1-2011,FALSE),0)+IFERROR(VLOOKUP($A169,MLacrosse!$C:$O,H$1-2011,FALSE),0)+IFERROR(VLOOKUP($A169,MSoccer!$C:$O,H$1-2011,FALSE),0)+IFERROR(VLOOKUP($A169,MVolleyball!$C:$O,H$1-2011,FALSE),0)+IFERROR(VLOOKUP($A169,WBasketball!$C:$O,H$1-2011,FALSE),0)+IFERROR(VLOOKUP($A169,WFieldHockey!$C:$O,H$1-2011,FALSE),0)+IFERROR(VLOOKUP($A169,WIceHockey!$C:$O,H$1-2011,FALSE),0)+IFERROR(VLOOKUP($A169,WLacrosse!$C:$O,H$1-2011,FALSE),0)+IFERROR(VLOOKUP($A169,WSoccer!$C:$O,H$1-2011,FALSE),0)+IFERROR(VLOOKUP($A169,WSoftball!$C:$O,H$1-2011,FALSE),0)+IFERROR(VLOOKUP($A169,WVolleyball!$C:$O,H$1-2011,FALSE),0)</f>
        <v>149181</v>
      </c>
      <c r="I169">
        <f>IFERROR(VLOOKUP($A169,MBaseball!$C:$N,I$1-2010,FALSE),0)+IFERROR(VLOOKUP($A169,MBasketball!$C:$J,I$1-2006,FALSE),0)+IFERROR(VLOOKUP($A169,MFootball!$C:$O,I$1-2011,FALSE),0)+IFERROR(VLOOKUP($A169,MIceHockey!$C:$P,I$1-2011,FALSE),0)+IFERROR(VLOOKUP($A169,MLacrosse!$C:$O,I$1-2011,FALSE),0)+IFERROR(VLOOKUP($A169,MSoccer!$C:$O,I$1-2011,FALSE),0)+IFERROR(VLOOKUP($A169,MVolleyball!$C:$O,I$1-2011,FALSE),0)+IFERROR(VLOOKUP($A169,WBasketball!$C:$O,I$1-2011,FALSE),0)+IFERROR(VLOOKUP($A169,WFieldHockey!$C:$O,I$1-2011,FALSE),0)+IFERROR(VLOOKUP($A169,WIceHockey!$C:$O,I$1-2011,FALSE),0)+IFERROR(VLOOKUP($A169,WLacrosse!$C:$O,I$1-2011,FALSE),0)+IFERROR(VLOOKUP($A169,WSoccer!$C:$O,I$1-2011,FALSE),0)+IFERROR(VLOOKUP($A169,WSoftball!$C:$O,I$1-2011,FALSE),0)+IFERROR(VLOOKUP($A169,WVolleyball!$C:$O,I$1-2011,FALSE),0)</f>
        <v>146148</v>
      </c>
      <c r="J169">
        <f>IFERROR(VLOOKUP($A169,MBaseball!$C:$N,J$1-2010,FALSE),0)+IFERROR(VLOOKUP($A169,MBasketball!$C:$J,J$1-2006,FALSE),0)+IFERROR(VLOOKUP($A169,MFootball!$C:$O,J$1-2011,FALSE),0)+IFERROR(VLOOKUP($A169,MIceHockey!$C:$P,J$1-2011,FALSE),0)+IFERROR(VLOOKUP($A169,MLacrosse!$C:$O,J$1-2011,FALSE),0)+IFERROR(VLOOKUP($A169,MSoccer!$C:$O,J$1-2011,FALSE),0)+IFERROR(VLOOKUP($A169,MVolleyball!$C:$O,J$1-2011,FALSE),0)+IFERROR(VLOOKUP($A169,WBasketball!$C:$O,J$1-2011,FALSE),0)+IFERROR(VLOOKUP($A169,WFieldHockey!$C:$O,J$1-2011,FALSE),0)+IFERROR(VLOOKUP($A169,WIceHockey!$C:$O,J$1-2011,FALSE),0)+IFERROR(VLOOKUP($A169,WLacrosse!$C:$O,J$1-2011,FALSE),0)+IFERROR(VLOOKUP($A169,WSoccer!$C:$O,J$1-2011,FALSE),0)+IFERROR(VLOOKUP($A169,WSoftball!$C:$O,J$1-2011,FALSE),0)+IFERROR(VLOOKUP($A169,WVolleyball!$C:$O,J$1-2011,FALSE),0)</f>
        <v>134646</v>
      </c>
      <c r="K169">
        <f>IFERROR(VLOOKUP($A169,MBaseball!$C:$N,K$1-2010,FALSE),0)+IFERROR(VLOOKUP($A169,MBasketball!$C:$J,K$1-2006,FALSE),0)+IFERROR(VLOOKUP($A169,MFootball!$C:$O,K$1-2011,FALSE),0)+IFERROR(VLOOKUP($A169,MIceHockey!$C:$P,K$1-2011,FALSE),0)+IFERROR(VLOOKUP($A169,MLacrosse!$C:$O,K$1-2011,FALSE),0)+IFERROR(VLOOKUP($A169,MSoccer!$C:$O,K$1-2011,FALSE),0)+IFERROR(VLOOKUP($A169,MVolleyball!$C:$O,K$1-2011,FALSE),0)+IFERROR(VLOOKUP($A169,WBasketball!$C:$O,K$1-2011,FALSE),0)+IFERROR(VLOOKUP($A169,WFieldHockey!$C:$O,K$1-2011,FALSE),0)+IFERROR(VLOOKUP($A169,WIceHockey!$C:$O,K$1-2011,FALSE),0)+IFERROR(VLOOKUP($A169,WLacrosse!$C:$O,K$1-2011,FALSE),0)+IFERROR(VLOOKUP($A169,WSoccer!$C:$O,K$1-2011,FALSE),0)+IFERROR(VLOOKUP($A169,WSoftball!$C:$O,K$1-2011,FALSE),0)+IFERROR(VLOOKUP($A169,WVolleyball!$C:$O,K$1-2011,FALSE),0)</f>
        <v>135066</v>
      </c>
      <c r="L169">
        <f>IFERROR(VLOOKUP($A169,MBaseball!$C:$N,L$1-2010,FALSE),0)+IFERROR(VLOOKUP($A169,MBasketball!$C:$J,L$1-2006,FALSE),0)+IFERROR(VLOOKUP($A169,MFootball!$C:$O,L$1-2011,FALSE),0)+IFERROR(VLOOKUP($A169,MIceHockey!$C:$P,L$1-2011,FALSE),0)+IFERROR(VLOOKUP($A169,MLacrosse!$C:$O,L$1-2011,FALSE),0)+IFERROR(VLOOKUP($A169,MSoccer!$C:$O,L$1-2011,FALSE),0)+IFERROR(VLOOKUP($A169,MVolleyball!$C:$O,L$1-2011,FALSE),0)+IFERROR(VLOOKUP($A169,WBasketball!$C:$O,L$1-2011,FALSE),0)+IFERROR(VLOOKUP($A169,WFieldHockey!$C:$O,L$1-2011,FALSE),0)+IFERROR(VLOOKUP($A169,WIceHockey!$C:$O,L$1-2011,FALSE),0)+IFERROR(VLOOKUP($A169,WLacrosse!$C:$O,L$1-2011,FALSE),0)+IFERROR(VLOOKUP($A169,WSoccer!$C:$O,L$1-2011,FALSE),0)+IFERROR(VLOOKUP($A169,WSoftball!$C:$O,L$1-2011,FALSE),0)+IFERROR(VLOOKUP($A169,WVolleyball!$C:$O,L$1-2011,FALSE),0)</f>
        <v>16703</v>
      </c>
      <c r="M169">
        <f>IFERROR(VLOOKUP($A169,MBaseball!$C:$N,M$1-2010,FALSE),0)+IFERROR(VLOOKUP($A169,MBasketball!$C:$J,M$1-2006,FALSE),0)+IFERROR(VLOOKUP($A169,MFootball!$C:$O,M$1-2011,FALSE),0)+IFERROR(VLOOKUP($A169,MIceHockey!$C:$P,M$1-2011,FALSE),0)+IFERROR(VLOOKUP($A169,MLacrosse!$C:$O,M$1-2011,FALSE),0)+IFERROR(VLOOKUP($A169,MSoccer!$C:$O,M$1-2011,FALSE),0)+IFERROR(VLOOKUP($A169,MVolleyball!$C:$O,M$1-2011,FALSE),0)+IFERROR(VLOOKUP($A169,WBasketball!$C:$O,M$1-2011,FALSE),0)+IFERROR(VLOOKUP($A169,WFieldHockey!$C:$O,M$1-2011,FALSE),0)+IFERROR(VLOOKUP($A169,WIceHockey!$C:$O,M$1-2011,FALSE),0)+IFERROR(VLOOKUP($A169,WLacrosse!$C:$O,M$1-2011,FALSE),0)+IFERROR(VLOOKUP($A169,WSoccer!$C:$O,M$1-2011,FALSE),0)+IFERROR(VLOOKUP($A169,WSoftball!$C:$O,M$1-2011,FALSE),0)+IFERROR(VLOOKUP($A169,WVolleyball!$C:$O,M$1-2011,FALSE),0)</f>
        <v>153992</v>
      </c>
      <c r="N169">
        <f>IFERROR(VLOOKUP($A169,MBaseball!$C:$N,N$1-2010,FALSE),0)+IFERROR(VLOOKUP($A169,MBasketball!$C:$J,N$1-2006,FALSE),0)+IFERROR(VLOOKUP($A169,MFootball!$C:$O,N$1-2011,FALSE),0)+IFERROR(VLOOKUP($A169,MIceHockey!$C:$P,N$1-2011,FALSE),0)+IFERROR(VLOOKUP($A169,MLacrosse!$C:$O,N$1-2011,FALSE),0)+IFERROR(VLOOKUP($A169,MSoccer!$C:$O,N$1-2011,FALSE),0)+IFERROR(VLOOKUP($A169,MVolleyball!$C:$O,N$1-2011,FALSE),0)+IFERROR(VLOOKUP($A169,WBasketball!$C:$O,N$1-2011,FALSE),0)+IFERROR(VLOOKUP($A169,WFieldHockey!$C:$O,N$1-2011,FALSE),0)+IFERROR(VLOOKUP($A169,WIceHockey!$C:$O,N$1-2011,FALSE),0)+IFERROR(VLOOKUP($A169,WLacrosse!$C:$O,N$1-2011,FALSE),0)+IFERROR(VLOOKUP($A169,WSoccer!$C:$O,N$1-2011,FALSE),0)+IFERROR(VLOOKUP($A169,WSoftball!$C:$O,N$1-2011,FALSE),0)+IFERROR(VLOOKUP($A169,WVolleyball!$C:$O,N$1-2011,FALSE),0)</f>
        <v>130399</v>
      </c>
    </row>
    <row r="170" spans="1:14" x14ac:dyDescent="0.2">
      <c r="A170">
        <v>230737</v>
      </c>
      <c r="B170">
        <v>39340</v>
      </c>
      <c r="C170" t="s">
        <v>236</v>
      </c>
      <c r="D170">
        <v>169</v>
      </c>
      <c r="E170">
        <f>IFERROR(VLOOKUP($A170,MBaseball!$C:$N,E$1-2010,FALSE),0)+IFERROR(VLOOKUP($A170,MBasketball!$C:$J,E$1-2006,FALSE),0)+IFERROR(VLOOKUP($A170,MFootball!$C:$O,E$1-2011,FALSE),0)+IFERROR(VLOOKUP($A170,MIceHockey!$C:$P,E$1-2011,FALSE),0)+IFERROR(VLOOKUP($A170,MLacrosse!$C:$O,E$1-2011,FALSE),0)+IFERROR(VLOOKUP($A170,MSoccer!$C:$O,E$1-2011,FALSE),0)+IFERROR(VLOOKUP($A170,MVolleyball!$C:$O,E$1-2011,FALSE),0)+IFERROR(VLOOKUP($A170,WBasketball!$C:$O,E$1-2011,FALSE),0)+IFERROR(VLOOKUP($A170,WFieldHockey!$C:$O,E$1-2011,FALSE),0)+IFERROR(VLOOKUP($A170,WIceHockey!$C:$O,E$1-2011,FALSE),0)+IFERROR(VLOOKUP($A170,WLacrosse!$C:$O,E$1-2011,FALSE),0)+IFERROR(VLOOKUP($A170,WSoccer!$C:$O,E$1-2011,FALSE),0)+IFERROR(VLOOKUP($A170,WSoftball!$C:$O,E$1-2011,FALSE),0)+IFERROR(VLOOKUP($A170,WVolleyball!$C:$O,E$1-2011,FALSE),0)</f>
        <v>77980</v>
      </c>
      <c r="F170">
        <f>IFERROR(VLOOKUP($A170,MBaseball!$C:$N,F$1-2010,FALSE),0)+IFERROR(VLOOKUP($A170,MBasketball!$C:$J,F$1-2006,FALSE),0)+IFERROR(VLOOKUP($A170,MFootball!$C:$O,F$1-2011,FALSE),0)+IFERROR(VLOOKUP($A170,MIceHockey!$C:$P,F$1-2011,FALSE),0)+IFERROR(VLOOKUP($A170,MLacrosse!$C:$O,F$1-2011,FALSE),0)+IFERROR(VLOOKUP($A170,MSoccer!$C:$O,F$1-2011,FALSE),0)+IFERROR(VLOOKUP($A170,MVolleyball!$C:$O,F$1-2011,FALSE),0)+IFERROR(VLOOKUP($A170,WBasketball!$C:$O,F$1-2011,FALSE),0)+IFERROR(VLOOKUP($A170,WFieldHockey!$C:$O,F$1-2011,FALSE),0)+IFERROR(VLOOKUP($A170,WIceHockey!$C:$O,F$1-2011,FALSE),0)+IFERROR(VLOOKUP($A170,WLacrosse!$C:$O,F$1-2011,FALSE),0)+IFERROR(VLOOKUP($A170,WSoccer!$C:$O,F$1-2011,FALSE),0)+IFERROR(VLOOKUP($A170,WSoftball!$C:$O,F$1-2011,FALSE),0)+IFERROR(VLOOKUP($A170,WVolleyball!$C:$O,F$1-2011,FALSE),0)</f>
        <v>59285</v>
      </c>
      <c r="G170">
        <f>IFERROR(VLOOKUP($A170,MBaseball!$C:$N,G$1-2010,FALSE),0)+IFERROR(VLOOKUP($A170,MBasketball!$C:$J,G$1-2006,FALSE),0)+IFERROR(VLOOKUP($A170,MFootball!$C:$O,G$1-2011,FALSE),0)+IFERROR(VLOOKUP($A170,MIceHockey!$C:$P,G$1-2011,FALSE),0)+IFERROR(VLOOKUP($A170,MLacrosse!$C:$O,G$1-2011,FALSE),0)+IFERROR(VLOOKUP($A170,MSoccer!$C:$O,G$1-2011,FALSE),0)+IFERROR(VLOOKUP($A170,MVolleyball!$C:$O,G$1-2011,FALSE),0)+IFERROR(VLOOKUP($A170,WBasketball!$C:$O,G$1-2011,FALSE),0)+IFERROR(VLOOKUP($A170,WFieldHockey!$C:$O,G$1-2011,FALSE),0)+IFERROR(VLOOKUP($A170,WIceHockey!$C:$O,G$1-2011,FALSE),0)+IFERROR(VLOOKUP($A170,WLacrosse!$C:$O,G$1-2011,FALSE),0)+IFERROR(VLOOKUP($A170,WSoccer!$C:$O,G$1-2011,FALSE),0)+IFERROR(VLOOKUP($A170,WSoftball!$C:$O,G$1-2011,FALSE),0)+IFERROR(VLOOKUP($A170,WVolleyball!$C:$O,G$1-2011,FALSE),0)</f>
        <v>54203</v>
      </c>
      <c r="H170">
        <f>IFERROR(VLOOKUP($A170,MBaseball!$C:$N,H$1-2010,FALSE),0)+IFERROR(VLOOKUP($A170,MBasketball!$C:$J,H$1-2006,FALSE),0)+IFERROR(VLOOKUP($A170,MFootball!$C:$O,H$1-2011,FALSE),0)+IFERROR(VLOOKUP($A170,MIceHockey!$C:$P,H$1-2011,FALSE),0)+IFERROR(VLOOKUP($A170,MLacrosse!$C:$O,H$1-2011,FALSE),0)+IFERROR(VLOOKUP($A170,MSoccer!$C:$O,H$1-2011,FALSE),0)+IFERROR(VLOOKUP($A170,MVolleyball!$C:$O,H$1-2011,FALSE),0)+IFERROR(VLOOKUP($A170,WBasketball!$C:$O,H$1-2011,FALSE),0)+IFERROR(VLOOKUP($A170,WFieldHockey!$C:$O,H$1-2011,FALSE),0)+IFERROR(VLOOKUP($A170,WIceHockey!$C:$O,H$1-2011,FALSE),0)+IFERROR(VLOOKUP($A170,WLacrosse!$C:$O,H$1-2011,FALSE),0)+IFERROR(VLOOKUP($A170,WSoccer!$C:$O,H$1-2011,FALSE),0)+IFERROR(VLOOKUP($A170,WSoftball!$C:$O,H$1-2011,FALSE),0)+IFERROR(VLOOKUP($A170,WVolleyball!$C:$O,H$1-2011,FALSE),0)</f>
        <v>57820</v>
      </c>
      <c r="I170">
        <f>IFERROR(VLOOKUP($A170,MBaseball!$C:$N,I$1-2010,FALSE),0)+IFERROR(VLOOKUP($A170,MBasketball!$C:$J,I$1-2006,FALSE),0)+IFERROR(VLOOKUP($A170,MFootball!$C:$O,I$1-2011,FALSE),0)+IFERROR(VLOOKUP($A170,MIceHockey!$C:$P,I$1-2011,FALSE),0)+IFERROR(VLOOKUP($A170,MLacrosse!$C:$O,I$1-2011,FALSE),0)+IFERROR(VLOOKUP($A170,MSoccer!$C:$O,I$1-2011,FALSE),0)+IFERROR(VLOOKUP($A170,MVolleyball!$C:$O,I$1-2011,FALSE),0)+IFERROR(VLOOKUP($A170,WBasketball!$C:$O,I$1-2011,FALSE),0)+IFERROR(VLOOKUP($A170,WFieldHockey!$C:$O,I$1-2011,FALSE),0)+IFERROR(VLOOKUP($A170,WIceHockey!$C:$O,I$1-2011,FALSE),0)+IFERROR(VLOOKUP($A170,WLacrosse!$C:$O,I$1-2011,FALSE),0)+IFERROR(VLOOKUP($A170,WSoccer!$C:$O,I$1-2011,FALSE),0)+IFERROR(VLOOKUP($A170,WSoftball!$C:$O,I$1-2011,FALSE),0)+IFERROR(VLOOKUP($A170,WVolleyball!$C:$O,I$1-2011,FALSE),0)</f>
        <v>59050</v>
      </c>
      <c r="J170">
        <f>IFERROR(VLOOKUP($A170,MBaseball!$C:$N,J$1-2010,FALSE),0)+IFERROR(VLOOKUP($A170,MBasketball!$C:$J,J$1-2006,FALSE),0)+IFERROR(VLOOKUP($A170,MFootball!$C:$O,J$1-2011,FALSE),0)+IFERROR(VLOOKUP($A170,MIceHockey!$C:$P,J$1-2011,FALSE),0)+IFERROR(VLOOKUP($A170,MLacrosse!$C:$O,J$1-2011,FALSE),0)+IFERROR(VLOOKUP($A170,MSoccer!$C:$O,J$1-2011,FALSE),0)+IFERROR(VLOOKUP($A170,MVolleyball!$C:$O,J$1-2011,FALSE),0)+IFERROR(VLOOKUP($A170,WBasketball!$C:$O,J$1-2011,FALSE),0)+IFERROR(VLOOKUP($A170,WFieldHockey!$C:$O,J$1-2011,FALSE),0)+IFERROR(VLOOKUP($A170,WIceHockey!$C:$O,J$1-2011,FALSE),0)+IFERROR(VLOOKUP($A170,WLacrosse!$C:$O,J$1-2011,FALSE),0)+IFERROR(VLOOKUP($A170,WSoccer!$C:$O,J$1-2011,FALSE),0)+IFERROR(VLOOKUP($A170,WSoftball!$C:$O,J$1-2011,FALSE),0)+IFERROR(VLOOKUP($A170,WVolleyball!$C:$O,J$1-2011,FALSE),0)</f>
        <v>45014</v>
      </c>
      <c r="K170">
        <f>IFERROR(VLOOKUP($A170,MBaseball!$C:$N,K$1-2010,FALSE),0)+IFERROR(VLOOKUP($A170,MBasketball!$C:$J,K$1-2006,FALSE),0)+IFERROR(VLOOKUP($A170,MFootball!$C:$O,K$1-2011,FALSE),0)+IFERROR(VLOOKUP($A170,MIceHockey!$C:$P,K$1-2011,FALSE),0)+IFERROR(VLOOKUP($A170,MLacrosse!$C:$O,K$1-2011,FALSE),0)+IFERROR(VLOOKUP($A170,MSoccer!$C:$O,K$1-2011,FALSE),0)+IFERROR(VLOOKUP($A170,MVolleyball!$C:$O,K$1-2011,FALSE),0)+IFERROR(VLOOKUP($A170,WBasketball!$C:$O,K$1-2011,FALSE),0)+IFERROR(VLOOKUP($A170,WFieldHockey!$C:$O,K$1-2011,FALSE),0)+IFERROR(VLOOKUP($A170,WIceHockey!$C:$O,K$1-2011,FALSE),0)+IFERROR(VLOOKUP($A170,WLacrosse!$C:$O,K$1-2011,FALSE),0)+IFERROR(VLOOKUP($A170,WSoccer!$C:$O,K$1-2011,FALSE),0)+IFERROR(VLOOKUP($A170,WSoftball!$C:$O,K$1-2011,FALSE),0)+IFERROR(VLOOKUP($A170,WVolleyball!$C:$O,K$1-2011,FALSE),0)</f>
        <v>41097</v>
      </c>
      <c r="L170">
        <f>IFERROR(VLOOKUP($A170,MBaseball!$C:$N,L$1-2010,FALSE),0)+IFERROR(VLOOKUP($A170,MBasketball!$C:$J,L$1-2006,FALSE),0)+IFERROR(VLOOKUP($A170,MFootball!$C:$O,L$1-2011,FALSE),0)+IFERROR(VLOOKUP($A170,MIceHockey!$C:$P,L$1-2011,FALSE),0)+IFERROR(VLOOKUP($A170,MLacrosse!$C:$O,L$1-2011,FALSE),0)+IFERROR(VLOOKUP($A170,MSoccer!$C:$O,L$1-2011,FALSE),0)+IFERROR(VLOOKUP($A170,MVolleyball!$C:$O,L$1-2011,FALSE),0)+IFERROR(VLOOKUP($A170,WBasketball!$C:$O,L$1-2011,FALSE),0)+IFERROR(VLOOKUP($A170,WFieldHockey!$C:$O,L$1-2011,FALSE),0)+IFERROR(VLOOKUP($A170,WIceHockey!$C:$O,L$1-2011,FALSE),0)+IFERROR(VLOOKUP($A170,WLacrosse!$C:$O,L$1-2011,FALSE),0)+IFERROR(VLOOKUP($A170,WSoccer!$C:$O,L$1-2011,FALSE),0)+IFERROR(VLOOKUP($A170,WSoftball!$C:$O,L$1-2011,FALSE),0)+IFERROR(VLOOKUP($A170,WVolleyball!$C:$O,L$1-2011,FALSE),0)</f>
        <v>21231</v>
      </c>
      <c r="M170">
        <f>IFERROR(VLOOKUP($A170,MBaseball!$C:$N,M$1-2010,FALSE),0)+IFERROR(VLOOKUP($A170,MBasketball!$C:$J,M$1-2006,FALSE),0)+IFERROR(VLOOKUP($A170,MFootball!$C:$O,M$1-2011,FALSE),0)+IFERROR(VLOOKUP($A170,MIceHockey!$C:$P,M$1-2011,FALSE),0)+IFERROR(VLOOKUP($A170,MLacrosse!$C:$O,M$1-2011,FALSE),0)+IFERROR(VLOOKUP($A170,MSoccer!$C:$O,M$1-2011,FALSE),0)+IFERROR(VLOOKUP($A170,MVolleyball!$C:$O,M$1-2011,FALSE),0)+IFERROR(VLOOKUP($A170,WBasketball!$C:$O,M$1-2011,FALSE),0)+IFERROR(VLOOKUP($A170,WFieldHockey!$C:$O,M$1-2011,FALSE),0)+IFERROR(VLOOKUP($A170,WIceHockey!$C:$O,M$1-2011,FALSE),0)+IFERROR(VLOOKUP($A170,WLacrosse!$C:$O,M$1-2011,FALSE),0)+IFERROR(VLOOKUP($A170,WSoccer!$C:$O,M$1-2011,FALSE),0)+IFERROR(VLOOKUP($A170,WSoftball!$C:$O,M$1-2011,FALSE),0)+IFERROR(VLOOKUP($A170,WVolleyball!$C:$O,M$1-2011,FALSE),0)</f>
        <v>58457</v>
      </c>
      <c r="N170">
        <f>IFERROR(VLOOKUP($A170,MBaseball!$C:$N,N$1-2010,FALSE),0)+IFERROR(VLOOKUP($A170,MBasketball!$C:$J,N$1-2006,FALSE),0)+IFERROR(VLOOKUP($A170,MFootball!$C:$O,N$1-2011,FALSE),0)+IFERROR(VLOOKUP($A170,MIceHockey!$C:$P,N$1-2011,FALSE),0)+IFERROR(VLOOKUP($A170,MLacrosse!$C:$O,N$1-2011,FALSE),0)+IFERROR(VLOOKUP($A170,MSoccer!$C:$O,N$1-2011,FALSE),0)+IFERROR(VLOOKUP($A170,MVolleyball!$C:$O,N$1-2011,FALSE),0)+IFERROR(VLOOKUP($A170,WBasketball!$C:$O,N$1-2011,FALSE),0)+IFERROR(VLOOKUP($A170,WFieldHockey!$C:$O,N$1-2011,FALSE),0)+IFERROR(VLOOKUP($A170,WIceHockey!$C:$O,N$1-2011,FALSE),0)+IFERROR(VLOOKUP($A170,WLacrosse!$C:$O,N$1-2011,FALSE),0)+IFERROR(VLOOKUP($A170,WSoccer!$C:$O,N$1-2011,FALSE),0)+IFERROR(VLOOKUP($A170,WSoftball!$C:$O,N$1-2011,FALSE),0)+IFERROR(VLOOKUP($A170,WVolleyball!$C:$O,N$1-2011,FALSE),0)</f>
        <v>36256</v>
      </c>
    </row>
    <row r="171" spans="1:14" x14ac:dyDescent="0.2">
      <c r="A171">
        <v>228796</v>
      </c>
      <c r="B171">
        <v>21340</v>
      </c>
      <c r="C171" t="s">
        <v>237</v>
      </c>
      <c r="D171">
        <v>170</v>
      </c>
      <c r="E171">
        <f>IFERROR(VLOOKUP($A171,MBaseball!$C:$N,E$1-2010,FALSE),0)+IFERROR(VLOOKUP($A171,MBasketball!$C:$J,E$1-2006,FALSE),0)+IFERROR(VLOOKUP($A171,MFootball!$C:$O,E$1-2011,FALSE),0)+IFERROR(VLOOKUP($A171,MIceHockey!$C:$P,E$1-2011,FALSE),0)+IFERROR(VLOOKUP($A171,MLacrosse!$C:$O,E$1-2011,FALSE),0)+IFERROR(VLOOKUP($A171,MSoccer!$C:$O,E$1-2011,FALSE),0)+IFERROR(VLOOKUP($A171,MVolleyball!$C:$O,E$1-2011,FALSE),0)+IFERROR(VLOOKUP($A171,WBasketball!$C:$O,E$1-2011,FALSE),0)+IFERROR(VLOOKUP($A171,WFieldHockey!$C:$O,E$1-2011,FALSE),0)+IFERROR(VLOOKUP($A171,WIceHockey!$C:$O,E$1-2011,FALSE),0)+IFERROR(VLOOKUP($A171,WLacrosse!$C:$O,E$1-2011,FALSE),0)+IFERROR(VLOOKUP($A171,WSoccer!$C:$O,E$1-2011,FALSE),0)+IFERROR(VLOOKUP($A171,WSoftball!$C:$O,E$1-2011,FALSE),0)+IFERROR(VLOOKUP($A171,WVolleyball!$C:$O,E$1-2011,FALSE),0)</f>
        <v>182399</v>
      </c>
      <c r="F171">
        <f>IFERROR(VLOOKUP($A171,MBaseball!$C:$N,F$1-2010,FALSE),0)+IFERROR(VLOOKUP($A171,MBasketball!$C:$J,F$1-2006,FALSE),0)+IFERROR(VLOOKUP($A171,MFootball!$C:$O,F$1-2011,FALSE),0)+IFERROR(VLOOKUP($A171,MIceHockey!$C:$P,F$1-2011,FALSE),0)+IFERROR(VLOOKUP($A171,MLacrosse!$C:$O,F$1-2011,FALSE),0)+IFERROR(VLOOKUP($A171,MSoccer!$C:$O,F$1-2011,FALSE),0)+IFERROR(VLOOKUP($A171,MVolleyball!$C:$O,F$1-2011,FALSE),0)+IFERROR(VLOOKUP($A171,WBasketball!$C:$O,F$1-2011,FALSE),0)+IFERROR(VLOOKUP($A171,WFieldHockey!$C:$O,F$1-2011,FALSE),0)+IFERROR(VLOOKUP($A171,WIceHockey!$C:$O,F$1-2011,FALSE),0)+IFERROR(VLOOKUP($A171,WLacrosse!$C:$O,F$1-2011,FALSE),0)+IFERROR(VLOOKUP($A171,WSoccer!$C:$O,F$1-2011,FALSE),0)+IFERROR(VLOOKUP($A171,WSoftball!$C:$O,F$1-2011,FALSE),0)+IFERROR(VLOOKUP($A171,WVolleyball!$C:$O,F$1-2011,FALSE),0)</f>
        <v>209510</v>
      </c>
      <c r="G171">
        <f>IFERROR(VLOOKUP($A171,MBaseball!$C:$N,G$1-2010,FALSE),0)+IFERROR(VLOOKUP($A171,MBasketball!$C:$J,G$1-2006,FALSE),0)+IFERROR(VLOOKUP($A171,MFootball!$C:$O,G$1-2011,FALSE),0)+IFERROR(VLOOKUP($A171,MIceHockey!$C:$P,G$1-2011,FALSE),0)+IFERROR(VLOOKUP($A171,MLacrosse!$C:$O,G$1-2011,FALSE),0)+IFERROR(VLOOKUP($A171,MSoccer!$C:$O,G$1-2011,FALSE),0)+IFERROR(VLOOKUP($A171,MVolleyball!$C:$O,G$1-2011,FALSE),0)+IFERROR(VLOOKUP($A171,WBasketball!$C:$O,G$1-2011,FALSE),0)+IFERROR(VLOOKUP($A171,WFieldHockey!$C:$O,G$1-2011,FALSE),0)+IFERROR(VLOOKUP($A171,WIceHockey!$C:$O,G$1-2011,FALSE),0)+IFERROR(VLOOKUP($A171,WLacrosse!$C:$O,G$1-2011,FALSE),0)+IFERROR(VLOOKUP($A171,WSoccer!$C:$O,G$1-2011,FALSE),0)+IFERROR(VLOOKUP($A171,WSoftball!$C:$O,G$1-2011,FALSE),0)+IFERROR(VLOOKUP($A171,WVolleyball!$C:$O,G$1-2011,FALSE),0)</f>
        <v>190457</v>
      </c>
      <c r="H171">
        <f>IFERROR(VLOOKUP($A171,MBaseball!$C:$N,H$1-2010,FALSE),0)+IFERROR(VLOOKUP($A171,MBasketball!$C:$J,H$1-2006,FALSE),0)+IFERROR(VLOOKUP($A171,MFootball!$C:$O,H$1-2011,FALSE),0)+IFERROR(VLOOKUP($A171,MIceHockey!$C:$P,H$1-2011,FALSE),0)+IFERROR(VLOOKUP($A171,MLacrosse!$C:$O,H$1-2011,FALSE),0)+IFERROR(VLOOKUP($A171,MSoccer!$C:$O,H$1-2011,FALSE),0)+IFERROR(VLOOKUP($A171,MVolleyball!$C:$O,H$1-2011,FALSE),0)+IFERROR(VLOOKUP($A171,WBasketball!$C:$O,H$1-2011,FALSE),0)+IFERROR(VLOOKUP($A171,WFieldHockey!$C:$O,H$1-2011,FALSE),0)+IFERROR(VLOOKUP($A171,WIceHockey!$C:$O,H$1-2011,FALSE),0)+IFERROR(VLOOKUP($A171,WLacrosse!$C:$O,H$1-2011,FALSE),0)+IFERROR(VLOOKUP($A171,WSoccer!$C:$O,H$1-2011,FALSE),0)+IFERROR(VLOOKUP($A171,WSoftball!$C:$O,H$1-2011,FALSE),0)+IFERROR(VLOOKUP($A171,WVolleyball!$C:$O,H$1-2011,FALSE),0)</f>
        <v>199040</v>
      </c>
      <c r="I171">
        <f>IFERROR(VLOOKUP($A171,MBaseball!$C:$N,I$1-2010,FALSE),0)+IFERROR(VLOOKUP($A171,MBasketball!$C:$J,I$1-2006,FALSE),0)+IFERROR(VLOOKUP($A171,MFootball!$C:$O,I$1-2011,FALSE),0)+IFERROR(VLOOKUP($A171,MIceHockey!$C:$P,I$1-2011,FALSE),0)+IFERROR(VLOOKUP($A171,MLacrosse!$C:$O,I$1-2011,FALSE),0)+IFERROR(VLOOKUP($A171,MSoccer!$C:$O,I$1-2011,FALSE),0)+IFERROR(VLOOKUP($A171,MVolleyball!$C:$O,I$1-2011,FALSE),0)+IFERROR(VLOOKUP($A171,WBasketball!$C:$O,I$1-2011,FALSE),0)+IFERROR(VLOOKUP($A171,WFieldHockey!$C:$O,I$1-2011,FALSE),0)+IFERROR(VLOOKUP($A171,WIceHockey!$C:$O,I$1-2011,FALSE),0)+IFERROR(VLOOKUP($A171,WLacrosse!$C:$O,I$1-2011,FALSE),0)+IFERROR(VLOOKUP($A171,WSoccer!$C:$O,I$1-2011,FALSE),0)+IFERROR(VLOOKUP($A171,WSoftball!$C:$O,I$1-2011,FALSE),0)+IFERROR(VLOOKUP($A171,WVolleyball!$C:$O,I$1-2011,FALSE),0)</f>
        <v>120449</v>
      </c>
      <c r="J171">
        <f>IFERROR(VLOOKUP($A171,MBaseball!$C:$N,J$1-2010,FALSE),0)+IFERROR(VLOOKUP($A171,MBasketball!$C:$J,J$1-2006,FALSE),0)+IFERROR(VLOOKUP($A171,MFootball!$C:$O,J$1-2011,FALSE),0)+IFERROR(VLOOKUP($A171,MIceHockey!$C:$P,J$1-2011,FALSE),0)+IFERROR(VLOOKUP($A171,MLacrosse!$C:$O,J$1-2011,FALSE),0)+IFERROR(VLOOKUP($A171,MSoccer!$C:$O,J$1-2011,FALSE),0)+IFERROR(VLOOKUP($A171,MVolleyball!$C:$O,J$1-2011,FALSE),0)+IFERROR(VLOOKUP($A171,WBasketball!$C:$O,J$1-2011,FALSE),0)+IFERROR(VLOOKUP($A171,WFieldHockey!$C:$O,J$1-2011,FALSE),0)+IFERROR(VLOOKUP($A171,WIceHockey!$C:$O,J$1-2011,FALSE),0)+IFERROR(VLOOKUP($A171,WLacrosse!$C:$O,J$1-2011,FALSE),0)+IFERROR(VLOOKUP($A171,WSoccer!$C:$O,J$1-2011,FALSE),0)+IFERROR(VLOOKUP($A171,WSoftball!$C:$O,J$1-2011,FALSE),0)+IFERROR(VLOOKUP($A171,WVolleyball!$C:$O,J$1-2011,FALSE),0)</f>
        <v>104978</v>
      </c>
      <c r="K171">
        <f>IFERROR(VLOOKUP($A171,MBaseball!$C:$N,K$1-2010,FALSE),0)+IFERROR(VLOOKUP($A171,MBasketball!$C:$J,K$1-2006,FALSE),0)+IFERROR(VLOOKUP($A171,MFootball!$C:$O,K$1-2011,FALSE),0)+IFERROR(VLOOKUP($A171,MIceHockey!$C:$P,K$1-2011,FALSE),0)+IFERROR(VLOOKUP($A171,MLacrosse!$C:$O,K$1-2011,FALSE),0)+IFERROR(VLOOKUP($A171,MSoccer!$C:$O,K$1-2011,FALSE),0)+IFERROR(VLOOKUP($A171,MVolleyball!$C:$O,K$1-2011,FALSE),0)+IFERROR(VLOOKUP($A171,WBasketball!$C:$O,K$1-2011,FALSE),0)+IFERROR(VLOOKUP($A171,WFieldHockey!$C:$O,K$1-2011,FALSE),0)+IFERROR(VLOOKUP($A171,WIceHockey!$C:$O,K$1-2011,FALSE),0)+IFERROR(VLOOKUP($A171,WLacrosse!$C:$O,K$1-2011,FALSE),0)+IFERROR(VLOOKUP($A171,WSoccer!$C:$O,K$1-2011,FALSE),0)+IFERROR(VLOOKUP($A171,WSoftball!$C:$O,K$1-2011,FALSE),0)+IFERROR(VLOOKUP($A171,WVolleyball!$C:$O,K$1-2011,FALSE),0)</f>
        <v>128238</v>
      </c>
      <c r="L171">
        <f>IFERROR(VLOOKUP($A171,MBaseball!$C:$N,L$1-2010,FALSE),0)+IFERROR(VLOOKUP($A171,MBasketball!$C:$J,L$1-2006,FALSE),0)+IFERROR(VLOOKUP($A171,MFootball!$C:$O,L$1-2011,FALSE),0)+IFERROR(VLOOKUP($A171,MIceHockey!$C:$P,L$1-2011,FALSE),0)+IFERROR(VLOOKUP($A171,MLacrosse!$C:$O,L$1-2011,FALSE),0)+IFERROR(VLOOKUP($A171,MSoccer!$C:$O,L$1-2011,FALSE),0)+IFERROR(VLOOKUP($A171,MVolleyball!$C:$O,L$1-2011,FALSE),0)+IFERROR(VLOOKUP($A171,WBasketball!$C:$O,L$1-2011,FALSE),0)+IFERROR(VLOOKUP($A171,WFieldHockey!$C:$O,L$1-2011,FALSE),0)+IFERROR(VLOOKUP($A171,WIceHockey!$C:$O,L$1-2011,FALSE),0)+IFERROR(VLOOKUP($A171,WLacrosse!$C:$O,L$1-2011,FALSE),0)+IFERROR(VLOOKUP($A171,WSoccer!$C:$O,L$1-2011,FALSE),0)+IFERROR(VLOOKUP($A171,WSoftball!$C:$O,L$1-2011,FALSE),0)+IFERROR(VLOOKUP($A171,WVolleyball!$C:$O,L$1-2011,FALSE),0)</f>
        <v>23527</v>
      </c>
      <c r="M171">
        <f>IFERROR(VLOOKUP($A171,MBaseball!$C:$N,M$1-2010,FALSE),0)+IFERROR(VLOOKUP($A171,MBasketball!$C:$J,M$1-2006,FALSE),0)+IFERROR(VLOOKUP($A171,MFootball!$C:$O,M$1-2011,FALSE),0)+IFERROR(VLOOKUP($A171,MIceHockey!$C:$P,M$1-2011,FALSE),0)+IFERROR(VLOOKUP($A171,MLacrosse!$C:$O,M$1-2011,FALSE),0)+IFERROR(VLOOKUP($A171,MSoccer!$C:$O,M$1-2011,FALSE),0)+IFERROR(VLOOKUP($A171,MVolleyball!$C:$O,M$1-2011,FALSE),0)+IFERROR(VLOOKUP($A171,WBasketball!$C:$O,M$1-2011,FALSE),0)+IFERROR(VLOOKUP($A171,WFieldHockey!$C:$O,M$1-2011,FALSE),0)+IFERROR(VLOOKUP($A171,WIceHockey!$C:$O,M$1-2011,FALSE),0)+IFERROR(VLOOKUP($A171,WLacrosse!$C:$O,M$1-2011,FALSE),0)+IFERROR(VLOOKUP($A171,WSoccer!$C:$O,M$1-2011,FALSE),0)+IFERROR(VLOOKUP($A171,WSoftball!$C:$O,M$1-2011,FALSE),0)+IFERROR(VLOOKUP($A171,WVolleyball!$C:$O,M$1-2011,FALSE),0)</f>
        <v>129413</v>
      </c>
      <c r="N171">
        <f>IFERROR(VLOOKUP($A171,MBaseball!$C:$N,N$1-2010,FALSE),0)+IFERROR(VLOOKUP($A171,MBasketball!$C:$J,N$1-2006,FALSE),0)+IFERROR(VLOOKUP($A171,MFootball!$C:$O,N$1-2011,FALSE),0)+IFERROR(VLOOKUP($A171,MIceHockey!$C:$P,N$1-2011,FALSE),0)+IFERROR(VLOOKUP($A171,MLacrosse!$C:$O,N$1-2011,FALSE),0)+IFERROR(VLOOKUP($A171,MSoccer!$C:$O,N$1-2011,FALSE),0)+IFERROR(VLOOKUP($A171,MVolleyball!$C:$O,N$1-2011,FALSE),0)+IFERROR(VLOOKUP($A171,WBasketball!$C:$O,N$1-2011,FALSE),0)+IFERROR(VLOOKUP($A171,WFieldHockey!$C:$O,N$1-2011,FALSE),0)+IFERROR(VLOOKUP($A171,WIceHockey!$C:$O,N$1-2011,FALSE),0)+IFERROR(VLOOKUP($A171,WLacrosse!$C:$O,N$1-2011,FALSE),0)+IFERROR(VLOOKUP($A171,WSoccer!$C:$O,N$1-2011,FALSE),0)+IFERROR(VLOOKUP($A171,WSoftball!$C:$O,N$1-2011,FALSE),0)+IFERROR(VLOOKUP($A171,WVolleyball!$C:$O,N$1-2011,FALSE),0)</f>
        <v>144998</v>
      </c>
    </row>
    <row r="172" spans="1:14" x14ac:dyDescent="0.2">
      <c r="A172">
        <v>227368</v>
      </c>
      <c r="B172">
        <v>32580</v>
      </c>
      <c r="C172" t="s">
        <v>238</v>
      </c>
      <c r="D172">
        <v>171</v>
      </c>
      <c r="E172">
        <f>IFERROR(VLOOKUP($A172,MBaseball!$C:$N,E$1-2010,FALSE),0)+IFERROR(VLOOKUP($A172,MBasketball!$C:$J,E$1-2006,FALSE),0)+IFERROR(VLOOKUP($A172,MFootball!$C:$O,E$1-2011,FALSE),0)+IFERROR(VLOOKUP($A172,MIceHockey!$C:$P,E$1-2011,FALSE),0)+IFERROR(VLOOKUP($A172,MLacrosse!$C:$O,E$1-2011,FALSE),0)+IFERROR(VLOOKUP($A172,MSoccer!$C:$O,E$1-2011,FALSE),0)+IFERROR(VLOOKUP($A172,MVolleyball!$C:$O,E$1-2011,FALSE),0)+IFERROR(VLOOKUP($A172,WBasketball!$C:$O,E$1-2011,FALSE),0)+IFERROR(VLOOKUP($A172,WFieldHockey!$C:$O,E$1-2011,FALSE),0)+IFERROR(VLOOKUP($A172,WIceHockey!$C:$O,E$1-2011,FALSE),0)+IFERROR(VLOOKUP($A172,WLacrosse!$C:$O,E$1-2011,FALSE),0)+IFERROR(VLOOKUP($A172,WSoccer!$C:$O,E$1-2011,FALSE),0)+IFERROR(VLOOKUP($A172,WSoftball!$C:$O,E$1-2011,FALSE),0)+IFERROR(VLOOKUP($A172,WVolleyball!$C:$O,E$1-2011,FALSE),0)</f>
        <v>46184</v>
      </c>
      <c r="F172">
        <f>IFERROR(VLOOKUP($A172,MBaseball!$C:$N,F$1-2010,FALSE),0)+IFERROR(VLOOKUP($A172,MBasketball!$C:$J,F$1-2006,FALSE),0)+IFERROR(VLOOKUP($A172,MFootball!$C:$O,F$1-2011,FALSE),0)+IFERROR(VLOOKUP($A172,MIceHockey!$C:$P,F$1-2011,FALSE),0)+IFERROR(VLOOKUP($A172,MLacrosse!$C:$O,F$1-2011,FALSE),0)+IFERROR(VLOOKUP($A172,MSoccer!$C:$O,F$1-2011,FALSE),0)+IFERROR(VLOOKUP($A172,MVolleyball!$C:$O,F$1-2011,FALSE),0)+IFERROR(VLOOKUP($A172,WBasketball!$C:$O,F$1-2011,FALSE),0)+IFERROR(VLOOKUP($A172,WFieldHockey!$C:$O,F$1-2011,FALSE),0)+IFERROR(VLOOKUP($A172,WIceHockey!$C:$O,F$1-2011,FALSE),0)+IFERROR(VLOOKUP($A172,WLacrosse!$C:$O,F$1-2011,FALSE),0)+IFERROR(VLOOKUP($A172,WSoccer!$C:$O,F$1-2011,FALSE),0)+IFERROR(VLOOKUP($A172,WSoftball!$C:$O,F$1-2011,FALSE),0)+IFERROR(VLOOKUP($A172,WVolleyball!$C:$O,F$1-2011,FALSE),0)</f>
        <v>32847</v>
      </c>
      <c r="G172">
        <f>IFERROR(VLOOKUP($A172,MBaseball!$C:$N,G$1-2010,FALSE),0)+IFERROR(VLOOKUP($A172,MBasketball!$C:$J,G$1-2006,FALSE),0)+IFERROR(VLOOKUP($A172,MFootball!$C:$O,G$1-2011,FALSE),0)+IFERROR(VLOOKUP($A172,MIceHockey!$C:$P,G$1-2011,FALSE),0)+IFERROR(VLOOKUP($A172,MLacrosse!$C:$O,G$1-2011,FALSE),0)+IFERROR(VLOOKUP($A172,MSoccer!$C:$O,G$1-2011,FALSE),0)+IFERROR(VLOOKUP($A172,MVolleyball!$C:$O,G$1-2011,FALSE),0)+IFERROR(VLOOKUP($A172,WBasketball!$C:$O,G$1-2011,FALSE),0)+IFERROR(VLOOKUP($A172,WFieldHockey!$C:$O,G$1-2011,FALSE),0)+IFERROR(VLOOKUP($A172,WIceHockey!$C:$O,G$1-2011,FALSE),0)+IFERROR(VLOOKUP($A172,WLacrosse!$C:$O,G$1-2011,FALSE),0)+IFERROR(VLOOKUP($A172,WSoccer!$C:$O,G$1-2011,FALSE),0)+IFERROR(VLOOKUP($A172,WSoftball!$C:$O,G$1-2011,FALSE),0)+IFERROR(VLOOKUP($A172,WVolleyball!$C:$O,G$1-2011,FALSE),0)</f>
        <v>44423</v>
      </c>
      <c r="H172">
        <f>IFERROR(VLOOKUP($A172,MBaseball!$C:$N,H$1-2010,FALSE),0)+IFERROR(VLOOKUP($A172,MBasketball!$C:$J,H$1-2006,FALSE),0)+IFERROR(VLOOKUP($A172,MFootball!$C:$O,H$1-2011,FALSE),0)+IFERROR(VLOOKUP($A172,MIceHockey!$C:$P,H$1-2011,FALSE),0)+IFERROR(VLOOKUP($A172,MLacrosse!$C:$O,H$1-2011,FALSE),0)+IFERROR(VLOOKUP($A172,MSoccer!$C:$O,H$1-2011,FALSE),0)+IFERROR(VLOOKUP($A172,MVolleyball!$C:$O,H$1-2011,FALSE),0)+IFERROR(VLOOKUP($A172,WBasketball!$C:$O,H$1-2011,FALSE),0)+IFERROR(VLOOKUP($A172,WFieldHockey!$C:$O,H$1-2011,FALSE),0)+IFERROR(VLOOKUP($A172,WIceHockey!$C:$O,H$1-2011,FALSE),0)+IFERROR(VLOOKUP($A172,WLacrosse!$C:$O,H$1-2011,FALSE),0)+IFERROR(VLOOKUP($A172,WSoccer!$C:$O,H$1-2011,FALSE),0)+IFERROR(VLOOKUP($A172,WSoftball!$C:$O,H$1-2011,FALSE),0)+IFERROR(VLOOKUP($A172,WVolleyball!$C:$O,H$1-2011,FALSE),0)</f>
        <v>48239</v>
      </c>
      <c r="I172">
        <f>IFERROR(VLOOKUP($A172,MBaseball!$C:$N,I$1-2010,FALSE),0)+IFERROR(VLOOKUP($A172,MBasketball!$C:$J,I$1-2006,FALSE),0)+IFERROR(VLOOKUP($A172,MFootball!$C:$O,I$1-2011,FALSE),0)+IFERROR(VLOOKUP($A172,MIceHockey!$C:$P,I$1-2011,FALSE),0)+IFERROR(VLOOKUP($A172,MLacrosse!$C:$O,I$1-2011,FALSE),0)+IFERROR(VLOOKUP($A172,MSoccer!$C:$O,I$1-2011,FALSE),0)+IFERROR(VLOOKUP($A172,MVolleyball!$C:$O,I$1-2011,FALSE),0)+IFERROR(VLOOKUP($A172,WBasketball!$C:$O,I$1-2011,FALSE),0)+IFERROR(VLOOKUP($A172,WFieldHockey!$C:$O,I$1-2011,FALSE),0)+IFERROR(VLOOKUP($A172,WIceHockey!$C:$O,I$1-2011,FALSE),0)+IFERROR(VLOOKUP($A172,WLacrosse!$C:$O,I$1-2011,FALSE),0)+IFERROR(VLOOKUP($A172,WSoccer!$C:$O,I$1-2011,FALSE),0)+IFERROR(VLOOKUP($A172,WSoftball!$C:$O,I$1-2011,FALSE),0)+IFERROR(VLOOKUP($A172,WVolleyball!$C:$O,I$1-2011,FALSE),0)</f>
        <v>50226</v>
      </c>
      <c r="J172">
        <f>IFERROR(VLOOKUP($A172,MBaseball!$C:$N,J$1-2010,FALSE),0)+IFERROR(VLOOKUP($A172,MBasketball!$C:$J,J$1-2006,FALSE),0)+IFERROR(VLOOKUP($A172,MFootball!$C:$O,J$1-2011,FALSE),0)+IFERROR(VLOOKUP($A172,MIceHockey!$C:$P,J$1-2011,FALSE),0)+IFERROR(VLOOKUP($A172,MLacrosse!$C:$O,J$1-2011,FALSE),0)+IFERROR(VLOOKUP($A172,MSoccer!$C:$O,J$1-2011,FALSE),0)+IFERROR(VLOOKUP($A172,MVolleyball!$C:$O,J$1-2011,FALSE),0)+IFERROR(VLOOKUP($A172,WBasketball!$C:$O,J$1-2011,FALSE),0)+IFERROR(VLOOKUP($A172,WFieldHockey!$C:$O,J$1-2011,FALSE),0)+IFERROR(VLOOKUP($A172,WIceHockey!$C:$O,J$1-2011,FALSE),0)+IFERROR(VLOOKUP($A172,WLacrosse!$C:$O,J$1-2011,FALSE),0)+IFERROR(VLOOKUP($A172,WSoccer!$C:$O,J$1-2011,FALSE),0)+IFERROR(VLOOKUP($A172,WSoftball!$C:$O,J$1-2011,FALSE),0)+IFERROR(VLOOKUP($A172,WVolleyball!$C:$O,J$1-2011,FALSE),0)</f>
        <v>36530</v>
      </c>
      <c r="K172">
        <f>IFERROR(VLOOKUP($A172,MBaseball!$C:$N,K$1-2010,FALSE),0)+IFERROR(VLOOKUP($A172,MBasketball!$C:$J,K$1-2006,FALSE),0)+IFERROR(VLOOKUP($A172,MFootball!$C:$O,K$1-2011,FALSE),0)+IFERROR(VLOOKUP($A172,MIceHockey!$C:$P,K$1-2011,FALSE),0)+IFERROR(VLOOKUP($A172,MLacrosse!$C:$O,K$1-2011,FALSE),0)+IFERROR(VLOOKUP($A172,MSoccer!$C:$O,K$1-2011,FALSE),0)+IFERROR(VLOOKUP($A172,MVolleyball!$C:$O,K$1-2011,FALSE),0)+IFERROR(VLOOKUP($A172,WBasketball!$C:$O,K$1-2011,FALSE),0)+IFERROR(VLOOKUP($A172,WFieldHockey!$C:$O,K$1-2011,FALSE),0)+IFERROR(VLOOKUP($A172,WIceHockey!$C:$O,K$1-2011,FALSE),0)+IFERROR(VLOOKUP($A172,WLacrosse!$C:$O,K$1-2011,FALSE),0)+IFERROR(VLOOKUP($A172,WSoccer!$C:$O,K$1-2011,FALSE),0)+IFERROR(VLOOKUP($A172,WSoftball!$C:$O,K$1-2011,FALSE),0)+IFERROR(VLOOKUP($A172,WVolleyball!$C:$O,K$1-2011,FALSE),0)</f>
        <v>34561</v>
      </c>
      <c r="L172">
        <f>IFERROR(VLOOKUP($A172,MBaseball!$C:$N,L$1-2010,FALSE),0)+IFERROR(VLOOKUP($A172,MBasketball!$C:$J,L$1-2006,FALSE),0)+IFERROR(VLOOKUP($A172,MFootball!$C:$O,L$1-2011,FALSE),0)+IFERROR(VLOOKUP($A172,MIceHockey!$C:$P,L$1-2011,FALSE),0)+IFERROR(VLOOKUP($A172,MLacrosse!$C:$O,L$1-2011,FALSE),0)+IFERROR(VLOOKUP($A172,MSoccer!$C:$O,L$1-2011,FALSE),0)+IFERROR(VLOOKUP($A172,MVolleyball!$C:$O,L$1-2011,FALSE),0)+IFERROR(VLOOKUP($A172,WBasketball!$C:$O,L$1-2011,FALSE),0)+IFERROR(VLOOKUP($A172,WFieldHockey!$C:$O,L$1-2011,FALSE),0)+IFERROR(VLOOKUP($A172,WIceHockey!$C:$O,L$1-2011,FALSE),0)+IFERROR(VLOOKUP($A172,WLacrosse!$C:$O,L$1-2011,FALSE),0)+IFERROR(VLOOKUP($A172,WSoccer!$C:$O,L$1-2011,FALSE),0)+IFERROR(VLOOKUP($A172,WSoftball!$C:$O,L$1-2011,FALSE),0)+IFERROR(VLOOKUP($A172,WVolleyball!$C:$O,L$1-2011,FALSE),0)</f>
        <v>39922</v>
      </c>
      <c r="M172">
        <f>IFERROR(VLOOKUP($A172,MBaseball!$C:$N,M$1-2010,FALSE),0)+IFERROR(VLOOKUP($A172,MBasketball!$C:$J,M$1-2006,FALSE),0)+IFERROR(VLOOKUP($A172,MFootball!$C:$O,M$1-2011,FALSE),0)+IFERROR(VLOOKUP($A172,MIceHockey!$C:$P,M$1-2011,FALSE),0)+IFERROR(VLOOKUP($A172,MLacrosse!$C:$O,M$1-2011,FALSE),0)+IFERROR(VLOOKUP($A172,MSoccer!$C:$O,M$1-2011,FALSE),0)+IFERROR(VLOOKUP($A172,MVolleyball!$C:$O,M$1-2011,FALSE),0)+IFERROR(VLOOKUP($A172,WBasketball!$C:$O,M$1-2011,FALSE),0)+IFERROR(VLOOKUP($A172,WFieldHockey!$C:$O,M$1-2011,FALSE),0)+IFERROR(VLOOKUP($A172,WIceHockey!$C:$O,M$1-2011,FALSE),0)+IFERROR(VLOOKUP($A172,WLacrosse!$C:$O,M$1-2011,FALSE),0)+IFERROR(VLOOKUP($A172,WSoccer!$C:$O,M$1-2011,FALSE),0)+IFERROR(VLOOKUP($A172,WSoftball!$C:$O,M$1-2011,FALSE),0)+IFERROR(VLOOKUP($A172,WVolleyball!$C:$O,M$1-2011,FALSE),0)</f>
        <v>64457</v>
      </c>
      <c r="N172">
        <f>IFERROR(VLOOKUP($A172,MBaseball!$C:$N,N$1-2010,FALSE),0)+IFERROR(VLOOKUP($A172,MBasketball!$C:$J,N$1-2006,FALSE),0)+IFERROR(VLOOKUP($A172,MFootball!$C:$O,N$1-2011,FALSE),0)+IFERROR(VLOOKUP($A172,MIceHockey!$C:$P,N$1-2011,FALSE),0)+IFERROR(VLOOKUP($A172,MLacrosse!$C:$O,N$1-2011,FALSE),0)+IFERROR(VLOOKUP($A172,MSoccer!$C:$O,N$1-2011,FALSE),0)+IFERROR(VLOOKUP($A172,MVolleyball!$C:$O,N$1-2011,FALSE),0)+IFERROR(VLOOKUP($A172,WBasketball!$C:$O,N$1-2011,FALSE),0)+IFERROR(VLOOKUP($A172,WFieldHockey!$C:$O,N$1-2011,FALSE),0)+IFERROR(VLOOKUP($A172,WIceHockey!$C:$O,N$1-2011,FALSE),0)+IFERROR(VLOOKUP($A172,WLacrosse!$C:$O,N$1-2011,FALSE),0)+IFERROR(VLOOKUP($A172,WSoccer!$C:$O,N$1-2011,FALSE),0)+IFERROR(VLOOKUP($A172,WSoftball!$C:$O,N$1-2011,FALSE),0)+IFERROR(VLOOKUP($A172,WVolleyball!$C:$O,N$1-2011,FALSE),0)</f>
        <v>28289</v>
      </c>
    </row>
    <row r="173" spans="1:14" x14ac:dyDescent="0.2">
      <c r="A173">
        <v>229027</v>
      </c>
      <c r="B173">
        <v>41700</v>
      </c>
      <c r="C173" t="s">
        <v>239</v>
      </c>
      <c r="D173">
        <v>172</v>
      </c>
      <c r="E173">
        <f>IFERROR(VLOOKUP($A173,MBaseball!$C:$N,E$1-2010,FALSE),0)+IFERROR(VLOOKUP($A173,MBasketball!$C:$J,E$1-2006,FALSE),0)+IFERROR(VLOOKUP($A173,MFootball!$C:$O,E$1-2011,FALSE),0)+IFERROR(VLOOKUP($A173,MIceHockey!$C:$P,E$1-2011,FALSE),0)+IFERROR(VLOOKUP($A173,MLacrosse!$C:$O,E$1-2011,FALSE),0)+IFERROR(VLOOKUP($A173,MSoccer!$C:$O,E$1-2011,FALSE),0)+IFERROR(VLOOKUP($A173,MVolleyball!$C:$O,E$1-2011,FALSE),0)+IFERROR(VLOOKUP($A173,WBasketball!$C:$O,E$1-2011,FALSE),0)+IFERROR(VLOOKUP($A173,WFieldHockey!$C:$O,E$1-2011,FALSE),0)+IFERROR(VLOOKUP($A173,WIceHockey!$C:$O,E$1-2011,FALSE),0)+IFERROR(VLOOKUP($A173,WLacrosse!$C:$O,E$1-2011,FALSE),0)+IFERROR(VLOOKUP($A173,WSoccer!$C:$O,E$1-2011,FALSE),0)+IFERROR(VLOOKUP($A173,WSoftball!$C:$O,E$1-2011,FALSE),0)+IFERROR(VLOOKUP($A173,WVolleyball!$C:$O,E$1-2011,FALSE),0)</f>
        <v>48405</v>
      </c>
      <c r="F173">
        <f>IFERROR(VLOOKUP($A173,MBaseball!$C:$N,F$1-2010,FALSE),0)+IFERROR(VLOOKUP($A173,MBasketball!$C:$J,F$1-2006,FALSE),0)+IFERROR(VLOOKUP($A173,MFootball!$C:$O,F$1-2011,FALSE),0)+IFERROR(VLOOKUP($A173,MIceHockey!$C:$P,F$1-2011,FALSE),0)+IFERROR(VLOOKUP($A173,MLacrosse!$C:$O,F$1-2011,FALSE),0)+IFERROR(VLOOKUP($A173,MSoccer!$C:$O,F$1-2011,FALSE),0)+IFERROR(VLOOKUP($A173,MVolleyball!$C:$O,F$1-2011,FALSE),0)+IFERROR(VLOOKUP($A173,WBasketball!$C:$O,F$1-2011,FALSE),0)+IFERROR(VLOOKUP($A173,WFieldHockey!$C:$O,F$1-2011,FALSE),0)+IFERROR(VLOOKUP($A173,WIceHockey!$C:$O,F$1-2011,FALSE),0)+IFERROR(VLOOKUP($A173,WLacrosse!$C:$O,F$1-2011,FALSE),0)+IFERROR(VLOOKUP($A173,WSoccer!$C:$O,F$1-2011,FALSE),0)+IFERROR(VLOOKUP($A173,WSoftball!$C:$O,F$1-2011,FALSE),0)+IFERROR(VLOOKUP($A173,WVolleyball!$C:$O,F$1-2011,FALSE),0)</f>
        <v>191536</v>
      </c>
      <c r="G173">
        <f>IFERROR(VLOOKUP($A173,MBaseball!$C:$N,G$1-2010,FALSE),0)+IFERROR(VLOOKUP($A173,MBasketball!$C:$J,G$1-2006,FALSE),0)+IFERROR(VLOOKUP($A173,MFootball!$C:$O,G$1-2011,FALSE),0)+IFERROR(VLOOKUP($A173,MIceHockey!$C:$P,G$1-2011,FALSE),0)+IFERROR(VLOOKUP($A173,MLacrosse!$C:$O,G$1-2011,FALSE),0)+IFERROR(VLOOKUP($A173,MSoccer!$C:$O,G$1-2011,FALSE),0)+IFERROR(VLOOKUP($A173,MVolleyball!$C:$O,G$1-2011,FALSE),0)+IFERROR(VLOOKUP($A173,WBasketball!$C:$O,G$1-2011,FALSE),0)+IFERROR(VLOOKUP($A173,WFieldHockey!$C:$O,G$1-2011,FALSE),0)+IFERROR(VLOOKUP($A173,WIceHockey!$C:$O,G$1-2011,FALSE),0)+IFERROR(VLOOKUP($A173,WLacrosse!$C:$O,G$1-2011,FALSE),0)+IFERROR(VLOOKUP($A173,WSoccer!$C:$O,G$1-2011,FALSE),0)+IFERROR(VLOOKUP($A173,WSoftball!$C:$O,G$1-2011,FALSE),0)+IFERROR(VLOOKUP($A173,WVolleyball!$C:$O,G$1-2011,FALSE),0)</f>
        <v>165182</v>
      </c>
      <c r="H173">
        <f>IFERROR(VLOOKUP($A173,MBaseball!$C:$N,H$1-2010,FALSE),0)+IFERROR(VLOOKUP($A173,MBasketball!$C:$J,H$1-2006,FALSE),0)+IFERROR(VLOOKUP($A173,MFootball!$C:$O,H$1-2011,FALSE),0)+IFERROR(VLOOKUP($A173,MIceHockey!$C:$P,H$1-2011,FALSE),0)+IFERROR(VLOOKUP($A173,MLacrosse!$C:$O,H$1-2011,FALSE),0)+IFERROR(VLOOKUP($A173,MSoccer!$C:$O,H$1-2011,FALSE),0)+IFERROR(VLOOKUP($A173,MVolleyball!$C:$O,H$1-2011,FALSE),0)+IFERROR(VLOOKUP($A173,WBasketball!$C:$O,H$1-2011,FALSE),0)+IFERROR(VLOOKUP($A173,WFieldHockey!$C:$O,H$1-2011,FALSE),0)+IFERROR(VLOOKUP($A173,WIceHockey!$C:$O,H$1-2011,FALSE),0)+IFERROR(VLOOKUP($A173,WLacrosse!$C:$O,H$1-2011,FALSE),0)+IFERROR(VLOOKUP($A173,WSoccer!$C:$O,H$1-2011,FALSE),0)+IFERROR(VLOOKUP($A173,WSoftball!$C:$O,H$1-2011,FALSE),0)+IFERROR(VLOOKUP($A173,WVolleyball!$C:$O,H$1-2011,FALSE),0)</f>
        <v>170600</v>
      </c>
      <c r="I173">
        <f>IFERROR(VLOOKUP($A173,MBaseball!$C:$N,I$1-2010,FALSE),0)+IFERROR(VLOOKUP($A173,MBasketball!$C:$J,I$1-2006,FALSE),0)+IFERROR(VLOOKUP($A173,MFootball!$C:$O,I$1-2011,FALSE),0)+IFERROR(VLOOKUP($A173,MIceHockey!$C:$P,I$1-2011,FALSE),0)+IFERROR(VLOOKUP($A173,MLacrosse!$C:$O,I$1-2011,FALSE),0)+IFERROR(VLOOKUP($A173,MSoccer!$C:$O,I$1-2011,FALSE),0)+IFERROR(VLOOKUP($A173,MVolleyball!$C:$O,I$1-2011,FALSE),0)+IFERROR(VLOOKUP($A173,WBasketball!$C:$O,I$1-2011,FALSE),0)+IFERROR(VLOOKUP($A173,WFieldHockey!$C:$O,I$1-2011,FALSE),0)+IFERROR(VLOOKUP($A173,WIceHockey!$C:$O,I$1-2011,FALSE),0)+IFERROR(VLOOKUP($A173,WLacrosse!$C:$O,I$1-2011,FALSE),0)+IFERROR(VLOOKUP($A173,WSoccer!$C:$O,I$1-2011,FALSE),0)+IFERROR(VLOOKUP($A173,WSoftball!$C:$O,I$1-2011,FALSE),0)+IFERROR(VLOOKUP($A173,WVolleyball!$C:$O,I$1-2011,FALSE),0)</f>
        <v>144902</v>
      </c>
      <c r="J173">
        <f>IFERROR(VLOOKUP($A173,MBaseball!$C:$N,J$1-2010,FALSE),0)+IFERROR(VLOOKUP($A173,MBasketball!$C:$J,J$1-2006,FALSE),0)+IFERROR(VLOOKUP($A173,MFootball!$C:$O,J$1-2011,FALSE),0)+IFERROR(VLOOKUP($A173,MIceHockey!$C:$P,J$1-2011,FALSE),0)+IFERROR(VLOOKUP($A173,MLacrosse!$C:$O,J$1-2011,FALSE),0)+IFERROR(VLOOKUP($A173,MSoccer!$C:$O,J$1-2011,FALSE),0)+IFERROR(VLOOKUP($A173,MVolleyball!$C:$O,J$1-2011,FALSE),0)+IFERROR(VLOOKUP($A173,WBasketball!$C:$O,J$1-2011,FALSE),0)+IFERROR(VLOOKUP($A173,WFieldHockey!$C:$O,J$1-2011,FALSE),0)+IFERROR(VLOOKUP($A173,WIceHockey!$C:$O,J$1-2011,FALSE),0)+IFERROR(VLOOKUP($A173,WLacrosse!$C:$O,J$1-2011,FALSE),0)+IFERROR(VLOOKUP($A173,WSoccer!$C:$O,J$1-2011,FALSE),0)+IFERROR(VLOOKUP($A173,WSoftball!$C:$O,J$1-2011,FALSE),0)+IFERROR(VLOOKUP($A173,WVolleyball!$C:$O,J$1-2011,FALSE),0)</f>
        <v>171680</v>
      </c>
      <c r="K173">
        <f>IFERROR(VLOOKUP($A173,MBaseball!$C:$N,K$1-2010,FALSE),0)+IFERROR(VLOOKUP($A173,MBasketball!$C:$J,K$1-2006,FALSE),0)+IFERROR(VLOOKUP($A173,MFootball!$C:$O,K$1-2011,FALSE),0)+IFERROR(VLOOKUP($A173,MIceHockey!$C:$P,K$1-2011,FALSE),0)+IFERROR(VLOOKUP($A173,MLacrosse!$C:$O,K$1-2011,FALSE),0)+IFERROR(VLOOKUP($A173,MSoccer!$C:$O,K$1-2011,FALSE),0)+IFERROR(VLOOKUP($A173,MVolleyball!$C:$O,K$1-2011,FALSE),0)+IFERROR(VLOOKUP($A173,WBasketball!$C:$O,K$1-2011,FALSE),0)+IFERROR(VLOOKUP($A173,WFieldHockey!$C:$O,K$1-2011,FALSE),0)+IFERROR(VLOOKUP($A173,WIceHockey!$C:$O,K$1-2011,FALSE),0)+IFERROR(VLOOKUP($A173,WLacrosse!$C:$O,K$1-2011,FALSE),0)+IFERROR(VLOOKUP($A173,WSoccer!$C:$O,K$1-2011,FALSE),0)+IFERROR(VLOOKUP($A173,WSoftball!$C:$O,K$1-2011,FALSE),0)+IFERROR(VLOOKUP($A173,WVolleyball!$C:$O,K$1-2011,FALSE),0)</f>
        <v>137055</v>
      </c>
      <c r="L173">
        <f>IFERROR(VLOOKUP($A173,MBaseball!$C:$N,L$1-2010,FALSE),0)+IFERROR(VLOOKUP($A173,MBasketball!$C:$J,L$1-2006,FALSE),0)+IFERROR(VLOOKUP($A173,MFootball!$C:$O,L$1-2011,FALSE),0)+IFERROR(VLOOKUP($A173,MIceHockey!$C:$P,L$1-2011,FALSE),0)+IFERROR(VLOOKUP($A173,MLacrosse!$C:$O,L$1-2011,FALSE),0)+IFERROR(VLOOKUP($A173,MSoccer!$C:$O,L$1-2011,FALSE),0)+IFERROR(VLOOKUP($A173,MVolleyball!$C:$O,L$1-2011,FALSE),0)+IFERROR(VLOOKUP($A173,WBasketball!$C:$O,L$1-2011,FALSE),0)+IFERROR(VLOOKUP($A173,WFieldHockey!$C:$O,L$1-2011,FALSE),0)+IFERROR(VLOOKUP($A173,WIceHockey!$C:$O,L$1-2011,FALSE),0)+IFERROR(VLOOKUP($A173,WLacrosse!$C:$O,L$1-2011,FALSE),0)+IFERROR(VLOOKUP($A173,WSoccer!$C:$O,L$1-2011,FALSE),0)+IFERROR(VLOOKUP($A173,WSoftball!$C:$O,L$1-2011,FALSE),0)+IFERROR(VLOOKUP($A173,WVolleyball!$C:$O,L$1-2011,FALSE),0)</f>
        <v>53274</v>
      </c>
      <c r="M173">
        <f>IFERROR(VLOOKUP($A173,MBaseball!$C:$N,M$1-2010,FALSE),0)+IFERROR(VLOOKUP($A173,MBasketball!$C:$J,M$1-2006,FALSE),0)+IFERROR(VLOOKUP($A173,MFootball!$C:$O,M$1-2011,FALSE),0)+IFERROR(VLOOKUP($A173,MIceHockey!$C:$P,M$1-2011,FALSE),0)+IFERROR(VLOOKUP($A173,MLacrosse!$C:$O,M$1-2011,FALSE),0)+IFERROR(VLOOKUP($A173,MSoccer!$C:$O,M$1-2011,FALSE),0)+IFERROR(VLOOKUP($A173,MVolleyball!$C:$O,M$1-2011,FALSE),0)+IFERROR(VLOOKUP($A173,WBasketball!$C:$O,M$1-2011,FALSE),0)+IFERROR(VLOOKUP($A173,WFieldHockey!$C:$O,M$1-2011,FALSE),0)+IFERROR(VLOOKUP($A173,WIceHockey!$C:$O,M$1-2011,FALSE),0)+IFERROR(VLOOKUP($A173,WLacrosse!$C:$O,M$1-2011,FALSE),0)+IFERROR(VLOOKUP($A173,WSoccer!$C:$O,M$1-2011,FALSE),0)+IFERROR(VLOOKUP($A173,WSoftball!$C:$O,M$1-2011,FALSE),0)+IFERROR(VLOOKUP($A173,WVolleyball!$C:$O,M$1-2011,FALSE),0)</f>
        <v>219479</v>
      </c>
      <c r="N173">
        <f>IFERROR(VLOOKUP($A173,MBaseball!$C:$N,N$1-2010,FALSE),0)+IFERROR(VLOOKUP($A173,MBasketball!$C:$J,N$1-2006,FALSE),0)+IFERROR(VLOOKUP($A173,MFootball!$C:$O,N$1-2011,FALSE),0)+IFERROR(VLOOKUP($A173,MIceHockey!$C:$P,N$1-2011,FALSE),0)+IFERROR(VLOOKUP($A173,MLacrosse!$C:$O,N$1-2011,FALSE),0)+IFERROR(VLOOKUP($A173,MSoccer!$C:$O,N$1-2011,FALSE),0)+IFERROR(VLOOKUP($A173,MVolleyball!$C:$O,N$1-2011,FALSE),0)+IFERROR(VLOOKUP($A173,WBasketball!$C:$O,N$1-2011,FALSE),0)+IFERROR(VLOOKUP($A173,WFieldHockey!$C:$O,N$1-2011,FALSE),0)+IFERROR(VLOOKUP($A173,WIceHockey!$C:$O,N$1-2011,FALSE),0)+IFERROR(VLOOKUP($A173,WLacrosse!$C:$O,N$1-2011,FALSE),0)+IFERROR(VLOOKUP($A173,WSoccer!$C:$O,N$1-2011,FALSE),0)+IFERROR(VLOOKUP($A173,WSoftball!$C:$O,N$1-2011,FALSE),0)+IFERROR(VLOOKUP($A173,WVolleyball!$C:$O,N$1-2011,FALSE),0)</f>
        <v>228331</v>
      </c>
    </row>
    <row r="174" spans="1:14" x14ac:dyDescent="0.2">
      <c r="A174">
        <v>234030</v>
      </c>
      <c r="B174">
        <v>40060</v>
      </c>
      <c r="C174" t="s">
        <v>240</v>
      </c>
      <c r="D174">
        <v>173</v>
      </c>
      <c r="E174">
        <f>IFERROR(VLOOKUP($A174,MBaseball!$C:$N,E$1-2010,FALSE),0)+IFERROR(VLOOKUP($A174,MBasketball!$C:$J,E$1-2006,FALSE),0)+IFERROR(VLOOKUP($A174,MFootball!$C:$O,E$1-2011,FALSE),0)+IFERROR(VLOOKUP($A174,MIceHockey!$C:$P,E$1-2011,FALSE),0)+IFERROR(VLOOKUP($A174,MLacrosse!$C:$O,E$1-2011,FALSE),0)+IFERROR(VLOOKUP($A174,MSoccer!$C:$O,E$1-2011,FALSE),0)+IFERROR(VLOOKUP($A174,MVolleyball!$C:$O,E$1-2011,FALSE),0)+IFERROR(VLOOKUP($A174,WBasketball!$C:$O,E$1-2011,FALSE),0)+IFERROR(VLOOKUP($A174,WFieldHockey!$C:$O,E$1-2011,FALSE),0)+IFERROR(VLOOKUP($A174,WIceHockey!$C:$O,E$1-2011,FALSE),0)+IFERROR(VLOOKUP($A174,WLacrosse!$C:$O,E$1-2011,FALSE),0)+IFERROR(VLOOKUP($A174,WSoccer!$C:$O,E$1-2011,FALSE),0)+IFERROR(VLOOKUP($A174,WSoftball!$C:$O,E$1-2011,FALSE),0)+IFERROR(VLOOKUP($A174,WVolleyball!$C:$O,E$1-2011,FALSE),0)</f>
        <v>168790</v>
      </c>
      <c r="F174">
        <f>IFERROR(VLOOKUP($A174,MBaseball!$C:$N,F$1-2010,FALSE),0)+IFERROR(VLOOKUP($A174,MBasketball!$C:$J,F$1-2006,FALSE),0)+IFERROR(VLOOKUP($A174,MFootball!$C:$O,F$1-2011,FALSE),0)+IFERROR(VLOOKUP($A174,MIceHockey!$C:$P,F$1-2011,FALSE),0)+IFERROR(VLOOKUP($A174,MLacrosse!$C:$O,F$1-2011,FALSE),0)+IFERROR(VLOOKUP($A174,MSoccer!$C:$O,F$1-2011,FALSE),0)+IFERROR(VLOOKUP($A174,MVolleyball!$C:$O,F$1-2011,FALSE),0)+IFERROR(VLOOKUP($A174,WBasketball!$C:$O,F$1-2011,FALSE),0)+IFERROR(VLOOKUP($A174,WFieldHockey!$C:$O,F$1-2011,FALSE),0)+IFERROR(VLOOKUP($A174,WIceHockey!$C:$O,F$1-2011,FALSE),0)+IFERROR(VLOOKUP($A174,WLacrosse!$C:$O,F$1-2011,FALSE),0)+IFERROR(VLOOKUP($A174,WSoccer!$C:$O,F$1-2011,FALSE),0)+IFERROR(VLOOKUP($A174,WSoftball!$C:$O,F$1-2011,FALSE),0)+IFERROR(VLOOKUP($A174,WVolleyball!$C:$O,F$1-2011,FALSE),0)</f>
        <v>41753</v>
      </c>
      <c r="G174">
        <f>IFERROR(VLOOKUP($A174,MBaseball!$C:$N,G$1-2010,FALSE),0)+IFERROR(VLOOKUP($A174,MBasketball!$C:$J,G$1-2006,FALSE),0)+IFERROR(VLOOKUP($A174,MFootball!$C:$O,G$1-2011,FALSE),0)+IFERROR(VLOOKUP($A174,MIceHockey!$C:$P,G$1-2011,FALSE),0)+IFERROR(VLOOKUP($A174,MLacrosse!$C:$O,G$1-2011,FALSE),0)+IFERROR(VLOOKUP($A174,MSoccer!$C:$O,G$1-2011,FALSE),0)+IFERROR(VLOOKUP($A174,MVolleyball!$C:$O,G$1-2011,FALSE),0)+IFERROR(VLOOKUP($A174,WBasketball!$C:$O,G$1-2011,FALSE),0)+IFERROR(VLOOKUP($A174,WFieldHockey!$C:$O,G$1-2011,FALSE),0)+IFERROR(VLOOKUP($A174,WIceHockey!$C:$O,G$1-2011,FALSE),0)+IFERROR(VLOOKUP($A174,WLacrosse!$C:$O,G$1-2011,FALSE),0)+IFERROR(VLOOKUP($A174,WSoccer!$C:$O,G$1-2011,FALSE),0)+IFERROR(VLOOKUP($A174,WSoftball!$C:$O,G$1-2011,FALSE),0)+IFERROR(VLOOKUP($A174,WVolleyball!$C:$O,G$1-2011,FALSE),0)</f>
        <v>52448</v>
      </c>
      <c r="H174">
        <f>IFERROR(VLOOKUP($A174,MBaseball!$C:$N,H$1-2010,FALSE),0)+IFERROR(VLOOKUP($A174,MBasketball!$C:$J,H$1-2006,FALSE),0)+IFERROR(VLOOKUP($A174,MFootball!$C:$O,H$1-2011,FALSE),0)+IFERROR(VLOOKUP($A174,MIceHockey!$C:$P,H$1-2011,FALSE),0)+IFERROR(VLOOKUP($A174,MLacrosse!$C:$O,H$1-2011,FALSE),0)+IFERROR(VLOOKUP($A174,MSoccer!$C:$O,H$1-2011,FALSE),0)+IFERROR(VLOOKUP($A174,MVolleyball!$C:$O,H$1-2011,FALSE),0)+IFERROR(VLOOKUP($A174,WBasketball!$C:$O,H$1-2011,FALSE),0)+IFERROR(VLOOKUP($A174,WFieldHockey!$C:$O,H$1-2011,FALSE),0)+IFERROR(VLOOKUP($A174,WIceHockey!$C:$O,H$1-2011,FALSE),0)+IFERROR(VLOOKUP($A174,WLacrosse!$C:$O,H$1-2011,FALSE),0)+IFERROR(VLOOKUP($A174,WSoccer!$C:$O,H$1-2011,FALSE),0)+IFERROR(VLOOKUP($A174,WSoftball!$C:$O,H$1-2011,FALSE),0)+IFERROR(VLOOKUP($A174,WVolleyball!$C:$O,H$1-2011,FALSE),0)</f>
        <v>49390</v>
      </c>
      <c r="I174">
        <f>IFERROR(VLOOKUP($A174,MBaseball!$C:$N,I$1-2010,FALSE),0)+IFERROR(VLOOKUP($A174,MBasketball!$C:$J,I$1-2006,FALSE),0)+IFERROR(VLOOKUP($A174,MFootball!$C:$O,I$1-2011,FALSE),0)+IFERROR(VLOOKUP($A174,MIceHockey!$C:$P,I$1-2011,FALSE),0)+IFERROR(VLOOKUP($A174,MLacrosse!$C:$O,I$1-2011,FALSE),0)+IFERROR(VLOOKUP($A174,MSoccer!$C:$O,I$1-2011,FALSE),0)+IFERROR(VLOOKUP($A174,MVolleyball!$C:$O,I$1-2011,FALSE),0)+IFERROR(VLOOKUP($A174,WBasketball!$C:$O,I$1-2011,FALSE),0)+IFERROR(VLOOKUP($A174,WFieldHockey!$C:$O,I$1-2011,FALSE),0)+IFERROR(VLOOKUP($A174,WIceHockey!$C:$O,I$1-2011,FALSE),0)+IFERROR(VLOOKUP($A174,WLacrosse!$C:$O,I$1-2011,FALSE),0)+IFERROR(VLOOKUP($A174,WSoccer!$C:$O,I$1-2011,FALSE),0)+IFERROR(VLOOKUP($A174,WSoftball!$C:$O,I$1-2011,FALSE),0)+IFERROR(VLOOKUP($A174,WVolleyball!$C:$O,I$1-2011,FALSE),0)</f>
        <v>45586</v>
      </c>
      <c r="J174">
        <f>IFERROR(VLOOKUP($A174,MBaseball!$C:$N,J$1-2010,FALSE),0)+IFERROR(VLOOKUP($A174,MBasketball!$C:$J,J$1-2006,FALSE),0)+IFERROR(VLOOKUP($A174,MFootball!$C:$O,J$1-2011,FALSE),0)+IFERROR(VLOOKUP($A174,MIceHockey!$C:$P,J$1-2011,FALSE),0)+IFERROR(VLOOKUP($A174,MLacrosse!$C:$O,J$1-2011,FALSE),0)+IFERROR(VLOOKUP($A174,MSoccer!$C:$O,J$1-2011,FALSE),0)+IFERROR(VLOOKUP($A174,MVolleyball!$C:$O,J$1-2011,FALSE),0)+IFERROR(VLOOKUP($A174,WBasketball!$C:$O,J$1-2011,FALSE),0)+IFERROR(VLOOKUP($A174,WFieldHockey!$C:$O,J$1-2011,FALSE),0)+IFERROR(VLOOKUP($A174,WIceHockey!$C:$O,J$1-2011,FALSE),0)+IFERROR(VLOOKUP($A174,WLacrosse!$C:$O,J$1-2011,FALSE),0)+IFERROR(VLOOKUP($A174,WSoccer!$C:$O,J$1-2011,FALSE),0)+IFERROR(VLOOKUP($A174,WSoftball!$C:$O,J$1-2011,FALSE),0)+IFERROR(VLOOKUP($A174,WVolleyball!$C:$O,J$1-2011,FALSE),0)</f>
        <v>40306</v>
      </c>
      <c r="K174">
        <f>IFERROR(VLOOKUP($A174,MBaseball!$C:$N,K$1-2010,FALSE),0)+IFERROR(VLOOKUP($A174,MBasketball!$C:$J,K$1-2006,FALSE),0)+IFERROR(VLOOKUP($A174,MFootball!$C:$O,K$1-2011,FALSE),0)+IFERROR(VLOOKUP($A174,MIceHockey!$C:$P,K$1-2011,FALSE),0)+IFERROR(VLOOKUP($A174,MLacrosse!$C:$O,K$1-2011,FALSE),0)+IFERROR(VLOOKUP($A174,MSoccer!$C:$O,K$1-2011,FALSE),0)+IFERROR(VLOOKUP($A174,MVolleyball!$C:$O,K$1-2011,FALSE),0)+IFERROR(VLOOKUP($A174,WBasketball!$C:$O,K$1-2011,FALSE),0)+IFERROR(VLOOKUP($A174,WFieldHockey!$C:$O,K$1-2011,FALSE),0)+IFERROR(VLOOKUP($A174,WIceHockey!$C:$O,K$1-2011,FALSE),0)+IFERROR(VLOOKUP($A174,WLacrosse!$C:$O,K$1-2011,FALSE),0)+IFERROR(VLOOKUP($A174,WSoccer!$C:$O,K$1-2011,FALSE),0)+IFERROR(VLOOKUP($A174,WSoftball!$C:$O,K$1-2011,FALSE),0)+IFERROR(VLOOKUP($A174,WVolleyball!$C:$O,K$1-2011,FALSE),0)</f>
        <v>44907</v>
      </c>
      <c r="L174">
        <f>IFERROR(VLOOKUP($A174,MBaseball!$C:$N,L$1-2010,FALSE),0)+IFERROR(VLOOKUP($A174,MBasketball!$C:$J,L$1-2006,FALSE),0)+IFERROR(VLOOKUP($A174,MFootball!$C:$O,L$1-2011,FALSE),0)+IFERROR(VLOOKUP($A174,MIceHockey!$C:$P,L$1-2011,FALSE),0)+IFERROR(VLOOKUP($A174,MLacrosse!$C:$O,L$1-2011,FALSE),0)+IFERROR(VLOOKUP($A174,MSoccer!$C:$O,L$1-2011,FALSE),0)+IFERROR(VLOOKUP($A174,MVolleyball!$C:$O,L$1-2011,FALSE),0)+IFERROR(VLOOKUP($A174,WBasketball!$C:$O,L$1-2011,FALSE),0)+IFERROR(VLOOKUP($A174,WFieldHockey!$C:$O,L$1-2011,FALSE),0)+IFERROR(VLOOKUP($A174,WIceHockey!$C:$O,L$1-2011,FALSE),0)+IFERROR(VLOOKUP($A174,WLacrosse!$C:$O,L$1-2011,FALSE),0)+IFERROR(VLOOKUP($A174,WSoccer!$C:$O,L$1-2011,FALSE),0)+IFERROR(VLOOKUP($A174,WSoftball!$C:$O,L$1-2011,FALSE),0)+IFERROR(VLOOKUP($A174,WVolleyball!$C:$O,L$1-2011,FALSE),0)</f>
        <v>20387</v>
      </c>
      <c r="M174">
        <f>IFERROR(VLOOKUP($A174,MBaseball!$C:$N,M$1-2010,FALSE),0)+IFERROR(VLOOKUP($A174,MBasketball!$C:$J,M$1-2006,FALSE),0)+IFERROR(VLOOKUP($A174,MFootball!$C:$O,M$1-2011,FALSE),0)+IFERROR(VLOOKUP($A174,MIceHockey!$C:$P,M$1-2011,FALSE),0)+IFERROR(VLOOKUP($A174,MLacrosse!$C:$O,M$1-2011,FALSE),0)+IFERROR(VLOOKUP($A174,MSoccer!$C:$O,M$1-2011,FALSE),0)+IFERROR(VLOOKUP($A174,MVolleyball!$C:$O,M$1-2011,FALSE),0)+IFERROR(VLOOKUP($A174,WBasketball!$C:$O,M$1-2011,FALSE),0)+IFERROR(VLOOKUP($A174,WFieldHockey!$C:$O,M$1-2011,FALSE),0)+IFERROR(VLOOKUP($A174,WIceHockey!$C:$O,M$1-2011,FALSE),0)+IFERROR(VLOOKUP($A174,WLacrosse!$C:$O,M$1-2011,FALSE),0)+IFERROR(VLOOKUP($A174,WSoccer!$C:$O,M$1-2011,FALSE),0)+IFERROR(VLOOKUP($A174,WSoftball!$C:$O,M$1-2011,FALSE),0)+IFERROR(VLOOKUP($A174,WVolleyball!$C:$O,M$1-2011,FALSE),0)</f>
        <v>35861</v>
      </c>
      <c r="N174">
        <f>IFERROR(VLOOKUP($A174,MBaseball!$C:$N,N$1-2010,FALSE),0)+IFERROR(VLOOKUP($A174,MBasketball!$C:$J,N$1-2006,FALSE),0)+IFERROR(VLOOKUP($A174,MFootball!$C:$O,N$1-2011,FALSE),0)+IFERROR(VLOOKUP($A174,MIceHockey!$C:$P,N$1-2011,FALSE),0)+IFERROR(VLOOKUP($A174,MLacrosse!$C:$O,N$1-2011,FALSE),0)+IFERROR(VLOOKUP($A174,MSoccer!$C:$O,N$1-2011,FALSE),0)+IFERROR(VLOOKUP($A174,MVolleyball!$C:$O,N$1-2011,FALSE),0)+IFERROR(VLOOKUP($A174,WBasketball!$C:$O,N$1-2011,FALSE),0)+IFERROR(VLOOKUP($A174,WFieldHockey!$C:$O,N$1-2011,FALSE),0)+IFERROR(VLOOKUP($A174,WIceHockey!$C:$O,N$1-2011,FALSE),0)+IFERROR(VLOOKUP($A174,WLacrosse!$C:$O,N$1-2011,FALSE),0)+IFERROR(VLOOKUP($A174,WSoccer!$C:$O,N$1-2011,FALSE),0)+IFERROR(VLOOKUP($A174,WSoftball!$C:$O,N$1-2011,FALSE),0)+IFERROR(VLOOKUP($A174,WVolleyball!$C:$O,N$1-2011,FALSE),0)</f>
        <v>26884</v>
      </c>
    </row>
    <row r="175" spans="1:14" x14ac:dyDescent="0.2">
      <c r="A175">
        <v>231174</v>
      </c>
      <c r="B175">
        <v>15540</v>
      </c>
      <c r="C175" t="s">
        <v>241</v>
      </c>
      <c r="D175">
        <v>174</v>
      </c>
      <c r="E175">
        <f>IFERROR(VLOOKUP($A175,MBaseball!$C:$N,E$1-2010,FALSE),0)+IFERROR(VLOOKUP($A175,MBasketball!$C:$J,E$1-2006,FALSE),0)+IFERROR(VLOOKUP($A175,MFootball!$C:$O,E$1-2011,FALSE),0)+IFERROR(VLOOKUP($A175,MIceHockey!$C:$P,E$1-2011,FALSE),0)+IFERROR(VLOOKUP($A175,MLacrosse!$C:$O,E$1-2011,FALSE),0)+IFERROR(VLOOKUP($A175,MSoccer!$C:$O,E$1-2011,FALSE),0)+IFERROR(VLOOKUP($A175,MVolleyball!$C:$O,E$1-2011,FALSE),0)+IFERROR(VLOOKUP($A175,WBasketball!$C:$O,E$1-2011,FALSE),0)+IFERROR(VLOOKUP($A175,WFieldHockey!$C:$O,E$1-2011,FALSE),0)+IFERROR(VLOOKUP($A175,WIceHockey!$C:$O,E$1-2011,FALSE),0)+IFERROR(VLOOKUP($A175,WLacrosse!$C:$O,E$1-2011,FALSE),0)+IFERROR(VLOOKUP($A175,WSoccer!$C:$O,E$1-2011,FALSE),0)+IFERROR(VLOOKUP($A175,WSoftball!$C:$O,E$1-2011,FALSE),0)+IFERROR(VLOOKUP($A175,WVolleyball!$C:$O,E$1-2011,FALSE),0)</f>
        <v>67780</v>
      </c>
      <c r="F175">
        <f>IFERROR(VLOOKUP($A175,MBaseball!$C:$N,F$1-2010,FALSE),0)+IFERROR(VLOOKUP($A175,MBasketball!$C:$J,F$1-2006,FALSE),0)+IFERROR(VLOOKUP($A175,MFootball!$C:$O,F$1-2011,FALSE),0)+IFERROR(VLOOKUP($A175,MIceHockey!$C:$P,F$1-2011,FALSE),0)+IFERROR(VLOOKUP($A175,MLacrosse!$C:$O,F$1-2011,FALSE),0)+IFERROR(VLOOKUP($A175,MSoccer!$C:$O,F$1-2011,FALSE),0)+IFERROR(VLOOKUP($A175,MVolleyball!$C:$O,F$1-2011,FALSE),0)+IFERROR(VLOOKUP($A175,WBasketball!$C:$O,F$1-2011,FALSE),0)+IFERROR(VLOOKUP($A175,WFieldHockey!$C:$O,F$1-2011,FALSE),0)+IFERROR(VLOOKUP($A175,WIceHockey!$C:$O,F$1-2011,FALSE),0)+IFERROR(VLOOKUP($A175,WLacrosse!$C:$O,F$1-2011,FALSE),0)+IFERROR(VLOOKUP($A175,WSoccer!$C:$O,F$1-2011,FALSE),0)+IFERROR(VLOOKUP($A175,WSoftball!$C:$O,F$1-2011,FALSE),0)+IFERROR(VLOOKUP($A175,WVolleyball!$C:$O,F$1-2011,FALSE),0)</f>
        <v>98100</v>
      </c>
      <c r="G175">
        <f>IFERROR(VLOOKUP($A175,MBaseball!$C:$N,G$1-2010,FALSE),0)+IFERROR(VLOOKUP($A175,MBasketball!$C:$J,G$1-2006,FALSE),0)+IFERROR(VLOOKUP($A175,MFootball!$C:$O,G$1-2011,FALSE),0)+IFERROR(VLOOKUP($A175,MIceHockey!$C:$P,G$1-2011,FALSE),0)+IFERROR(VLOOKUP($A175,MLacrosse!$C:$O,G$1-2011,FALSE),0)+IFERROR(VLOOKUP($A175,MSoccer!$C:$O,G$1-2011,FALSE),0)+IFERROR(VLOOKUP($A175,MVolleyball!$C:$O,G$1-2011,FALSE),0)+IFERROR(VLOOKUP($A175,WBasketball!$C:$O,G$1-2011,FALSE),0)+IFERROR(VLOOKUP($A175,WFieldHockey!$C:$O,G$1-2011,FALSE),0)+IFERROR(VLOOKUP($A175,WIceHockey!$C:$O,G$1-2011,FALSE),0)+IFERROR(VLOOKUP($A175,WLacrosse!$C:$O,G$1-2011,FALSE),0)+IFERROR(VLOOKUP($A175,WSoccer!$C:$O,G$1-2011,FALSE),0)+IFERROR(VLOOKUP($A175,WSoftball!$C:$O,G$1-2011,FALSE),0)+IFERROR(VLOOKUP($A175,WVolleyball!$C:$O,G$1-2011,FALSE),0)</f>
        <v>103400</v>
      </c>
      <c r="H175">
        <f>IFERROR(VLOOKUP($A175,MBaseball!$C:$N,H$1-2010,FALSE),0)+IFERROR(VLOOKUP($A175,MBasketball!$C:$J,H$1-2006,FALSE),0)+IFERROR(VLOOKUP($A175,MFootball!$C:$O,H$1-2011,FALSE),0)+IFERROR(VLOOKUP($A175,MIceHockey!$C:$P,H$1-2011,FALSE),0)+IFERROR(VLOOKUP($A175,MLacrosse!$C:$O,H$1-2011,FALSE),0)+IFERROR(VLOOKUP($A175,MSoccer!$C:$O,H$1-2011,FALSE),0)+IFERROR(VLOOKUP($A175,MVolleyball!$C:$O,H$1-2011,FALSE),0)+IFERROR(VLOOKUP($A175,WBasketball!$C:$O,H$1-2011,FALSE),0)+IFERROR(VLOOKUP($A175,WFieldHockey!$C:$O,H$1-2011,FALSE),0)+IFERROR(VLOOKUP($A175,WIceHockey!$C:$O,H$1-2011,FALSE),0)+IFERROR(VLOOKUP($A175,WLacrosse!$C:$O,H$1-2011,FALSE),0)+IFERROR(VLOOKUP($A175,WSoccer!$C:$O,H$1-2011,FALSE),0)+IFERROR(VLOOKUP($A175,WSoftball!$C:$O,H$1-2011,FALSE),0)+IFERROR(VLOOKUP($A175,WVolleyball!$C:$O,H$1-2011,FALSE),0)</f>
        <v>105424</v>
      </c>
      <c r="I175">
        <f>IFERROR(VLOOKUP($A175,MBaseball!$C:$N,I$1-2010,FALSE),0)+IFERROR(VLOOKUP($A175,MBasketball!$C:$J,I$1-2006,FALSE),0)+IFERROR(VLOOKUP($A175,MFootball!$C:$O,I$1-2011,FALSE),0)+IFERROR(VLOOKUP($A175,MIceHockey!$C:$P,I$1-2011,FALSE),0)+IFERROR(VLOOKUP($A175,MLacrosse!$C:$O,I$1-2011,FALSE),0)+IFERROR(VLOOKUP($A175,MSoccer!$C:$O,I$1-2011,FALSE),0)+IFERROR(VLOOKUP($A175,MVolleyball!$C:$O,I$1-2011,FALSE),0)+IFERROR(VLOOKUP($A175,WBasketball!$C:$O,I$1-2011,FALSE),0)+IFERROR(VLOOKUP($A175,WFieldHockey!$C:$O,I$1-2011,FALSE),0)+IFERROR(VLOOKUP($A175,WIceHockey!$C:$O,I$1-2011,FALSE),0)+IFERROR(VLOOKUP($A175,WLacrosse!$C:$O,I$1-2011,FALSE),0)+IFERROR(VLOOKUP($A175,WSoccer!$C:$O,I$1-2011,FALSE),0)+IFERROR(VLOOKUP($A175,WSoftball!$C:$O,I$1-2011,FALSE),0)+IFERROR(VLOOKUP($A175,WVolleyball!$C:$O,I$1-2011,FALSE),0)</f>
        <v>91059</v>
      </c>
      <c r="J175">
        <f>IFERROR(VLOOKUP($A175,MBaseball!$C:$N,J$1-2010,FALSE),0)+IFERROR(VLOOKUP($A175,MBasketball!$C:$J,J$1-2006,FALSE),0)+IFERROR(VLOOKUP($A175,MFootball!$C:$O,J$1-2011,FALSE),0)+IFERROR(VLOOKUP($A175,MIceHockey!$C:$P,J$1-2011,FALSE),0)+IFERROR(VLOOKUP($A175,MLacrosse!$C:$O,J$1-2011,FALSE),0)+IFERROR(VLOOKUP($A175,MSoccer!$C:$O,J$1-2011,FALSE),0)+IFERROR(VLOOKUP($A175,MVolleyball!$C:$O,J$1-2011,FALSE),0)+IFERROR(VLOOKUP($A175,WBasketball!$C:$O,J$1-2011,FALSE),0)+IFERROR(VLOOKUP($A175,WFieldHockey!$C:$O,J$1-2011,FALSE),0)+IFERROR(VLOOKUP($A175,WIceHockey!$C:$O,J$1-2011,FALSE),0)+IFERROR(VLOOKUP($A175,WLacrosse!$C:$O,J$1-2011,FALSE),0)+IFERROR(VLOOKUP($A175,WSoccer!$C:$O,J$1-2011,FALSE),0)+IFERROR(VLOOKUP($A175,WSoftball!$C:$O,J$1-2011,FALSE),0)+IFERROR(VLOOKUP($A175,WVolleyball!$C:$O,J$1-2011,FALSE),0)</f>
        <v>89143</v>
      </c>
      <c r="K175">
        <f>IFERROR(VLOOKUP($A175,MBaseball!$C:$N,K$1-2010,FALSE),0)+IFERROR(VLOOKUP($A175,MBasketball!$C:$J,K$1-2006,FALSE),0)+IFERROR(VLOOKUP($A175,MFootball!$C:$O,K$1-2011,FALSE),0)+IFERROR(VLOOKUP($A175,MIceHockey!$C:$P,K$1-2011,FALSE),0)+IFERROR(VLOOKUP($A175,MLacrosse!$C:$O,K$1-2011,FALSE),0)+IFERROR(VLOOKUP($A175,MSoccer!$C:$O,K$1-2011,FALSE),0)+IFERROR(VLOOKUP($A175,MVolleyball!$C:$O,K$1-2011,FALSE),0)+IFERROR(VLOOKUP($A175,WBasketball!$C:$O,K$1-2011,FALSE),0)+IFERROR(VLOOKUP($A175,WFieldHockey!$C:$O,K$1-2011,FALSE),0)+IFERROR(VLOOKUP($A175,WIceHockey!$C:$O,K$1-2011,FALSE),0)+IFERROR(VLOOKUP($A175,WLacrosse!$C:$O,K$1-2011,FALSE),0)+IFERROR(VLOOKUP($A175,WSoccer!$C:$O,K$1-2011,FALSE),0)+IFERROR(VLOOKUP($A175,WSoftball!$C:$O,K$1-2011,FALSE),0)+IFERROR(VLOOKUP($A175,WVolleyball!$C:$O,K$1-2011,FALSE),0)</f>
        <v>66785</v>
      </c>
      <c r="L175">
        <f>IFERROR(VLOOKUP($A175,MBaseball!$C:$N,L$1-2010,FALSE),0)+IFERROR(VLOOKUP($A175,MBasketball!$C:$J,L$1-2006,FALSE),0)+IFERROR(VLOOKUP($A175,MFootball!$C:$O,L$1-2011,FALSE),0)+IFERROR(VLOOKUP($A175,MIceHockey!$C:$P,L$1-2011,FALSE),0)+IFERROR(VLOOKUP($A175,MLacrosse!$C:$O,L$1-2011,FALSE),0)+IFERROR(VLOOKUP($A175,MSoccer!$C:$O,L$1-2011,FALSE),0)+IFERROR(VLOOKUP($A175,MVolleyball!$C:$O,L$1-2011,FALSE),0)+IFERROR(VLOOKUP($A175,WBasketball!$C:$O,L$1-2011,FALSE),0)+IFERROR(VLOOKUP($A175,WFieldHockey!$C:$O,L$1-2011,FALSE),0)+IFERROR(VLOOKUP($A175,WIceHockey!$C:$O,L$1-2011,FALSE),0)+IFERROR(VLOOKUP($A175,WLacrosse!$C:$O,L$1-2011,FALSE),0)+IFERROR(VLOOKUP($A175,WSoccer!$C:$O,L$1-2011,FALSE),0)+IFERROR(VLOOKUP($A175,WSoftball!$C:$O,L$1-2011,FALSE),0)+IFERROR(VLOOKUP($A175,WVolleyball!$C:$O,L$1-2011,FALSE),0)</f>
        <v>1168</v>
      </c>
      <c r="M175">
        <f>IFERROR(VLOOKUP($A175,MBaseball!$C:$N,M$1-2010,FALSE),0)+IFERROR(VLOOKUP($A175,MBasketball!$C:$J,M$1-2006,FALSE),0)+IFERROR(VLOOKUP($A175,MFootball!$C:$O,M$1-2011,FALSE),0)+IFERROR(VLOOKUP($A175,MIceHockey!$C:$P,M$1-2011,FALSE),0)+IFERROR(VLOOKUP($A175,MLacrosse!$C:$O,M$1-2011,FALSE),0)+IFERROR(VLOOKUP($A175,MSoccer!$C:$O,M$1-2011,FALSE),0)+IFERROR(VLOOKUP($A175,MVolleyball!$C:$O,M$1-2011,FALSE),0)+IFERROR(VLOOKUP($A175,WBasketball!$C:$O,M$1-2011,FALSE),0)+IFERROR(VLOOKUP($A175,WFieldHockey!$C:$O,M$1-2011,FALSE),0)+IFERROR(VLOOKUP($A175,WIceHockey!$C:$O,M$1-2011,FALSE),0)+IFERROR(VLOOKUP($A175,WLacrosse!$C:$O,M$1-2011,FALSE),0)+IFERROR(VLOOKUP($A175,WSoccer!$C:$O,M$1-2011,FALSE),0)+IFERROR(VLOOKUP($A175,WSoftball!$C:$O,M$1-2011,FALSE),0)+IFERROR(VLOOKUP($A175,WVolleyball!$C:$O,M$1-2011,FALSE),0)</f>
        <v>82820</v>
      </c>
      <c r="N175">
        <f>IFERROR(VLOOKUP($A175,MBaseball!$C:$N,N$1-2010,FALSE),0)+IFERROR(VLOOKUP($A175,MBasketball!$C:$J,N$1-2006,FALSE),0)+IFERROR(VLOOKUP($A175,MFootball!$C:$O,N$1-2011,FALSE),0)+IFERROR(VLOOKUP($A175,MIceHockey!$C:$P,N$1-2011,FALSE),0)+IFERROR(VLOOKUP($A175,MLacrosse!$C:$O,N$1-2011,FALSE),0)+IFERROR(VLOOKUP($A175,MSoccer!$C:$O,N$1-2011,FALSE),0)+IFERROR(VLOOKUP($A175,MVolleyball!$C:$O,N$1-2011,FALSE),0)+IFERROR(VLOOKUP($A175,WBasketball!$C:$O,N$1-2011,FALSE),0)+IFERROR(VLOOKUP($A175,WFieldHockey!$C:$O,N$1-2011,FALSE),0)+IFERROR(VLOOKUP($A175,WIceHockey!$C:$O,N$1-2011,FALSE),0)+IFERROR(VLOOKUP($A175,WLacrosse!$C:$O,N$1-2011,FALSE),0)+IFERROR(VLOOKUP($A175,WSoccer!$C:$O,N$1-2011,FALSE),0)+IFERROR(VLOOKUP($A175,WSoftball!$C:$O,N$1-2011,FALSE),0)+IFERROR(VLOOKUP($A175,WVolleyball!$C:$O,N$1-2011,FALSE),0)</f>
        <v>99230</v>
      </c>
    </row>
    <row r="176" spans="1:14" x14ac:dyDescent="0.2">
      <c r="A176">
        <v>234076</v>
      </c>
      <c r="B176">
        <v>16820</v>
      </c>
      <c r="C176" t="s">
        <v>242</v>
      </c>
      <c r="D176">
        <v>175</v>
      </c>
      <c r="E176">
        <f>IFERROR(VLOOKUP($A176,MBaseball!$C:$N,E$1-2010,FALSE),0)+IFERROR(VLOOKUP($A176,MBasketball!$C:$J,E$1-2006,FALSE),0)+IFERROR(VLOOKUP($A176,MFootball!$C:$O,E$1-2011,FALSE),0)+IFERROR(VLOOKUP($A176,MIceHockey!$C:$P,E$1-2011,FALSE),0)+IFERROR(VLOOKUP($A176,MLacrosse!$C:$O,E$1-2011,FALSE),0)+IFERROR(VLOOKUP($A176,MSoccer!$C:$O,E$1-2011,FALSE),0)+IFERROR(VLOOKUP($A176,MVolleyball!$C:$O,E$1-2011,FALSE),0)+IFERROR(VLOOKUP($A176,WBasketball!$C:$O,E$1-2011,FALSE),0)+IFERROR(VLOOKUP($A176,WFieldHockey!$C:$O,E$1-2011,FALSE),0)+IFERROR(VLOOKUP($A176,WIceHockey!$C:$O,E$1-2011,FALSE),0)+IFERROR(VLOOKUP($A176,WLacrosse!$C:$O,E$1-2011,FALSE),0)+IFERROR(VLOOKUP($A176,WSoccer!$C:$O,E$1-2011,FALSE),0)+IFERROR(VLOOKUP($A176,WSoftball!$C:$O,E$1-2011,FALSE),0)+IFERROR(VLOOKUP($A176,WVolleyball!$C:$O,E$1-2011,FALSE),0)</f>
        <v>458379</v>
      </c>
      <c r="F176">
        <f>IFERROR(VLOOKUP($A176,MBaseball!$C:$N,F$1-2010,FALSE),0)+IFERROR(VLOOKUP($A176,MBasketball!$C:$J,F$1-2006,FALSE),0)+IFERROR(VLOOKUP($A176,MFootball!$C:$O,F$1-2011,FALSE),0)+IFERROR(VLOOKUP($A176,MIceHockey!$C:$P,F$1-2011,FALSE),0)+IFERROR(VLOOKUP($A176,MLacrosse!$C:$O,F$1-2011,FALSE),0)+IFERROR(VLOOKUP($A176,MSoccer!$C:$O,F$1-2011,FALSE),0)+IFERROR(VLOOKUP($A176,MVolleyball!$C:$O,F$1-2011,FALSE),0)+IFERROR(VLOOKUP($A176,WBasketball!$C:$O,F$1-2011,FALSE),0)+IFERROR(VLOOKUP($A176,WFieldHockey!$C:$O,F$1-2011,FALSE),0)+IFERROR(VLOOKUP($A176,WIceHockey!$C:$O,F$1-2011,FALSE),0)+IFERROR(VLOOKUP($A176,WLacrosse!$C:$O,F$1-2011,FALSE),0)+IFERROR(VLOOKUP($A176,WSoccer!$C:$O,F$1-2011,FALSE),0)+IFERROR(VLOOKUP($A176,WSoftball!$C:$O,F$1-2011,FALSE),0)+IFERROR(VLOOKUP($A176,WVolleyball!$C:$O,F$1-2011,FALSE),0)</f>
        <v>541235</v>
      </c>
      <c r="G176">
        <f>IFERROR(VLOOKUP($A176,MBaseball!$C:$N,G$1-2010,FALSE),0)+IFERROR(VLOOKUP($A176,MBasketball!$C:$J,G$1-2006,FALSE),0)+IFERROR(VLOOKUP($A176,MFootball!$C:$O,G$1-2011,FALSE),0)+IFERROR(VLOOKUP($A176,MIceHockey!$C:$P,G$1-2011,FALSE),0)+IFERROR(VLOOKUP($A176,MLacrosse!$C:$O,G$1-2011,FALSE),0)+IFERROR(VLOOKUP($A176,MSoccer!$C:$O,G$1-2011,FALSE),0)+IFERROR(VLOOKUP($A176,MVolleyball!$C:$O,G$1-2011,FALSE),0)+IFERROR(VLOOKUP($A176,WBasketball!$C:$O,G$1-2011,FALSE),0)+IFERROR(VLOOKUP($A176,WFieldHockey!$C:$O,G$1-2011,FALSE),0)+IFERROR(VLOOKUP($A176,WIceHockey!$C:$O,G$1-2011,FALSE),0)+IFERROR(VLOOKUP($A176,WLacrosse!$C:$O,G$1-2011,FALSE),0)+IFERROR(VLOOKUP($A176,WSoccer!$C:$O,G$1-2011,FALSE),0)+IFERROR(VLOOKUP($A176,WSoftball!$C:$O,G$1-2011,FALSE),0)+IFERROR(VLOOKUP($A176,WVolleyball!$C:$O,G$1-2011,FALSE),0)</f>
        <v>548370</v>
      </c>
      <c r="H176">
        <f>IFERROR(VLOOKUP($A176,MBaseball!$C:$N,H$1-2010,FALSE),0)+IFERROR(VLOOKUP($A176,MBasketball!$C:$J,H$1-2006,FALSE),0)+IFERROR(VLOOKUP($A176,MFootball!$C:$O,H$1-2011,FALSE),0)+IFERROR(VLOOKUP($A176,MIceHockey!$C:$P,H$1-2011,FALSE),0)+IFERROR(VLOOKUP($A176,MLacrosse!$C:$O,H$1-2011,FALSE),0)+IFERROR(VLOOKUP($A176,MSoccer!$C:$O,H$1-2011,FALSE),0)+IFERROR(VLOOKUP($A176,MVolleyball!$C:$O,H$1-2011,FALSE),0)+IFERROR(VLOOKUP($A176,WBasketball!$C:$O,H$1-2011,FALSE),0)+IFERROR(VLOOKUP($A176,WFieldHockey!$C:$O,H$1-2011,FALSE),0)+IFERROR(VLOOKUP($A176,WIceHockey!$C:$O,H$1-2011,FALSE),0)+IFERROR(VLOOKUP($A176,WLacrosse!$C:$O,H$1-2011,FALSE),0)+IFERROR(VLOOKUP($A176,WSoccer!$C:$O,H$1-2011,FALSE),0)+IFERROR(VLOOKUP($A176,WSoftball!$C:$O,H$1-2011,FALSE),0)+IFERROR(VLOOKUP($A176,WVolleyball!$C:$O,H$1-2011,FALSE),0)</f>
        <v>480363</v>
      </c>
      <c r="I176">
        <f>IFERROR(VLOOKUP($A176,MBaseball!$C:$N,I$1-2010,FALSE),0)+IFERROR(VLOOKUP($A176,MBasketball!$C:$J,I$1-2006,FALSE),0)+IFERROR(VLOOKUP($A176,MFootball!$C:$O,I$1-2011,FALSE),0)+IFERROR(VLOOKUP($A176,MIceHockey!$C:$P,I$1-2011,FALSE),0)+IFERROR(VLOOKUP($A176,MLacrosse!$C:$O,I$1-2011,FALSE),0)+IFERROR(VLOOKUP($A176,MSoccer!$C:$O,I$1-2011,FALSE),0)+IFERROR(VLOOKUP($A176,MVolleyball!$C:$O,I$1-2011,FALSE),0)+IFERROR(VLOOKUP($A176,WBasketball!$C:$O,I$1-2011,FALSE),0)+IFERROR(VLOOKUP($A176,WFieldHockey!$C:$O,I$1-2011,FALSE),0)+IFERROR(VLOOKUP($A176,WIceHockey!$C:$O,I$1-2011,FALSE),0)+IFERROR(VLOOKUP($A176,WLacrosse!$C:$O,I$1-2011,FALSE),0)+IFERROR(VLOOKUP($A176,WSoccer!$C:$O,I$1-2011,FALSE),0)+IFERROR(VLOOKUP($A176,WSoftball!$C:$O,I$1-2011,FALSE),0)+IFERROR(VLOOKUP($A176,WVolleyball!$C:$O,I$1-2011,FALSE),0)</f>
        <v>521842</v>
      </c>
      <c r="J176">
        <f>IFERROR(VLOOKUP($A176,MBaseball!$C:$N,J$1-2010,FALSE),0)+IFERROR(VLOOKUP($A176,MBasketball!$C:$J,J$1-2006,FALSE),0)+IFERROR(VLOOKUP($A176,MFootball!$C:$O,J$1-2011,FALSE),0)+IFERROR(VLOOKUP($A176,MIceHockey!$C:$P,J$1-2011,FALSE),0)+IFERROR(VLOOKUP($A176,MLacrosse!$C:$O,J$1-2011,FALSE),0)+IFERROR(VLOOKUP($A176,MSoccer!$C:$O,J$1-2011,FALSE),0)+IFERROR(VLOOKUP($A176,MVolleyball!$C:$O,J$1-2011,FALSE),0)+IFERROR(VLOOKUP($A176,WBasketball!$C:$O,J$1-2011,FALSE),0)+IFERROR(VLOOKUP($A176,WFieldHockey!$C:$O,J$1-2011,FALSE),0)+IFERROR(VLOOKUP($A176,WIceHockey!$C:$O,J$1-2011,FALSE),0)+IFERROR(VLOOKUP($A176,WLacrosse!$C:$O,J$1-2011,FALSE),0)+IFERROR(VLOOKUP($A176,WSoccer!$C:$O,J$1-2011,FALSE),0)+IFERROR(VLOOKUP($A176,WSoftball!$C:$O,J$1-2011,FALSE),0)+IFERROR(VLOOKUP($A176,WVolleyball!$C:$O,J$1-2011,FALSE),0)</f>
        <v>405024</v>
      </c>
      <c r="K176">
        <f>IFERROR(VLOOKUP($A176,MBaseball!$C:$N,K$1-2010,FALSE),0)+IFERROR(VLOOKUP($A176,MBasketball!$C:$J,K$1-2006,FALSE),0)+IFERROR(VLOOKUP($A176,MFootball!$C:$O,K$1-2011,FALSE),0)+IFERROR(VLOOKUP($A176,MIceHockey!$C:$P,K$1-2011,FALSE),0)+IFERROR(VLOOKUP($A176,MLacrosse!$C:$O,K$1-2011,FALSE),0)+IFERROR(VLOOKUP($A176,MSoccer!$C:$O,K$1-2011,FALSE),0)+IFERROR(VLOOKUP($A176,MVolleyball!$C:$O,K$1-2011,FALSE),0)+IFERROR(VLOOKUP($A176,WBasketball!$C:$O,K$1-2011,FALSE),0)+IFERROR(VLOOKUP($A176,WFieldHockey!$C:$O,K$1-2011,FALSE),0)+IFERROR(VLOOKUP($A176,WIceHockey!$C:$O,K$1-2011,FALSE),0)+IFERROR(VLOOKUP($A176,WLacrosse!$C:$O,K$1-2011,FALSE),0)+IFERROR(VLOOKUP($A176,WSoccer!$C:$O,K$1-2011,FALSE),0)+IFERROR(VLOOKUP($A176,WSoftball!$C:$O,K$1-2011,FALSE),0)+IFERROR(VLOOKUP($A176,WVolleyball!$C:$O,K$1-2011,FALSE),0)</f>
        <v>430480</v>
      </c>
      <c r="L176">
        <f>IFERROR(VLOOKUP($A176,MBaseball!$C:$N,L$1-2010,FALSE),0)+IFERROR(VLOOKUP($A176,MBasketball!$C:$J,L$1-2006,FALSE),0)+IFERROR(VLOOKUP($A176,MFootball!$C:$O,L$1-2011,FALSE),0)+IFERROR(VLOOKUP($A176,MIceHockey!$C:$P,L$1-2011,FALSE),0)+IFERROR(VLOOKUP($A176,MLacrosse!$C:$O,L$1-2011,FALSE),0)+IFERROR(VLOOKUP($A176,MSoccer!$C:$O,L$1-2011,FALSE),0)+IFERROR(VLOOKUP($A176,MVolleyball!$C:$O,L$1-2011,FALSE),0)+IFERROR(VLOOKUP($A176,WBasketball!$C:$O,L$1-2011,FALSE),0)+IFERROR(VLOOKUP($A176,WFieldHockey!$C:$O,L$1-2011,FALSE),0)+IFERROR(VLOOKUP($A176,WIceHockey!$C:$O,L$1-2011,FALSE),0)+IFERROR(VLOOKUP($A176,WLacrosse!$C:$O,L$1-2011,FALSE),0)+IFERROR(VLOOKUP($A176,WSoccer!$C:$O,L$1-2011,FALSE),0)+IFERROR(VLOOKUP($A176,WSoftball!$C:$O,L$1-2011,FALSE),0)+IFERROR(VLOOKUP($A176,WVolleyball!$C:$O,L$1-2011,FALSE),0)</f>
        <v>131453</v>
      </c>
      <c r="M176">
        <f>IFERROR(VLOOKUP($A176,MBaseball!$C:$N,M$1-2010,FALSE),0)+IFERROR(VLOOKUP($A176,MBasketball!$C:$J,M$1-2006,FALSE),0)+IFERROR(VLOOKUP($A176,MFootball!$C:$O,M$1-2011,FALSE),0)+IFERROR(VLOOKUP($A176,MIceHockey!$C:$P,M$1-2011,FALSE),0)+IFERROR(VLOOKUP($A176,MLacrosse!$C:$O,M$1-2011,FALSE),0)+IFERROR(VLOOKUP($A176,MSoccer!$C:$O,M$1-2011,FALSE),0)+IFERROR(VLOOKUP($A176,MVolleyball!$C:$O,M$1-2011,FALSE),0)+IFERROR(VLOOKUP($A176,WBasketball!$C:$O,M$1-2011,FALSE),0)+IFERROR(VLOOKUP($A176,WFieldHockey!$C:$O,M$1-2011,FALSE),0)+IFERROR(VLOOKUP($A176,WIceHockey!$C:$O,M$1-2011,FALSE),0)+IFERROR(VLOOKUP($A176,WLacrosse!$C:$O,M$1-2011,FALSE),0)+IFERROR(VLOOKUP($A176,WSoccer!$C:$O,M$1-2011,FALSE),0)+IFERROR(VLOOKUP($A176,WSoftball!$C:$O,M$1-2011,FALSE),0)+IFERROR(VLOOKUP($A176,WVolleyball!$C:$O,M$1-2011,FALSE),0)</f>
        <v>555420</v>
      </c>
      <c r="N176">
        <f>IFERROR(VLOOKUP($A176,MBaseball!$C:$N,N$1-2010,FALSE),0)+IFERROR(VLOOKUP($A176,MBasketball!$C:$J,N$1-2006,FALSE),0)+IFERROR(VLOOKUP($A176,MFootball!$C:$O,N$1-2011,FALSE),0)+IFERROR(VLOOKUP($A176,MIceHockey!$C:$P,N$1-2011,FALSE),0)+IFERROR(VLOOKUP($A176,MLacrosse!$C:$O,N$1-2011,FALSE),0)+IFERROR(VLOOKUP($A176,MSoccer!$C:$O,N$1-2011,FALSE),0)+IFERROR(VLOOKUP($A176,MVolleyball!$C:$O,N$1-2011,FALSE),0)+IFERROR(VLOOKUP($A176,WBasketball!$C:$O,N$1-2011,FALSE),0)+IFERROR(VLOOKUP($A176,WFieldHockey!$C:$O,N$1-2011,FALSE),0)+IFERROR(VLOOKUP($A176,WIceHockey!$C:$O,N$1-2011,FALSE),0)+IFERROR(VLOOKUP($A176,WLacrosse!$C:$O,N$1-2011,FALSE),0)+IFERROR(VLOOKUP($A176,WSoccer!$C:$O,N$1-2011,FALSE),0)+IFERROR(VLOOKUP($A176,WSoftball!$C:$O,N$1-2011,FALSE),0)+IFERROR(VLOOKUP($A176,WVolleyball!$C:$O,N$1-2011,FALSE),0)</f>
        <v>405594</v>
      </c>
    </row>
    <row r="177" spans="1:14" x14ac:dyDescent="0.2">
      <c r="A177">
        <v>233921</v>
      </c>
      <c r="B177">
        <v>13980</v>
      </c>
      <c r="C177" t="s">
        <v>243</v>
      </c>
      <c r="D177">
        <v>176</v>
      </c>
      <c r="E177">
        <f>IFERROR(VLOOKUP($A177,MBaseball!$C:$N,E$1-2010,FALSE),0)+IFERROR(VLOOKUP($A177,MBasketball!$C:$J,E$1-2006,FALSE),0)+IFERROR(VLOOKUP($A177,MFootball!$C:$O,E$1-2011,FALSE),0)+IFERROR(VLOOKUP($A177,MIceHockey!$C:$P,E$1-2011,FALSE),0)+IFERROR(VLOOKUP($A177,MLacrosse!$C:$O,E$1-2011,FALSE),0)+IFERROR(VLOOKUP($A177,MSoccer!$C:$O,E$1-2011,FALSE),0)+IFERROR(VLOOKUP($A177,MVolleyball!$C:$O,E$1-2011,FALSE),0)+IFERROR(VLOOKUP($A177,WBasketball!$C:$O,E$1-2011,FALSE),0)+IFERROR(VLOOKUP($A177,WFieldHockey!$C:$O,E$1-2011,FALSE),0)+IFERROR(VLOOKUP($A177,WIceHockey!$C:$O,E$1-2011,FALSE),0)+IFERROR(VLOOKUP($A177,WLacrosse!$C:$O,E$1-2011,FALSE),0)+IFERROR(VLOOKUP($A177,WSoccer!$C:$O,E$1-2011,FALSE),0)+IFERROR(VLOOKUP($A177,WSoftball!$C:$O,E$1-2011,FALSE),0)+IFERROR(VLOOKUP($A177,WVolleyball!$C:$O,E$1-2011,FALSE),0)</f>
        <v>212654</v>
      </c>
      <c r="F177">
        <f>IFERROR(VLOOKUP($A177,MBaseball!$C:$N,F$1-2010,FALSE),0)+IFERROR(VLOOKUP($A177,MBasketball!$C:$J,F$1-2006,FALSE),0)+IFERROR(VLOOKUP($A177,MFootball!$C:$O,F$1-2011,FALSE),0)+IFERROR(VLOOKUP($A177,MIceHockey!$C:$P,F$1-2011,FALSE),0)+IFERROR(VLOOKUP($A177,MLacrosse!$C:$O,F$1-2011,FALSE),0)+IFERROR(VLOOKUP($A177,MSoccer!$C:$O,F$1-2011,FALSE),0)+IFERROR(VLOOKUP($A177,MVolleyball!$C:$O,F$1-2011,FALSE),0)+IFERROR(VLOOKUP($A177,WBasketball!$C:$O,F$1-2011,FALSE),0)+IFERROR(VLOOKUP($A177,WFieldHockey!$C:$O,F$1-2011,FALSE),0)+IFERROR(VLOOKUP($A177,WIceHockey!$C:$O,F$1-2011,FALSE),0)+IFERROR(VLOOKUP($A177,WLacrosse!$C:$O,F$1-2011,FALSE),0)+IFERROR(VLOOKUP($A177,WSoccer!$C:$O,F$1-2011,FALSE),0)+IFERROR(VLOOKUP($A177,WSoftball!$C:$O,F$1-2011,FALSE),0)+IFERROR(VLOOKUP($A177,WVolleyball!$C:$O,F$1-2011,FALSE),0)</f>
        <v>499764</v>
      </c>
      <c r="G177">
        <f>IFERROR(VLOOKUP($A177,MBaseball!$C:$N,G$1-2010,FALSE),0)+IFERROR(VLOOKUP($A177,MBasketball!$C:$J,G$1-2006,FALSE),0)+IFERROR(VLOOKUP($A177,MFootball!$C:$O,G$1-2011,FALSE),0)+IFERROR(VLOOKUP($A177,MIceHockey!$C:$P,G$1-2011,FALSE),0)+IFERROR(VLOOKUP($A177,MLacrosse!$C:$O,G$1-2011,FALSE),0)+IFERROR(VLOOKUP($A177,MSoccer!$C:$O,G$1-2011,FALSE),0)+IFERROR(VLOOKUP($A177,MVolleyball!$C:$O,G$1-2011,FALSE),0)+IFERROR(VLOOKUP($A177,WBasketball!$C:$O,G$1-2011,FALSE),0)+IFERROR(VLOOKUP($A177,WFieldHockey!$C:$O,G$1-2011,FALSE),0)+IFERROR(VLOOKUP($A177,WIceHockey!$C:$O,G$1-2011,FALSE),0)+IFERROR(VLOOKUP($A177,WLacrosse!$C:$O,G$1-2011,FALSE),0)+IFERROR(VLOOKUP($A177,WSoccer!$C:$O,G$1-2011,FALSE),0)+IFERROR(VLOOKUP($A177,WSoftball!$C:$O,G$1-2011,FALSE),0)+IFERROR(VLOOKUP($A177,WVolleyball!$C:$O,G$1-2011,FALSE),0)</f>
        <v>445095</v>
      </c>
      <c r="H177">
        <f>IFERROR(VLOOKUP($A177,MBaseball!$C:$N,H$1-2010,FALSE),0)+IFERROR(VLOOKUP($A177,MBasketball!$C:$J,H$1-2006,FALSE),0)+IFERROR(VLOOKUP($A177,MFootball!$C:$O,H$1-2011,FALSE),0)+IFERROR(VLOOKUP($A177,MIceHockey!$C:$P,H$1-2011,FALSE),0)+IFERROR(VLOOKUP($A177,MLacrosse!$C:$O,H$1-2011,FALSE),0)+IFERROR(VLOOKUP($A177,MSoccer!$C:$O,H$1-2011,FALSE),0)+IFERROR(VLOOKUP($A177,MVolleyball!$C:$O,H$1-2011,FALSE),0)+IFERROR(VLOOKUP($A177,WBasketball!$C:$O,H$1-2011,FALSE),0)+IFERROR(VLOOKUP($A177,WFieldHockey!$C:$O,H$1-2011,FALSE),0)+IFERROR(VLOOKUP($A177,WIceHockey!$C:$O,H$1-2011,FALSE),0)+IFERROR(VLOOKUP($A177,WLacrosse!$C:$O,H$1-2011,FALSE),0)+IFERROR(VLOOKUP($A177,WSoccer!$C:$O,H$1-2011,FALSE),0)+IFERROR(VLOOKUP($A177,WSoftball!$C:$O,H$1-2011,FALSE),0)+IFERROR(VLOOKUP($A177,WVolleyball!$C:$O,H$1-2011,FALSE),0)</f>
        <v>471301</v>
      </c>
      <c r="I177">
        <f>IFERROR(VLOOKUP($A177,MBaseball!$C:$N,I$1-2010,FALSE),0)+IFERROR(VLOOKUP($A177,MBasketball!$C:$J,I$1-2006,FALSE),0)+IFERROR(VLOOKUP($A177,MFootball!$C:$O,I$1-2011,FALSE),0)+IFERROR(VLOOKUP($A177,MIceHockey!$C:$P,I$1-2011,FALSE),0)+IFERROR(VLOOKUP($A177,MLacrosse!$C:$O,I$1-2011,FALSE),0)+IFERROR(VLOOKUP($A177,MSoccer!$C:$O,I$1-2011,FALSE),0)+IFERROR(VLOOKUP($A177,MVolleyball!$C:$O,I$1-2011,FALSE),0)+IFERROR(VLOOKUP($A177,WBasketball!$C:$O,I$1-2011,FALSE),0)+IFERROR(VLOOKUP($A177,WFieldHockey!$C:$O,I$1-2011,FALSE),0)+IFERROR(VLOOKUP($A177,WIceHockey!$C:$O,I$1-2011,FALSE),0)+IFERROR(VLOOKUP($A177,WLacrosse!$C:$O,I$1-2011,FALSE),0)+IFERROR(VLOOKUP($A177,WSoccer!$C:$O,I$1-2011,FALSE),0)+IFERROR(VLOOKUP($A177,WSoftball!$C:$O,I$1-2011,FALSE),0)+IFERROR(VLOOKUP($A177,WVolleyball!$C:$O,I$1-2011,FALSE),0)</f>
        <v>461334</v>
      </c>
      <c r="J177">
        <f>IFERROR(VLOOKUP($A177,MBaseball!$C:$N,J$1-2010,FALSE),0)+IFERROR(VLOOKUP($A177,MBasketball!$C:$J,J$1-2006,FALSE),0)+IFERROR(VLOOKUP($A177,MFootball!$C:$O,J$1-2011,FALSE),0)+IFERROR(VLOOKUP($A177,MIceHockey!$C:$P,J$1-2011,FALSE),0)+IFERROR(VLOOKUP($A177,MLacrosse!$C:$O,J$1-2011,FALSE),0)+IFERROR(VLOOKUP($A177,MSoccer!$C:$O,J$1-2011,FALSE),0)+IFERROR(VLOOKUP($A177,MVolleyball!$C:$O,J$1-2011,FALSE),0)+IFERROR(VLOOKUP($A177,WBasketball!$C:$O,J$1-2011,FALSE),0)+IFERROR(VLOOKUP($A177,WFieldHockey!$C:$O,J$1-2011,FALSE),0)+IFERROR(VLOOKUP($A177,WIceHockey!$C:$O,J$1-2011,FALSE),0)+IFERROR(VLOOKUP($A177,WLacrosse!$C:$O,J$1-2011,FALSE),0)+IFERROR(VLOOKUP($A177,WSoccer!$C:$O,J$1-2011,FALSE),0)+IFERROR(VLOOKUP($A177,WSoftball!$C:$O,J$1-2011,FALSE),0)+IFERROR(VLOOKUP($A177,WVolleyball!$C:$O,J$1-2011,FALSE),0)</f>
        <v>477214</v>
      </c>
      <c r="K177">
        <f>IFERROR(VLOOKUP($A177,MBaseball!$C:$N,K$1-2010,FALSE),0)+IFERROR(VLOOKUP($A177,MBasketball!$C:$J,K$1-2006,FALSE),0)+IFERROR(VLOOKUP($A177,MFootball!$C:$O,K$1-2011,FALSE),0)+IFERROR(VLOOKUP($A177,MIceHockey!$C:$P,K$1-2011,FALSE),0)+IFERROR(VLOOKUP($A177,MLacrosse!$C:$O,K$1-2011,FALSE),0)+IFERROR(VLOOKUP($A177,MSoccer!$C:$O,K$1-2011,FALSE),0)+IFERROR(VLOOKUP($A177,MVolleyball!$C:$O,K$1-2011,FALSE),0)+IFERROR(VLOOKUP($A177,WBasketball!$C:$O,K$1-2011,FALSE),0)+IFERROR(VLOOKUP($A177,WFieldHockey!$C:$O,K$1-2011,FALSE),0)+IFERROR(VLOOKUP($A177,WIceHockey!$C:$O,K$1-2011,FALSE),0)+IFERROR(VLOOKUP($A177,WLacrosse!$C:$O,K$1-2011,FALSE),0)+IFERROR(VLOOKUP($A177,WSoccer!$C:$O,K$1-2011,FALSE),0)+IFERROR(VLOOKUP($A177,WSoftball!$C:$O,K$1-2011,FALSE),0)+IFERROR(VLOOKUP($A177,WVolleyball!$C:$O,K$1-2011,FALSE),0)</f>
        <v>471604</v>
      </c>
      <c r="L177">
        <f>IFERROR(VLOOKUP($A177,MBaseball!$C:$N,L$1-2010,FALSE),0)+IFERROR(VLOOKUP($A177,MBasketball!$C:$J,L$1-2006,FALSE),0)+IFERROR(VLOOKUP($A177,MFootball!$C:$O,L$1-2011,FALSE),0)+IFERROR(VLOOKUP($A177,MIceHockey!$C:$P,L$1-2011,FALSE),0)+IFERROR(VLOOKUP($A177,MLacrosse!$C:$O,L$1-2011,FALSE),0)+IFERROR(VLOOKUP($A177,MSoccer!$C:$O,L$1-2011,FALSE),0)+IFERROR(VLOOKUP($A177,MVolleyball!$C:$O,L$1-2011,FALSE),0)+IFERROR(VLOOKUP($A177,WBasketball!$C:$O,L$1-2011,FALSE),0)+IFERROR(VLOOKUP($A177,WFieldHockey!$C:$O,L$1-2011,FALSE),0)+IFERROR(VLOOKUP($A177,WIceHockey!$C:$O,L$1-2011,FALSE),0)+IFERROR(VLOOKUP($A177,WLacrosse!$C:$O,L$1-2011,FALSE),0)+IFERROR(VLOOKUP($A177,WSoccer!$C:$O,L$1-2011,FALSE),0)+IFERROR(VLOOKUP($A177,WSoftball!$C:$O,L$1-2011,FALSE),0)+IFERROR(VLOOKUP($A177,WVolleyball!$C:$O,L$1-2011,FALSE),0)</f>
        <v>61874</v>
      </c>
      <c r="M177">
        <f>IFERROR(VLOOKUP($A177,MBaseball!$C:$N,M$1-2010,FALSE),0)+IFERROR(VLOOKUP($A177,MBasketball!$C:$J,M$1-2006,FALSE),0)+IFERROR(VLOOKUP($A177,MFootball!$C:$O,M$1-2011,FALSE),0)+IFERROR(VLOOKUP($A177,MIceHockey!$C:$P,M$1-2011,FALSE),0)+IFERROR(VLOOKUP($A177,MLacrosse!$C:$O,M$1-2011,FALSE),0)+IFERROR(VLOOKUP($A177,MSoccer!$C:$O,M$1-2011,FALSE),0)+IFERROR(VLOOKUP($A177,MVolleyball!$C:$O,M$1-2011,FALSE),0)+IFERROR(VLOOKUP($A177,WBasketball!$C:$O,M$1-2011,FALSE),0)+IFERROR(VLOOKUP($A177,WFieldHockey!$C:$O,M$1-2011,FALSE),0)+IFERROR(VLOOKUP($A177,WIceHockey!$C:$O,M$1-2011,FALSE),0)+IFERROR(VLOOKUP($A177,WLacrosse!$C:$O,M$1-2011,FALSE),0)+IFERROR(VLOOKUP($A177,WSoccer!$C:$O,M$1-2011,FALSE),0)+IFERROR(VLOOKUP($A177,WSoftball!$C:$O,M$1-2011,FALSE),0)+IFERROR(VLOOKUP($A177,WVolleyball!$C:$O,M$1-2011,FALSE),0)</f>
        <v>522865</v>
      </c>
      <c r="N177">
        <f>IFERROR(VLOOKUP($A177,MBaseball!$C:$N,N$1-2010,FALSE),0)+IFERROR(VLOOKUP($A177,MBasketball!$C:$J,N$1-2006,FALSE),0)+IFERROR(VLOOKUP($A177,MFootball!$C:$O,N$1-2011,FALSE),0)+IFERROR(VLOOKUP($A177,MIceHockey!$C:$P,N$1-2011,FALSE),0)+IFERROR(VLOOKUP($A177,MLacrosse!$C:$O,N$1-2011,FALSE),0)+IFERROR(VLOOKUP($A177,MSoccer!$C:$O,N$1-2011,FALSE),0)+IFERROR(VLOOKUP($A177,MVolleyball!$C:$O,N$1-2011,FALSE),0)+IFERROR(VLOOKUP($A177,WBasketball!$C:$O,N$1-2011,FALSE),0)+IFERROR(VLOOKUP($A177,WFieldHockey!$C:$O,N$1-2011,FALSE),0)+IFERROR(VLOOKUP($A177,WIceHockey!$C:$O,N$1-2011,FALSE),0)+IFERROR(VLOOKUP($A177,WLacrosse!$C:$O,N$1-2011,FALSE),0)+IFERROR(VLOOKUP($A177,WSoccer!$C:$O,N$1-2011,FALSE),0)+IFERROR(VLOOKUP($A177,WSoftball!$C:$O,N$1-2011,FALSE),0)+IFERROR(VLOOKUP($A177,WVolleyball!$C:$O,N$1-2011,FALSE),0)</f>
        <v>424480</v>
      </c>
    </row>
    <row r="178" spans="1:14" x14ac:dyDescent="0.2">
      <c r="A178">
        <v>236948</v>
      </c>
      <c r="B178">
        <v>42660</v>
      </c>
      <c r="C178" t="s">
        <v>244</v>
      </c>
      <c r="D178">
        <v>177</v>
      </c>
      <c r="E178">
        <f>IFERROR(VLOOKUP($A178,MBaseball!$C:$N,E$1-2010,FALSE),0)+IFERROR(VLOOKUP($A178,MBasketball!$C:$J,E$1-2006,FALSE),0)+IFERROR(VLOOKUP($A178,MFootball!$C:$O,E$1-2011,FALSE),0)+IFERROR(VLOOKUP($A178,MIceHockey!$C:$P,E$1-2011,FALSE),0)+IFERROR(VLOOKUP($A178,MLacrosse!$C:$O,E$1-2011,FALSE),0)+IFERROR(VLOOKUP($A178,MSoccer!$C:$O,E$1-2011,FALSE),0)+IFERROR(VLOOKUP($A178,MVolleyball!$C:$O,E$1-2011,FALSE),0)+IFERROR(VLOOKUP($A178,WBasketball!$C:$O,E$1-2011,FALSE),0)+IFERROR(VLOOKUP($A178,WFieldHockey!$C:$O,E$1-2011,FALSE),0)+IFERROR(VLOOKUP($A178,WIceHockey!$C:$O,E$1-2011,FALSE),0)+IFERROR(VLOOKUP($A178,WLacrosse!$C:$O,E$1-2011,FALSE),0)+IFERROR(VLOOKUP($A178,WSoccer!$C:$O,E$1-2011,FALSE),0)+IFERROR(VLOOKUP($A178,WSoftball!$C:$O,E$1-2011,FALSE),0)+IFERROR(VLOOKUP($A178,WVolleyball!$C:$O,E$1-2011,FALSE),0)</f>
        <v>238596</v>
      </c>
      <c r="F178">
        <f>IFERROR(VLOOKUP($A178,MBaseball!$C:$N,F$1-2010,FALSE),0)+IFERROR(VLOOKUP($A178,MBasketball!$C:$J,F$1-2006,FALSE),0)+IFERROR(VLOOKUP($A178,MFootball!$C:$O,F$1-2011,FALSE),0)+IFERROR(VLOOKUP($A178,MIceHockey!$C:$P,F$1-2011,FALSE),0)+IFERROR(VLOOKUP($A178,MLacrosse!$C:$O,F$1-2011,FALSE),0)+IFERROR(VLOOKUP($A178,MSoccer!$C:$O,F$1-2011,FALSE),0)+IFERROR(VLOOKUP($A178,MVolleyball!$C:$O,F$1-2011,FALSE),0)+IFERROR(VLOOKUP($A178,WBasketball!$C:$O,F$1-2011,FALSE),0)+IFERROR(VLOOKUP($A178,WFieldHockey!$C:$O,F$1-2011,FALSE),0)+IFERROR(VLOOKUP($A178,WIceHockey!$C:$O,F$1-2011,FALSE),0)+IFERROR(VLOOKUP($A178,WLacrosse!$C:$O,F$1-2011,FALSE),0)+IFERROR(VLOOKUP($A178,WSoccer!$C:$O,F$1-2011,FALSE),0)+IFERROR(VLOOKUP($A178,WSoftball!$C:$O,F$1-2011,FALSE),0)+IFERROR(VLOOKUP($A178,WVolleyball!$C:$O,F$1-2011,FALSE),0)</f>
        <v>586401</v>
      </c>
      <c r="G178">
        <f>IFERROR(VLOOKUP($A178,MBaseball!$C:$N,G$1-2010,FALSE),0)+IFERROR(VLOOKUP($A178,MBasketball!$C:$J,G$1-2006,FALSE),0)+IFERROR(VLOOKUP($A178,MFootball!$C:$O,G$1-2011,FALSE),0)+IFERROR(VLOOKUP($A178,MIceHockey!$C:$P,G$1-2011,FALSE),0)+IFERROR(VLOOKUP($A178,MLacrosse!$C:$O,G$1-2011,FALSE),0)+IFERROR(VLOOKUP($A178,MSoccer!$C:$O,G$1-2011,FALSE),0)+IFERROR(VLOOKUP($A178,MVolleyball!$C:$O,G$1-2011,FALSE),0)+IFERROR(VLOOKUP($A178,WBasketball!$C:$O,G$1-2011,FALSE),0)+IFERROR(VLOOKUP($A178,WFieldHockey!$C:$O,G$1-2011,FALSE),0)+IFERROR(VLOOKUP($A178,WIceHockey!$C:$O,G$1-2011,FALSE),0)+IFERROR(VLOOKUP($A178,WLacrosse!$C:$O,G$1-2011,FALSE),0)+IFERROR(VLOOKUP($A178,WSoccer!$C:$O,G$1-2011,FALSE),0)+IFERROR(VLOOKUP($A178,WSoftball!$C:$O,G$1-2011,FALSE),0)+IFERROR(VLOOKUP($A178,WVolleyball!$C:$O,G$1-2011,FALSE),0)</f>
        <v>564213</v>
      </c>
      <c r="H178">
        <f>IFERROR(VLOOKUP($A178,MBaseball!$C:$N,H$1-2010,FALSE),0)+IFERROR(VLOOKUP($A178,MBasketball!$C:$J,H$1-2006,FALSE),0)+IFERROR(VLOOKUP($A178,MFootball!$C:$O,H$1-2011,FALSE),0)+IFERROR(VLOOKUP($A178,MIceHockey!$C:$P,H$1-2011,FALSE),0)+IFERROR(VLOOKUP($A178,MLacrosse!$C:$O,H$1-2011,FALSE),0)+IFERROR(VLOOKUP($A178,MSoccer!$C:$O,H$1-2011,FALSE),0)+IFERROR(VLOOKUP($A178,MVolleyball!$C:$O,H$1-2011,FALSE),0)+IFERROR(VLOOKUP($A178,WBasketball!$C:$O,H$1-2011,FALSE),0)+IFERROR(VLOOKUP($A178,WFieldHockey!$C:$O,H$1-2011,FALSE),0)+IFERROR(VLOOKUP($A178,WIceHockey!$C:$O,H$1-2011,FALSE),0)+IFERROR(VLOOKUP($A178,WLacrosse!$C:$O,H$1-2011,FALSE),0)+IFERROR(VLOOKUP($A178,WSoccer!$C:$O,H$1-2011,FALSE),0)+IFERROR(VLOOKUP($A178,WSoftball!$C:$O,H$1-2011,FALSE),0)+IFERROR(VLOOKUP($A178,WVolleyball!$C:$O,H$1-2011,FALSE),0)</f>
        <v>617987</v>
      </c>
      <c r="I178">
        <f>IFERROR(VLOOKUP($A178,MBaseball!$C:$N,I$1-2010,FALSE),0)+IFERROR(VLOOKUP($A178,MBasketball!$C:$J,I$1-2006,FALSE),0)+IFERROR(VLOOKUP($A178,MFootball!$C:$O,I$1-2011,FALSE),0)+IFERROR(VLOOKUP($A178,MIceHockey!$C:$P,I$1-2011,FALSE),0)+IFERROR(VLOOKUP($A178,MLacrosse!$C:$O,I$1-2011,FALSE),0)+IFERROR(VLOOKUP($A178,MSoccer!$C:$O,I$1-2011,FALSE),0)+IFERROR(VLOOKUP($A178,MVolleyball!$C:$O,I$1-2011,FALSE),0)+IFERROR(VLOOKUP($A178,WBasketball!$C:$O,I$1-2011,FALSE),0)+IFERROR(VLOOKUP($A178,WFieldHockey!$C:$O,I$1-2011,FALSE),0)+IFERROR(VLOOKUP($A178,WIceHockey!$C:$O,I$1-2011,FALSE),0)+IFERROR(VLOOKUP($A178,WLacrosse!$C:$O,I$1-2011,FALSE),0)+IFERROR(VLOOKUP($A178,WSoccer!$C:$O,I$1-2011,FALSE),0)+IFERROR(VLOOKUP($A178,WSoftball!$C:$O,I$1-2011,FALSE),0)+IFERROR(VLOOKUP($A178,WVolleyball!$C:$O,I$1-2011,FALSE),0)</f>
        <v>621359</v>
      </c>
      <c r="J178">
        <f>IFERROR(VLOOKUP($A178,MBaseball!$C:$N,J$1-2010,FALSE),0)+IFERROR(VLOOKUP($A178,MBasketball!$C:$J,J$1-2006,FALSE),0)+IFERROR(VLOOKUP($A178,MFootball!$C:$O,J$1-2011,FALSE),0)+IFERROR(VLOOKUP($A178,MIceHockey!$C:$P,J$1-2011,FALSE),0)+IFERROR(VLOOKUP($A178,MLacrosse!$C:$O,J$1-2011,FALSE),0)+IFERROR(VLOOKUP($A178,MSoccer!$C:$O,J$1-2011,FALSE),0)+IFERROR(VLOOKUP($A178,MVolleyball!$C:$O,J$1-2011,FALSE),0)+IFERROR(VLOOKUP($A178,WBasketball!$C:$O,J$1-2011,FALSE),0)+IFERROR(VLOOKUP($A178,WFieldHockey!$C:$O,J$1-2011,FALSE),0)+IFERROR(VLOOKUP($A178,WIceHockey!$C:$O,J$1-2011,FALSE),0)+IFERROR(VLOOKUP($A178,WLacrosse!$C:$O,J$1-2011,FALSE),0)+IFERROR(VLOOKUP($A178,WSoccer!$C:$O,J$1-2011,FALSE),0)+IFERROR(VLOOKUP($A178,WSoftball!$C:$O,J$1-2011,FALSE),0)+IFERROR(VLOOKUP($A178,WVolleyball!$C:$O,J$1-2011,FALSE),0)</f>
        <v>524222</v>
      </c>
      <c r="K178">
        <f>IFERROR(VLOOKUP($A178,MBaseball!$C:$N,K$1-2010,FALSE),0)+IFERROR(VLOOKUP($A178,MBasketball!$C:$J,K$1-2006,FALSE),0)+IFERROR(VLOOKUP($A178,MFootball!$C:$O,K$1-2011,FALSE),0)+IFERROR(VLOOKUP($A178,MIceHockey!$C:$P,K$1-2011,FALSE),0)+IFERROR(VLOOKUP($A178,MLacrosse!$C:$O,K$1-2011,FALSE),0)+IFERROR(VLOOKUP($A178,MSoccer!$C:$O,K$1-2011,FALSE),0)+IFERROR(VLOOKUP($A178,MVolleyball!$C:$O,K$1-2011,FALSE),0)+IFERROR(VLOOKUP($A178,WBasketball!$C:$O,K$1-2011,FALSE),0)+IFERROR(VLOOKUP($A178,WFieldHockey!$C:$O,K$1-2011,FALSE),0)+IFERROR(VLOOKUP($A178,WIceHockey!$C:$O,K$1-2011,FALSE),0)+IFERROR(VLOOKUP($A178,WLacrosse!$C:$O,K$1-2011,FALSE),0)+IFERROR(VLOOKUP($A178,WSoccer!$C:$O,K$1-2011,FALSE),0)+IFERROR(VLOOKUP($A178,WSoftball!$C:$O,K$1-2011,FALSE),0)+IFERROR(VLOOKUP($A178,WVolleyball!$C:$O,K$1-2011,FALSE),0)</f>
        <v>559715</v>
      </c>
      <c r="L178">
        <f>IFERROR(VLOOKUP($A178,MBaseball!$C:$N,L$1-2010,FALSE),0)+IFERROR(VLOOKUP($A178,MBasketball!$C:$J,L$1-2006,FALSE),0)+IFERROR(VLOOKUP($A178,MFootball!$C:$O,L$1-2011,FALSE),0)+IFERROR(VLOOKUP($A178,MIceHockey!$C:$P,L$1-2011,FALSE),0)+IFERROR(VLOOKUP($A178,MLacrosse!$C:$O,L$1-2011,FALSE),0)+IFERROR(VLOOKUP($A178,MSoccer!$C:$O,L$1-2011,FALSE),0)+IFERROR(VLOOKUP($A178,MVolleyball!$C:$O,L$1-2011,FALSE),0)+IFERROR(VLOOKUP($A178,WBasketball!$C:$O,L$1-2011,FALSE),0)+IFERROR(VLOOKUP($A178,WFieldHockey!$C:$O,L$1-2011,FALSE),0)+IFERROR(VLOOKUP($A178,WIceHockey!$C:$O,L$1-2011,FALSE),0)+IFERROR(VLOOKUP($A178,WLacrosse!$C:$O,L$1-2011,FALSE),0)+IFERROR(VLOOKUP($A178,WSoccer!$C:$O,L$1-2011,FALSE),0)+IFERROR(VLOOKUP($A178,WSoftball!$C:$O,L$1-2011,FALSE),0)+IFERROR(VLOOKUP($A178,WVolleyball!$C:$O,L$1-2011,FALSE),0)</f>
        <v>25167</v>
      </c>
      <c r="M178">
        <f>IFERROR(VLOOKUP($A178,MBaseball!$C:$N,M$1-2010,FALSE),0)+IFERROR(VLOOKUP($A178,MBasketball!$C:$J,M$1-2006,FALSE),0)+IFERROR(VLOOKUP($A178,MFootball!$C:$O,M$1-2011,FALSE),0)+IFERROR(VLOOKUP($A178,MIceHockey!$C:$P,M$1-2011,FALSE),0)+IFERROR(VLOOKUP($A178,MLacrosse!$C:$O,M$1-2011,FALSE),0)+IFERROR(VLOOKUP($A178,MSoccer!$C:$O,M$1-2011,FALSE),0)+IFERROR(VLOOKUP($A178,MVolleyball!$C:$O,M$1-2011,FALSE),0)+IFERROR(VLOOKUP($A178,WBasketball!$C:$O,M$1-2011,FALSE),0)+IFERROR(VLOOKUP($A178,WFieldHockey!$C:$O,M$1-2011,FALSE),0)+IFERROR(VLOOKUP($A178,WIceHockey!$C:$O,M$1-2011,FALSE),0)+IFERROR(VLOOKUP($A178,WLacrosse!$C:$O,M$1-2011,FALSE),0)+IFERROR(VLOOKUP($A178,WSoccer!$C:$O,M$1-2011,FALSE),0)+IFERROR(VLOOKUP($A178,WSoftball!$C:$O,M$1-2011,FALSE),0)+IFERROR(VLOOKUP($A178,WVolleyball!$C:$O,M$1-2011,FALSE),0)</f>
        <v>572986</v>
      </c>
      <c r="N178">
        <f>IFERROR(VLOOKUP($A178,MBaseball!$C:$N,N$1-2010,FALSE),0)+IFERROR(VLOOKUP($A178,MBasketball!$C:$J,N$1-2006,FALSE),0)+IFERROR(VLOOKUP($A178,MFootball!$C:$O,N$1-2011,FALSE),0)+IFERROR(VLOOKUP($A178,MIceHockey!$C:$P,N$1-2011,FALSE),0)+IFERROR(VLOOKUP($A178,MLacrosse!$C:$O,N$1-2011,FALSE),0)+IFERROR(VLOOKUP($A178,MSoccer!$C:$O,N$1-2011,FALSE),0)+IFERROR(VLOOKUP($A178,MVolleyball!$C:$O,N$1-2011,FALSE),0)+IFERROR(VLOOKUP($A178,WBasketball!$C:$O,N$1-2011,FALSE),0)+IFERROR(VLOOKUP($A178,WFieldHockey!$C:$O,N$1-2011,FALSE),0)+IFERROR(VLOOKUP($A178,WIceHockey!$C:$O,N$1-2011,FALSE),0)+IFERROR(VLOOKUP($A178,WLacrosse!$C:$O,N$1-2011,FALSE),0)+IFERROR(VLOOKUP($A178,WSoccer!$C:$O,N$1-2011,FALSE),0)+IFERROR(VLOOKUP($A178,WSoftball!$C:$O,N$1-2011,FALSE),0)+IFERROR(VLOOKUP($A178,WVolleyball!$C:$O,N$1-2011,FALSE),0)</f>
        <v>588545</v>
      </c>
    </row>
    <row r="179" spans="1:14" x14ac:dyDescent="0.2">
      <c r="A179">
        <v>236939</v>
      </c>
      <c r="B179">
        <v>39420</v>
      </c>
      <c r="C179" t="s">
        <v>245</v>
      </c>
      <c r="D179">
        <v>178</v>
      </c>
      <c r="E179">
        <f>IFERROR(VLOOKUP($A179,MBaseball!$C:$N,E$1-2010,FALSE),0)+IFERROR(VLOOKUP($A179,MBasketball!$C:$J,E$1-2006,FALSE),0)+IFERROR(VLOOKUP($A179,MFootball!$C:$O,E$1-2011,FALSE),0)+IFERROR(VLOOKUP($A179,MIceHockey!$C:$P,E$1-2011,FALSE),0)+IFERROR(VLOOKUP($A179,MLacrosse!$C:$O,E$1-2011,FALSE),0)+IFERROR(VLOOKUP($A179,MSoccer!$C:$O,E$1-2011,FALSE),0)+IFERROR(VLOOKUP($A179,MVolleyball!$C:$O,E$1-2011,FALSE),0)+IFERROR(VLOOKUP($A179,WBasketball!$C:$O,E$1-2011,FALSE),0)+IFERROR(VLOOKUP($A179,WFieldHockey!$C:$O,E$1-2011,FALSE),0)+IFERROR(VLOOKUP($A179,WIceHockey!$C:$O,E$1-2011,FALSE),0)+IFERROR(VLOOKUP($A179,WLacrosse!$C:$O,E$1-2011,FALSE),0)+IFERROR(VLOOKUP($A179,WSoccer!$C:$O,E$1-2011,FALSE),0)+IFERROR(VLOOKUP($A179,WSoftball!$C:$O,E$1-2011,FALSE),0)+IFERROR(VLOOKUP($A179,WVolleyball!$C:$O,E$1-2011,FALSE),0)</f>
        <v>107645</v>
      </c>
      <c r="F179">
        <f>IFERROR(VLOOKUP($A179,MBaseball!$C:$N,F$1-2010,FALSE),0)+IFERROR(VLOOKUP($A179,MBasketball!$C:$J,F$1-2006,FALSE),0)+IFERROR(VLOOKUP($A179,MFootball!$C:$O,F$1-2011,FALSE),0)+IFERROR(VLOOKUP($A179,MIceHockey!$C:$P,F$1-2011,FALSE),0)+IFERROR(VLOOKUP($A179,MLacrosse!$C:$O,F$1-2011,FALSE),0)+IFERROR(VLOOKUP($A179,MSoccer!$C:$O,F$1-2011,FALSE),0)+IFERROR(VLOOKUP($A179,MVolleyball!$C:$O,F$1-2011,FALSE),0)+IFERROR(VLOOKUP($A179,WBasketball!$C:$O,F$1-2011,FALSE),0)+IFERROR(VLOOKUP($A179,WFieldHockey!$C:$O,F$1-2011,FALSE),0)+IFERROR(VLOOKUP($A179,WIceHockey!$C:$O,F$1-2011,FALSE),0)+IFERROR(VLOOKUP($A179,WLacrosse!$C:$O,F$1-2011,FALSE),0)+IFERROR(VLOOKUP($A179,WSoccer!$C:$O,F$1-2011,FALSE),0)+IFERROR(VLOOKUP($A179,WSoftball!$C:$O,F$1-2011,FALSE),0)+IFERROR(VLOOKUP($A179,WVolleyball!$C:$O,F$1-2011,FALSE),0)</f>
        <v>237384</v>
      </c>
      <c r="G179">
        <f>IFERROR(VLOOKUP($A179,MBaseball!$C:$N,G$1-2010,FALSE),0)+IFERROR(VLOOKUP($A179,MBasketball!$C:$J,G$1-2006,FALSE),0)+IFERROR(VLOOKUP($A179,MFootball!$C:$O,G$1-2011,FALSE),0)+IFERROR(VLOOKUP($A179,MIceHockey!$C:$P,G$1-2011,FALSE),0)+IFERROR(VLOOKUP($A179,MLacrosse!$C:$O,G$1-2011,FALSE),0)+IFERROR(VLOOKUP($A179,MSoccer!$C:$O,G$1-2011,FALSE),0)+IFERROR(VLOOKUP($A179,MVolleyball!$C:$O,G$1-2011,FALSE),0)+IFERROR(VLOOKUP($A179,WBasketball!$C:$O,G$1-2011,FALSE),0)+IFERROR(VLOOKUP($A179,WFieldHockey!$C:$O,G$1-2011,FALSE),0)+IFERROR(VLOOKUP($A179,WIceHockey!$C:$O,G$1-2011,FALSE),0)+IFERROR(VLOOKUP($A179,WLacrosse!$C:$O,G$1-2011,FALSE),0)+IFERROR(VLOOKUP($A179,WSoccer!$C:$O,G$1-2011,FALSE),0)+IFERROR(VLOOKUP($A179,WSoftball!$C:$O,G$1-2011,FALSE),0)+IFERROR(VLOOKUP($A179,WVolleyball!$C:$O,G$1-2011,FALSE),0)</f>
        <v>232861</v>
      </c>
      <c r="H179">
        <f>IFERROR(VLOOKUP($A179,MBaseball!$C:$N,H$1-2010,FALSE),0)+IFERROR(VLOOKUP($A179,MBasketball!$C:$J,H$1-2006,FALSE),0)+IFERROR(VLOOKUP($A179,MFootball!$C:$O,H$1-2011,FALSE),0)+IFERROR(VLOOKUP($A179,MIceHockey!$C:$P,H$1-2011,FALSE),0)+IFERROR(VLOOKUP($A179,MLacrosse!$C:$O,H$1-2011,FALSE),0)+IFERROR(VLOOKUP($A179,MSoccer!$C:$O,H$1-2011,FALSE),0)+IFERROR(VLOOKUP($A179,MVolleyball!$C:$O,H$1-2011,FALSE),0)+IFERROR(VLOOKUP($A179,WBasketball!$C:$O,H$1-2011,FALSE),0)+IFERROR(VLOOKUP($A179,WFieldHockey!$C:$O,H$1-2011,FALSE),0)+IFERROR(VLOOKUP($A179,WIceHockey!$C:$O,H$1-2011,FALSE),0)+IFERROR(VLOOKUP($A179,WLacrosse!$C:$O,H$1-2011,FALSE),0)+IFERROR(VLOOKUP($A179,WSoccer!$C:$O,H$1-2011,FALSE),0)+IFERROR(VLOOKUP($A179,WSoftball!$C:$O,H$1-2011,FALSE),0)+IFERROR(VLOOKUP($A179,WVolleyball!$C:$O,H$1-2011,FALSE),0)</f>
        <v>282743</v>
      </c>
      <c r="I179">
        <f>IFERROR(VLOOKUP($A179,MBaseball!$C:$N,I$1-2010,FALSE),0)+IFERROR(VLOOKUP($A179,MBasketball!$C:$J,I$1-2006,FALSE),0)+IFERROR(VLOOKUP($A179,MFootball!$C:$O,I$1-2011,FALSE),0)+IFERROR(VLOOKUP($A179,MIceHockey!$C:$P,I$1-2011,FALSE),0)+IFERROR(VLOOKUP($A179,MLacrosse!$C:$O,I$1-2011,FALSE),0)+IFERROR(VLOOKUP($A179,MSoccer!$C:$O,I$1-2011,FALSE),0)+IFERROR(VLOOKUP($A179,MVolleyball!$C:$O,I$1-2011,FALSE),0)+IFERROR(VLOOKUP($A179,WBasketball!$C:$O,I$1-2011,FALSE),0)+IFERROR(VLOOKUP($A179,WFieldHockey!$C:$O,I$1-2011,FALSE),0)+IFERROR(VLOOKUP($A179,WIceHockey!$C:$O,I$1-2011,FALSE),0)+IFERROR(VLOOKUP($A179,WLacrosse!$C:$O,I$1-2011,FALSE),0)+IFERROR(VLOOKUP($A179,WSoccer!$C:$O,I$1-2011,FALSE),0)+IFERROR(VLOOKUP($A179,WSoftball!$C:$O,I$1-2011,FALSE),0)+IFERROR(VLOOKUP($A179,WVolleyball!$C:$O,I$1-2011,FALSE),0)</f>
        <v>271407</v>
      </c>
      <c r="J179">
        <f>IFERROR(VLOOKUP($A179,MBaseball!$C:$N,J$1-2010,FALSE),0)+IFERROR(VLOOKUP($A179,MBasketball!$C:$J,J$1-2006,FALSE),0)+IFERROR(VLOOKUP($A179,MFootball!$C:$O,J$1-2011,FALSE),0)+IFERROR(VLOOKUP($A179,MIceHockey!$C:$P,J$1-2011,FALSE),0)+IFERROR(VLOOKUP($A179,MLacrosse!$C:$O,J$1-2011,FALSE),0)+IFERROR(VLOOKUP($A179,MSoccer!$C:$O,J$1-2011,FALSE),0)+IFERROR(VLOOKUP($A179,MVolleyball!$C:$O,J$1-2011,FALSE),0)+IFERROR(VLOOKUP($A179,WBasketball!$C:$O,J$1-2011,FALSE),0)+IFERROR(VLOOKUP($A179,WFieldHockey!$C:$O,J$1-2011,FALSE),0)+IFERROR(VLOOKUP($A179,WIceHockey!$C:$O,J$1-2011,FALSE),0)+IFERROR(VLOOKUP($A179,WLacrosse!$C:$O,J$1-2011,FALSE),0)+IFERROR(VLOOKUP($A179,WSoccer!$C:$O,J$1-2011,FALSE),0)+IFERROR(VLOOKUP($A179,WSoftball!$C:$O,J$1-2011,FALSE),0)+IFERROR(VLOOKUP($A179,WVolleyball!$C:$O,J$1-2011,FALSE),0)</f>
        <v>252268</v>
      </c>
      <c r="K179">
        <f>IFERROR(VLOOKUP($A179,MBaseball!$C:$N,K$1-2010,FALSE),0)+IFERROR(VLOOKUP($A179,MBasketball!$C:$J,K$1-2006,FALSE),0)+IFERROR(VLOOKUP($A179,MFootball!$C:$O,K$1-2011,FALSE),0)+IFERROR(VLOOKUP($A179,MIceHockey!$C:$P,K$1-2011,FALSE),0)+IFERROR(VLOOKUP($A179,MLacrosse!$C:$O,K$1-2011,FALSE),0)+IFERROR(VLOOKUP($A179,MSoccer!$C:$O,K$1-2011,FALSE),0)+IFERROR(VLOOKUP($A179,MVolleyball!$C:$O,K$1-2011,FALSE),0)+IFERROR(VLOOKUP($A179,WBasketball!$C:$O,K$1-2011,FALSE),0)+IFERROR(VLOOKUP($A179,WFieldHockey!$C:$O,K$1-2011,FALSE),0)+IFERROR(VLOOKUP($A179,WIceHockey!$C:$O,K$1-2011,FALSE),0)+IFERROR(VLOOKUP($A179,WLacrosse!$C:$O,K$1-2011,FALSE),0)+IFERROR(VLOOKUP($A179,WSoccer!$C:$O,K$1-2011,FALSE),0)+IFERROR(VLOOKUP($A179,WSoftball!$C:$O,K$1-2011,FALSE),0)+IFERROR(VLOOKUP($A179,WVolleyball!$C:$O,K$1-2011,FALSE),0)</f>
        <v>208377</v>
      </c>
      <c r="L179">
        <f>IFERROR(VLOOKUP($A179,MBaseball!$C:$N,L$1-2010,FALSE),0)+IFERROR(VLOOKUP($A179,MBasketball!$C:$J,L$1-2006,FALSE),0)+IFERROR(VLOOKUP($A179,MFootball!$C:$O,L$1-2011,FALSE),0)+IFERROR(VLOOKUP($A179,MIceHockey!$C:$P,L$1-2011,FALSE),0)+IFERROR(VLOOKUP($A179,MLacrosse!$C:$O,L$1-2011,FALSE),0)+IFERROR(VLOOKUP($A179,MSoccer!$C:$O,L$1-2011,FALSE),0)+IFERROR(VLOOKUP($A179,MVolleyball!$C:$O,L$1-2011,FALSE),0)+IFERROR(VLOOKUP($A179,WBasketball!$C:$O,L$1-2011,FALSE),0)+IFERROR(VLOOKUP($A179,WFieldHockey!$C:$O,L$1-2011,FALSE),0)+IFERROR(VLOOKUP($A179,WIceHockey!$C:$O,L$1-2011,FALSE),0)+IFERROR(VLOOKUP($A179,WLacrosse!$C:$O,L$1-2011,FALSE),0)+IFERROR(VLOOKUP($A179,WSoccer!$C:$O,L$1-2011,FALSE),0)+IFERROR(VLOOKUP($A179,WSoftball!$C:$O,L$1-2011,FALSE),0)+IFERROR(VLOOKUP($A179,WVolleyball!$C:$O,L$1-2011,FALSE),0)</f>
        <v>22745</v>
      </c>
      <c r="M179">
        <f>IFERROR(VLOOKUP($A179,MBaseball!$C:$N,M$1-2010,FALSE),0)+IFERROR(VLOOKUP($A179,MBasketball!$C:$J,M$1-2006,FALSE),0)+IFERROR(VLOOKUP($A179,MFootball!$C:$O,M$1-2011,FALSE),0)+IFERROR(VLOOKUP($A179,MIceHockey!$C:$P,M$1-2011,FALSE),0)+IFERROR(VLOOKUP($A179,MLacrosse!$C:$O,M$1-2011,FALSE),0)+IFERROR(VLOOKUP($A179,MSoccer!$C:$O,M$1-2011,FALSE),0)+IFERROR(VLOOKUP($A179,MVolleyball!$C:$O,M$1-2011,FALSE),0)+IFERROR(VLOOKUP($A179,WBasketball!$C:$O,M$1-2011,FALSE),0)+IFERROR(VLOOKUP($A179,WFieldHockey!$C:$O,M$1-2011,FALSE),0)+IFERROR(VLOOKUP($A179,WIceHockey!$C:$O,M$1-2011,FALSE),0)+IFERROR(VLOOKUP($A179,WLacrosse!$C:$O,M$1-2011,FALSE),0)+IFERROR(VLOOKUP($A179,WSoccer!$C:$O,M$1-2011,FALSE),0)+IFERROR(VLOOKUP($A179,WSoftball!$C:$O,M$1-2011,FALSE),0)+IFERROR(VLOOKUP($A179,WVolleyball!$C:$O,M$1-2011,FALSE),0)</f>
        <v>225183</v>
      </c>
      <c r="N179">
        <f>IFERROR(VLOOKUP($A179,MBaseball!$C:$N,N$1-2010,FALSE),0)+IFERROR(VLOOKUP($A179,MBasketball!$C:$J,N$1-2006,FALSE),0)+IFERROR(VLOOKUP($A179,MFootball!$C:$O,N$1-2011,FALSE),0)+IFERROR(VLOOKUP($A179,MIceHockey!$C:$P,N$1-2011,FALSE),0)+IFERROR(VLOOKUP($A179,MLacrosse!$C:$O,N$1-2011,FALSE),0)+IFERROR(VLOOKUP($A179,MSoccer!$C:$O,N$1-2011,FALSE),0)+IFERROR(VLOOKUP($A179,MVolleyball!$C:$O,N$1-2011,FALSE),0)+IFERROR(VLOOKUP($A179,WBasketball!$C:$O,N$1-2011,FALSE),0)+IFERROR(VLOOKUP($A179,WFieldHockey!$C:$O,N$1-2011,FALSE),0)+IFERROR(VLOOKUP($A179,WIceHockey!$C:$O,N$1-2011,FALSE),0)+IFERROR(VLOOKUP($A179,WLacrosse!$C:$O,N$1-2011,FALSE),0)+IFERROR(VLOOKUP($A179,WSoccer!$C:$O,N$1-2011,FALSE),0)+IFERROR(VLOOKUP($A179,WSoftball!$C:$O,N$1-2011,FALSE),0)+IFERROR(VLOOKUP($A179,WVolleyball!$C:$O,N$1-2011,FALSE),0)</f>
        <v>225136</v>
      </c>
    </row>
    <row r="180" spans="1:14" x14ac:dyDescent="0.2">
      <c r="A180">
        <v>230782</v>
      </c>
      <c r="B180">
        <v>36260</v>
      </c>
      <c r="C180" t="s">
        <v>246</v>
      </c>
      <c r="D180">
        <v>179</v>
      </c>
      <c r="E180">
        <f>IFERROR(VLOOKUP($A180,MBaseball!$C:$N,E$1-2010,FALSE),0)+IFERROR(VLOOKUP($A180,MBasketball!$C:$J,E$1-2006,FALSE),0)+IFERROR(VLOOKUP($A180,MFootball!$C:$O,E$1-2011,FALSE),0)+IFERROR(VLOOKUP($A180,MIceHockey!$C:$P,E$1-2011,FALSE),0)+IFERROR(VLOOKUP($A180,MLacrosse!$C:$O,E$1-2011,FALSE),0)+IFERROR(VLOOKUP($A180,MSoccer!$C:$O,E$1-2011,FALSE),0)+IFERROR(VLOOKUP($A180,MVolleyball!$C:$O,E$1-2011,FALSE),0)+IFERROR(VLOOKUP($A180,WBasketball!$C:$O,E$1-2011,FALSE),0)+IFERROR(VLOOKUP($A180,WFieldHockey!$C:$O,E$1-2011,FALSE),0)+IFERROR(VLOOKUP($A180,WIceHockey!$C:$O,E$1-2011,FALSE),0)+IFERROR(VLOOKUP($A180,WLacrosse!$C:$O,E$1-2011,FALSE),0)+IFERROR(VLOOKUP($A180,WSoccer!$C:$O,E$1-2011,FALSE),0)+IFERROR(VLOOKUP($A180,WSoftball!$C:$O,E$1-2011,FALSE),0)+IFERROR(VLOOKUP($A180,WVolleyball!$C:$O,E$1-2011,FALSE),0)</f>
        <v>119948</v>
      </c>
      <c r="F180">
        <f>IFERROR(VLOOKUP($A180,MBaseball!$C:$N,F$1-2010,FALSE),0)+IFERROR(VLOOKUP($A180,MBasketball!$C:$J,F$1-2006,FALSE),0)+IFERROR(VLOOKUP($A180,MFootball!$C:$O,F$1-2011,FALSE),0)+IFERROR(VLOOKUP($A180,MIceHockey!$C:$P,F$1-2011,FALSE),0)+IFERROR(VLOOKUP($A180,MLacrosse!$C:$O,F$1-2011,FALSE),0)+IFERROR(VLOOKUP($A180,MSoccer!$C:$O,F$1-2011,FALSE),0)+IFERROR(VLOOKUP($A180,MVolleyball!$C:$O,F$1-2011,FALSE),0)+IFERROR(VLOOKUP($A180,WBasketball!$C:$O,F$1-2011,FALSE),0)+IFERROR(VLOOKUP($A180,WFieldHockey!$C:$O,F$1-2011,FALSE),0)+IFERROR(VLOOKUP($A180,WIceHockey!$C:$O,F$1-2011,FALSE),0)+IFERROR(VLOOKUP($A180,WLacrosse!$C:$O,F$1-2011,FALSE),0)+IFERROR(VLOOKUP($A180,WSoccer!$C:$O,F$1-2011,FALSE),0)+IFERROR(VLOOKUP($A180,WSoftball!$C:$O,F$1-2011,FALSE),0)+IFERROR(VLOOKUP($A180,WVolleyball!$C:$O,F$1-2011,FALSE),0)</f>
        <v>63096</v>
      </c>
      <c r="G180">
        <f>IFERROR(VLOOKUP($A180,MBaseball!$C:$N,G$1-2010,FALSE),0)+IFERROR(VLOOKUP($A180,MBasketball!$C:$J,G$1-2006,FALSE),0)+IFERROR(VLOOKUP($A180,MFootball!$C:$O,G$1-2011,FALSE),0)+IFERROR(VLOOKUP($A180,MIceHockey!$C:$P,G$1-2011,FALSE),0)+IFERROR(VLOOKUP($A180,MLacrosse!$C:$O,G$1-2011,FALSE),0)+IFERROR(VLOOKUP($A180,MSoccer!$C:$O,G$1-2011,FALSE),0)+IFERROR(VLOOKUP($A180,MVolleyball!$C:$O,G$1-2011,FALSE),0)+IFERROR(VLOOKUP($A180,WBasketball!$C:$O,G$1-2011,FALSE),0)+IFERROR(VLOOKUP($A180,WFieldHockey!$C:$O,G$1-2011,FALSE),0)+IFERROR(VLOOKUP($A180,WIceHockey!$C:$O,G$1-2011,FALSE),0)+IFERROR(VLOOKUP($A180,WLacrosse!$C:$O,G$1-2011,FALSE),0)+IFERROR(VLOOKUP($A180,WSoccer!$C:$O,G$1-2011,FALSE),0)+IFERROR(VLOOKUP($A180,WSoftball!$C:$O,G$1-2011,FALSE),0)+IFERROR(VLOOKUP($A180,WVolleyball!$C:$O,G$1-2011,FALSE),0)</f>
        <v>57781</v>
      </c>
      <c r="H180">
        <f>IFERROR(VLOOKUP($A180,MBaseball!$C:$N,H$1-2010,FALSE),0)+IFERROR(VLOOKUP($A180,MBasketball!$C:$J,H$1-2006,FALSE),0)+IFERROR(VLOOKUP($A180,MFootball!$C:$O,H$1-2011,FALSE),0)+IFERROR(VLOOKUP($A180,MIceHockey!$C:$P,H$1-2011,FALSE),0)+IFERROR(VLOOKUP($A180,MLacrosse!$C:$O,H$1-2011,FALSE),0)+IFERROR(VLOOKUP($A180,MSoccer!$C:$O,H$1-2011,FALSE),0)+IFERROR(VLOOKUP($A180,MVolleyball!$C:$O,H$1-2011,FALSE),0)+IFERROR(VLOOKUP($A180,WBasketball!$C:$O,H$1-2011,FALSE),0)+IFERROR(VLOOKUP($A180,WFieldHockey!$C:$O,H$1-2011,FALSE),0)+IFERROR(VLOOKUP($A180,WIceHockey!$C:$O,H$1-2011,FALSE),0)+IFERROR(VLOOKUP($A180,WLacrosse!$C:$O,H$1-2011,FALSE),0)+IFERROR(VLOOKUP($A180,WSoccer!$C:$O,H$1-2011,FALSE),0)+IFERROR(VLOOKUP($A180,WSoftball!$C:$O,H$1-2011,FALSE),0)+IFERROR(VLOOKUP($A180,WVolleyball!$C:$O,H$1-2011,FALSE),0)</f>
        <v>70489</v>
      </c>
      <c r="I180">
        <f>IFERROR(VLOOKUP($A180,MBaseball!$C:$N,I$1-2010,FALSE),0)+IFERROR(VLOOKUP($A180,MBasketball!$C:$J,I$1-2006,FALSE),0)+IFERROR(VLOOKUP($A180,MFootball!$C:$O,I$1-2011,FALSE),0)+IFERROR(VLOOKUP($A180,MIceHockey!$C:$P,I$1-2011,FALSE),0)+IFERROR(VLOOKUP($A180,MLacrosse!$C:$O,I$1-2011,FALSE),0)+IFERROR(VLOOKUP($A180,MSoccer!$C:$O,I$1-2011,FALSE),0)+IFERROR(VLOOKUP($A180,MVolleyball!$C:$O,I$1-2011,FALSE),0)+IFERROR(VLOOKUP($A180,WBasketball!$C:$O,I$1-2011,FALSE),0)+IFERROR(VLOOKUP($A180,WFieldHockey!$C:$O,I$1-2011,FALSE),0)+IFERROR(VLOOKUP($A180,WIceHockey!$C:$O,I$1-2011,FALSE),0)+IFERROR(VLOOKUP($A180,WLacrosse!$C:$O,I$1-2011,FALSE),0)+IFERROR(VLOOKUP($A180,WSoccer!$C:$O,I$1-2011,FALSE),0)+IFERROR(VLOOKUP($A180,WSoftball!$C:$O,I$1-2011,FALSE),0)+IFERROR(VLOOKUP($A180,WVolleyball!$C:$O,I$1-2011,FALSE),0)</f>
        <v>79842</v>
      </c>
      <c r="J180">
        <f>IFERROR(VLOOKUP($A180,MBaseball!$C:$N,J$1-2010,FALSE),0)+IFERROR(VLOOKUP($A180,MBasketball!$C:$J,J$1-2006,FALSE),0)+IFERROR(VLOOKUP($A180,MFootball!$C:$O,J$1-2011,FALSE),0)+IFERROR(VLOOKUP($A180,MIceHockey!$C:$P,J$1-2011,FALSE),0)+IFERROR(VLOOKUP($A180,MLacrosse!$C:$O,J$1-2011,FALSE),0)+IFERROR(VLOOKUP($A180,MSoccer!$C:$O,J$1-2011,FALSE),0)+IFERROR(VLOOKUP($A180,MVolleyball!$C:$O,J$1-2011,FALSE),0)+IFERROR(VLOOKUP($A180,WBasketball!$C:$O,J$1-2011,FALSE),0)+IFERROR(VLOOKUP($A180,WFieldHockey!$C:$O,J$1-2011,FALSE),0)+IFERROR(VLOOKUP($A180,WIceHockey!$C:$O,J$1-2011,FALSE),0)+IFERROR(VLOOKUP($A180,WLacrosse!$C:$O,J$1-2011,FALSE),0)+IFERROR(VLOOKUP($A180,WSoccer!$C:$O,J$1-2011,FALSE),0)+IFERROR(VLOOKUP($A180,WSoftball!$C:$O,J$1-2011,FALSE),0)+IFERROR(VLOOKUP($A180,WVolleyball!$C:$O,J$1-2011,FALSE),0)</f>
        <v>80581</v>
      </c>
      <c r="K180">
        <f>IFERROR(VLOOKUP($A180,MBaseball!$C:$N,K$1-2010,FALSE),0)+IFERROR(VLOOKUP($A180,MBasketball!$C:$J,K$1-2006,FALSE),0)+IFERROR(VLOOKUP($A180,MFootball!$C:$O,K$1-2011,FALSE),0)+IFERROR(VLOOKUP($A180,MIceHockey!$C:$P,K$1-2011,FALSE),0)+IFERROR(VLOOKUP($A180,MLacrosse!$C:$O,K$1-2011,FALSE),0)+IFERROR(VLOOKUP($A180,MSoccer!$C:$O,K$1-2011,FALSE),0)+IFERROR(VLOOKUP($A180,MVolleyball!$C:$O,K$1-2011,FALSE),0)+IFERROR(VLOOKUP($A180,WBasketball!$C:$O,K$1-2011,FALSE),0)+IFERROR(VLOOKUP($A180,WFieldHockey!$C:$O,K$1-2011,FALSE),0)+IFERROR(VLOOKUP($A180,WIceHockey!$C:$O,K$1-2011,FALSE),0)+IFERROR(VLOOKUP($A180,WLacrosse!$C:$O,K$1-2011,FALSE),0)+IFERROR(VLOOKUP($A180,WSoccer!$C:$O,K$1-2011,FALSE),0)+IFERROR(VLOOKUP($A180,WSoftball!$C:$O,K$1-2011,FALSE),0)+IFERROR(VLOOKUP($A180,WVolleyball!$C:$O,K$1-2011,FALSE),0)</f>
        <v>71817</v>
      </c>
      <c r="L180">
        <f>IFERROR(VLOOKUP($A180,MBaseball!$C:$N,L$1-2010,FALSE),0)+IFERROR(VLOOKUP($A180,MBasketball!$C:$J,L$1-2006,FALSE),0)+IFERROR(VLOOKUP($A180,MFootball!$C:$O,L$1-2011,FALSE),0)+IFERROR(VLOOKUP($A180,MIceHockey!$C:$P,L$1-2011,FALSE),0)+IFERROR(VLOOKUP($A180,MLacrosse!$C:$O,L$1-2011,FALSE),0)+IFERROR(VLOOKUP($A180,MSoccer!$C:$O,L$1-2011,FALSE),0)+IFERROR(VLOOKUP($A180,MVolleyball!$C:$O,L$1-2011,FALSE),0)+IFERROR(VLOOKUP($A180,WBasketball!$C:$O,L$1-2011,FALSE),0)+IFERROR(VLOOKUP($A180,WFieldHockey!$C:$O,L$1-2011,FALSE),0)+IFERROR(VLOOKUP($A180,WIceHockey!$C:$O,L$1-2011,FALSE),0)+IFERROR(VLOOKUP($A180,WLacrosse!$C:$O,L$1-2011,FALSE),0)+IFERROR(VLOOKUP($A180,WSoccer!$C:$O,L$1-2011,FALSE),0)+IFERROR(VLOOKUP($A180,WSoftball!$C:$O,L$1-2011,FALSE),0)+IFERROR(VLOOKUP($A180,WVolleyball!$C:$O,L$1-2011,FALSE),0)</f>
        <v>19912</v>
      </c>
      <c r="M180">
        <f>IFERROR(VLOOKUP($A180,MBaseball!$C:$N,M$1-2010,FALSE),0)+IFERROR(VLOOKUP($A180,MBasketball!$C:$J,M$1-2006,FALSE),0)+IFERROR(VLOOKUP($A180,MFootball!$C:$O,M$1-2011,FALSE),0)+IFERROR(VLOOKUP($A180,MIceHockey!$C:$P,M$1-2011,FALSE),0)+IFERROR(VLOOKUP($A180,MLacrosse!$C:$O,M$1-2011,FALSE),0)+IFERROR(VLOOKUP($A180,MSoccer!$C:$O,M$1-2011,FALSE),0)+IFERROR(VLOOKUP($A180,MVolleyball!$C:$O,M$1-2011,FALSE),0)+IFERROR(VLOOKUP($A180,WBasketball!$C:$O,M$1-2011,FALSE),0)+IFERROR(VLOOKUP($A180,WFieldHockey!$C:$O,M$1-2011,FALSE),0)+IFERROR(VLOOKUP($A180,WIceHockey!$C:$O,M$1-2011,FALSE),0)+IFERROR(VLOOKUP($A180,WLacrosse!$C:$O,M$1-2011,FALSE),0)+IFERROR(VLOOKUP($A180,WSoccer!$C:$O,M$1-2011,FALSE),0)+IFERROR(VLOOKUP($A180,WSoftball!$C:$O,M$1-2011,FALSE),0)+IFERROR(VLOOKUP($A180,WVolleyball!$C:$O,M$1-2011,FALSE),0)</f>
        <v>52398</v>
      </c>
      <c r="N180">
        <f>IFERROR(VLOOKUP($A180,MBaseball!$C:$N,N$1-2010,FALSE),0)+IFERROR(VLOOKUP($A180,MBasketball!$C:$J,N$1-2006,FALSE),0)+IFERROR(VLOOKUP($A180,MFootball!$C:$O,N$1-2011,FALSE),0)+IFERROR(VLOOKUP($A180,MIceHockey!$C:$P,N$1-2011,FALSE),0)+IFERROR(VLOOKUP($A180,MLacrosse!$C:$O,N$1-2011,FALSE),0)+IFERROR(VLOOKUP($A180,MSoccer!$C:$O,N$1-2011,FALSE),0)+IFERROR(VLOOKUP($A180,MVolleyball!$C:$O,N$1-2011,FALSE),0)+IFERROR(VLOOKUP($A180,WBasketball!$C:$O,N$1-2011,FALSE),0)+IFERROR(VLOOKUP($A180,WFieldHockey!$C:$O,N$1-2011,FALSE),0)+IFERROR(VLOOKUP($A180,WIceHockey!$C:$O,N$1-2011,FALSE),0)+IFERROR(VLOOKUP($A180,WLacrosse!$C:$O,N$1-2011,FALSE),0)+IFERROR(VLOOKUP($A180,WSoccer!$C:$O,N$1-2011,FALSE),0)+IFERROR(VLOOKUP($A180,WSoftball!$C:$O,N$1-2011,FALSE),0)+IFERROR(VLOOKUP($A180,WVolleyball!$C:$O,N$1-2011,FALSE),0)</f>
        <v>73458</v>
      </c>
    </row>
    <row r="181" spans="1:14" x14ac:dyDescent="0.2">
      <c r="A181">
        <v>238032</v>
      </c>
      <c r="B181">
        <v>34060</v>
      </c>
      <c r="C181" t="s">
        <v>247</v>
      </c>
      <c r="D181">
        <v>180</v>
      </c>
      <c r="E181">
        <f>IFERROR(VLOOKUP($A181,MBaseball!$C:$N,E$1-2010,FALSE),0)+IFERROR(VLOOKUP($A181,MBasketball!$C:$J,E$1-2006,FALSE),0)+IFERROR(VLOOKUP($A181,MFootball!$C:$O,E$1-2011,FALSE),0)+IFERROR(VLOOKUP($A181,MIceHockey!$C:$P,E$1-2011,FALSE),0)+IFERROR(VLOOKUP($A181,MLacrosse!$C:$O,E$1-2011,FALSE),0)+IFERROR(VLOOKUP($A181,MSoccer!$C:$O,E$1-2011,FALSE),0)+IFERROR(VLOOKUP($A181,MVolleyball!$C:$O,E$1-2011,FALSE),0)+IFERROR(VLOOKUP($A181,WBasketball!$C:$O,E$1-2011,FALSE),0)+IFERROR(VLOOKUP($A181,WFieldHockey!$C:$O,E$1-2011,FALSE),0)+IFERROR(VLOOKUP($A181,WIceHockey!$C:$O,E$1-2011,FALSE),0)+IFERROR(VLOOKUP($A181,WLacrosse!$C:$O,E$1-2011,FALSE),0)+IFERROR(VLOOKUP($A181,WSoccer!$C:$O,E$1-2011,FALSE),0)+IFERROR(VLOOKUP($A181,WSoftball!$C:$O,E$1-2011,FALSE),0)+IFERROR(VLOOKUP($A181,WVolleyball!$C:$O,E$1-2011,FALSE),0)</f>
        <v>286362</v>
      </c>
      <c r="F181">
        <f>IFERROR(VLOOKUP($A181,MBaseball!$C:$N,F$1-2010,FALSE),0)+IFERROR(VLOOKUP($A181,MBasketball!$C:$J,F$1-2006,FALSE),0)+IFERROR(VLOOKUP($A181,MFootball!$C:$O,F$1-2011,FALSE),0)+IFERROR(VLOOKUP($A181,MIceHockey!$C:$P,F$1-2011,FALSE),0)+IFERROR(VLOOKUP($A181,MLacrosse!$C:$O,F$1-2011,FALSE),0)+IFERROR(VLOOKUP($A181,MSoccer!$C:$O,F$1-2011,FALSE),0)+IFERROR(VLOOKUP($A181,MVolleyball!$C:$O,F$1-2011,FALSE),0)+IFERROR(VLOOKUP($A181,WBasketball!$C:$O,F$1-2011,FALSE),0)+IFERROR(VLOOKUP($A181,WFieldHockey!$C:$O,F$1-2011,FALSE),0)+IFERROR(VLOOKUP($A181,WIceHockey!$C:$O,F$1-2011,FALSE),0)+IFERROR(VLOOKUP($A181,WLacrosse!$C:$O,F$1-2011,FALSE),0)+IFERROR(VLOOKUP($A181,WSoccer!$C:$O,F$1-2011,FALSE),0)+IFERROR(VLOOKUP($A181,WSoftball!$C:$O,F$1-2011,FALSE),0)+IFERROR(VLOOKUP($A181,WVolleyball!$C:$O,F$1-2011,FALSE),0)</f>
        <v>458680</v>
      </c>
      <c r="G181">
        <f>IFERROR(VLOOKUP($A181,MBaseball!$C:$N,G$1-2010,FALSE),0)+IFERROR(VLOOKUP($A181,MBasketball!$C:$J,G$1-2006,FALSE),0)+IFERROR(VLOOKUP($A181,MFootball!$C:$O,G$1-2011,FALSE),0)+IFERROR(VLOOKUP($A181,MIceHockey!$C:$P,G$1-2011,FALSE),0)+IFERROR(VLOOKUP($A181,MLacrosse!$C:$O,G$1-2011,FALSE),0)+IFERROR(VLOOKUP($A181,MSoccer!$C:$O,G$1-2011,FALSE),0)+IFERROR(VLOOKUP($A181,MVolleyball!$C:$O,G$1-2011,FALSE),0)+IFERROR(VLOOKUP($A181,WBasketball!$C:$O,G$1-2011,FALSE),0)+IFERROR(VLOOKUP($A181,WFieldHockey!$C:$O,G$1-2011,FALSE),0)+IFERROR(VLOOKUP($A181,WIceHockey!$C:$O,G$1-2011,FALSE),0)+IFERROR(VLOOKUP($A181,WLacrosse!$C:$O,G$1-2011,FALSE),0)+IFERROR(VLOOKUP($A181,WSoccer!$C:$O,G$1-2011,FALSE),0)+IFERROR(VLOOKUP($A181,WSoftball!$C:$O,G$1-2011,FALSE),0)+IFERROR(VLOOKUP($A181,WVolleyball!$C:$O,G$1-2011,FALSE),0)</f>
        <v>487249</v>
      </c>
      <c r="H181">
        <f>IFERROR(VLOOKUP($A181,MBaseball!$C:$N,H$1-2010,FALSE),0)+IFERROR(VLOOKUP($A181,MBasketball!$C:$J,H$1-2006,FALSE),0)+IFERROR(VLOOKUP($A181,MFootball!$C:$O,H$1-2011,FALSE),0)+IFERROR(VLOOKUP($A181,MIceHockey!$C:$P,H$1-2011,FALSE),0)+IFERROR(VLOOKUP($A181,MLacrosse!$C:$O,H$1-2011,FALSE),0)+IFERROR(VLOOKUP($A181,MSoccer!$C:$O,H$1-2011,FALSE),0)+IFERROR(VLOOKUP($A181,MVolleyball!$C:$O,H$1-2011,FALSE),0)+IFERROR(VLOOKUP($A181,WBasketball!$C:$O,H$1-2011,FALSE),0)+IFERROR(VLOOKUP($A181,WFieldHockey!$C:$O,H$1-2011,FALSE),0)+IFERROR(VLOOKUP($A181,WIceHockey!$C:$O,H$1-2011,FALSE),0)+IFERROR(VLOOKUP($A181,WLacrosse!$C:$O,H$1-2011,FALSE),0)+IFERROR(VLOOKUP($A181,WSoccer!$C:$O,H$1-2011,FALSE),0)+IFERROR(VLOOKUP($A181,WSoftball!$C:$O,H$1-2011,FALSE),0)+IFERROR(VLOOKUP($A181,WVolleyball!$C:$O,H$1-2011,FALSE),0)</f>
        <v>515250</v>
      </c>
      <c r="I181">
        <f>IFERROR(VLOOKUP($A181,MBaseball!$C:$N,I$1-2010,FALSE),0)+IFERROR(VLOOKUP($A181,MBasketball!$C:$J,I$1-2006,FALSE),0)+IFERROR(VLOOKUP($A181,MFootball!$C:$O,I$1-2011,FALSE),0)+IFERROR(VLOOKUP($A181,MIceHockey!$C:$P,I$1-2011,FALSE),0)+IFERROR(VLOOKUP($A181,MLacrosse!$C:$O,I$1-2011,FALSE),0)+IFERROR(VLOOKUP($A181,MSoccer!$C:$O,I$1-2011,FALSE),0)+IFERROR(VLOOKUP($A181,MVolleyball!$C:$O,I$1-2011,FALSE),0)+IFERROR(VLOOKUP($A181,WBasketball!$C:$O,I$1-2011,FALSE),0)+IFERROR(VLOOKUP($A181,WFieldHockey!$C:$O,I$1-2011,FALSE),0)+IFERROR(VLOOKUP($A181,WIceHockey!$C:$O,I$1-2011,FALSE),0)+IFERROR(VLOOKUP($A181,WLacrosse!$C:$O,I$1-2011,FALSE),0)+IFERROR(VLOOKUP($A181,WSoccer!$C:$O,I$1-2011,FALSE),0)+IFERROR(VLOOKUP($A181,WSoftball!$C:$O,I$1-2011,FALSE),0)+IFERROR(VLOOKUP($A181,WVolleyball!$C:$O,I$1-2011,FALSE),0)</f>
        <v>456294</v>
      </c>
      <c r="J181">
        <f>IFERROR(VLOOKUP($A181,MBaseball!$C:$N,J$1-2010,FALSE),0)+IFERROR(VLOOKUP($A181,MBasketball!$C:$J,J$1-2006,FALSE),0)+IFERROR(VLOOKUP($A181,MFootball!$C:$O,J$1-2011,FALSE),0)+IFERROR(VLOOKUP($A181,MIceHockey!$C:$P,J$1-2011,FALSE),0)+IFERROR(VLOOKUP($A181,MLacrosse!$C:$O,J$1-2011,FALSE),0)+IFERROR(VLOOKUP($A181,MSoccer!$C:$O,J$1-2011,FALSE),0)+IFERROR(VLOOKUP($A181,MVolleyball!$C:$O,J$1-2011,FALSE),0)+IFERROR(VLOOKUP($A181,WBasketball!$C:$O,J$1-2011,FALSE),0)+IFERROR(VLOOKUP($A181,WFieldHockey!$C:$O,J$1-2011,FALSE),0)+IFERROR(VLOOKUP($A181,WIceHockey!$C:$O,J$1-2011,FALSE),0)+IFERROR(VLOOKUP($A181,WLacrosse!$C:$O,J$1-2011,FALSE),0)+IFERROR(VLOOKUP($A181,WSoccer!$C:$O,J$1-2011,FALSE),0)+IFERROR(VLOOKUP($A181,WSoftball!$C:$O,J$1-2011,FALSE),0)+IFERROR(VLOOKUP($A181,WVolleyball!$C:$O,J$1-2011,FALSE),0)</f>
        <v>430408</v>
      </c>
      <c r="K181">
        <f>IFERROR(VLOOKUP($A181,MBaseball!$C:$N,K$1-2010,FALSE),0)+IFERROR(VLOOKUP($A181,MBasketball!$C:$J,K$1-2006,FALSE),0)+IFERROR(VLOOKUP($A181,MFootball!$C:$O,K$1-2011,FALSE),0)+IFERROR(VLOOKUP($A181,MIceHockey!$C:$P,K$1-2011,FALSE),0)+IFERROR(VLOOKUP($A181,MLacrosse!$C:$O,K$1-2011,FALSE),0)+IFERROR(VLOOKUP($A181,MSoccer!$C:$O,K$1-2011,FALSE),0)+IFERROR(VLOOKUP($A181,MVolleyball!$C:$O,K$1-2011,FALSE),0)+IFERROR(VLOOKUP($A181,WBasketball!$C:$O,K$1-2011,FALSE),0)+IFERROR(VLOOKUP($A181,WFieldHockey!$C:$O,K$1-2011,FALSE),0)+IFERROR(VLOOKUP($A181,WIceHockey!$C:$O,K$1-2011,FALSE),0)+IFERROR(VLOOKUP($A181,WLacrosse!$C:$O,K$1-2011,FALSE),0)+IFERROR(VLOOKUP($A181,WSoccer!$C:$O,K$1-2011,FALSE),0)+IFERROR(VLOOKUP($A181,WSoftball!$C:$O,K$1-2011,FALSE),0)+IFERROR(VLOOKUP($A181,WVolleyball!$C:$O,K$1-2011,FALSE),0)</f>
        <v>412010</v>
      </c>
      <c r="L181">
        <f>IFERROR(VLOOKUP($A181,MBaseball!$C:$N,L$1-2010,FALSE),0)+IFERROR(VLOOKUP($A181,MBasketball!$C:$J,L$1-2006,FALSE),0)+IFERROR(VLOOKUP($A181,MFootball!$C:$O,L$1-2011,FALSE),0)+IFERROR(VLOOKUP($A181,MIceHockey!$C:$P,L$1-2011,FALSE),0)+IFERROR(VLOOKUP($A181,MLacrosse!$C:$O,L$1-2011,FALSE),0)+IFERROR(VLOOKUP($A181,MSoccer!$C:$O,L$1-2011,FALSE),0)+IFERROR(VLOOKUP($A181,MVolleyball!$C:$O,L$1-2011,FALSE),0)+IFERROR(VLOOKUP($A181,WBasketball!$C:$O,L$1-2011,FALSE),0)+IFERROR(VLOOKUP($A181,WFieldHockey!$C:$O,L$1-2011,FALSE),0)+IFERROR(VLOOKUP($A181,WIceHockey!$C:$O,L$1-2011,FALSE),0)+IFERROR(VLOOKUP($A181,WLacrosse!$C:$O,L$1-2011,FALSE),0)+IFERROR(VLOOKUP($A181,WSoccer!$C:$O,L$1-2011,FALSE),0)+IFERROR(VLOOKUP($A181,WSoftball!$C:$O,L$1-2011,FALSE),0)+IFERROR(VLOOKUP($A181,WVolleyball!$C:$O,L$1-2011,FALSE),0)</f>
        <v>97469</v>
      </c>
      <c r="M181">
        <f>IFERROR(VLOOKUP($A181,MBaseball!$C:$N,M$1-2010,FALSE),0)+IFERROR(VLOOKUP($A181,MBasketball!$C:$J,M$1-2006,FALSE),0)+IFERROR(VLOOKUP($A181,MFootball!$C:$O,M$1-2011,FALSE),0)+IFERROR(VLOOKUP($A181,MIceHockey!$C:$P,M$1-2011,FALSE),0)+IFERROR(VLOOKUP($A181,MLacrosse!$C:$O,M$1-2011,FALSE),0)+IFERROR(VLOOKUP($A181,MSoccer!$C:$O,M$1-2011,FALSE),0)+IFERROR(VLOOKUP($A181,MVolleyball!$C:$O,M$1-2011,FALSE),0)+IFERROR(VLOOKUP($A181,WBasketball!$C:$O,M$1-2011,FALSE),0)+IFERROR(VLOOKUP($A181,WFieldHockey!$C:$O,M$1-2011,FALSE),0)+IFERROR(VLOOKUP($A181,WIceHockey!$C:$O,M$1-2011,FALSE),0)+IFERROR(VLOOKUP($A181,WLacrosse!$C:$O,M$1-2011,FALSE),0)+IFERROR(VLOOKUP($A181,WSoccer!$C:$O,M$1-2011,FALSE),0)+IFERROR(VLOOKUP($A181,WSoftball!$C:$O,M$1-2011,FALSE),0)+IFERROR(VLOOKUP($A181,WVolleyball!$C:$O,M$1-2011,FALSE),0)</f>
        <v>422846</v>
      </c>
      <c r="N181">
        <f>IFERROR(VLOOKUP($A181,MBaseball!$C:$N,N$1-2010,FALSE),0)+IFERROR(VLOOKUP($A181,MBasketball!$C:$J,N$1-2006,FALSE),0)+IFERROR(VLOOKUP($A181,MFootball!$C:$O,N$1-2011,FALSE),0)+IFERROR(VLOOKUP($A181,MIceHockey!$C:$P,N$1-2011,FALSE),0)+IFERROR(VLOOKUP($A181,MLacrosse!$C:$O,N$1-2011,FALSE),0)+IFERROR(VLOOKUP($A181,MSoccer!$C:$O,N$1-2011,FALSE),0)+IFERROR(VLOOKUP($A181,MVolleyball!$C:$O,N$1-2011,FALSE),0)+IFERROR(VLOOKUP($A181,WBasketball!$C:$O,N$1-2011,FALSE),0)+IFERROR(VLOOKUP($A181,WFieldHockey!$C:$O,N$1-2011,FALSE),0)+IFERROR(VLOOKUP($A181,WIceHockey!$C:$O,N$1-2011,FALSE),0)+IFERROR(VLOOKUP($A181,WLacrosse!$C:$O,N$1-2011,FALSE),0)+IFERROR(VLOOKUP($A181,WSoccer!$C:$O,N$1-2011,FALSE),0)+IFERROR(VLOOKUP($A181,WSoftball!$C:$O,N$1-2011,FALSE),0)+IFERROR(VLOOKUP($A181,WVolleyball!$C:$O,N$1-2011,FALSE),0)</f>
        <v>343693</v>
      </c>
    </row>
    <row r="182" spans="1:14" x14ac:dyDescent="0.2">
      <c r="A182">
        <v>200004</v>
      </c>
      <c r="B182">
        <v>19000</v>
      </c>
      <c r="C182" t="s">
        <v>248</v>
      </c>
      <c r="D182">
        <v>181</v>
      </c>
      <c r="E182">
        <f>IFERROR(VLOOKUP($A182,MBaseball!$C:$N,E$1-2010,FALSE),0)+IFERROR(VLOOKUP($A182,MBasketball!$C:$J,E$1-2006,FALSE),0)+IFERROR(VLOOKUP($A182,MFootball!$C:$O,E$1-2011,FALSE),0)+IFERROR(VLOOKUP($A182,MIceHockey!$C:$P,E$1-2011,FALSE),0)+IFERROR(VLOOKUP($A182,MLacrosse!$C:$O,E$1-2011,FALSE),0)+IFERROR(VLOOKUP($A182,MSoccer!$C:$O,E$1-2011,FALSE),0)+IFERROR(VLOOKUP($A182,MVolleyball!$C:$O,E$1-2011,FALSE),0)+IFERROR(VLOOKUP($A182,WBasketball!$C:$O,E$1-2011,FALSE),0)+IFERROR(VLOOKUP($A182,WFieldHockey!$C:$O,E$1-2011,FALSE),0)+IFERROR(VLOOKUP($A182,WIceHockey!$C:$O,E$1-2011,FALSE),0)+IFERROR(VLOOKUP($A182,WLacrosse!$C:$O,E$1-2011,FALSE),0)+IFERROR(VLOOKUP($A182,WSoccer!$C:$O,E$1-2011,FALSE),0)+IFERROR(VLOOKUP($A182,WSoftball!$C:$O,E$1-2011,FALSE),0)+IFERROR(VLOOKUP($A182,WVolleyball!$C:$O,E$1-2011,FALSE),0)</f>
        <v>40883</v>
      </c>
      <c r="F182">
        <f>IFERROR(VLOOKUP($A182,MBaseball!$C:$N,F$1-2010,FALSE),0)+IFERROR(VLOOKUP($A182,MBasketball!$C:$J,F$1-2006,FALSE),0)+IFERROR(VLOOKUP($A182,MFootball!$C:$O,F$1-2011,FALSE),0)+IFERROR(VLOOKUP($A182,MIceHockey!$C:$P,F$1-2011,FALSE),0)+IFERROR(VLOOKUP($A182,MLacrosse!$C:$O,F$1-2011,FALSE),0)+IFERROR(VLOOKUP($A182,MSoccer!$C:$O,F$1-2011,FALSE),0)+IFERROR(VLOOKUP($A182,MVolleyball!$C:$O,F$1-2011,FALSE),0)+IFERROR(VLOOKUP($A182,WBasketball!$C:$O,F$1-2011,FALSE),0)+IFERROR(VLOOKUP($A182,WFieldHockey!$C:$O,F$1-2011,FALSE),0)+IFERROR(VLOOKUP($A182,WIceHockey!$C:$O,F$1-2011,FALSE),0)+IFERROR(VLOOKUP($A182,WLacrosse!$C:$O,F$1-2011,FALSE),0)+IFERROR(VLOOKUP($A182,WSoccer!$C:$O,F$1-2011,FALSE),0)+IFERROR(VLOOKUP($A182,WSoftball!$C:$O,F$1-2011,FALSE),0)+IFERROR(VLOOKUP($A182,WVolleyball!$C:$O,F$1-2011,FALSE),0)</f>
        <v>81909</v>
      </c>
      <c r="G182">
        <f>IFERROR(VLOOKUP($A182,MBaseball!$C:$N,G$1-2010,FALSE),0)+IFERROR(VLOOKUP($A182,MBasketball!$C:$J,G$1-2006,FALSE),0)+IFERROR(VLOOKUP($A182,MFootball!$C:$O,G$1-2011,FALSE),0)+IFERROR(VLOOKUP($A182,MIceHockey!$C:$P,G$1-2011,FALSE),0)+IFERROR(VLOOKUP($A182,MLacrosse!$C:$O,G$1-2011,FALSE),0)+IFERROR(VLOOKUP($A182,MSoccer!$C:$O,G$1-2011,FALSE),0)+IFERROR(VLOOKUP($A182,MVolleyball!$C:$O,G$1-2011,FALSE),0)+IFERROR(VLOOKUP($A182,WBasketball!$C:$O,G$1-2011,FALSE),0)+IFERROR(VLOOKUP($A182,WFieldHockey!$C:$O,G$1-2011,FALSE),0)+IFERROR(VLOOKUP($A182,WIceHockey!$C:$O,G$1-2011,FALSE),0)+IFERROR(VLOOKUP($A182,WLacrosse!$C:$O,G$1-2011,FALSE),0)+IFERROR(VLOOKUP($A182,WSoccer!$C:$O,G$1-2011,FALSE),0)+IFERROR(VLOOKUP($A182,WSoftball!$C:$O,G$1-2011,FALSE),0)+IFERROR(VLOOKUP($A182,WVolleyball!$C:$O,G$1-2011,FALSE),0)</f>
        <v>83930</v>
      </c>
      <c r="H182">
        <f>IFERROR(VLOOKUP($A182,MBaseball!$C:$N,H$1-2010,FALSE),0)+IFERROR(VLOOKUP($A182,MBasketball!$C:$J,H$1-2006,FALSE),0)+IFERROR(VLOOKUP($A182,MFootball!$C:$O,H$1-2011,FALSE),0)+IFERROR(VLOOKUP($A182,MIceHockey!$C:$P,H$1-2011,FALSE),0)+IFERROR(VLOOKUP($A182,MLacrosse!$C:$O,H$1-2011,FALSE),0)+IFERROR(VLOOKUP($A182,MSoccer!$C:$O,H$1-2011,FALSE),0)+IFERROR(VLOOKUP($A182,MVolleyball!$C:$O,H$1-2011,FALSE),0)+IFERROR(VLOOKUP($A182,WBasketball!$C:$O,H$1-2011,FALSE),0)+IFERROR(VLOOKUP($A182,WFieldHockey!$C:$O,H$1-2011,FALSE),0)+IFERROR(VLOOKUP($A182,WIceHockey!$C:$O,H$1-2011,FALSE),0)+IFERROR(VLOOKUP($A182,WLacrosse!$C:$O,H$1-2011,FALSE),0)+IFERROR(VLOOKUP($A182,WSoccer!$C:$O,H$1-2011,FALSE),0)+IFERROR(VLOOKUP($A182,WSoftball!$C:$O,H$1-2011,FALSE),0)+IFERROR(VLOOKUP($A182,WVolleyball!$C:$O,H$1-2011,FALSE),0)</f>
        <v>83352</v>
      </c>
      <c r="I182">
        <f>IFERROR(VLOOKUP($A182,MBaseball!$C:$N,I$1-2010,FALSE),0)+IFERROR(VLOOKUP($A182,MBasketball!$C:$J,I$1-2006,FALSE),0)+IFERROR(VLOOKUP($A182,MFootball!$C:$O,I$1-2011,FALSE),0)+IFERROR(VLOOKUP($A182,MIceHockey!$C:$P,I$1-2011,FALSE),0)+IFERROR(VLOOKUP($A182,MLacrosse!$C:$O,I$1-2011,FALSE),0)+IFERROR(VLOOKUP($A182,MSoccer!$C:$O,I$1-2011,FALSE),0)+IFERROR(VLOOKUP($A182,MVolleyball!$C:$O,I$1-2011,FALSE),0)+IFERROR(VLOOKUP($A182,WBasketball!$C:$O,I$1-2011,FALSE),0)+IFERROR(VLOOKUP($A182,WFieldHockey!$C:$O,I$1-2011,FALSE),0)+IFERROR(VLOOKUP($A182,WIceHockey!$C:$O,I$1-2011,FALSE),0)+IFERROR(VLOOKUP($A182,WLacrosse!$C:$O,I$1-2011,FALSE),0)+IFERROR(VLOOKUP($A182,WSoccer!$C:$O,I$1-2011,FALSE),0)+IFERROR(VLOOKUP($A182,WSoftball!$C:$O,I$1-2011,FALSE),0)+IFERROR(VLOOKUP($A182,WVolleyball!$C:$O,I$1-2011,FALSE),0)</f>
        <v>83008</v>
      </c>
      <c r="J182">
        <f>IFERROR(VLOOKUP($A182,MBaseball!$C:$N,J$1-2010,FALSE),0)+IFERROR(VLOOKUP($A182,MBasketball!$C:$J,J$1-2006,FALSE),0)+IFERROR(VLOOKUP($A182,MFootball!$C:$O,J$1-2011,FALSE),0)+IFERROR(VLOOKUP($A182,MIceHockey!$C:$P,J$1-2011,FALSE),0)+IFERROR(VLOOKUP($A182,MLacrosse!$C:$O,J$1-2011,FALSE),0)+IFERROR(VLOOKUP($A182,MSoccer!$C:$O,J$1-2011,FALSE),0)+IFERROR(VLOOKUP($A182,MVolleyball!$C:$O,J$1-2011,FALSE),0)+IFERROR(VLOOKUP($A182,WBasketball!$C:$O,J$1-2011,FALSE),0)+IFERROR(VLOOKUP($A182,WFieldHockey!$C:$O,J$1-2011,FALSE),0)+IFERROR(VLOOKUP($A182,WIceHockey!$C:$O,J$1-2011,FALSE),0)+IFERROR(VLOOKUP($A182,WLacrosse!$C:$O,J$1-2011,FALSE),0)+IFERROR(VLOOKUP($A182,WSoccer!$C:$O,J$1-2011,FALSE),0)+IFERROR(VLOOKUP($A182,WSoftball!$C:$O,J$1-2011,FALSE),0)+IFERROR(VLOOKUP($A182,WVolleyball!$C:$O,J$1-2011,FALSE),0)</f>
        <v>73616</v>
      </c>
      <c r="K182">
        <f>IFERROR(VLOOKUP($A182,MBaseball!$C:$N,K$1-2010,FALSE),0)+IFERROR(VLOOKUP($A182,MBasketball!$C:$J,K$1-2006,FALSE),0)+IFERROR(VLOOKUP($A182,MFootball!$C:$O,K$1-2011,FALSE),0)+IFERROR(VLOOKUP($A182,MIceHockey!$C:$P,K$1-2011,FALSE),0)+IFERROR(VLOOKUP($A182,MLacrosse!$C:$O,K$1-2011,FALSE),0)+IFERROR(VLOOKUP($A182,MSoccer!$C:$O,K$1-2011,FALSE),0)+IFERROR(VLOOKUP($A182,MVolleyball!$C:$O,K$1-2011,FALSE),0)+IFERROR(VLOOKUP($A182,WBasketball!$C:$O,K$1-2011,FALSE),0)+IFERROR(VLOOKUP($A182,WFieldHockey!$C:$O,K$1-2011,FALSE),0)+IFERROR(VLOOKUP($A182,WIceHockey!$C:$O,K$1-2011,FALSE),0)+IFERROR(VLOOKUP($A182,WLacrosse!$C:$O,K$1-2011,FALSE),0)+IFERROR(VLOOKUP($A182,WSoccer!$C:$O,K$1-2011,FALSE),0)+IFERROR(VLOOKUP($A182,WSoftball!$C:$O,K$1-2011,FALSE),0)+IFERROR(VLOOKUP($A182,WVolleyball!$C:$O,K$1-2011,FALSE),0)</f>
        <v>66564</v>
      </c>
      <c r="L182">
        <f>IFERROR(VLOOKUP($A182,MBaseball!$C:$N,L$1-2010,FALSE),0)+IFERROR(VLOOKUP($A182,MBasketball!$C:$J,L$1-2006,FALSE),0)+IFERROR(VLOOKUP($A182,MFootball!$C:$O,L$1-2011,FALSE),0)+IFERROR(VLOOKUP($A182,MIceHockey!$C:$P,L$1-2011,FALSE),0)+IFERROR(VLOOKUP($A182,MLacrosse!$C:$O,L$1-2011,FALSE),0)+IFERROR(VLOOKUP($A182,MSoccer!$C:$O,L$1-2011,FALSE),0)+IFERROR(VLOOKUP($A182,MVolleyball!$C:$O,L$1-2011,FALSE),0)+IFERROR(VLOOKUP($A182,WBasketball!$C:$O,L$1-2011,FALSE),0)+IFERROR(VLOOKUP($A182,WFieldHockey!$C:$O,L$1-2011,FALSE),0)+IFERROR(VLOOKUP($A182,WIceHockey!$C:$O,L$1-2011,FALSE),0)+IFERROR(VLOOKUP($A182,WLacrosse!$C:$O,L$1-2011,FALSE),0)+IFERROR(VLOOKUP($A182,WSoccer!$C:$O,L$1-2011,FALSE),0)+IFERROR(VLOOKUP($A182,WSoftball!$C:$O,L$1-2011,FALSE),0)+IFERROR(VLOOKUP($A182,WVolleyball!$C:$O,L$1-2011,FALSE),0)</f>
        <v>15875</v>
      </c>
      <c r="M182">
        <f>IFERROR(VLOOKUP($A182,MBaseball!$C:$N,M$1-2010,FALSE),0)+IFERROR(VLOOKUP($A182,MBasketball!$C:$J,M$1-2006,FALSE),0)+IFERROR(VLOOKUP($A182,MFootball!$C:$O,M$1-2011,FALSE),0)+IFERROR(VLOOKUP($A182,MIceHockey!$C:$P,M$1-2011,FALSE),0)+IFERROR(VLOOKUP($A182,MLacrosse!$C:$O,M$1-2011,FALSE),0)+IFERROR(VLOOKUP($A182,MSoccer!$C:$O,M$1-2011,FALSE),0)+IFERROR(VLOOKUP($A182,MVolleyball!$C:$O,M$1-2011,FALSE),0)+IFERROR(VLOOKUP($A182,WBasketball!$C:$O,M$1-2011,FALSE),0)+IFERROR(VLOOKUP($A182,WFieldHockey!$C:$O,M$1-2011,FALSE),0)+IFERROR(VLOOKUP($A182,WIceHockey!$C:$O,M$1-2011,FALSE),0)+IFERROR(VLOOKUP($A182,WLacrosse!$C:$O,M$1-2011,FALSE),0)+IFERROR(VLOOKUP($A182,WSoccer!$C:$O,M$1-2011,FALSE),0)+IFERROR(VLOOKUP($A182,WSoftball!$C:$O,M$1-2011,FALSE),0)+IFERROR(VLOOKUP($A182,WVolleyball!$C:$O,M$1-2011,FALSE),0)</f>
        <v>70388</v>
      </c>
      <c r="N182">
        <f>IFERROR(VLOOKUP($A182,MBaseball!$C:$N,N$1-2010,FALSE),0)+IFERROR(VLOOKUP($A182,MBasketball!$C:$J,N$1-2006,FALSE),0)+IFERROR(VLOOKUP($A182,MFootball!$C:$O,N$1-2011,FALSE),0)+IFERROR(VLOOKUP($A182,MIceHockey!$C:$P,N$1-2011,FALSE),0)+IFERROR(VLOOKUP($A182,MLacrosse!$C:$O,N$1-2011,FALSE),0)+IFERROR(VLOOKUP($A182,MSoccer!$C:$O,N$1-2011,FALSE),0)+IFERROR(VLOOKUP($A182,MVolleyball!$C:$O,N$1-2011,FALSE),0)+IFERROR(VLOOKUP($A182,WBasketball!$C:$O,N$1-2011,FALSE),0)+IFERROR(VLOOKUP($A182,WFieldHockey!$C:$O,N$1-2011,FALSE),0)+IFERROR(VLOOKUP($A182,WIceHockey!$C:$O,N$1-2011,FALSE),0)+IFERROR(VLOOKUP($A182,WLacrosse!$C:$O,N$1-2011,FALSE),0)+IFERROR(VLOOKUP($A182,WSoccer!$C:$O,N$1-2011,FALSE),0)+IFERROR(VLOOKUP($A182,WSoftball!$C:$O,N$1-2011,FALSE),0)+IFERROR(VLOOKUP($A182,WVolleyball!$C:$O,N$1-2011,FALSE),0)</f>
        <v>69158</v>
      </c>
    </row>
    <row r="183" spans="1:14" x14ac:dyDescent="0.2">
      <c r="A183">
        <v>149772</v>
      </c>
      <c r="B183">
        <v>31380</v>
      </c>
      <c r="C183" t="s">
        <v>249</v>
      </c>
      <c r="D183">
        <v>182</v>
      </c>
      <c r="E183">
        <f>IFERROR(VLOOKUP($A183,MBaseball!$C:$N,E$1-2010,FALSE),0)+IFERROR(VLOOKUP($A183,MBasketball!$C:$J,E$1-2006,FALSE),0)+IFERROR(VLOOKUP($A183,MFootball!$C:$O,E$1-2011,FALSE),0)+IFERROR(VLOOKUP($A183,MIceHockey!$C:$P,E$1-2011,FALSE),0)+IFERROR(VLOOKUP($A183,MLacrosse!$C:$O,E$1-2011,FALSE),0)+IFERROR(VLOOKUP($A183,MSoccer!$C:$O,E$1-2011,FALSE),0)+IFERROR(VLOOKUP($A183,MVolleyball!$C:$O,E$1-2011,FALSE),0)+IFERROR(VLOOKUP($A183,WBasketball!$C:$O,E$1-2011,FALSE),0)+IFERROR(VLOOKUP($A183,WFieldHockey!$C:$O,E$1-2011,FALSE),0)+IFERROR(VLOOKUP($A183,WIceHockey!$C:$O,E$1-2011,FALSE),0)+IFERROR(VLOOKUP($A183,WLacrosse!$C:$O,E$1-2011,FALSE),0)+IFERROR(VLOOKUP($A183,WSoccer!$C:$O,E$1-2011,FALSE),0)+IFERROR(VLOOKUP($A183,WSoftball!$C:$O,E$1-2011,FALSE),0)+IFERROR(VLOOKUP($A183,WVolleyball!$C:$O,E$1-2011,FALSE),0)</f>
        <v>25844</v>
      </c>
      <c r="F183">
        <f>IFERROR(VLOOKUP($A183,MBaseball!$C:$N,F$1-2010,FALSE),0)+IFERROR(VLOOKUP($A183,MBasketball!$C:$J,F$1-2006,FALSE),0)+IFERROR(VLOOKUP($A183,MFootball!$C:$O,F$1-2011,FALSE),0)+IFERROR(VLOOKUP($A183,MIceHockey!$C:$P,F$1-2011,FALSE),0)+IFERROR(VLOOKUP($A183,MLacrosse!$C:$O,F$1-2011,FALSE),0)+IFERROR(VLOOKUP($A183,MSoccer!$C:$O,F$1-2011,FALSE),0)+IFERROR(VLOOKUP($A183,MVolleyball!$C:$O,F$1-2011,FALSE),0)+IFERROR(VLOOKUP($A183,WBasketball!$C:$O,F$1-2011,FALSE),0)+IFERROR(VLOOKUP($A183,WFieldHockey!$C:$O,F$1-2011,FALSE),0)+IFERROR(VLOOKUP($A183,WIceHockey!$C:$O,F$1-2011,FALSE),0)+IFERROR(VLOOKUP($A183,WLacrosse!$C:$O,F$1-2011,FALSE),0)+IFERROR(VLOOKUP($A183,WSoccer!$C:$O,F$1-2011,FALSE),0)+IFERROR(VLOOKUP($A183,WSoftball!$C:$O,F$1-2011,FALSE),0)+IFERROR(VLOOKUP($A183,WVolleyball!$C:$O,F$1-2011,FALSE),0)</f>
        <v>46054</v>
      </c>
      <c r="G183">
        <f>IFERROR(VLOOKUP($A183,MBaseball!$C:$N,G$1-2010,FALSE),0)+IFERROR(VLOOKUP($A183,MBasketball!$C:$J,G$1-2006,FALSE),0)+IFERROR(VLOOKUP($A183,MFootball!$C:$O,G$1-2011,FALSE),0)+IFERROR(VLOOKUP($A183,MIceHockey!$C:$P,G$1-2011,FALSE),0)+IFERROR(VLOOKUP($A183,MLacrosse!$C:$O,G$1-2011,FALSE),0)+IFERROR(VLOOKUP($A183,MSoccer!$C:$O,G$1-2011,FALSE),0)+IFERROR(VLOOKUP($A183,MVolleyball!$C:$O,G$1-2011,FALSE),0)+IFERROR(VLOOKUP($A183,WBasketball!$C:$O,G$1-2011,FALSE),0)+IFERROR(VLOOKUP($A183,WFieldHockey!$C:$O,G$1-2011,FALSE),0)+IFERROR(VLOOKUP($A183,WIceHockey!$C:$O,G$1-2011,FALSE),0)+IFERROR(VLOOKUP($A183,WLacrosse!$C:$O,G$1-2011,FALSE),0)+IFERROR(VLOOKUP($A183,WSoccer!$C:$O,G$1-2011,FALSE),0)+IFERROR(VLOOKUP($A183,WSoftball!$C:$O,G$1-2011,FALSE),0)+IFERROR(VLOOKUP($A183,WVolleyball!$C:$O,G$1-2011,FALSE),0)</f>
        <v>45227</v>
      </c>
      <c r="H183">
        <f>IFERROR(VLOOKUP($A183,MBaseball!$C:$N,H$1-2010,FALSE),0)+IFERROR(VLOOKUP($A183,MBasketball!$C:$J,H$1-2006,FALSE),0)+IFERROR(VLOOKUP($A183,MFootball!$C:$O,H$1-2011,FALSE),0)+IFERROR(VLOOKUP($A183,MIceHockey!$C:$P,H$1-2011,FALSE),0)+IFERROR(VLOOKUP($A183,MLacrosse!$C:$O,H$1-2011,FALSE),0)+IFERROR(VLOOKUP($A183,MSoccer!$C:$O,H$1-2011,FALSE),0)+IFERROR(VLOOKUP($A183,MVolleyball!$C:$O,H$1-2011,FALSE),0)+IFERROR(VLOOKUP($A183,WBasketball!$C:$O,H$1-2011,FALSE),0)+IFERROR(VLOOKUP($A183,WFieldHockey!$C:$O,H$1-2011,FALSE),0)+IFERROR(VLOOKUP($A183,WIceHockey!$C:$O,H$1-2011,FALSE),0)+IFERROR(VLOOKUP($A183,WLacrosse!$C:$O,H$1-2011,FALSE),0)+IFERROR(VLOOKUP($A183,WSoccer!$C:$O,H$1-2011,FALSE),0)+IFERROR(VLOOKUP($A183,WSoftball!$C:$O,H$1-2011,FALSE),0)+IFERROR(VLOOKUP($A183,WVolleyball!$C:$O,H$1-2011,FALSE),0)</f>
        <v>42612</v>
      </c>
      <c r="I183">
        <f>IFERROR(VLOOKUP($A183,MBaseball!$C:$N,I$1-2010,FALSE),0)+IFERROR(VLOOKUP($A183,MBasketball!$C:$J,I$1-2006,FALSE),0)+IFERROR(VLOOKUP($A183,MFootball!$C:$O,I$1-2011,FALSE),0)+IFERROR(VLOOKUP($A183,MIceHockey!$C:$P,I$1-2011,FALSE),0)+IFERROR(VLOOKUP($A183,MLacrosse!$C:$O,I$1-2011,FALSE),0)+IFERROR(VLOOKUP($A183,MSoccer!$C:$O,I$1-2011,FALSE),0)+IFERROR(VLOOKUP($A183,MVolleyball!$C:$O,I$1-2011,FALSE),0)+IFERROR(VLOOKUP($A183,WBasketball!$C:$O,I$1-2011,FALSE),0)+IFERROR(VLOOKUP($A183,WFieldHockey!$C:$O,I$1-2011,FALSE),0)+IFERROR(VLOOKUP($A183,WIceHockey!$C:$O,I$1-2011,FALSE),0)+IFERROR(VLOOKUP($A183,WLacrosse!$C:$O,I$1-2011,FALSE),0)+IFERROR(VLOOKUP($A183,WSoccer!$C:$O,I$1-2011,FALSE),0)+IFERROR(VLOOKUP($A183,WSoftball!$C:$O,I$1-2011,FALSE),0)+IFERROR(VLOOKUP($A183,WVolleyball!$C:$O,I$1-2011,FALSE),0)</f>
        <v>33233</v>
      </c>
      <c r="J183">
        <f>IFERROR(VLOOKUP($A183,MBaseball!$C:$N,J$1-2010,FALSE),0)+IFERROR(VLOOKUP($A183,MBasketball!$C:$J,J$1-2006,FALSE),0)+IFERROR(VLOOKUP($A183,MFootball!$C:$O,J$1-2011,FALSE),0)+IFERROR(VLOOKUP($A183,MIceHockey!$C:$P,J$1-2011,FALSE),0)+IFERROR(VLOOKUP($A183,MLacrosse!$C:$O,J$1-2011,FALSE),0)+IFERROR(VLOOKUP($A183,MSoccer!$C:$O,J$1-2011,FALSE),0)+IFERROR(VLOOKUP($A183,MVolleyball!$C:$O,J$1-2011,FALSE),0)+IFERROR(VLOOKUP($A183,WBasketball!$C:$O,J$1-2011,FALSE),0)+IFERROR(VLOOKUP($A183,WFieldHockey!$C:$O,J$1-2011,FALSE),0)+IFERROR(VLOOKUP($A183,WIceHockey!$C:$O,J$1-2011,FALSE),0)+IFERROR(VLOOKUP($A183,WLacrosse!$C:$O,J$1-2011,FALSE),0)+IFERROR(VLOOKUP($A183,WSoccer!$C:$O,J$1-2011,FALSE),0)+IFERROR(VLOOKUP($A183,WSoftball!$C:$O,J$1-2011,FALSE),0)+IFERROR(VLOOKUP($A183,WVolleyball!$C:$O,J$1-2011,FALSE),0)</f>
        <v>29318</v>
      </c>
      <c r="K183">
        <f>IFERROR(VLOOKUP($A183,MBaseball!$C:$N,K$1-2010,FALSE),0)+IFERROR(VLOOKUP($A183,MBasketball!$C:$J,K$1-2006,FALSE),0)+IFERROR(VLOOKUP($A183,MFootball!$C:$O,K$1-2011,FALSE),0)+IFERROR(VLOOKUP($A183,MIceHockey!$C:$P,K$1-2011,FALSE),0)+IFERROR(VLOOKUP($A183,MLacrosse!$C:$O,K$1-2011,FALSE),0)+IFERROR(VLOOKUP($A183,MSoccer!$C:$O,K$1-2011,FALSE),0)+IFERROR(VLOOKUP($A183,MVolleyball!$C:$O,K$1-2011,FALSE),0)+IFERROR(VLOOKUP($A183,WBasketball!$C:$O,K$1-2011,FALSE),0)+IFERROR(VLOOKUP($A183,WFieldHockey!$C:$O,K$1-2011,FALSE),0)+IFERROR(VLOOKUP($A183,WIceHockey!$C:$O,K$1-2011,FALSE),0)+IFERROR(VLOOKUP($A183,WLacrosse!$C:$O,K$1-2011,FALSE),0)+IFERROR(VLOOKUP($A183,WSoccer!$C:$O,K$1-2011,FALSE),0)+IFERROR(VLOOKUP($A183,WSoftball!$C:$O,K$1-2011,FALSE),0)+IFERROR(VLOOKUP($A183,WVolleyball!$C:$O,K$1-2011,FALSE),0)</f>
        <v>29932</v>
      </c>
      <c r="L183">
        <f>IFERROR(VLOOKUP($A183,MBaseball!$C:$N,L$1-2010,FALSE),0)+IFERROR(VLOOKUP($A183,MBasketball!$C:$J,L$1-2006,FALSE),0)+IFERROR(VLOOKUP($A183,MFootball!$C:$O,L$1-2011,FALSE),0)+IFERROR(VLOOKUP($A183,MIceHockey!$C:$P,L$1-2011,FALSE),0)+IFERROR(VLOOKUP($A183,MLacrosse!$C:$O,L$1-2011,FALSE),0)+IFERROR(VLOOKUP($A183,MSoccer!$C:$O,L$1-2011,FALSE),0)+IFERROR(VLOOKUP($A183,MVolleyball!$C:$O,L$1-2011,FALSE),0)+IFERROR(VLOOKUP($A183,WBasketball!$C:$O,L$1-2011,FALSE),0)+IFERROR(VLOOKUP($A183,WFieldHockey!$C:$O,L$1-2011,FALSE),0)+IFERROR(VLOOKUP($A183,WIceHockey!$C:$O,L$1-2011,FALSE),0)+IFERROR(VLOOKUP($A183,WLacrosse!$C:$O,L$1-2011,FALSE),0)+IFERROR(VLOOKUP($A183,WSoccer!$C:$O,L$1-2011,FALSE),0)+IFERROR(VLOOKUP($A183,WSoftball!$C:$O,L$1-2011,FALSE),0)+IFERROR(VLOOKUP($A183,WVolleyball!$C:$O,L$1-2011,FALSE),0)</f>
        <v>5772</v>
      </c>
      <c r="M183">
        <f>IFERROR(VLOOKUP($A183,MBaseball!$C:$N,M$1-2010,FALSE),0)+IFERROR(VLOOKUP($A183,MBasketball!$C:$J,M$1-2006,FALSE),0)+IFERROR(VLOOKUP($A183,MFootball!$C:$O,M$1-2011,FALSE),0)+IFERROR(VLOOKUP($A183,MIceHockey!$C:$P,M$1-2011,FALSE),0)+IFERROR(VLOOKUP($A183,MLacrosse!$C:$O,M$1-2011,FALSE),0)+IFERROR(VLOOKUP($A183,MSoccer!$C:$O,M$1-2011,FALSE),0)+IFERROR(VLOOKUP($A183,MVolleyball!$C:$O,M$1-2011,FALSE),0)+IFERROR(VLOOKUP($A183,WBasketball!$C:$O,M$1-2011,FALSE),0)+IFERROR(VLOOKUP($A183,WFieldHockey!$C:$O,M$1-2011,FALSE),0)+IFERROR(VLOOKUP($A183,WIceHockey!$C:$O,M$1-2011,FALSE),0)+IFERROR(VLOOKUP($A183,WLacrosse!$C:$O,M$1-2011,FALSE),0)+IFERROR(VLOOKUP($A183,WSoccer!$C:$O,M$1-2011,FALSE),0)+IFERROR(VLOOKUP($A183,WSoftball!$C:$O,M$1-2011,FALSE),0)+IFERROR(VLOOKUP($A183,WVolleyball!$C:$O,M$1-2011,FALSE),0)</f>
        <v>27027</v>
      </c>
      <c r="N183">
        <f>IFERROR(VLOOKUP($A183,MBaseball!$C:$N,N$1-2010,FALSE),0)+IFERROR(VLOOKUP($A183,MBasketball!$C:$J,N$1-2006,FALSE),0)+IFERROR(VLOOKUP($A183,MFootball!$C:$O,N$1-2011,FALSE),0)+IFERROR(VLOOKUP($A183,MIceHockey!$C:$P,N$1-2011,FALSE),0)+IFERROR(VLOOKUP($A183,MLacrosse!$C:$O,N$1-2011,FALSE),0)+IFERROR(VLOOKUP($A183,MSoccer!$C:$O,N$1-2011,FALSE),0)+IFERROR(VLOOKUP($A183,MVolleyball!$C:$O,N$1-2011,FALSE),0)+IFERROR(VLOOKUP($A183,WBasketball!$C:$O,N$1-2011,FALSE),0)+IFERROR(VLOOKUP($A183,WFieldHockey!$C:$O,N$1-2011,FALSE),0)+IFERROR(VLOOKUP($A183,WIceHockey!$C:$O,N$1-2011,FALSE),0)+IFERROR(VLOOKUP($A183,WLacrosse!$C:$O,N$1-2011,FALSE),0)+IFERROR(VLOOKUP($A183,WSoccer!$C:$O,N$1-2011,FALSE),0)+IFERROR(VLOOKUP($A183,WSoftball!$C:$O,N$1-2011,FALSE),0)+IFERROR(VLOOKUP($A183,WVolleyball!$C:$O,N$1-2011,FALSE),0)</f>
        <v>32399</v>
      </c>
    </row>
    <row r="184" spans="1:14" x14ac:dyDescent="0.2">
      <c r="A184">
        <v>157951</v>
      </c>
      <c r="B184">
        <v>14540</v>
      </c>
      <c r="C184" t="s">
        <v>250</v>
      </c>
      <c r="D184">
        <v>183</v>
      </c>
      <c r="E184">
        <f>IFERROR(VLOOKUP($A184,MBaseball!$C:$N,E$1-2010,FALSE),0)+IFERROR(VLOOKUP($A184,MBasketball!$C:$J,E$1-2006,FALSE),0)+IFERROR(VLOOKUP($A184,MFootball!$C:$O,E$1-2011,FALSE),0)+IFERROR(VLOOKUP($A184,MIceHockey!$C:$P,E$1-2011,FALSE),0)+IFERROR(VLOOKUP($A184,MLacrosse!$C:$O,E$1-2011,FALSE),0)+IFERROR(VLOOKUP($A184,MSoccer!$C:$O,E$1-2011,FALSE),0)+IFERROR(VLOOKUP($A184,MVolleyball!$C:$O,E$1-2011,FALSE),0)+IFERROR(VLOOKUP($A184,WBasketball!$C:$O,E$1-2011,FALSE),0)+IFERROR(VLOOKUP($A184,WFieldHockey!$C:$O,E$1-2011,FALSE),0)+IFERROR(VLOOKUP($A184,WIceHockey!$C:$O,E$1-2011,FALSE),0)+IFERROR(VLOOKUP($A184,WLacrosse!$C:$O,E$1-2011,FALSE),0)+IFERROR(VLOOKUP($A184,WSoccer!$C:$O,E$1-2011,FALSE),0)+IFERROR(VLOOKUP($A184,WSoftball!$C:$O,E$1-2011,FALSE),0)+IFERROR(VLOOKUP($A184,WVolleyball!$C:$O,E$1-2011,FALSE),0)</f>
        <v>129562</v>
      </c>
      <c r="F184">
        <f>IFERROR(VLOOKUP($A184,MBaseball!$C:$N,F$1-2010,FALSE),0)+IFERROR(VLOOKUP($A184,MBasketball!$C:$J,F$1-2006,FALSE),0)+IFERROR(VLOOKUP($A184,MFootball!$C:$O,F$1-2011,FALSE),0)+IFERROR(VLOOKUP($A184,MIceHockey!$C:$P,F$1-2011,FALSE),0)+IFERROR(VLOOKUP($A184,MLacrosse!$C:$O,F$1-2011,FALSE),0)+IFERROR(VLOOKUP($A184,MSoccer!$C:$O,F$1-2011,FALSE),0)+IFERROR(VLOOKUP($A184,MVolleyball!$C:$O,F$1-2011,FALSE),0)+IFERROR(VLOOKUP($A184,WBasketball!$C:$O,F$1-2011,FALSE),0)+IFERROR(VLOOKUP($A184,WFieldHockey!$C:$O,F$1-2011,FALSE),0)+IFERROR(VLOOKUP($A184,WIceHockey!$C:$O,F$1-2011,FALSE),0)+IFERROR(VLOOKUP($A184,WLacrosse!$C:$O,F$1-2011,FALSE),0)+IFERROR(VLOOKUP($A184,WSoccer!$C:$O,F$1-2011,FALSE),0)+IFERROR(VLOOKUP($A184,WSoftball!$C:$O,F$1-2011,FALSE),0)+IFERROR(VLOOKUP($A184,WVolleyball!$C:$O,F$1-2011,FALSE),0)</f>
        <v>147568</v>
      </c>
      <c r="G184">
        <f>IFERROR(VLOOKUP($A184,MBaseball!$C:$N,G$1-2010,FALSE),0)+IFERROR(VLOOKUP($A184,MBasketball!$C:$J,G$1-2006,FALSE),0)+IFERROR(VLOOKUP($A184,MFootball!$C:$O,G$1-2011,FALSE),0)+IFERROR(VLOOKUP($A184,MIceHockey!$C:$P,G$1-2011,FALSE),0)+IFERROR(VLOOKUP($A184,MLacrosse!$C:$O,G$1-2011,FALSE),0)+IFERROR(VLOOKUP($A184,MSoccer!$C:$O,G$1-2011,FALSE),0)+IFERROR(VLOOKUP($A184,MVolleyball!$C:$O,G$1-2011,FALSE),0)+IFERROR(VLOOKUP($A184,WBasketball!$C:$O,G$1-2011,FALSE),0)+IFERROR(VLOOKUP($A184,WFieldHockey!$C:$O,G$1-2011,FALSE),0)+IFERROR(VLOOKUP($A184,WIceHockey!$C:$O,G$1-2011,FALSE),0)+IFERROR(VLOOKUP($A184,WLacrosse!$C:$O,G$1-2011,FALSE),0)+IFERROR(VLOOKUP($A184,WSoccer!$C:$O,G$1-2011,FALSE),0)+IFERROR(VLOOKUP($A184,WSoftball!$C:$O,G$1-2011,FALSE),0)+IFERROR(VLOOKUP($A184,WVolleyball!$C:$O,G$1-2011,FALSE),0)</f>
        <v>163754</v>
      </c>
      <c r="H184">
        <f>IFERROR(VLOOKUP($A184,MBaseball!$C:$N,H$1-2010,FALSE),0)+IFERROR(VLOOKUP($A184,MBasketball!$C:$J,H$1-2006,FALSE),0)+IFERROR(VLOOKUP($A184,MFootball!$C:$O,H$1-2011,FALSE),0)+IFERROR(VLOOKUP($A184,MIceHockey!$C:$P,H$1-2011,FALSE),0)+IFERROR(VLOOKUP($A184,MLacrosse!$C:$O,H$1-2011,FALSE),0)+IFERROR(VLOOKUP($A184,MSoccer!$C:$O,H$1-2011,FALSE),0)+IFERROR(VLOOKUP($A184,MVolleyball!$C:$O,H$1-2011,FALSE),0)+IFERROR(VLOOKUP($A184,WBasketball!$C:$O,H$1-2011,FALSE),0)+IFERROR(VLOOKUP($A184,WFieldHockey!$C:$O,H$1-2011,FALSE),0)+IFERROR(VLOOKUP($A184,WIceHockey!$C:$O,H$1-2011,FALSE),0)+IFERROR(VLOOKUP($A184,WLacrosse!$C:$O,H$1-2011,FALSE),0)+IFERROR(VLOOKUP($A184,WSoccer!$C:$O,H$1-2011,FALSE),0)+IFERROR(VLOOKUP($A184,WSoftball!$C:$O,H$1-2011,FALSE),0)+IFERROR(VLOOKUP($A184,WVolleyball!$C:$O,H$1-2011,FALSE),0)</f>
        <v>177414</v>
      </c>
      <c r="I184">
        <f>IFERROR(VLOOKUP($A184,MBaseball!$C:$N,I$1-2010,FALSE),0)+IFERROR(VLOOKUP($A184,MBasketball!$C:$J,I$1-2006,FALSE),0)+IFERROR(VLOOKUP($A184,MFootball!$C:$O,I$1-2011,FALSE),0)+IFERROR(VLOOKUP($A184,MIceHockey!$C:$P,I$1-2011,FALSE),0)+IFERROR(VLOOKUP($A184,MLacrosse!$C:$O,I$1-2011,FALSE),0)+IFERROR(VLOOKUP($A184,MSoccer!$C:$O,I$1-2011,FALSE),0)+IFERROR(VLOOKUP($A184,MVolleyball!$C:$O,I$1-2011,FALSE),0)+IFERROR(VLOOKUP($A184,WBasketball!$C:$O,I$1-2011,FALSE),0)+IFERROR(VLOOKUP($A184,WFieldHockey!$C:$O,I$1-2011,FALSE),0)+IFERROR(VLOOKUP($A184,WIceHockey!$C:$O,I$1-2011,FALSE),0)+IFERROR(VLOOKUP($A184,WLacrosse!$C:$O,I$1-2011,FALSE),0)+IFERROR(VLOOKUP($A184,WSoccer!$C:$O,I$1-2011,FALSE),0)+IFERROR(VLOOKUP($A184,WSoftball!$C:$O,I$1-2011,FALSE),0)+IFERROR(VLOOKUP($A184,WVolleyball!$C:$O,I$1-2011,FALSE),0)</f>
        <v>149355</v>
      </c>
      <c r="J184">
        <f>IFERROR(VLOOKUP($A184,MBaseball!$C:$N,J$1-2010,FALSE),0)+IFERROR(VLOOKUP($A184,MBasketball!$C:$J,J$1-2006,FALSE),0)+IFERROR(VLOOKUP($A184,MFootball!$C:$O,J$1-2011,FALSE),0)+IFERROR(VLOOKUP($A184,MIceHockey!$C:$P,J$1-2011,FALSE),0)+IFERROR(VLOOKUP($A184,MLacrosse!$C:$O,J$1-2011,FALSE),0)+IFERROR(VLOOKUP($A184,MSoccer!$C:$O,J$1-2011,FALSE),0)+IFERROR(VLOOKUP($A184,MVolleyball!$C:$O,J$1-2011,FALSE),0)+IFERROR(VLOOKUP($A184,WBasketball!$C:$O,J$1-2011,FALSE),0)+IFERROR(VLOOKUP($A184,WFieldHockey!$C:$O,J$1-2011,FALSE),0)+IFERROR(VLOOKUP($A184,WIceHockey!$C:$O,J$1-2011,FALSE),0)+IFERROR(VLOOKUP($A184,WLacrosse!$C:$O,J$1-2011,FALSE),0)+IFERROR(VLOOKUP($A184,WSoccer!$C:$O,J$1-2011,FALSE),0)+IFERROR(VLOOKUP($A184,WSoftball!$C:$O,J$1-2011,FALSE),0)+IFERROR(VLOOKUP($A184,WVolleyball!$C:$O,J$1-2011,FALSE),0)</f>
        <v>117692</v>
      </c>
      <c r="K184">
        <f>IFERROR(VLOOKUP($A184,MBaseball!$C:$N,K$1-2010,FALSE),0)+IFERROR(VLOOKUP($A184,MBasketball!$C:$J,K$1-2006,FALSE),0)+IFERROR(VLOOKUP($A184,MFootball!$C:$O,K$1-2011,FALSE),0)+IFERROR(VLOOKUP($A184,MIceHockey!$C:$P,K$1-2011,FALSE),0)+IFERROR(VLOOKUP($A184,MLacrosse!$C:$O,K$1-2011,FALSE),0)+IFERROR(VLOOKUP($A184,MSoccer!$C:$O,K$1-2011,FALSE),0)+IFERROR(VLOOKUP($A184,MVolleyball!$C:$O,K$1-2011,FALSE),0)+IFERROR(VLOOKUP($A184,WBasketball!$C:$O,K$1-2011,FALSE),0)+IFERROR(VLOOKUP($A184,WFieldHockey!$C:$O,K$1-2011,FALSE),0)+IFERROR(VLOOKUP($A184,WIceHockey!$C:$O,K$1-2011,FALSE),0)+IFERROR(VLOOKUP($A184,WLacrosse!$C:$O,K$1-2011,FALSE),0)+IFERROR(VLOOKUP($A184,WSoccer!$C:$O,K$1-2011,FALSE),0)+IFERROR(VLOOKUP($A184,WSoftball!$C:$O,K$1-2011,FALSE),0)+IFERROR(VLOOKUP($A184,WVolleyball!$C:$O,K$1-2011,FALSE),0)</f>
        <v>137684</v>
      </c>
      <c r="L184">
        <f>IFERROR(VLOOKUP($A184,MBaseball!$C:$N,L$1-2010,FALSE),0)+IFERROR(VLOOKUP($A184,MBasketball!$C:$J,L$1-2006,FALSE),0)+IFERROR(VLOOKUP($A184,MFootball!$C:$O,L$1-2011,FALSE),0)+IFERROR(VLOOKUP($A184,MIceHockey!$C:$P,L$1-2011,FALSE),0)+IFERROR(VLOOKUP($A184,MLacrosse!$C:$O,L$1-2011,FALSE),0)+IFERROR(VLOOKUP($A184,MSoccer!$C:$O,L$1-2011,FALSE),0)+IFERROR(VLOOKUP($A184,MVolleyball!$C:$O,L$1-2011,FALSE),0)+IFERROR(VLOOKUP($A184,WBasketball!$C:$O,L$1-2011,FALSE),0)+IFERROR(VLOOKUP($A184,WFieldHockey!$C:$O,L$1-2011,FALSE),0)+IFERROR(VLOOKUP($A184,WIceHockey!$C:$O,L$1-2011,FALSE),0)+IFERROR(VLOOKUP($A184,WLacrosse!$C:$O,L$1-2011,FALSE),0)+IFERROR(VLOOKUP($A184,WSoccer!$C:$O,L$1-2011,FALSE),0)+IFERROR(VLOOKUP($A184,WSoftball!$C:$O,L$1-2011,FALSE),0)+IFERROR(VLOOKUP($A184,WVolleyball!$C:$O,L$1-2011,FALSE),0)</f>
        <v>41161</v>
      </c>
      <c r="M184">
        <f>IFERROR(VLOOKUP($A184,MBaseball!$C:$N,M$1-2010,FALSE),0)+IFERROR(VLOOKUP($A184,MBasketball!$C:$J,M$1-2006,FALSE),0)+IFERROR(VLOOKUP($A184,MFootball!$C:$O,M$1-2011,FALSE),0)+IFERROR(VLOOKUP($A184,MIceHockey!$C:$P,M$1-2011,FALSE),0)+IFERROR(VLOOKUP($A184,MLacrosse!$C:$O,M$1-2011,FALSE),0)+IFERROR(VLOOKUP($A184,MSoccer!$C:$O,M$1-2011,FALSE),0)+IFERROR(VLOOKUP($A184,MVolleyball!$C:$O,M$1-2011,FALSE),0)+IFERROR(VLOOKUP($A184,WBasketball!$C:$O,M$1-2011,FALSE),0)+IFERROR(VLOOKUP($A184,WFieldHockey!$C:$O,M$1-2011,FALSE),0)+IFERROR(VLOOKUP($A184,WIceHockey!$C:$O,M$1-2011,FALSE),0)+IFERROR(VLOOKUP($A184,WLacrosse!$C:$O,M$1-2011,FALSE),0)+IFERROR(VLOOKUP($A184,WSoccer!$C:$O,M$1-2011,FALSE),0)+IFERROR(VLOOKUP($A184,WSoftball!$C:$O,M$1-2011,FALSE),0)+IFERROR(VLOOKUP($A184,WVolleyball!$C:$O,M$1-2011,FALSE),0)</f>
        <v>138211</v>
      </c>
      <c r="N184">
        <f>IFERROR(VLOOKUP($A184,MBaseball!$C:$N,N$1-2010,FALSE),0)+IFERROR(VLOOKUP($A184,MBasketball!$C:$J,N$1-2006,FALSE),0)+IFERROR(VLOOKUP($A184,MFootball!$C:$O,N$1-2011,FALSE),0)+IFERROR(VLOOKUP($A184,MIceHockey!$C:$P,N$1-2011,FALSE),0)+IFERROR(VLOOKUP($A184,MLacrosse!$C:$O,N$1-2011,FALSE),0)+IFERROR(VLOOKUP($A184,MSoccer!$C:$O,N$1-2011,FALSE),0)+IFERROR(VLOOKUP($A184,MVolleyball!$C:$O,N$1-2011,FALSE),0)+IFERROR(VLOOKUP($A184,WBasketball!$C:$O,N$1-2011,FALSE),0)+IFERROR(VLOOKUP($A184,WFieldHockey!$C:$O,N$1-2011,FALSE),0)+IFERROR(VLOOKUP($A184,WIceHockey!$C:$O,N$1-2011,FALSE),0)+IFERROR(VLOOKUP($A184,WLacrosse!$C:$O,N$1-2011,FALSE),0)+IFERROR(VLOOKUP($A184,WSoccer!$C:$O,N$1-2011,FALSE),0)+IFERROR(VLOOKUP($A184,WSoftball!$C:$O,N$1-2011,FALSE),0)+IFERROR(VLOOKUP($A184,WVolleyball!$C:$O,N$1-2011,FALSE),0)</f>
        <v>131148</v>
      </c>
    </row>
    <row r="185" spans="1:14" x14ac:dyDescent="0.2">
      <c r="A185">
        <v>172699</v>
      </c>
      <c r="B185">
        <v>28020</v>
      </c>
      <c r="C185" t="s">
        <v>251</v>
      </c>
      <c r="D185">
        <v>184</v>
      </c>
      <c r="E185">
        <f>IFERROR(VLOOKUP($A185,MBaseball!$C:$N,E$1-2010,FALSE),0)+IFERROR(VLOOKUP($A185,MBasketball!$C:$J,E$1-2006,FALSE),0)+IFERROR(VLOOKUP($A185,MFootball!$C:$O,E$1-2011,FALSE),0)+IFERROR(VLOOKUP($A185,MIceHockey!$C:$P,E$1-2011,FALSE),0)+IFERROR(VLOOKUP($A185,MLacrosse!$C:$O,E$1-2011,FALSE),0)+IFERROR(VLOOKUP($A185,MSoccer!$C:$O,E$1-2011,FALSE),0)+IFERROR(VLOOKUP($A185,MVolleyball!$C:$O,E$1-2011,FALSE),0)+IFERROR(VLOOKUP($A185,WBasketball!$C:$O,E$1-2011,FALSE),0)+IFERROR(VLOOKUP($A185,WFieldHockey!$C:$O,E$1-2011,FALSE),0)+IFERROR(VLOOKUP($A185,WIceHockey!$C:$O,E$1-2011,FALSE),0)+IFERROR(VLOOKUP($A185,WLacrosse!$C:$O,E$1-2011,FALSE),0)+IFERROR(VLOOKUP($A185,WSoccer!$C:$O,E$1-2011,FALSE),0)+IFERROR(VLOOKUP($A185,WSoftball!$C:$O,E$1-2011,FALSE),0)+IFERROR(VLOOKUP($A185,WVolleyball!$C:$O,E$1-2011,FALSE),0)</f>
        <v>58928</v>
      </c>
      <c r="F185">
        <f>IFERROR(VLOOKUP($A185,MBaseball!$C:$N,F$1-2010,FALSE),0)+IFERROR(VLOOKUP($A185,MBasketball!$C:$J,F$1-2006,FALSE),0)+IFERROR(VLOOKUP($A185,MFootball!$C:$O,F$1-2011,FALSE),0)+IFERROR(VLOOKUP($A185,MIceHockey!$C:$P,F$1-2011,FALSE),0)+IFERROR(VLOOKUP($A185,MLacrosse!$C:$O,F$1-2011,FALSE),0)+IFERROR(VLOOKUP($A185,MSoccer!$C:$O,F$1-2011,FALSE),0)+IFERROR(VLOOKUP($A185,MVolleyball!$C:$O,F$1-2011,FALSE),0)+IFERROR(VLOOKUP($A185,WBasketball!$C:$O,F$1-2011,FALSE),0)+IFERROR(VLOOKUP($A185,WFieldHockey!$C:$O,F$1-2011,FALSE),0)+IFERROR(VLOOKUP($A185,WIceHockey!$C:$O,F$1-2011,FALSE),0)+IFERROR(VLOOKUP($A185,WLacrosse!$C:$O,F$1-2011,FALSE),0)+IFERROR(VLOOKUP($A185,WSoccer!$C:$O,F$1-2011,FALSE),0)+IFERROR(VLOOKUP($A185,WSoftball!$C:$O,F$1-2011,FALSE),0)+IFERROR(VLOOKUP($A185,WVolleyball!$C:$O,F$1-2011,FALSE),0)</f>
        <v>149955</v>
      </c>
      <c r="G185">
        <f>IFERROR(VLOOKUP($A185,MBaseball!$C:$N,G$1-2010,FALSE),0)+IFERROR(VLOOKUP($A185,MBasketball!$C:$J,G$1-2006,FALSE),0)+IFERROR(VLOOKUP($A185,MFootball!$C:$O,G$1-2011,FALSE),0)+IFERROR(VLOOKUP($A185,MIceHockey!$C:$P,G$1-2011,FALSE),0)+IFERROR(VLOOKUP($A185,MLacrosse!$C:$O,G$1-2011,FALSE),0)+IFERROR(VLOOKUP($A185,MSoccer!$C:$O,G$1-2011,FALSE),0)+IFERROR(VLOOKUP($A185,MVolleyball!$C:$O,G$1-2011,FALSE),0)+IFERROR(VLOOKUP($A185,WBasketball!$C:$O,G$1-2011,FALSE),0)+IFERROR(VLOOKUP($A185,WFieldHockey!$C:$O,G$1-2011,FALSE),0)+IFERROR(VLOOKUP($A185,WIceHockey!$C:$O,G$1-2011,FALSE),0)+IFERROR(VLOOKUP($A185,WLacrosse!$C:$O,G$1-2011,FALSE),0)+IFERROR(VLOOKUP($A185,WSoccer!$C:$O,G$1-2011,FALSE),0)+IFERROR(VLOOKUP($A185,WSoftball!$C:$O,G$1-2011,FALSE),0)+IFERROR(VLOOKUP($A185,WVolleyball!$C:$O,G$1-2011,FALSE),0)</f>
        <v>190351</v>
      </c>
      <c r="H185">
        <f>IFERROR(VLOOKUP($A185,MBaseball!$C:$N,H$1-2010,FALSE),0)+IFERROR(VLOOKUP($A185,MBasketball!$C:$J,H$1-2006,FALSE),0)+IFERROR(VLOOKUP($A185,MFootball!$C:$O,H$1-2011,FALSE),0)+IFERROR(VLOOKUP($A185,MIceHockey!$C:$P,H$1-2011,FALSE),0)+IFERROR(VLOOKUP($A185,MLacrosse!$C:$O,H$1-2011,FALSE),0)+IFERROR(VLOOKUP($A185,MSoccer!$C:$O,H$1-2011,FALSE),0)+IFERROR(VLOOKUP($A185,MVolleyball!$C:$O,H$1-2011,FALSE),0)+IFERROR(VLOOKUP($A185,WBasketball!$C:$O,H$1-2011,FALSE),0)+IFERROR(VLOOKUP($A185,WFieldHockey!$C:$O,H$1-2011,FALSE),0)+IFERROR(VLOOKUP($A185,WIceHockey!$C:$O,H$1-2011,FALSE),0)+IFERROR(VLOOKUP($A185,WLacrosse!$C:$O,H$1-2011,FALSE),0)+IFERROR(VLOOKUP($A185,WSoccer!$C:$O,H$1-2011,FALSE),0)+IFERROR(VLOOKUP($A185,WSoftball!$C:$O,H$1-2011,FALSE),0)+IFERROR(VLOOKUP($A185,WVolleyball!$C:$O,H$1-2011,FALSE),0)</f>
        <v>230281</v>
      </c>
      <c r="I185">
        <f>IFERROR(VLOOKUP($A185,MBaseball!$C:$N,I$1-2010,FALSE),0)+IFERROR(VLOOKUP($A185,MBasketball!$C:$J,I$1-2006,FALSE),0)+IFERROR(VLOOKUP($A185,MFootball!$C:$O,I$1-2011,FALSE),0)+IFERROR(VLOOKUP($A185,MIceHockey!$C:$P,I$1-2011,FALSE),0)+IFERROR(VLOOKUP($A185,MLacrosse!$C:$O,I$1-2011,FALSE),0)+IFERROR(VLOOKUP($A185,MSoccer!$C:$O,I$1-2011,FALSE),0)+IFERROR(VLOOKUP($A185,MVolleyball!$C:$O,I$1-2011,FALSE),0)+IFERROR(VLOOKUP($A185,WBasketball!$C:$O,I$1-2011,FALSE),0)+IFERROR(VLOOKUP($A185,WFieldHockey!$C:$O,I$1-2011,FALSE),0)+IFERROR(VLOOKUP($A185,WIceHockey!$C:$O,I$1-2011,FALSE),0)+IFERROR(VLOOKUP($A185,WLacrosse!$C:$O,I$1-2011,FALSE),0)+IFERROR(VLOOKUP($A185,WSoccer!$C:$O,I$1-2011,FALSE),0)+IFERROR(VLOOKUP($A185,WSoftball!$C:$O,I$1-2011,FALSE),0)+IFERROR(VLOOKUP($A185,WVolleyball!$C:$O,I$1-2011,FALSE),0)</f>
        <v>186105</v>
      </c>
      <c r="J185">
        <f>IFERROR(VLOOKUP($A185,MBaseball!$C:$N,J$1-2010,FALSE),0)+IFERROR(VLOOKUP($A185,MBasketball!$C:$J,J$1-2006,FALSE),0)+IFERROR(VLOOKUP($A185,MFootball!$C:$O,J$1-2011,FALSE),0)+IFERROR(VLOOKUP($A185,MIceHockey!$C:$P,J$1-2011,FALSE),0)+IFERROR(VLOOKUP($A185,MLacrosse!$C:$O,J$1-2011,FALSE),0)+IFERROR(VLOOKUP($A185,MSoccer!$C:$O,J$1-2011,FALSE),0)+IFERROR(VLOOKUP($A185,MVolleyball!$C:$O,J$1-2011,FALSE),0)+IFERROR(VLOOKUP($A185,WBasketball!$C:$O,J$1-2011,FALSE),0)+IFERROR(VLOOKUP($A185,WFieldHockey!$C:$O,J$1-2011,FALSE),0)+IFERROR(VLOOKUP($A185,WIceHockey!$C:$O,J$1-2011,FALSE),0)+IFERROR(VLOOKUP($A185,WLacrosse!$C:$O,J$1-2011,FALSE),0)+IFERROR(VLOOKUP($A185,WSoccer!$C:$O,J$1-2011,FALSE),0)+IFERROR(VLOOKUP($A185,WSoftball!$C:$O,J$1-2011,FALSE),0)+IFERROR(VLOOKUP($A185,WVolleyball!$C:$O,J$1-2011,FALSE),0)</f>
        <v>197218</v>
      </c>
      <c r="K185">
        <f>IFERROR(VLOOKUP($A185,MBaseball!$C:$N,K$1-2010,FALSE),0)+IFERROR(VLOOKUP($A185,MBasketball!$C:$J,K$1-2006,FALSE),0)+IFERROR(VLOOKUP($A185,MFootball!$C:$O,K$1-2011,FALSE),0)+IFERROR(VLOOKUP($A185,MIceHockey!$C:$P,K$1-2011,FALSE),0)+IFERROR(VLOOKUP($A185,MLacrosse!$C:$O,K$1-2011,FALSE),0)+IFERROR(VLOOKUP($A185,MSoccer!$C:$O,K$1-2011,FALSE),0)+IFERROR(VLOOKUP($A185,MVolleyball!$C:$O,K$1-2011,FALSE),0)+IFERROR(VLOOKUP($A185,WBasketball!$C:$O,K$1-2011,FALSE),0)+IFERROR(VLOOKUP($A185,WFieldHockey!$C:$O,K$1-2011,FALSE),0)+IFERROR(VLOOKUP($A185,WIceHockey!$C:$O,K$1-2011,FALSE),0)+IFERROR(VLOOKUP($A185,WLacrosse!$C:$O,K$1-2011,FALSE),0)+IFERROR(VLOOKUP($A185,WSoccer!$C:$O,K$1-2011,FALSE),0)+IFERROR(VLOOKUP($A185,WSoftball!$C:$O,K$1-2011,FALSE),0)+IFERROR(VLOOKUP($A185,WVolleyball!$C:$O,K$1-2011,FALSE),0)</f>
        <v>186502</v>
      </c>
      <c r="L185">
        <f>IFERROR(VLOOKUP($A185,MBaseball!$C:$N,L$1-2010,FALSE),0)+IFERROR(VLOOKUP($A185,MBasketball!$C:$J,L$1-2006,FALSE),0)+IFERROR(VLOOKUP($A185,MFootball!$C:$O,L$1-2011,FALSE),0)+IFERROR(VLOOKUP($A185,MIceHockey!$C:$P,L$1-2011,FALSE),0)+IFERROR(VLOOKUP($A185,MLacrosse!$C:$O,L$1-2011,FALSE),0)+IFERROR(VLOOKUP($A185,MSoccer!$C:$O,L$1-2011,FALSE),0)+IFERROR(VLOOKUP($A185,MVolleyball!$C:$O,L$1-2011,FALSE),0)+IFERROR(VLOOKUP($A185,WBasketball!$C:$O,L$1-2011,FALSE),0)+IFERROR(VLOOKUP($A185,WFieldHockey!$C:$O,L$1-2011,FALSE),0)+IFERROR(VLOOKUP($A185,WIceHockey!$C:$O,L$1-2011,FALSE),0)+IFERROR(VLOOKUP($A185,WLacrosse!$C:$O,L$1-2011,FALSE),0)+IFERROR(VLOOKUP($A185,WSoccer!$C:$O,L$1-2011,FALSE),0)+IFERROR(VLOOKUP($A185,WSoftball!$C:$O,L$1-2011,FALSE),0)+IFERROR(VLOOKUP($A185,WVolleyball!$C:$O,L$1-2011,FALSE),0)</f>
        <v>6451</v>
      </c>
      <c r="M185">
        <f>IFERROR(VLOOKUP($A185,MBaseball!$C:$N,M$1-2010,FALSE),0)+IFERROR(VLOOKUP($A185,MBasketball!$C:$J,M$1-2006,FALSE),0)+IFERROR(VLOOKUP($A185,MFootball!$C:$O,M$1-2011,FALSE),0)+IFERROR(VLOOKUP($A185,MIceHockey!$C:$P,M$1-2011,FALSE),0)+IFERROR(VLOOKUP($A185,MLacrosse!$C:$O,M$1-2011,FALSE),0)+IFERROR(VLOOKUP($A185,MSoccer!$C:$O,M$1-2011,FALSE),0)+IFERROR(VLOOKUP($A185,MVolleyball!$C:$O,M$1-2011,FALSE),0)+IFERROR(VLOOKUP($A185,WBasketball!$C:$O,M$1-2011,FALSE),0)+IFERROR(VLOOKUP($A185,WFieldHockey!$C:$O,M$1-2011,FALSE),0)+IFERROR(VLOOKUP($A185,WIceHockey!$C:$O,M$1-2011,FALSE),0)+IFERROR(VLOOKUP($A185,WLacrosse!$C:$O,M$1-2011,FALSE),0)+IFERROR(VLOOKUP($A185,WSoccer!$C:$O,M$1-2011,FALSE),0)+IFERROR(VLOOKUP($A185,WSoftball!$C:$O,M$1-2011,FALSE),0)+IFERROR(VLOOKUP($A185,WVolleyball!$C:$O,M$1-2011,FALSE),0)</f>
        <v>165850</v>
      </c>
      <c r="N185">
        <f>IFERROR(VLOOKUP($A185,MBaseball!$C:$N,N$1-2010,FALSE),0)+IFERROR(VLOOKUP($A185,MBasketball!$C:$J,N$1-2006,FALSE),0)+IFERROR(VLOOKUP($A185,MFootball!$C:$O,N$1-2011,FALSE),0)+IFERROR(VLOOKUP($A185,MIceHockey!$C:$P,N$1-2011,FALSE),0)+IFERROR(VLOOKUP($A185,MLacrosse!$C:$O,N$1-2011,FALSE),0)+IFERROR(VLOOKUP($A185,MSoccer!$C:$O,N$1-2011,FALSE),0)+IFERROR(VLOOKUP($A185,MVolleyball!$C:$O,N$1-2011,FALSE),0)+IFERROR(VLOOKUP($A185,WBasketball!$C:$O,N$1-2011,FALSE),0)+IFERROR(VLOOKUP($A185,WFieldHockey!$C:$O,N$1-2011,FALSE),0)+IFERROR(VLOOKUP($A185,WIceHockey!$C:$O,N$1-2011,FALSE),0)+IFERROR(VLOOKUP($A185,WLacrosse!$C:$O,N$1-2011,FALSE),0)+IFERROR(VLOOKUP($A185,WSoccer!$C:$O,N$1-2011,FALSE),0)+IFERROR(VLOOKUP($A185,WSoftball!$C:$O,N$1-2011,FALSE),0)+IFERROR(VLOOKUP($A185,WVolleyball!$C:$O,N$1-2011,FALSE),0)</f>
        <v>176800</v>
      </c>
    </row>
    <row r="186" spans="1:14" x14ac:dyDescent="0.2">
      <c r="A186">
        <v>156125</v>
      </c>
      <c r="B186">
        <v>48620</v>
      </c>
      <c r="C186" t="s">
        <v>252</v>
      </c>
      <c r="D186">
        <v>185</v>
      </c>
      <c r="E186">
        <f>IFERROR(VLOOKUP($A186,MBaseball!$C:$N,E$1-2010,FALSE),0)+IFERROR(VLOOKUP($A186,MBasketball!$C:$J,E$1-2006,FALSE),0)+IFERROR(VLOOKUP($A186,MFootball!$C:$O,E$1-2011,FALSE),0)+IFERROR(VLOOKUP($A186,MIceHockey!$C:$P,E$1-2011,FALSE),0)+IFERROR(VLOOKUP($A186,MLacrosse!$C:$O,E$1-2011,FALSE),0)+IFERROR(VLOOKUP($A186,MSoccer!$C:$O,E$1-2011,FALSE),0)+IFERROR(VLOOKUP($A186,MVolleyball!$C:$O,E$1-2011,FALSE),0)+IFERROR(VLOOKUP($A186,WBasketball!$C:$O,E$1-2011,FALSE),0)+IFERROR(VLOOKUP($A186,WFieldHockey!$C:$O,E$1-2011,FALSE),0)+IFERROR(VLOOKUP($A186,WIceHockey!$C:$O,E$1-2011,FALSE),0)+IFERROR(VLOOKUP($A186,WLacrosse!$C:$O,E$1-2011,FALSE),0)+IFERROR(VLOOKUP($A186,WSoccer!$C:$O,E$1-2011,FALSE),0)+IFERROR(VLOOKUP($A186,WSoftball!$C:$O,E$1-2011,FALSE),0)+IFERROR(VLOOKUP($A186,WVolleyball!$C:$O,E$1-2011,FALSE),0)</f>
        <v>307354</v>
      </c>
      <c r="F186">
        <f>IFERROR(VLOOKUP($A186,MBaseball!$C:$N,F$1-2010,FALSE),0)+IFERROR(VLOOKUP($A186,MBasketball!$C:$J,F$1-2006,FALSE),0)+IFERROR(VLOOKUP($A186,MFootball!$C:$O,F$1-2011,FALSE),0)+IFERROR(VLOOKUP($A186,MIceHockey!$C:$P,F$1-2011,FALSE),0)+IFERROR(VLOOKUP($A186,MLacrosse!$C:$O,F$1-2011,FALSE),0)+IFERROR(VLOOKUP($A186,MSoccer!$C:$O,F$1-2011,FALSE),0)+IFERROR(VLOOKUP($A186,MVolleyball!$C:$O,F$1-2011,FALSE),0)+IFERROR(VLOOKUP($A186,WBasketball!$C:$O,F$1-2011,FALSE),0)+IFERROR(VLOOKUP($A186,WFieldHockey!$C:$O,F$1-2011,FALSE),0)+IFERROR(VLOOKUP($A186,WIceHockey!$C:$O,F$1-2011,FALSE),0)+IFERROR(VLOOKUP($A186,WLacrosse!$C:$O,F$1-2011,FALSE),0)+IFERROR(VLOOKUP($A186,WSoccer!$C:$O,F$1-2011,FALSE),0)+IFERROR(VLOOKUP($A186,WSoftball!$C:$O,F$1-2011,FALSE),0)+IFERROR(VLOOKUP($A186,WVolleyball!$C:$O,F$1-2011,FALSE),0)</f>
        <v>140892</v>
      </c>
      <c r="G186">
        <f>IFERROR(VLOOKUP($A186,MBaseball!$C:$N,G$1-2010,FALSE),0)+IFERROR(VLOOKUP($A186,MBasketball!$C:$J,G$1-2006,FALSE),0)+IFERROR(VLOOKUP($A186,MFootball!$C:$O,G$1-2011,FALSE),0)+IFERROR(VLOOKUP($A186,MIceHockey!$C:$P,G$1-2011,FALSE),0)+IFERROR(VLOOKUP($A186,MLacrosse!$C:$O,G$1-2011,FALSE),0)+IFERROR(VLOOKUP($A186,MSoccer!$C:$O,G$1-2011,FALSE),0)+IFERROR(VLOOKUP($A186,MVolleyball!$C:$O,G$1-2011,FALSE),0)+IFERROR(VLOOKUP($A186,WBasketball!$C:$O,G$1-2011,FALSE),0)+IFERROR(VLOOKUP($A186,WFieldHockey!$C:$O,G$1-2011,FALSE),0)+IFERROR(VLOOKUP($A186,WIceHockey!$C:$O,G$1-2011,FALSE),0)+IFERROR(VLOOKUP($A186,WLacrosse!$C:$O,G$1-2011,FALSE),0)+IFERROR(VLOOKUP($A186,WSoccer!$C:$O,G$1-2011,FALSE),0)+IFERROR(VLOOKUP($A186,WSoftball!$C:$O,G$1-2011,FALSE),0)+IFERROR(VLOOKUP($A186,WVolleyball!$C:$O,G$1-2011,FALSE),0)</f>
        <v>131442</v>
      </c>
      <c r="H186">
        <f>IFERROR(VLOOKUP($A186,MBaseball!$C:$N,H$1-2010,FALSE),0)+IFERROR(VLOOKUP($A186,MBasketball!$C:$J,H$1-2006,FALSE),0)+IFERROR(VLOOKUP($A186,MFootball!$C:$O,H$1-2011,FALSE),0)+IFERROR(VLOOKUP($A186,MIceHockey!$C:$P,H$1-2011,FALSE),0)+IFERROR(VLOOKUP($A186,MLacrosse!$C:$O,H$1-2011,FALSE),0)+IFERROR(VLOOKUP($A186,MSoccer!$C:$O,H$1-2011,FALSE),0)+IFERROR(VLOOKUP($A186,MVolleyball!$C:$O,H$1-2011,FALSE),0)+IFERROR(VLOOKUP($A186,WBasketball!$C:$O,H$1-2011,FALSE),0)+IFERROR(VLOOKUP($A186,WFieldHockey!$C:$O,H$1-2011,FALSE),0)+IFERROR(VLOOKUP($A186,WIceHockey!$C:$O,H$1-2011,FALSE),0)+IFERROR(VLOOKUP($A186,WLacrosse!$C:$O,H$1-2011,FALSE),0)+IFERROR(VLOOKUP($A186,WSoccer!$C:$O,H$1-2011,FALSE),0)+IFERROR(VLOOKUP($A186,WSoftball!$C:$O,H$1-2011,FALSE),0)+IFERROR(VLOOKUP($A186,WVolleyball!$C:$O,H$1-2011,FALSE),0)</f>
        <v>127598</v>
      </c>
      <c r="I186">
        <f>IFERROR(VLOOKUP($A186,MBaseball!$C:$N,I$1-2010,FALSE),0)+IFERROR(VLOOKUP($A186,MBasketball!$C:$J,I$1-2006,FALSE),0)+IFERROR(VLOOKUP($A186,MFootball!$C:$O,I$1-2011,FALSE),0)+IFERROR(VLOOKUP($A186,MIceHockey!$C:$P,I$1-2011,FALSE),0)+IFERROR(VLOOKUP($A186,MLacrosse!$C:$O,I$1-2011,FALSE),0)+IFERROR(VLOOKUP($A186,MSoccer!$C:$O,I$1-2011,FALSE),0)+IFERROR(VLOOKUP($A186,MVolleyball!$C:$O,I$1-2011,FALSE),0)+IFERROR(VLOOKUP($A186,WBasketball!$C:$O,I$1-2011,FALSE),0)+IFERROR(VLOOKUP($A186,WFieldHockey!$C:$O,I$1-2011,FALSE),0)+IFERROR(VLOOKUP($A186,WIceHockey!$C:$O,I$1-2011,FALSE),0)+IFERROR(VLOOKUP($A186,WLacrosse!$C:$O,I$1-2011,FALSE),0)+IFERROR(VLOOKUP($A186,WSoccer!$C:$O,I$1-2011,FALSE),0)+IFERROR(VLOOKUP($A186,WSoftball!$C:$O,I$1-2011,FALSE),0)+IFERROR(VLOOKUP($A186,WVolleyball!$C:$O,I$1-2011,FALSE),0)</f>
        <v>122525</v>
      </c>
      <c r="J186">
        <f>IFERROR(VLOOKUP($A186,MBaseball!$C:$N,J$1-2010,FALSE),0)+IFERROR(VLOOKUP($A186,MBasketball!$C:$J,J$1-2006,FALSE),0)+IFERROR(VLOOKUP($A186,MFootball!$C:$O,J$1-2011,FALSE),0)+IFERROR(VLOOKUP($A186,MIceHockey!$C:$P,J$1-2011,FALSE),0)+IFERROR(VLOOKUP($A186,MLacrosse!$C:$O,J$1-2011,FALSE),0)+IFERROR(VLOOKUP($A186,MSoccer!$C:$O,J$1-2011,FALSE),0)+IFERROR(VLOOKUP($A186,MVolleyball!$C:$O,J$1-2011,FALSE),0)+IFERROR(VLOOKUP($A186,WBasketball!$C:$O,J$1-2011,FALSE),0)+IFERROR(VLOOKUP($A186,WFieldHockey!$C:$O,J$1-2011,FALSE),0)+IFERROR(VLOOKUP($A186,WIceHockey!$C:$O,J$1-2011,FALSE),0)+IFERROR(VLOOKUP($A186,WLacrosse!$C:$O,J$1-2011,FALSE),0)+IFERROR(VLOOKUP($A186,WSoccer!$C:$O,J$1-2011,FALSE),0)+IFERROR(VLOOKUP($A186,WSoftball!$C:$O,J$1-2011,FALSE),0)+IFERROR(VLOOKUP($A186,WVolleyball!$C:$O,J$1-2011,FALSE),0)</f>
        <v>84886</v>
      </c>
      <c r="K186">
        <f>IFERROR(VLOOKUP($A186,MBaseball!$C:$N,K$1-2010,FALSE),0)+IFERROR(VLOOKUP($A186,MBasketball!$C:$J,K$1-2006,FALSE),0)+IFERROR(VLOOKUP($A186,MFootball!$C:$O,K$1-2011,FALSE),0)+IFERROR(VLOOKUP($A186,MIceHockey!$C:$P,K$1-2011,FALSE),0)+IFERROR(VLOOKUP($A186,MLacrosse!$C:$O,K$1-2011,FALSE),0)+IFERROR(VLOOKUP($A186,MSoccer!$C:$O,K$1-2011,FALSE),0)+IFERROR(VLOOKUP($A186,MVolleyball!$C:$O,K$1-2011,FALSE),0)+IFERROR(VLOOKUP($A186,WBasketball!$C:$O,K$1-2011,FALSE),0)+IFERROR(VLOOKUP($A186,WFieldHockey!$C:$O,K$1-2011,FALSE),0)+IFERROR(VLOOKUP($A186,WIceHockey!$C:$O,K$1-2011,FALSE),0)+IFERROR(VLOOKUP($A186,WLacrosse!$C:$O,K$1-2011,FALSE),0)+IFERROR(VLOOKUP($A186,WSoccer!$C:$O,K$1-2011,FALSE),0)+IFERROR(VLOOKUP($A186,WSoftball!$C:$O,K$1-2011,FALSE),0)+IFERROR(VLOOKUP($A186,WVolleyball!$C:$O,K$1-2011,FALSE),0)</f>
        <v>94804</v>
      </c>
      <c r="L186">
        <f>IFERROR(VLOOKUP($A186,MBaseball!$C:$N,L$1-2010,FALSE),0)+IFERROR(VLOOKUP($A186,MBasketball!$C:$J,L$1-2006,FALSE),0)+IFERROR(VLOOKUP($A186,MFootball!$C:$O,L$1-2011,FALSE),0)+IFERROR(VLOOKUP($A186,MIceHockey!$C:$P,L$1-2011,FALSE),0)+IFERROR(VLOOKUP($A186,MLacrosse!$C:$O,L$1-2011,FALSE),0)+IFERROR(VLOOKUP($A186,MSoccer!$C:$O,L$1-2011,FALSE),0)+IFERROR(VLOOKUP($A186,MVolleyball!$C:$O,L$1-2011,FALSE),0)+IFERROR(VLOOKUP($A186,WBasketball!$C:$O,L$1-2011,FALSE),0)+IFERROR(VLOOKUP($A186,WFieldHockey!$C:$O,L$1-2011,FALSE),0)+IFERROR(VLOOKUP($A186,WIceHockey!$C:$O,L$1-2011,FALSE),0)+IFERROR(VLOOKUP($A186,WLacrosse!$C:$O,L$1-2011,FALSE),0)+IFERROR(VLOOKUP($A186,WSoccer!$C:$O,L$1-2011,FALSE),0)+IFERROR(VLOOKUP($A186,WSoftball!$C:$O,L$1-2011,FALSE),0)+IFERROR(VLOOKUP($A186,WVolleyball!$C:$O,L$1-2011,FALSE),0)</f>
        <v>66719</v>
      </c>
      <c r="M186">
        <f>IFERROR(VLOOKUP($A186,MBaseball!$C:$N,M$1-2010,FALSE),0)+IFERROR(VLOOKUP($A186,MBasketball!$C:$J,M$1-2006,FALSE),0)+IFERROR(VLOOKUP($A186,MFootball!$C:$O,M$1-2011,FALSE),0)+IFERROR(VLOOKUP($A186,MIceHockey!$C:$P,M$1-2011,FALSE),0)+IFERROR(VLOOKUP($A186,MLacrosse!$C:$O,M$1-2011,FALSE),0)+IFERROR(VLOOKUP($A186,MSoccer!$C:$O,M$1-2011,FALSE),0)+IFERROR(VLOOKUP($A186,MVolleyball!$C:$O,M$1-2011,FALSE),0)+IFERROR(VLOOKUP($A186,WBasketball!$C:$O,M$1-2011,FALSE),0)+IFERROR(VLOOKUP($A186,WFieldHockey!$C:$O,M$1-2011,FALSE),0)+IFERROR(VLOOKUP($A186,WIceHockey!$C:$O,M$1-2011,FALSE),0)+IFERROR(VLOOKUP($A186,WLacrosse!$C:$O,M$1-2011,FALSE),0)+IFERROR(VLOOKUP($A186,WSoccer!$C:$O,M$1-2011,FALSE),0)+IFERROR(VLOOKUP($A186,WSoftball!$C:$O,M$1-2011,FALSE),0)+IFERROR(VLOOKUP($A186,WVolleyball!$C:$O,M$1-2011,FALSE),0)</f>
        <v>91232</v>
      </c>
      <c r="N186">
        <f>IFERROR(VLOOKUP($A186,MBaseball!$C:$N,N$1-2010,FALSE),0)+IFERROR(VLOOKUP($A186,MBasketball!$C:$J,N$1-2006,FALSE),0)+IFERROR(VLOOKUP($A186,MFootball!$C:$O,N$1-2011,FALSE),0)+IFERROR(VLOOKUP($A186,MIceHockey!$C:$P,N$1-2011,FALSE),0)+IFERROR(VLOOKUP($A186,MLacrosse!$C:$O,N$1-2011,FALSE),0)+IFERROR(VLOOKUP($A186,MSoccer!$C:$O,N$1-2011,FALSE),0)+IFERROR(VLOOKUP($A186,MVolleyball!$C:$O,N$1-2011,FALSE),0)+IFERROR(VLOOKUP($A186,WBasketball!$C:$O,N$1-2011,FALSE),0)+IFERROR(VLOOKUP($A186,WFieldHockey!$C:$O,N$1-2011,FALSE),0)+IFERROR(VLOOKUP($A186,WIceHockey!$C:$O,N$1-2011,FALSE),0)+IFERROR(VLOOKUP($A186,WLacrosse!$C:$O,N$1-2011,FALSE),0)+IFERROR(VLOOKUP($A186,WSoccer!$C:$O,N$1-2011,FALSE),0)+IFERROR(VLOOKUP($A186,WSoftball!$C:$O,N$1-2011,FALSE),0)+IFERROR(VLOOKUP($A186,WVolleyball!$C:$O,N$1-2011,FALSE),0)</f>
        <v>55157</v>
      </c>
    </row>
    <row r="187" spans="1:14" x14ac:dyDescent="0.2">
      <c r="A187">
        <v>231624</v>
      </c>
      <c r="B187">
        <v>47260</v>
      </c>
      <c r="C187" t="s">
        <v>253</v>
      </c>
      <c r="D187">
        <v>186</v>
      </c>
      <c r="E187">
        <f>IFERROR(VLOOKUP($A187,MBaseball!$C:$N,E$1-2010,FALSE),0)+IFERROR(VLOOKUP($A187,MBasketball!$C:$J,E$1-2006,FALSE),0)+IFERROR(VLOOKUP($A187,MFootball!$C:$O,E$1-2011,FALSE),0)+IFERROR(VLOOKUP($A187,MIceHockey!$C:$P,E$1-2011,FALSE),0)+IFERROR(VLOOKUP($A187,MLacrosse!$C:$O,E$1-2011,FALSE),0)+IFERROR(VLOOKUP($A187,MSoccer!$C:$O,E$1-2011,FALSE),0)+IFERROR(VLOOKUP($A187,MVolleyball!$C:$O,E$1-2011,FALSE),0)+IFERROR(VLOOKUP($A187,WBasketball!$C:$O,E$1-2011,FALSE),0)+IFERROR(VLOOKUP($A187,WFieldHockey!$C:$O,E$1-2011,FALSE),0)+IFERROR(VLOOKUP($A187,WIceHockey!$C:$O,E$1-2011,FALSE),0)+IFERROR(VLOOKUP($A187,WLacrosse!$C:$O,E$1-2011,FALSE),0)+IFERROR(VLOOKUP($A187,WSoccer!$C:$O,E$1-2011,FALSE),0)+IFERROR(VLOOKUP($A187,WSoftball!$C:$O,E$1-2011,FALSE),0)+IFERROR(VLOOKUP($A187,WVolleyball!$C:$O,E$1-2011,FALSE),0)</f>
        <v>73453</v>
      </c>
      <c r="F187">
        <f>IFERROR(VLOOKUP($A187,MBaseball!$C:$N,F$1-2010,FALSE),0)+IFERROR(VLOOKUP($A187,MBasketball!$C:$J,F$1-2006,FALSE),0)+IFERROR(VLOOKUP($A187,MFootball!$C:$O,F$1-2011,FALSE),0)+IFERROR(VLOOKUP($A187,MIceHockey!$C:$P,F$1-2011,FALSE),0)+IFERROR(VLOOKUP($A187,MLacrosse!$C:$O,F$1-2011,FALSE),0)+IFERROR(VLOOKUP($A187,MSoccer!$C:$O,F$1-2011,FALSE),0)+IFERROR(VLOOKUP($A187,MVolleyball!$C:$O,F$1-2011,FALSE),0)+IFERROR(VLOOKUP($A187,WBasketball!$C:$O,F$1-2011,FALSE),0)+IFERROR(VLOOKUP($A187,WFieldHockey!$C:$O,F$1-2011,FALSE),0)+IFERROR(VLOOKUP($A187,WIceHockey!$C:$O,F$1-2011,FALSE),0)+IFERROR(VLOOKUP($A187,WLacrosse!$C:$O,F$1-2011,FALSE),0)+IFERROR(VLOOKUP($A187,WSoccer!$C:$O,F$1-2011,FALSE),0)+IFERROR(VLOOKUP($A187,WSoftball!$C:$O,F$1-2011,FALSE),0)+IFERROR(VLOOKUP($A187,WVolleyball!$C:$O,F$1-2011,FALSE),0)</f>
        <v>78244</v>
      </c>
      <c r="G187">
        <f>IFERROR(VLOOKUP($A187,MBaseball!$C:$N,G$1-2010,FALSE),0)+IFERROR(VLOOKUP($A187,MBasketball!$C:$J,G$1-2006,FALSE),0)+IFERROR(VLOOKUP($A187,MFootball!$C:$O,G$1-2011,FALSE),0)+IFERROR(VLOOKUP($A187,MIceHockey!$C:$P,G$1-2011,FALSE),0)+IFERROR(VLOOKUP($A187,MLacrosse!$C:$O,G$1-2011,FALSE),0)+IFERROR(VLOOKUP($A187,MSoccer!$C:$O,G$1-2011,FALSE),0)+IFERROR(VLOOKUP($A187,MVolleyball!$C:$O,G$1-2011,FALSE),0)+IFERROR(VLOOKUP($A187,WBasketball!$C:$O,G$1-2011,FALSE),0)+IFERROR(VLOOKUP($A187,WFieldHockey!$C:$O,G$1-2011,FALSE),0)+IFERROR(VLOOKUP($A187,WIceHockey!$C:$O,G$1-2011,FALSE),0)+IFERROR(VLOOKUP($A187,WLacrosse!$C:$O,G$1-2011,FALSE),0)+IFERROR(VLOOKUP($A187,WSoccer!$C:$O,G$1-2011,FALSE),0)+IFERROR(VLOOKUP($A187,WSoftball!$C:$O,G$1-2011,FALSE),0)+IFERROR(VLOOKUP($A187,WVolleyball!$C:$O,G$1-2011,FALSE),0)</f>
        <v>77020</v>
      </c>
      <c r="H187">
        <f>IFERROR(VLOOKUP($A187,MBaseball!$C:$N,H$1-2010,FALSE),0)+IFERROR(VLOOKUP($A187,MBasketball!$C:$J,H$1-2006,FALSE),0)+IFERROR(VLOOKUP($A187,MFootball!$C:$O,H$1-2011,FALSE),0)+IFERROR(VLOOKUP($A187,MIceHockey!$C:$P,H$1-2011,FALSE),0)+IFERROR(VLOOKUP($A187,MLacrosse!$C:$O,H$1-2011,FALSE),0)+IFERROR(VLOOKUP($A187,MSoccer!$C:$O,H$1-2011,FALSE),0)+IFERROR(VLOOKUP($A187,MVolleyball!$C:$O,H$1-2011,FALSE),0)+IFERROR(VLOOKUP($A187,WBasketball!$C:$O,H$1-2011,FALSE),0)+IFERROR(VLOOKUP($A187,WFieldHockey!$C:$O,H$1-2011,FALSE),0)+IFERROR(VLOOKUP($A187,WIceHockey!$C:$O,H$1-2011,FALSE),0)+IFERROR(VLOOKUP($A187,WLacrosse!$C:$O,H$1-2011,FALSE),0)+IFERROR(VLOOKUP($A187,WSoccer!$C:$O,H$1-2011,FALSE),0)+IFERROR(VLOOKUP($A187,WSoftball!$C:$O,H$1-2011,FALSE),0)+IFERROR(VLOOKUP($A187,WVolleyball!$C:$O,H$1-2011,FALSE),0)</f>
        <v>80078</v>
      </c>
      <c r="I187">
        <f>IFERROR(VLOOKUP($A187,MBaseball!$C:$N,I$1-2010,FALSE),0)+IFERROR(VLOOKUP($A187,MBasketball!$C:$J,I$1-2006,FALSE),0)+IFERROR(VLOOKUP($A187,MFootball!$C:$O,I$1-2011,FALSE),0)+IFERROR(VLOOKUP($A187,MIceHockey!$C:$P,I$1-2011,FALSE),0)+IFERROR(VLOOKUP($A187,MLacrosse!$C:$O,I$1-2011,FALSE),0)+IFERROR(VLOOKUP($A187,MSoccer!$C:$O,I$1-2011,FALSE),0)+IFERROR(VLOOKUP($A187,MVolleyball!$C:$O,I$1-2011,FALSE),0)+IFERROR(VLOOKUP($A187,WBasketball!$C:$O,I$1-2011,FALSE),0)+IFERROR(VLOOKUP($A187,WFieldHockey!$C:$O,I$1-2011,FALSE),0)+IFERROR(VLOOKUP($A187,WIceHockey!$C:$O,I$1-2011,FALSE),0)+IFERROR(VLOOKUP($A187,WLacrosse!$C:$O,I$1-2011,FALSE),0)+IFERROR(VLOOKUP($A187,WSoccer!$C:$O,I$1-2011,FALSE),0)+IFERROR(VLOOKUP($A187,WSoftball!$C:$O,I$1-2011,FALSE),0)+IFERROR(VLOOKUP($A187,WVolleyball!$C:$O,I$1-2011,FALSE),0)</f>
        <v>74965</v>
      </c>
      <c r="J187">
        <f>IFERROR(VLOOKUP($A187,MBaseball!$C:$N,J$1-2010,FALSE),0)+IFERROR(VLOOKUP($A187,MBasketball!$C:$J,J$1-2006,FALSE),0)+IFERROR(VLOOKUP($A187,MFootball!$C:$O,J$1-2011,FALSE),0)+IFERROR(VLOOKUP($A187,MIceHockey!$C:$P,J$1-2011,FALSE),0)+IFERROR(VLOOKUP($A187,MLacrosse!$C:$O,J$1-2011,FALSE),0)+IFERROR(VLOOKUP($A187,MSoccer!$C:$O,J$1-2011,FALSE),0)+IFERROR(VLOOKUP($A187,MVolleyball!$C:$O,J$1-2011,FALSE),0)+IFERROR(VLOOKUP($A187,WBasketball!$C:$O,J$1-2011,FALSE),0)+IFERROR(VLOOKUP($A187,WFieldHockey!$C:$O,J$1-2011,FALSE),0)+IFERROR(VLOOKUP($A187,WIceHockey!$C:$O,J$1-2011,FALSE),0)+IFERROR(VLOOKUP($A187,WLacrosse!$C:$O,J$1-2011,FALSE),0)+IFERROR(VLOOKUP($A187,WSoccer!$C:$O,J$1-2011,FALSE),0)+IFERROR(VLOOKUP($A187,WSoftball!$C:$O,J$1-2011,FALSE),0)+IFERROR(VLOOKUP($A187,WVolleyball!$C:$O,J$1-2011,FALSE),0)</f>
        <v>61737</v>
      </c>
      <c r="K187">
        <f>IFERROR(VLOOKUP($A187,MBaseball!$C:$N,K$1-2010,FALSE),0)+IFERROR(VLOOKUP($A187,MBasketball!$C:$J,K$1-2006,FALSE),0)+IFERROR(VLOOKUP($A187,MFootball!$C:$O,K$1-2011,FALSE),0)+IFERROR(VLOOKUP($A187,MIceHockey!$C:$P,K$1-2011,FALSE),0)+IFERROR(VLOOKUP($A187,MLacrosse!$C:$O,K$1-2011,FALSE),0)+IFERROR(VLOOKUP($A187,MSoccer!$C:$O,K$1-2011,FALSE),0)+IFERROR(VLOOKUP($A187,MVolleyball!$C:$O,K$1-2011,FALSE),0)+IFERROR(VLOOKUP($A187,WBasketball!$C:$O,K$1-2011,FALSE),0)+IFERROR(VLOOKUP($A187,WFieldHockey!$C:$O,K$1-2011,FALSE),0)+IFERROR(VLOOKUP($A187,WIceHockey!$C:$O,K$1-2011,FALSE),0)+IFERROR(VLOOKUP($A187,WLacrosse!$C:$O,K$1-2011,FALSE),0)+IFERROR(VLOOKUP($A187,WSoccer!$C:$O,K$1-2011,FALSE),0)+IFERROR(VLOOKUP($A187,WSoftball!$C:$O,K$1-2011,FALSE),0)+IFERROR(VLOOKUP($A187,WVolleyball!$C:$O,K$1-2011,FALSE),0)</f>
        <v>75812</v>
      </c>
      <c r="L187">
        <f>IFERROR(VLOOKUP($A187,MBaseball!$C:$N,L$1-2010,FALSE),0)+IFERROR(VLOOKUP($A187,MBasketball!$C:$J,L$1-2006,FALSE),0)+IFERROR(VLOOKUP($A187,MFootball!$C:$O,L$1-2011,FALSE),0)+IFERROR(VLOOKUP($A187,MIceHockey!$C:$P,L$1-2011,FALSE),0)+IFERROR(VLOOKUP($A187,MLacrosse!$C:$O,L$1-2011,FALSE),0)+IFERROR(VLOOKUP($A187,MSoccer!$C:$O,L$1-2011,FALSE),0)+IFERROR(VLOOKUP($A187,MVolleyball!$C:$O,L$1-2011,FALSE),0)+IFERROR(VLOOKUP($A187,WBasketball!$C:$O,L$1-2011,FALSE),0)+IFERROR(VLOOKUP($A187,WFieldHockey!$C:$O,L$1-2011,FALSE),0)+IFERROR(VLOOKUP($A187,WIceHockey!$C:$O,L$1-2011,FALSE),0)+IFERROR(VLOOKUP($A187,WLacrosse!$C:$O,L$1-2011,FALSE),0)+IFERROR(VLOOKUP($A187,WSoccer!$C:$O,L$1-2011,FALSE),0)+IFERROR(VLOOKUP($A187,WSoftball!$C:$O,L$1-2011,FALSE),0)+IFERROR(VLOOKUP($A187,WVolleyball!$C:$O,L$1-2011,FALSE),0)</f>
        <v>12073</v>
      </c>
      <c r="M187">
        <f>IFERROR(VLOOKUP($A187,MBaseball!$C:$N,M$1-2010,FALSE),0)+IFERROR(VLOOKUP($A187,MBasketball!$C:$J,M$1-2006,FALSE),0)+IFERROR(VLOOKUP($A187,MFootball!$C:$O,M$1-2011,FALSE),0)+IFERROR(VLOOKUP($A187,MIceHockey!$C:$P,M$1-2011,FALSE),0)+IFERROR(VLOOKUP($A187,MLacrosse!$C:$O,M$1-2011,FALSE),0)+IFERROR(VLOOKUP($A187,MSoccer!$C:$O,M$1-2011,FALSE),0)+IFERROR(VLOOKUP($A187,MVolleyball!$C:$O,M$1-2011,FALSE),0)+IFERROR(VLOOKUP($A187,WBasketball!$C:$O,M$1-2011,FALSE),0)+IFERROR(VLOOKUP($A187,WFieldHockey!$C:$O,M$1-2011,FALSE),0)+IFERROR(VLOOKUP($A187,WIceHockey!$C:$O,M$1-2011,FALSE),0)+IFERROR(VLOOKUP($A187,WLacrosse!$C:$O,M$1-2011,FALSE),0)+IFERROR(VLOOKUP($A187,WSoccer!$C:$O,M$1-2011,FALSE),0)+IFERROR(VLOOKUP($A187,WSoftball!$C:$O,M$1-2011,FALSE),0)+IFERROR(VLOOKUP($A187,WVolleyball!$C:$O,M$1-2011,FALSE),0)</f>
        <v>65512</v>
      </c>
      <c r="N187">
        <f>IFERROR(VLOOKUP($A187,MBaseball!$C:$N,N$1-2010,FALSE),0)+IFERROR(VLOOKUP($A187,MBasketball!$C:$J,N$1-2006,FALSE),0)+IFERROR(VLOOKUP($A187,MFootball!$C:$O,N$1-2011,FALSE),0)+IFERROR(VLOOKUP($A187,MIceHockey!$C:$P,N$1-2011,FALSE),0)+IFERROR(VLOOKUP($A187,MLacrosse!$C:$O,N$1-2011,FALSE),0)+IFERROR(VLOOKUP($A187,MSoccer!$C:$O,N$1-2011,FALSE),0)+IFERROR(VLOOKUP($A187,MVolleyball!$C:$O,N$1-2011,FALSE),0)+IFERROR(VLOOKUP($A187,WBasketball!$C:$O,N$1-2011,FALSE),0)+IFERROR(VLOOKUP($A187,WFieldHockey!$C:$O,N$1-2011,FALSE),0)+IFERROR(VLOOKUP($A187,WIceHockey!$C:$O,N$1-2011,FALSE),0)+IFERROR(VLOOKUP($A187,WLacrosse!$C:$O,N$1-2011,FALSE),0)+IFERROR(VLOOKUP($A187,WSoccer!$C:$O,N$1-2011,FALSE),0)+IFERROR(VLOOKUP($A187,WSoftball!$C:$O,N$1-2011,FALSE),0)+IFERROR(VLOOKUP($A187,WVolleyball!$C:$O,N$1-2011,FALSE),0)</f>
        <v>81737</v>
      </c>
    </row>
    <row r="188" spans="1:14" x14ac:dyDescent="0.2">
      <c r="A188">
        <v>240444</v>
      </c>
      <c r="B188">
        <v>31540</v>
      </c>
      <c r="C188" t="s">
        <v>255</v>
      </c>
      <c r="D188">
        <v>187</v>
      </c>
      <c r="E188">
        <f>IFERROR(VLOOKUP($A188,MBaseball!$C:$N,E$1-2010,FALSE),0)+IFERROR(VLOOKUP($A188,MBasketball!$C:$J,E$1-2006,FALSE),0)+IFERROR(VLOOKUP($A188,MFootball!$C:$O,E$1-2011,FALSE),0)+IFERROR(VLOOKUP($A188,MIceHockey!$C:$P,E$1-2011,FALSE),0)+IFERROR(VLOOKUP($A188,MLacrosse!$C:$O,E$1-2011,FALSE),0)+IFERROR(VLOOKUP($A188,MSoccer!$C:$O,E$1-2011,FALSE),0)+IFERROR(VLOOKUP($A188,MVolleyball!$C:$O,E$1-2011,FALSE),0)+IFERROR(VLOOKUP($A188,WBasketball!$C:$O,E$1-2011,FALSE),0)+IFERROR(VLOOKUP($A188,WFieldHockey!$C:$O,E$1-2011,FALSE),0)+IFERROR(VLOOKUP($A188,WIceHockey!$C:$O,E$1-2011,FALSE),0)+IFERROR(VLOOKUP($A188,WLacrosse!$C:$O,E$1-2011,FALSE),0)+IFERROR(VLOOKUP($A188,WSoccer!$C:$O,E$1-2011,FALSE),0)+IFERROR(VLOOKUP($A188,WSoftball!$C:$O,E$1-2011,FALSE),0)+IFERROR(VLOOKUP($A188,WVolleyball!$C:$O,E$1-2011,FALSE),0)</f>
        <v>377018</v>
      </c>
      <c r="F188">
        <f>IFERROR(VLOOKUP($A188,MBaseball!$C:$N,F$1-2010,FALSE),0)+IFERROR(VLOOKUP($A188,MBasketball!$C:$J,F$1-2006,FALSE),0)+IFERROR(VLOOKUP($A188,MFootball!$C:$O,F$1-2011,FALSE),0)+IFERROR(VLOOKUP($A188,MIceHockey!$C:$P,F$1-2011,FALSE),0)+IFERROR(VLOOKUP($A188,MLacrosse!$C:$O,F$1-2011,FALSE),0)+IFERROR(VLOOKUP($A188,MSoccer!$C:$O,F$1-2011,FALSE),0)+IFERROR(VLOOKUP($A188,MVolleyball!$C:$O,F$1-2011,FALSE),0)+IFERROR(VLOOKUP($A188,WBasketball!$C:$O,F$1-2011,FALSE),0)+IFERROR(VLOOKUP($A188,WFieldHockey!$C:$O,F$1-2011,FALSE),0)+IFERROR(VLOOKUP($A188,WIceHockey!$C:$O,F$1-2011,FALSE),0)+IFERROR(VLOOKUP($A188,WLacrosse!$C:$O,F$1-2011,FALSE),0)+IFERROR(VLOOKUP($A188,WSoccer!$C:$O,F$1-2011,FALSE),0)+IFERROR(VLOOKUP($A188,WSoftball!$C:$O,F$1-2011,FALSE),0)+IFERROR(VLOOKUP($A188,WVolleyball!$C:$O,F$1-2011,FALSE),0)</f>
        <v>931877</v>
      </c>
      <c r="G188">
        <f>IFERROR(VLOOKUP($A188,MBaseball!$C:$N,G$1-2010,FALSE),0)+IFERROR(VLOOKUP($A188,MBasketball!$C:$J,G$1-2006,FALSE),0)+IFERROR(VLOOKUP($A188,MFootball!$C:$O,G$1-2011,FALSE),0)+IFERROR(VLOOKUP($A188,MIceHockey!$C:$P,G$1-2011,FALSE),0)+IFERROR(VLOOKUP($A188,MLacrosse!$C:$O,G$1-2011,FALSE),0)+IFERROR(VLOOKUP($A188,MSoccer!$C:$O,G$1-2011,FALSE),0)+IFERROR(VLOOKUP($A188,MVolleyball!$C:$O,G$1-2011,FALSE),0)+IFERROR(VLOOKUP($A188,WBasketball!$C:$O,G$1-2011,FALSE),0)+IFERROR(VLOOKUP($A188,WFieldHockey!$C:$O,G$1-2011,FALSE),0)+IFERROR(VLOOKUP($A188,WIceHockey!$C:$O,G$1-2011,FALSE),0)+IFERROR(VLOOKUP($A188,WLacrosse!$C:$O,G$1-2011,FALSE),0)+IFERROR(VLOOKUP($A188,WSoccer!$C:$O,G$1-2011,FALSE),0)+IFERROR(VLOOKUP($A188,WSoftball!$C:$O,G$1-2011,FALSE),0)+IFERROR(VLOOKUP($A188,WVolleyball!$C:$O,G$1-2011,FALSE),0)</f>
        <v>911695</v>
      </c>
      <c r="H188">
        <f>IFERROR(VLOOKUP($A188,MBaseball!$C:$N,H$1-2010,FALSE),0)+IFERROR(VLOOKUP($A188,MBasketball!$C:$J,H$1-2006,FALSE),0)+IFERROR(VLOOKUP($A188,MFootball!$C:$O,H$1-2011,FALSE),0)+IFERROR(VLOOKUP($A188,MIceHockey!$C:$P,H$1-2011,FALSE),0)+IFERROR(VLOOKUP($A188,MLacrosse!$C:$O,H$1-2011,FALSE),0)+IFERROR(VLOOKUP($A188,MSoccer!$C:$O,H$1-2011,FALSE),0)+IFERROR(VLOOKUP($A188,MVolleyball!$C:$O,H$1-2011,FALSE),0)+IFERROR(VLOOKUP($A188,WBasketball!$C:$O,H$1-2011,FALSE),0)+IFERROR(VLOOKUP($A188,WFieldHockey!$C:$O,H$1-2011,FALSE),0)+IFERROR(VLOOKUP($A188,WIceHockey!$C:$O,H$1-2011,FALSE),0)+IFERROR(VLOOKUP($A188,WLacrosse!$C:$O,H$1-2011,FALSE),0)+IFERROR(VLOOKUP($A188,WSoccer!$C:$O,H$1-2011,FALSE),0)+IFERROR(VLOOKUP($A188,WSoftball!$C:$O,H$1-2011,FALSE),0)+IFERROR(VLOOKUP($A188,WVolleyball!$C:$O,H$1-2011,FALSE),0)</f>
        <v>889948</v>
      </c>
      <c r="I188">
        <f>IFERROR(VLOOKUP($A188,MBaseball!$C:$N,I$1-2010,FALSE),0)+IFERROR(VLOOKUP($A188,MBasketball!$C:$J,I$1-2006,FALSE),0)+IFERROR(VLOOKUP($A188,MFootball!$C:$O,I$1-2011,FALSE),0)+IFERROR(VLOOKUP($A188,MIceHockey!$C:$P,I$1-2011,FALSE),0)+IFERROR(VLOOKUP($A188,MLacrosse!$C:$O,I$1-2011,FALSE),0)+IFERROR(VLOOKUP($A188,MSoccer!$C:$O,I$1-2011,FALSE),0)+IFERROR(VLOOKUP($A188,MVolleyball!$C:$O,I$1-2011,FALSE),0)+IFERROR(VLOOKUP($A188,WBasketball!$C:$O,I$1-2011,FALSE),0)+IFERROR(VLOOKUP($A188,WFieldHockey!$C:$O,I$1-2011,FALSE),0)+IFERROR(VLOOKUP($A188,WIceHockey!$C:$O,I$1-2011,FALSE),0)+IFERROR(VLOOKUP($A188,WLacrosse!$C:$O,I$1-2011,FALSE),0)+IFERROR(VLOOKUP($A188,WSoccer!$C:$O,I$1-2011,FALSE),0)+IFERROR(VLOOKUP($A188,WSoftball!$C:$O,I$1-2011,FALSE),0)+IFERROR(VLOOKUP($A188,WVolleyball!$C:$O,I$1-2011,FALSE),0)</f>
        <v>963818</v>
      </c>
      <c r="J188">
        <f>IFERROR(VLOOKUP($A188,MBaseball!$C:$N,J$1-2010,FALSE),0)+IFERROR(VLOOKUP($A188,MBasketball!$C:$J,J$1-2006,FALSE),0)+IFERROR(VLOOKUP($A188,MFootball!$C:$O,J$1-2011,FALSE),0)+IFERROR(VLOOKUP($A188,MIceHockey!$C:$P,J$1-2011,FALSE),0)+IFERROR(VLOOKUP($A188,MLacrosse!$C:$O,J$1-2011,FALSE),0)+IFERROR(VLOOKUP($A188,MSoccer!$C:$O,J$1-2011,FALSE),0)+IFERROR(VLOOKUP($A188,MVolleyball!$C:$O,J$1-2011,FALSE),0)+IFERROR(VLOOKUP($A188,WBasketball!$C:$O,J$1-2011,FALSE),0)+IFERROR(VLOOKUP($A188,WFieldHockey!$C:$O,J$1-2011,FALSE),0)+IFERROR(VLOOKUP($A188,WIceHockey!$C:$O,J$1-2011,FALSE),0)+IFERROR(VLOOKUP($A188,WLacrosse!$C:$O,J$1-2011,FALSE),0)+IFERROR(VLOOKUP($A188,WSoccer!$C:$O,J$1-2011,FALSE),0)+IFERROR(VLOOKUP($A188,WSoftball!$C:$O,J$1-2011,FALSE),0)+IFERROR(VLOOKUP($A188,WVolleyball!$C:$O,J$1-2011,FALSE),0)</f>
        <v>938262</v>
      </c>
      <c r="K188">
        <f>IFERROR(VLOOKUP($A188,MBaseball!$C:$N,K$1-2010,FALSE),0)+IFERROR(VLOOKUP($A188,MBasketball!$C:$J,K$1-2006,FALSE),0)+IFERROR(VLOOKUP($A188,MFootball!$C:$O,K$1-2011,FALSE),0)+IFERROR(VLOOKUP($A188,MIceHockey!$C:$P,K$1-2011,FALSE),0)+IFERROR(VLOOKUP($A188,MLacrosse!$C:$O,K$1-2011,FALSE),0)+IFERROR(VLOOKUP($A188,MSoccer!$C:$O,K$1-2011,FALSE),0)+IFERROR(VLOOKUP($A188,MVolleyball!$C:$O,K$1-2011,FALSE),0)+IFERROR(VLOOKUP($A188,WBasketball!$C:$O,K$1-2011,FALSE),0)+IFERROR(VLOOKUP($A188,WFieldHockey!$C:$O,K$1-2011,FALSE),0)+IFERROR(VLOOKUP($A188,WIceHockey!$C:$O,K$1-2011,FALSE),0)+IFERROR(VLOOKUP($A188,WLacrosse!$C:$O,K$1-2011,FALSE),0)+IFERROR(VLOOKUP($A188,WSoccer!$C:$O,K$1-2011,FALSE),0)+IFERROR(VLOOKUP($A188,WSoftball!$C:$O,K$1-2011,FALSE),0)+IFERROR(VLOOKUP($A188,WVolleyball!$C:$O,K$1-2011,FALSE),0)</f>
        <v>957598</v>
      </c>
      <c r="L188">
        <f>IFERROR(VLOOKUP($A188,MBaseball!$C:$N,L$1-2010,FALSE),0)+IFERROR(VLOOKUP($A188,MBasketball!$C:$J,L$1-2006,FALSE),0)+IFERROR(VLOOKUP($A188,MFootball!$C:$O,L$1-2011,FALSE),0)+IFERROR(VLOOKUP($A188,MIceHockey!$C:$P,L$1-2011,FALSE),0)+IFERROR(VLOOKUP($A188,MLacrosse!$C:$O,L$1-2011,FALSE),0)+IFERROR(VLOOKUP($A188,MSoccer!$C:$O,L$1-2011,FALSE),0)+IFERROR(VLOOKUP($A188,MVolleyball!$C:$O,L$1-2011,FALSE),0)+IFERROR(VLOOKUP($A188,WBasketball!$C:$O,L$1-2011,FALSE),0)+IFERROR(VLOOKUP($A188,WFieldHockey!$C:$O,L$1-2011,FALSE),0)+IFERROR(VLOOKUP($A188,WIceHockey!$C:$O,L$1-2011,FALSE),0)+IFERROR(VLOOKUP($A188,WLacrosse!$C:$O,L$1-2011,FALSE),0)+IFERROR(VLOOKUP($A188,WSoccer!$C:$O,L$1-2011,FALSE),0)+IFERROR(VLOOKUP($A188,WSoftball!$C:$O,L$1-2011,FALSE),0)+IFERROR(VLOOKUP($A188,WVolleyball!$C:$O,L$1-2011,FALSE),0)</f>
        <v>1774</v>
      </c>
      <c r="M188">
        <f>IFERROR(VLOOKUP($A188,MBaseball!$C:$N,M$1-2010,FALSE),0)+IFERROR(VLOOKUP($A188,MBasketball!$C:$J,M$1-2006,FALSE),0)+IFERROR(VLOOKUP($A188,MFootball!$C:$O,M$1-2011,FALSE),0)+IFERROR(VLOOKUP($A188,MIceHockey!$C:$P,M$1-2011,FALSE),0)+IFERROR(VLOOKUP($A188,MLacrosse!$C:$O,M$1-2011,FALSE),0)+IFERROR(VLOOKUP($A188,MSoccer!$C:$O,M$1-2011,FALSE),0)+IFERROR(VLOOKUP($A188,MVolleyball!$C:$O,M$1-2011,FALSE),0)+IFERROR(VLOOKUP($A188,WBasketball!$C:$O,M$1-2011,FALSE),0)+IFERROR(VLOOKUP($A188,WFieldHockey!$C:$O,M$1-2011,FALSE),0)+IFERROR(VLOOKUP($A188,WIceHockey!$C:$O,M$1-2011,FALSE),0)+IFERROR(VLOOKUP($A188,WLacrosse!$C:$O,M$1-2011,FALSE),0)+IFERROR(VLOOKUP($A188,WSoccer!$C:$O,M$1-2011,FALSE),0)+IFERROR(VLOOKUP($A188,WSoftball!$C:$O,M$1-2011,FALSE),0)+IFERROR(VLOOKUP($A188,WVolleyball!$C:$O,M$1-2011,FALSE),0)</f>
        <v>930567</v>
      </c>
      <c r="N188">
        <f>IFERROR(VLOOKUP($A188,MBaseball!$C:$N,N$1-2010,FALSE),0)+IFERROR(VLOOKUP($A188,MBasketball!$C:$J,N$1-2006,FALSE),0)+IFERROR(VLOOKUP($A188,MFootball!$C:$O,N$1-2011,FALSE),0)+IFERROR(VLOOKUP($A188,MIceHockey!$C:$P,N$1-2011,FALSE),0)+IFERROR(VLOOKUP($A188,MLacrosse!$C:$O,N$1-2011,FALSE),0)+IFERROR(VLOOKUP($A188,MSoccer!$C:$O,N$1-2011,FALSE),0)+IFERROR(VLOOKUP($A188,MVolleyball!$C:$O,N$1-2011,FALSE),0)+IFERROR(VLOOKUP($A188,WBasketball!$C:$O,N$1-2011,FALSE),0)+IFERROR(VLOOKUP($A188,WFieldHockey!$C:$O,N$1-2011,FALSE),0)+IFERROR(VLOOKUP($A188,WIceHockey!$C:$O,N$1-2011,FALSE),0)+IFERROR(VLOOKUP($A188,WLacrosse!$C:$O,N$1-2011,FALSE),0)+IFERROR(VLOOKUP($A188,WSoccer!$C:$O,N$1-2011,FALSE),0)+IFERROR(VLOOKUP($A188,WSoftball!$C:$O,N$1-2011,FALSE),0)+IFERROR(VLOOKUP($A188,WVolleyball!$C:$O,N$1-2011,FALSE),0)</f>
        <v>923611</v>
      </c>
    </row>
    <row r="189" spans="1:14" x14ac:dyDescent="0.2">
      <c r="A189">
        <v>240277</v>
      </c>
      <c r="B189">
        <v>24580</v>
      </c>
      <c r="C189" t="s">
        <v>256</v>
      </c>
      <c r="D189">
        <v>188</v>
      </c>
      <c r="E189">
        <f>IFERROR(VLOOKUP($A189,MBaseball!$C:$N,E$1-2010,FALSE),0)+IFERROR(VLOOKUP($A189,MBasketball!$C:$J,E$1-2006,FALSE),0)+IFERROR(VLOOKUP($A189,MFootball!$C:$O,E$1-2011,FALSE),0)+IFERROR(VLOOKUP($A189,MIceHockey!$C:$P,E$1-2011,FALSE),0)+IFERROR(VLOOKUP($A189,MLacrosse!$C:$O,E$1-2011,FALSE),0)+IFERROR(VLOOKUP($A189,MSoccer!$C:$O,E$1-2011,FALSE),0)+IFERROR(VLOOKUP($A189,MVolleyball!$C:$O,E$1-2011,FALSE),0)+IFERROR(VLOOKUP($A189,WBasketball!$C:$O,E$1-2011,FALSE),0)+IFERROR(VLOOKUP($A189,WFieldHockey!$C:$O,E$1-2011,FALSE),0)+IFERROR(VLOOKUP($A189,WIceHockey!$C:$O,E$1-2011,FALSE),0)+IFERROR(VLOOKUP($A189,WLacrosse!$C:$O,E$1-2011,FALSE),0)+IFERROR(VLOOKUP($A189,WSoccer!$C:$O,E$1-2011,FALSE),0)+IFERROR(VLOOKUP($A189,WSoftball!$C:$O,E$1-2011,FALSE),0)+IFERROR(VLOOKUP($A189,WVolleyball!$C:$O,E$1-2011,FALSE),0)</f>
        <v>76272</v>
      </c>
      <c r="F189">
        <f>IFERROR(VLOOKUP($A189,MBaseball!$C:$N,F$1-2010,FALSE),0)+IFERROR(VLOOKUP($A189,MBasketball!$C:$J,F$1-2006,FALSE),0)+IFERROR(VLOOKUP($A189,MFootball!$C:$O,F$1-2011,FALSE),0)+IFERROR(VLOOKUP($A189,MIceHockey!$C:$P,F$1-2011,FALSE),0)+IFERROR(VLOOKUP($A189,MLacrosse!$C:$O,F$1-2011,FALSE),0)+IFERROR(VLOOKUP($A189,MSoccer!$C:$O,F$1-2011,FALSE),0)+IFERROR(VLOOKUP($A189,MVolleyball!$C:$O,F$1-2011,FALSE),0)+IFERROR(VLOOKUP($A189,WBasketball!$C:$O,F$1-2011,FALSE),0)+IFERROR(VLOOKUP($A189,WFieldHockey!$C:$O,F$1-2011,FALSE),0)+IFERROR(VLOOKUP($A189,WIceHockey!$C:$O,F$1-2011,FALSE),0)+IFERROR(VLOOKUP($A189,WLacrosse!$C:$O,F$1-2011,FALSE),0)+IFERROR(VLOOKUP($A189,WSoccer!$C:$O,F$1-2011,FALSE),0)+IFERROR(VLOOKUP($A189,WSoftball!$C:$O,F$1-2011,FALSE),0)+IFERROR(VLOOKUP($A189,WVolleyball!$C:$O,F$1-2011,FALSE),0)</f>
        <v>45816</v>
      </c>
      <c r="G189">
        <f>IFERROR(VLOOKUP($A189,MBaseball!$C:$N,G$1-2010,FALSE),0)+IFERROR(VLOOKUP($A189,MBasketball!$C:$J,G$1-2006,FALSE),0)+IFERROR(VLOOKUP($A189,MFootball!$C:$O,G$1-2011,FALSE),0)+IFERROR(VLOOKUP($A189,MIceHockey!$C:$P,G$1-2011,FALSE),0)+IFERROR(VLOOKUP($A189,MLacrosse!$C:$O,G$1-2011,FALSE),0)+IFERROR(VLOOKUP($A189,MSoccer!$C:$O,G$1-2011,FALSE),0)+IFERROR(VLOOKUP($A189,MVolleyball!$C:$O,G$1-2011,FALSE),0)+IFERROR(VLOOKUP($A189,WBasketball!$C:$O,G$1-2011,FALSE),0)+IFERROR(VLOOKUP($A189,WFieldHockey!$C:$O,G$1-2011,FALSE),0)+IFERROR(VLOOKUP($A189,WIceHockey!$C:$O,G$1-2011,FALSE),0)+IFERROR(VLOOKUP($A189,WLacrosse!$C:$O,G$1-2011,FALSE),0)+IFERROR(VLOOKUP($A189,WSoccer!$C:$O,G$1-2011,FALSE),0)+IFERROR(VLOOKUP($A189,WSoftball!$C:$O,G$1-2011,FALSE),0)+IFERROR(VLOOKUP($A189,WVolleyball!$C:$O,G$1-2011,FALSE),0)</f>
        <v>49354</v>
      </c>
      <c r="H189">
        <f>IFERROR(VLOOKUP($A189,MBaseball!$C:$N,H$1-2010,FALSE),0)+IFERROR(VLOOKUP($A189,MBasketball!$C:$J,H$1-2006,FALSE),0)+IFERROR(VLOOKUP($A189,MFootball!$C:$O,H$1-2011,FALSE),0)+IFERROR(VLOOKUP($A189,MIceHockey!$C:$P,H$1-2011,FALSE),0)+IFERROR(VLOOKUP($A189,MLacrosse!$C:$O,H$1-2011,FALSE),0)+IFERROR(VLOOKUP($A189,MSoccer!$C:$O,H$1-2011,FALSE),0)+IFERROR(VLOOKUP($A189,MVolleyball!$C:$O,H$1-2011,FALSE),0)+IFERROR(VLOOKUP($A189,WBasketball!$C:$O,H$1-2011,FALSE),0)+IFERROR(VLOOKUP($A189,WFieldHockey!$C:$O,H$1-2011,FALSE),0)+IFERROR(VLOOKUP($A189,WIceHockey!$C:$O,H$1-2011,FALSE),0)+IFERROR(VLOOKUP($A189,WLacrosse!$C:$O,H$1-2011,FALSE),0)+IFERROR(VLOOKUP($A189,WSoccer!$C:$O,H$1-2011,FALSE),0)+IFERROR(VLOOKUP($A189,WSoftball!$C:$O,H$1-2011,FALSE),0)+IFERROR(VLOOKUP($A189,WVolleyball!$C:$O,H$1-2011,FALSE),0)</f>
        <v>42560</v>
      </c>
      <c r="I189">
        <f>IFERROR(VLOOKUP($A189,MBaseball!$C:$N,I$1-2010,FALSE),0)+IFERROR(VLOOKUP($A189,MBasketball!$C:$J,I$1-2006,FALSE),0)+IFERROR(VLOOKUP($A189,MFootball!$C:$O,I$1-2011,FALSE),0)+IFERROR(VLOOKUP($A189,MIceHockey!$C:$P,I$1-2011,FALSE),0)+IFERROR(VLOOKUP($A189,MLacrosse!$C:$O,I$1-2011,FALSE),0)+IFERROR(VLOOKUP($A189,MSoccer!$C:$O,I$1-2011,FALSE),0)+IFERROR(VLOOKUP($A189,MVolleyball!$C:$O,I$1-2011,FALSE),0)+IFERROR(VLOOKUP($A189,WBasketball!$C:$O,I$1-2011,FALSE),0)+IFERROR(VLOOKUP($A189,WFieldHockey!$C:$O,I$1-2011,FALSE),0)+IFERROR(VLOOKUP($A189,WIceHockey!$C:$O,I$1-2011,FALSE),0)+IFERROR(VLOOKUP($A189,WLacrosse!$C:$O,I$1-2011,FALSE),0)+IFERROR(VLOOKUP($A189,WSoccer!$C:$O,I$1-2011,FALSE),0)+IFERROR(VLOOKUP($A189,WSoftball!$C:$O,I$1-2011,FALSE),0)+IFERROR(VLOOKUP($A189,WVolleyball!$C:$O,I$1-2011,FALSE),0)</f>
        <v>40168</v>
      </c>
      <c r="J189">
        <f>IFERROR(VLOOKUP($A189,MBaseball!$C:$N,J$1-2010,FALSE),0)+IFERROR(VLOOKUP($A189,MBasketball!$C:$J,J$1-2006,FALSE),0)+IFERROR(VLOOKUP($A189,MFootball!$C:$O,J$1-2011,FALSE),0)+IFERROR(VLOOKUP($A189,MIceHockey!$C:$P,J$1-2011,FALSE),0)+IFERROR(VLOOKUP($A189,MLacrosse!$C:$O,J$1-2011,FALSE),0)+IFERROR(VLOOKUP($A189,MSoccer!$C:$O,J$1-2011,FALSE),0)+IFERROR(VLOOKUP($A189,MVolleyball!$C:$O,J$1-2011,FALSE),0)+IFERROR(VLOOKUP($A189,WBasketball!$C:$O,J$1-2011,FALSE),0)+IFERROR(VLOOKUP($A189,WFieldHockey!$C:$O,J$1-2011,FALSE),0)+IFERROR(VLOOKUP($A189,WIceHockey!$C:$O,J$1-2011,FALSE),0)+IFERROR(VLOOKUP($A189,WLacrosse!$C:$O,J$1-2011,FALSE),0)+IFERROR(VLOOKUP($A189,WSoccer!$C:$O,J$1-2011,FALSE),0)+IFERROR(VLOOKUP($A189,WSoftball!$C:$O,J$1-2011,FALSE),0)+IFERROR(VLOOKUP($A189,WVolleyball!$C:$O,J$1-2011,FALSE),0)</f>
        <v>42972</v>
      </c>
      <c r="K189">
        <f>IFERROR(VLOOKUP($A189,MBaseball!$C:$N,K$1-2010,FALSE),0)+IFERROR(VLOOKUP($A189,MBasketball!$C:$J,K$1-2006,FALSE),0)+IFERROR(VLOOKUP($A189,MFootball!$C:$O,K$1-2011,FALSE),0)+IFERROR(VLOOKUP($A189,MIceHockey!$C:$P,K$1-2011,FALSE),0)+IFERROR(VLOOKUP($A189,MLacrosse!$C:$O,K$1-2011,FALSE),0)+IFERROR(VLOOKUP($A189,MSoccer!$C:$O,K$1-2011,FALSE),0)+IFERROR(VLOOKUP($A189,MVolleyball!$C:$O,K$1-2011,FALSE),0)+IFERROR(VLOOKUP($A189,WBasketball!$C:$O,K$1-2011,FALSE),0)+IFERROR(VLOOKUP($A189,WFieldHockey!$C:$O,K$1-2011,FALSE),0)+IFERROR(VLOOKUP($A189,WIceHockey!$C:$O,K$1-2011,FALSE),0)+IFERROR(VLOOKUP($A189,WLacrosse!$C:$O,K$1-2011,FALSE),0)+IFERROR(VLOOKUP($A189,WSoccer!$C:$O,K$1-2011,FALSE),0)+IFERROR(VLOOKUP($A189,WSoftball!$C:$O,K$1-2011,FALSE),0)+IFERROR(VLOOKUP($A189,WVolleyball!$C:$O,K$1-2011,FALSE),0)</f>
        <v>35692</v>
      </c>
      <c r="L189">
        <f>IFERROR(VLOOKUP($A189,MBaseball!$C:$N,L$1-2010,FALSE),0)+IFERROR(VLOOKUP($A189,MBasketball!$C:$J,L$1-2006,FALSE),0)+IFERROR(VLOOKUP($A189,MFootball!$C:$O,L$1-2011,FALSE),0)+IFERROR(VLOOKUP($A189,MIceHockey!$C:$P,L$1-2011,FALSE),0)+IFERROR(VLOOKUP($A189,MLacrosse!$C:$O,L$1-2011,FALSE),0)+IFERROR(VLOOKUP($A189,MSoccer!$C:$O,L$1-2011,FALSE),0)+IFERROR(VLOOKUP($A189,MVolleyball!$C:$O,L$1-2011,FALSE),0)+IFERROR(VLOOKUP($A189,WBasketball!$C:$O,L$1-2011,FALSE),0)+IFERROR(VLOOKUP($A189,WFieldHockey!$C:$O,L$1-2011,FALSE),0)+IFERROR(VLOOKUP($A189,WIceHockey!$C:$O,L$1-2011,FALSE),0)+IFERROR(VLOOKUP($A189,WLacrosse!$C:$O,L$1-2011,FALSE),0)+IFERROR(VLOOKUP($A189,WSoccer!$C:$O,L$1-2011,FALSE),0)+IFERROR(VLOOKUP($A189,WSoftball!$C:$O,L$1-2011,FALSE),0)+IFERROR(VLOOKUP($A189,WVolleyball!$C:$O,L$1-2011,FALSE),0)</f>
        <v>6</v>
      </c>
      <c r="M189">
        <f>IFERROR(VLOOKUP($A189,MBaseball!$C:$N,M$1-2010,FALSE),0)+IFERROR(VLOOKUP($A189,MBasketball!$C:$J,M$1-2006,FALSE),0)+IFERROR(VLOOKUP($A189,MFootball!$C:$O,M$1-2011,FALSE),0)+IFERROR(VLOOKUP($A189,MIceHockey!$C:$P,M$1-2011,FALSE),0)+IFERROR(VLOOKUP($A189,MLacrosse!$C:$O,M$1-2011,FALSE),0)+IFERROR(VLOOKUP($A189,MSoccer!$C:$O,M$1-2011,FALSE),0)+IFERROR(VLOOKUP($A189,MVolleyball!$C:$O,M$1-2011,FALSE),0)+IFERROR(VLOOKUP($A189,WBasketball!$C:$O,M$1-2011,FALSE),0)+IFERROR(VLOOKUP($A189,WFieldHockey!$C:$O,M$1-2011,FALSE),0)+IFERROR(VLOOKUP($A189,WIceHockey!$C:$O,M$1-2011,FALSE),0)+IFERROR(VLOOKUP($A189,WLacrosse!$C:$O,M$1-2011,FALSE),0)+IFERROR(VLOOKUP($A189,WSoccer!$C:$O,M$1-2011,FALSE),0)+IFERROR(VLOOKUP($A189,WSoftball!$C:$O,M$1-2011,FALSE),0)+IFERROR(VLOOKUP($A189,WVolleyball!$C:$O,M$1-2011,FALSE),0)</f>
        <v>27630</v>
      </c>
      <c r="N189">
        <f>IFERROR(VLOOKUP($A189,MBaseball!$C:$N,N$1-2010,FALSE),0)+IFERROR(VLOOKUP($A189,MBasketball!$C:$J,N$1-2006,FALSE),0)+IFERROR(VLOOKUP($A189,MFootball!$C:$O,N$1-2011,FALSE),0)+IFERROR(VLOOKUP($A189,MIceHockey!$C:$P,N$1-2011,FALSE),0)+IFERROR(VLOOKUP($A189,MLacrosse!$C:$O,N$1-2011,FALSE),0)+IFERROR(VLOOKUP($A189,MSoccer!$C:$O,N$1-2011,FALSE),0)+IFERROR(VLOOKUP($A189,MVolleyball!$C:$O,N$1-2011,FALSE),0)+IFERROR(VLOOKUP($A189,WBasketball!$C:$O,N$1-2011,FALSE),0)+IFERROR(VLOOKUP($A189,WFieldHockey!$C:$O,N$1-2011,FALSE),0)+IFERROR(VLOOKUP($A189,WIceHockey!$C:$O,N$1-2011,FALSE),0)+IFERROR(VLOOKUP($A189,WLacrosse!$C:$O,N$1-2011,FALSE),0)+IFERROR(VLOOKUP($A189,WSoccer!$C:$O,N$1-2011,FALSE),0)+IFERROR(VLOOKUP($A189,WSoftball!$C:$O,N$1-2011,FALSE),0)+IFERROR(VLOOKUP($A189,WVolleyball!$C:$O,N$1-2011,FALSE),0)</f>
        <v>41506</v>
      </c>
    </row>
    <row r="190" spans="1:14" x14ac:dyDescent="0.2">
      <c r="A190">
        <v>240453</v>
      </c>
      <c r="B190">
        <v>33340</v>
      </c>
      <c r="C190" t="s">
        <v>257</v>
      </c>
      <c r="D190">
        <v>189</v>
      </c>
      <c r="E190">
        <f>IFERROR(VLOOKUP($A190,MBaseball!$C:$N,E$1-2010,FALSE),0)+IFERROR(VLOOKUP($A190,MBasketball!$C:$J,E$1-2006,FALSE),0)+IFERROR(VLOOKUP($A190,MFootball!$C:$O,E$1-2011,FALSE),0)+IFERROR(VLOOKUP($A190,MIceHockey!$C:$P,E$1-2011,FALSE),0)+IFERROR(VLOOKUP($A190,MLacrosse!$C:$O,E$1-2011,FALSE),0)+IFERROR(VLOOKUP($A190,MSoccer!$C:$O,E$1-2011,FALSE),0)+IFERROR(VLOOKUP($A190,MVolleyball!$C:$O,E$1-2011,FALSE),0)+IFERROR(VLOOKUP($A190,WBasketball!$C:$O,E$1-2011,FALSE),0)+IFERROR(VLOOKUP($A190,WFieldHockey!$C:$O,E$1-2011,FALSE),0)+IFERROR(VLOOKUP($A190,WIceHockey!$C:$O,E$1-2011,FALSE),0)+IFERROR(VLOOKUP($A190,WLacrosse!$C:$O,E$1-2011,FALSE),0)+IFERROR(VLOOKUP($A190,WSoccer!$C:$O,E$1-2011,FALSE),0)+IFERROR(VLOOKUP($A190,WSoftball!$C:$O,E$1-2011,FALSE),0)+IFERROR(VLOOKUP($A190,WVolleyball!$C:$O,E$1-2011,FALSE),0)</f>
        <v>54279</v>
      </c>
      <c r="F190">
        <f>IFERROR(VLOOKUP($A190,MBaseball!$C:$N,F$1-2010,FALSE),0)+IFERROR(VLOOKUP($A190,MBasketball!$C:$J,F$1-2006,FALSE),0)+IFERROR(VLOOKUP($A190,MFootball!$C:$O,F$1-2011,FALSE),0)+IFERROR(VLOOKUP($A190,MIceHockey!$C:$P,F$1-2011,FALSE),0)+IFERROR(VLOOKUP($A190,MLacrosse!$C:$O,F$1-2011,FALSE),0)+IFERROR(VLOOKUP($A190,MSoccer!$C:$O,F$1-2011,FALSE),0)+IFERROR(VLOOKUP($A190,MVolleyball!$C:$O,F$1-2011,FALSE),0)+IFERROR(VLOOKUP($A190,WBasketball!$C:$O,F$1-2011,FALSE),0)+IFERROR(VLOOKUP($A190,WFieldHockey!$C:$O,F$1-2011,FALSE),0)+IFERROR(VLOOKUP($A190,WIceHockey!$C:$O,F$1-2011,FALSE),0)+IFERROR(VLOOKUP($A190,WLacrosse!$C:$O,F$1-2011,FALSE),0)+IFERROR(VLOOKUP($A190,WSoccer!$C:$O,F$1-2011,FALSE),0)+IFERROR(VLOOKUP($A190,WSoftball!$C:$O,F$1-2011,FALSE),0)+IFERROR(VLOOKUP($A190,WVolleyball!$C:$O,F$1-2011,FALSE),0)</f>
        <v>26291</v>
      </c>
      <c r="G190">
        <f>IFERROR(VLOOKUP($A190,MBaseball!$C:$N,G$1-2010,FALSE),0)+IFERROR(VLOOKUP($A190,MBasketball!$C:$J,G$1-2006,FALSE),0)+IFERROR(VLOOKUP($A190,MFootball!$C:$O,G$1-2011,FALSE),0)+IFERROR(VLOOKUP($A190,MIceHockey!$C:$P,G$1-2011,FALSE),0)+IFERROR(VLOOKUP($A190,MLacrosse!$C:$O,G$1-2011,FALSE),0)+IFERROR(VLOOKUP($A190,MSoccer!$C:$O,G$1-2011,FALSE),0)+IFERROR(VLOOKUP($A190,MVolleyball!$C:$O,G$1-2011,FALSE),0)+IFERROR(VLOOKUP($A190,WBasketball!$C:$O,G$1-2011,FALSE),0)+IFERROR(VLOOKUP($A190,WFieldHockey!$C:$O,G$1-2011,FALSE),0)+IFERROR(VLOOKUP($A190,WIceHockey!$C:$O,G$1-2011,FALSE),0)+IFERROR(VLOOKUP($A190,WLacrosse!$C:$O,G$1-2011,FALSE),0)+IFERROR(VLOOKUP($A190,WSoccer!$C:$O,G$1-2011,FALSE),0)+IFERROR(VLOOKUP($A190,WSoftball!$C:$O,G$1-2011,FALSE),0)+IFERROR(VLOOKUP($A190,WVolleyball!$C:$O,G$1-2011,FALSE),0)</f>
        <v>32465</v>
      </c>
      <c r="H190">
        <f>IFERROR(VLOOKUP($A190,MBaseball!$C:$N,H$1-2010,FALSE),0)+IFERROR(VLOOKUP($A190,MBasketball!$C:$J,H$1-2006,FALSE),0)+IFERROR(VLOOKUP($A190,MFootball!$C:$O,H$1-2011,FALSE),0)+IFERROR(VLOOKUP($A190,MIceHockey!$C:$P,H$1-2011,FALSE),0)+IFERROR(VLOOKUP($A190,MLacrosse!$C:$O,H$1-2011,FALSE),0)+IFERROR(VLOOKUP($A190,MSoccer!$C:$O,H$1-2011,FALSE),0)+IFERROR(VLOOKUP($A190,MVolleyball!$C:$O,H$1-2011,FALSE),0)+IFERROR(VLOOKUP($A190,WBasketball!$C:$O,H$1-2011,FALSE),0)+IFERROR(VLOOKUP($A190,WFieldHockey!$C:$O,H$1-2011,FALSE),0)+IFERROR(VLOOKUP($A190,WIceHockey!$C:$O,H$1-2011,FALSE),0)+IFERROR(VLOOKUP($A190,WLacrosse!$C:$O,H$1-2011,FALSE),0)+IFERROR(VLOOKUP($A190,WSoccer!$C:$O,H$1-2011,FALSE),0)+IFERROR(VLOOKUP($A190,WSoftball!$C:$O,H$1-2011,FALSE),0)+IFERROR(VLOOKUP($A190,WVolleyball!$C:$O,H$1-2011,FALSE),0)</f>
        <v>24803</v>
      </c>
      <c r="I190">
        <f>IFERROR(VLOOKUP($A190,MBaseball!$C:$N,I$1-2010,FALSE),0)+IFERROR(VLOOKUP($A190,MBasketball!$C:$J,I$1-2006,FALSE),0)+IFERROR(VLOOKUP($A190,MFootball!$C:$O,I$1-2011,FALSE),0)+IFERROR(VLOOKUP($A190,MIceHockey!$C:$P,I$1-2011,FALSE),0)+IFERROR(VLOOKUP($A190,MLacrosse!$C:$O,I$1-2011,FALSE),0)+IFERROR(VLOOKUP($A190,MSoccer!$C:$O,I$1-2011,FALSE),0)+IFERROR(VLOOKUP($A190,MVolleyball!$C:$O,I$1-2011,FALSE),0)+IFERROR(VLOOKUP($A190,WBasketball!$C:$O,I$1-2011,FALSE),0)+IFERROR(VLOOKUP($A190,WFieldHockey!$C:$O,I$1-2011,FALSE),0)+IFERROR(VLOOKUP($A190,WIceHockey!$C:$O,I$1-2011,FALSE),0)+IFERROR(VLOOKUP($A190,WLacrosse!$C:$O,I$1-2011,FALSE),0)+IFERROR(VLOOKUP($A190,WSoccer!$C:$O,I$1-2011,FALSE),0)+IFERROR(VLOOKUP($A190,WSoftball!$C:$O,I$1-2011,FALSE),0)+IFERROR(VLOOKUP($A190,WVolleyball!$C:$O,I$1-2011,FALSE),0)</f>
        <v>26648</v>
      </c>
      <c r="J190">
        <f>IFERROR(VLOOKUP($A190,MBaseball!$C:$N,J$1-2010,FALSE),0)+IFERROR(VLOOKUP($A190,MBasketball!$C:$J,J$1-2006,FALSE),0)+IFERROR(VLOOKUP($A190,MFootball!$C:$O,J$1-2011,FALSE),0)+IFERROR(VLOOKUP($A190,MIceHockey!$C:$P,J$1-2011,FALSE),0)+IFERROR(VLOOKUP($A190,MLacrosse!$C:$O,J$1-2011,FALSE),0)+IFERROR(VLOOKUP($A190,MSoccer!$C:$O,J$1-2011,FALSE),0)+IFERROR(VLOOKUP($A190,MVolleyball!$C:$O,J$1-2011,FALSE),0)+IFERROR(VLOOKUP($A190,WBasketball!$C:$O,J$1-2011,FALSE),0)+IFERROR(VLOOKUP($A190,WFieldHockey!$C:$O,J$1-2011,FALSE),0)+IFERROR(VLOOKUP($A190,WIceHockey!$C:$O,J$1-2011,FALSE),0)+IFERROR(VLOOKUP($A190,WLacrosse!$C:$O,J$1-2011,FALSE),0)+IFERROR(VLOOKUP($A190,WSoccer!$C:$O,J$1-2011,FALSE),0)+IFERROR(VLOOKUP($A190,WSoftball!$C:$O,J$1-2011,FALSE),0)+IFERROR(VLOOKUP($A190,WVolleyball!$C:$O,J$1-2011,FALSE),0)</f>
        <v>21254</v>
      </c>
      <c r="K190">
        <f>IFERROR(VLOOKUP($A190,MBaseball!$C:$N,K$1-2010,FALSE),0)+IFERROR(VLOOKUP($A190,MBasketball!$C:$J,K$1-2006,FALSE),0)+IFERROR(VLOOKUP($A190,MFootball!$C:$O,K$1-2011,FALSE),0)+IFERROR(VLOOKUP($A190,MIceHockey!$C:$P,K$1-2011,FALSE),0)+IFERROR(VLOOKUP($A190,MLacrosse!$C:$O,K$1-2011,FALSE),0)+IFERROR(VLOOKUP($A190,MSoccer!$C:$O,K$1-2011,FALSE),0)+IFERROR(VLOOKUP($A190,MVolleyball!$C:$O,K$1-2011,FALSE),0)+IFERROR(VLOOKUP($A190,WBasketball!$C:$O,K$1-2011,FALSE),0)+IFERROR(VLOOKUP($A190,WFieldHockey!$C:$O,K$1-2011,FALSE),0)+IFERROR(VLOOKUP($A190,WIceHockey!$C:$O,K$1-2011,FALSE),0)+IFERROR(VLOOKUP($A190,WLacrosse!$C:$O,K$1-2011,FALSE),0)+IFERROR(VLOOKUP($A190,WSoccer!$C:$O,K$1-2011,FALSE),0)+IFERROR(VLOOKUP($A190,WSoftball!$C:$O,K$1-2011,FALSE),0)+IFERROR(VLOOKUP($A190,WVolleyball!$C:$O,K$1-2011,FALSE),0)</f>
        <v>27378</v>
      </c>
      <c r="L190">
        <f>IFERROR(VLOOKUP($A190,MBaseball!$C:$N,L$1-2010,FALSE),0)+IFERROR(VLOOKUP($A190,MBasketball!$C:$J,L$1-2006,FALSE),0)+IFERROR(VLOOKUP($A190,MFootball!$C:$O,L$1-2011,FALSE),0)+IFERROR(VLOOKUP($A190,MIceHockey!$C:$P,L$1-2011,FALSE),0)+IFERROR(VLOOKUP($A190,MLacrosse!$C:$O,L$1-2011,FALSE),0)+IFERROR(VLOOKUP($A190,MSoccer!$C:$O,L$1-2011,FALSE),0)+IFERROR(VLOOKUP($A190,MVolleyball!$C:$O,L$1-2011,FALSE),0)+IFERROR(VLOOKUP($A190,WBasketball!$C:$O,L$1-2011,FALSE),0)+IFERROR(VLOOKUP($A190,WFieldHockey!$C:$O,L$1-2011,FALSE),0)+IFERROR(VLOOKUP($A190,WIceHockey!$C:$O,L$1-2011,FALSE),0)+IFERROR(VLOOKUP($A190,WLacrosse!$C:$O,L$1-2011,FALSE),0)+IFERROR(VLOOKUP($A190,WSoccer!$C:$O,L$1-2011,FALSE),0)+IFERROR(VLOOKUP($A190,WSoftball!$C:$O,L$1-2011,FALSE),0)+IFERROR(VLOOKUP($A190,WVolleyball!$C:$O,L$1-2011,FALSE),0)</f>
        <v>7727</v>
      </c>
      <c r="M190">
        <f>IFERROR(VLOOKUP($A190,MBaseball!$C:$N,M$1-2010,FALSE),0)+IFERROR(VLOOKUP($A190,MBasketball!$C:$J,M$1-2006,FALSE),0)+IFERROR(VLOOKUP($A190,MFootball!$C:$O,M$1-2011,FALSE),0)+IFERROR(VLOOKUP($A190,MIceHockey!$C:$P,M$1-2011,FALSE),0)+IFERROR(VLOOKUP($A190,MLacrosse!$C:$O,M$1-2011,FALSE),0)+IFERROR(VLOOKUP($A190,MSoccer!$C:$O,M$1-2011,FALSE),0)+IFERROR(VLOOKUP($A190,MVolleyball!$C:$O,M$1-2011,FALSE),0)+IFERROR(VLOOKUP($A190,WBasketball!$C:$O,M$1-2011,FALSE),0)+IFERROR(VLOOKUP($A190,WFieldHockey!$C:$O,M$1-2011,FALSE),0)+IFERROR(VLOOKUP($A190,WIceHockey!$C:$O,M$1-2011,FALSE),0)+IFERROR(VLOOKUP($A190,WLacrosse!$C:$O,M$1-2011,FALSE),0)+IFERROR(VLOOKUP($A190,WSoccer!$C:$O,M$1-2011,FALSE),0)+IFERROR(VLOOKUP($A190,WSoftball!$C:$O,M$1-2011,FALSE),0)+IFERROR(VLOOKUP($A190,WVolleyball!$C:$O,M$1-2011,FALSE),0)</f>
        <v>28141</v>
      </c>
      <c r="N190">
        <f>IFERROR(VLOOKUP($A190,MBaseball!$C:$N,N$1-2010,FALSE),0)+IFERROR(VLOOKUP($A190,MBasketball!$C:$J,N$1-2006,FALSE),0)+IFERROR(VLOOKUP($A190,MFootball!$C:$O,N$1-2011,FALSE),0)+IFERROR(VLOOKUP($A190,MIceHockey!$C:$P,N$1-2011,FALSE),0)+IFERROR(VLOOKUP($A190,MLacrosse!$C:$O,N$1-2011,FALSE),0)+IFERROR(VLOOKUP($A190,MSoccer!$C:$O,N$1-2011,FALSE),0)+IFERROR(VLOOKUP($A190,MVolleyball!$C:$O,N$1-2011,FALSE),0)+IFERROR(VLOOKUP($A190,WBasketball!$C:$O,N$1-2011,FALSE),0)+IFERROR(VLOOKUP($A190,WFieldHockey!$C:$O,N$1-2011,FALSE),0)+IFERROR(VLOOKUP($A190,WIceHockey!$C:$O,N$1-2011,FALSE),0)+IFERROR(VLOOKUP($A190,WLacrosse!$C:$O,N$1-2011,FALSE),0)+IFERROR(VLOOKUP($A190,WSoccer!$C:$O,N$1-2011,FALSE),0)+IFERROR(VLOOKUP($A190,WSoftball!$C:$O,N$1-2011,FALSE),0)+IFERROR(VLOOKUP($A190,WVolleyball!$C:$O,N$1-2011,FALSE),0)</f>
        <v>21012</v>
      </c>
    </row>
    <row r="191" spans="1:14" x14ac:dyDescent="0.2">
      <c r="A191">
        <v>206604</v>
      </c>
      <c r="B191">
        <v>19430</v>
      </c>
      <c r="C191" t="s">
        <v>258</v>
      </c>
      <c r="D191">
        <v>190</v>
      </c>
      <c r="E191">
        <f>IFERROR(VLOOKUP($A191,MBaseball!$C:$N,E$1-2010,FALSE),0)+IFERROR(VLOOKUP($A191,MBasketball!$C:$J,E$1-2006,FALSE),0)+IFERROR(VLOOKUP($A191,MFootball!$C:$O,E$1-2011,FALSE),0)+IFERROR(VLOOKUP($A191,MIceHockey!$C:$P,E$1-2011,FALSE),0)+IFERROR(VLOOKUP($A191,MLacrosse!$C:$O,E$1-2011,FALSE),0)+IFERROR(VLOOKUP($A191,MSoccer!$C:$O,E$1-2011,FALSE),0)+IFERROR(VLOOKUP($A191,MVolleyball!$C:$O,E$1-2011,FALSE),0)+IFERROR(VLOOKUP($A191,WBasketball!$C:$O,E$1-2011,FALSE),0)+IFERROR(VLOOKUP($A191,WFieldHockey!$C:$O,E$1-2011,FALSE),0)+IFERROR(VLOOKUP($A191,WIceHockey!$C:$O,E$1-2011,FALSE),0)+IFERROR(VLOOKUP($A191,WLacrosse!$C:$O,E$1-2011,FALSE),0)+IFERROR(VLOOKUP($A191,WSoccer!$C:$O,E$1-2011,FALSE),0)+IFERROR(VLOOKUP($A191,WSoftball!$C:$O,E$1-2011,FALSE),0)+IFERROR(VLOOKUP($A191,WVolleyball!$C:$O,E$1-2011,FALSE),0)</f>
        <v>96949</v>
      </c>
      <c r="F191">
        <f>IFERROR(VLOOKUP($A191,MBaseball!$C:$N,F$1-2010,FALSE),0)+IFERROR(VLOOKUP($A191,MBasketball!$C:$J,F$1-2006,FALSE),0)+IFERROR(VLOOKUP($A191,MFootball!$C:$O,F$1-2011,FALSE),0)+IFERROR(VLOOKUP($A191,MIceHockey!$C:$P,F$1-2011,FALSE),0)+IFERROR(VLOOKUP($A191,MLacrosse!$C:$O,F$1-2011,FALSE),0)+IFERROR(VLOOKUP($A191,MSoccer!$C:$O,F$1-2011,FALSE),0)+IFERROR(VLOOKUP($A191,MVolleyball!$C:$O,F$1-2011,FALSE),0)+IFERROR(VLOOKUP($A191,WBasketball!$C:$O,F$1-2011,FALSE),0)+IFERROR(VLOOKUP($A191,WFieldHockey!$C:$O,F$1-2011,FALSE),0)+IFERROR(VLOOKUP($A191,WIceHockey!$C:$O,F$1-2011,FALSE),0)+IFERROR(VLOOKUP($A191,WLacrosse!$C:$O,F$1-2011,FALSE),0)+IFERROR(VLOOKUP($A191,WSoccer!$C:$O,F$1-2011,FALSE),0)+IFERROR(VLOOKUP($A191,WSoftball!$C:$O,F$1-2011,FALSE),0)+IFERROR(VLOOKUP($A191,WVolleyball!$C:$O,F$1-2011,FALSE),0)</f>
        <v>31303</v>
      </c>
      <c r="G191">
        <f>IFERROR(VLOOKUP($A191,MBaseball!$C:$N,G$1-2010,FALSE),0)+IFERROR(VLOOKUP($A191,MBasketball!$C:$J,G$1-2006,FALSE),0)+IFERROR(VLOOKUP($A191,MFootball!$C:$O,G$1-2011,FALSE),0)+IFERROR(VLOOKUP($A191,MIceHockey!$C:$P,G$1-2011,FALSE),0)+IFERROR(VLOOKUP($A191,MLacrosse!$C:$O,G$1-2011,FALSE),0)+IFERROR(VLOOKUP($A191,MSoccer!$C:$O,G$1-2011,FALSE),0)+IFERROR(VLOOKUP($A191,MVolleyball!$C:$O,G$1-2011,FALSE),0)+IFERROR(VLOOKUP($A191,WBasketball!$C:$O,G$1-2011,FALSE),0)+IFERROR(VLOOKUP($A191,WFieldHockey!$C:$O,G$1-2011,FALSE),0)+IFERROR(VLOOKUP($A191,WIceHockey!$C:$O,G$1-2011,FALSE),0)+IFERROR(VLOOKUP($A191,WLacrosse!$C:$O,G$1-2011,FALSE),0)+IFERROR(VLOOKUP($A191,WSoccer!$C:$O,G$1-2011,FALSE),0)+IFERROR(VLOOKUP($A191,WSoftball!$C:$O,G$1-2011,FALSE),0)+IFERROR(VLOOKUP($A191,WVolleyball!$C:$O,G$1-2011,FALSE),0)</f>
        <v>35831</v>
      </c>
      <c r="H191">
        <f>IFERROR(VLOOKUP($A191,MBaseball!$C:$N,H$1-2010,FALSE),0)+IFERROR(VLOOKUP($A191,MBasketball!$C:$J,H$1-2006,FALSE),0)+IFERROR(VLOOKUP($A191,MFootball!$C:$O,H$1-2011,FALSE),0)+IFERROR(VLOOKUP($A191,MIceHockey!$C:$P,H$1-2011,FALSE),0)+IFERROR(VLOOKUP($A191,MLacrosse!$C:$O,H$1-2011,FALSE),0)+IFERROR(VLOOKUP($A191,MSoccer!$C:$O,H$1-2011,FALSE),0)+IFERROR(VLOOKUP($A191,MVolleyball!$C:$O,H$1-2011,FALSE),0)+IFERROR(VLOOKUP($A191,WBasketball!$C:$O,H$1-2011,FALSE),0)+IFERROR(VLOOKUP($A191,WFieldHockey!$C:$O,H$1-2011,FALSE),0)+IFERROR(VLOOKUP($A191,WIceHockey!$C:$O,H$1-2011,FALSE),0)+IFERROR(VLOOKUP($A191,WLacrosse!$C:$O,H$1-2011,FALSE),0)+IFERROR(VLOOKUP($A191,WSoccer!$C:$O,H$1-2011,FALSE),0)+IFERROR(VLOOKUP($A191,WSoftball!$C:$O,H$1-2011,FALSE),0)+IFERROR(VLOOKUP($A191,WVolleyball!$C:$O,H$1-2011,FALSE),0)</f>
        <v>30155</v>
      </c>
      <c r="I191">
        <f>IFERROR(VLOOKUP($A191,MBaseball!$C:$N,I$1-2010,FALSE),0)+IFERROR(VLOOKUP($A191,MBasketball!$C:$J,I$1-2006,FALSE),0)+IFERROR(VLOOKUP($A191,MFootball!$C:$O,I$1-2011,FALSE),0)+IFERROR(VLOOKUP($A191,MIceHockey!$C:$P,I$1-2011,FALSE),0)+IFERROR(VLOOKUP($A191,MLacrosse!$C:$O,I$1-2011,FALSE),0)+IFERROR(VLOOKUP($A191,MSoccer!$C:$O,I$1-2011,FALSE),0)+IFERROR(VLOOKUP($A191,MVolleyball!$C:$O,I$1-2011,FALSE),0)+IFERROR(VLOOKUP($A191,WBasketball!$C:$O,I$1-2011,FALSE),0)+IFERROR(VLOOKUP($A191,WFieldHockey!$C:$O,I$1-2011,FALSE),0)+IFERROR(VLOOKUP($A191,WIceHockey!$C:$O,I$1-2011,FALSE),0)+IFERROR(VLOOKUP($A191,WLacrosse!$C:$O,I$1-2011,FALSE),0)+IFERROR(VLOOKUP($A191,WSoccer!$C:$O,I$1-2011,FALSE),0)+IFERROR(VLOOKUP($A191,WSoftball!$C:$O,I$1-2011,FALSE),0)+IFERROR(VLOOKUP($A191,WVolleyball!$C:$O,I$1-2011,FALSE),0)</f>
        <v>32163</v>
      </c>
      <c r="J191">
        <f>IFERROR(VLOOKUP($A191,MBaseball!$C:$N,J$1-2010,FALSE),0)+IFERROR(VLOOKUP($A191,MBasketball!$C:$J,J$1-2006,FALSE),0)+IFERROR(VLOOKUP($A191,MFootball!$C:$O,J$1-2011,FALSE),0)+IFERROR(VLOOKUP($A191,MIceHockey!$C:$P,J$1-2011,FALSE),0)+IFERROR(VLOOKUP($A191,MLacrosse!$C:$O,J$1-2011,FALSE),0)+IFERROR(VLOOKUP($A191,MSoccer!$C:$O,J$1-2011,FALSE),0)+IFERROR(VLOOKUP($A191,MVolleyball!$C:$O,J$1-2011,FALSE),0)+IFERROR(VLOOKUP($A191,WBasketball!$C:$O,J$1-2011,FALSE),0)+IFERROR(VLOOKUP($A191,WFieldHockey!$C:$O,J$1-2011,FALSE),0)+IFERROR(VLOOKUP($A191,WIceHockey!$C:$O,J$1-2011,FALSE),0)+IFERROR(VLOOKUP($A191,WLacrosse!$C:$O,J$1-2011,FALSE),0)+IFERROR(VLOOKUP($A191,WSoccer!$C:$O,J$1-2011,FALSE),0)+IFERROR(VLOOKUP($A191,WSoftball!$C:$O,J$1-2011,FALSE),0)+IFERROR(VLOOKUP($A191,WVolleyball!$C:$O,J$1-2011,FALSE),0)</f>
        <v>17811</v>
      </c>
      <c r="K191">
        <f>IFERROR(VLOOKUP($A191,MBaseball!$C:$N,K$1-2010,FALSE),0)+IFERROR(VLOOKUP($A191,MBasketball!$C:$J,K$1-2006,FALSE),0)+IFERROR(VLOOKUP($A191,MFootball!$C:$O,K$1-2011,FALSE),0)+IFERROR(VLOOKUP($A191,MIceHockey!$C:$P,K$1-2011,FALSE),0)+IFERROR(VLOOKUP($A191,MLacrosse!$C:$O,K$1-2011,FALSE),0)+IFERROR(VLOOKUP($A191,MSoccer!$C:$O,K$1-2011,FALSE),0)+IFERROR(VLOOKUP($A191,MVolleyball!$C:$O,K$1-2011,FALSE),0)+IFERROR(VLOOKUP($A191,WBasketball!$C:$O,K$1-2011,FALSE),0)+IFERROR(VLOOKUP($A191,WFieldHockey!$C:$O,K$1-2011,FALSE),0)+IFERROR(VLOOKUP($A191,WIceHockey!$C:$O,K$1-2011,FALSE),0)+IFERROR(VLOOKUP($A191,WLacrosse!$C:$O,K$1-2011,FALSE),0)+IFERROR(VLOOKUP($A191,WSoccer!$C:$O,K$1-2011,FALSE),0)+IFERROR(VLOOKUP($A191,WSoftball!$C:$O,K$1-2011,FALSE),0)+IFERROR(VLOOKUP($A191,WVolleyball!$C:$O,K$1-2011,FALSE),0)</f>
        <v>16646</v>
      </c>
      <c r="L191">
        <f>IFERROR(VLOOKUP($A191,MBaseball!$C:$N,L$1-2010,FALSE),0)+IFERROR(VLOOKUP($A191,MBasketball!$C:$J,L$1-2006,FALSE),0)+IFERROR(VLOOKUP($A191,MFootball!$C:$O,L$1-2011,FALSE),0)+IFERROR(VLOOKUP($A191,MIceHockey!$C:$P,L$1-2011,FALSE),0)+IFERROR(VLOOKUP($A191,MLacrosse!$C:$O,L$1-2011,FALSE),0)+IFERROR(VLOOKUP($A191,MSoccer!$C:$O,L$1-2011,FALSE),0)+IFERROR(VLOOKUP($A191,MVolleyball!$C:$O,L$1-2011,FALSE),0)+IFERROR(VLOOKUP($A191,WBasketball!$C:$O,L$1-2011,FALSE),0)+IFERROR(VLOOKUP($A191,WFieldHockey!$C:$O,L$1-2011,FALSE),0)+IFERROR(VLOOKUP($A191,WIceHockey!$C:$O,L$1-2011,FALSE),0)+IFERROR(VLOOKUP($A191,WLacrosse!$C:$O,L$1-2011,FALSE),0)+IFERROR(VLOOKUP($A191,WSoccer!$C:$O,L$1-2011,FALSE),0)+IFERROR(VLOOKUP($A191,WSoftball!$C:$O,L$1-2011,FALSE),0)+IFERROR(VLOOKUP($A191,WVolleyball!$C:$O,L$1-2011,FALSE),0)</f>
        <v>5415</v>
      </c>
      <c r="M191">
        <f>IFERROR(VLOOKUP($A191,MBaseball!$C:$N,M$1-2010,FALSE),0)+IFERROR(VLOOKUP($A191,MBasketball!$C:$J,M$1-2006,FALSE),0)+IFERROR(VLOOKUP($A191,MFootball!$C:$O,M$1-2011,FALSE),0)+IFERROR(VLOOKUP($A191,MIceHockey!$C:$P,M$1-2011,FALSE),0)+IFERROR(VLOOKUP($A191,MLacrosse!$C:$O,M$1-2011,FALSE),0)+IFERROR(VLOOKUP($A191,MSoccer!$C:$O,M$1-2011,FALSE),0)+IFERROR(VLOOKUP($A191,MVolleyball!$C:$O,M$1-2011,FALSE),0)+IFERROR(VLOOKUP($A191,WBasketball!$C:$O,M$1-2011,FALSE),0)+IFERROR(VLOOKUP($A191,WFieldHockey!$C:$O,M$1-2011,FALSE),0)+IFERROR(VLOOKUP($A191,WIceHockey!$C:$O,M$1-2011,FALSE),0)+IFERROR(VLOOKUP($A191,WLacrosse!$C:$O,M$1-2011,FALSE),0)+IFERROR(VLOOKUP($A191,WSoccer!$C:$O,M$1-2011,FALSE),0)+IFERROR(VLOOKUP($A191,WSoftball!$C:$O,M$1-2011,FALSE),0)+IFERROR(VLOOKUP($A191,WVolleyball!$C:$O,M$1-2011,FALSE),0)</f>
        <v>28373</v>
      </c>
      <c r="N191">
        <f>IFERROR(VLOOKUP($A191,MBaseball!$C:$N,N$1-2010,FALSE),0)+IFERROR(VLOOKUP($A191,MBasketball!$C:$J,N$1-2006,FALSE),0)+IFERROR(VLOOKUP($A191,MFootball!$C:$O,N$1-2011,FALSE),0)+IFERROR(VLOOKUP($A191,MIceHockey!$C:$P,N$1-2011,FALSE),0)+IFERROR(VLOOKUP($A191,MLacrosse!$C:$O,N$1-2011,FALSE),0)+IFERROR(VLOOKUP($A191,MSoccer!$C:$O,N$1-2011,FALSE),0)+IFERROR(VLOOKUP($A191,MVolleyball!$C:$O,N$1-2011,FALSE),0)+IFERROR(VLOOKUP($A191,WBasketball!$C:$O,N$1-2011,FALSE),0)+IFERROR(VLOOKUP($A191,WFieldHockey!$C:$O,N$1-2011,FALSE),0)+IFERROR(VLOOKUP($A191,WIceHockey!$C:$O,N$1-2011,FALSE),0)+IFERROR(VLOOKUP($A191,WLacrosse!$C:$O,N$1-2011,FALSE),0)+IFERROR(VLOOKUP($A191,WSoccer!$C:$O,N$1-2011,FALSE),0)+IFERROR(VLOOKUP($A191,WSoftball!$C:$O,N$1-2011,FALSE),0)+IFERROR(VLOOKUP($A191,WVolleyball!$C:$O,N$1-2011,FALSE),0)</f>
        <v>23249</v>
      </c>
    </row>
    <row r="192" spans="1:14" x14ac:dyDescent="0.2">
      <c r="A192">
        <v>240727</v>
      </c>
      <c r="B192">
        <v>29660</v>
      </c>
      <c r="C192" t="s">
        <v>259</v>
      </c>
      <c r="D192">
        <v>191</v>
      </c>
      <c r="E192">
        <f>IFERROR(VLOOKUP($A192,MBaseball!$C:$N,E$1-2010,FALSE),0)+IFERROR(VLOOKUP($A192,MBasketball!$C:$J,E$1-2006,FALSE),0)+IFERROR(VLOOKUP($A192,MFootball!$C:$O,E$1-2011,FALSE),0)+IFERROR(VLOOKUP($A192,MIceHockey!$C:$P,E$1-2011,FALSE),0)+IFERROR(VLOOKUP($A192,MLacrosse!$C:$O,E$1-2011,FALSE),0)+IFERROR(VLOOKUP($A192,MSoccer!$C:$O,E$1-2011,FALSE),0)+IFERROR(VLOOKUP($A192,MVolleyball!$C:$O,E$1-2011,FALSE),0)+IFERROR(VLOOKUP($A192,WBasketball!$C:$O,E$1-2011,FALSE),0)+IFERROR(VLOOKUP($A192,WFieldHockey!$C:$O,E$1-2011,FALSE),0)+IFERROR(VLOOKUP($A192,WIceHockey!$C:$O,E$1-2011,FALSE),0)+IFERROR(VLOOKUP($A192,WLacrosse!$C:$O,E$1-2011,FALSE),0)+IFERROR(VLOOKUP($A192,WSoccer!$C:$O,E$1-2011,FALSE),0)+IFERROR(VLOOKUP($A192,WSoftball!$C:$O,E$1-2011,FALSE),0)+IFERROR(VLOOKUP($A192,WVolleyball!$C:$O,E$1-2011,FALSE),0)</f>
        <v>122775</v>
      </c>
      <c r="F192">
        <f>IFERROR(VLOOKUP($A192,MBaseball!$C:$N,F$1-2010,FALSE),0)+IFERROR(VLOOKUP($A192,MBasketball!$C:$J,F$1-2006,FALSE),0)+IFERROR(VLOOKUP($A192,MFootball!$C:$O,F$1-2011,FALSE),0)+IFERROR(VLOOKUP($A192,MIceHockey!$C:$P,F$1-2011,FALSE),0)+IFERROR(VLOOKUP($A192,MLacrosse!$C:$O,F$1-2011,FALSE),0)+IFERROR(VLOOKUP($A192,MSoccer!$C:$O,F$1-2011,FALSE),0)+IFERROR(VLOOKUP($A192,MVolleyball!$C:$O,F$1-2011,FALSE),0)+IFERROR(VLOOKUP($A192,WBasketball!$C:$O,F$1-2011,FALSE),0)+IFERROR(VLOOKUP($A192,WFieldHockey!$C:$O,F$1-2011,FALSE),0)+IFERROR(VLOOKUP($A192,WIceHockey!$C:$O,F$1-2011,FALSE),0)+IFERROR(VLOOKUP($A192,WLacrosse!$C:$O,F$1-2011,FALSE),0)+IFERROR(VLOOKUP($A192,WSoccer!$C:$O,F$1-2011,FALSE),0)+IFERROR(VLOOKUP($A192,WSoftball!$C:$O,F$1-2011,FALSE),0)+IFERROR(VLOOKUP($A192,WVolleyball!$C:$O,F$1-2011,FALSE),0)</f>
        <v>174223</v>
      </c>
      <c r="G192">
        <f>IFERROR(VLOOKUP($A192,MBaseball!$C:$N,G$1-2010,FALSE),0)+IFERROR(VLOOKUP($A192,MBasketball!$C:$J,G$1-2006,FALSE),0)+IFERROR(VLOOKUP($A192,MFootball!$C:$O,G$1-2011,FALSE),0)+IFERROR(VLOOKUP($A192,MIceHockey!$C:$P,G$1-2011,FALSE),0)+IFERROR(VLOOKUP($A192,MLacrosse!$C:$O,G$1-2011,FALSE),0)+IFERROR(VLOOKUP($A192,MSoccer!$C:$O,G$1-2011,FALSE),0)+IFERROR(VLOOKUP($A192,MVolleyball!$C:$O,G$1-2011,FALSE),0)+IFERROR(VLOOKUP($A192,WBasketball!$C:$O,G$1-2011,FALSE),0)+IFERROR(VLOOKUP($A192,WFieldHockey!$C:$O,G$1-2011,FALSE),0)+IFERROR(VLOOKUP($A192,WIceHockey!$C:$O,G$1-2011,FALSE),0)+IFERROR(VLOOKUP($A192,WLacrosse!$C:$O,G$1-2011,FALSE),0)+IFERROR(VLOOKUP($A192,WSoccer!$C:$O,G$1-2011,FALSE),0)+IFERROR(VLOOKUP($A192,WSoftball!$C:$O,G$1-2011,FALSE),0)+IFERROR(VLOOKUP($A192,WVolleyball!$C:$O,G$1-2011,FALSE),0)</f>
        <v>166672</v>
      </c>
      <c r="H192">
        <f>IFERROR(VLOOKUP($A192,MBaseball!$C:$N,H$1-2010,FALSE),0)+IFERROR(VLOOKUP($A192,MBasketball!$C:$J,H$1-2006,FALSE),0)+IFERROR(VLOOKUP($A192,MFootball!$C:$O,H$1-2011,FALSE),0)+IFERROR(VLOOKUP($A192,MIceHockey!$C:$P,H$1-2011,FALSE),0)+IFERROR(VLOOKUP($A192,MLacrosse!$C:$O,H$1-2011,FALSE),0)+IFERROR(VLOOKUP($A192,MSoccer!$C:$O,H$1-2011,FALSE),0)+IFERROR(VLOOKUP($A192,MVolleyball!$C:$O,H$1-2011,FALSE),0)+IFERROR(VLOOKUP($A192,WBasketball!$C:$O,H$1-2011,FALSE),0)+IFERROR(VLOOKUP($A192,WFieldHockey!$C:$O,H$1-2011,FALSE),0)+IFERROR(VLOOKUP($A192,WIceHockey!$C:$O,H$1-2011,FALSE),0)+IFERROR(VLOOKUP($A192,WLacrosse!$C:$O,H$1-2011,FALSE),0)+IFERROR(VLOOKUP($A192,WSoccer!$C:$O,H$1-2011,FALSE),0)+IFERROR(VLOOKUP($A192,WSoftball!$C:$O,H$1-2011,FALSE),0)+IFERROR(VLOOKUP($A192,WVolleyball!$C:$O,H$1-2011,FALSE),0)</f>
        <v>205191</v>
      </c>
      <c r="I192">
        <f>IFERROR(VLOOKUP($A192,MBaseball!$C:$N,I$1-2010,FALSE),0)+IFERROR(VLOOKUP($A192,MBasketball!$C:$J,I$1-2006,FALSE),0)+IFERROR(VLOOKUP($A192,MFootball!$C:$O,I$1-2011,FALSE),0)+IFERROR(VLOOKUP($A192,MIceHockey!$C:$P,I$1-2011,FALSE),0)+IFERROR(VLOOKUP($A192,MLacrosse!$C:$O,I$1-2011,FALSE),0)+IFERROR(VLOOKUP($A192,MSoccer!$C:$O,I$1-2011,FALSE),0)+IFERROR(VLOOKUP($A192,MVolleyball!$C:$O,I$1-2011,FALSE),0)+IFERROR(VLOOKUP($A192,WBasketball!$C:$O,I$1-2011,FALSE),0)+IFERROR(VLOOKUP($A192,WFieldHockey!$C:$O,I$1-2011,FALSE),0)+IFERROR(VLOOKUP($A192,WIceHockey!$C:$O,I$1-2011,FALSE),0)+IFERROR(VLOOKUP($A192,WLacrosse!$C:$O,I$1-2011,FALSE),0)+IFERROR(VLOOKUP($A192,WSoccer!$C:$O,I$1-2011,FALSE),0)+IFERROR(VLOOKUP($A192,WSoftball!$C:$O,I$1-2011,FALSE),0)+IFERROR(VLOOKUP($A192,WVolleyball!$C:$O,I$1-2011,FALSE),0)</f>
        <v>204694</v>
      </c>
      <c r="J192">
        <f>IFERROR(VLOOKUP($A192,MBaseball!$C:$N,J$1-2010,FALSE),0)+IFERROR(VLOOKUP($A192,MBasketball!$C:$J,J$1-2006,FALSE),0)+IFERROR(VLOOKUP($A192,MFootball!$C:$O,J$1-2011,FALSE),0)+IFERROR(VLOOKUP($A192,MIceHockey!$C:$P,J$1-2011,FALSE),0)+IFERROR(VLOOKUP($A192,MLacrosse!$C:$O,J$1-2011,FALSE),0)+IFERROR(VLOOKUP($A192,MSoccer!$C:$O,J$1-2011,FALSE),0)+IFERROR(VLOOKUP($A192,MVolleyball!$C:$O,J$1-2011,FALSE),0)+IFERROR(VLOOKUP($A192,WBasketball!$C:$O,J$1-2011,FALSE),0)+IFERROR(VLOOKUP($A192,WFieldHockey!$C:$O,J$1-2011,FALSE),0)+IFERROR(VLOOKUP($A192,WIceHockey!$C:$O,J$1-2011,FALSE),0)+IFERROR(VLOOKUP($A192,WLacrosse!$C:$O,J$1-2011,FALSE),0)+IFERROR(VLOOKUP($A192,WSoccer!$C:$O,J$1-2011,FALSE),0)+IFERROR(VLOOKUP($A192,WSoftball!$C:$O,J$1-2011,FALSE),0)+IFERROR(VLOOKUP($A192,WVolleyball!$C:$O,J$1-2011,FALSE),0)</f>
        <v>182043</v>
      </c>
      <c r="K192">
        <f>IFERROR(VLOOKUP($A192,MBaseball!$C:$N,K$1-2010,FALSE),0)+IFERROR(VLOOKUP($A192,MBasketball!$C:$J,K$1-2006,FALSE),0)+IFERROR(VLOOKUP($A192,MFootball!$C:$O,K$1-2011,FALSE),0)+IFERROR(VLOOKUP($A192,MIceHockey!$C:$P,K$1-2011,FALSE),0)+IFERROR(VLOOKUP($A192,MLacrosse!$C:$O,K$1-2011,FALSE),0)+IFERROR(VLOOKUP($A192,MSoccer!$C:$O,K$1-2011,FALSE),0)+IFERROR(VLOOKUP($A192,MVolleyball!$C:$O,K$1-2011,FALSE),0)+IFERROR(VLOOKUP($A192,WBasketball!$C:$O,K$1-2011,FALSE),0)+IFERROR(VLOOKUP($A192,WFieldHockey!$C:$O,K$1-2011,FALSE),0)+IFERROR(VLOOKUP($A192,WIceHockey!$C:$O,K$1-2011,FALSE),0)+IFERROR(VLOOKUP($A192,WLacrosse!$C:$O,K$1-2011,FALSE),0)+IFERROR(VLOOKUP($A192,WSoccer!$C:$O,K$1-2011,FALSE),0)+IFERROR(VLOOKUP($A192,WSoftball!$C:$O,K$1-2011,FALSE),0)+IFERROR(VLOOKUP($A192,WVolleyball!$C:$O,K$1-2011,FALSE),0)</f>
        <v>190739</v>
      </c>
      <c r="L192">
        <f>IFERROR(VLOOKUP($A192,MBaseball!$C:$N,L$1-2010,FALSE),0)+IFERROR(VLOOKUP($A192,MBasketball!$C:$J,L$1-2006,FALSE),0)+IFERROR(VLOOKUP($A192,MFootball!$C:$O,L$1-2011,FALSE),0)+IFERROR(VLOOKUP($A192,MIceHockey!$C:$P,L$1-2011,FALSE),0)+IFERROR(VLOOKUP($A192,MLacrosse!$C:$O,L$1-2011,FALSE),0)+IFERROR(VLOOKUP($A192,MSoccer!$C:$O,L$1-2011,FALSE),0)+IFERROR(VLOOKUP($A192,MVolleyball!$C:$O,L$1-2011,FALSE),0)+IFERROR(VLOOKUP($A192,WBasketball!$C:$O,L$1-2011,FALSE),0)+IFERROR(VLOOKUP($A192,WFieldHockey!$C:$O,L$1-2011,FALSE),0)+IFERROR(VLOOKUP($A192,WIceHockey!$C:$O,L$1-2011,FALSE),0)+IFERROR(VLOOKUP($A192,WLacrosse!$C:$O,L$1-2011,FALSE),0)+IFERROR(VLOOKUP($A192,WSoccer!$C:$O,L$1-2011,FALSE),0)+IFERROR(VLOOKUP($A192,WSoftball!$C:$O,L$1-2011,FALSE),0)+IFERROR(VLOOKUP($A192,WVolleyball!$C:$O,L$1-2011,FALSE),0)</f>
        <v>16896</v>
      </c>
      <c r="M192">
        <f>IFERROR(VLOOKUP($A192,MBaseball!$C:$N,M$1-2010,FALSE),0)+IFERROR(VLOOKUP($A192,MBasketball!$C:$J,M$1-2006,FALSE),0)+IFERROR(VLOOKUP($A192,MFootball!$C:$O,M$1-2011,FALSE),0)+IFERROR(VLOOKUP($A192,MIceHockey!$C:$P,M$1-2011,FALSE),0)+IFERROR(VLOOKUP($A192,MLacrosse!$C:$O,M$1-2011,FALSE),0)+IFERROR(VLOOKUP($A192,MSoccer!$C:$O,M$1-2011,FALSE),0)+IFERROR(VLOOKUP($A192,MVolleyball!$C:$O,M$1-2011,FALSE),0)+IFERROR(VLOOKUP($A192,WBasketball!$C:$O,M$1-2011,FALSE),0)+IFERROR(VLOOKUP($A192,WFieldHockey!$C:$O,M$1-2011,FALSE),0)+IFERROR(VLOOKUP($A192,WIceHockey!$C:$O,M$1-2011,FALSE),0)+IFERROR(VLOOKUP($A192,WLacrosse!$C:$O,M$1-2011,FALSE),0)+IFERROR(VLOOKUP($A192,WSoccer!$C:$O,M$1-2011,FALSE),0)+IFERROR(VLOOKUP($A192,WSoftball!$C:$O,M$1-2011,FALSE),0)+IFERROR(VLOOKUP($A192,WVolleyball!$C:$O,M$1-2011,FALSE),0)</f>
        <v>181553</v>
      </c>
      <c r="N192">
        <f>IFERROR(VLOOKUP($A192,MBaseball!$C:$N,N$1-2010,FALSE),0)+IFERROR(VLOOKUP($A192,MBasketball!$C:$J,N$1-2006,FALSE),0)+IFERROR(VLOOKUP($A192,MFootball!$C:$O,N$1-2011,FALSE),0)+IFERROR(VLOOKUP($A192,MIceHockey!$C:$P,N$1-2011,FALSE),0)+IFERROR(VLOOKUP($A192,MLacrosse!$C:$O,N$1-2011,FALSE),0)+IFERROR(VLOOKUP($A192,MSoccer!$C:$O,N$1-2011,FALSE),0)+IFERROR(VLOOKUP($A192,MVolleyball!$C:$O,N$1-2011,FALSE),0)+IFERROR(VLOOKUP($A192,WBasketball!$C:$O,N$1-2011,FALSE),0)+IFERROR(VLOOKUP($A192,WFieldHockey!$C:$O,N$1-2011,FALSE),0)+IFERROR(VLOOKUP($A192,WIceHockey!$C:$O,N$1-2011,FALSE),0)+IFERROR(VLOOKUP($A192,WLacrosse!$C:$O,N$1-2011,FALSE),0)+IFERROR(VLOOKUP($A192,WSoccer!$C:$O,N$1-2011,FALSE),0)+IFERROR(VLOOKUP($A192,WSoftball!$C:$O,N$1-2011,FALSE),0)+IFERROR(VLOOKUP($A192,WVolleyball!$C:$O,N$1-2011,FALSE),0)</f>
        <v>172676</v>
      </c>
    </row>
    <row r="193" spans="1:14" x14ac:dyDescent="0.2">
      <c r="A193">
        <v>206695</v>
      </c>
      <c r="B193">
        <v>49660</v>
      </c>
      <c r="C193" t="s">
        <v>260</v>
      </c>
      <c r="D193">
        <v>192</v>
      </c>
      <c r="E193">
        <f>IFERROR(VLOOKUP($A193,MBaseball!$C:$N,E$1-2010,FALSE),0)+IFERROR(VLOOKUP($A193,MBasketball!$C:$J,E$1-2006,FALSE),0)+IFERROR(VLOOKUP($A193,MFootball!$C:$O,E$1-2011,FALSE),0)+IFERROR(VLOOKUP($A193,MIceHockey!$C:$P,E$1-2011,FALSE),0)+IFERROR(VLOOKUP($A193,MLacrosse!$C:$O,E$1-2011,FALSE),0)+IFERROR(VLOOKUP($A193,MSoccer!$C:$O,E$1-2011,FALSE),0)+IFERROR(VLOOKUP($A193,MVolleyball!$C:$O,E$1-2011,FALSE),0)+IFERROR(VLOOKUP($A193,WBasketball!$C:$O,E$1-2011,FALSE),0)+IFERROR(VLOOKUP($A193,WFieldHockey!$C:$O,E$1-2011,FALSE),0)+IFERROR(VLOOKUP($A193,WIceHockey!$C:$O,E$1-2011,FALSE),0)+IFERROR(VLOOKUP($A193,WLacrosse!$C:$O,E$1-2011,FALSE),0)+IFERROR(VLOOKUP($A193,WSoccer!$C:$O,E$1-2011,FALSE),0)+IFERROR(VLOOKUP($A193,WSoftball!$C:$O,E$1-2011,FALSE),0)+IFERROR(VLOOKUP($A193,WVolleyball!$C:$O,E$1-2011,FALSE),0)</f>
        <v>68338</v>
      </c>
      <c r="F193">
        <f>IFERROR(VLOOKUP($A193,MBaseball!$C:$N,F$1-2010,FALSE),0)+IFERROR(VLOOKUP($A193,MBasketball!$C:$J,F$1-2006,FALSE),0)+IFERROR(VLOOKUP($A193,MFootball!$C:$O,F$1-2011,FALSE),0)+IFERROR(VLOOKUP($A193,MIceHockey!$C:$P,F$1-2011,FALSE),0)+IFERROR(VLOOKUP($A193,MLacrosse!$C:$O,F$1-2011,FALSE),0)+IFERROR(VLOOKUP($A193,MSoccer!$C:$O,F$1-2011,FALSE),0)+IFERROR(VLOOKUP($A193,MVolleyball!$C:$O,F$1-2011,FALSE),0)+IFERROR(VLOOKUP($A193,WBasketball!$C:$O,F$1-2011,FALSE),0)+IFERROR(VLOOKUP($A193,WFieldHockey!$C:$O,F$1-2011,FALSE),0)+IFERROR(VLOOKUP($A193,WIceHockey!$C:$O,F$1-2011,FALSE),0)+IFERROR(VLOOKUP($A193,WLacrosse!$C:$O,F$1-2011,FALSE),0)+IFERROR(VLOOKUP($A193,WSoccer!$C:$O,F$1-2011,FALSE),0)+IFERROR(VLOOKUP($A193,WSoftball!$C:$O,F$1-2011,FALSE),0)+IFERROR(VLOOKUP($A193,WVolleyball!$C:$O,F$1-2011,FALSE),0)</f>
        <v>118714</v>
      </c>
      <c r="G193">
        <f>IFERROR(VLOOKUP($A193,MBaseball!$C:$N,G$1-2010,FALSE),0)+IFERROR(VLOOKUP($A193,MBasketball!$C:$J,G$1-2006,FALSE),0)+IFERROR(VLOOKUP($A193,MFootball!$C:$O,G$1-2011,FALSE),0)+IFERROR(VLOOKUP($A193,MIceHockey!$C:$P,G$1-2011,FALSE),0)+IFERROR(VLOOKUP($A193,MLacrosse!$C:$O,G$1-2011,FALSE),0)+IFERROR(VLOOKUP($A193,MSoccer!$C:$O,G$1-2011,FALSE),0)+IFERROR(VLOOKUP($A193,MVolleyball!$C:$O,G$1-2011,FALSE),0)+IFERROR(VLOOKUP($A193,WBasketball!$C:$O,G$1-2011,FALSE),0)+IFERROR(VLOOKUP($A193,WFieldHockey!$C:$O,G$1-2011,FALSE),0)+IFERROR(VLOOKUP($A193,WIceHockey!$C:$O,G$1-2011,FALSE),0)+IFERROR(VLOOKUP($A193,WLacrosse!$C:$O,G$1-2011,FALSE),0)+IFERROR(VLOOKUP($A193,WSoccer!$C:$O,G$1-2011,FALSE),0)+IFERROR(VLOOKUP($A193,WSoftball!$C:$O,G$1-2011,FALSE),0)+IFERROR(VLOOKUP($A193,WVolleyball!$C:$O,G$1-2011,FALSE),0)</f>
        <v>130389</v>
      </c>
      <c r="H193">
        <f>IFERROR(VLOOKUP($A193,MBaseball!$C:$N,H$1-2010,FALSE),0)+IFERROR(VLOOKUP($A193,MBasketball!$C:$J,H$1-2006,FALSE),0)+IFERROR(VLOOKUP($A193,MFootball!$C:$O,H$1-2011,FALSE),0)+IFERROR(VLOOKUP($A193,MIceHockey!$C:$P,H$1-2011,FALSE),0)+IFERROR(VLOOKUP($A193,MLacrosse!$C:$O,H$1-2011,FALSE),0)+IFERROR(VLOOKUP($A193,MSoccer!$C:$O,H$1-2011,FALSE),0)+IFERROR(VLOOKUP($A193,MVolleyball!$C:$O,H$1-2011,FALSE),0)+IFERROR(VLOOKUP($A193,WBasketball!$C:$O,H$1-2011,FALSE),0)+IFERROR(VLOOKUP($A193,WFieldHockey!$C:$O,H$1-2011,FALSE),0)+IFERROR(VLOOKUP($A193,WIceHockey!$C:$O,H$1-2011,FALSE),0)+IFERROR(VLOOKUP($A193,WLacrosse!$C:$O,H$1-2011,FALSE),0)+IFERROR(VLOOKUP($A193,WSoccer!$C:$O,H$1-2011,FALSE),0)+IFERROR(VLOOKUP($A193,WSoftball!$C:$O,H$1-2011,FALSE),0)+IFERROR(VLOOKUP($A193,WVolleyball!$C:$O,H$1-2011,FALSE),0)</f>
        <v>137957</v>
      </c>
      <c r="I193">
        <f>IFERROR(VLOOKUP($A193,MBaseball!$C:$N,I$1-2010,FALSE),0)+IFERROR(VLOOKUP($A193,MBasketball!$C:$J,I$1-2006,FALSE),0)+IFERROR(VLOOKUP($A193,MFootball!$C:$O,I$1-2011,FALSE),0)+IFERROR(VLOOKUP($A193,MIceHockey!$C:$P,I$1-2011,FALSE),0)+IFERROR(VLOOKUP($A193,MLacrosse!$C:$O,I$1-2011,FALSE),0)+IFERROR(VLOOKUP($A193,MSoccer!$C:$O,I$1-2011,FALSE),0)+IFERROR(VLOOKUP($A193,MVolleyball!$C:$O,I$1-2011,FALSE),0)+IFERROR(VLOOKUP($A193,WBasketball!$C:$O,I$1-2011,FALSE),0)+IFERROR(VLOOKUP($A193,WFieldHockey!$C:$O,I$1-2011,FALSE),0)+IFERROR(VLOOKUP($A193,WIceHockey!$C:$O,I$1-2011,FALSE),0)+IFERROR(VLOOKUP($A193,WLacrosse!$C:$O,I$1-2011,FALSE),0)+IFERROR(VLOOKUP($A193,WSoccer!$C:$O,I$1-2011,FALSE),0)+IFERROR(VLOOKUP($A193,WSoftball!$C:$O,I$1-2011,FALSE),0)+IFERROR(VLOOKUP($A193,WVolleyball!$C:$O,I$1-2011,FALSE),0)</f>
        <v>124233</v>
      </c>
      <c r="J193">
        <f>IFERROR(VLOOKUP($A193,MBaseball!$C:$N,J$1-2010,FALSE),0)+IFERROR(VLOOKUP($A193,MBasketball!$C:$J,J$1-2006,FALSE),0)+IFERROR(VLOOKUP($A193,MFootball!$C:$O,J$1-2011,FALSE),0)+IFERROR(VLOOKUP($A193,MIceHockey!$C:$P,J$1-2011,FALSE),0)+IFERROR(VLOOKUP($A193,MLacrosse!$C:$O,J$1-2011,FALSE),0)+IFERROR(VLOOKUP($A193,MSoccer!$C:$O,J$1-2011,FALSE),0)+IFERROR(VLOOKUP($A193,MVolleyball!$C:$O,J$1-2011,FALSE),0)+IFERROR(VLOOKUP($A193,WBasketball!$C:$O,J$1-2011,FALSE),0)+IFERROR(VLOOKUP($A193,WFieldHockey!$C:$O,J$1-2011,FALSE),0)+IFERROR(VLOOKUP($A193,WIceHockey!$C:$O,J$1-2011,FALSE),0)+IFERROR(VLOOKUP($A193,WLacrosse!$C:$O,J$1-2011,FALSE),0)+IFERROR(VLOOKUP($A193,WSoccer!$C:$O,J$1-2011,FALSE),0)+IFERROR(VLOOKUP($A193,WSoftball!$C:$O,J$1-2011,FALSE),0)+IFERROR(VLOOKUP($A193,WVolleyball!$C:$O,J$1-2011,FALSE),0)</f>
        <v>102405</v>
      </c>
      <c r="K193">
        <f>IFERROR(VLOOKUP($A193,MBaseball!$C:$N,K$1-2010,FALSE),0)+IFERROR(VLOOKUP($A193,MBasketball!$C:$J,K$1-2006,FALSE),0)+IFERROR(VLOOKUP($A193,MFootball!$C:$O,K$1-2011,FALSE),0)+IFERROR(VLOOKUP($A193,MIceHockey!$C:$P,K$1-2011,FALSE),0)+IFERROR(VLOOKUP($A193,MLacrosse!$C:$O,K$1-2011,FALSE),0)+IFERROR(VLOOKUP($A193,MSoccer!$C:$O,K$1-2011,FALSE),0)+IFERROR(VLOOKUP($A193,MVolleyball!$C:$O,K$1-2011,FALSE),0)+IFERROR(VLOOKUP($A193,WBasketball!$C:$O,K$1-2011,FALSE),0)+IFERROR(VLOOKUP($A193,WFieldHockey!$C:$O,K$1-2011,FALSE),0)+IFERROR(VLOOKUP($A193,WIceHockey!$C:$O,K$1-2011,FALSE),0)+IFERROR(VLOOKUP($A193,WLacrosse!$C:$O,K$1-2011,FALSE),0)+IFERROR(VLOOKUP($A193,WSoccer!$C:$O,K$1-2011,FALSE),0)+IFERROR(VLOOKUP($A193,WSoftball!$C:$O,K$1-2011,FALSE),0)+IFERROR(VLOOKUP($A193,WVolleyball!$C:$O,K$1-2011,FALSE),0)</f>
        <v>113171</v>
      </c>
      <c r="L193">
        <f>IFERROR(VLOOKUP($A193,MBaseball!$C:$N,L$1-2010,FALSE),0)+IFERROR(VLOOKUP($A193,MBasketball!$C:$J,L$1-2006,FALSE),0)+IFERROR(VLOOKUP($A193,MFootball!$C:$O,L$1-2011,FALSE),0)+IFERROR(VLOOKUP($A193,MIceHockey!$C:$P,L$1-2011,FALSE),0)+IFERROR(VLOOKUP($A193,MLacrosse!$C:$O,L$1-2011,FALSE),0)+IFERROR(VLOOKUP($A193,MSoccer!$C:$O,L$1-2011,FALSE),0)+IFERROR(VLOOKUP($A193,MVolleyball!$C:$O,L$1-2011,FALSE),0)+IFERROR(VLOOKUP($A193,WBasketball!$C:$O,L$1-2011,FALSE),0)+IFERROR(VLOOKUP($A193,WFieldHockey!$C:$O,L$1-2011,FALSE),0)+IFERROR(VLOOKUP($A193,WIceHockey!$C:$O,L$1-2011,FALSE),0)+IFERROR(VLOOKUP($A193,WLacrosse!$C:$O,L$1-2011,FALSE),0)+IFERROR(VLOOKUP($A193,WSoccer!$C:$O,L$1-2011,FALSE),0)+IFERROR(VLOOKUP($A193,WSoftball!$C:$O,L$1-2011,FALSE),0)+IFERROR(VLOOKUP($A193,WVolleyball!$C:$O,L$1-2011,FALSE),0)</f>
        <v>20395</v>
      </c>
      <c r="M193">
        <f>IFERROR(VLOOKUP($A193,MBaseball!$C:$N,M$1-2010,FALSE),0)+IFERROR(VLOOKUP($A193,MBasketball!$C:$J,M$1-2006,FALSE),0)+IFERROR(VLOOKUP($A193,MFootball!$C:$O,M$1-2011,FALSE),0)+IFERROR(VLOOKUP($A193,MIceHockey!$C:$P,M$1-2011,FALSE),0)+IFERROR(VLOOKUP($A193,MLacrosse!$C:$O,M$1-2011,FALSE),0)+IFERROR(VLOOKUP($A193,MSoccer!$C:$O,M$1-2011,FALSE),0)+IFERROR(VLOOKUP($A193,MVolleyball!$C:$O,M$1-2011,FALSE),0)+IFERROR(VLOOKUP($A193,WBasketball!$C:$O,M$1-2011,FALSE),0)+IFERROR(VLOOKUP($A193,WFieldHockey!$C:$O,M$1-2011,FALSE),0)+IFERROR(VLOOKUP($A193,WIceHockey!$C:$O,M$1-2011,FALSE),0)+IFERROR(VLOOKUP($A193,WLacrosse!$C:$O,M$1-2011,FALSE),0)+IFERROR(VLOOKUP($A193,WSoccer!$C:$O,M$1-2011,FALSE),0)+IFERROR(VLOOKUP($A193,WSoftball!$C:$O,M$1-2011,FALSE),0)+IFERROR(VLOOKUP($A193,WVolleyball!$C:$O,M$1-2011,FALSE),0)</f>
        <v>95761</v>
      </c>
      <c r="N193">
        <f>IFERROR(VLOOKUP($A193,MBaseball!$C:$N,N$1-2010,FALSE),0)+IFERROR(VLOOKUP($A193,MBasketball!$C:$J,N$1-2006,FALSE),0)+IFERROR(VLOOKUP($A193,MFootball!$C:$O,N$1-2011,FALSE),0)+IFERROR(VLOOKUP($A193,MIceHockey!$C:$P,N$1-2011,FALSE),0)+IFERROR(VLOOKUP($A193,MLacrosse!$C:$O,N$1-2011,FALSE),0)+IFERROR(VLOOKUP($A193,MSoccer!$C:$O,N$1-2011,FALSE),0)+IFERROR(VLOOKUP($A193,MVolleyball!$C:$O,N$1-2011,FALSE),0)+IFERROR(VLOOKUP($A193,WBasketball!$C:$O,N$1-2011,FALSE),0)+IFERROR(VLOOKUP($A193,WFieldHockey!$C:$O,N$1-2011,FALSE),0)+IFERROR(VLOOKUP($A193,WIceHockey!$C:$O,N$1-2011,FALSE),0)+IFERROR(VLOOKUP($A193,WLacrosse!$C:$O,N$1-2011,FALSE),0)+IFERROR(VLOOKUP($A193,WSoccer!$C:$O,N$1-2011,FALSE),0)+IFERROR(VLOOKUP($A193,WSoftball!$C:$O,N$1-2011,FALSE),0)+IFERROR(VLOOKUP($A193,WVolleyball!$C:$O,N$1-2011,FALSE),0)</f>
        <v>99813</v>
      </c>
    </row>
    <row r="194" spans="1:14" x14ac:dyDescent="0.2">
      <c r="A194">
        <v>157401</v>
      </c>
      <c r="B194">
        <v>34660</v>
      </c>
      <c r="C194" t="s">
        <v>148</v>
      </c>
      <c r="D194">
        <v>193</v>
      </c>
      <c r="E194">
        <f>IFERROR(VLOOKUP($A194,MBaseball!$C:$N,E$1-2010,FALSE),0)+IFERROR(VLOOKUP($A194,MBasketball!$C:$J,E$1-2006,FALSE),0)+IFERROR(VLOOKUP($A194,MFootball!$C:$O,E$1-2011,FALSE),0)+IFERROR(VLOOKUP($A194,MIceHockey!$C:$P,E$1-2011,FALSE),0)+IFERROR(VLOOKUP($A194,MLacrosse!$C:$O,E$1-2011,FALSE),0)+IFERROR(VLOOKUP($A194,MSoccer!$C:$O,E$1-2011,FALSE),0)+IFERROR(VLOOKUP($A194,MVolleyball!$C:$O,E$1-2011,FALSE),0)+IFERROR(VLOOKUP($A194,WBasketball!$C:$O,E$1-2011,FALSE),0)+IFERROR(VLOOKUP($A194,WFieldHockey!$C:$O,E$1-2011,FALSE),0)+IFERROR(VLOOKUP($A194,WIceHockey!$C:$O,E$1-2011,FALSE),0)+IFERROR(VLOOKUP($A194,WLacrosse!$C:$O,E$1-2011,FALSE),0)+IFERROR(VLOOKUP($A194,WSoccer!$C:$O,E$1-2011,FALSE),0)+IFERROR(VLOOKUP($A194,WSoftball!$C:$O,E$1-2011,FALSE),0)+IFERROR(VLOOKUP($A194,WVolleyball!$C:$O,E$1-2011,FALSE),0)</f>
        <v>98510</v>
      </c>
      <c r="F194">
        <f>IFERROR(VLOOKUP($A194,MBaseball!$C:$N,F$1-2010,FALSE),0)+IFERROR(VLOOKUP($A194,MBasketball!$C:$J,F$1-2006,FALSE),0)+IFERROR(VLOOKUP($A194,MFootball!$C:$O,F$1-2011,FALSE),0)+IFERROR(VLOOKUP($A194,MIceHockey!$C:$P,F$1-2011,FALSE),0)+IFERROR(VLOOKUP($A194,MLacrosse!$C:$O,F$1-2011,FALSE),0)+IFERROR(VLOOKUP($A194,MSoccer!$C:$O,F$1-2011,FALSE),0)+IFERROR(VLOOKUP($A194,MVolleyball!$C:$O,F$1-2011,FALSE),0)+IFERROR(VLOOKUP($A194,WBasketball!$C:$O,F$1-2011,FALSE),0)+IFERROR(VLOOKUP($A194,WFieldHockey!$C:$O,F$1-2011,FALSE),0)+IFERROR(VLOOKUP($A194,WIceHockey!$C:$O,F$1-2011,FALSE),0)+IFERROR(VLOOKUP($A194,WLacrosse!$C:$O,F$1-2011,FALSE),0)+IFERROR(VLOOKUP($A194,WSoccer!$C:$O,F$1-2011,FALSE),0)+IFERROR(VLOOKUP($A194,WSoftball!$C:$O,F$1-2011,FALSE),0)+IFERROR(VLOOKUP($A194,WVolleyball!$C:$O,F$1-2011,FALSE),0)</f>
        <v>48683</v>
      </c>
      <c r="G194">
        <f>IFERROR(VLOOKUP($A194,MBaseball!$C:$N,G$1-2010,FALSE),0)+IFERROR(VLOOKUP($A194,MBasketball!$C:$J,G$1-2006,FALSE),0)+IFERROR(VLOOKUP($A194,MFootball!$C:$O,G$1-2011,FALSE),0)+IFERROR(VLOOKUP($A194,MIceHockey!$C:$P,G$1-2011,FALSE),0)+IFERROR(VLOOKUP($A194,MLacrosse!$C:$O,G$1-2011,FALSE),0)+IFERROR(VLOOKUP($A194,MSoccer!$C:$O,G$1-2011,FALSE),0)+IFERROR(VLOOKUP($A194,MVolleyball!$C:$O,G$1-2011,FALSE),0)+IFERROR(VLOOKUP($A194,WBasketball!$C:$O,G$1-2011,FALSE),0)+IFERROR(VLOOKUP($A194,WFieldHockey!$C:$O,G$1-2011,FALSE),0)+IFERROR(VLOOKUP($A194,WIceHockey!$C:$O,G$1-2011,FALSE),0)+IFERROR(VLOOKUP($A194,WLacrosse!$C:$O,G$1-2011,FALSE),0)+IFERROR(VLOOKUP($A194,WSoccer!$C:$O,G$1-2011,FALSE),0)+IFERROR(VLOOKUP($A194,WSoftball!$C:$O,G$1-2011,FALSE),0)+IFERROR(VLOOKUP($A194,WVolleyball!$C:$O,G$1-2011,FALSE),0)</f>
        <v>50428</v>
      </c>
      <c r="H194">
        <f>IFERROR(VLOOKUP($A194,MBaseball!$C:$N,H$1-2010,FALSE),0)+IFERROR(VLOOKUP($A194,MBasketball!$C:$J,H$1-2006,FALSE),0)+IFERROR(VLOOKUP($A194,MFootball!$C:$O,H$1-2011,FALSE),0)+IFERROR(VLOOKUP($A194,MIceHockey!$C:$P,H$1-2011,FALSE),0)+IFERROR(VLOOKUP($A194,MLacrosse!$C:$O,H$1-2011,FALSE),0)+IFERROR(VLOOKUP($A194,MSoccer!$C:$O,H$1-2011,FALSE),0)+IFERROR(VLOOKUP($A194,MVolleyball!$C:$O,H$1-2011,FALSE),0)+IFERROR(VLOOKUP($A194,WBasketball!$C:$O,H$1-2011,FALSE),0)+IFERROR(VLOOKUP($A194,WFieldHockey!$C:$O,H$1-2011,FALSE),0)+IFERROR(VLOOKUP($A194,WIceHockey!$C:$O,H$1-2011,FALSE),0)+IFERROR(VLOOKUP($A194,WLacrosse!$C:$O,H$1-2011,FALSE),0)+IFERROR(VLOOKUP($A194,WSoccer!$C:$O,H$1-2011,FALSE),0)+IFERROR(VLOOKUP($A194,WSoftball!$C:$O,H$1-2011,FALSE),0)+IFERROR(VLOOKUP($A194,WVolleyball!$C:$O,H$1-2011,FALSE),0)</f>
        <v>48732</v>
      </c>
      <c r="I194">
        <f>IFERROR(VLOOKUP($A194,MBaseball!$C:$N,I$1-2010,FALSE),0)+IFERROR(VLOOKUP($A194,MBasketball!$C:$J,I$1-2006,FALSE),0)+IFERROR(VLOOKUP($A194,MFootball!$C:$O,I$1-2011,FALSE),0)+IFERROR(VLOOKUP($A194,MIceHockey!$C:$P,I$1-2011,FALSE),0)+IFERROR(VLOOKUP($A194,MLacrosse!$C:$O,I$1-2011,FALSE),0)+IFERROR(VLOOKUP($A194,MSoccer!$C:$O,I$1-2011,FALSE),0)+IFERROR(VLOOKUP($A194,MVolleyball!$C:$O,I$1-2011,FALSE),0)+IFERROR(VLOOKUP($A194,WBasketball!$C:$O,I$1-2011,FALSE),0)+IFERROR(VLOOKUP($A194,WFieldHockey!$C:$O,I$1-2011,FALSE),0)+IFERROR(VLOOKUP($A194,WIceHockey!$C:$O,I$1-2011,FALSE),0)+IFERROR(VLOOKUP($A194,WLacrosse!$C:$O,I$1-2011,FALSE),0)+IFERROR(VLOOKUP($A194,WSoccer!$C:$O,I$1-2011,FALSE),0)+IFERROR(VLOOKUP($A194,WSoftball!$C:$O,I$1-2011,FALSE),0)+IFERROR(VLOOKUP($A194,WVolleyball!$C:$O,I$1-2011,FALSE),0)</f>
        <v>51515</v>
      </c>
      <c r="J194">
        <f>IFERROR(VLOOKUP($A194,MBaseball!$C:$N,J$1-2010,FALSE),0)+IFERROR(VLOOKUP($A194,MBasketball!$C:$J,J$1-2006,FALSE),0)+IFERROR(VLOOKUP($A194,MFootball!$C:$O,J$1-2011,FALSE),0)+IFERROR(VLOOKUP($A194,MIceHockey!$C:$P,J$1-2011,FALSE),0)+IFERROR(VLOOKUP($A194,MLacrosse!$C:$O,J$1-2011,FALSE),0)+IFERROR(VLOOKUP($A194,MSoccer!$C:$O,J$1-2011,FALSE),0)+IFERROR(VLOOKUP($A194,MVolleyball!$C:$O,J$1-2011,FALSE),0)+IFERROR(VLOOKUP($A194,WBasketball!$C:$O,J$1-2011,FALSE),0)+IFERROR(VLOOKUP($A194,WFieldHockey!$C:$O,J$1-2011,FALSE),0)+IFERROR(VLOOKUP($A194,WIceHockey!$C:$O,J$1-2011,FALSE),0)+IFERROR(VLOOKUP($A194,WLacrosse!$C:$O,J$1-2011,FALSE),0)+IFERROR(VLOOKUP($A194,WSoccer!$C:$O,J$1-2011,FALSE),0)+IFERROR(VLOOKUP($A194,WSoftball!$C:$O,J$1-2011,FALSE),0)+IFERROR(VLOOKUP($A194,WVolleyball!$C:$O,J$1-2011,FALSE),0)</f>
        <v>61203</v>
      </c>
      <c r="K194">
        <f>IFERROR(VLOOKUP($A194,MBaseball!$C:$N,K$1-2010,FALSE),0)+IFERROR(VLOOKUP($A194,MBasketball!$C:$J,K$1-2006,FALSE),0)+IFERROR(VLOOKUP($A194,MFootball!$C:$O,K$1-2011,FALSE),0)+IFERROR(VLOOKUP($A194,MIceHockey!$C:$P,K$1-2011,FALSE),0)+IFERROR(VLOOKUP($A194,MLacrosse!$C:$O,K$1-2011,FALSE),0)+IFERROR(VLOOKUP($A194,MSoccer!$C:$O,K$1-2011,FALSE),0)+IFERROR(VLOOKUP($A194,MVolleyball!$C:$O,K$1-2011,FALSE),0)+IFERROR(VLOOKUP($A194,WBasketball!$C:$O,K$1-2011,FALSE),0)+IFERROR(VLOOKUP($A194,WFieldHockey!$C:$O,K$1-2011,FALSE),0)+IFERROR(VLOOKUP($A194,WIceHockey!$C:$O,K$1-2011,FALSE),0)+IFERROR(VLOOKUP($A194,WLacrosse!$C:$O,K$1-2011,FALSE),0)+IFERROR(VLOOKUP($A194,WSoccer!$C:$O,K$1-2011,FALSE),0)+IFERROR(VLOOKUP($A194,WSoftball!$C:$O,K$1-2011,FALSE),0)+IFERROR(VLOOKUP($A194,WVolleyball!$C:$O,K$1-2011,FALSE),0)</f>
        <v>68250</v>
      </c>
      <c r="L194">
        <f>IFERROR(VLOOKUP($A194,MBaseball!$C:$N,L$1-2010,FALSE),0)+IFERROR(VLOOKUP($A194,MBasketball!$C:$J,L$1-2006,FALSE),0)+IFERROR(VLOOKUP($A194,MFootball!$C:$O,L$1-2011,FALSE),0)+IFERROR(VLOOKUP($A194,MIceHockey!$C:$P,L$1-2011,FALSE),0)+IFERROR(VLOOKUP($A194,MLacrosse!$C:$O,L$1-2011,FALSE),0)+IFERROR(VLOOKUP($A194,MSoccer!$C:$O,L$1-2011,FALSE),0)+IFERROR(VLOOKUP($A194,MVolleyball!$C:$O,L$1-2011,FALSE),0)+IFERROR(VLOOKUP($A194,WBasketball!$C:$O,L$1-2011,FALSE),0)+IFERROR(VLOOKUP($A194,WFieldHockey!$C:$O,L$1-2011,FALSE),0)+IFERROR(VLOOKUP($A194,WIceHockey!$C:$O,L$1-2011,FALSE),0)+IFERROR(VLOOKUP($A194,WLacrosse!$C:$O,L$1-2011,FALSE),0)+IFERROR(VLOOKUP($A194,WSoccer!$C:$O,L$1-2011,FALSE),0)+IFERROR(VLOOKUP($A194,WSoftball!$C:$O,L$1-2011,FALSE),0)+IFERROR(VLOOKUP($A194,WVolleyball!$C:$O,L$1-2011,FALSE),0)</f>
        <v>21142</v>
      </c>
      <c r="M194">
        <f>IFERROR(VLOOKUP($A194,MBaseball!$C:$N,M$1-2010,FALSE),0)+IFERROR(VLOOKUP($A194,MBasketball!$C:$J,M$1-2006,FALSE),0)+IFERROR(VLOOKUP($A194,MFootball!$C:$O,M$1-2011,FALSE),0)+IFERROR(VLOOKUP($A194,MIceHockey!$C:$P,M$1-2011,FALSE),0)+IFERROR(VLOOKUP($A194,MLacrosse!$C:$O,M$1-2011,FALSE),0)+IFERROR(VLOOKUP($A194,MSoccer!$C:$O,M$1-2011,FALSE),0)+IFERROR(VLOOKUP($A194,MVolleyball!$C:$O,M$1-2011,FALSE),0)+IFERROR(VLOOKUP($A194,WBasketball!$C:$O,M$1-2011,FALSE),0)+IFERROR(VLOOKUP($A194,WFieldHockey!$C:$O,M$1-2011,FALSE),0)+IFERROR(VLOOKUP($A194,WIceHockey!$C:$O,M$1-2011,FALSE),0)+IFERROR(VLOOKUP($A194,WLacrosse!$C:$O,M$1-2011,FALSE),0)+IFERROR(VLOOKUP($A194,WSoccer!$C:$O,M$1-2011,FALSE),0)+IFERROR(VLOOKUP($A194,WSoftball!$C:$O,M$1-2011,FALSE),0)+IFERROR(VLOOKUP($A194,WVolleyball!$C:$O,M$1-2011,FALSE),0)</f>
        <v>61988</v>
      </c>
      <c r="N194">
        <f>IFERROR(VLOOKUP($A194,MBaseball!$C:$N,N$1-2010,FALSE),0)+IFERROR(VLOOKUP($A194,MBasketball!$C:$J,N$1-2006,FALSE),0)+IFERROR(VLOOKUP($A194,MFootball!$C:$O,N$1-2011,FALSE),0)+IFERROR(VLOOKUP($A194,MIceHockey!$C:$P,N$1-2011,FALSE),0)+IFERROR(VLOOKUP($A194,MLacrosse!$C:$O,N$1-2011,FALSE),0)+IFERROR(VLOOKUP($A194,MSoccer!$C:$O,N$1-2011,FALSE),0)+IFERROR(VLOOKUP($A194,MVolleyball!$C:$O,N$1-2011,FALSE),0)+IFERROR(VLOOKUP($A194,WBasketball!$C:$O,N$1-2011,FALSE),0)+IFERROR(VLOOKUP($A194,WFieldHockey!$C:$O,N$1-2011,FALSE),0)+IFERROR(VLOOKUP($A194,WIceHockey!$C:$O,N$1-2011,FALSE),0)+IFERROR(VLOOKUP($A194,WLacrosse!$C:$O,N$1-2011,FALSE),0)+IFERROR(VLOOKUP($A194,WSoccer!$C:$O,N$1-2011,FALSE),0)+IFERROR(VLOOKUP($A194,WSoftball!$C:$O,N$1-2011,FALSE),0)+IFERROR(VLOOKUP($A194,WVolleyball!$C:$O,N$1-2011,FALSE),0)</f>
        <v>68047</v>
      </c>
    </row>
    <row r="195" spans="1:14" x14ac:dyDescent="0.2">
      <c r="A195">
        <v>218742</v>
      </c>
      <c r="B195">
        <v>43900</v>
      </c>
      <c r="C195" t="s">
        <v>199</v>
      </c>
      <c r="D195">
        <v>194</v>
      </c>
      <c r="E195">
        <f>IFERROR(VLOOKUP($A195,MBaseball!$C:$N,E$1-2010,FALSE),0)+IFERROR(VLOOKUP($A195,MBasketball!$C:$J,E$1-2006,FALSE),0)+IFERROR(VLOOKUP($A195,MFootball!$C:$O,E$1-2011,FALSE),0)+IFERROR(VLOOKUP($A195,MIceHockey!$C:$P,E$1-2011,FALSE),0)+IFERROR(VLOOKUP($A195,MLacrosse!$C:$O,E$1-2011,FALSE),0)+IFERROR(VLOOKUP($A195,MSoccer!$C:$O,E$1-2011,FALSE),0)+IFERROR(VLOOKUP($A195,MVolleyball!$C:$O,E$1-2011,FALSE),0)+IFERROR(VLOOKUP($A195,WBasketball!$C:$O,E$1-2011,FALSE),0)+IFERROR(VLOOKUP($A195,WFieldHockey!$C:$O,E$1-2011,FALSE),0)+IFERROR(VLOOKUP($A195,WIceHockey!$C:$O,E$1-2011,FALSE),0)+IFERROR(VLOOKUP($A195,WLacrosse!$C:$O,E$1-2011,FALSE),0)+IFERROR(VLOOKUP($A195,WSoccer!$C:$O,E$1-2011,FALSE),0)+IFERROR(VLOOKUP($A195,WSoftball!$C:$O,E$1-2011,FALSE),0)+IFERROR(VLOOKUP($A195,WVolleyball!$C:$O,E$1-2011,FALSE),0)</f>
        <v>22674</v>
      </c>
      <c r="F195">
        <f>IFERROR(VLOOKUP($A195,MBaseball!$C:$N,F$1-2010,FALSE),0)+IFERROR(VLOOKUP($A195,MBasketball!$C:$J,F$1-2006,FALSE),0)+IFERROR(VLOOKUP($A195,MFootball!$C:$O,F$1-2011,FALSE),0)+IFERROR(VLOOKUP($A195,MIceHockey!$C:$P,F$1-2011,FALSE),0)+IFERROR(VLOOKUP($A195,MLacrosse!$C:$O,F$1-2011,FALSE),0)+IFERROR(VLOOKUP($A195,MSoccer!$C:$O,F$1-2011,FALSE),0)+IFERROR(VLOOKUP($A195,MVolleyball!$C:$O,F$1-2011,FALSE),0)+IFERROR(VLOOKUP($A195,WBasketball!$C:$O,F$1-2011,FALSE),0)+IFERROR(VLOOKUP($A195,WFieldHockey!$C:$O,F$1-2011,FALSE),0)+IFERROR(VLOOKUP($A195,WIceHockey!$C:$O,F$1-2011,FALSE),0)+IFERROR(VLOOKUP($A195,WLacrosse!$C:$O,F$1-2011,FALSE),0)+IFERROR(VLOOKUP($A195,WSoccer!$C:$O,F$1-2011,FALSE),0)+IFERROR(VLOOKUP($A195,WSoftball!$C:$O,F$1-2011,FALSE),0)+IFERROR(VLOOKUP($A195,WVolleyball!$C:$O,F$1-2011,FALSE),0)</f>
        <v>12083</v>
      </c>
      <c r="G195">
        <f>IFERROR(VLOOKUP($A195,MBaseball!$C:$N,G$1-2010,FALSE),0)+IFERROR(VLOOKUP($A195,MBasketball!$C:$J,G$1-2006,FALSE),0)+IFERROR(VLOOKUP($A195,MFootball!$C:$O,G$1-2011,FALSE),0)+IFERROR(VLOOKUP($A195,MIceHockey!$C:$P,G$1-2011,FALSE),0)+IFERROR(VLOOKUP($A195,MLacrosse!$C:$O,G$1-2011,FALSE),0)+IFERROR(VLOOKUP($A195,MSoccer!$C:$O,G$1-2011,FALSE),0)+IFERROR(VLOOKUP($A195,MVolleyball!$C:$O,G$1-2011,FALSE),0)+IFERROR(VLOOKUP($A195,WBasketball!$C:$O,G$1-2011,FALSE),0)+IFERROR(VLOOKUP($A195,WFieldHockey!$C:$O,G$1-2011,FALSE),0)+IFERROR(VLOOKUP($A195,WIceHockey!$C:$O,G$1-2011,FALSE),0)+IFERROR(VLOOKUP($A195,WLacrosse!$C:$O,G$1-2011,FALSE),0)+IFERROR(VLOOKUP($A195,WSoccer!$C:$O,G$1-2011,FALSE),0)+IFERROR(VLOOKUP($A195,WSoftball!$C:$O,G$1-2011,FALSE),0)+IFERROR(VLOOKUP($A195,WVolleyball!$C:$O,G$1-2011,FALSE),0)</f>
        <v>14822</v>
      </c>
      <c r="H195">
        <f>IFERROR(VLOOKUP($A195,MBaseball!$C:$N,H$1-2010,FALSE),0)+IFERROR(VLOOKUP($A195,MBasketball!$C:$J,H$1-2006,FALSE),0)+IFERROR(VLOOKUP($A195,MFootball!$C:$O,H$1-2011,FALSE),0)+IFERROR(VLOOKUP($A195,MIceHockey!$C:$P,H$1-2011,FALSE),0)+IFERROR(VLOOKUP($A195,MLacrosse!$C:$O,H$1-2011,FALSE),0)+IFERROR(VLOOKUP($A195,MSoccer!$C:$O,H$1-2011,FALSE),0)+IFERROR(VLOOKUP($A195,MVolleyball!$C:$O,H$1-2011,FALSE),0)+IFERROR(VLOOKUP($A195,WBasketball!$C:$O,H$1-2011,FALSE),0)+IFERROR(VLOOKUP($A195,WFieldHockey!$C:$O,H$1-2011,FALSE),0)+IFERROR(VLOOKUP($A195,WIceHockey!$C:$O,H$1-2011,FALSE),0)+IFERROR(VLOOKUP($A195,WLacrosse!$C:$O,H$1-2011,FALSE),0)+IFERROR(VLOOKUP($A195,WSoccer!$C:$O,H$1-2011,FALSE),0)+IFERROR(VLOOKUP($A195,WSoftball!$C:$O,H$1-2011,FALSE),0)+IFERROR(VLOOKUP($A195,WVolleyball!$C:$O,H$1-2011,FALSE),0)</f>
        <v>14832</v>
      </c>
      <c r="I195">
        <f>IFERROR(VLOOKUP($A195,MBaseball!$C:$N,I$1-2010,FALSE),0)+IFERROR(VLOOKUP($A195,MBasketball!$C:$J,I$1-2006,FALSE),0)+IFERROR(VLOOKUP($A195,MFootball!$C:$O,I$1-2011,FALSE),0)+IFERROR(VLOOKUP($A195,MIceHockey!$C:$P,I$1-2011,FALSE),0)+IFERROR(VLOOKUP($A195,MLacrosse!$C:$O,I$1-2011,FALSE),0)+IFERROR(VLOOKUP($A195,MSoccer!$C:$O,I$1-2011,FALSE),0)+IFERROR(VLOOKUP($A195,MVolleyball!$C:$O,I$1-2011,FALSE),0)+IFERROR(VLOOKUP($A195,WBasketball!$C:$O,I$1-2011,FALSE),0)+IFERROR(VLOOKUP($A195,WFieldHockey!$C:$O,I$1-2011,FALSE),0)+IFERROR(VLOOKUP($A195,WIceHockey!$C:$O,I$1-2011,FALSE),0)+IFERROR(VLOOKUP($A195,WLacrosse!$C:$O,I$1-2011,FALSE),0)+IFERROR(VLOOKUP($A195,WSoccer!$C:$O,I$1-2011,FALSE),0)+IFERROR(VLOOKUP($A195,WSoftball!$C:$O,I$1-2011,FALSE),0)+IFERROR(VLOOKUP($A195,WVolleyball!$C:$O,I$1-2011,FALSE),0)</f>
        <v>20194</v>
      </c>
      <c r="J195">
        <f>IFERROR(VLOOKUP($A195,MBaseball!$C:$N,J$1-2010,FALSE),0)+IFERROR(VLOOKUP($A195,MBasketball!$C:$J,J$1-2006,FALSE),0)+IFERROR(VLOOKUP($A195,MFootball!$C:$O,J$1-2011,FALSE),0)+IFERROR(VLOOKUP($A195,MIceHockey!$C:$P,J$1-2011,FALSE),0)+IFERROR(VLOOKUP($A195,MLacrosse!$C:$O,J$1-2011,FALSE),0)+IFERROR(VLOOKUP($A195,MSoccer!$C:$O,J$1-2011,FALSE),0)+IFERROR(VLOOKUP($A195,MVolleyball!$C:$O,J$1-2011,FALSE),0)+IFERROR(VLOOKUP($A195,WBasketball!$C:$O,J$1-2011,FALSE),0)+IFERROR(VLOOKUP($A195,WFieldHockey!$C:$O,J$1-2011,FALSE),0)+IFERROR(VLOOKUP($A195,WIceHockey!$C:$O,J$1-2011,FALSE),0)+IFERROR(VLOOKUP($A195,WLacrosse!$C:$O,J$1-2011,FALSE),0)+IFERROR(VLOOKUP($A195,WSoccer!$C:$O,J$1-2011,FALSE),0)+IFERROR(VLOOKUP($A195,WSoftball!$C:$O,J$1-2011,FALSE),0)+IFERROR(VLOOKUP($A195,WVolleyball!$C:$O,J$1-2011,FALSE),0)</f>
        <v>16267</v>
      </c>
      <c r="K195">
        <f>IFERROR(VLOOKUP($A195,MBaseball!$C:$N,K$1-2010,FALSE),0)+IFERROR(VLOOKUP($A195,MBasketball!$C:$J,K$1-2006,FALSE),0)+IFERROR(VLOOKUP($A195,MFootball!$C:$O,K$1-2011,FALSE),0)+IFERROR(VLOOKUP($A195,MIceHockey!$C:$P,K$1-2011,FALSE),0)+IFERROR(VLOOKUP($A195,MLacrosse!$C:$O,K$1-2011,FALSE),0)+IFERROR(VLOOKUP($A195,MSoccer!$C:$O,K$1-2011,FALSE),0)+IFERROR(VLOOKUP($A195,MVolleyball!$C:$O,K$1-2011,FALSE),0)+IFERROR(VLOOKUP($A195,WBasketball!$C:$O,K$1-2011,FALSE),0)+IFERROR(VLOOKUP($A195,WFieldHockey!$C:$O,K$1-2011,FALSE),0)+IFERROR(VLOOKUP($A195,WIceHockey!$C:$O,K$1-2011,FALSE),0)+IFERROR(VLOOKUP($A195,WLacrosse!$C:$O,K$1-2011,FALSE),0)+IFERROR(VLOOKUP($A195,WSoccer!$C:$O,K$1-2011,FALSE),0)+IFERROR(VLOOKUP($A195,WSoftball!$C:$O,K$1-2011,FALSE),0)+IFERROR(VLOOKUP($A195,WVolleyball!$C:$O,K$1-2011,FALSE),0)</f>
        <v>16484</v>
      </c>
      <c r="L195">
        <f>IFERROR(VLOOKUP($A195,MBaseball!$C:$N,L$1-2010,FALSE),0)+IFERROR(VLOOKUP($A195,MBasketball!$C:$J,L$1-2006,FALSE),0)+IFERROR(VLOOKUP($A195,MFootball!$C:$O,L$1-2011,FALSE),0)+IFERROR(VLOOKUP($A195,MIceHockey!$C:$P,L$1-2011,FALSE),0)+IFERROR(VLOOKUP($A195,MLacrosse!$C:$O,L$1-2011,FALSE),0)+IFERROR(VLOOKUP($A195,MSoccer!$C:$O,L$1-2011,FALSE),0)+IFERROR(VLOOKUP($A195,MVolleyball!$C:$O,L$1-2011,FALSE),0)+IFERROR(VLOOKUP($A195,WBasketball!$C:$O,L$1-2011,FALSE),0)+IFERROR(VLOOKUP($A195,WFieldHockey!$C:$O,L$1-2011,FALSE),0)+IFERROR(VLOOKUP($A195,WIceHockey!$C:$O,L$1-2011,FALSE),0)+IFERROR(VLOOKUP($A195,WLacrosse!$C:$O,L$1-2011,FALSE),0)+IFERROR(VLOOKUP($A195,WSoccer!$C:$O,L$1-2011,FALSE),0)+IFERROR(VLOOKUP($A195,WSoftball!$C:$O,L$1-2011,FALSE),0)+IFERROR(VLOOKUP($A195,WVolleyball!$C:$O,L$1-2011,FALSE),0)</f>
        <v>12770</v>
      </c>
      <c r="M195">
        <f>IFERROR(VLOOKUP($A195,MBaseball!$C:$N,M$1-2010,FALSE),0)+IFERROR(VLOOKUP($A195,MBasketball!$C:$J,M$1-2006,FALSE),0)+IFERROR(VLOOKUP($A195,MFootball!$C:$O,M$1-2011,FALSE),0)+IFERROR(VLOOKUP($A195,MIceHockey!$C:$P,M$1-2011,FALSE),0)+IFERROR(VLOOKUP($A195,MLacrosse!$C:$O,M$1-2011,FALSE),0)+IFERROR(VLOOKUP($A195,MSoccer!$C:$O,M$1-2011,FALSE),0)+IFERROR(VLOOKUP($A195,MVolleyball!$C:$O,M$1-2011,FALSE),0)+IFERROR(VLOOKUP($A195,WBasketball!$C:$O,M$1-2011,FALSE),0)+IFERROR(VLOOKUP($A195,WFieldHockey!$C:$O,M$1-2011,FALSE),0)+IFERROR(VLOOKUP($A195,WIceHockey!$C:$O,M$1-2011,FALSE),0)+IFERROR(VLOOKUP($A195,WLacrosse!$C:$O,M$1-2011,FALSE),0)+IFERROR(VLOOKUP($A195,WSoccer!$C:$O,M$1-2011,FALSE),0)+IFERROR(VLOOKUP($A195,WSoftball!$C:$O,M$1-2011,FALSE),0)+IFERROR(VLOOKUP($A195,WVolleyball!$C:$O,M$1-2011,FALSE),0)</f>
        <v>21591</v>
      </c>
      <c r="N195">
        <f>IFERROR(VLOOKUP($A195,MBaseball!$C:$N,N$1-2010,FALSE),0)+IFERROR(VLOOKUP($A195,MBasketball!$C:$J,N$1-2006,FALSE),0)+IFERROR(VLOOKUP($A195,MFootball!$C:$O,N$1-2011,FALSE),0)+IFERROR(VLOOKUP($A195,MIceHockey!$C:$P,N$1-2011,FALSE),0)+IFERROR(VLOOKUP($A195,MLacrosse!$C:$O,N$1-2011,FALSE),0)+IFERROR(VLOOKUP($A195,MSoccer!$C:$O,N$1-2011,FALSE),0)+IFERROR(VLOOKUP($A195,MVolleyball!$C:$O,N$1-2011,FALSE),0)+IFERROR(VLOOKUP($A195,WBasketball!$C:$O,N$1-2011,FALSE),0)+IFERROR(VLOOKUP($A195,WFieldHockey!$C:$O,N$1-2011,FALSE),0)+IFERROR(VLOOKUP($A195,WIceHockey!$C:$O,N$1-2011,FALSE),0)+IFERROR(VLOOKUP($A195,WLacrosse!$C:$O,N$1-2011,FALSE),0)+IFERROR(VLOOKUP($A195,WSoccer!$C:$O,N$1-2011,FALSE),0)+IFERROR(VLOOKUP($A195,WSoftball!$C:$O,N$1-2011,FALSE),0)+IFERROR(VLOOKUP($A195,WVolleyball!$C:$O,N$1-2011,FALSE),0)</f>
        <v>13088</v>
      </c>
    </row>
    <row r="196" spans="1:14" x14ac:dyDescent="0.2">
      <c r="A196">
        <v>106704</v>
      </c>
      <c r="B196">
        <v>30780</v>
      </c>
      <c r="C196" t="s">
        <v>64</v>
      </c>
      <c r="D196">
        <v>195</v>
      </c>
      <c r="E196">
        <f>IFERROR(VLOOKUP($A196,MBaseball!$C:$N,E$1-2010,FALSE),0)+IFERROR(VLOOKUP($A196,MBasketball!$C:$J,E$1-2006,FALSE),0)+IFERROR(VLOOKUP($A196,MFootball!$C:$O,E$1-2011,FALSE),0)+IFERROR(VLOOKUP($A196,MIceHockey!$C:$P,E$1-2011,FALSE),0)+IFERROR(VLOOKUP($A196,MLacrosse!$C:$O,E$1-2011,FALSE),0)+IFERROR(VLOOKUP($A196,MSoccer!$C:$O,E$1-2011,FALSE),0)+IFERROR(VLOOKUP($A196,MVolleyball!$C:$O,E$1-2011,FALSE),0)+IFERROR(VLOOKUP($A196,WBasketball!$C:$O,E$1-2011,FALSE),0)+IFERROR(VLOOKUP($A196,WFieldHockey!$C:$O,E$1-2011,FALSE),0)+IFERROR(VLOOKUP($A196,WIceHockey!$C:$O,E$1-2011,FALSE),0)+IFERROR(VLOOKUP($A196,WLacrosse!$C:$O,E$1-2011,FALSE),0)+IFERROR(VLOOKUP($A196,WSoccer!$C:$O,E$1-2011,FALSE),0)+IFERROR(VLOOKUP($A196,WSoftball!$C:$O,E$1-2011,FALSE),0)+IFERROR(VLOOKUP($A196,WVolleyball!$C:$O,E$1-2011,FALSE),0)</f>
        <v>41427</v>
      </c>
      <c r="F196">
        <f>IFERROR(VLOOKUP($A196,MBaseball!$C:$N,F$1-2010,FALSE),0)+IFERROR(VLOOKUP($A196,MBasketball!$C:$J,F$1-2006,FALSE),0)+IFERROR(VLOOKUP($A196,MFootball!$C:$O,F$1-2011,FALSE),0)+IFERROR(VLOOKUP($A196,MIceHockey!$C:$P,F$1-2011,FALSE),0)+IFERROR(VLOOKUP($A196,MLacrosse!$C:$O,F$1-2011,FALSE),0)+IFERROR(VLOOKUP($A196,MSoccer!$C:$O,F$1-2011,FALSE),0)+IFERROR(VLOOKUP($A196,MVolleyball!$C:$O,F$1-2011,FALSE),0)+IFERROR(VLOOKUP($A196,WBasketball!$C:$O,F$1-2011,FALSE),0)+IFERROR(VLOOKUP($A196,WFieldHockey!$C:$O,F$1-2011,FALSE),0)+IFERROR(VLOOKUP($A196,WIceHockey!$C:$O,F$1-2011,FALSE),0)+IFERROR(VLOOKUP($A196,WLacrosse!$C:$O,F$1-2011,FALSE),0)+IFERROR(VLOOKUP($A196,WSoccer!$C:$O,F$1-2011,FALSE),0)+IFERROR(VLOOKUP($A196,WSoftball!$C:$O,F$1-2011,FALSE),0)+IFERROR(VLOOKUP($A196,WVolleyball!$C:$O,F$1-2011,FALSE),0)</f>
        <v>80971</v>
      </c>
      <c r="G196">
        <f>IFERROR(VLOOKUP($A196,MBaseball!$C:$N,G$1-2010,FALSE),0)+IFERROR(VLOOKUP($A196,MBasketball!$C:$J,G$1-2006,FALSE),0)+IFERROR(VLOOKUP($A196,MFootball!$C:$O,G$1-2011,FALSE),0)+IFERROR(VLOOKUP($A196,MIceHockey!$C:$P,G$1-2011,FALSE),0)+IFERROR(VLOOKUP($A196,MLacrosse!$C:$O,G$1-2011,FALSE),0)+IFERROR(VLOOKUP($A196,MSoccer!$C:$O,G$1-2011,FALSE),0)+IFERROR(VLOOKUP($A196,MVolleyball!$C:$O,G$1-2011,FALSE),0)+IFERROR(VLOOKUP($A196,WBasketball!$C:$O,G$1-2011,FALSE),0)+IFERROR(VLOOKUP($A196,WFieldHockey!$C:$O,G$1-2011,FALSE),0)+IFERROR(VLOOKUP($A196,WIceHockey!$C:$O,G$1-2011,FALSE),0)+IFERROR(VLOOKUP($A196,WLacrosse!$C:$O,G$1-2011,FALSE),0)+IFERROR(VLOOKUP($A196,WSoccer!$C:$O,G$1-2011,FALSE),0)+IFERROR(VLOOKUP($A196,WSoftball!$C:$O,G$1-2011,FALSE),0)+IFERROR(VLOOKUP($A196,WVolleyball!$C:$O,G$1-2011,FALSE),0)</f>
        <v>71920</v>
      </c>
      <c r="H196">
        <f>IFERROR(VLOOKUP($A196,MBaseball!$C:$N,H$1-2010,FALSE),0)+IFERROR(VLOOKUP($A196,MBasketball!$C:$J,H$1-2006,FALSE),0)+IFERROR(VLOOKUP($A196,MFootball!$C:$O,H$1-2011,FALSE),0)+IFERROR(VLOOKUP($A196,MIceHockey!$C:$P,H$1-2011,FALSE),0)+IFERROR(VLOOKUP($A196,MLacrosse!$C:$O,H$1-2011,FALSE),0)+IFERROR(VLOOKUP($A196,MSoccer!$C:$O,H$1-2011,FALSE),0)+IFERROR(VLOOKUP($A196,MVolleyball!$C:$O,H$1-2011,FALSE),0)+IFERROR(VLOOKUP($A196,WBasketball!$C:$O,H$1-2011,FALSE),0)+IFERROR(VLOOKUP($A196,WFieldHockey!$C:$O,H$1-2011,FALSE),0)+IFERROR(VLOOKUP($A196,WIceHockey!$C:$O,H$1-2011,FALSE),0)+IFERROR(VLOOKUP($A196,WLacrosse!$C:$O,H$1-2011,FALSE),0)+IFERROR(VLOOKUP($A196,WSoccer!$C:$O,H$1-2011,FALSE),0)+IFERROR(VLOOKUP($A196,WSoftball!$C:$O,H$1-2011,FALSE),0)+IFERROR(VLOOKUP($A196,WVolleyball!$C:$O,H$1-2011,FALSE),0)</f>
        <v>80039</v>
      </c>
      <c r="I196">
        <f>IFERROR(VLOOKUP($A196,MBaseball!$C:$N,I$1-2010,FALSE),0)+IFERROR(VLOOKUP($A196,MBasketball!$C:$J,I$1-2006,FALSE),0)+IFERROR(VLOOKUP($A196,MFootball!$C:$O,I$1-2011,FALSE),0)+IFERROR(VLOOKUP($A196,MIceHockey!$C:$P,I$1-2011,FALSE),0)+IFERROR(VLOOKUP($A196,MLacrosse!$C:$O,I$1-2011,FALSE),0)+IFERROR(VLOOKUP($A196,MSoccer!$C:$O,I$1-2011,FALSE),0)+IFERROR(VLOOKUP($A196,MVolleyball!$C:$O,I$1-2011,FALSE),0)+IFERROR(VLOOKUP($A196,WBasketball!$C:$O,I$1-2011,FALSE),0)+IFERROR(VLOOKUP($A196,WFieldHockey!$C:$O,I$1-2011,FALSE),0)+IFERROR(VLOOKUP($A196,WIceHockey!$C:$O,I$1-2011,FALSE),0)+IFERROR(VLOOKUP($A196,WLacrosse!$C:$O,I$1-2011,FALSE),0)+IFERROR(VLOOKUP($A196,WSoccer!$C:$O,I$1-2011,FALSE),0)+IFERROR(VLOOKUP($A196,WSoftball!$C:$O,I$1-2011,FALSE),0)+IFERROR(VLOOKUP($A196,WVolleyball!$C:$O,I$1-2011,FALSE),0)</f>
        <v>93483</v>
      </c>
      <c r="J196">
        <f>IFERROR(VLOOKUP($A196,MBaseball!$C:$N,J$1-2010,FALSE),0)+IFERROR(VLOOKUP($A196,MBasketball!$C:$J,J$1-2006,FALSE),0)+IFERROR(VLOOKUP($A196,MFootball!$C:$O,J$1-2011,FALSE),0)+IFERROR(VLOOKUP($A196,MIceHockey!$C:$P,J$1-2011,FALSE),0)+IFERROR(VLOOKUP($A196,MLacrosse!$C:$O,J$1-2011,FALSE),0)+IFERROR(VLOOKUP($A196,MSoccer!$C:$O,J$1-2011,FALSE),0)+IFERROR(VLOOKUP($A196,MVolleyball!$C:$O,J$1-2011,FALSE),0)+IFERROR(VLOOKUP($A196,WBasketball!$C:$O,J$1-2011,FALSE),0)+IFERROR(VLOOKUP($A196,WFieldHockey!$C:$O,J$1-2011,FALSE),0)+IFERROR(VLOOKUP($A196,WIceHockey!$C:$O,J$1-2011,FALSE),0)+IFERROR(VLOOKUP($A196,WLacrosse!$C:$O,J$1-2011,FALSE),0)+IFERROR(VLOOKUP($A196,WSoccer!$C:$O,J$1-2011,FALSE),0)+IFERROR(VLOOKUP($A196,WSoftball!$C:$O,J$1-2011,FALSE),0)+IFERROR(VLOOKUP($A196,WVolleyball!$C:$O,J$1-2011,FALSE),0)</f>
        <v>64757</v>
      </c>
      <c r="K196">
        <f>IFERROR(VLOOKUP($A196,MBaseball!$C:$N,K$1-2010,FALSE),0)+IFERROR(VLOOKUP($A196,MBasketball!$C:$J,K$1-2006,FALSE),0)+IFERROR(VLOOKUP($A196,MFootball!$C:$O,K$1-2011,FALSE),0)+IFERROR(VLOOKUP($A196,MIceHockey!$C:$P,K$1-2011,FALSE),0)+IFERROR(VLOOKUP($A196,MLacrosse!$C:$O,K$1-2011,FALSE),0)+IFERROR(VLOOKUP($A196,MSoccer!$C:$O,K$1-2011,FALSE),0)+IFERROR(VLOOKUP($A196,MVolleyball!$C:$O,K$1-2011,FALSE),0)+IFERROR(VLOOKUP($A196,WBasketball!$C:$O,K$1-2011,FALSE),0)+IFERROR(VLOOKUP($A196,WFieldHockey!$C:$O,K$1-2011,FALSE),0)+IFERROR(VLOOKUP($A196,WIceHockey!$C:$O,K$1-2011,FALSE),0)+IFERROR(VLOOKUP($A196,WLacrosse!$C:$O,K$1-2011,FALSE),0)+IFERROR(VLOOKUP($A196,WSoccer!$C:$O,K$1-2011,FALSE),0)+IFERROR(VLOOKUP($A196,WSoftball!$C:$O,K$1-2011,FALSE),0)+IFERROR(VLOOKUP($A196,WVolleyball!$C:$O,K$1-2011,FALSE),0)</f>
        <v>69216</v>
      </c>
      <c r="L196">
        <f>IFERROR(VLOOKUP($A196,MBaseball!$C:$N,L$1-2010,FALSE),0)+IFERROR(VLOOKUP($A196,MBasketball!$C:$J,L$1-2006,FALSE),0)+IFERROR(VLOOKUP($A196,MFootball!$C:$O,L$1-2011,FALSE),0)+IFERROR(VLOOKUP($A196,MIceHockey!$C:$P,L$1-2011,FALSE),0)+IFERROR(VLOOKUP($A196,MLacrosse!$C:$O,L$1-2011,FALSE),0)+IFERROR(VLOOKUP($A196,MSoccer!$C:$O,L$1-2011,FALSE),0)+IFERROR(VLOOKUP($A196,MVolleyball!$C:$O,L$1-2011,FALSE),0)+IFERROR(VLOOKUP($A196,WBasketball!$C:$O,L$1-2011,FALSE),0)+IFERROR(VLOOKUP($A196,WFieldHockey!$C:$O,L$1-2011,FALSE),0)+IFERROR(VLOOKUP($A196,WIceHockey!$C:$O,L$1-2011,FALSE),0)+IFERROR(VLOOKUP($A196,WLacrosse!$C:$O,L$1-2011,FALSE),0)+IFERROR(VLOOKUP($A196,WSoccer!$C:$O,L$1-2011,FALSE),0)+IFERROR(VLOOKUP($A196,WSoftball!$C:$O,L$1-2011,FALSE),0)+IFERROR(VLOOKUP($A196,WVolleyball!$C:$O,L$1-2011,FALSE),0)</f>
        <v>25034</v>
      </c>
      <c r="M196">
        <f>IFERROR(VLOOKUP($A196,MBaseball!$C:$N,M$1-2010,FALSE),0)+IFERROR(VLOOKUP($A196,MBasketball!$C:$J,M$1-2006,FALSE),0)+IFERROR(VLOOKUP($A196,MFootball!$C:$O,M$1-2011,FALSE),0)+IFERROR(VLOOKUP($A196,MIceHockey!$C:$P,M$1-2011,FALSE),0)+IFERROR(VLOOKUP($A196,MLacrosse!$C:$O,M$1-2011,FALSE),0)+IFERROR(VLOOKUP($A196,MSoccer!$C:$O,M$1-2011,FALSE),0)+IFERROR(VLOOKUP($A196,MVolleyball!$C:$O,M$1-2011,FALSE),0)+IFERROR(VLOOKUP($A196,WBasketball!$C:$O,M$1-2011,FALSE),0)+IFERROR(VLOOKUP($A196,WFieldHockey!$C:$O,M$1-2011,FALSE),0)+IFERROR(VLOOKUP($A196,WIceHockey!$C:$O,M$1-2011,FALSE),0)+IFERROR(VLOOKUP($A196,WLacrosse!$C:$O,M$1-2011,FALSE),0)+IFERROR(VLOOKUP($A196,WSoccer!$C:$O,M$1-2011,FALSE),0)+IFERROR(VLOOKUP($A196,WSoftball!$C:$O,M$1-2011,FALSE),0)+IFERROR(VLOOKUP($A196,WVolleyball!$C:$O,M$1-2011,FALSE),0)</f>
        <v>61681</v>
      </c>
      <c r="N196">
        <f>IFERROR(VLOOKUP($A196,MBaseball!$C:$N,N$1-2010,FALSE),0)+IFERROR(VLOOKUP($A196,MBasketball!$C:$J,N$1-2006,FALSE),0)+IFERROR(VLOOKUP($A196,MFootball!$C:$O,N$1-2011,FALSE),0)+IFERROR(VLOOKUP($A196,MIceHockey!$C:$P,N$1-2011,FALSE),0)+IFERROR(VLOOKUP($A196,MLacrosse!$C:$O,N$1-2011,FALSE),0)+IFERROR(VLOOKUP($A196,MSoccer!$C:$O,N$1-2011,FALSE),0)+IFERROR(VLOOKUP($A196,MVolleyball!$C:$O,N$1-2011,FALSE),0)+IFERROR(VLOOKUP($A196,WBasketball!$C:$O,N$1-2011,FALSE),0)+IFERROR(VLOOKUP($A196,WFieldHockey!$C:$O,N$1-2011,FALSE),0)+IFERROR(VLOOKUP($A196,WIceHockey!$C:$O,N$1-2011,FALSE),0)+IFERROR(VLOOKUP($A196,WLacrosse!$C:$O,N$1-2011,FALSE),0)+IFERROR(VLOOKUP($A196,WSoccer!$C:$O,N$1-2011,FALSE),0)+IFERROR(VLOOKUP($A196,WSoftball!$C:$O,N$1-2011,FALSE),0)+IFERROR(VLOOKUP($A196,WVolleyball!$C:$O,N$1-2011,FALSE),0)</f>
        <v>58336</v>
      </c>
    </row>
    <row r="197" spans="1:14" x14ac:dyDescent="0.2">
      <c r="A197">
        <v>106458</v>
      </c>
      <c r="B197">
        <v>27860</v>
      </c>
      <c r="C197" t="s">
        <v>50</v>
      </c>
      <c r="D197">
        <v>196</v>
      </c>
      <c r="E197">
        <f>IFERROR(VLOOKUP($A197,MBaseball!$C:$N,E$1-2010,FALSE),0)+IFERROR(VLOOKUP($A197,MBasketball!$C:$J,E$1-2006,FALSE),0)+IFERROR(VLOOKUP($A197,MFootball!$C:$O,E$1-2011,FALSE),0)+IFERROR(VLOOKUP($A197,MIceHockey!$C:$P,E$1-2011,FALSE),0)+IFERROR(VLOOKUP($A197,MLacrosse!$C:$O,E$1-2011,FALSE),0)+IFERROR(VLOOKUP($A197,MSoccer!$C:$O,E$1-2011,FALSE),0)+IFERROR(VLOOKUP($A197,MVolleyball!$C:$O,E$1-2011,FALSE),0)+IFERROR(VLOOKUP($A197,WBasketball!$C:$O,E$1-2011,FALSE),0)+IFERROR(VLOOKUP($A197,WFieldHockey!$C:$O,E$1-2011,FALSE),0)+IFERROR(VLOOKUP($A197,WIceHockey!$C:$O,E$1-2011,FALSE),0)+IFERROR(VLOOKUP($A197,WLacrosse!$C:$O,E$1-2011,FALSE),0)+IFERROR(VLOOKUP($A197,WSoccer!$C:$O,E$1-2011,FALSE),0)+IFERROR(VLOOKUP($A197,WSoftball!$C:$O,E$1-2011,FALSE),0)+IFERROR(VLOOKUP($A197,WVolleyball!$C:$O,E$1-2011,FALSE),0)</f>
        <v>52948</v>
      </c>
      <c r="F197">
        <f>IFERROR(VLOOKUP($A197,MBaseball!$C:$N,F$1-2010,FALSE),0)+IFERROR(VLOOKUP($A197,MBasketball!$C:$J,F$1-2006,FALSE),0)+IFERROR(VLOOKUP($A197,MFootball!$C:$O,F$1-2011,FALSE),0)+IFERROR(VLOOKUP($A197,MIceHockey!$C:$P,F$1-2011,FALSE),0)+IFERROR(VLOOKUP($A197,MLacrosse!$C:$O,F$1-2011,FALSE),0)+IFERROR(VLOOKUP($A197,MSoccer!$C:$O,F$1-2011,FALSE),0)+IFERROR(VLOOKUP($A197,MVolleyball!$C:$O,F$1-2011,FALSE),0)+IFERROR(VLOOKUP($A197,WBasketball!$C:$O,F$1-2011,FALSE),0)+IFERROR(VLOOKUP($A197,WFieldHockey!$C:$O,F$1-2011,FALSE),0)+IFERROR(VLOOKUP($A197,WIceHockey!$C:$O,F$1-2011,FALSE),0)+IFERROR(VLOOKUP($A197,WLacrosse!$C:$O,F$1-2011,FALSE),0)+IFERROR(VLOOKUP($A197,WSoccer!$C:$O,F$1-2011,FALSE),0)+IFERROR(VLOOKUP($A197,WSoftball!$C:$O,F$1-2011,FALSE),0)+IFERROR(VLOOKUP($A197,WVolleyball!$C:$O,F$1-2011,FALSE),0)</f>
        <v>187576</v>
      </c>
      <c r="G197">
        <f>IFERROR(VLOOKUP($A197,MBaseball!$C:$N,G$1-2010,FALSE),0)+IFERROR(VLOOKUP($A197,MBasketball!$C:$J,G$1-2006,FALSE),0)+IFERROR(VLOOKUP($A197,MFootball!$C:$O,G$1-2011,FALSE),0)+IFERROR(VLOOKUP($A197,MIceHockey!$C:$P,G$1-2011,FALSE),0)+IFERROR(VLOOKUP($A197,MLacrosse!$C:$O,G$1-2011,FALSE),0)+IFERROR(VLOOKUP($A197,MSoccer!$C:$O,G$1-2011,FALSE),0)+IFERROR(VLOOKUP($A197,MVolleyball!$C:$O,G$1-2011,FALSE),0)+IFERROR(VLOOKUP($A197,WBasketball!$C:$O,G$1-2011,FALSE),0)+IFERROR(VLOOKUP($A197,WFieldHockey!$C:$O,G$1-2011,FALSE),0)+IFERROR(VLOOKUP($A197,WIceHockey!$C:$O,G$1-2011,FALSE),0)+IFERROR(VLOOKUP($A197,WLacrosse!$C:$O,G$1-2011,FALSE),0)+IFERROR(VLOOKUP($A197,WSoccer!$C:$O,G$1-2011,FALSE),0)+IFERROR(VLOOKUP($A197,WSoftball!$C:$O,G$1-2011,FALSE),0)+IFERROR(VLOOKUP($A197,WVolleyball!$C:$O,G$1-2011,FALSE),0)</f>
        <v>175904</v>
      </c>
      <c r="H197">
        <f>IFERROR(VLOOKUP($A197,MBaseball!$C:$N,H$1-2010,FALSE),0)+IFERROR(VLOOKUP($A197,MBasketball!$C:$J,H$1-2006,FALSE),0)+IFERROR(VLOOKUP($A197,MFootball!$C:$O,H$1-2011,FALSE),0)+IFERROR(VLOOKUP($A197,MIceHockey!$C:$P,H$1-2011,FALSE),0)+IFERROR(VLOOKUP($A197,MLacrosse!$C:$O,H$1-2011,FALSE),0)+IFERROR(VLOOKUP($A197,MSoccer!$C:$O,H$1-2011,FALSE),0)+IFERROR(VLOOKUP($A197,MVolleyball!$C:$O,H$1-2011,FALSE),0)+IFERROR(VLOOKUP($A197,WBasketball!$C:$O,H$1-2011,FALSE),0)+IFERROR(VLOOKUP($A197,WFieldHockey!$C:$O,H$1-2011,FALSE),0)+IFERROR(VLOOKUP($A197,WIceHockey!$C:$O,H$1-2011,FALSE),0)+IFERROR(VLOOKUP($A197,WLacrosse!$C:$O,H$1-2011,FALSE),0)+IFERROR(VLOOKUP($A197,WSoccer!$C:$O,H$1-2011,FALSE),0)+IFERROR(VLOOKUP($A197,WSoftball!$C:$O,H$1-2011,FALSE),0)+IFERROR(VLOOKUP($A197,WVolleyball!$C:$O,H$1-2011,FALSE),0)</f>
        <v>168447</v>
      </c>
      <c r="I197">
        <f>IFERROR(VLOOKUP($A197,MBaseball!$C:$N,I$1-2010,FALSE),0)+IFERROR(VLOOKUP($A197,MBasketball!$C:$J,I$1-2006,FALSE),0)+IFERROR(VLOOKUP($A197,MFootball!$C:$O,I$1-2011,FALSE),0)+IFERROR(VLOOKUP($A197,MIceHockey!$C:$P,I$1-2011,FALSE),0)+IFERROR(VLOOKUP($A197,MLacrosse!$C:$O,I$1-2011,FALSE),0)+IFERROR(VLOOKUP($A197,MSoccer!$C:$O,I$1-2011,FALSE),0)+IFERROR(VLOOKUP($A197,MVolleyball!$C:$O,I$1-2011,FALSE),0)+IFERROR(VLOOKUP($A197,WBasketball!$C:$O,I$1-2011,FALSE),0)+IFERROR(VLOOKUP($A197,WFieldHockey!$C:$O,I$1-2011,FALSE),0)+IFERROR(VLOOKUP($A197,WIceHockey!$C:$O,I$1-2011,FALSE),0)+IFERROR(VLOOKUP($A197,WLacrosse!$C:$O,I$1-2011,FALSE),0)+IFERROR(VLOOKUP($A197,WSoccer!$C:$O,I$1-2011,FALSE),0)+IFERROR(VLOOKUP($A197,WSoftball!$C:$O,I$1-2011,FALSE),0)+IFERROR(VLOOKUP($A197,WVolleyball!$C:$O,I$1-2011,FALSE),0)</f>
        <v>159059</v>
      </c>
      <c r="J197">
        <f>IFERROR(VLOOKUP($A197,MBaseball!$C:$N,J$1-2010,FALSE),0)+IFERROR(VLOOKUP($A197,MBasketball!$C:$J,J$1-2006,FALSE),0)+IFERROR(VLOOKUP($A197,MFootball!$C:$O,J$1-2011,FALSE),0)+IFERROR(VLOOKUP($A197,MIceHockey!$C:$P,J$1-2011,FALSE),0)+IFERROR(VLOOKUP($A197,MLacrosse!$C:$O,J$1-2011,FALSE),0)+IFERROR(VLOOKUP($A197,MSoccer!$C:$O,J$1-2011,FALSE),0)+IFERROR(VLOOKUP($A197,MVolleyball!$C:$O,J$1-2011,FALSE),0)+IFERROR(VLOOKUP($A197,WBasketball!$C:$O,J$1-2011,FALSE),0)+IFERROR(VLOOKUP($A197,WFieldHockey!$C:$O,J$1-2011,FALSE),0)+IFERROR(VLOOKUP($A197,WIceHockey!$C:$O,J$1-2011,FALSE),0)+IFERROR(VLOOKUP($A197,WLacrosse!$C:$O,J$1-2011,FALSE),0)+IFERROR(VLOOKUP($A197,WSoccer!$C:$O,J$1-2011,FALSE),0)+IFERROR(VLOOKUP($A197,WSoftball!$C:$O,J$1-2011,FALSE),0)+IFERROR(VLOOKUP($A197,WVolleyball!$C:$O,J$1-2011,FALSE),0)</f>
        <v>142545</v>
      </c>
      <c r="K197">
        <f>IFERROR(VLOOKUP($A197,MBaseball!$C:$N,K$1-2010,FALSE),0)+IFERROR(VLOOKUP($A197,MBasketball!$C:$J,K$1-2006,FALSE),0)+IFERROR(VLOOKUP($A197,MFootball!$C:$O,K$1-2011,FALSE),0)+IFERROR(VLOOKUP($A197,MIceHockey!$C:$P,K$1-2011,FALSE),0)+IFERROR(VLOOKUP($A197,MLacrosse!$C:$O,K$1-2011,FALSE),0)+IFERROR(VLOOKUP($A197,MSoccer!$C:$O,K$1-2011,FALSE),0)+IFERROR(VLOOKUP($A197,MVolleyball!$C:$O,K$1-2011,FALSE),0)+IFERROR(VLOOKUP($A197,WBasketball!$C:$O,K$1-2011,FALSE),0)+IFERROR(VLOOKUP($A197,WFieldHockey!$C:$O,K$1-2011,FALSE),0)+IFERROR(VLOOKUP($A197,WIceHockey!$C:$O,K$1-2011,FALSE),0)+IFERROR(VLOOKUP($A197,WLacrosse!$C:$O,K$1-2011,FALSE),0)+IFERROR(VLOOKUP($A197,WSoccer!$C:$O,K$1-2011,FALSE),0)+IFERROR(VLOOKUP($A197,WSoftball!$C:$O,K$1-2011,FALSE),0)+IFERROR(VLOOKUP($A197,WVolleyball!$C:$O,K$1-2011,FALSE),0)</f>
        <v>141643</v>
      </c>
      <c r="L197">
        <f>IFERROR(VLOOKUP($A197,MBaseball!$C:$N,L$1-2010,FALSE),0)+IFERROR(VLOOKUP($A197,MBasketball!$C:$J,L$1-2006,FALSE),0)+IFERROR(VLOOKUP($A197,MFootball!$C:$O,L$1-2011,FALSE),0)+IFERROR(VLOOKUP($A197,MIceHockey!$C:$P,L$1-2011,FALSE),0)+IFERROR(VLOOKUP($A197,MLacrosse!$C:$O,L$1-2011,FALSE),0)+IFERROR(VLOOKUP($A197,MSoccer!$C:$O,L$1-2011,FALSE),0)+IFERROR(VLOOKUP($A197,MVolleyball!$C:$O,L$1-2011,FALSE),0)+IFERROR(VLOOKUP($A197,WBasketball!$C:$O,L$1-2011,FALSE),0)+IFERROR(VLOOKUP($A197,WFieldHockey!$C:$O,L$1-2011,FALSE),0)+IFERROR(VLOOKUP($A197,WIceHockey!$C:$O,L$1-2011,FALSE),0)+IFERROR(VLOOKUP($A197,WLacrosse!$C:$O,L$1-2011,FALSE),0)+IFERROR(VLOOKUP($A197,WSoccer!$C:$O,L$1-2011,FALSE),0)+IFERROR(VLOOKUP($A197,WSoftball!$C:$O,L$1-2011,FALSE),0)+IFERROR(VLOOKUP($A197,WVolleyball!$C:$O,L$1-2011,FALSE),0)</f>
        <v>40585</v>
      </c>
      <c r="M197">
        <f>IFERROR(VLOOKUP($A197,MBaseball!$C:$N,M$1-2010,FALSE),0)+IFERROR(VLOOKUP($A197,MBasketball!$C:$J,M$1-2006,FALSE),0)+IFERROR(VLOOKUP($A197,MFootball!$C:$O,M$1-2011,FALSE),0)+IFERROR(VLOOKUP($A197,MIceHockey!$C:$P,M$1-2011,FALSE),0)+IFERROR(VLOOKUP($A197,MLacrosse!$C:$O,M$1-2011,FALSE),0)+IFERROR(VLOOKUP($A197,MSoccer!$C:$O,M$1-2011,FALSE),0)+IFERROR(VLOOKUP($A197,MVolleyball!$C:$O,M$1-2011,FALSE),0)+IFERROR(VLOOKUP($A197,WBasketball!$C:$O,M$1-2011,FALSE),0)+IFERROR(VLOOKUP($A197,WFieldHockey!$C:$O,M$1-2011,FALSE),0)+IFERROR(VLOOKUP($A197,WIceHockey!$C:$O,M$1-2011,FALSE),0)+IFERROR(VLOOKUP($A197,WLacrosse!$C:$O,M$1-2011,FALSE),0)+IFERROR(VLOOKUP($A197,WSoccer!$C:$O,M$1-2011,FALSE),0)+IFERROR(VLOOKUP($A197,WSoftball!$C:$O,M$1-2011,FALSE),0)+IFERROR(VLOOKUP($A197,WVolleyball!$C:$O,M$1-2011,FALSE),0)</f>
        <v>91434</v>
      </c>
      <c r="N197">
        <f>IFERROR(VLOOKUP($A197,MBaseball!$C:$N,N$1-2010,FALSE),0)+IFERROR(VLOOKUP($A197,MBasketball!$C:$J,N$1-2006,FALSE),0)+IFERROR(VLOOKUP($A197,MFootball!$C:$O,N$1-2011,FALSE),0)+IFERROR(VLOOKUP($A197,MIceHockey!$C:$P,N$1-2011,FALSE),0)+IFERROR(VLOOKUP($A197,MLacrosse!$C:$O,N$1-2011,FALSE),0)+IFERROR(VLOOKUP($A197,MSoccer!$C:$O,N$1-2011,FALSE),0)+IFERROR(VLOOKUP($A197,MVolleyball!$C:$O,N$1-2011,FALSE),0)+IFERROR(VLOOKUP($A197,WBasketball!$C:$O,N$1-2011,FALSE),0)+IFERROR(VLOOKUP($A197,WFieldHockey!$C:$O,N$1-2011,FALSE),0)+IFERROR(VLOOKUP($A197,WIceHockey!$C:$O,N$1-2011,FALSE),0)+IFERROR(VLOOKUP($A197,WLacrosse!$C:$O,N$1-2011,FALSE),0)+IFERROR(VLOOKUP($A197,WSoccer!$C:$O,N$1-2011,FALSE),0)+IFERROR(VLOOKUP($A197,WSoftball!$C:$O,N$1-2011,FALSE),0)+IFERROR(VLOOKUP($A197,WVolleyball!$C:$O,N$1-2011,FALSE),0)</f>
        <v>114372</v>
      </c>
    </row>
    <row r="198" spans="1:14" x14ac:dyDescent="0.2">
      <c r="A198">
        <v>232982</v>
      </c>
      <c r="B198">
        <v>47260</v>
      </c>
      <c r="C198" t="s">
        <v>181</v>
      </c>
      <c r="D198">
        <v>197</v>
      </c>
      <c r="E198">
        <f>IFERROR(VLOOKUP($A198,MBaseball!$C:$N,E$1-2010,FALSE),0)+IFERROR(VLOOKUP($A198,MBasketball!$C:$J,E$1-2006,FALSE),0)+IFERROR(VLOOKUP($A198,MFootball!$C:$O,E$1-2011,FALSE),0)+IFERROR(VLOOKUP($A198,MIceHockey!$C:$P,E$1-2011,FALSE),0)+IFERROR(VLOOKUP($A198,MLacrosse!$C:$O,E$1-2011,FALSE),0)+IFERROR(VLOOKUP($A198,MSoccer!$C:$O,E$1-2011,FALSE),0)+IFERROR(VLOOKUP($A198,MVolleyball!$C:$O,E$1-2011,FALSE),0)+IFERROR(VLOOKUP($A198,WBasketball!$C:$O,E$1-2011,FALSE),0)+IFERROR(VLOOKUP($A198,WFieldHockey!$C:$O,E$1-2011,FALSE),0)+IFERROR(VLOOKUP($A198,WIceHockey!$C:$O,E$1-2011,FALSE),0)+IFERROR(VLOOKUP($A198,WLacrosse!$C:$O,E$1-2011,FALSE),0)+IFERROR(VLOOKUP($A198,WSoccer!$C:$O,E$1-2011,FALSE),0)+IFERROR(VLOOKUP($A198,WSoftball!$C:$O,E$1-2011,FALSE),0)+IFERROR(VLOOKUP($A198,WVolleyball!$C:$O,E$1-2011,FALSE),0)</f>
        <v>185283</v>
      </c>
      <c r="F198">
        <f>IFERROR(VLOOKUP($A198,MBaseball!$C:$N,F$1-2010,FALSE),0)+IFERROR(VLOOKUP($A198,MBasketball!$C:$J,F$1-2006,FALSE),0)+IFERROR(VLOOKUP($A198,MFootball!$C:$O,F$1-2011,FALSE),0)+IFERROR(VLOOKUP($A198,MIceHockey!$C:$P,F$1-2011,FALSE),0)+IFERROR(VLOOKUP($A198,MLacrosse!$C:$O,F$1-2011,FALSE),0)+IFERROR(VLOOKUP($A198,MSoccer!$C:$O,F$1-2011,FALSE),0)+IFERROR(VLOOKUP($A198,MVolleyball!$C:$O,F$1-2011,FALSE),0)+IFERROR(VLOOKUP($A198,WBasketball!$C:$O,F$1-2011,FALSE),0)+IFERROR(VLOOKUP($A198,WFieldHockey!$C:$O,F$1-2011,FALSE),0)+IFERROR(VLOOKUP($A198,WIceHockey!$C:$O,F$1-2011,FALSE),0)+IFERROR(VLOOKUP($A198,WLacrosse!$C:$O,F$1-2011,FALSE),0)+IFERROR(VLOOKUP($A198,WSoccer!$C:$O,F$1-2011,FALSE),0)+IFERROR(VLOOKUP($A198,WSoftball!$C:$O,F$1-2011,FALSE),0)+IFERROR(VLOOKUP($A198,WVolleyball!$C:$O,F$1-2011,FALSE),0)</f>
        <v>201360</v>
      </c>
      <c r="G198">
        <f>IFERROR(VLOOKUP($A198,MBaseball!$C:$N,G$1-2010,FALSE),0)+IFERROR(VLOOKUP($A198,MBasketball!$C:$J,G$1-2006,FALSE),0)+IFERROR(VLOOKUP($A198,MFootball!$C:$O,G$1-2011,FALSE),0)+IFERROR(VLOOKUP($A198,MIceHockey!$C:$P,G$1-2011,FALSE),0)+IFERROR(VLOOKUP($A198,MLacrosse!$C:$O,G$1-2011,FALSE),0)+IFERROR(VLOOKUP($A198,MSoccer!$C:$O,G$1-2011,FALSE),0)+IFERROR(VLOOKUP($A198,MVolleyball!$C:$O,G$1-2011,FALSE),0)+IFERROR(VLOOKUP($A198,WBasketball!$C:$O,G$1-2011,FALSE),0)+IFERROR(VLOOKUP($A198,WFieldHockey!$C:$O,G$1-2011,FALSE),0)+IFERROR(VLOOKUP($A198,WIceHockey!$C:$O,G$1-2011,FALSE),0)+IFERROR(VLOOKUP($A198,WLacrosse!$C:$O,G$1-2011,FALSE),0)+IFERROR(VLOOKUP($A198,WSoccer!$C:$O,G$1-2011,FALSE),0)+IFERROR(VLOOKUP($A198,WSoftball!$C:$O,G$1-2011,FALSE),0)+IFERROR(VLOOKUP($A198,WVolleyball!$C:$O,G$1-2011,FALSE),0)</f>
        <v>207157</v>
      </c>
      <c r="H198">
        <f>IFERROR(VLOOKUP($A198,MBaseball!$C:$N,H$1-2010,FALSE),0)+IFERROR(VLOOKUP($A198,MBasketball!$C:$J,H$1-2006,FALSE),0)+IFERROR(VLOOKUP($A198,MFootball!$C:$O,H$1-2011,FALSE),0)+IFERROR(VLOOKUP($A198,MIceHockey!$C:$P,H$1-2011,FALSE),0)+IFERROR(VLOOKUP($A198,MLacrosse!$C:$O,H$1-2011,FALSE),0)+IFERROR(VLOOKUP($A198,MSoccer!$C:$O,H$1-2011,FALSE),0)+IFERROR(VLOOKUP($A198,MVolleyball!$C:$O,H$1-2011,FALSE),0)+IFERROR(VLOOKUP($A198,WBasketball!$C:$O,H$1-2011,FALSE),0)+IFERROR(VLOOKUP($A198,WFieldHockey!$C:$O,H$1-2011,FALSE),0)+IFERROR(VLOOKUP($A198,WIceHockey!$C:$O,H$1-2011,FALSE),0)+IFERROR(VLOOKUP($A198,WLacrosse!$C:$O,H$1-2011,FALSE),0)+IFERROR(VLOOKUP($A198,WSoccer!$C:$O,H$1-2011,FALSE),0)+IFERROR(VLOOKUP($A198,WSoftball!$C:$O,H$1-2011,FALSE),0)+IFERROR(VLOOKUP($A198,WVolleyball!$C:$O,H$1-2011,FALSE),0)</f>
        <v>184866</v>
      </c>
      <c r="I198">
        <f>IFERROR(VLOOKUP($A198,MBaseball!$C:$N,I$1-2010,FALSE),0)+IFERROR(VLOOKUP($A198,MBasketball!$C:$J,I$1-2006,FALSE),0)+IFERROR(VLOOKUP($A198,MFootball!$C:$O,I$1-2011,FALSE),0)+IFERROR(VLOOKUP($A198,MIceHockey!$C:$P,I$1-2011,FALSE),0)+IFERROR(VLOOKUP($A198,MLacrosse!$C:$O,I$1-2011,FALSE),0)+IFERROR(VLOOKUP($A198,MSoccer!$C:$O,I$1-2011,FALSE),0)+IFERROR(VLOOKUP($A198,MVolleyball!$C:$O,I$1-2011,FALSE),0)+IFERROR(VLOOKUP($A198,WBasketball!$C:$O,I$1-2011,FALSE),0)+IFERROR(VLOOKUP($A198,WFieldHockey!$C:$O,I$1-2011,FALSE),0)+IFERROR(VLOOKUP($A198,WIceHockey!$C:$O,I$1-2011,FALSE),0)+IFERROR(VLOOKUP($A198,WLacrosse!$C:$O,I$1-2011,FALSE),0)+IFERROR(VLOOKUP($A198,WSoccer!$C:$O,I$1-2011,FALSE),0)+IFERROR(VLOOKUP($A198,WSoftball!$C:$O,I$1-2011,FALSE),0)+IFERROR(VLOOKUP($A198,WVolleyball!$C:$O,I$1-2011,FALSE),0)</f>
        <v>180700</v>
      </c>
      <c r="J198">
        <f>IFERROR(VLOOKUP($A198,MBaseball!$C:$N,J$1-2010,FALSE),0)+IFERROR(VLOOKUP($A198,MBasketball!$C:$J,J$1-2006,FALSE),0)+IFERROR(VLOOKUP($A198,MFootball!$C:$O,J$1-2011,FALSE),0)+IFERROR(VLOOKUP($A198,MIceHockey!$C:$P,J$1-2011,FALSE),0)+IFERROR(VLOOKUP($A198,MLacrosse!$C:$O,J$1-2011,FALSE),0)+IFERROR(VLOOKUP($A198,MSoccer!$C:$O,J$1-2011,FALSE),0)+IFERROR(VLOOKUP($A198,MVolleyball!$C:$O,J$1-2011,FALSE),0)+IFERROR(VLOOKUP($A198,WBasketball!$C:$O,J$1-2011,FALSE),0)+IFERROR(VLOOKUP($A198,WFieldHockey!$C:$O,J$1-2011,FALSE),0)+IFERROR(VLOOKUP($A198,WIceHockey!$C:$O,J$1-2011,FALSE),0)+IFERROR(VLOOKUP($A198,WLacrosse!$C:$O,J$1-2011,FALSE),0)+IFERROR(VLOOKUP($A198,WSoccer!$C:$O,J$1-2011,FALSE),0)+IFERROR(VLOOKUP($A198,WSoftball!$C:$O,J$1-2011,FALSE),0)+IFERROR(VLOOKUP($A198,WVolleyball!$C:$O,J$1-2011,FALSE),0)</f>
        <v>166992</v>
      </c>
      <c r="K198">
        <f>IFERROR(VLOOKUP($A198,MBaseball!$C:$N,K$1-2010,FALSE),0)+IFERROR(VLOOKUP($A198,MBasketball!$C:$J,K$1-2006,FALSE),0)+IFERROR(VLOOKUP($A198,MFootball!$C:$O,K$1-2011,FALSE),0)+IFERROR(VLOOKUP($A198,MIceHockey!$C:$P,K$1-2011,FALSE),0)+IFERROR(VLOOKUP($A198,MLacrosse!$C:$O,K$1-2011,FALSE),0)+IFERROR(VLOOKUP($A198,MSoccer!$C:$O,K$1-2011,FALSE),0)+IFERROR(VLOOKUP($A198,MVolleyball!$C:$O,K$1-2011,FALSE),0)+IFERROR(VLOOKUP($A198,WBasketball!$C:$O,K$1-2011,FALSE),0)+IFERROR(VLOOKUP($A198,WFieldHockey!$C:$O,K$1-2011,FALSE),0)+IFERROR(VLOOKUP($A198,WIceHockey!$C:$O,K$1-2011,FALSE),0)+IFERROR(VLOOKUP($A198,WLacrosse!$C:$O,K$1-2011,FALSE),0)+IFERROR(VLOOKUP($A198,WSoccer!$C:$O,K$1-2011,FALSE),0)+IFERROR(VLOOKUP($A198,WSoftball!$C:$O,K$1-2011,FALSE),0)+IFERROR(VLOOKUP($A198,WVolleyball!$C:$O,K$1-2011,FALSE),0)</f>
        <v>158778</v>
      </c>
      <c r="L198">
        <f>IFERROR(VLOOKUP($A198,MBaseball!$C:$N,L$1-2010,FALSE),0)+IFERROR(VLOOKUP($A198,MBasketball!$C:$J,L$1-2006,FALSE),0)+IFERROR(VLOOKUP($A198,MFootball!$C:$O,L$1-2011,FALSE),0)+IFERROR(VLOOKUP($A198,MIceHockey!$C:$P,L$1-2011,FALSE),0)+IFERROR(VLOOKUP($A198,MLacrosse!$C:$O,L$1-2011,FALSE),0)+IFERROR(VLOOKUP($A198,MSoccer!$C:$O,L$1-2011,FALSE),0)+IFERROR(VLOOKUP($A198,MVolleyball!$C:$O,L$1-2011,FALSE),0)+IFERROR(VLOOKUP($A198,WBasketball!$C:$O,L$1-2011,FALSE),0)+IFERROR(VLOOKUP($A198,WFieldHockey!$C:$O,L$1-2011,FALSE),0)+IFERROR(VLOOKUP($A198,WIceHockey!$C:$O,L$1-2011,FALSE),0)+IFERROR(VLOOKUP($A198,WLacrosse!$C:$O,L$1-2011,FALSE),0)+IFERROR(VLOOKUP($A198,WSoccer!$C:$O,L$1-2011,FALSE),0)+IFERROR(VLOOKUP($A198,WSoftball!$C:$O,L$1-2011,FALSE),0)+IFERROR(VLOOKUP($A198,WVolleyball!$C:$O,L$1-2011,FALSE),0)</f>
        <v>20942</v>
      </c>
      <c r="M198">
        <f>IFERROR(VLOOKUP($A198,MBaseball!$C:$N,M$1-2010,FALSE),0)+IFERROR(VLOOKUP($A198,MBasketball!$C:$J,M$1-2006,FALSE),0)+IFERROR(VLOOKUP($A198,MFootball!$C:$O,M$1-2011,FALSE),0)+IFERROR(VLOOKUP($A198,MIceHockey!$C:$P,M$1-2011,FALSE),0)+IFERROR(VLOOKUP($A198,MLacrosse!$C:$O,M$1-2011,FALSE),0)+IFERROR(VLOOKUP($A198,MSoccer!$C:$O,M$1-2011,FALSE),0)+IFERROR(VLOOKUP($A198,MVolleyball!$C:$O,M$1-2011,FALSE),0)+IFERROR(VLOOKUP($A198,WBasketball!$C:$O,M$1-2011,FALSE),0)+IFERROR(VLOOKUP($A198,WFieldHockey!$C:$O,M$1-2011,FALSE),0)+IFERROR(VLOOKUP($A198,WIceHockey!$C:$O,M$1-2011,FALSE),0)+IFERROR(VLOOKUP($A198,WLacrosse!$C:$O,M$1-2011,FALSE),0)+IFERROR(VLOOKUP($A198,WSoccer!$C:$O,M$1-2011,FALSE),0)+IFERROR(VLOOKUP($A198,WSoftball!$C:$O,M$1-2011,FALSE),0)+IFERROR(VLOOKUP($A198,WVolleyball!$C:$O,M$1-2011,FALSE),0)</f>
        <v>144665</v>
      </c>
      <c r="N198">
        <f>IFERROR(VLOOKUP($A198,MBaseball!$C:$N,N$1-2010,FALSE),0)+IFERROR(VLOOKUP($A198,MBasketball!$C:$J,N$1-2006,FALSE),0)+IFERROR(VLOOKUP($A198,MFootball!$C:$O,N$1-2011,FALSE),0)+IFERROR(VLOOKUP($A198,MIceHockey!$C:$P,N$1-2011,FALSE),0)+IFERROR(VLOOKUP($A198,MLacrosse!$C:$O,N$1-2011,FALSE),0)+IFERROR(VLOOKUP($A198,MSoccer!$C:$O,N$1-2011,FALSE),0)+IFERROR(VLOOKUP($A198,MVolleyball!$C:$O,N$1-2011,FALSE),0)+IFERROR(VLOOKUP($A198,WBasketball!$C:$O,N$1-2011,FALSE),0)+IFERROR(VLOOKUP($A198,WFieldHockey!$C:$O,N$1-2011,FALSE),0)+IFERROR(VLOOKUP($A198,WIceHockey!$C:$O,N$1-2011,FALSE),0)+IFERROR(VLOOKUP($A198,WLacrosse!$C:$O,N$1-2011,FALSE),0)+IFERROR(VLOOKUP($A198,WSoccer!$C:$O,N$1-2011,FALSE),0)+IFERROR(VLOOKUP($A198,WSoftball!$C:$O,N$1-2011,FALSE),0)+IFERROR(VLOOKUP($A198,WVolleyball!$C:$O,N$1-2011,FALSE),0)</f>
        <v>170085</v>
      </c>
    </row>
    <row r="199" spans="1:14" x14ac:dyDescent="0.2">
      <c r="A199">
        <v>218964</v>
      </c>
      <c r="B199">
        <v>16740</v>
      </c>
      <c r="C199" t="s">
        <v>254</v>
      </c>
      <c r="D199">
        <v>198</v>
      </c>
      <c r="E199">
        <f>IFERROR(VLOOKUP($A199,MBaseball!$C:$N,E$1-2010,FALSE),0)+IFERROR(VLOOKUP($A199,MBasketball!$C:$J,E$1-2006,FALSE),0)+IFERROR(VLOOKUP($A199,MFootball!$C:$O,E$1-2011,FALSE),0)+IFERROR(VLOOKUP($A199,MIceHockey!$C:$P,E$1-2011,FALSE),0)+IFERROR(VLOOKUP($A199,MLacrosse!$C:$O,E$1-2011,FALSE),0)+IFERROR(VLOOKUP($A199,MSoccer!$C:$O,E$1-2011,FALSE),0)+IFERROR(VLOOKUP($A199,MVolleyball!$C:$O,E$1-2011,FALSE),0)+IFERROR(VLOOKUP($A199,WBasketball!$C:$O,E$1-2011,FALSE),0)+IFERROR(VLOOKUP($A199,WFieldHockey!$C:$O,E$1-2011,FALSE),0)+IFERROR(VLOOKUP($A199,WIceHockey!$C:$O,E$1-2011,FALSE),0)+IFERROR(VLOOKUP($A199,WLacrosse!$C:$O,E$1-2011,FALSE),0)+IFERROR(VLOOKUP($A199,WSoccer!$C:$O,E$1-2011,FALSE),0)+IFERROR(VLOOKUP($A199,WSoftball!$C:$O,E$1-2011,FALSE),0)+IFERROR(VLOOKUP($A199,WVolleyball!$C:$O,E$1-2011,FALSE),0)</f>
        <v>56682</v>
      </c>
      <c r="F199">
        <f>IFERROR(VLOOKUP($A199,MBaseball!$C:$N,F$1-2010,FALSE),0)+IFERROR(VLOOKUP($A199,MBasketball!$C:$J,F$1-2006,FALSE),0)+IFERROR(VLOOKUP($A199,MFootball!$C:$O,F$1-2011,FALSE),0)+IFERROR(VLOOKUP($A199,MIceHockey!$C:$P,F$1-2011,FALSE),0)+IFERROR(VLOOKUP($A199,MLacrosse!$C:$O,F$1-2011,FALSE),0)+IFERROR(VLOOKUP($A199,MSoccer!$C:$O,F$1-2011,FALSE),0)+IFERROR(VLOOKUP($A199,MVolleyball!$C:$O,F$1-2011,FALSE),0)+IFERROR(VLOOKUP($A199,WBasketball!$C:$O,F$1-2011,FALSE),0)+IFERROR(VLOOKUP($A199,WFieldHockey!$C:$O,F$1-2011,FALSE),0)+IFERROR(VLOOKUP($A199,WIceHockey!$C:$O,F$1-2011,FALSE),0)+IFERROR(VLOOKUP($A199,WLacrosse!$C:$O,F$1-2011,FALSE),0)+IFERROR(VLOOKUP($A199,WSoccer!$C:$O,F$1-2011,FALSE),0)+IFERROR(VLOOKUP($A199,WSoftball!$C:$O,F$1-2011,FALSE),0)+IFERROR(VLOOKUP($A199,WVolleyball!$C:$O,F$1-2011,FALSE),0)</f>
        <v>26140</v>
      </c>
      <c r="G199">
        <f>IFERROR(VLOOKUP($A199,MBaseball!$C:$N,G$1-2010,FALSE),0)+IFERROR(VLOOKUP($A199,MBasketball!$C:$J,G$1-2006,FALSE),0)+IFERROR(VLOOKUP($A199,MFootball!$C:$O,G$1-2011,FALSE),0)+IFERROR(VLOOKUP($A199,MIceHockey!$C:$P,G$1-2011,FALSE),0)+IFERROR(VLOOKUP($A199,MLacrosse!$C:$O,G$1-2011,FALSE),0)+IFERROR(VLOOKUP($A199,MSoccer!$C:$O,G$1-2011,FALSE),0)+IFERROR(VLOOKUP($A199,MVolleyball!$C:$O,G$1-2011,FALSE),0)+IFERROR(VLOOKUP($A199,WBasketball!$C:$O,G$1-2011,FALSE),0)+IFERROR(VLOOKUP($A199,WFieldHockey!$C:$O,G$1-2011,FALSE),0)+IFERROR(VLOOKUP($A199,WIceHockey!$C:$O,G$1-2011,FALSE),0)+IFERROR(VLOOKUP($A199,WLacrosse!$C:$O,G$1-2011,FALSE),0)+IFERROR(VLOOKUP($A199,WSoccer!$C:$O,G$1-2011,FALSE),0)+IFERROR(VLOOKUP($A199,WSoftball!$C:$O,G$1-2011,FALSE),0)+IFERROR(VLOOKUP($A199,WVolleyball!$C:$O,G$1-2011,FALSE),0)</f>
        <v>25101</v>
      </c>
      <c r="H199">
        <f>IFERROR(VLOOKUP($A199,MBaseball!$C:$N,H$1-2010,FALSE),0)+IFERROR(VLOOKUP($A199,MBasketball!$C:$J,H$1-2006,FALSE),0)+IFERROR(VLOOKUP($A199,MFootball!$C:$O,H$1-2011,FALSE),0)+IFERROR(VLOOKUP($A199,MIceHockey!$C:$P,H$1-2011,FALSE),0)+IFERROR(VLOOKUP($A199,MLacrosse!$C:$O,H$1-2011,FALSE),0)+IFERROR(VLOOKUP($A199,MSoccer!$C:$O,H$1-2011,FALSE),0)+IFERROR(VLOOKUP($A199,MVolleyball!$C:$O,H$1-2011,FALSE),0)+IFERROR(VLOOKUP($A199,WBasketball!$C:$O,H$1-2011,FALSE),0)+IFERROR(VLOOKUP($A199,WFieldHockey!$C:$O,H$1-2011,FALSE),0)+IFERROR(VLOOKUP($A199,WIceHockey!$C:$O,H$1-2011,FALSE),0)+IFERROR(VLOOKUP($A199,WLacrosse!$C:$O,H$1-2011,FALSE),0)+IFERROR(VLOOKUP($A199,WSoccer!$C:$O,H$1-2011,FALSE),0)+IFERROR(VLOOKUP($A199,WSoftball!$C:$O,H$1-2011,FALSE),0)+IFERROR(VLOOKUP($A199,WVolleyball!$C:$O,H$1-2011,FALSE),0)</f>
        <v>21664</v>
      </c>
      <c r="I199">
        <f>IFERROR(VLOOKUP($A199,MBaseball!$C:$N,I$1-2010,FALSE),0)+IFERROR(VLOOKUP($A199,MBasketball!$C:$J,I$1-2006,FALSE),0)+IFERROR(VLOOKUP($A199,MFootball!$C:$O,I$1-2011,FALSE),0)+IFERROR(VLOOKUP($A199,MIceHockey!$C:$P,I$1-2011,FALSE),0)+IFERROR(VLOOKUP($A199,MLacrosse!$C:$O,I$1-2011,FALSE),0)+IFERROR(VLOOKUP($A199,MSoccer!$C:$O,I$1-2011,FALSE),0)+IFERROR(VLOOKUP($A199,MVolleyball!$C:$O,I$1-2011,FALSE),0)+IFERROR(VLOOKUP($A199,WBasketball!$C:$O,I$1-2011,FALSE),0)+IFERROR(VLOOKUP($A199,WFieldHockey!$C:$O,I$1-2011,FALSE),0)+IFERROR(VLOOKUP($A199,WIceHockey!$C:$O,I$1-2011,FALSE),0)+IFERROR(VLOOKUP($A199,WLacrosse!$C:$O,I$1-2011,FALSE),0)+IFERROR(VLOOKUP($A199,WSoccer!$C:$O,I$1-2011,FALSE),0)+IFERROR(VLOOKUP($A199,WSoftball!$C:$O,I$1-2011,FALSE),0)+IFERROR(VLOOKUP($A199,WVolleyball!$C:$O,I$1-2011,FALSE),0)</f>
        <v>19895</v>
      </c>
      <c r="J199">
        <f>IFERROR(VLOOKUP($A199,MBaseball!$C:$N,J$1-2010,FALSE),0)+IFERROR(VLOOKUP($A199,MBasketball!$C:$J,J$1-2006,FALSE),0)+IFERROR(VLOOKUP($A199,MFootball!$C:$O,J$1-2011,FALSE),0)+IFERROR(VLOOKUP($A199,MIceHockey!$C:$P,J$1-2011,FALSE),0)+IFERROR(VLOOKUP($A199,MLacrosse!$C:$O,J$1-2011,FALSE),0)+IFERROR(VLOOKUP($A199,MSoccer!$C:$O,J$1-2011,FALSE),0)+IFERROR(VLOOKUP($A199,MVolleyball!$C:$O,J$1-2011,FALSE),0)+IFERROR(VLOOKUP($A199,WBasketball!$C:$O,J$1-2011,FALSE),0)+IFERROR(VLOOKUP($A199,WFieldHockey!$C:$O,J$1-2011,FALSE),0)+IFERROR(VLOOKUP($A199,WIceHockey!$C:$O,J$1-2011,FALSE),0)+IFERROR(VLOOKUP($A199,WLacrosse!$C:$O,J$1-2011,FALSE),0)+IFERROR(VLOOKUP($A199,WSoccer!$C:$O,J$1-2011,FALSE),0)+IFERROR(VLOOKUP($A199,WSoftball!$C:$O,J$1-2011,FALSE),0)+IFERROR(VLOOKUP($A199,WVolleyball!$C:$O,J$1-2011,FALSE),0)</f>
        <v>11203</v>
      </c>
      <c r="K199">
        <f>IFERROR(VLOOKUP($A199,MBaseball!$C:$N,K$1-2010,FALSE),0)+IFERROR(VLOOKUP($A199,MBasketball!$C:$J,K$1-2006,FALSE),0)+IFERROR(VLOOKUP($A199,MFootball!$C:$O,K$1-2011,FALSE),0)+IFERROR(VLOOKUP($A199,MIceHockey!$C:$P,K$1-2011,FALSE),0)+IFERROR(VLOOKUP($A199,MLacrosse!$C:$O,K$1-2011,FALSE),0)+IFERROR(VLOOKUP($A199,MSoccer!$C:$O,K$1-2011,FALSE),0)+IFERROR(VLOOKUP($A199,MVolleyball!$C:$O,K$1-2011,FALSE),0)+IFERROR(VLOOKUP($A199,WBasketball!$C:$O,K$1-2011,FALSE),0)+IFERROR(VLOOKUP($A199,WFieldHockey!$C:$O,K$1-2011,FALSE),0)+IFERROR(VLOOKUP($A199,WIceHockey!$C:$O,K$1-2011,FALSE),0)+IFERROR(VLOOKUP($A199,WLacrosse!$C:$O,K$1-2011,FALSE),0)+IFERROR(VLOOKUP($A199,WSoccer!$C:$O,K$1-2011,FALSE),0)+IFERROR(VLOOKUP($A199,WSoftball!$C:$O,K$1-2011,FALSE),0)+IFERROR(VLOOKUP($A199,WVolleyball!$C:$O,K$1-2011,FALSE),0)</f>
        <v>14425</v>
      </c>
      <c r="L199">
        <f>IFERROR(VLOOKUP($A199,MBaseball!$C:$N,L$1-2010,FALSE),0)+IFERROR(VLOOKUP($A199,MBasketball!$C:$J,L$1-2006,FALSE),0)+IFERROR(VLOOKUP($A199,MFootball!$C:$O,L$1-2011,FALSE),0)+IFERROR(VLOOKUP($A199,MIceHockey!$C:$P,L$1-2011,FALSE),0)+IFERROR(VLOOKUP($A199,MLacrosse!$C:$O,L$1-2011,FALSE),0)+IFERROR(VLOOKUP($A199,MSoccer!$C:$O,L$1-2011,FALSE),0)+IFERROR(VLOOKUP($A199,MVolleyball!$C:$O,L$1-2011,FALSE),0)+IFERROR(VLOOKUP($A199,WBasketball!$C:$O,L$1-2011,FALSE),0)+IFERROR(VLOOKUP($A199,WFieldHockey!$C:$O,L$1-2011,FALSE),0)+IFERROR(VLOOKUP($A199,WIceHockey!$C:$O,L$1-2011,FALSE),0)+IFERROR(VLOOKUP($A199,WLacrosse!$C:$O,L$1-2011,FALSE),0)+IFERROR(VLOOKUP($A199,WSoccer!$C:$O,L$1-2011,FALSE),0)+IFERROR(VLOOKUP($A199,WSoftball!$C:$O,L$1-2011,FALSE),0)+IFERROR(VLOOKUP($A199,WVolleyball!$C:$O,L$1-2011,FALSE),0)</f>
        <v>11527</v>
      </c>
      <c r="M199">
        <f>IFERROR(VLOOKUP($A199,MBaseball!$C:$N,M$1-2010,FALSE),0)+IFERROR(VLOOKUP($A199,MBasketball!$C:$J,M$1-2006,FALSE),0)+IFERROR(VLOOKUP($A199,MFootball!$C:$O,M$1-2011,FALSE),0)+IFERROR(VLOOKUP($A199,MIceHockey!$C:$P,M$1-2011,FALSE),0)+IFERROR(VLOOKUP($A199,MLacrosse!$C:$O,M$1-2011,FALSE),0)+IFERROR(VLOOKUP($A199,MSoccer!$C:$O,M$1-2011,FALSE),0)+IFERROR(VLOOKUP($A199,MVolleyball!$C:$O,M$1-2011,FALSE),0)+IFERROR(VLOOKUP($A199,WBasketball!$C:$O,M$1-2011,FALSE),0)+IFERROR(VLOOKUP($A199,WFieldHockey!$C:$O,M$1-2011,FALSE),0)+IFERROR(VLOOKUP($A199,WIceHockey!$C:$O,M$1-2011,FALSE),0)+IFERROR(VLOOKUP($A199,WLacrosse!$C:$O,M$1-2011,FALSE),0)+IFERROR(VLOOKUP($A199,WSoccer!$C:$O,M$1-2011,FALSE),0)+IFERROR(VLOOKUP($A199,WSoftball!$C:$O,M$1-2011,FALSE),0)+IFERROR(VLOOKUP($A199,WVolleyball!$C:$O,M$1-2011,FALSE),0)</f>
        <v>16699</v>
      </c>
      <c r="N199">
        <f>IFERROR(VLOOKUP($A199,MBaseball!$C:$N,N$1-2010,FALSE),0)+IFERROR(VLOOKUP($A199,MBasketball!$C:$J,N$1-2006,FALSE),0)+IFERROR(VLOOKUP($A199,MFootball!$C:$O,N$1-2011,FALSE),0)+IFERROR(VLOOKUP($A199,MIceHockey!$C:$P,N$1-2011,FALSE),0)+IFERROR(VLOOKUP($A199,MLacrosse!$C:$O,N$1-2011,FALSE),0)+IFERROR(VLOOKUP($A199,MSoccer!$C:$O,N$1-2011,FALSE),0)+IFERROR(VLOOKUP($A199,MVolleyball!$C:$O,N$1-2011,FALSE),0)+IFERROR(VLOOKUP($A199,WBasketball!$C:$O,N$1-2011,FALSE),0)+IFERROR(VLOOKUP($A199,WFieldHockey!$C:$O,N$1-2011,FALSE),0)+IFERROR(VLOOKUP($A199,WIceHockey!$C:$O,N$1-2011,FALSE),0)+IFERROR(VLOOKUP($A199,WLacrosse!$C:$O,N$1-2011,FALSE),0)+IFERROR(VLOOKUP($A199,WSoccer!$C:$O,N$1-2011,FALSE),0)+IFERROR(VLOOKUP($A199,WSoftball!$C:$O,N$1-2011,FALSE),0)+IFERROR(VLOOKUP($A199,WVolleyball!$C:$O,N$1-2011,FALSE),0)</f>
        <v>8223</v>
      </c>
    </row>
    <row r="200" spans="1:14" x14ac:dyDescent="0.2">
      <c r="A200">
        <v>218663</v>
      </c>
      <c r="B200">
        <v>17900</v>
      </c>
      <c r="C200" t="s">
        <v>198</v>
      </c>
      <c r="D200">
        <v>199</v>
      </c>
      <c r="E200">
        <f>IFERROR(VLOOKUP($A200,MBaseball!$C:$N,E$1-2010,FALSE),0)+IFERROR(VLOOKUP($A200,MBasketball!$C:$J,E$1-2006,FALSE),0)+IFERROR(VLOOKUP($A200,MFootball!$C:$O,E$1-2011,FALSE),0)+IFERROR(VLOOKUP($A200,MIceHockey!$C:$P,E$1-2011,FALSE),0)+IFERROR(VLOOKUP($A200,MLacrosse!$C:$O,E$1-2011,FALSE),0)+IFERROR(VLOOKUP($A200,MSoccer!$C:$O,E$1-2011,FALSE),0)+IFERROR(VLOOKUP($A200,MVolleyball!$C:$O,E$1-2011,FALSE),0)+IFERROR(VLOOKUP($A200,WBasketball!$C:$O,E$1-2011,FALSE),0)+IFERROR(VLOOKUP($A200,WFieldHockey!$C:$O,E$1-2011,FALSE),0)+IFERROR(VLOOKUP($A200,WIceHockey!$C:$O,E$1-2011,FALSE),0)+IFERROR(VLOOKUP($A200,WLacrosse!$C:$O,E$1-2011,FALSE),0)+IFERROR(VLOOKUP($A200,WSoccer!$C:$O,E$1-2011,FALSE),0)+IFERROR(VLOOKUP($A200,WSoftball!$C:$O,E$1-2011,FALSE),0)+IFERROR(VLOOKUP($A200,WVolleyball!$C:$O,E$1-2011,FALSE),0)</f>
        <v>590247</v>
      </c>
      <c r="F200">
        <f>IFERROR(VLOOKUP($A200,MBaseball!$C:$N,F$1-2010,FALSE),0)+IFERROR(VLOOKUP($A200,MBasketball!$C:$J,F$1-2006,FALSE),0)+IFERROR(VLOOKUP($A200,MFootball!$C:$O,F$1-2011,FALSE),0)+IFERROR(VLOOKUP($A200,MIceHockey!$C:$P,F$1-2011,FALSE),0)+IFERROR(VLOOKUP($A200,MLacrosse!$C:$O,F$1-2011,FALSE),0)+IFERROR(VLOOKUP($A200,MSoccer!$C:$O,F$1-2011,FALSE),0)+IFERROR(VLOOKUP($A200,MVolleyball!$C:$O,F$1-2011,FALSE),0)+IFERROR(VLOOKUP($A200,WBasketball!$C:$O,F$1-2011,FALSE),0)+IFERROR(VLOOKUP($A200,WFieldHockey!$C:$O,F$1-2011,FALSE),0)+IFERROR(VLOOKUP($A200,WIceHockey!$C:$O,F$1-2011,FALSE),0)+IFERROR(VLOOKUP($A200,WLacrosse!$C:$O,F$1-2011,FALSE),0)+IFERROR(VLOOKUP($A200,WSoccer!$C:$O,F$1-2011,FALSE),0)+IFERROR(VLOOKUP($A200,WSoftball!$C:$O,F$1-2011,FALSE),0)+IFERROR(VLOOKUP($A200,WVolleyball!$C:$O,F$1-2011,FALSE),0)</f>
        <v>1139422</v>
      </c>
      <c r="G200">
        <f>IFERROR(VLOOKUP($A200,MBaseball!$C:$N,G$1-2010,FALSE),0)+IFERROR(VLOOKUP($A200,MBasketball!$C:$J,G$1-2006,FALSE),0)+IFERROR(VLOOKUP($A200,MFootball!$C:$O,G$1-2011,FALSE),0)+IFERROR(VLOOKUP($A200,MIceHockey!$C:$P,G$1-2011,FALSE),0)+IFERROR(VLOOKUP($A200,MLacrosse!$C:$O,G$1-2011,FALSE),0)+IFERROR(VLOOKUP($A200,MSoccer!$C:$O,G$1-2011,FALSE),0)+IFERROR(VLOOKUP($A200,MVolleyball!$C:$O,G$1-2011,FALSE),0)+IFERROR(VLOOKUP($A200,WBasketball!$C:$O,G$1-2011,FALSE),0)+IFERROR(VLOOKUP($A200,WFieldHockey!$C:$O,G$1-2011,FALSE),0)+IFERROR(VLOOKUP($A200,WIceHockey!$C:$O,G$1-2011,FALSE),0)+IFERROR(VLOOKUP($A200,WLacrosse!$C:$O,G$1-2011,FALSE),0)+IFERROR(VLOOKUP($A200,WSoccer!$C:$O,G$1-2011,FALSE),0)+IFERROR(VLOOKUP($A200,WSoftball!$C:$O,G$1-2011,FALSE),0)+IFERROR(VLOOKUP($A200,WVolleyball!$C:$O,G$1-2011,FALSE),0)</f>
        <v>1077820</v>
      </c>
      <c r="H200">
        <f>IFERROR(VLOOKUP($A200,MBaseball!$C:$N,H$1-2010,FALSE),0)+IFERROR(VLOOKUP($A200,MBasketball!$C:$J,H$1-2006,FALSE),0)+IFERROR(VLOOKUP($A200,MFootball!$C:$O,H$1-2011,FALSE),0)+IFERROR(VLOOKUP($A200,MIceHockey!$C:$P,H$1-2011,FALSE),0)+IFERROR(VLOOKUP($A200,MLacrosse!$C:$O,H$1-2011,FALSE),0)+IFERROR(VLOOKUP($A200,MSoccer!$C:$O,H$1-2011,FALSE),0)+IFERROR(VLOOKUP($A200,MVolleyball!$C:$O,H$1-2011,FALSE),0)+IFERROR(VLOOKUP($A200,WBasketball!$C:$O,H$1-2011,FALSE),0)+IFERROR(VLOOKUP($A200,WFieldHockey!$C:$O,H$1-2011,FALSE),0)+IFERROR(VLOOKUP($A200,WIceHockey!$C:$O,H$1-2011,FALSE),0)+IFERROR(VLOOKUP($A200,WLacrosse!$C:$O,H$1-2011,FALSE),0)+IFERROR(VLOOKUP($A200,WSoccer!$C:$O,H$1-2011,FALSE),0)+IFERROR(VLOOKUP($A200,WSoftball!$C:$O,H$1-2011,FALSE),0)+IFERROR(VLOOKUP($A200,WVolleyball!$C:$O,H$1-2011,FALSE),0)</f>
        <v>1086108</v>
      </c>
      <c r="I200">
        <f>IFERROR(VLOOKUP($A200,MBaseball!$C:$N,I$1-2010,FALSE),0)+IFERROR(VLOOKUP($A200,MBasketball!$C:$J,I$1-2006,FALSE),0)+IFERROR(VLOOKUP($A200,MFootball!$C:$O,I$1-2011,FALSE),0)+IFERROR(VLOOKUP($A200,MIceHockey!$C:$P,I$1-2011,FALSE),0)+IFERROR(VLOOKUP($A200,MLacrosse!$C:$O,I$1-2011,FALSE),0)+IFERROR(VLOOKUP($A200,MSoccer!$C:$O,I$1-2011,FALSE),0)+IFERROR(VLOOKUP($A200,MVolleyball!$C:$O,I$1-2011,FALSE),0)+IFERROR(VLOOKUP($A200,WBasketball!$C:$O,I$1-2011,FALSE),0)+IFERROR(VLOOKUP($A200,WFieldHockey!$C:$O,I$1-2011,FALSE),0)+IFERROR(VLOOKUP($A200,WIceHockey!$C:$O,I$1-2011,FALSE),0)+IFERROR(VLOOKUP($A200,WLacrosse!$C:$O,I$1-2011,FALSE),0)+IFERROR(VLOOKUP($A200,WSoccer!$C:$O,I$1-2011,FALSE),0)+IFERROR(VLOOKUP($A200,WSoftball!$C:$O,I$1-2011,FALSE),0)+IFERROR(VLOOKUP($A200,WVolleyball!$C:$O,I$1-2011,FALSE),0)</f>
        <v>1086483</v>
      </c>
      <c r="J200">
        <f>IFERROR(VLOOKUP($A200,MBaseball!$C:$N,J$1-2010,FALSE),0)+IFERROR(VLOOKUP($A200,MBasketball!$C:$J,J$1-2006,FALSE),0)+IFERROR(VLOOKUP($A200,MFootball!$C:$O,J$1-2011,FALSE),0)+IFERROR(VLOOKUP($A200,MIceHockey!$C:$P,J$1-2011,FALSE),0)+IFERROR(VLOOKUP($A200,MLacrosse!$C:$O,J$1-2011,FALSE),0)+IFERROR(VLOOKUP($A200,MSoccer!$C:$O,J$1-2011,FALSE),0)+IFERROR(VLOOKUP($A200,MVolleyball!$C:$O,J$1-2011,FALSE),0)+IFERROR(VLOOKUP($A200,WBasketball!$C:$O,J$1-2011,FALSE),0)+IFERROR(VLOOKUP($A200,WFieldHockey!$C:$O,J$1-2011,FALSE),0)+IFERROR(VLOOKUP($A200,WIceHockey!$C:$O,J$1-2011,FALSE),0)+IFERROR(VLOOKUP($A200,WLacrosse!$C:$O,J$1-2011,FALSE),0)+IFERROR(VLOOKUP($A200,WSoccer!$C:$O,J$1-2011,FALSE),0)+IFERROR(VLOOKUP($A200,WSoftball!$C:$O,J$1-2011,FALSE),0)+IFERROR(VLOOKUP($A200,WVolleyball!$C:$O,J$1-2011,FALSE),0)</f>
        <v>876165</v>
      </c>
      <c r="K200">
        <f>IFERROR(VLOOKUP($A200,MBaseball!$C:$N,K$1-2010,FALSE),0)+IFERROR(VLOOKUP($A200,MBasketball!$C:$J,K$1-2006,FALSE),0)+IFERROR(VLOOKUP($A200,MFootball!$C:$O,K$1-2011,FALSE),0)+IFERROR(VLOOKUP($A200,MIceHockey!$C:$P,K$1-2011,FALSE),0)+IFERROR(VLOOKUP($A200,MLacrosse!$C:$O,K$1-2011,FALSE),0)+IFERROR(VLOOKUP($A200,MSoccer!$C:$O,K$1-2011,FALSE),0)+IFERROR(VLOOKUP($A200,MVolleyball!$C:$O,K$1-2011,FALSE),0)+IFERROR(VLOOKUP($A200,WBasketball!$C:$O,K$1-2011,FALSE),0)+IFERROR(VLOOKUP($A200,WFieldHockey!$C:$O,K$1-2011,FALSE),0)+IFERROR(VLOOKUP($A200,WIceHockey!$C:$O,K$1-2011,FALSE),0)+IFERROR(VLOOKUP($A200,WLacrosse!$C:$O,K$1-2011,FALSE),0)+IFERROR(VLOOKUP($A200,WSoccer!$C:$O,K$1-2011,FALSE),0)+IFERROR(VLOOKUP($A200,WSoftball!$C:$O,K$1-2011,FALSE),0)+IFERROR(VLOOKUP($A200,WVolleyball!$C:$O,K$1-2011,FALSE),0)</f>
        <v>874460</v>
      </c>
      <c r="L200">
        <f>IFERROR(VLOOKUP($A200,MBaseball!$C:$N,L$1-2010,FALSE),0)+IFERROR(VLOOKUP($A200,MBasketball!$C:$J,L$1-2006,FALSE),0)+IFERROR(VLOOKUP($A200,MFootball!$C:$O,L$1-2011,FALSE),0)+IFERROR(VLOOKUP($A200,MIceHockey!$C:$P,L$1-2011,FALSE),0)+IFERROR(VLOOKUP($A200,MLacrosse!$C:$O,L$1-2011,FALSE),0)+IFERROR(VLOOKUP($A200,MSoccer!$C:$O,L$1-2011,FALSE),0)+IFERROR(VLOOKUP($A200,MVolleyball!$C:$O,L$1-2011,FALSE),0)+IFERROR(VLOOKUP($A200,WBasketball!$C:$O,L$1-2011,FALSE),0)+IFERROR(VLOOKUP($A200,WFieldHockey!$C:$O,L$1-2011,FALSE),0)+IFERROR(VLOOKUP($A200,WIceHockey!$C:$O,L$1-2011,FALSE),0)+IFERROR(VLOOKUP($A200,WLacrosse!$C:$O,L$1-2011,FALSE),0)+IFERROR(VLOOKUP($A200,WSoccer!$C:$O,L$1-2011,FALSE),0)+IFERROR(VLOOKUP($A200,WSoftball!$C:$O,L$1-2011,FALSE),0)+IFERROR(VLOOKUP($A200,WVolleyball!$C:$O,L$1-2011,FALSE),0)</f>
        <v>346388</v>
      </c>
      <c r="M200">
        <f>IFERROR(VLOOKUP($A200,MBaseball!$C:$N,M$1-2010,FALSE),0)+IFERROR(VLOOKUP($A200,MBasketball!$C:$J,M$1-2006,FALSE),0)+IFERROR(VLOOKUP($A200,MFootball!$C:$O,M$1-2011,FALSE),0)+IFERROR(VLOOKUP($A200,MIceHockey!$C:$P,M$1-2011,FALSE),0)+IFERROR(VLOOKUP($A200,MLacrosse!$C:$O,M$1-2011,FALSE),0)+IFERROR(VLOOKUP($A200,MSoccer!$C:$O,M$1-2011,FALSE),0)+IFERROR(VLOOKUP($A200,MVolleyball!$C:$O,M$1-2011,FALSE),0)+IFERROR(VLOOKUP($A200,WBasketball!$C:$O,M$1-2011,FALSE),0)+IFERROR(VLOOKUP($A200,WFieldHockey!$C:$O,M$1-2011,FALSE),0)+IFERROR(VLOOKUP($A200,WIceHockey!$C:$O,M$1-2011,FALSE),0)+IFERROR(VLOOKUP($A200,WLacrosse!$C:$O,M$1-2011,FALSE),0)+IFERROR(VLOOKUP($A200,WSoccer!$C:$O,M$1-2011,FALSE),0)+IFERROR(VLOOKUP($A200,WSoftball!$C:$O,M$1-2011,FALSE),0)+IFERROR(VLOOKUP($A200,WVolleyball!$C:$O,M$1-2011,FALSE),0)</f>
        <v>1037377</v>
      </c>
      <c r="N200">
        <f>IFERROR(VLOOKUP($A200,MBaseball!$C:$N,N$1-2010,FALSE),0)+IFERROR(VLOOKUP($A200,MBasketball!$C:$J,N$1-2006,FALSE),0)+IFERROR(VLOOKUP($A200,MFootball!$C:$O,N$1-2011,FALSE),0)+IFERROR(VLOOKUP($A200,MIceHockey!$C:$P,N$1-2011,FALSE),0)+IFERROR(VLOOKUP($A200,MLacrosse!$C:$O,N$1-2011,FALSE),0)+IFERROR(VLOOKUP($A200,MSoccer!$C:$O,N$1-2011,FALSE),0)+IFERROR(VLOOKUP($A200,MVolleyball!$C:$O,N$1-2011,FALSE),0)+IFERROR(VLOOKUP($A200,WBasketball!$C:$O,N$1-2011,FALSE),0)+IFERROR(VLOOKUP($A200,WFieldHockey!$C:$O,N$1-2011,FALSE),0)+IFERROR(VLOOKUP($A200,WIceHockey!$C:$O,N$1-2011,FALSE),0)+IFERROR(VLOOKUP($A200,WLacrosse!$C:$O,N$1-2011,FALSE),0)+IFERROR(VLOOKUP($A200,WSoccer!$C:$O,N$1-2011,FALSE),0)+IFERROR(VLOOKUP($A200,WSoftball!$C:$O,N$1-2011,FALSE),0)+IFERROR(VLOOKUP($A200,WVolleyball!$C:$O,N$1-2011,FALSE),0)</f>
        <v>872461</v>
      </c>
    </row>
    <row r="201" spans="1:14" x14ac:dyDescent="0.2">
      <c r="A201">
        <v>220978</v>
      </c>
      <c r="B201">
        <v>34980</v>
      </c>
      <c r="C201" t="s">
        <v>136</v>
      </c>
      <c r="D201">
        <v>200</v>
      </c>
      <c r="E201">
        <f>IFERROR(VLOOKUP($A201,MBaseball!$C:$N,E$1-2010,FALSE),0)+IFERROR(VLOOKUP($A201,MBasketball!$C:$J,E$1-2006,FALSE),0)+IFERROR(VLOOKUP($A201,MFootball!$C:$O,E$1-2011,FALSE),0)+IFERROR(VLOOKUP($A201,MIceHockey!$C:$P,E$1-2011,FALSE),0)+IFERROR(VLOOKUP($A201,MLacrosse!$C:$O,E$1-2011,FALSE),0)+IFERROR(VLOOKUP($A201,MSoccer!$C:$O,E$1-2011,FALSE),0)+IFERROR(VLOOKUP($A201,MVolleyball!$C:$O,E$1-2011,FALSE),0)+IFERROR(VLOOKUP($A201,WBasketball!$C:$O,E$1-2011,FALSE),0)+IFERROR(VLOOKUP($A201,WFieldHockey!$C:$O,E$1-2011,FALSE),0)+IFERROR(VLOOKUP($A201,WIceHockey!$C:$O,E$1-2011,FALSE),0)+IFERROR(VLOOKUP($A201,WLacrosse!$C:$O,E$1-2011,FALSE),0)+IFERROR(VLOOKUP($A201,WSoccer!$C:$O,E$1-2011,FALSE),0)+IFERROR(VLOOKUP($A201,WSoftball!$C:$O,E$1-2011,FALSE),0)+IFERROR(VLOOKUP($A201,WVolleyball!$C:$O,E$1-2011,FALSE),0)</f>
        <v>146578</v>
      </c>
      <c r="F201">
        <f>IFERROR(VLOOKUP($A201,MBaseball!$C:$N,F$1-2010,FALSE),0)+IFERROR(VLOOKUP($A201,MBasketball!$C:$J,F$1-2006,FALSE),0)+IFERROR(VLOOKUP($A201,MFootball!$C:$O,F$1-2011,FALSE),0)+IFERROR(VLOOKUP($A201,MIceHockey!$C:$P,F$1-2011,FALSE),0)+IFERROR(VLOOKUP($A201,MLacrosse!$C:$O,F$1-2011,FALSE),0)+IFERROR(VLOOKUP($A201,MSoccer!$C:$O,F$1-2011,FALSE),0)+IFERROR(VLOOKUP($A201,MVolleyball!$C:$O,F$1-2011,FALSE),0)+IFERROR(VLOOKUP($A201,WBasketball!$C:$O,F$1-2011,FALSE),0)+IFERROR(VLOOKUP($A201,WFieldHockey!$C:$O,F$1-2011,FALSE),0)+IFERROR(VLOOKUP($A201,WIceHockey!$C:$O,F$1-2011,FALSE),0)+IFERROR(VLOOKUP($A201,WLacrosse!$C:$O,F$1-2011,FALSE),0)+IFERROR(VLOOKUP($A201,WSoccer!$C:$O,F$1-2011,FALSE),0)+IFERROR(VLOOKUP($A201,WSoftball!$C:$O,F$1-2011,FALSE),0)+IFERROR(VLOOKUP($A201,WVolleyball!$C:$O,F$1-2011,FALSE),0)</f>
        <v>213825</v>
      </c>
      <c r="G201">
        <f>IFERROR(VLOOKUP($A201,MBaseball!$C:$N,G$1-2010,FALSE),0)+IFERROR(VLOOKUP($A201,MBasketball!$C:$J,G$1-2006,FALSE),0)+IFERROR(VLOOKUP($A201,MFootball!$C:$O,G$1-2011,FALSE),0)+IFERROR(VLOOKUP($A201,MIceHockey!$C:$P,G$1-2011,FALSE),0)+IFERROR(VLOOKUP($A201,MLacrosse!$C:$O,G$1-2011,FALSE),0)+IFERROR(VLOOKUP($A201,MSoccer!$C:$O,G$1-2011,FALSE),0)+IFERROR(VLOOKUP($A201,MVolleyball!$C:$O,G$1-2011,FALSE),0)+IFERROR(VLOOKUP($A201,WBasketball!$C:$O,G$1-2011,FALSE),0)+IFERROR(VLOOKUP($A201,WFieldHockey!$C:$O,G$1-2011,FALSE),0)+IFERROR(VLOOKUP($A201,WIceHockey!$C:$O,G$1-2011,FALSE),0)+IFERROR(VLOOKUP($A201,WLacrosse!$C:$O,G$1-2011,FALSE),0)+IFERROR(VLOOKUP($A201,WSoccer!$C:$O,G$1-2011,FALSE),0)+IFERROR(VLOOKUP($A201,WSoftball!$C:$O,G$1-2011,FALSE),0)+IFERROR(VLOOKUP($A201,WVolleyball!$C:$O,G$1-2011,FALSE),0)</f>
        <v>204106</v>
      </c>
      <c r="H201">
        <f>IFERROR(VLOOKUP($A201,MBaseball!$C:$N,H$1-2010,FALSE),0)+IFERROR(VLOOKUP($A201,MBasketball!$C:$J,H$1-2006,FALSE),0)+IFERROR(VLOOKUP($A201,MFootball!$C:$O,H$1-2011,FALSE),0)+IFERROR(VLOOKUP($A201,MIceHockey!$C:$P,H$1-2011,FALSE),0)+IFERROR(VLOOKUP($A201,MLacrosse!$C:$O,H$1-2011,FALSE),0)+IFERROR(VLOOKUP($A201,MSoccer!$C:$O,H$1-2011,FALSE),0)+IFERROR(VLOOKUP($A201,MVolleyball!$C:$O,H$1-2011,FALSE),0)+IFERROR(VLOOKUP($A201,WBasketball!$C:$O,H$1-2011,FALSE),0)+IFERROR(VLOOKUP($A201,WFieldHockey!$C:$O,H$1-2011,FALSE),0)+IFERROR(VLOOKUP($A201,WIceHockey!$C:$O,H$1-2011,FALSE),0)+IFERROR(VLOOKUP($A201,WLacrosse!$C:$O,H$1-2011,FALSE),0)+IFERROR(VLOOKUP($A201,WSoccer!$C:$O,H$1-2011,FALSE),0)+IFERROR(VLOOKUP($A201,WSoftball!$C:$O,H$1-2011,FALSE),0)+IFERROR(VLOOKUP($A201,WVolleyball!$C:$O,H$1-2011,FALSE),0)</f>
        <v>182739</v>
      </c>
      <c r="I201">
        <f>IFERROR(VLOOKUP($A201,MBaseball!$C:$N,I$1-2010,FALSE),0)+IFERROR(VLOOKUP($A201,MBasketball!$C:$J,I$1-2006,FALSE),0)+IFERROR(VLOOKUP($A201,MFootball!$C:$O,I$1-2011,FALSE),0)+IFERROR(VLOOKUP($A201,MIceHockey!$C:$P,I$1-2011,FALSE),0)+IFERROR(VLOOKUP($A201,MLacrosse!$C:$O,I$1-2011,FALSE),0)+IFERROR(VLOOKUP($A201,MSoccer!$C:$O,I$1-2011,FALSE),0)+IFERROR(VLOOKUP($A201,MVolleyball!$C:$O,I$1-2011,FALSE),0)+IFERROR(VLOOKUP($A201,WBasketball!$C:$O,I$1-2011,FALSE),0)+IFERROR(VLOOKUP($A201,WFieldHockey!$C:$O,I$1-2011,FALSE),0)+IFERROR(VLOOKUP($A201,WIceHockey!$C:$O,I$1-2011,FALSE),0)+IFERROR(VLOOKUP($A201,WLacrosse!$C:$O,I$1-2011,FALSE),0)+IFERROR(VLOOKUP($A201,WSoccer!$C:$O,I$1-2011,FALSE),0)+IFERROR(VLOOKUP($A201,WSoftball!$C:$O,I$1-2011,FALSE),0)+IFERROR(VLOOKUP($A201,WVolleyball!$C:$O,I$1-2011,FALSE),0)</f>
        <v>183106</v>
      </c>
      <c r="J201">
        <f>IFERROR(VLOOKUP($A201,MBaseball!$C:$N,J$1-2010,FALSE),0)+IFERROR(VLOOKUP($A201,MBasketball!$C:$J,J$1-2006,FALSE),0)+IFERROR(VLOOKUP($A201,MFootball!$C:$O,J$1-2011,FALSE),0)+IFERROR(VLOOKUP($A201,MIceHockey!$C:$P,J$1-2011,FALSE),0)+IFERROR(VLOOKUP($A201,MLacrosse!$C:$O,J$1-2011,FALSE),0)+IFERROR(VLOOKUP($A201,MSoccer!$C:$O,J$1-2011,FALSE),0)+IFERROR(VLOOKUP($A201,MVolleyball!$C:$O,J$1-2011,FALSE),0)+IFERROR(VLOOKUP($A201,WBasketball!$C:$O,J$1-2011,FALSE),0)+IFERROR(VLOOKUP($A201,WFieldHockey!$C:$O,J$1-2011,FALSE),0)+IFERROR(VLOOKUP($A201,WIceHockey!$C:$O,J$1-2011,FALSE),0)+IFERROR(VLOOKUP($A201,WLacrosse!$C:$O,J$1-2011,FALSE),0)+IFERROR(VLOOKUP($A201,WSoccer!$C:$O,J$1-2011,FALSE),0)+IFERROR(VLOOKUP($A201,WSoftball!$C:$O,J$1-2011,FALSE),0)+IFERROR(VLOOKUP($A201,WVolleyball!$C:$O,J$1-2011,FALSE),0)</f>
        <v>167381</v>
      </c>
      <c r="K201">
        <f>IFERROR(VLOOKUP($A201,MBaseball!$C:$N,K$1-2010,FALSE),0)+IFERROR(VLOOKUP($A201,MBasketball!$C:$J,K$1-2006,FALSE),0)+IFERROR(VLOOKUP($A201,MFootball!$C:$O,K$1-2011,FALSE),0)+IFERROR(VLOOKUP($A201,MIceHockey!$C:$P,K$1-2011,FALSE),0)+IFERROR(VLOOKUP($A201,MLacrosse!$C:$O,K$1-2011,FALSE),0)+IFERROR(VLOOKUP($A201,MSoccer!$C:$O,K$1-2011,FALSE),0)+IFERROR(VLOOKUP($A201,MVolleyball!$C:$O,K$1-2011,FALSE),0)+IFERROR(VLOOKUP($A201,WBasketball!$C:$O,K$1-2011,FALSE),0)+IFERROR(VLOOKUP($A201,WFieldHockey!$C:$O,K$1-2011,FALSE),0)+IFERROR(VLOOKUP($A201,WIceHockey!$C:$O,K$1-2011,FALSE),0)+IFERROR(VLOOKUP($A201,WLacrosse!$C:$O,K$1-2011,FALSE),0)+IFERROR(VLOOKUP($A201,WSoccer!$C:$O,K$1-2011,FALSE),0)+IFERROR(VLOOKUP($A201,WSoftball!$C:$O,K$1-2011,FALSE),0)+IFERROR(VLOOKUP($A201,WVolleyball!$C:$O,K$1-2011,FALSE),0)</f>
        <v>148437</v>
      </c>
      <c r="L201">
        <f>IFERROR(VLOOKUP($A201,MBaseball!$C:$N,L$1-2010,FALSE),0)+IFERROR(VLOOKUP($A201,MBasketball!$C:$J,L$1-2006,FALSE),0)+IFERROR(VLOOKUP($A201,MFootball!$C:$O,L$1-2011,FALSE),0)+IFERROR(VLOOKUP($A201,MIceHockey!$C:$P,L$1-2011,FALSE),0)+IFERROR(VLOOKUP($A201,MLacrosse!$C:$O,L$1-2011,FALSE),0)+IFERROR(VLOOKUP($A201,MSoccer!$C:$O,L$1-2011,FALSE),0)+IFERROR(VLOOKUP($A201,MVolleyball!$C:$O,L$1-2011,FALSE),0)+IFERROR(VLOOKUP($A201,WBasketball!$C:$O,L$1-2011,FALSE),0)+IFERROR(VLOOKUP($A201,WFieldHockey!$C:$O,L$1-2011,FALSE),0)+IFERROR(VLOOKUP($A201,WIceHockey!$C:$O,L$1-2011,FALSE),0)+IFERROR(VLOOKUP($A201,WLacrosse!$C:$O,L$1-2011,FALSE),0)+IFERROR(VLOOKUP($A201,WSoccer!$C:$O,L$1-2011,FALSE),0)+IFERROR(VLOOKUP($A201,WSoftball!$C:$O,L$1-2011,FALSE),0)+IFERROR(VLOOKUP($A201,WVolleyball!$C:$O,L$1-2011,FALSE),0)</f>
        <v>37151</v>
      </c>
      <c r="M201">
        <f>IFERROR(VLOOKUP($A201,MBaseball!$C:$N,M$1-2010,FALSE),0)+IFERROR(VLOOKUP($A201,MBasketball!$C:$J,M$1-2006,FALSE),0)+IFERROR(VLOOKUP($A201,MFootball!$C:$O,M$1-2011,FALSE),0)+IFERROR(VLOOKUP($A201,MIceHockey!$C:$P,M$1-2011,FALSE),0)+IFERROR(VLOOKUP($A201,MLacrosse!$C:$O,M$1-2011,FALSE),0)+IFERROR(VLOOKUP($A201,MSoccer!$C:$O,M$1-2011,FALSE),0)+IFERROR(VLOOKUP($A201,MVolleyball!$C:$O,M$1-2011,FALSE),0)+IFERROR(VLOOKUP($A201,WBasketball!$C:$O,M$1-2011,FALSE),0)+IFERROR(VLOOKUP($A201,WFieldHockey!$C:$O,M$1-2011,FALSE),0)+IFERROR(VLOOKUP($A201,WIceHockey!$C:$O,M$1-2011,FALSE),0)+IFERROR(VLOOKUP($A201,WLacrosse!$C:$O,M$1-2011,FALSE),0)+IFERROR(VLOOKUP($A201,WSoccer!$C:$O,M$1-2011,FALSE),0)+IFERROR(VLOOKUP($A201,WSoftball!$C:$O,M$1-2011,FALSE),0)+IFERROR(VLOOKUP($A201,WVolleyball!$C:$O,M$1-2011,FALSE),0)</f>
        <v>144642</v>
      </c>
      <c r="N201">
        <f>IFERROR(VLOOKUP($A201,MBaseball!$C:$N,N$1-2010,FALSE),0)+IFERROR(VLOOKUP($A201,MBasketball!$C:$J,N$1-2006,FALSE),0)+IFERROR(VLOOKUP($A201,MFootball!$C:$O,N$1-2011,FALSE),0)+IFERROR(VLOOKUP($A201,MIceHockey!$C:$P,N$1-2011,FALSE),0)+IFERROR(VLOOKUP($A201,MLacrosse!$C:$O,N$1-2011,FALSE),0)+IFERROR(VLOOKUP($A201,MSoccer!$C:$O,N$1-2011,FALSE),0)+IFERROR(VLOOKUP($A201,MVolleyball!$C:$O,N$1-2011,FALSE),0)+IFERROR(VLOOKUP($A201,WBasketball!$C:$O,N$1-2011,FALSE),0)+IFERROR(VLOOKUP($A201,WFieldHockey!$C:$O,N$1-2011,FALSE),0)+IFERROR(VLOOKUP($A201,WIceHockey!$C:$O,N$1-2011,FALSE),0)+IFERROR(VLOOKUP($A201,WLacrosse!$C:$O,N$1-2011,FALSE),0)+IFERROR(VLOOKUP($A201,WSoccer!$C:$O,N$1-2011,FALSE),0)+IFERROR(VLOOKUP($A201,WSoftball!$C:$O,N$1-2011,FALSE),0)+IFERROR(VLOOKUP($A201,WVolleyball!$C:$O,N$1-2011,FALSE),0)</f>
        <v>129519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BDF6-D266-463B-B3F4-92BD43A49E61}">
  <sheetPr>
    <tabColor theme="4"/>
  </sheetPr>
  <dimension ref="A1:O353"/>
  <sheetViews>
    <sheetView workbookViewId="0"/>
  </sheetViews>
  <sheetFormatPr baseColWidth="10" defaultColWidth="9.1640625" defaultRowHeight="15" x14ac:dyDescent="0.2"/>
  <cols>
    <col min="1" max="2" width="18.5" bestFit="1" customWidth="1"/>
    <col min="3" max="3" width="7" bestFit="1" customWidth="1"/>
    <col min="4" max="4" width="8.1640625" bestFit="1" customWidth="1"/>
    <col min="5" max="14" width="7" bestFit="1" customWidth="1"/>
  </cols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13678</v>
      </c>
      <c r="F2">
        <v>14680</v>
      </c>
      <c r="G2">
        <v>9931</v>
      </c>
      <c r="H2">
        <v>24033</v>
      </c>
      <c r="I2">
        <v>21189</v>
      </c>
      <c r="J2">
        <v>16178</v>
      </c>
      <c r="K2">
        <v>4414</v>
      </c>
      <c r="L2">
        <v>8523</v>
      </c>
      <c r="M2">
        <v>17576</v>
      </c>
      <c r="N2">
        <v>11908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17459</v>
      </c>
      <c r="F3">
        <v>16358</v>
      </c>
      <c r="G3">
        <v>15304</v>
      </c>
      <c r="H3">
        <v>19295</v>
      </c>
      <c r="I3">
        <v>15837</v>
      </c>
      <c r="J3">
        <v>16687</v>
      </c>
      <c r="K3">
        <v>2064</v>
      </c>
      <c r="L3">
        <v>9445</v>
      </c>
      <c r="M3">
        <v>15294</v>
      </c>
      <c r="N3">
        <v>19653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2506</v>
      </c>
      <c r="F4">
        <v>2496</v>
      </c>
      <c r="G4">
        <v>2960</v>
      </c>
      <c r="H4">
        <v>3146</v>
      </c>
      <c r="I4">
        <v>3804</v>
      </c>
      <c r="J4">
        <v>2530</v>
      </c>
      <c r="K4">
        <v>526</v>
      </c>
      <c r="L4">
        <v>1740</v>
      </c>
      <c r="M4">
        <v>2747</v>
      </c>
      <c r="N4">
        <v>2678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2347</v>
      </c>
      <c r="F5">
        <v>4598</v>
      </c>
      <c r="G5">
        <v>0</v>
      </c>
      <c r="H5">
        <v>0</v>
      </c>
      <c r="I5">
        <v>0</v>
      </c>
      <c r="J5">
        <v>0</v>
      </c>
      <c r="K5">
        <v>242</v>
      </c>
      <c r="L5">
        <v>3339</v>
      </c>
      <c r="M5">
        <v>4910</v>
      </c>
      <c r="N5">
        <v>3699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116578</v>
      </c>
      <c r="F6">
        <v>95460</v>
      </c>
      <c r="G6">
        <v>133720</v>
      </c>
      <c r="H6">
        <v>135845</v>
      </c>
      <c r="I6">
        <v>111986</v>
      </c>
      <c r="J6">
        <v>96555</v>
      </c>
      <c r="K6">
        <v>36129</v>
      </c>
      <c r="L6">
        <v>58527</v>
      </c>
      <c r="M6">
        <v>102223</v>
      </c>
      <c r="N6">
        <v>137463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2208</v>
      </c>
      <c r="F7">
        <v>1230</v>
      </c>
      <c r="G7">
        <v>1553</v>
      </c>
      <c r="H7">
        <v>2634</v>
      </c>
      <c r="I7">
        <v>2292</v>
      </c>
      <c r="J7">
        <v>879</v>
      </c>
      <c r="K7">
        <v>604</v>
      </c>
      <c r="L7">
        <v>860</v>
      </c>
      <c r="M7">
        <v>1854</v>
      </c>
      <c r="N7">
        <v>0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5010</v>
      </c>
      <c r="F8">
        <v>3822</v>
      </c>
      <c r="G8">
        <v>2823</v>
      </c>
      <c r="H8">
        <v>4083</v>
      </c>
      <c r="I8">
        <v>6969</v>
      </c>
      <c r="J8">
        <v>5001</v>
      </c>
      <c r="K8">
        <v>1117</v>
      </c>
      <c r="L8">
        <v>2530</v>
      </c>
      <c r="M8">
        <v>4839</v>
      </c>
      <c r="N8">
        <v>10836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1131</v>
      </c>
      <c r="F9">
        <v>1671</v>
      </c>
      <c r="G9">
        <v>1742</v>
      </c>
      <c r="H9">
        <v>2562</v>
      </c>
      <c r="I9">
        <v>2606</v>
      </c>
      <c r="J9">
        <v>1028</v>
      </c>
      <c r="K9">
        <v>0</v>
      </c>
      <c r="L9">
        <v>1198</v>
      </c>
      <c r="M9">
        <v>3251</v>
      </c>
      <c r="N9">
        <v>5404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5959</v>
      </c>
      <c r="F11">
        <v>8427</v>
      </c>
      <c r="G11">
        <v>7459</v>
      </c>
      <c r="H11">
        <v>8804</v>
      </c>
      <c r="I11">
        <v>5641</v>
      </c>
      <c r="J11">
        <v>8683</v>
      </c>
      <c r="K11">
        <v>1219</v>
      </c>
      <c r="L11">
        <v>4618</v>
      </c>
      <c r="M11">
        <v>10869</v>
      </c>
      <c r="N11">
        <v>14259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95793</v>
      </c>
      <c r="F12">
        <v>95946</v>
      </c>
      <c r="G12">
        <v>91302</v>
      </c>
      <c r="H12">
        <v>103896</v>
      </c>
      <c r="I12">
        <v>93511</v>
      </c>
      <c r="J12">
        <v>81394</v>
      </c>
      <c r="K12">
        <v>21831</v>
      </c>
      <c r="L12">
        <v>60554</v>
      </c>
      <c r="M12">
        <v>100226</v>
      </c>
      <c r="N12">
        <v>94939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85324</v>
      </c>
      <c r="F13">
        <v>108510</v>
      </c>
      <c r="G13">
        <v>78421</v>
      </c>
      <c r="H13">
        <v>83891</v>
      </c>
      <c r="I13">
        <v>80946</v>
      </c>
      <c r="J13">
        <v>99267</v>
      </c>
      <c r="K13">
        <v>38729</v>
      </c>
      <c r="L13">
        <v>40816</v>
      </c>
      <c r="M13">
        <v>102355</v>
      </c>
      <c r="N13">
        <v>96298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4312</v>
      </c>
      <c r="F14">
        <v>2544</v>
      </c>
      <c r="G14">
        <v>2898</v>
      </c>
      <c r="H14">
        <v>1856</v>
      </c>
      <c r="I14">
        <v>4086</v>
      </c>
      <c r="J14">
        <v>429</v>
      </c>
      <c r="K14">
        <v>1158</v>
      </c>
      <c r="L14">
        <v>520</v>
      </c>
      <c r="M14">
        <v>3702</v>
      </c>
      <c r="N14">
        <v>3379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255274</v>
      </c>
      <c r="F15">
        <v>273605</v>
      </c>
      <c r="G15">
        <v>265718</v>
      </c>
      <c r="H15">
        <v>289421</v>
      </c>
      <c r="I15">
        <v>318856</v>
      </c>
      <c r="J15">
        <v>348775</v>
      </c>
      <c r="K15">
        <v>116387</v>
      </c>
      <c r="L15">
        <v>264643</v>
      </c>
      <c r="M15">
        <v>363153</v>
      </c>
      <c r="N15">
        <v>370940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12225</v>
      </c>
      <c r="F16">
        <v>9246</v>
      </c>
      <c r="G16">
        <v>11448</v>
      </c>
      <c r="H16">
        <v>10790</v>
      </c>
      <c r="I16">
        <v>8140</v>
      </c>
      <c r="J16">
        <v>9649</v>
      </c>
      <c r="K16">
        <v>3229</v>
      </c>
      <c r="L16">
        <v>5573</v>
      </c>
      <c r="M16">
        <v>8334</v>
      </c>
      <c r="N16">
        <v>9441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v>2917</v>
      </c>
      <c r="F17">
        <v>1978</v>
      </c>
      <c r="G17">
        <v>2361</v>
      </c>
      <c r="H17">
        <v>1870</v>
      </c>
      <c r="I17">
        <v>3212</v>
      </c>
      <c r="J17">
        <v>3521</v>
      </c>
      <c r="K17">
        <v>0</v>
      </c>
      <c r="L17">
        <v>5053</v>
      </c>
      <c r="M17">
        <v>5883</v>
      </c>
      <c r="N17">
        <v>5700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v>107500</v>
      </c>
      <c r="F18">
        <v>97439</v>
      </c>
      <c r="G18">
        <v>92274</v>
      </c>
      <c r="H18">
        <v>104958</v>
      </c>
      <c r="I18">
        <v>103340</v>
      </c>
      <c r="J18">
        <v>106225</v>
      </c>
      <c r="K18">
        <v>55173</v>
      </c>
      <c r="L18">
        <v>31981</v>
      </c>
      <c r="M18">
        <v>121706</v>
      </c>
      <c r="N18">
        <v>129948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v>8978</v>
      </c>
      <c r="F19">
        <v>9077</v>
      </c>
      <c r="G19">
        <v>11167</v>
      </c>
      <c r="H19">
        <v>8965</v>
      </c>
      <c r="I19">
        <v>7451</v>
      </c>
      <c r="J19">
        <v>6596</v>
      </c>
      <c r="K19">
        <v>2483</v>
      </c>
      <c r="L19">
        <v>4559</v>
      </c>
      <c r="M19">
        <v>8088</v>
      </c>
      <c r="N19">
        <v>8623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v>3026</v>
      </c>
      <c r="F20">
        <v>6963</v>
      </c>
      <c r="G20">
        <v>5913</v>
      </c>
      <c r="H20">
        <v>5912</v>
      </c>
      <c r="I20">
        <v>4668</v>
      </c>
      <c r="J20">
        <v>7456</v>
      </c>
      <c r="K20">
        <v>268</v>
      </c>
      <c r="L20">
        <v>2998</v>
      </c>
      <c r="M20">
        <v>8156</v>
      </c>
      <c r="N20">
        <v>2111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v>78679</v>
      </c>
      <c r="F21">
        <v>65631</v>
      </c>
      <c r="G21">
        <v>74735</v>
      </c>
      <c r="H21">
        <v>71008</v>
      </c>
      <c r="I21">
        <v>56754</v>
      </c>
      <c r="J21">
        <v>61414</v>
      </c>
      <c r="K21">
        <v>17726</v>
      </c>
      <c r="L21">
        <v>35227</v>
      </c>
      <c r="M21">
        <v>54522</v>
      </c>
      <c r="N21">
        <v>68457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v>8875</v>
      </c>
      <c r="F22">
        <v>7429</v>
      </c>
      <c r="G22">
        <v>8022</v>
      </c>
      <c r="H22">
        <v>6421</v>
      </c>
      <c r="I22">
        <v>5195</v>
      </c>
      <c r="J22">
        <v>4931</v>
      </c>
      <c r="K22">
        <v>2101</v>
      </c>
      <c r="L22">
        <v>2349</v>
      </c>
      <c r="M22">
        <v>4123</v>
      </c>
      <c r="N22">
        <v>5421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v>6660</v>
      </c>
      <c r="F23">
        <v>2121</v>
      </c>
      <c r="G23">
        <v>3678</v>
      </c>
      <c r="H23">
        <v>3372</v>
      </c>
      <c r="I23">
        <v>4009</v>
      </c>
      <c r="J23">
        <v>5081</v>
      </c>
      <c r="K23">
        <v>1933</v>
      </c>
      <c r="L23">
        <v>0</v>
      </c>
      <c r="M23">
        <v>3136</v>
      </c>
      <c r="N23">
        <v>4425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v>2962</v>
      </c>
      <c r="F24">
        <v>3098</v>
      </c>
      <c r="G24">
        <v>2332</v>
      </c>
      <c r="H24">
        <v>4701</v>
      </c>
      <c r="I24">
        <v>3076</v>
      </c>
      <c r="J24">
        <v>5287</v>
      </c>
      <c r="K24">
        <v>0</v>
      </c>
      <c r="L24">
        <v>1415</v>
      </c>
      <c r="M24">
        <v>9609</v>
      </c>
      <c r="N24">
        <v>10836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9279</v>
      </c>
      <c r="L25">
        <v>0</v>
      </c>
      <c r="M25">
        <v>0</v>
      </c>
      <c r="N25">
        <v>0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v>9670</v>
      </c>
      <c r="F26">
        <v>10470</v>
      </c>
      <c r="G26">
        <v>10613</v>
      </c>
      <c r="H26">
        <v>14459</v>
      </c>
      <c r="I26">
        <v>13657</v>
      </c>
      <c r="J26">
        <v>7024</v>
      </c>
      <c r="K26">
        <v>382</v>
      </c>
      <c r="L26">
        <v>2650</v>
      </c>
      <c r="M26">
        <v>12295</v>
      </c>
      <c r="N26">
        <v>17709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v>3844</v>
      </c>
      <c r="F28">
        <v>4526</v>
      </c>
      <c r="G28">
        <v>3046</v>
      </c>
      <c r="H28">
        <v>3118</v>
      </c>
      <c r="I28">
        <v>5376</v>
      </c>
      <c r="J28">
        <v>5288</v>
      </c>
      <c r="K28">
        <v>0</v>
      </c>
      <c r="L28">
        <v>0</v>
      </c>
      <c r="M28">
        <v>5009</v>
      </c>
      <c r="N28">
        <v>4684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v>5025</v>
      </c>
      <c r="F29">
        <v>6145</v>
      </c>
      <c r="G29">
        <v>4142</v>
      </c>
      <c r="H29">
        <v>6175</v>
      </c>
      <c r="I29">
        <v>3756</v>
      </c>
      <c r="J29">
        <v>5015</v>
      </c>
      <c r="K29">
        <v>0</v>
      </c>
      <c r="L29">
        <v>3437</v>
      </c>
      <c r="M29">
        <v>5742</v>
      </c>
      <c r="N29">
        <v>4507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v>1358</v>
      </c>
      <c r="F30">
        <v>2045</v>
      </c>
      <c r="G30">
        <v>3418</v>
      </c>
      <c r="H30">
        <v>3767</v>
      </c>
      <c r="I30">
        <v>3845</v>
      </c>
      <c r="J30">
        <v>3011</v>
      </c>
      <c r="K30">
        <v>0</v>
      </c>
      <c r="L30">
        <v>0</v>
      </c>
      <c r="M30">
        <v>2276</v>
      </c>
      <c r="N30">
        <v>3377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v>3258</v>
      </c>
      <c r="F31">
        <v>4730</v>
      </c>
      <c r="G31">
        <v>6895</v>
      </c>
      <c r="H31">
        <v>5410</v>
      </c>
      <c r="I31">
        <v>4391</v>
      </c>
      <c r="J31">
        <v>4775</v>
      </c>
      <c r="K31">
        <v>0</v>
      </c>
      <c r="L31">
        <v>1710</v>
      </c>
      <c r="M31">
        <v>5815</v>
      </c>
      <c r="N31">
        <v>1700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v>2274</v>
      </c>
      <c r="F32">
        <v>2725</v>
      </c>
      <c r="G32">
        <v>2600</v>
      </c>
      <c r="H32">
        <v>1401</v>
      </c>
      <c r="I32">
        <v>2740</v>
      </c>
      <c r="J32">
        <v>1874</v>
      </c>
      <c r="K32">
        <v>0</v>
      </c>
      <c r="L32">
        <v>1063</v>
      </c>
      <c r="M32">
        <v>3000</v>
      </c>
      <c r="N32">
        <v>6752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v>1090</v>
      </c>
      <c r="F33">
        <v>1384</v>
      </c>
      <c r="G33">
        <v>2091</v>
      </c>
      <c r="H33">
        <v>1826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v>2900</v>
      </c>
      <c r="F34">
        <v>3627</v>
      </c>
      <c r="G34">
        <v>5452</v>
      </c>
      <c r="H34">
        <v>3582</v>
      </c>
      <c r="I34">
        <v>6552</v>
      </c>
      <c r="J34">
        <v>5076</v>
      </c>
      <c r="K34">
        <v>346</v>
      </c>
      <c r="L34">
        <v>2694</v>
      </c>
      <c r="M34">
        <v>6139</v>
      </c>
      <c r="N34">
        <v>3476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v>20169</v>
      </c>
      <c r="F35">
        <v>18367</v>
      </c>
      <c r="G35">
        <v>43396</v>
      </c>
      <c r="H35">
        <v>36925</v>
      </c>
      <c r="I35">
        <v>33854</v>
      </c>
      <c r="J35">
        <v>27954</v>
      </c>
      <c r="K35">
        <v>1640</v>
      </c>
      <c r="L35">
        <v>9177</v>
      </c>
      <c r="M35">
        <v>43012</v>
      </c>
      <c r="N35">
        <v>35032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v>56429</v>
      </c>
      <c r="F36">
        <v>31005</v>
      </c>
      <c r="G36">
        <v>36290</v>
      </c>
      <c r="H36">
        <v>38094</v>
      </c>
      <c r="I36">
        <v>43139</v>
      </c>
      <c r="J36">
        <v>42313</v>
      </c>
      <c r="K36">
        <v>19022</v>
      </c>
      <c r="L36">
        <v>15268</v>
      </c>
      <c r="M36">
        <v>60973</v>
      </c>
      <c r="N36">
        <v>52960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v>57459</v>
      </c>
      <c r="F37">
        <v>57951</v>
      </c>
      <c r="G37">
        <v>56597</v>
      </c>
      <c r="H37">
        <v>51807</v>
      </c>
      <c r="I37">
        <v>52238</v>
      </c>
      <c r="J37">
        <v>38877</v>
      </c>
      <c r="K37">
        <v>11885</v>
      </c>
      <c r="L37">
        <v>0</v>
      </c>
      <c r="M37">
        <v>34843</v>
      </c>
      <c r="N37">
        <v>35806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v>20941</v>
      </c>
      <c r="F38">
        <v>25050</v>
      </c>
      <c r="G38">
        <v>25634</v>
      </c>
      <c r="H38">
        <v>20930</v>
      </c>
      <c r="I38">
        <v>20930</v>
      </c>
      <c r="J38">
        <v>17663</v>
      </c>
      <c r="K38">
        <v>4753</v>
      </c>
      <c r="L38">
        <v>0</v>
      </c>
      <c r="M38">
        <v>20667</v>
      </c>
      <c r="N38">
        <v>14811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11058</v>
      </c>
      <c r="K39">
        <v>3273</v>
      </c>
      <c r="L39">
        <v>1400</v>
      </c>
      <c r="M39">
        <v>14357</v>
      </c>
      <c r="N39">
        <v>12969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v>13248</v>
      </c>
      <c r="F40">
        <v>12115</v>
      </c>
      <c r="G40">
        <v>10195</v>
      </c>
      <c r="H40">
        <v>16830</v>
      </c>
      <c r="I40">
        <v>19814</v>
      </c>
      <c r="J40">
        <v>19614</v>
      </c>
      <c r="K40">
        <v>3133</v>
      </c>
      <c r="L40">
        <v>18211</v>
      </c>
      <c r="M40">
        <v>18965</v>
      </c>
      <c r="N40">
        <v>20659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v>3574</v>
      </c>
      <c r="F41">
        <v>1969</v>
      </c>
      <c r="G41">
        <v>2892</v>
      </c>
      <c r="H41">
        <v>3531</v>
      </c>
      <c r="I41">
        <v>3055</v>
      </c>
      <c r="J41">
        <v>2314</v>
      </c>
      <c r="K41">
        <v>0</v>
      </c>
      <c r="L41">
        <v>704</v>
      </c>
      <c r="M41">
        <v>2392</v>
      </c>
      <c r="N41">
        <v>2488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v>7494</v>
      </c>
      <c r="F42">
        <v>7824</v>
      </c>
      <c r="G42">
        <v>10541</v>
      </c>
      <c r="H42">
        <v>8821</v>
      </c>
      <c r="I42">
        <v>9604</v>
      </c>
      <c r="J42">
        <v>9357</v>
      </c>
      <c r="K42">
        <v>3898</v>
      </c>
      <c r="L42">
        <v>6922</v>
      </c>
      <c r="M42">
        <v>8907</v>
      </c>
      <c r="N42">
        <v>8514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v>3618</v>
      </c>
      <c r="F43">
        <v>3621</v>
      </c>
      <c r="G43">
        <v>4921</v>
      </c>
      <c r="H43">
        <v>4652</v>
      </c>
      <c r="I43">
        <v>5391</v>
      </c>
      <c r="J43">
        <v>2542</v>
      </c>
      <c r="K43">
        <v>475</v>
      </c>
      <c r="L43">
        <v>50</v>
      </c>
      <c r="M43">
        <v>4014</v>
      </c>
      <c r="N43">
        <v>3337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v>6557</v>
      </c>
      <c r="F44">
        <v>4206</v>
      </c>
      <c r="G44">
        <v>5529</v>
      </c>
      <c r="H44">
        <v>4142</v>
      </c>
      <c r="I44">
        <v>3578</v>
      </c>
      <c r="J44">
        <v>4019</v>
      </c>
      <c r="K44">
        <v>0</v>
      </c>
      <c r="L44">
        <v>2350</v>
      </c>
      <c r="M44">
        <v>7324</v>
      </c>
      <c r="N44">
        <v>6818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v>4959</v>
      </c>
      <c r="F45">
        <v>5771</v>
      </c>
      <c r="G45">
        <v>6369</v>
      </c>
      <c r="H45">
        <v>4813</v>
      </c>
      <c r="I45">
        <v>4714</v>
      </c>
      <c r="J45">
        <v>13677</v>
      </c>
      <c r="K45">
        <v>3153</v>
      </c>
      <c r="L45">
        <v>3119</v>
      </c>
      <c r="M45">
        <v>3979</v>
      </c>
      <c r="N45">
        <v>5745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v>23069</v>
      </c>
      <c r="F46">
        <v>26079</v>
      </c>
      <c r="G46">
        <v>34140</v>
      </c>
      <c r="H46">
        <v>32352</v>
      </c>
      <c r="I46">
        <v>28736</v>
      </c>
      <c r="J46">
        <v>30742</v>
      </c>
      <c r="K46">
        <v>9796</v>
      </c>
      <c r="L46">
        <v>7848</v>
      </c>
      <c r="M46">
        <v>27105</v>
      </c>
      <c r="N46">
        <v>28056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v>3528</v>
      </c>
      <c r="F48">
        <v>1431</v>
      </c>
      <c r="G48">
        <v>1960</v>
      </c>
      <c r="H48">
        <v>1558</v>
      </c>
      <c r="I48">
        <v>2015</v>
      </c>
      <c r="J48">
        <v>2982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v>18521</v>
      </c>
      <c r="F49">
        <v>13386</v>
      </c>
      <c r="G49">
        <v>12449</v>
      </c>
      <c r="H49">
        <v>20772</v>
      </c>
      <c r="I49">
        <v>16523</v>
      </c>
      <c r="J49">
        <v>36208</v>
      </c>
      <c r="K49">
        <v>8942</v>
      </c>
      <c r="L49">
        <v>10866</v>
      </c>
      <c r="M49">
        <v>23671</v>
      </c>
      <c r="N49">
        <v>19941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v>144500</v>
      </c>
      <c r="F50">
        <v>119023</v>
      </c>
      <c r="G50">
        <v>163227</v>
      </c>
      <c r="H50">
        <v>180388</v>
      </c>
      <c r="I50">
        <v>169450</v>
      </c>
      <c r="J50">
        <v>142042</v>
      </c>
      <c r="K50">
        <v>64667</v>
      </c>
      <c r="L50">
        <v>39692</v>
      </c>
      <c r="M50">
        <v>140283</v>
      </c>
      <c r="N50">
        <v>157814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v>19478</v>
      </c>
      <c r="F52">
        <v>45989</v>
      </c>
      <c r="G52">
        <v>54354</v>
      </c>
      <c r="H52">
        <v>64606</v>
      </c>
      <c r="I52">
        <v>64294</v>
      </c>
      <c r="J52">
        <v>53242</v>
      </c>
      <c r="K52">
        <v>28856</v>
      </c>
      <c r="L52">
        <v>25658</v>
      </c>
      <c r="M52">
        <v>45389</v>
      </c>
      <c r="N52">
        <v>81544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v>15865</v>
      </c>
      <c r="F53">
        <v>14289</v>
      </c>
      <c r="G53">
        <v>17518</v>
      </c>
      <c r="H53">
        <v>16143</v>
      </c>
      <c r="I53">
        <v>20741</v>
      </c>
      <c r="J53">
        <v>19829</v>
      </c>
      <c r="K53">
        <v>7021</v>
      </c>
      <c r="L53">
        <v>14594</v>
      </c>
      <c r="M53">
        <v>17503</v>
      </c>
      <c r="N53">
        <v>23376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v>1439</v>
      </c>
      <c r="F57">
        <v>5211</v>
      </c>
      <c r="G57">
        <v>7203</v>
      </c>
      <c r="H57">
        <v>7616</v>
      </c>
      <c r="I57">
        <v>7410</v>
      </c>
      <c r="J57">
        <v>5948</v>
      </c>
      <c r="K57">
        <v>0</v>
      </c>
      <c r="L57">
        <v>0</v>
      </c>
      <c r="M57">
        <v>3750</v>
      </c>
      <c r="N57">
        <v>4431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v>1556</v>
      </c>
      <c r="F58">
        <v>1703</v>
      </c>
      <c r="G58">
        <v>1139</v>
      </c>
      <c r="H58">
        <v>1143</v>
      </c>
      <c r="I58">
        <v>1915</v>
      </c>
      <c r="J58">
        <v>1751</v>
      </c>
      <c r="K58">
        <v>0</v>
      </c>
      <c r="L58">
        <v>1000</v>
      </c>
      <c r="M58">
        <v>2380</v>
      </c>
      <c r="N58">
        <v>2944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v>2038</v>
      </c>
      <c r="F59">
        <v>2408</v>
      </c>
      <c r="G59">
        <v>2183</v>
      </c>
      <c r="H59">
        <v>2341</v>
      </c>
      <c r="I59">
        <v>2779</v>
      </c>
      <c r="J59">
        <v>2114</v>
      </c>
      <c r="K59">
        <v>0</v>
      </c>
      <c r="L59">
        <v>0</v>
      </c>
      <c r="M59">
        <v>2161</v>
      </c>
      <c r="N59">
        <v>2036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v>71426</v>
      </c>
      <c r="F60">
        <v>78147</v>
      </c>
      <c r="G60">
        <v>79570</v>
      </c>
      <c r="H60">
        <v>62243</v>
      </c>
      <c r="I60">
        <v>65095</v>
      </c>
      <c r="J60">
        <v>42521</v>
      </c>
      <c r="K60">
        <v>5188</v>
      </c>
      <c r="L60">
        <v>21141</v>
      </c>
      <c r="M60">
        <v>44346</v>
      </c>
      <c r="N60">
        <v>42186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v>14419</v>
      </c>
      <c r="F61">
        <v>15338</v>
      </c>
      <c r="G61">
        <v>19454</v>
      </c>
      <c r="H61">
        <v>18611</v>
      </c>
      <c r="I61">
        <v>16167</v>
      </c>
      <c r="J61">
        <v>12127</v>
      </c>
      <c r="K61">
        <v>5159</v>
      </c>
      <c r="L61">
        <v>1491</v>
      </c>
      <c r="M61">
        <v>17602</v>
      </c>
      <c r="N61">
        <v>12886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v>8426</v>
      </c>
      <c r="F62">
        <v>8769</v>
      </c>
      <c r="G62">
        <v>9519</v>
      </c>
      <c r="H62">
        <v>10717</v>
      </c>
      <c r="I62">
        <v>10825</v>
      </c>
      <c r="J62">
        <v>11132</v>
      </c>
      <c r="K62">
        <v>840</v>
      </c>
      <c r="L62">
        <v>508</v>
      </c>
      <c r="M62">
        <v>5724</v>
      </c>
      <c r="N62">
        <v>9831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v>3806</v>
      </c>
      <c r="F63">
        <v>2270</v>
      </c>
      <c r="G63">
        <v>2610</v>
      </c>
      <c r="H63">
        <v>3104</v>
      </c>
      <c r="I63">
        <v>2392</v>
      </c>
      <c r="J63">
        <v>2683</v>
      </c>
      <c r="K63">
        <v>0</v>
      </c>
      <c r="L63">
        <v>0</v>
      </c>
      <c r="M63">
        <v>2046</v>
      </c>
      <c r="N63">
        <v>2322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v>7029</v>
      </c>
      <c r="F64">
        <v>8778</v>
      </c>
      <c r="G64">
        <v>8542</v>
      </c>
      <c r="H64">
        <v>8198</v>
      </c>
      <c r="I64">
        <v>9010</v>
      </c>
      <c r="J64">
        <v>9004</v>
      </c>
      <c r="K64">
        <v>3996</v>
      </c>
      <c r="L64">
        <v>500</v>
      </c>
      <c r="M64">
        <v>9655</v>
      </c>
      <c r="N64">
        <v>9791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v>4293</v>
      </c>
      <c r="F65">
        <v>3970</v>
      </c>
      <c r="G65">
        <v>4357</v>
      </c>
      <c r="H65">
        <v>4103</v>
      </c>
      <c r="I65">
        <v>3768</v>
      </c>
      <c r="J65">
        <v>3845</v>
      </c>
      <c r="K65">
        <v>285</v>
      </c>
      <c r="L65">
        <v>3864</v>
      </c>
      <c r="M65">
        <v>8454</v>
      </c>
      <c r="N65">
        <v>11425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v>5466</v>
      </c>
      <c r="F66">
        <v>3780</v>
      </c>
      <c r="G66">
        <v>7173</v>
      </c>
      <c r="H66">
        <v>8880</v>
      </c>
      <c r="I66">
        <v>7146</v>
      </c>
      <c r="J66">
        <v>4911</v>
      </c>
      <c r="K66">
        <v>1142</v>
      </c>
      <c r="L66">
        <v>562</v>
      </c>
      <c r="M66">
        <v>7131</v>
      </c>
      <c r="N66">
        <v>6783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v>2003</v>
      </c>
      <c r="F67">
        <v>1056</v>
      </c>
      <c r="G67">
        <v>1445</v>
      </c>
      <c r="H67">
        <v>2128</v>
      </c>
      <c r="I67">
        <v>1700</v>
      </c>
      <c r="J67">
        <v>1519</v>
      </c>
      <c r="K67">
        <v>786</v>
      </c>
      <c r="L67">
        <v>341</v>
      </c>
      <c r="M67">
        <v>1931</v>
      </c>
      <c r="N67">
        <v>3507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v>13517</v>
      </c>
      <c r="F73">
        <v>11827</v>
      </c>
      <c r="G73">
        <v>18239</v>
      </c>
      <c r="H73">
        <v>14064</v>
      </c>
      <c r="I73">
        <v>34196</v>
      </c>
      <c r="J73">
        <v>18658</v>
      </c>
      <c r="K73">
        <v>5167</v>
      </c>
      <c r="L73">
        <v>0</v>
      </c>
      <c r="M73">
        <v>24946</v>
      </c>
      <c r="N73">
        <v>25692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v>71772</v>
      </c>
      <c r="F75">
        <v>74388</v>
      </c>
      <c r="G75">
        <v>81895</v>
      </c>
      <c r="H75">
        <v>97299</v>
      </c>
      <c r="I75">
        <v>98186</v>
      </c>
      <c r="J75">
        <v>105098</v>
      </c>
      <c r="K75">
        <v>32972</v>
      </c>
      <c r="L75">
        <v>36620</v>
      </c>
      <c r="M75">
        <v>137252</v>
      </c>
      <c r="N75">
        <v>149652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v>4581</v>
      </c>
      <c r="F76">
        <v>3875</v>
      </c>
      <c r="G76">
        <v>4445</v>
      </c>
      <c r="H76">
        <v>3812</v>
      </c>
      <c r="I76">
        <v>2195</v>
      </c>
      <c r="J76">
        <v>3711</v>
      </c>
      <c r="K76">
        <v>725</v>
      </c>
      <c r="L76">
        <v>1770</v>
      </c>
      <c r="M76">
        <v>1779</v>
      </c>
      <c r="N76">
        <v>2711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v>2925</v>
      </c>
      <c r="F77">
        <v>2056</v>
      </c>
      <c r="G77">
        <v>2975</v>
      </c>
      <c r="H77">
        <v>6449</v>
      </c>
      <c r="I77">
        <v>5236</v>
      </c>
      <c r="J77">
        <v>5507</v>
      </c>
      <c r="K77">
        <v>650</v>
      </c>
      <c r="L77">
        <v>3736</v>
      </c>
      <c r="M77">
        <v>8084</v>
      </c>
      <c r="N77">
        <v>6967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v>2713</v>
      </c>
      <c r="F78">
        <v>4457</v>
      </c>
      <c r="G78">
        <v>3273</v>
      </c>
      <c r="H78">
        <v>3927</v>
      </c>
      <c r="I78">
        <v>3885</v>
      </c>
      <c r="J78">
        <v>4723</v>
      </c>
      <c r="K78">
        <v>0</v>
      </c>
      <c r="L78">
        <v>4520</v>
      </c>
      <c r="M78">
        <v>4896</v>
      </c>
      <c r="N78">
        <v>9566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v>9414</v>
      </c>
      <c r="F80">
        <v>7469</v>
      </c>
      <c r="G80">
        <v>10232</v>
      </c>
      <c r="H80">
        <v>8462</v>
      </c>
      <c r="I80">
        <v>14094</v>
      </c>
      <c r="J80">
        <v>9197</v>
      </c>
      <c r="K80">
        <v>2846</v>
      </c>
      <c r="L80">
        <v>1515</v>
      </c>
      <c r="M80">
        <v>23081</v>
      </c>
      <c r="N80">
        <v>14310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v>18643</v>
      </c>
      <c r="F81">
        <v>14043</v>
      </c>
      <c r="G81">
        <v>14029</v>
      </c>
      <c r="H81">
        <v>14193</v>
      </c>
      <c r="I81">
        <v>10709</v>
      </c>
      <c r="J81">
        <v>14884</v>
      </c>
      <c r="K81">
        <v>4361</v>
      </c>
      <c r="L81">
        <v>6165</v>
      </c>
      <c r="M81">
        <v>11616</v>
      </c>
      <c r="N81">
        <v>14243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v>6789</v>
      </c>
      <c r="F82">
        <v>6201</v>
      </c>
      <c r="G82">
        <v>6028</v>
      </c>
      <c r="H82">
        <v>6493</v>
      </c>
      <c r="I82">
        <v>3929</v>
      </c>
      <c r="J82">
        <v>4688</v>
      </c>
      <c r="K82">
        <v>1725</v>
      </c>
      <c r="L82">
        <v>0</v>
      </c>
      <c r="M82">
        <v>9142</v>
      </c>
      <c r="N82">
        <v>10493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v>1709</v>
      </c>
      <c r="F83">
        <v>1763</v>
      </c>
      <c r="G83">
        <v>2465</v>
      </c>
      <c r="H83">
        <v>4056</v>
      </c>
      <c r="I83">
        <v>3453</v>
      </c>
      <c r="J83">
        <v>3133</v>
      </c>
      <c r="K83">
        <v>0</v>
      </c>
      <c r="L83">
        <v>1966</v>
      </c>
      <c r="M83">
        <v>3549</v>
      </c>
      <c r="N83">
        <v>4070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v>1778</v>
      </c>
      <c r="F84">
        <v>2028</v>
      </c>
      <c r="G84">
        <v>2839</v>
      </c>
      <c r="H84">
        <v>1489</v>
      </c>
      <c r="I84">
        <v>1838</v>
      </c>
      <c r="J84">
        <v>2827</v>
      </c>
      <c r="K84">
        <v>438</v>
      </c>
      <c r="L84">
        <v>846</v>
      </c>
      <c r="M84">
        <v>2332</v>
      </c>
      <c r="N84">
        <v>3159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v>14799</v>
      </c>
      <c r="F85">
        <v>11776</v>
      </c>
      <c r="G85">
        <v>8435</v>
      </c>
      <c r="H85">
        <v>18058</v>
      </c>
      <c r="I85">
        <v>11222</v>
      </c>
      <c r="J85">
        <v>12818</v>
      </c>
      <c r="K85">
        <v>2202</v>
      </c>
      <c r="L85">
        <v>5893</v>
      </c>
      <c r="M85">
        <v>12308</v>
      </c>
      <c r="N85">
        <v>7379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v>15891</v>
      </c>
      <c r="F86">
        <v>9742</v>
      </c>
      <c r="G86">
        <v>9892</v>
      </c>
      <c r="H86">
        <v>18092</v>
      </c>
      <c r="I86">
        <v>17557</v>
      </c>
      <c r="J86">
        <v>13053</v>
      </c>
      <c r="K86">
        <v>5166</v>
      </c>
      <c r="L86">
        <v>1578</v>
      </c>
      <c r="M86">
        <v>10677</v>
      </c>
      <c r="N86">
        <v>19913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v>14295</v>
      </c>
      <c r="F87">
        <v>15105</v>
      </c>
      <c r="G87">
        <v>12685</v>
      </c>
      <c r="H87">
        <v>18508</v>
      </c>
      <c r="I87">
        <v>18434</v>
      </c>
      <c r="J87">
        <v>15427</v>
      </c>
      <c r="K87">
        <v>9602</v>
      </c>
      <c r="L87">
        <v>7690</v>
      </c>
      <c r="M87">
        <v>17018</v>
      </c>
      <c r="N87">
        <v>17275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v>115059</v>
      </c>
      <c r="F88">
        <v>138441</v>
      </c>
      <c r="G88">
        <v>154743</v>
      </c>
      <c r="H88">
        <v>156768</v>
      </c>
      <c r="I88">
        <v>165551</v>
      </c>
      <c r="J88">
        <v>141491</v>
      </c>
      <c r="K88">
        <v>47865</v>
      </c>
      <c r="L88">
        <v>82655</v>
      </c>
      <c r="M88">
        <v>196250</v>
      </c>
      <c r="N88">
        <v>259236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v>6024</v>
      </c>
      <c r="F89">
        <v>2751</v>
      </c>
      <c r="G89">
        <v>7813</v>
      </c>
      <c r="H89">
        <v>6107</v>
      </c>
      <c r="I89">
        <v>6842</v>
      </c>
      <c r="J89">
        <v>1563</v>
      </c>
      <c r="K89">
        <v>1574</v>
      </c>
      <c r="L89">
        <v>2076</v>
      </c>
      <c r="M89">
        <v>5812</v>
      </c>
      <c r="N89">
        <v>3656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v>170651</v>
      </c>
      <c r="F90">
        <v>158284</v>
      </c>
      <c r="G90">
        <v>153827</v>
      </c>
      <c r="H90">
        <v>177421</v>
      </c>
      <c r="I90">
        <v>169933</v>
      </c>
      <c r="J90">
        <v>160202</v>
      </c>
      <c r="K90">
        <v>54881</v>
      </c>
      <c r="L90">
        <v>45011</v>
      </c>
      <c r="M90">
        <v>153638</v>
      </c>
      <c r="N90">
        <v>134340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v>4680</v>
      </c>
      <c r="F91">
        <v>4085</v>
      </c>
      <c r="G91">
        <v>5238</v>
      </c>
      <c r="H91">
        <v>3680</v>
      </c>
      <c r="I91">
        <v>5705</v>
      </c>
      <c r="J91">
        <v>4322</v>
      </c>
      <c r="K91">
        <v>1206</v>
      </c>
      <c r="L91">
        <v>230</v>
      </c>
      <c r="M91">
        <v>4449</v>
      </c>
      <c r="N91">
        <v>5036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v>38604</v>
      </c>
      <c r="F92">
        <v>38305</v>
      </c>
      <c r="G92">
        <v>37562</v>
      </c>
      <c r="H92">
        <v>54820</v>
      </c>
      <c r="I92">
        <v>45812</v>
      </c>
      <c r="J92">
        <v>25356</v>
      </c>
      <c r="K92">
        <v>13685</v>
      </c>
      <c r="L92">
        <v>3775</v>
      </c>
      <c r="M92">
        <v>40263</v>
      </c>
      <c r="N92">
        <v>47761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v>14197</v>
      </c>
      <c r="F93">
        <v>14905</v>
      </c>
      <c r="G93">
        <v>16295</v>
      </c>
      <c r="H93">
        <v>13010</v>
      </c>
      <c r="I93">
        <v>12993</v>
      </c>
      <c r="J93">
        <v>13565</v>
      </c>
      <c r="K93">
        <v>7597</v>
      </c>
      <c r="L93">
        <v>0</v>
      </c>
      <c r="M93">
        <v>0</v>
      </c>
      <c r="N93">
        <v>0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v>38198</v>
      </c>
      <c r="F94">
        <v>38160</v>
      </c>
      <c r="G94">
        <v>26618</v>
      </c>
      <c r="H94">
        <v>32135</v>
      </c>
      <c r="I94">
        <v>19734</v>
      </c>
      <c r="J94">
        <v>25325</v>
      </c>
      <c r="K94">
        <v>11461</v>
      </c>
      <c r="L94">
        <v>18895</v>
      </c>
      <c r="M94">
        <v>54684</v>
      </c>
      <c r="N94">
        <v>71808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v>4694</v>
      </c>
      <c r="F95">
        <v>5294</v>
      </c>
      <c r="G95">
        <v>9271</v>
      </c>
      <c r="H95">
        <v>9503</v>
      </c>
      <c r="I95">
        <v>10115</v>
      </c>
      <c r="J95">
        <v>6145</v>
      </c>
      <c r="K95">
        <v>2767</v>
      </c>
      <c r="L95">
        <v>3370</v>
      </c>
      <c r="M95">
        <v>3046</v>
      </c>
      <c r="N95">
        <v>3654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v>3305</v>
      </c>
      <c r="F96">
        <v>6874</v>
      </c>
      <c r="G96">
        <v>4447</v>
      </c>
      <c r="H96">
        <v>4505</v>
      </c>
      <c r="I96">
        <v>2541</v>
      </c>
      <c r="J96">
        <v>4021</v>
      </c>
      <c r="K96">
        <v>643</v>
      </c>
      <c r="L96">
        <v>0</v>
      </c>
      <c r="M96">
        <v>4151</v>
      </c>
      <c r="N96">
        <v>3179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v>3982</v>
      </c>
      <c r="F97">
        <v>3782</v>
      </c>
      <c r="G97">
        <v>3571</v>
      </c>
      <c r="H97">
        <v>3883</v>
      </c>
      <c r="I97">
        <v>4409</v>
      </c>
      <c r="J97">
        <v>6261</v>
      </c>
      <c r="K97">
        <v>1787</v>
      </c>
      <c r="L97">
        <v>450</v>
      </c>
      <c r="M97">
        <v>4462</v>
      </c>
      <c r="N97">
        <v>4770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v>2915</v>
      </c>
      <c r="F98">
        <v>5686</v>
      </c>
      <c r="G98">
        <v>5119</v>
      </c>
      <c r="H98">
        <v>3047</v>
      </c>
      <c r="I98">
        <v>5195</v>
      </c>
      <c r="J98">
        <v>5590</v>
      </c>
      <c r="K98">
        <v>156</v>
      </c>
      <c r="L98">
        <v>0</v>
      </c>
      <c r="M98">
        <v>4770</v>
      </c>
      <c r="N98">
        <v>5857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v>69780</v>
      </c>
      <c r="F99">
        <v>63903</v>
      </c>
      <c r="G99">
        <v>78530</v>
      </c>
      <c r="H99">
        <v>96008</v>
      </c>
      <c r="I99">
        <v>72774</v>
      </c>
      <c r="J99">
        <v>83986</v>
      </c>
      <c r="K99">
        <v>31158</v>
      </c>
      <c r="L99">
        <v>25101</v>
      </c>
      <c r="M99">
        <v>99213</v>
      </c>
      <c r="N99">
        <v>97401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v>7830</v>
      </c>
      <c r="F100">
        <v>8485</v>
      </c>
      <c r="G100">
        <v>10279</v>
      </c>
      <c r="H100">
        <v>8198</v>
      </c>
      <c r="I100">
        <v>11233</v>
      </c>
      <c r="J100">
        <v>11245</v>
      </c>
      <c r="K100">
        <v>3222</v>
      </c>
      <c r="L100">
        <v>7590</v>
      </c>
      <c r="M100">
        <v>10413</v>
      </c>
      <c r="N100">
        <v>12355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v>47151</v>
      </c>
      <c r="F101">
        <v>42793</v>
      </c>
      <c r="G101">
        <v>46475</v>
      </c>
      <c r="H101">
        <v>39168</v>
      </c>
      <c r="I101">
        <v>39877</v>
      </c>
      <c r="J101">
        <v>54743</v>
      </c>
      <c r="K101">
        <v>15600</v>
      </c>
      <c r="L101">
        <v>22886</v>
      </c>
      <c r="M101">
        <v>45358</v>
      </c>
      <c r="N101">
        <v>44304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v>14433</v>
      </c>
      <c r="F102">
        <v>11437</v>
      </c>
      <c r="G102">
        <v>9746</v>
      </c>
      <c r="H102">
        <v>11833</v>
      </c>
      <c r="I102">
        <v>10397</v>
      </c>
      <c r="J102">
        <v>12001</v>
      </c>
      <c r="K102">
        <v>1043</v>
      </c>
      <c r="L102">
        <v>6302</v>
      </c>
      <c r="M102">
        <v>7652</v>
      </c>
      <c r="N102">
        <v>11410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v>3370</v>
      </c>
      <c r="F103">
        <v>1075</v>
      </c>
      <c r="G103">
        <v>1377</v>
      </c>
      <c r="H103">
        <v>2312</v>
      </c>
      <c r="I103">
        <v>3013</v>
      </c>
      <c r="J103">
        <v>2198</v>
      </c>
      <c r="K103">
        <v>605</v>
      </c>
      <c r="L103">
        <v>1780</v>
      </c>
      <c r="M103">
        <v>3374</v>
      </c>
      <c r="N103">
        <v>1835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v>4890</v>
      </c>
      <c r="F104">
        <v>14031</v>
      </c>
      <c r="G104">
        <v>20115</v>
      </c>
      <c r="H104">
        <v>15369</v>
      </c>
      <c r="I104">
        <v>29825</v>
      </c>
      <c r="J104">
        <v>24227</v>
      </c>
      <c r="K104">
        <v>12500</v>
      </c>
      <c r="L104">
        <v>15072</v>
      </c>
      <c r="M104">
        <v>36842</v>
      </c>
      <c r="N104">
        <v>38821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v>6081</v>
      </c>
      <c r="F107">
        <v>4962</v>
      </c>
      <c r="G107">
        <v>4117</v>
      </c>
      <c r="H107">
        <v>4309</v>
      </c>
      <c r="I107">
        <v>5991</v>
      </c>
      <c r="J107">
        <v>3427</v>
      </c>
      <c r="K107">
        <v>210</v>
      </c>
      <c r="L107">
        <v>987</v>
      </c>
      <c r="M107">
        <v>8622</v>
      </c>
      <c r="N107">
        <v>1489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v>1537</v>
      </c>
      <c r="F108">
        <v>2966</v>
      </c>
      <c r="G108">
        <v>3421</v>
      </c>
      <c r="H108">
        <v>2368</v>
      </c>
      <c r="I108">
        <v>2718</v>
      </c>
      <c r="J108">
        <v>5435</v>
      </c>
      <c r="K108">
        <v>0</v>
      </c>
      <c r="L108">
        <v>0</v>
      </c>
      <c r="M108">
        <v>3925</v>
      </c>
      <c r="N108">
        <v>4494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v>109924</v>
      </c>
      <c r="F109">
        <v>97979</v>
      </c>
      <c r="G109">
        <v>105724</v>
      </c>
      <c r="H109">
        <v>105743</v>
      </c>
      <c r="I109">
        <v>82730</v>
      </c>
      <c r="J109">
        <v>87532</v>
      </c>
      <c r="K109">
        <v>40139</v>
      </c>
      <c r="L109">
        <v>0</v>
      </c>
      <c r="M109">
        <v>54765</v>
      </c>
      <c r="N109">
        <v>83762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v>11877</v>
      </c>
      <c r="F110">
        <v>9235</v>
      </c>
      <c r="G110">
        <v>14556</v>
      </c>
      <c r="H110">
        <v>11849</v>
      </c>
      <c r="I110">
        <v>11274</v>
      </c>
      <c r="J110">
        <v>9743</v>
      </c>
      <c r="K110">
        <v>3814</v>
      </c>
      <c r="L110">
        <v>2321</v>
      </c>
      <c r="M110">
        <v>9853</v>
      </c>
      <c r="N110">
        <v>13628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v>3575</v>
      </c>
      <c r="F111">
        <v>3155</v>
      </c>
      <c r="G111">
        <v>2618</v>
      </c>
      <c r="H111">
        <v>4115</v>
      </c>
      <c r="I111">
        <v>4803</v>
      </c>
      <c r="J111">
        <v>3254</v>
      </c>
      <c r="K111">
        <v>247</v>
      </c>
      <c r="L111">
        <v>495</v>
      </c>
      <c r="M111">
        <v>4038</v>
      </c>
      <c r="N111">
        <v>3933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v>3214</v>
      </c>
      <c r="F112">
        <v>5252</v>
      </c>
      <c r="G112">
        <v>3930</v>
      </c>
      <c r="H112">
        <v>2802</v>
      </c>
      <c r="I112">
        <v>1942</v>
      </c>
      <c r="J112">
        <v>3842</v>
      </c>
      <c r="K112">
        <v>0</v>
      </c>
      <c r="L112">
        <v>1779</v>
      </c>
      <c r="M112">
        <v>2166</v>
      </c>
      <c r="N112">
        <v>3352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v>44409</v>
      </c>
      <c r="F113">
        <v>58648</v>
      </c>
      <c r="G113">
        <v>35835</v>
      </c>
      <c r="H113">
        <v>58840</v>
      </c>
      <c r="I113">
        <v>40256</v>
      </c>
      <c r="J113">
        <v>41282</v>
      </c>
      <c r="K113">
        <v>8030</v>
      </c>
      <c r="L113">
        <v>4638</v>
      </c>
      <c r="M113">
        <v>34808</v>
      </c>
      <c r="N113">
        <v>38116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v>7792</v>
      </c>
      <c r="F114">
        <v>7948</v>
      </c>
      <c r="G114">
        <v>7638</v>
      </c>
      <c r="H114">
        <v>10149</v>
      </c>
      <c r="I114">
        <v>7392</v>
      </c>
      <c r="J114">
        <v>9465</v>
      </c>
      <c r="K114">
        <v>1683</v>
      </c>
      <c r="L114">
        <v>3665</v>
      </c>
      <c r="M114">
        <v>6928</v>
      </c>
      <c r="N114">
        <v>2559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v>19401</v>
      </c>
      <c r="F118">
        <v>48207</v>
      </c>
      <c r="G118">
        <v>23597</v>
      </c>
      <c r="H118">
        <v>21484</v>
      </c>
      <c r="I118">
        <v>22192</v>
      </c>
      <c r="J118">
        <v>26883</v>
      </c>
      <c r="K118">
        <v>906</v>
      </c>
      <c r="L118">
        <v>2828</v>
      </c>
      <c r="M118">
        <v>18443</v>
      </c>
      <c r="N118">
        <v>16935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v>5394</v>
      </c>
      <c r="F119">
        <v>9505</v>
      </c>
      <c r="G119">
        <v>8421</v>
      </c>
      <c r="H119">
        <v>7925</v>
      </c>
      <c r="I119">
        <v>5350</v>
      </c>
      <c r="J119">
        <v>7069</v>
      </c>
      <c r="K119">
        <v>0</v>
      </c>
      <c r="L119">
        <v>550</v>
      </c>
      <c r="M119">
        <v>6990</v>
      </c>
      <c r="N119">
        <v>8411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v>68715</v>
      </c>
      <c r="F120">
        <v>55185</v>
      </c>
      <c r="G120">
        <v>49479</v>
      </c>
      <c r="H120">
        <v>49399</v>
      </c>
      <c r="I120">
        <v>49446</v>
      </c>
      <c r="J120">
        <v>48027</v>
      </c>
      <c r="K120">
        <v>8470</v>
      </c>
      <c r="L120">
        <v>3075</v>
      </c>
      <c r="M120">
        <v>40223</v>
      </c>
      <c r="N120">
        <v>42424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v>3991</v>
      </c>
      <c r="F121">
        <v>6037</v>
      </c>
      <c r="G121">
        <v>14740</v>
      </c>
      <c r="H121">
        <v>9938</v>
      </c>
      <c r="I121">
        <v>7144</v>
      </c>
      <c r="J121">
        <v>9154</v>
      </c>
      <c r="K121">
        <v>470</v>
      </c>
      <c r="L121">
        <v>2886</v>
      </c>
      <c r="M121">
        <v>13756</v>
      </c>
      <c r="N121">
        <v>27719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v>2777</v>
      </c>
      <c r="F122">
        <v>2605</v>
      </c>
      <c r="G122">
        <v>1944</v>
      </c>
      <c r="H122">
        <v>1754</v>
      </c>
      <c r="I122">
        <v>1977</v>
      </c>
      <c r="J122">
        <v>1756</v>
      </c>
      <c r="K122">
        <v>0</v>
      </c>
      <c r="L122">
        <v>0</v>
      </c>
      <c r="M122">
        <v>1328</v>
      </c>
      <c r="N122">
        <v>1987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v>12584</v>
      </c>
      <c r="F123">
        <v>17870</v>
      </c>
      <c r="G123">
        <v>16393</v>
      </c>
      <c r="H123">
        <v>14779</v>
      </c>
      <c r="I123">
        <v>21692</v>
      </c>
      <c r="J123">
        <v>22364</v>
      </c>
      <c r="K123">
        <v>1536</v>
      </c>
      <c r="L123">
        <v>10449</v>
      </c>
      <c r="M123">
        <v>20989</v>
      </c>
      <c r="N123">
        <v>22878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108</v>
      </c>
      <c r="B125" t="s">
        <v>108</v>
      </c>
      <c r="C125">
        <v>151111</v>
      </c>
      <c r="D125">
        <v>26900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v>4372</v>
      </c>
      <c r="F126">
        <v>4599</v>
      </c>
      <c r="G126">
        <v>7410</v>
      </c>
      <c r="H126">
        <v>4493</v>
      </c>
      <c r="I126">
        <v>2822</v>
      </c>
      <c r="J126">
        <v>2831</v>
      </c>
      <c r="K126">
        <v>1181</v>
      </c>
      <c r="L126">
        <v>2565</v>
      </c>
      <c r="M126">
        <v>2158</v>
      </c>
      <c r="N126">
        <v>2318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v>7917</v>
      </c>
      <c r="F127">
        <v>6502</v>
      </c>
      <c r="G127">
        <v>5390</v>
      </c>
      <c r="H127">
        <v>10006</v>
      </c>
      <c r="I127">
        <v>8162</v>
      </c>
      <c r="J127">
        <v>7353</v>
      </c>
      <c r="K127">
        <v>4986</v>
      </c>
      <c r="L127">
        <v>6950</v>
      </c>
      <c r="M127">
        <v>11077</v>
      </c>
      <c r="N127">
        <v>13114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v>18012</v>
      </c>
      <c r="F128">
        <v>10470</v>
      </c>
      <c r="G128">
        <v>10544</v>
      </c>
      <c r="H128">
        <v>7321</v>
      </c>
      <c r="I128">
        <v>8527</v>
      </c>
      <c r="J128">
        <v>26906</v>
      </c>
      <c r="K128">
        <v>9225</v>
      </c>
      <c r="L128">
        <v>14232</v>
      </c>
      <c r="M128">
        <v>20365</v>
      </c>
      <c r="N128">
        <v>23369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v>11972</v>
      </c>
      <c r="F129">
        <v>11532</v>
      </c>
      <c r="G129">
        <v>13016</v>
      </c>
      <c r="H129">
        <v>9174</v>
      </c>
      <c r="I129">
        <v>8994</v>
      </c>
      <c r="J129">
        <v>11576</v>
      </c>
      <c r="K129">
        <v>1908</v>
      </c>
      <c r="L129">
        <v>3500</v>
      </c>
      <c r="M129">
        <v>10665</v>
      </c>
      <c r="N129">
        <v>10073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v>22738</v>
      </c>
      <c r="F130">
        <v>32085</v>
      </c>
      <c r="G130">
        <v>26308</v>
      </c>
      <c r="H130">
        <v>35505</v>
      </c>
      <c r="I130">
        <v>28059</v>
      </c>
      <c r="J130">
        <v>19615</v>
      </c>
      <c r="K130">
        <v>2930</v>
      </c>
      <c r="L130">
        <v>9400</v>
      </c>
      <c r="M130">
        <v>16977</v>
      </c>
      <c r="N130">
        <v>17489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v>69998</v>
      </c>
      <c r="F132">
        <v>65766</v>
      </c>
      <c r="G132">
        <v>61191</v>
      </c>
      <c r="H132">
        <v>53945</v>
      </c>
      <c r="I132">
        <v>40348</v>
      </c>
      <c r="J132">
        <v>32582</v>
      </c>
      <c r="K132">
        <v>3890</v>
      </c>
      <c r="L132">
        <v>15075</v>
      </c>
      <c r="M132">
        <v>43598</v>
      </c>
      <c r="N132">
        <v>48152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v>15680</v>
      </c>
      <c r="F133">
        <v>14599</v>
      </c>
      <c r="G133">
        <v>17442</v>
      </c>
      <c r="H133">
        <v>16503</v>
      </c>
      <c r="I133">
        <v>17341</v>
      </c>
      <c r="J133">
        <v>12556</v>
      </c>
      <c r="K133">
        <v>4974</v>
      </c>
      <c r="L133">
        <v>2952</v>
      </c>
      <c r="M133">
        <v>11778</v>
      </c>
      <c r="N133">
        <v>16089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v>5904</v>
      </c>
      <c r="F134">
        <v>3448</v>
      </c>
      <c r="G134">
        <v>5039</v>
      </c>
      <c r="H134">
        <v>3599</v>
      </c>
      <c r="I134">
        <v>5835</v>
      </c>
      <c r="J134">
        <v>4886</v>
      </c>
      <c r="K134">
        <v>0</v>
      </c>
      <c r="L134">
        <v>3656</v>
      </c>
      <c r="M134">
        <v>7580</v>
      </c>
      <c r="N134">
        <v>8789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v>54557</v>
      </c>
      <c r="F135">
        <v>47551</v>
      </c>
      <c r="G135">
        <v>62220</v>
      </c>
      <c r="H135">
        <v>96978</v>
      </c>
      <c r="I135">
        <v>91534</v>
      </c>
      <c r="J135">
        <v>101520</v>
      </c>
      <c r="K135">
        <v>27942</v>
      </c>
      <c r="L135">
        <v>36996</v>
      </c>
      <c r="M135">
        <v>72095</v>
      </c>
      <c r="N135">
        <v>104843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v>4177</v>
      </c>
      <c r="F136">
        <v>1505</v>
      </c>
      <c r="G136">
        <v>1817</v>
      </c>
      <c r="H136">
        <v>3608</v>
      </c>
      <c r="I136">
        <v>1083</v>
      </c>
      <c r="J136">
        <v>3424</v>
      </c>
      <c r="K136">
        <v>403</v>
      </c>
      <c r="L136">
        <v>80</v>
      </c>
      <c r="M136">
        <v>0</v>
      </c>
      <c r="N136">
        <v>0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v>1486</v>
      </c>
      <c r="F137">
        <v>2615</v>
      </c>
      <c r="G137">
        <v>1940</v>
      </c>
      <c r="H137">
        <v>3065</v>
      </c>
      <c r="I137">
        <v>2229</v>
      </c>
      <c r="J137">
        <v>2139</v>
      </c>
      <c r="K137">
        <v>103</v>
      </c>
      <c r="L137">
        <v>1232</v>
      </c>
      <c r="M137">
        <v>941</v>
      </c>
      <c r="N137">
        <v>1374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v>24392</v>
      </c>
      <c r="F138">
        <v>21078</v>
      </c>
      <c r="G138">
        <v>25355</v>
      </c>
      <c r="H138">
        <v>19439</v>
      </c>
      <c r="I138">
        <v>14670</v>
      </c>
      <c r="J138">
        <v>20202</v>
      </c>
      <c r="K138">
        <v>6388</v>
      </c>
      <c r="L138">
        <v>16029</v>
      </c>
      <c r="M138">
        <v>29612</v>
      </c>
      <c r="N138">
        <v>36482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v>2686</v>
      </c>
      <c r="F139">
        <v>3355</v>
      </c>
      <c r="G139">
        <v>4197</v>
      </c>
      <c r="H139">
        <v>4275</v>
      </c>
      <c r="I139">
        <v>2671</v>
      </c>
      <c r="J139">
        <v>3514</v>
      </c>
      <c r="K139">
        <v>121</v>
      </c>
      <c r="L139">
        <v>2198</v>
      </c>
      <c r="M139">
        <v>2999</v>
      </c>
      <c r="N139">
        <v>3840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v>33401</v>
      </c>
      <c r="F140">
        <v>39334</v>
      </c>
      <c r="G140">
        <v>44584</v>
      </c>
      <c r="H140">
        <v>31232</v>
      </c>
      <c r="I140">
        <v>40461</v>
      </c>
      <c r="J140">
        <v>37432</v>
      </c>
      <c r="K140">
        <v>17225</v>
      </c>
      <c r="L140">
        <v>12939</v>
      </c>
      <c r="M140">
        <v>35462</v>
      </c>
      <c r="N140">
        <v>32204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v>11459</v>
      </c>
      <c r="F141">
        <v>10201</v>
      </c>
      <c r="G141">
        <v>10863</v>
      </c>
      <c r="H141">
        <v>10251</v>
      </c>
      <c r="I141">
        <v>7859</v>
      </c>
      <c r="J141">
        <v>8070</v>
      </c>
      <c r="K141">
        <v>3457</v>
      </c>
      <c r="L141">
        <v>5464</v>
      </c>
      <c r="M141">
        <v>10116</v>
      </c>
      <c r="N141">
        <v>9163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v>9111</v>
      </c>
      <c r="F142">
        <v>6011</v>
      </c>
      <c r="G142">
        <v>10436</v>
      </c>
      <c r="H142">
        <v>6553</v>
      </c>
      <c r="I142">
        <v>5065</v>
      </c>
      <c r="J142">
        <v>6923</v>
      </c>
      <c r="K142">
        <v>1569</v>
      </c>
      <c r="L142">
        <v>4891</v>
      </c>
      <c r="M142">
        <v>7305</v>
      </c>
      <c r="N142">
        <v>5555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v>2878</v>
      </c>
      <c r="F143">
        <v>2377</v>
      </c>
      <c r="G143">
        <v>2924</v>
      </c>
      <c r="H143">
        <v>1356</v>
      </c>
      <c r="I143">
        <v>3076</v>
      </c>
      <c r="J143">
        <v>2128</v>
      </c>
      <c r="K143">
        <v>456</v>
      </c>
      <c r="L143">
        <v>570</v>
      </c>
      <c r="M143">
        <v>1663</v>
      </c>
      <c r="N143">
        <v>1734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v>9756</v>
      </c>
      <c r="F144">
        <v>10253</v>
      </c>
      <c r="G144">
        <v>7787</v>
      </c>
      <c r="H144">
        <v>8395</v>
      </c>
      <c r="I144">
        <v>10893</v>
      </c>
      <c r="J144">
        <v>12239</v>
      </c>
      <c r="K144">
        <v>3129</v>
      </c>
      <c r="L144">
        <v>480</v>
      </c>
      <c r="M144">
        <v>10075</v>
      </c>
      <c r="N144">
        <v>7432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v>40516</v>
      </c>
      <c r="F145">
        <v>42166</v>
      </c>
      <c r="G145">
        <v>50141</v>
      </c>
      <c r="H145">
        <v>60640</v>
      </c>
      <c r="I145">
        <v>61079</v>
      </c>
      <c r="J145">
        <v>44317</v>
      </c>
      <c r="K145">
        <v>19680</v>
      </c>
      <c r="L145">
        <v>4374</v>
      </c>
      <c r="M145">
        <v>56423</v>
      </c>
      <c r="N145">
        <v>53576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v>6532</v>
      </c>
      <c r="F146">
        <v>4130</v>
      </c>
      <c r="G146">
        <v>5925</v>
      </c>
      <c r="H146">
        <v>5451</v>
      </c>
      <c r="I146">
        <v>6292</v>
      </c>
      <c r="J146">
        <v>4367</v>
      </c>
      <c r="K146">
        <v>1971</v>
      </c>
      <c r="L146">
        <v>749</v>
      </c>
      <c r="M146">
        <v>5731</v>
      </c>
      <c r="N146">
        <v>7364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v>145589</v>
      </c>
      <c r="F147">
        <v>101626</v>
      </c>
      <c r="G147">
        <v>129507</v>
      </c>
      <c r="H147">
        <v>132763</v>
      </c>
      <c r="I147">
        <v>135369</v>
      </c>
      <c r="J147">
        <v>144553</v>
      </c>
      <c r="K147">
        <v>53262</v>
      </c>
      <c r="L147">
        <v>22782</v>
      </c>
      <c r="M147">
        <v>111228</v>
      </c>
      <c r="N147">
        <v>128345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v>11676</v>
      </c>
      <c r="F148">
        <v>15195</v>
      </c>
      <c r="G148">
        <v>28356</v>
      </c>
      <c r="H148">
        <v>49466</v>
      </c>
      <c r="I148">
        <v>43097</v>
      </c>
      <c r="J148">
        <v>37313</v>
      </c>
      <c r="K148">
        <v>3417</v>
      </c>
      <c r="L148">
        <v>48426</v>
      </c>
      <c r="M148">
        <v>82602</v>
      </c>
      <c r="N148">
        <v>64919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v>76113</v>
      </c>
      <c r="F149">
        <v>87320</v>
      </c>
      <c r="G149">
        <v>103799</v>
      </c>
      <c r="H149">
        <v>89696</v>
      </c>
      <c r="I149">
        <v>83296</v>
      </c>
      <c r="J149">
        <v>52880</v>
      </c>
      <c r="K149">
        <v>10278</v>
      </c>
      <c r="L149">
        <v>20409</v>
      </c>
      <c r="M149">
        <v>76251</v>
      </c>
      <c r="N149">
        <v>67711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v>424321</v>
      </c>
      <c r="F152">
        <v>421171</v>
      </c>
      <c r="G152">
        <v>433783</v>
      </c>
      <c r="H152">
        <v>418291</v>
      </c>
      <c r="I152">
        <v>399085</v>
      </c>
      <c r="J152">
        <v>425377</v>
      </c>
      <c r="K152">
        <v>133848</v>
      </c>
      <c r="L152">
        <v>144982</v>
      </c>
      <c r="M152">
        <v>362759</v>
      </c>
      <c r="N152">
        <v>447527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v>5362</v>
      </c>
      <c r="F153">
        <v>4220</v>
      </c>
      <c r="G153">
        <v>4941</v>
      </c>
      <c r="H153">
        <v>4858</v>
      </c>
      <c r="I153">
        <v>1344</v>
      </c>
      <c r="J153">
        <v>4518</v>
      </c>
      <c r="K153">
        <v>0</v>
      </c>
      <c r="L153">
        <v>0</v>
      </c>
      <c r="M153">
        <v>9087</v>
      </c>
      <c r="N153">
        <v>6203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v>1929</v>
      </c>
      <c r="F154">
        <v>2830</v>
      </c>
      <c r="G154">
        <v>3757</v>
      </c>
      <c r="H154">
        <v>2981</v>
      </c>
      <c r="I154">
        <v>2281</v>
      </c>
      <c r="J154">
        <v>3046</v>
      </c>
      <c r="K154">
        <v>447</v>
      </c>
      <c r="L154">
        <v>0</v>
      </c>
      <c r="M154">
        <v>1519</v>
      </c>
      <c r="N154">
        <v>3172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v>1815</v>
      </c>
      <c r="F155">
        <v>2368</v>
      </c>
      <c r="G155">
        <v>3398</v>
      </c>
      <c r="H155">
        <v>2679</v>
      </c>
      <c r="I155">
        <v>3633</v>
      </c>
      <c r="J155">
        <v>2128</v>
      </c>
      <c r="K155">
        <v>0</v>
      </c>
      <c r="L155">
        <v>388</v>
      </c>
      <c r="M155">
        <v>1953</v>
      </c>
      <c r="N155">
        <v>0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v>4271</v>
      </c>
      <c r="F157">
        <v>8376</v>
      </c>
      <c r="G157">
        <v>9738</v>
      </c>
      <c r="H157">
        <v>11118</v>
      </c>
      <c r="I157">
        <v>3037</v>
      </c>
      <c r="J157">
        <v>6987</v>
      </c>
      <c r="K157">
        <v>587</v>
      </c>
      <c r="L157">
        <v>1125</v>
      </c>
      <c r="M157">
        <v>1871</v>
      </c>
      <c r="N157">
        <v>7666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v>11949</v>
      </c>
      <c r="F158">
        <v>15043</v>
      </c>
      <c r="G158">
        <v>11004</v>
      </c>
      <c r="H158">
        <v>10018</v>
      </c>
      <c r="I158">
        <v>17959</v>
      </c>
      <c r="J158">
        <v>16133</v>
      </c>
      <c r="K158">
        <v>6387</v>
      </c>
      <c r="L158">
        <v>9117</v>
      </c>
      <c r="M158">
        <v>41315</v>
      </c>
      <c r="N158">
        <v>26885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v>2636</v>
      </c>
      <c r="F159">
        <v>3367</v>
      </c>
      <c r="G159">
        <v>1935</v>
      </c>
      <c r="H159">
        <v>2240</v>
      </c>
      <c r="I159">
        <v>2025</v>
      </c>
      <c r="J159">
        <v>2480</v>
      </c>
      <c r="K159">
        <v>0</v>
      </c>
      <c r="L159">
        <v>941</v>
      </c>
      <c r="M159">
        <v>1240</v>
      </c>
      <c r="N159">
        <v>1735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v>14189</v>
      </c>
      <c r="F160">
        <v>21361</v>
      </c>
      <c r="G160">
        <v>16437</v>
      </c>
      <c r="H160">
        <v>24480</v>
      </c>
      <c r="I160">
        <v>26295</v>
      </c>
      <c r="J160">
        <v>22367</v>
      </c>
      <c r="K160">
        <v>14637</v>
      </c>
      <c r="L160">
        <v>9993</v>
      </c>
      <c r="M160">
        <v>29481</v>
      </c>
      <c r="N160">
        <v>35635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v>20547</v>
      </c>
      <c r="F161">
        <v>25416</v>
      </c>
      <c r="G161">
        <v>17601</v>
      </c>
      <c r="H161">
        <v>22883</v>
      </c>
      <c r="I161">
        <v>16899</v>
      </c>
      <c r="J161">
        <v>11365</v>
      </c>
      <c r="K161">
        <v>3068</v>
      </c>
      <c r="L161">
        <v>5027</v>
      </c>
      <c r="M161">
        <v>14517</v>
      </c>
      <c r="N161">
        <v>13019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v>7704</v>
      </c>
      <c r="F162">
        <v>12830</v>
      </c>
      <c r="G162">
        <v>18828</v>
      </c>
      <c r="H162">
        <v>20132</v>
      </c>
      <c r="I162">
        <v>20250</v>
      </c>
      <c r="J162">
        <v>19275</v>
      </c>
      <c r="K162">
        <v>7836</v>
      </c>
      <c r="L162">
        <v>12783</v>
      </c>
      <c r="M162">
        <v>18695</v>
      </c>
      <c r="N162">
        <v>23742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v>101296</v>
      </c>
      <c r="F163">
        <v>109256</v>
      </c>
      <c r="G163">
        <v>128333</v>
      </c>
      <c r="H163">
        <v>86632</v>
      </c>
      <c r="I163">
        <v>82681</v>
      </c>
      <c r="J163">
        <v>79757</v>
      </c>
      <c r="K163">
        <v>38015</v>
      </c>
      <c r="L163">
        <v>15928</v>
      </c>
      <c r="M163">
        <v>117760</v>
      </c>
      <c r="N163">
        <v>105141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v>8888</v>
      </c>
      <c r="F164">
        <v>7737</v>
      </c>
      <c r="G164">
        <v>5018</v>
      </c>
      <c r="H164">
        <v>5322</v>
      </c>
      <c r="I164">
        <v>6122</v>
      </c>
      <c r="J164">
        <v>4435</v>
      </c>
      <c r="K164">
        <v>1189</v>
      </c>
      <c r="L164">
        <v>477</v>
      </c>
      <c r="M164">
        <v>4633</v>
      </c>
      <c r="N164">
        <v>3739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v>15210</v>
      </c>
      <c r="F165">
        <v>13524</v>
      </c>
      <c r="G165">
        <v>16516</v>
      </c>
      <c r="H165">
        <v>28649</v>
      </c>
      <c r="I165">
        <v>17118</v>
      </c>
      <c r="J165">
        <v>19926</v>
      </c>
      <c r="K165">
        <v>0</v>
      </c>
      <c r="L165">
        <v>4000</v>
      </c>
      <c r="M165">
        <v>37954</v>
      </c>
      <c r="N165">
        <v>26245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v>24207</v>
      </c>
      <c r="F166">
        <v>13636</v>
      </c>
      <c r="G166">
        <v>17104</v>
      </c>
      <c r="H166">
        <v>19410</v>
      </c>
      <c r="I166">
        <v>23411</v>
      </c>
      <c r="J166">
        <v>24154</v>
      </c>
      <c r="K166">
        <v>0</v>
      </c>
      <c r="L166">
        <v>3444</v>
      </c>
      <c r="M166">
        <v>9984</v>
      </c>
      <c r="N166">
        <v>16787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v>26794</v>
      </c>
      <c r="F167">
        <v>15860</v>
      </c>
      <c r="G167">
        <v>23727</v>
      </c>
      <c r="H167">
        <v>19131</v>
      </c>
      <c r="I167">
        <v>21562</v>
      </c>
      <c r="J167">
        <v>14488</v>
      </c>
      <c r="K167">
        <v>2849</v>
      </c>
      <c r="L167">
        <v>5258</v>
      </c>
      <c r="M167">
        <v>11621</v>
      </c>
      <c r="N167">
        <v>21585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v>2807</v>
      </c>
      <c r="F168">
        <v>4084</v>
      </c>
      <c r="G168">
        <v>2717</v>
      </c>
      <c r="H168">
        <v>1724</v>
      </c>
      <c r="I168">
        <v>1846</v>
      </c>
      <c r="J168">
        <v>2868</v>
      </c>
      <c r="K168">
        <v>0</v>
      </c>
      <c r="L168">
        <v>6677</v>
      </c>
      <c r="M168">
        <v>6733</v>
      </c>
      <c r="N168">
        <v>5433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v>8020</v>
      </c>
      <c r="F169">
        <v>8520</v>
      </c>
      <c r="G169">
        <v>15224</v>
      </c>
      <c r="H169">
        <v>25998</v>
      </c>
      <c r="I169">
        <v>26505</v>
      </c>
      <c r="J169">
        <v>11013</v>
      </c>
      <c r="K169">
        <v>10981</v>
      </c>
      <c r="L169">
        <v>2116</v>
      </c>
      <c r="M169">
        <v>15850</v>
      </c>
      <c r="N169">
        <v>19371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v>251965</v>
      </c>
      <c r="F170">
        <v>230918</v>
      </c>
      <c r="G170">
        <v>302558</v>
      </c>
      <c r="H170">
        <v>272974</v>
      </c>
      <c r="I170">
        <v>133672</v>
      </c>
      <c r="J170">
        <v>373784</v>
      </c>
      <c r="K170">
        <v>96054</v>
      </c>
      <c r="L170">
        <v>235207</v>
      </c>
      <c r="M170">
        <v>328302</v>
      </c>
      <c r="N170">
        <v>332838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v>617</v>
      </c>
      <c r="F171">
        <v>1898</v>
      </c>
      <c r="G171">
        <v>1397</v>
      </c>
      <c r="H171">
        <v>1672</v>
      </c>
      <c r="I171">
        <v>1688</v>
      </c>
      <c r="J171">
        <v>1036</v>
      </c>
      <c r="K171">
        <v>145</v>
      </c>
      <c r="L171">
        <v>330</v>
      </c>
      <c r="M171">
        <v>1382</v>
      </c>
      <c r="N171">
        <v>1534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v>22845</v>
      </c>
      <c r="F172">
        <v>23589</v>
      </c>
      <c r="G172">
        <v>26044</v>
      </c>
      <c r="H172">
        <v>24958</v>
      </c>
      <c r="I172">
        <v>25912</v>
      </c>
      <c r="J172">
        <v>29739</v>
      </c>
      <c r="K172">
        <v>4005</v>
      </c>
      <c r="L172">
        <v>13782</v>
      </c>
      <c r="M172">
        <v>28181</v>
      </c>
      <c r="N172">
        <v>37133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v>12195</v>
      </c>
      <c r="F173">
        <v>38800</v>
      </c>
      <c r="G173">
        <v>26626</v>
      </c>
      <c r="H173">
        <v>24706</v>
      </c>
      <c r="I173">
        <v>18377</v>
      </c>
      <c r="J173">
        <v>12771</v>
      </c>
      <c r="K173">
        <v>2299</v>
      </c>
      <c r="L173">
        <v>7948</v>
      </c>
      <c r="M173">
        <v>17987</v>
      </c>
      <c r="N173">
        <v>16802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v>2342</v>
      </c>
      <c r="F174">
        <v>2045</v>
      </c>
      <c r="G174">
        <v>3592</v>
      </c>
      <c r="H174">
        <v>2434</v>
      </c>
      <c r="I174">
        <v>2908</v>
      </c>
      <c r="J174">
        <v>3249</v>
      </c>
      <c r="K174">
        <v>0</v>
      </c>
      <c r="L174">
        <v>2400</v>
      </c>
      <c r="M174">
        <v>3470</v>
      </c>
      <c r="N174">
        <v>4465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v>4917</v>
      </c>
      <c r="F177">
        <v>5314</v>
      </c>
      <c r="G177">
        <v>6763</v>
      </c>
      <c r="H177">
        <v>10079</v>
      </c>
      <c r="I177">
        <v>6875</v>
      </c>
      <c r="J177">
        <v>8180</v>
      </c>
      <c r="K177">
        <v>886</v>
      </c>
      <c r="L177">
        <v>2519</v>
      </c>
      <c r="M177">
        <v>4676</v>
      </c>
      <c r="N177">
        <v>4635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v>1807</v>
      </c>
      <c r="F179">
        <v>1917</v>
      </c>
      <c r="G179">
        <v>2132</v>
      </c>
      <c r="H179">
        <v>2327</v>
      </c>
      <c r="I179">
        <v>1986</v>
      </c>
      <c r="J179">
        <v>2647</v>
      </c>
      <c r="K179">
        <v>879</v>
      </c>
      <c r="L179">
        <v>1057</v>
      </c>
      <c r="M179">
        <v>2246</v>
      </c>
      <c r="N179">
        <v>3525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v>4615</v>
      </c>
      <c r="F180">
        <v>2248</v>
      </c>
      <c r="G180">
        <v>4916</v>
      </c>
      <c r="H180">
        <v>3923</v>
      </c>
      <c r="I180">
        <v>2167</v>
      </c>
      <c r="J180">
        <v>4732</v>
      </c>
      <c r="K180">
        <v>811</v>
      </c>
      <c r="L180">
        <v>3243</v>
      </c>
      <c r="M180">
        <v>3087</v>
      </c>
      <c r="N180">
        <v>5364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v>2550</v>
      </c>
      <c r="F181">
        <v>2494</v>
      </c>
      <c r="G181">
        <v>2947</v>
      </c>
      <c r="H181">
        <v>2494</v>
      </c>
      <c r="I181">
        <v>2685</v>
      </c>
      <c r="J181">
        <v>3281</v>
      </c>
      <c r="K181">
        <v>1150</v>
      </c>
      <c r="L181">
        <v>242</v>
      </c>
      <c r="M181">
        <v>3730</v>
      </c>
      <c r="N181">
        <v>3666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v>2877</v>
      </c>
      <c r="F182">
        <v>2771</v>
      </c>
      <c r="G182">
        <v>5432</v>
      </c>
      <c r="H182">
        <v>3618</v>
      </c>
      <c r="I182">
        <v>3625</v>
      </c>
      <c r="J182">
        <v>3298</v>
      </c>
      <c r="K182">
        <v>1762</v>
      </c>
      <c r="L182">
        <v>2092</v>
      </c>
      <c r="M182">
        <v>0</v>
      </c>
      <c r="N182">
        <v>0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v>6838</v>
      </c>
      <c r="F183">
        <v>6382</v>
      </c>
      <c r="G183">
        <v>11637</v>
      </c>
      <c r="H183">
        <v>5351</v>
      </c>
      <c r="I183">
        <v>5538</v>
      </c>
      <c r="J183">
        <v>12409</v>
      </c>
      <c r="K183">
        <v>1810</v>
      </c>
      <c r="L183">
        <v>1594</v>
      </c>
      <c r="M183">
        <v>7436</v>
      </c>
      <c r="N183">
        <v>10661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v>41923</v>
      </c>
      <c r="F184">
        <v>33637</v>
      </c>
      <c r="G184">
        <v>58587</v>
      </c>
      <c r="H184">
        <v>79808</v>
      </c>
      <c r="I184">
        <v>103076</v>
      </c>
      <c r="J184">
        <v>80463</v>
      </c>
      <c r="K184">
        <v>26875</v>
      </c>
      <c r="L184">
        <v>13413</v>
      </c>
      <c r="M184">
        <v>87128</v>
      </c>
      <c r="N184">
        <v>90856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v>81044</v>
      </c>
      <c r="F185">
        <v>105406</v>
      </c>
      <c r="G185">
        <v>141007</v>
      </c>
      <c r="H185">
        <v>124086</v>
      </c>
      <c r="I185">
        <v>105074</v>
      </c>
      <c r="J185">
        <v>84088</v>
      </c>
      <c r="K185">
        <v>21950</v>
      </c>
      <c r="L185">
        <v>49329</v>
      </c>
      <c r="M185">
        <v>120661</v>
      </c>
      <c r="N185">
        <v>112571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v>8821</v>
      </c>
      <c r="F186">
        <v>28437</v>
      </c>
      <c r="G186">
        <v>20564</v>
      </c>
      <c r="H186">
        <v>17680</v>
      </c>
      <c r="I186">
        <v>19275</v>
      </c>
      <c r="J186">
        <v>19636</v>
      </c>
      <c r="K186">
        <v>2961</v>
      </c>
      <c r="L186">
        <v>4440</v>
      </c>
      <c r="M186">
        <v>13222</v>
      </c>
      <c r="N186">
        <v>12513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v>23003</v>
      </c>
      <c r="F188">
        <v>23174</v>
      </c>
      <c r="G188">
        <v>23642</v>
      </c>
      <c r="H188">
        <v>22750</v>
      </c>
      <c r="I188">
        <v>15759</v>
      </c>
      <c r="J188">
        <v>15062</v>
      </c>
      <c r="K188">
        <v>5040</v>
      </c>
      <c r="L188">
        <v>7080</v>
      </c>
      <c r="M188">
        <v>18079</v>
      </c>
      <c r="N188">
        <v>14034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v>6844</v>
      </c>
      <c r="F189">
        <v>13915</v>
      </c>
      <c r="G189">
        <v>14403</v>
      </c>
      <c r="H189">
        <v>17672</v>
      </c>
      <c r="I189">
        <v>18704</v>
      </c>
      <c r="J189">
        <v>21300</v>
      </c>
      <c r="K189">
        <v>8130</v>
      </c>
      <c r="L189">
        <v>3873</v>
      </c>
      <c r="M189">
        <v>20388</v>
      </c>
      <c r="N189">
        <v>19064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v>15039</v>
      </c>
      <c r="F190">
        <v>17001</v>
      </c>
      <c r="G190">
        <v>11497</v>
      </c>
      <c r="H190">
        <v>10467</v>
      </c>
      <c r="I190">
        <v>7506</v>
      </c>
      <c r="J190">
        <v>8544</v>
      </c>
      <c r="K190">
        <v>3725</v>
      </c>
      <c r="L190">
        <v>9183</v>
      </c>
      <c r="M190">
        <v>18760</v>
      </c>
      <c r="N190">
        <v>13529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v>2422</v>
      </c>
      <c r="F191">
        <v>2552</v>
      </c>
      <c r="G191">
        <v>1463</v>
      </c>
      <c r="H191">
        <v>1483</v>
      </c>
      <c r="I191">
        <v>2985</v>
      </c>
      <c r="J191">
        <v>2415</v>
      </c>
      <c r="K191">
        <v>0</v>
      </c>
      <c r="L191">
        <v>836</v>
      </c>
      <c r="M191">
        <v>3299</v>
      </c>
      <c r="N191">
        <v>3340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v>11746</v>
      </c>
      <c r="F192">
        <v>18894</v>
      </c>
      <c r="G192">
        <v>25616</v>
      </c>
      <c r="H192">
        <v>11598</v>
      </c>
      <c r="I192">
        <v>9459</v>
      </c>
      <c r="J192">
        <v>11430</v>
      </c>
      <c r="K192">
        <v>5521</v>
      </c>
      <c r="L192">
        <v>20610</v>
      </c>
      <c r="M192">
        <v>10627</v>
      </c>
      <c r="N192">
        <v>12141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v>4227</v>
      </c>
      <c r="F193">
        <v>4021</v>
      </c>
      <c r="G193">
        <v>4676</v>
      </c>
      <c r="H193">
        <v>3772</v>
      </c>
      <c r="I193">
        <v>2486</v>
      </c>
      <c r="J193">
        <v>2781</v>
      </c>
      <c r="K193">
        <v>0</v>
      </c>
      <c r="L193">
        <v>1973</v>
      </c>
      <c r="M193">
        <v>3559</v>
      </c>
      <c r="N193">
        <v>2831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v>3418</v>
      </c>
      <c r="F194">
        <v>3686</v>
      </c>
      <c r="G194">
        <v>2759</v>
      </c>
      <c r="H194">
        <v>3878</v>
      </c>
      <c r="I194">
        <v>2564</v>
      </c>
      <c r="J194">
        <v>2758</v>
      </c>
      <c r="K194">
        <v>0</v>
      </c>
      <c r="L194">
        <v>745</v>
      </c>
      <c r="M194">
        <v>3985</v>
      </c>
      <c r="N194">
        <v>2883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v>2766</v>
      </c>
      <c r="F195">
        <v>2264</v>
      </c>
      <c r="G195">
        <v>3402</v>
      </c>
      <c r="H195">
        <v>3547</v>
      </c>
      <c r="I195">
        <v>3547</v>
      </c>
      <c r="J195">
        <v>2597</v>
      </c>
      <c r="K195">
        <v>1010</v>
      </c>
      <c r="L195">
        <v>3597</v>
      </c>
      <c r="M195">
        <v>4900</v>
      </c>
      <c r="N195">
        <v>3652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3810</v>
      </c>
      <c r="K196">
        <v>960</v>
      </c>
      <c r="L196">
        <v>2481</v>
      </c>
      <c r="M196">
        <v>4857</v>
      </c>
      <c r="N196">
        <v>3512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v>53460</v>
      </c>
      <c r="F197">
        <v>51625</v>
      </c>
      <c r="G197">
        <v>50012</v>
      </c>
      <c r="H197">
        <v>73498</v>
      </c>
      <c r="I197">
        <v>79060</v>
      </c>
      <c r="J197">
        <v>107434</v>
      </c>
      <c r="K197">
        <v>27424</v>
      </c>
      <c r="L197">
        <v>21074</v>
      </c>
      <c r="M197">
        <v>100959</v>
      </c>
      <c r="N197">
        <v>102621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v>1020</v>
      </c>
      <c r="F198">
        <v>3721</v>
      </c>
      <c r="G198">
        <v>3880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v>2932</v>
      </c>
      <c r="F199">
        <v>4198</v>
      </c>
      <c r="G199">
        <v>5898</v>
      </c>
      <c r="H199">
        <v>5084</v>
      </c>
      <c r="I199">
        <v>3424</v>
      </c>
      <c r="J199">
        <v>2561</v>
      </c>
      <c r="K199">
        <v>0</v>
      </c>
      <c r="L199">
        <v>3415</v>
      </c>
      <c r="M199">
        <v>1779</v>
      </c>
      <c r="N199">
        <v>2767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v>9108</v>
      </c>
      <c r="F200">
        <v>10030</v>
      </c>
      <c r="G200">
        <v>13115</v>
      </c>
      <c r="H200">
        <v>11803</v>
      </c>
      <c r="I200">
        <v>11245</v>
      </c>
      <c r="J200">
        <v>11718</v>
      </c>
      <c r="K200">
        <v>4883</v>
      </c>
      <c r="L200">
        <v>4199</v>
      </c>
      <c r="M200">
        <v>13377</v>
      </c>
      <c r="N200">
        <v>9431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v>2087</v>
      </c>
      <c r="F202">
        <v>1258</v>
      </c>
      <c r="G202">
        <v>6040</v>
      </c>
      <c r="H202">
        <v>3467</v>
      </c>
      <c r="I202">
        <v>3106</v>
      </c>
      <c r="J202">
        <v>3367</v>
      </c>
      <c r="K202">
        <v>287</v>
      </c>
      <c r="L202">
        <v>2633</v>
      </c>
      <c r="M202">
        <v>3206</v>
      </c>
      <c r="N202">
        <v>7375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v>3533</v>
      </c>
      <c r="F204">
        <v>3038</v>
      </c>
      <c r="G204">
        <v>1796</v>
      </c>
      <c r="H204">
        <v>3004</v>
      </c>
      <c r="I204">
        <v>3092</v>
      </c>
      <c r="J204">
        <v>2650</v>
      </c>
      <c r="K204">
        <v>502</v>
      </c>
      <c r="L204">
        <v>3179</v>
      </c>
      <c r="M204">
        <v>1831</v>
      </c>
      <c r="N204">
        <v>1413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v>2032</v>
      </c>
      <c r="F205">
        <v>2263</v>
      </c>
      <c r="G205">
        <v>2451</v>
      </c>
      <c r="H205">
        <v>1518</v>
      </c>
      <c r="I205">
        <v>3095</v>
      </c>
      <c r="J205">
        <v>2707</v>
      </c>
      <c r="K205">
        <v>126</v>
      </c>
      <c r="L205">
        <v>1769</v>
      </c>
      <c r="M205">
        <v>2187</v>
      </c>
      <c r="N205">
        <v>3521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v>4710</v>
      </c>
      <c r="F206">
        <v>3821</v>
      </c>
      <c r="G206">
        <v>7701</v>
      </c>
      <c r="H206">
        <v>10668</v>
      </c>
      <c r="I206">
        <v>8971</v>
      </c>
      <c r="J206">
        <v>6104</v>
      </c>
      <c r="K206">
        <v>0</v>
      </c>
      <c r="L206">
        <v>833</v>
      </c>
      <c r="M206">
        <v>7473</v>
      </c>
      <c r="N206">
        <v>5158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v>10625</v>
      </c>
      <c r="F207">
        <v>10198</v>
      </c>
      <c r="G207">
        <v>12075</v>
      </c>
      <c r="H207">
        <v>12688</v>
      </c>
      <c r="I207">
        <v>11893</v>
      </c>
      <c r="J207">
        <v>12790</v>
      </c>
      <c r="K207">
        <v>6220</v>
      </c>
      <c r="L207">
        <v>8125</v>
      </c>
      <c r="M207">
        <v>13714</v>
      </c>
      <c r="N207">
        <v>17822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v>8948</v>
      </c>
      <c r="F208">
        <v>13390</v>
      </c>
      <c r="G208">
        <v>13354</v>
      </c>
      <c r="H208">
        <v>10817</v>
      </c>
      <c r="I208">
        <v>7781</v>
      </c>
      <c r="J208">
        <v>7035</v>
      </c>
      <c r="K208">
        <v>0</v>
      </c>
      <c r="L208">
        <v>8315</v>
      </c>
      <c r="M208">
        <v>11836</v>
      </c>
      <c r="N208">
        <v>11998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v>1362</v>
      </c>
      <c r="F209">
        <v>1411</v>
      </c>
      <c r="G209">
        <v>2475</v>
      </c>
      <c r="H209">
        <v>742</v>
      </c>
      <c r="I209">
        <v>1468</v>
      </c>
      <c r="J209">
        <v>709</v>
      </c>
      <c r="K209">
        <v>0</v>
      </c>
      <c r="L209">
        <v>869</v>
      </c>
      <c r="M209">
        <v>2487</v>
      </c>
      <c r="N209">
        <v>4334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v>8403</v>
      </c>
      <c r="F210">
        <v>8603</v>
      </c>
      <c r="G210">
        <v>10145</v>
      </c>
      <c r="H210">
        <v>10665</v>
      </c>
      <c r="I210">
        <v>2557</v>
      </c>
      <c r="J210">
        <v>4729</v>
      </c>
      <c r="K210">
        <v>0</v>
      </c>
      <c r="L210">
        <v>0</v>
      </c>
      <c r="M210">
        <v>4647</v>
      </c>
      <c r="N210">
        <v>4171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v>25683</v>
      </c>
      <c r="F211">
        <v>28296</v>
      </c>
      <c r="G211">
        <v>26872</v>
      </c>
      <c r="H211">
        <v>26716</v>
      </c>
      <c r="I211">
        <v>19226</v>
      </c>
      <c r="J211">
        <v>24000</v>
      </c>
      <c r="K211">
        <v>0</v>
      </c>
      <c r="L211">
        <v>4467</v>
      </c>
      <c r="M211">
        <v>21395</v>
      </c>
      <c r="N211">
        <v>28897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v>37902</v>
      </c>
      <c r="F212">
        <v>26604</v>
      </c>
      <c r="G212">
        <v>30765</v>
      </c>
      <c r="H212">
        <v>29018</v>
      </c>
      <c r="I212">
        <v>34198</v>
      </c>
      <c r="J212">
        <v>21326</v>
      </c>
      <c r="K212">
        <v>6474</v>
      </c>
      <c r="L212">
        <v>14952</v>
      </c>
      <c r="M212">
        <v>41867</v>
      </c>
      <c r="N212">
        <v>43509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v>42485</v>
      </c>
      <c r="F213">
        <v>38384</v>
      </c>
      <c r="G213">
        <v>25069</v>
      </c>
      <c r="H213">
        <v>39498</v>
      </c>
      <c r="I213">
        <v>38346</v>
      </c>
      <c r="J213">
        <v>48179</v>
      </c>
      <c r="K213">
        <v>7304</v>
      </c>
      <c r="L213">
        <v>94092</v>
      </c>
      <c r="M213">
        <v>178566</v>
      </c>
      <c r="N213">
        <v>162378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v>19302</v>
      </c>
      <c r="F214">
        <v>21842</v>
      </c>
      <c r="G214">
        <v>20208</v>
      </c>
      <c r="H214">
        <v>22088</v>
      </c>
      <c r="I214">
        <v>15699</v>
      </c>
      <c r="J214">
        <v>13080</v>
      </c>
      <c r="K214">
        <v>3452</v>
      </c>
      <c r="L214">
        <v>10149</v>
      </c>
      <c r="M214">
        <v>10738</v>
      </c>
      <c r="N214">
        <v>11535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v>271155</v>
      </c>
      <c r="F215">
        <v>240849</v>
      </c>
      <c r="G215">
        <v>291714</v>
      </c>
      <c r="H215">
        <v>273448</v>
      </c>
      <c r="I215">
        <v>322742</v>
      </c>
      <c r="J215">
        <v>305591</v>
      </c>
      <c r="K215">
        <v>103818</v>
      </c>
      <c r="L215">
        <v>303859</v>
      </c>
      <c r="M215">
        <v>309949</v>
      </c>
      <c r="N215">
        <v>323047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v>6129</v>
      </c>
      <c r="F216">
        <v>10866</v>
      </c>
      <c r="G216">
        <v>9265</v>
      </c>
      <c r="H216">
        <v>7087</v>
      </c>
      <c r="I216">
        <v>3458</v>
      </c>
      <c r="J216">
        <v>6177</v>
      </c>
      <c r="K216">
        <v>249</v>
      </c>
      <c r="L216">
        <v>12260</v>
      </c>
      <c r="M216">
        <v>17318</v>
      </c>
      <c r="N216">
        <v>13000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v>17246</v>
      </c>
      <c r="F217">
        <v>15234</v>
      </c>
      <c r="G217">
        <v>20217</v>
      </c>
      <c r="H217">
        <v>24058</v>
      </c>
      <c r="I217">
        <v>21997</v>
      </c>
      <c r="J217">
        <v>22808</v>
      </c>
      <c r="K217">
        <v>5353</v>
      </c>
      <c r="L217">
        <v>13427</v>
      </c>
      <c r="M217">
        <v>24072</v>
      </c>
      <c r="N217">
        <v>24377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v>52640</v>
      </c>
      <c r="F218">
        <v>48833</v>
      </c>
      <c r="G218">
        <v>48378</v>
      </c>
      <c r="H218">
        <v>42382</v>
      </c>
      <c r="I218">
        <v>28688</v>
      </c>
      <c r="J218">
        <v>34600</v>
      </c>
      <c r="K218">
        <v>7121</v>
      </c>
      <c r="L218">
        <v>18805</v>
      </c>
      <c r="M218">
        <v>48887</v>
      </c>
      <c r="N218">
        <v>73809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v>82085</v>
      </c>
      <c r="F219">
        <v>80054</v>
      </c>
      <c r="G219">
        <v>67562</v>
      </c>
      <c r="H219">
        <v>101090</v>
      </c>
      <c r="I219">
        <v>111427</v>
      </c>
      <c r="J219">
        <v>106327</v>
      </c>
      <c r="K219">
        <v>10237</v>
      </c>
      <c r="L219">
        <v>11534</v>
      </c>
      <c r="M219">
        <v>125100</v>
      </c>
      <c r="N219">
        <v>103470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v>13816</v>
      </c>
      <c r="F220">
        <v>14723</v>
      </c>
      <c r="G220">
        <v>16851</v>
      </c>
      <c r="H220">
        <v>9563</v>
      </c>
      <c r="I220">
        <v>7435</v>
      </c>
      <c r="J220">
        <v>6657</v>
      </c>
      <c r="K220">
        <v>2545</v>
      </c>
      <c r="L220">
        <v>1125</v>
      </c>
      <c r="M220">
        <v>12153</v>
      </c>
      <c r="N220">
        <v>6171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v>3311</v>
      </c>
      <c r="F221">
        <v>3083</v>
      </c>
      <c r="G221">
        <v>4503</v>
      </c>
      <c r="H221">
        <v>3775</v>
      </c>
      <c r="I221">
        <v>0</v>
      </c>
      <c r="J221">
        <v>2646</v>
      </c>
      <c r="K221">
        <v>0</v>
      </c>
      <c r="L221">
        <v>0</v>
      </c>
      <c r="M221">
        <v>8385</v>
      </c>
      <c r="N221">
        <v>8355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v>18338</v>
      </c>
      <c r="F222">
        <v>16016</v>
      </c>
      <c r="G222">
        <v>20019</v>
      </c>
      <c r="H222">
        <v>22564</v>
      </c>
      <c r="I222">
        <v>11944</v>
      </c>
      <c r="J222">
        <v>10977</v>
      </c>
      <c r="K222">
        <v>0</v>
      </c>
      <c r="L222">
        <v>3887</v>
      </c>
      <c r="M222">
        <v>10435</v>
      </c>
      <c r="N222">
        <v>16312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v>11275</v>
      </c>
      <c r="F223">
        <v>10538</v>
      </c>
      <c r="G223">
        <v>14730</v>
      </c>
      <c r="H223">
        <v>10945</v>
      </c>
      <c r="I223">
        <v>9409</v>
      </c>
      <c r="J223">
        <v>7321</v>
      </c>
      <c r="K223">
        <v>2548</v>
      </c>
      <c r="L223">
        <v>650</v>
      </c>
      <c r="M223">
        <v>10548</v>
      </c>
      <c r="N223">
        <v>8784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v>7063</v>
      </c>
      <c r="F224">
        <v>8853</v>
      </c>
      <c r="G224">
        <v>7866</v>
      </c>
      <c r="H224">
        <v>9490</v>
      </c>
      <c r="I224">
        <v>7894</v>
      </c>
      <c r="J224">
        <v>10963</v>
      </c>
      <c r="K224">
        <v>215</v>
      </c>
      <c r="L224">
        <v>3675</v>
      </c>
      <c r="M224">
        <v>8449</v>
      </c>
      <c r="N224">
        <v>9002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v>8276</v>
      </c>
      <c r="F225">
        <v>6847</v>
      </c>
      <c r="G225">
        <v>8181</v>
      </c>
      <c r="H225">
        <v>7042</v>
      </c>
      <c r="I225">
        <v>7634</v>
      </c>
      <c r="J225">
        <v>6964</v>
      </c>
      <c r="K225">
        <v>2042</v>
      </c>
      <c r="L225">
        <v>1660</v>
      </c>
      <c r="M225">
        <v>7960</v>
      </c>
      <c r="N225">
        <v>6837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v>1871</v>
      </c>
      <c r="F227">
        <v>2537</v>
      </c>
      <c r="G227">
        <v>2349</v>
      </c>
      <c r="H227">
        <v>1434</v>
      </c>
      <c r="I227">
        <v>1742</v>
      </c>
      <c r="J227">
        <v>2805</v>
      </c>
      <c r="K227">
        <v>949</v>
      </c>
      <c r="L227">
        <v>889</v>
      </c>
      <c r="M227">
        <v>2473</v>
      </c>
      <c r="N227">
        <v>1850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v>3599</v>
      </c>
      <c r="F228">
        <v>4215</v>
      </c>
      <c r="G228">
        <v>6408</v>
      </c>
      <c r="H228">
        <v>5457</v>
      </c>
      <c r="I228">
        <v>2641</v>
      </c>
      <c r="J228">
        <v>1925</v>
      </c>
      <c r="K228">
        <v>809</v>
      </c>
      <c r="L228">
        <v>526</v>
      </c>
      <c r="M228">
        <v>3206</v>
      </c>
      <c r="N228">
        <v>4726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v>1755</v>
      </c>
      <c r="F229">
        <v>2684</v>
      </c>
      <c r="G229">
        <v>2575</v>
      </c>
      <c r="H229">
        <v>2705</v>
      </c>
      <c r="I229">
        <v>2617</v>
      </c>
      <c r="J229">
        <v>1339</v>
      </c>
      <c r="K229">
        <v>0</v>
      </c>
      <c r="L229">
        <v>0</v>
      </c>
      <c r="M229">
        <v>1448</v>
      </c>
      <c r="N229">
        <v>3112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v>13499</v>
      </c>
      <c r="F231">
        <v>14680</v>
      </c>
      <c r="G231">
        <v>18311</v>
      </c>
      <c r="H231">
        <v>21594</v>
      </c>
      <c r="I231">
        <v>23009</v>
      </c>
      <c r="J231">
        <v>28914</v>
      </c>
      <c r="K231">
        <v>0</v>
      </c>
      <c r="L231">
        <v>6139</v>
      </c>
      <c r="M231">
        <v>28929</v>
      </c>
      <c r="N231">
        <v>34218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v>1864</v>
      </c>
      <c r="F232">
        <v>2411</v>
      </c>
      <c r="G232">
        <v>3804</v>
      </c>
      <c r="H232">
        <v>2495</v>
      </c>
      <c r="I232">
        <v>2347</v>
      </c>
      <c r="J232">
        <v>2256</v>
      </c>
      <c r="K232">
        <v>0</v>
      </c>
      <c r="L232">
        <v>1681</v>
      </c>
      <c r="M232">
        <v>2737</v>
      </c>
      <c r="N232">
        <v>2763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v>3824</v>
      </c>
      <c r="F233">
        <v>6098</v>
      </c>
      <c r="G233">
        <v>5190</v>
      </c>
      <c r="H233">
        <v>5043</v>
      </c>
      <c r="I233">
        <v>3958</v>
      </c>
      <c r="J233">
        <v>4844</v>
      </c>
      <c r="K233">
        <v>0</v>
      </c>
      <c r="L233">
        <v>1018</v>
      </c>
      <c r="M233">
        <v>1687</v>
      </c>
      <c r="N233">
        <v>2384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v>6401</v>
      </c>
      <c r="F234">
        <v>9398</v>
      </c>
      <c r="G234">
        <v>5264</v>
      </c>
      <c r="H234">
        <v>8100</v>
      </c>
      <c r="I234">
        <v>7511</v>
      </c>
      <c r="J234">
        <v>5532</v>
      </c>
      <c r="K234">
        <v>2785</v>
      </c>
      <c r="L234">
        <v>4583</v>
      </c>
      <c r="M234">
        <v>4181</v>
      </c>
      <c r="N234">
        <v>3143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v>3756</v>
      </c>
      <c r="F235">
        <v>3705</v>
      </c>
      <c r="G235">
        <v>3041</v>
      </c>
      <c r="H235">
        <v>3504</v>
      </c>
      <c r="I235">
        <v>3662</v>
      </c>
      <c r="J235">
        <v>3230</v>
      </c>
      <c r="K235">
        <v>0</v>
      </c>
      <c r="L235">
        <v>465</v>
      </c>
      <c r="M235">
        <v>3272</v>
      </c>
      <c r="N235">
        <v>2717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v>82069</v>
      </c>
      <c r="F236">
        <v>84187</v>
      </c>
      <c r="G236">
        <v>83073</v>
      </c>
      <c r="H236">
        <v>71158</v>
      </c>
      <c r="I236">
        <v>72895</v>
      </c>
      <c r="J236">
        <v>77431</v>
      </c>
      <c r="K236">
        <v>24604</v>
      </c>
      <c r="L236">
        <v>31017</v>
      </c>
      <c r="M236">
        <v>71014</v>
      </c>
      <c r="N236">
        <v>65895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v>7281</v>
      </c>
      <c r="F237">
        <v>5048</v>
      </c>
      <c r="G237">
        <v>4734</v>
      </c>
      <c r="H237">
        <v>6187</v>
      </c>
      <c r="I237">
        <v>5848</v>
      </c>
      <c r="J237">
        <v>9775</v>
      </c>
      <c r="K237">
        <v>2640</v>
      </c>
      <c r="L237">
        <v>0</v>
      </c>
      <c r="M237">
        <v>9272</v>
      </c>
      <c r="N237">
        <v>10089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v>2554</v>
      </c>
      <c r="F238">
        <v>2191</v>
      </c>
      <c r="G238">
        <v>2619</v>
      </c>
      <c r="H238">
        <v>3594</v>
      </c>
      <c r="I238">
        <v>3310</v>
      </c>
      <c r="J238">
        <v>5113</v>
      </c>
      <c r="K238">
        <v>91</v>
      </c>
      <c r="L238">
        <v>809</v>
      </c>
      <c r="M238">
        <v>1799</v>
      </c>
      <c r="N238">
        <v>3629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v>4704</v>
      </c>
      <c r="F240">
        <v>4215</v>
      </c>
      <c r="G240">
        <v>4849</v>
      </c>
      <c r="H240">
        <v>5737</v>
      </c>
      <c r="I240">
        <v>8068</v>
      </c>
      <c r="J240">
        <v>6561</v>
      </c>
      <c r="K240">
        <v>882</v>
      </c>
      <c r="L240">
        <v>3825</v>
      </c>
      <c r="M240">
        <v>14280</v>
      </c>
      <c r="N240">
        <v>11798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v>13255</v>
      </c>
      <c r="F241">
        <v>12343</v>
      </c>
      <c r="G241">
        <v>8911</v>
      </c>
      <c r="H241">
        <v>10351</v>
      </c>
      <c r="I241">
        <v>8146</v>
      </c>
      <c r="J241">
        <v>8549</v>
      </c>
      <c r="K241">
        <v>5217</v>
      </c>
      <c r="L241">
        <v>1766</v>
      </c>
      <c r="M241">
        <v>5369</v>
      </c>
      <c r="N241">
        <v>5032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v>1382</v>
      </c>
      <c r="F242">
        <v>1004</v>
      </c>
      <c r="G242">
        <v>1526</v>
      </c>
      <c r="H242">
        <v>1340</v>
      </c>
      <c r="I242">
        <v>834</v>
      </c>
      <c r="J242">
        <v>1581</v>
      </c>
      <c r="K242">
        <v>0</v>
      </c>
      <c r="L242">
        <v>654</v>
      </c>
      <c r="M242">
        <v>1844</v>
      </c>
      <c r="N242">
        <v>3560</v>
      </c>
    </row>
    <row r="243" spans="1:14" x14ac:dyDescent="0.2">
      <c r="A243" t="s">
        <v>520</v>
      </c>
      <c r="B243" t="s">
        <v>520</v>
      </c>
      <c r="C243">
        <v>215743</v>
      </c>
      <c r="D243">
        <v>11020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v>3720</v>
      </c>
      <c r="F244">
        <v>4020</v>
      </c>
      <c r="G244">
        <v>3643</v>
      </c>
      <c r="H244">
        <v>4892</v>
      </c>
      <c r="I244">
        <v>4512</v>
      </c>
      <c r="J244">
        <v>4890</v>
      </c>
      <c r="K244">
        <v>0</v>
      </c>
      <c r="L244">
        <v>4667</v>
      </c>
      <c r="M244">
        <v>5488</v>
      </c>
      <c r="N244">
        <v>6334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v>3819</v>
      </c>
      <c r="F245">
        <v>4665</v>
      </c>
      <c r="G245">
        <v>4311</v>
      </c>
      <c r="H245">
        <v>3823</v>
      </c>
      <c r="I245">
        <v>5331</v>
      </c>
      <c r="J245">
        <v>1760</v>
      </c>
      <c r="K245">
        <v>380</v>
      </c>
      <c r="L245">
        <v>1883</v>
      </c>
      <c r="M245">
        <v>3695</v>
      </c>
      <c r="N245">
        <v>3393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v>4418</v>
      </c>
      <c r="F246">
        <v>4710</v>
      </c>
      <c r="G246">
        <v>2823</v>
      </c>
      <c r="H246">
        <v>5057</v>
      </c>
      <c r="I246">
        <v>3275</v>
      </c>
      <c r="J246">
        <v>5481</v>
      </c>
      <c r="K246">
        <v>1829</v>
      </c>
      <c r="L246">
        <v>0</v>
      </c>
      <c r="M246">
        <v>4197</v>
      </c>
      <c r="N246">
        <v>2624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v>1193</v>
      </c>
      <c r="F247">
        <v>1478</v>
      </c>
      <c r="G247">
        <v>1354</v>
      </c>
      <c r="H247">
        <v>1534</v>
      </c>
      <c r="I247">
        <v>2851</v>
      </c>
      <c r="J247">
        <v>1915</v>
      </c>
      <c r="K247">
        <v>0</v>
      </c>
      <c r="L247">
        <v>575</v>
      </c>
      <c r="M247">
        <v>558</v>
      </c>
      <c r="N247">
        <v>0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v>23949</v>
      </c>
      <c r="F248">
        <v>21018</v>
      </c>
      <c r="G248">
        <v>28419</v>
      </c>
      <c r="H248">
        <v>37429</v>
      </c>
      <c r="I248">
        <v>33341</v>
      </c>
      <c r="J248">
        <v>25322</v>
      </c>
      <c r="K248">
        <v>8625</v>
      </c>
      <c r="L248">
        <v>10723</v>
      </c>
      <c r="M248">
        <v>27098</v>
      </c>
      <c r="N248">
        <v>21901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v>16616</v>
      </c>
      <c r="F249">
        <v>12591</v>
      </c>
      <c r="G249">
        <v>13917</v>
      </c>
      <c r="H249">
        <v>13847</v>
      </c>
      <c r="I249">
        <v>13949</v>
      </c>
      <c r="J249">
        <v>14168</v>
      </c>
      <c r="K249">
        <v>2491</v>
      </c>
      <c r="L249">
        <v>7479</v>
      </c>
      <c r="M249">
        <v>13862</v>
      </c>
      <c r="N249">
        <v>9525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v>19594</v>
      </c>
      <c r="F250">
        <v>17177</v>
      </c>
      <c r="G250">
        <v>16450</v>
      </c>
      <c r="H250">
        <v>16019</v>
      </c>
      <c r="I250">
        <v>17414</v>
      </c>
      <c r="J250">
        <v>13587</v>
      </c>
      <c r="K250">
        <v>3406</v>
      </c>
      <c r="L250">
        <v>1763</v>
      </c>
      <c r="M250">
        <v>15016</v>
      </c>
      <c r="N250">
        <v>16144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v>16980</v>
      </c>
      <c r="F251">
        <v>17577</v>
      </c>
      <c r="G251">
        <v>14849</v>
      </c>
      <c r="H251">
        <v>12766</v>
      </c>
      <c r="I251">
        <v>24200</v>
      </c>
      <c r="J251">
        <v>19465</v>
      </c>
      <c r="K251">
        <v>9859</v>
      </c>
      <c r="L251">
        <v>0</v>
      </c>
      <c r="M251">
        <v>16673</v>
      </c>
      <c r="N251">
        <v>12096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v>5134</v>
      </c>
      <c r="F252">
        <v>4339</v>
      </c>
      <c r="G252">
        <v>4431</v>
      </c>
      <c r="H252">
        <v>4301</v>
      </c>
      <c r="I252">
        <v>6323</v>
      </c>
      <c r="J252">
        <v>5923</v>
      </c>
      <c r="K252">
        <v>930</v>
      </c>
      <c r="L252">
        <v>683</v>
      </c>
      <c r="M252">
        <v>10696</v>
      </c>
      <c r="N252">
        <v>6135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v>9918</v>
      </c>
      <c r="F253">
        <v>9866</v>
      </c>
      <c r="G253">
        <v>10749</v>
      </c>
      <c r="H253">
        <v>9171</v>
      </c>
      <c r="I253">
        <v>7650</v>
      </c>
      <c r="J253">
        <v>8294</v>
      </c>
      <c r="K253">
        <v>4947</v>
      </c>
      <c r="L253">
        <v>900</v>
      </c>
      <c r="M253">
        <v>11349</v>
      </c>
      <c r="N253">
        <v>9124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v>8472</v>
      </c>
      <c r="F254">
        <v>8235</v>
      </c>
      <c r="G254">
        <v>11372</v>
      </c>
      <c r="H254">
        <v>6588</v>
      </c>
      <c r="I254">
        <v>14330</v>
      </c>
      <c r="J254">
        <v>11225</v>
      </c>
      <c r="K254">
        <v>2043</v>
      </c>
      <c r="L254">
        <v>0</v>
      </c>
      <c r="M254">
        <v>8036</v>
      </c>
      <c r="N254">
        <v>9139</v>
      </c>
    </row>
    <row r="255" spans="1:14" x14ac:dyDescent="0.2">
      <c r="A255" t="s">
        <v>533</v>
      </c>
      <c r="B255" t="s">
        <v>533</v>
      </c>
      <c r="C255">
        <v>236595</v>
      </c>
      <c r="D255">
        <v>42660</v>
      </c>
      <c r="E255">
        <v>3225</v>
      </c>
      <c r="F255">
        <v>4853</v>
      </c>
      <c r="G255">
        <v>4171</v>
      </c>
      <c r="H255">
        <v>3490</v>
      </c>
      <c r="I255">
        <v>6725</v>
      </c>
      <c r="J255">
        <v>4701</v>
      </c>
      <c r="K255">
        <v>718</v>
      </c>
      <c r="L255">
        <v>925</v>
      </c>
      <c r="M255">
        <v>2498</v>
      </c>
      <c r="N255">
        <v>4188</v>
      </c>
    </row>
    <row r="256" spans="1:14" x14ac:dyDescent="0.2">
      <c r="A256" t="s">
        <v>534</v>
      </c>
      <c r="B256" t="s">
        <v>534</v>
      </c>
      <c r="C256">
        <v>186584</v>
      </c>
      <c r="D256">
        <v>35620</v>
      </c>
      <c r="E256">
        <v>3912</v>
      </c>
      <c r="F256">
        <v>3727</v>
      </c>
      <c r="G256">
        <v>5785</v>
      </c>
      <c r="H256">
        <v>5855</v>
      </c>
      <c r="I256">
        <v>3466</v>
      </c>
      <c r="J256">
        <v>663</v>
      </c>
      <c r="K256">
        <v>326</v>
      </c>
      <c r="L256">
        <v>540</v>
      </c>
      <c r="M256">
        <v>4034</v>
      </c>
      <c r="N256">
        <v>5554</v>
      </c>
    </row>
    <row r="257" spans="1:14" x14ac:dyDescent="0.2">
      <c r="A257" t="s">
        <v>535</v>
      </c>
      <c r="B257" t="s">
        <v>535</v>
      </c>
      <c r="C257">
        <v>228431</v>
      </c>
      <c r="D257">
        <v>34860</v>
      </c>
      <c r="E257">
        <v>8077</v>
      </c>
      <c r="F257">
        <v>5409</v>
      </c>
      <c r="G257">
        <v>5146</v>
      </c>
      <c r="H257">
        <v>6702</v>
      </c>
      <c r="I257">
        <v>6229</v>
      </c>
      <c r="J257">
        <v>9904</v>
      </c>
      <c r="K257">
        <v>1875</v>
      </c>
      <c r="L257">
        <v>4203</v>
      </c>
      <c r="M257">
        <v>4098</v>
      </c>
      <c r="N257">
        <v>4500</v>
      </c>
    </row>
    <row r="258" spans="1:14" x14ac:dyDescent="0.2">
      <c r="A258" t="s">
        <v>536</v>
      </c>
      <c r="B258" t="s">
        <v>536</v>
      </c>
      <c r="C258">
        <v>195474</v>
      </c>
      <c r="D258">
        <v>10580</v>
      </c>
      <c r="E258">
        <v>1341</v>
      </c>
      <c r="F258">
        <v>2028</v>
      </c>
      <c r="G258">
        <v>1852</v>
      </c>
      <c r="H258">
        <v>2726</v>
      </c>
      <c r="I258">
        <v>2477</v>
      </c>
      <c r="J258">
        <v>5314</v>
      </c>
      <c r="K258">
        <v>0</v>
      </c>
      <c r="L258">
        <v>1454</v>
      </c>
      <c r="M258">
        <v>2877</v>
      </c>
      <c r="N258">
        <v>2258</v>
      </c>
    </row>
    <row r="259" spans="1:14" x14ac:dyDescent="0.2">
      <c r="A259" t="s">
        <v>537</v>
      </c>
      <c r="B259" t="s">
        <v>537</v>
      </c>
      <c r="C259">
        <v>149231</v>
      </c>
      <c r="D259">
        <v>41180</v>
      </c>
      <c r="E259">
        <v>2927</v>
      </c>
      <c r="F259">
        <v>3064</v>
      </c>
      <c r="G259">
        <v>3110</v>
      </c>
      <c r="H259">
        <v>4300</v>
      </c>
      <c r="I259">
        <v>2746</v>
      </c>
      <c r="J259">
        <v>3652</v>
      </c>
      <c r="K259">
        <v>563</v>
      </c>
      <c r="L259">
        <v>1500</v>
      </c>
      <c r="M259">
        <v>3581</v>
      </c>
      <c r="N259">
        <v>2752</v>
      </c>
    </row>
    <row r="260" spans="1:14" x14ac:dyDescent="0.2">
      <c r="A260" t="s">
        <v>538</v>
      </c>
      <c r="B260" t="s">
        <v>538</v>
      </c>
      <c r="C260">
        <v>228246</v>
      </c>
      <c r="D260">
        <v>19100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197</v>
      </c>
      <c r="B261" t="s">
        <v>197</v>
      </c>
      <c r="C261">
        <v>102094</v>
      </c>
      <c r="D261">
        <v>33660</v>
      </c>
      <c r="E261">
        <v>29402</v>
      </c>
      <c r="F261">
        <v>42147</v>
      </c>
      <c r="G261">
        <v>49891</v>
      </c>
      <c r="H261">
        <v>34579</v>
      </c>
      <c r="I261">
        <v>32824</v>
      </c>
      <c r="J261">
        <v>38924</v>
      </c>
      <c r="K261">
        <v>11007</v>
      </c>
      <c r="L261">
        <v>16280</v>
      </c>
      <c r="M261">
        <v>32507</v>
      </c>
      <c r="N261">
        <v>37400</v>
      </c>
    </row>
    <row r="262" spans="1:14" x14ac:dyDescent="0.2">
      <c r="A262" t="s">
        <v>198</v>
      </c>
      <c r="B262" t="s">
        <v>198</v>
      </c>
      <c r="C262">
        <v>218663</v>
      </c>
      <c r="D262">
        <v>17900</v>
      </c>
      <c r="E262">
        <v>305564</v>
      </c>
      <c r="F262">
        <v>250057</v>
      </c>
      <c r="G262">
        <v>293677</v>
      </c>
      <c r="H262">
        <v>258407</v>
      </c>
      <c r="I262">
        <v>229434</v>
      </c>
      <c r="J262">
        <v>197936</v>
      </c>
      <c r="K262">
        <v>75154</v>
      </c>
      <c r="L262">
        <v>90018</v>
      </c>
      <c r="M262">
        <v>215212</v>
      </c>
      <c r="N262">
        <v>256075</v>
      </c>
    </row>
    <row r="263" spans="1:14" x14ac:dyDescent="0.2">
      <c r="A263" t="s">
        <v>539</v>
      </c>
      <c r="B263" t="s">
        <v>539</v>
      </c>
      <c r="C263">
        <v>218733</v>
      </c>
      <c r="D263">
        <v>36700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201</v>
      </c>
      <c r="B264" t="s">
        <v>201</v>
      </c>
      <c r="C264">
        <v>219471</v>
      </c>
      <c r="D264">
        <v>46820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540</v>
      </c>
      <c r="B265" t="s">
        <v>540</v>
      </c>
      <c r="C265">
        <v>219356</v>
      </c>
      <c r="D265">
        <v>15100</v>
      </c>
      <c r="E265">
        <v>2757</v>
      </c>
      <c r="F265">
        <v>4704</v>
      </c>
      <c r="G265">
        <v>3662</v>
      </c>
      <c r="H265">
        <v>2674</v>
      </c>
      <c r="I265">
        <v>1957</v>
      </c>
      <c r="J265">
        <v>2196</v>
      </c>
      <c r="K265">
        <v>0</v>
      </c>
      <c r="L265">
        <v>1575</v>
      </c>
      <c r="M265">
        <v>1280</v>
      </c>
      <c r="N265">
        <v>1389</v>
      </c>
    </row>
    <row r="266" spans="1:14" x14ac:dyDescent="0.2">
      <c r="A266" t="s">
        <v>541</v>
      </c>
      <c r="B266" t="s">
        <v>541</v>
      </c>
      <c r="C266">
        <v>137351</v>
      </c>
      <c r="D266">
        <v>45300</v>
      </c>
      <c r="E266">
        <v>42574</v>
      </c>
      <c r="F266">
        <v>22457</v>
      </c>
      <c r="G266">
        <v>27346</v>
      </c>
      <c r="H266">
        <v>30620</v>
      </c>
      <c r="I266">
        <v>32070</v>
      </c>
      <c r="J266">
        <v>32625</v>
      </c>
      <c r="K266">
        <v>10364</v>
      </c>
      <c r="L266">
        <v>2370</v>
      </c>
      <c r="M266">
        <v>38011</v>
      </c>
      <c r="N266">
        <v>34592</v>
      </c>
    </row>
    <row r="267" spans="1:14" x14ac:dyDescent="0.2">
      <c r="A267" t="s">
        <v>542</v>
      </c>
      <c r="B267" t="s">
        <v>542</v>
      </c>
      <c r="C267">
        <v>179557</v>
      </c>
      <c r="D267">
        <v>16020</v>
      </c>
      <c r="E267">
        <v>12419</v>
      </c>
      <c r="F267">
        <v>12044</v>
      </c>
      <c r="G267">
        <v>21556</v>
      </c>
      <c r="H267">
        <v>20456</v>
      </c>
      <c r="I267">
        <v>17113</v>
      </c>
      <c r="J267">
        <v>14966</v>
      </c>
      <c r="K267">
        <v>2408</v>
      </c>
      <c r="L267">
        <v>6799</v>
      </c>
      <c r="M267">
        <v>10320</v>
      </c>
      <c r="N267">
        <v>7384</v>
      </c>
    </row>
    <row r="268" spans="1:14" x14ac:dyDescent="0.2">
      <c r="A268" t="s">
        <v>543</v>
      </c>
      <c r="B268" t="s">
        <v>543</v>
      </c>
      <c r="C268">
        <v>160612</v>
      </c>
      <c r="D268">
        <v>25220</v>
      </c>
      <c r="E268">
        <v>22619</v>
      </c>
      <c r="F268">
        <v>31077</v>
      </c>
      <c r="G268">
        <v>31551</v>
      </c>
      <c r="H268">
        <v>32674</v>
      </c>
      <c r="I268">
        <v>43463</v>
      </c>
      <c r="J268">
        <v>33829</v>
      </c>
      <c r="K268">
        <v>7846</v>
      </c>
      <c r="L268">
        <v>27713</v>
      </c>
      <c r="M268">
        <v>36908</v>
      </c>
      <c r="N268">
        <v>37572</v>
      </c>
    </row>
    <row r="269" spans="1:14" x14ac:dyDescent="0.2">
      <c r="A269" t="s">
        <v>544</v>
      </c>
      <c r="B269" t="s">
        <v>544</v>
      </c>
      <c r="C269">
        <v>123961</v>
      </c>
      <c r="D269">
        <v>31080</v>
      </c>
      <c r="E269">
        <v>21081</v>
      </c>
      <c r="F269">
        <v>26447</v>
      </c>
      <c r="G269">
        <v>18638</v>
      </c>
      <c r="H269">
        <v>17339</v>
      </c>
      <c r="I269">
        <v>17961</v>
      </c>
      <c r="J269">
        <v>17747</v>
      </c>
      <c r="K269">
        <v>7972</v>
      </c>
      <c r="L269">
        <v>2451</v>
      </c>
      <c r="M269">
        <v>19119</v>
      </c>
      <c r="N269">
        <v>21887</v>
      </c>
    </row>
    <row r="270" spans="1:14" x14ac:dyDescent="0.2">
      <c r="A270" t="s">
        <v>545</v>
      </c>
      <c r="B270" t="s">
        <v>545</v>
      </c>
      <c r="C270">
        <v>149222</v>
      </c>
      <c r="D270">
        <v>16060</v>
      </c>
      <c r="E270">
        <v>11391</v>
      </c>
      <c r="F270">
        <v>9338</v>
      </c>
      <c r="G270">
        <v>9528</v>
      </c>
      <c r="H270">
        <v>9472</v>
      </c>
      <c r="I270">
        <v>9027</v>
      </c>
      <c r="J270">
        <v>6778</v>
      </c>
      <c r="K270">
        <v>1484</v>
      </c>
      <c r="L270">
        <v>872</v>
      </c>
      <c r="M270">
        <v>8696</v>
      </c>
      <c r="N270">
        <v>10719</v>
      </c>
    </row>
    <row r="271" spans="1:14" x14ac:dyDescent="0.2">
      <c r="A271" t="s">
        <v>546</v>
      </c>
      <c r="B271" t="s">
        <v>546</v>
      </c>
      <c r="C271">
        <v>176372</v>
      </c>
      <c r="D271">
        <v>25620</v>
      </c>
      <c r="E271">
        <v>66203</v>
      </c>
      <c r="F271">
        <v>69415</v>
      </c>
      <c r="G271">
        <v>96917</v>
      </c>
      <c r="H271">
        <v>107819</v>
      </c>
      <c r="I271">
        <v>98443</v>
      </c>
      <c r="J271">
        <v>91550</v>
      </c>
      <c r="K271">
        <v>36300</v>
      </c>
      <c r="L271">
        <v>0</v>
      </c>
      <c r="M271">
        <v>182810</v>
      </c>
      <c r="N271">
        <v>175740</v>
      </c>
    </row>
    <row r="272" spans="1:14" x14ac:dyDescent="0.2">
      <c r="A272" t="s">
        <v>547</v>
      </c>
      <c r="B272" t="s">
        <v>547</v>
      </c>
      <c r="C272">
        <v>160621</v>
      </c>
      <c r="D272">
        <v>12940</v>
      </c>
      <c r="E272">
        <v>2435</v>
      </c>
      <c r="F272">
        <v>3649</v>
      </c>
      <c r="G272">
        <v>1974</v>
      </c>
      <c r="H272">
        <v>2192</v>
      </c>
      <c r="I272">
        <v>2582</v>
      </c>
      <c r="J272">
        <v>4934</v>
      </c>
      <c r="K272">
        <v>1253</v>
      </c>
      <c r="L272">
        <v>413</v>
      </c>
      <c r="M272">
        <v>7738</v>
      </c>
      <c r="N272">
        <v>8612</v>
      </c>
    </row>
    <row r="273" spans="1:14" x14ac:dyDescent="0.2">
      <c r="A273" t="s">
        <v>209</v>
      </c>
      <c r="B273" t="s">
        <v>209</v>
      </c>
      <c r="C273">
        <v>230603</v>
      </c>
      <c r="D273">
        <v>16260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548</v>
      </c>
      <c r="B274" t="s">
        <v>548</v>
      </c>
      <c r="C274">
        <v>195164</v>
      </c>
      <c r="D274">
        <v>18500</v>
      </c>
      <c r="E274">
        <v>2020</v>
      </c>
      <c r="F274">
        <v>2536</v>
      </c>
      <c r="G274">
        <v>3019</v>
      </c>
      <c r="H274">
        <v>3560</v>
      </c>
      <c r="I274">
        <v>1650</v>
      </c>
      <c r="J274">
        <v>2448</v>
      </c>
      <c r="K274">
        <v>0</v>
      </c>
      <c r="L274">
        <v>1494</v>
      </c>
      <c r="M274">
        <v>2805</v>
      </c>
      <c r="N274">
        <v>3319</v>
      </c>
    </row>
    <row r="275" spans="1:14" x14ac:dyDescent="0.2">
      <c r="A275" t="s">
        <v>549</v>
      </c>
      <c r="B275" t="s">
        <v>549</v>
      </c>
      <c r="C275">
        <v>195173</v>
      </c>
      <c r="D275">
        <v>15100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550</v>
      </c>
      <c r="B276" t="s">
        <v>550</v>
      </c>
      <c r="C276">
        <v>195809</v>
      </c>
      <c r="D276">
        <v>35620</v>
      </c>
      <c r="E276">
        <v>6489</v>
      </c>
      <c r="F276">
        <v>5308</v>
      </c>
      <c r="G276">
        <v>4101</v>
      </c>
      <c r="H276">
        <v>7761</v>
      </c>
      <c r="I276">
        <v>8499</v>
      </c>
      <c r="J276">
        <v>8762</v>
      </c>
      <c r="K276">
        <v>213</v>
      </c>
      <c r="L276">
        <v>2620</v>
      </c>
      <c r="M276">
        <v>7203</v>
      </c>
      <c r="N276">
        <v>6845</v>
      </c>
    </row>
    <row r="277" spans="1:14" x14ac:dyDescent="0.2">
      <c r="A277" t="s">
        <v>551</v>
      </c>
      <c r="B277" t="s">
        <v>551</v>
      </c>
      <c r="C277">
        <v>243744</v>
      </c>
      <c r="D277">
        <v>41940</v>
      </c>
      <c r="E277">
        <v>44442</v>
      </c>
      <c r="F277">
        <v>49648</v>
      </c>
      <c r="G277">
        <v>46340</v>
      </c>
      <c r="H277">
        <v>51966</v>
      </c>
      <c r="I277">
        <v>50981</v>
      </c>
      <c r="J277">
        <v>47525</v>
      </c>
      <c r="K277">
        <v>12301</v>
      </c>
      <c r="L277">
        <v>6362</v>
      </c>
      <c r="M277">
        <v>55800</v>
      </c>
      <c r="N277">
        <v>65917</v>
      </c>
    </row>
    <row r="278" spans="1:14" x14ac:dyDescent="0.2">
      <c r="A278" t="s">
        <v>552</v>
      </c>
      <c r="B278" t="s">
        <v>552</v>
      </c>
      <c r="C278">
        <v>137546</v>
      </c>
      <c r="D278">
        <v>36740</v>
      </c>
      <c r="E278">
        <v>22176</v>
      </c>
      <c r="F278">
        <v>22685</v>
      </c>
      <c r="G278">
        <v>24195</v>
      </c>
      <c r="H278">
        <v>27617</v>
      </c>
      <c r="I278">
        <v>33931</v>
      </c>
      <c r="J278">
        <v>24956</v>
      </c>
      <c r="K278">
        <v>9405</v>
      </c>
      <c r="L278">
        <v>7618</v>
      </c>
      <c r="M278">
        <v>25238</v>
      </c>
      <c r="N278">
        <v>23834</v>
      </c>
    </row>
    <row r="279" spans="1:14" x14ac:dyDescent="0.2">
      <c r="A279" t="s">
        <v>211</v>
      </c>
      <c r="B279" t="s">
        <v>211</v>
      </c>
      <c r="C279">
        <v>196097</v>
      </c>
      <c r="D279">
        <v>35620</v>
      </c>
      <c r="E279">
        <v>5751</v>
      </c>
      <c r="F279">
        <v>3166</v>
      </c>
      <c r="G279">
        <v>5790</v>
      </c>
      <c r="H279">
        <v>6376</v>
      </c>
      <c r="I279">
        <v>9903</v>
      </c>
      <c r="J279">
        <v>4777</v>
      </c>
      <c r="K279">
        <v>836</v>
      </c>
      <c r="L279">
        <v>2359</v>
      </c>
      <c r="M279">
        <v>6804</v>
      </c>
      <c r="N279">
        <v>4718</v>
      </c>
    </row>
    <row r="280" spans="1:14" x14ac:dyDescent="0.2">
      <c r="A280" t="s">
        <v>553</v>
      </c>
      <c r="B280" t="s">
        <v>553</v>
      </c>
      <c r="C280">
        <v>196413</v>
      </c>
      <c r="D280">
        <v>45060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554</v>
      </c>
      <c r="B281" t="s">
        <v>554</v>
      </c>
      <c r="C281">
        <v>228875</v>
      </c>
      <c r="D281">
        <v>19100</v>
      </c>
      <c r="E281">
        <v>121957</v>
      </c>
      <c r="F281">
        <v>147335</v>
      </c>
      <c r="G281">
        <v>132796</v>
      </c>
      <c r="H281">
        <v>153139</v>
      </c>
      <c r="I281">
        <v>137086</v>
      </c>
      <c r="J281">
        <v>118221</v>
      </c>
      <c r="K281">
        <v>34496</v>
      </c>
      <c r="L281">
        <v>72750</v>
      </c>
      <c r="M281">
        <v>102774</v>
      </c>
      <c r="N281">
        <v>145744</v>
      </c>
    </row>
    <row r="282" spans="1:14" x14ac:dyDescent="0.2">
      <c r="A282" t="s">
        <v>555</v>
      </c>
      <c r="B282" t="s">
        <v>555</v>
      </c>
      <c r="C282">
        <v>216339</v>
      </c>
      <c r="D282">
        <v>37980</v>
      </c>
      <c r="E282">
        <v>3013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212</v>
      </c>
      <c r="B283" t="s">
        <v>212</v>
      </c>
      <c r="C283">
        <v>221759</v>
      </c>
      <c r="D283">
        <v>28940</v>
      </c>
      <c r="E283">
        <v>61550</v>
      </c>
      <c r="F283">
        <v>45004</v>
      </c>
      <c r="G283">
        <v>54161</v>
      </c>
      <c r="H283">
        <v>47191</v>
      </c>
      <c r="I283">
        <v>61956</v>
      </c>
      <c r="J283">
        <v>68528</v>
      </c>
      <c r="K283">
        <v>21147</v>
      </c>
      <c r="L283">
        <v>75869</v>
      </c>
      <c r="M283">
        <v>177657</v>
      </c>
      <c r="N283">
        <v>171151</v>
      </c>
    </row>
    <row r="284" spans="1:14" x14ac:dyDescent="0.2">
      <c r="A284" t="s">
        <v>556</v>
      </c>
      <c r="B284" t="s">
        <v>556</v>
      </c>
      <c r="C284">
        <v>221838</v>
      </c>
      <c r="D284">
        <v>34980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215</v>
      </c>
      <c r="B285" t="s">
        <v>215</v>
      </c>
      <c r="C285">
        <v>221847</v>
      </c>
      <c r="D285">
        <v>18260</v>
      </c>
      <c r="E285">
        <v>9886</v>
      </c>
      <c r="F285">
        <v>6633</v>
      </c>
      <c r="G285">
        <v>5224</v>
      </c>
      <c r="H285">
        <v>6060</v>
      </c>
      <c r="I285">
        <v>8867</v>
      </c>
      <c r="J285">
        <v>4801</v>
      </c>
      <c r="K285">
        <v>1547</v>
      </c>
      <c r="L285">
        <v>3428</v>
      </c>
      <c r="M285">
        <v>6009</v>
      </c>
      <c r="N285">
        <v>4863</v>
      </c>
    </row>
    <row r="286" spans="1:14" x14ac:dyDescent="0.2">
      <c r="A286" t="s">
        <v>216</v>
      </c>
      <c r="B286" t="s">
        <v>216</v>
      </c>
      <c r="C286">
        <v>228778</v>
      </c>
      <c r="D286">
        <v>12420</v>
      </c>
      <c r="E286">
        <v>177615</v>
      </c>
      <c r="F286">
        <v>127802</v>
      </c>
      <c r="G286">
        <v>178365</v>
      </c>
      <c r="H286">
        <v>171813</v>
      </c>
      <c r="I286">
        <v>210895</v>
      </c>
      <c r="J286">
        <v>175768</v>
      </c>
      <c r="K286">
        <v>55906</v>
      </c>
      <c r="L286">
        <v>92770</v>
      </c>
      <c r="M286">
        <v>235220</v>
      </c>
      <c r="N286">
        <v>242264</v>
      </c>
    </row>
    <row r="287" spans="1:14" x14ac:dyDescent="0.2">
      <c r="A287" t="s">
        <v>217</v>
      </c>
      <c r="B287" t="s">
        <v>217</v>
      </c>
      <c r="C287">
        <v>228723</v>
      </c>
      <c r="D287">
        <v>17780</v>
      </c>
      <c r="E287">
        <v>154854</v>
      </c>
      <c r="F287">
        <v>199119</v>
      </c>
      <c r="G287">
        <v>212777</v>
      </c>
      <c r="H287">
        <v>185466</v>
      </c>
      <c r="I287">
        <v>175925</v>
      </c>
      <c r="J287">
        <v>172401</v>
      </c>
      <c r="K287">
        <v>65729</v>
      </c>
      <c r="L287">
        <v>50114</v>
      </c>
      <c r="M287">
        <v>199691</v>
      </c>
      <c r="N287">
        <v>195183</v>
      </c>
    </row>
    <row r="288" spans="1:14" x14ac:dyDescent="0.2">
      <c r="A288" t="s">
        <v>220</v>
      </c>
      <c r="B288" t="s">
        <v>220</v>
      </c>
      <c r="C288">
        <v>229063</v>
      </c>
      <c r="D288">
        <v>26420</v>
      </c>
      <c r="E288">
        <v>2291</v>
      </c>
      <c r="F288">
        <v>1673</v>
      </c>
      <c r="G288">
        <v>2245</v>
      </c>
      <c r="H288">
        <v>2675</v>
      </c>
      <c r="I288">
        <v>2722</v>
      </c>
      <c r="J288">
        <v>2791</v>
      </c>
      <c r="K288">
        <v>780</v>
      </c>
      <c r="L288">
        <v>1185</v>
      </c>
      <c r="M288">
        <v>2934</v>
      </c>
      <c r="N288">
        <v>2595</v>
      </c>
    </row>
    <row r="289" spans="1:14" x14ac:dyDescent="0.2">
      <c r="A289" t="s">
        <v>557</v>
      </c>
      <c r="B289" t="s">
        <v>557</v>
      </c>
      <c r="C289">
        <v>228459</v>
      </c>
      <c r="D289">
        <v>12420</v>
      </c>
      <c r="E289">
        <v>42834</v>
      </c>
      <c r="F289">
        <v>36565</v>
      </c>
      <c r="G289">
        <v>44797</v>
      </c>
      <c r="H289">
        <v>49258</v>
      </c>
      <c r="I289">
        <v>44341</v>
      </c>
      <c r="J289">
        <v>33537</v>
      </c>
      <c r="K289">
        <v>15724</v>
      </c>
      <c r="L289">
        <v>18533</v>
      </c>
      <c r="M289">
        <v>40768</v>
      </c>
      <c r="N289">
        <v>52216</v>
      </c>
    </row>
    <row r="290" spans="1:14" x14ac:dyDescent="0.2">
      <c r="A290" t="s">
        <v>222</v>
      </c>
      <c r="B290" t="s">
        <v>222</v>
      </c>
      <c r="C290">
        <v>229115</v>
      </c>
      <c r="D290">
        <v>31180</v>
      </c>
      <c r="E290">
        <v>89355</v>
      </c>
      <c r="F290">
        <v>98969</v>
      </c>
      <c r="G290">
        <v>130919</v>
      </c>
      <c r="H290">
        <v>129337</v>
      </c>
      <c r="I290">
        <v>141158</v>
      </c>
      <c r="J290">
        <v>144339</v>
      </c>
      <c r="K290">
        <v>40567</v>
      </c>
      <c r="L290">
        <v>119916</v>
      </c>
      <c r="M290">
        <v>92346</v>
      </c>
      <c r="N290">
        <v>137306</v>
      </c>
    </row>
    <row r="291" spans="1:14" x14ac:dyDescent="0.2">
      <c r="A291" t="s">
        <v>70</v>
      </c>
      <c r="B291" t="s">
        <v>558</v>
      </c>
      <c r="C291">
        <v>217864</v>
      </c>
      <c r="D291">
        <v>16700</v>
      </c>
      <c r="E291">
        <v>20335</v>
      </c>
      <c r="F291">
        <v>16851</v>
      </c>
      <c r="G291">
        <v>29684</v>
      </c>
      <c r="H291">
        <v>24103</v>
      </c>
      <c r="I291">
        <v>9995</v>
      </c>
      <c r="J291">
        <v>10774</v>
      </c>
      <c r="K291">
        <v>3119</v>
      </c>
      <c r="L291">
        <v>10614</v>
      </c>
      <c r="M291">
        <v>14027</v>
      </c>
      <c r="N291">
        <v>15926</v>
      </c>
    </row>
    <row r="292" spans="1:14" x14ac:dyDescent="0.2">
      <c r="A292" t="s">
        <v>223</v>
      </c>
      <c r="B292" t="s">
        <v>223</v>
      </c>
      <c r="C292">
        <v>206084</v>
      </c>
      <c r="D292">
        <v>45780</v>
      </c>
      <c r="E292">
        <v>3960</v>
      </c>
      <c r="F292">
        <v>2503</v>
      </c>
      <c r="G292">
        <v>2656</v>
      </c>
      <c r="H292">
        <v>3534</v>
      </c>
      <c r="I292">
        <v>3238</v>
      </c>
      <c r="J292">
        <v>2000</v>
      </c>
      <c r="K292">
        <v>0</v>
      </c>
      <c r="L292">
        <v>2850</v>
      </c>
      <c r="M292">
        <v>2863</v>
      </c>
      <c r="N292">
        <v>2790</v>
      </c>
    </row>
    <row r="293" spans="1:14" x14ac:dyDescent="0.2">
      <c r="A293" t="s">
        <v>224</v>
      </c>
      <c r="B293" t="s">
        <v>224</v>
      </c>
      <c r="C293">
        <v>164076</v>
      </c>
      <c r="D293">
        <v>12580</v>
      </c>
      <c r="E293">
        <v>3607</v>
      </c>
      <c r="F293">
        <v>3863</v>
      </c>
      <c r="G293">
        <v>3442</v>
      </c>
      <c r="H293">
        <v>3650</v>
      </c>
      <c r="I293">
        <v>3680</v>
      </c>
      <c r="J293">
        <v>4992</v>
      </c>
      <c r="K293">
        <v>811</v>
      </c>
      <c r="L293">
        <v>680</v>
      </c>
      <c r="M293">
        <v>4323</v>
      </c>
      <c r="N293">
        <v>4035</v>
      </c>
    </row>
    <row r="294" spans="1:14" x14ac:dyDescent="0.2">
      <c r="A294" t="s">
        <v>225</v>
      </c>
      <c r="B294" t="s">
        <v>225</v>
      </c>
      <c r="C294">
        <v>102368</v>
      </c>
      <c r="D294">
        <v>45980</v>
      </c>
      <c r="E294">
        <v>30972</v>
      </c>
      <c r="F294">
        <v>38466</v>
      </c>
      <c r="G294">
        <v>29077</v>
      </c>
      <c r="H294">
        <v>31528</v>
      </c>
      <c r="I294">
        <v>50731</v>
      </c>
      <c r="J294">
        <v>47908</v>
      </c>
      <c r="K294">
        <v>13794</v>
      </c>
      <c r="L294">
        <v>23872</v>
      </c>
      <c r="M294">
        <v>56483</v>
      </c>
      <c r="N294">
        <v>56474</v>
      </c>
    </row>
    <row r="295" spans="1:14" x14ac:dyDescent="0.2">
      <c r="A295" t="s">
        <v>559</v>
      </c>
      <c r="B295" t="s">
        <v>559</v>
      </c>
      <c r="C295">
        <v>160755</v>
      </c>
      <c r="D295">
        <v>35380</v>
      </c>
      <c r="E295">
        <v>56573</v>
      </c>
      <c r="F295">
        <v>61782</v>
      </c>
      <c r="G295">
        <v>69048</v>
      </c>
      <c r="H295">
        <v>68096</v>
      </c>
      <c r="I295">
        <v>55685</v>
      </c>
      <c r="J295">
        <v>61425</v>
      </c>
      <c r="K295">
        <v>17535</v>
      </c>
      <c r="L295">
        <v>17336</v>
      </c>
      <c r="M295">
        <v>52991</v>
      </c>
      <c r="N295">
        <v>46115</v>
      </c>
    </row>
    <row r="296" spans="1:14" x14ac:dyDescent="0.2">
      <c r="A296" t="s">
        <v>560</v>
      </c>
      <c r="B296" t="s">
        <v>560</v>
      </c>
      <c r="C296">
        <v>207971</v>
      </c>
      <c r="D296">
        <v>46140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226</v>
      </c>
      <c r="B297" t="s">
        <v>226</v>
      </c>
      <c r="C297">
        <v>100663</v>
      </c>
      <c r="D297">
        <v>13820</v>
      </c>
      <c r="E297">
        <v>17828</v>
      </c>
      <c r="F297">
        <v>19612</v>
      </c>
      <c r="G297">
        <v>23531</v>
      </c>
      <c r="H297">
        <v>16373</v>
      </c>
      <c r="I297">
        <v>16440</v>
      </c>
      <c r="J297">
        <v>15026</v>
      </c>
      <c r="K297">
        <v>6884</v>
      </c>
      <c r="L297">
        <v>6123</v>
      </c>
      <c r="M297">
        <v>10359</v>
      </c>
      <c r="N297">
        <v>16856</v>
      </c>
    </row>
    <row r="298" spans="1:14" x14ac:dyDescent="0.2">
      <c r="A298" t="s">
        <v>561</v>
      </c>
      <c r="B298" t="s">
        <v>562</v>
      </c>
      <c r="C298">
        <v>196060</v>
      </c>
      <c r="D298">
        <v>10580</v>
      </c>
      <c r="E298">
        <v>2506</v>
      </c>
      <c r="F298">
        <v>3525</v>
      </c>
      <c r="G298">
        <v>2465</v>
      </c>
      <c r="H298">
        <v>1432</v>
      </c>
      <c r="I298">
        <v>1866</v>
      </c>
      <c r="J298">
        <v>3489</v>
      </c>
      <c r="K298">
        <v>0</v>
      </c>
      <c r="L298">
        <v>1567</v>
      </c>
      <c r="M298">
        <v>2216</v>
      </c>
      <c r="N298">
        <v>2050</v>
      </c>
    </row>
    <row r="299" spans="1:14" x14ac:dyDescent="0.2">
      <c r="A299" t="s">
        <v>227</v>
      </c>
      <c r="B299" t="s">
        <v>227</v>
      </c>
      <c r="C299">
        <v>110644</v>
      </c>
      <c r="D299">
        <v>40900</v>
      </c>
      <c r="E299">
        <v>8654</v>
      </c>
      <c r="F299">
        <v>7602</v>
      </c>
      <c r="G299">
        <v>8559</v>
      </c>
      <c r="H299">
        <v>6956</v>
      </c>
      <c r="I299">
        <v>6209</v>
      </c>
      <c r="J299">
        <v>4493</v>
      </c>
      <c r="K299">
        <v>2791</v>
      </c>
      <c r="L299">
        <v>3454</v>
      </c>
      <c r="M299">
        <v>4537</v>
      </c>
      <c r="N299">
        <v>6689</v>
      </c>
    </row>
    <row r="300" spans="1:14" x14ac:dyDescent="0.2">
      <c r="A300" t="s">
        <v>228</v>
      </c>
      <c r="B300" t="s">
        <v>228</v>
      </c>
      <c r="C300">
        <v>110653</v>
      </c>
      <c r="D300">
        <v>31080</v>
      </c>
      <c r="E300">
        <v>21507</v>
      </c>
      <c r="F300">
        <v>19673</v>
      </c>
      <c r="G300">
        <v>17928</v>
      </c>
      <c r="H300">
        <v>18427</v>
      </c>
      <c r="I300">
        <v>16773</v>
      </c>
      <c r="J300">
        <v>17249</v>
      </c>
      <c r="K300">
        <v>3927</v>
      </c>
      <c r="L300">
        <v>3078</v>
      </c>
      <c r="M300">
        <v>19327</v>
      </c>
      <c r="N300">
        <v>23762</v>
      </c>
    </row>
    <row r="301" spans="1:14" x14ac:dyDescent="0.2">
      <c r="A301" t="s">
        <v>229</v>
      </c>
      <c r="B301" t="s">
        <v>229</v>
      </c>
      <c r="C301">
        <v>110671</v>
      </c>
      <c r="D301">
        <v>40140</v>
      </c>
      <c r="E301">
        <v>10329</v>
      </c>
      <c r="F301">
        <v>10970</v>
      </c>
      <c r="G301">
        <v>8025</v>
      </c>
      <c r="H301">
        <v>6986</v>
      </c>
      <c r="I301">
        <v>5268</v>
      </c>
      <c r="J301">
        <v>5594</v>
      </c>
      <c r="K301">
        <v>1156</v>
      </c>
      <c r="L301">
        <v>0</v>
      </c>
      <c r="M301">
        <v>3602</v>
      </c>
      <c r="N301">
        <v>3428</v>
      </c>
    </row>
    <row r="302" spans="1:14" x14ac:dyDescent="0.2">
      <c r="A302" t="s">
        <v>230</v>
      </c>
      <c r="B302" t="s">
        <v>230</v>
      </c>
      <c r="C302">
        <v>110705</v>
      </c>
      <c r="D302">
        <v>42200</v>
      </c>
      <c r="E302">
        <v>12954</v>
      </c>
      <c r="F302">
        <v>15340</v>
      </c>
      <c r="G302">
        <v>10644</v>
      </c>
      <c r="H302">
        <v>10748</v>
      </c>
      <c r="I302">
        <v>11407</v>
      </c>
      <c r="J302">
        <v>14223</v>
      </c>
      <c r="K302">
        <v>2585</v>
      </c>
      <c r="L302">
        <v>5497</v>
      </c>
      <c r="M302">
        <v>8490</v>
      </c>
      <c r="N302">
        <v>8128</v>
      </c>
    </row>
    <row r="303" spans="1:14" x14ac:dyDescent="0.2">
      <c r="A303" t="s">
        <v>231</v>
      </c>
      <c r="B303" t="s">
        <v>231</v>
      </c>
      <c r="C303">
        <v>132903</v>
      </c>
      <c r="D303">
        <v>36740</v>
      </c>
      <c r="E303">
        <v>48127</v>
      </c>
      <c r="F303">
        <v>43111</v>
      </c>
      <c r="G303">
        <v>38673</v>
      </c>
      <c r="H303">
        <v>50372</v>
      </c>
      <c r="I303">
        <v>48148</v>
      </c>
      <c r="J303">
        <v>46433</v>
      </c>
      <c r="K303">
        <v>14343</v>
      </c>
      <c r="L303">
        <v>14716</v>
      </c>
      <c r="M303">
        <v>54118</v>
      </c>
      <c r="N303">
        <v>61558</v>
      </c>
    </row>
    <row r="304" spans="1:14" x14ac:dyDescent="0.2">
      <c r="A304" t="s">
        <v>232</v>
      </c>
      <c r="B304" t="s">
        <v>232</v>
      </c>
      <c r="C304">
        <v>110662</v>
      </c>
      <c r="D304">
        <v>31080</v>
      </c>
      <c r="E304">
        <v>26176</v>
      </c>
      <c r="F304">
        <v>42142</v>
      </c>
      <c r="G304">
        <v>36319</v>
      </c>
      <c r="H304">
        <v>27130</v>
      </c>
      <c r="I304">
        <v>29503</v>
      </c>
      <c r="J304">
        <v>50757</v>
      </c>
      <c r="K304">
        <v>8651</v>
      </c>
      <c r="L304">
        <v>1253</v>
      </c>
      <c r="M304">
        <v>23242</v>
      </c>
      <c r="N304">
        <v>21595</v>
      </c>
    </row>
    <row r="305" spans="1:14" x14ac:dyDescent="0.2">
      <c r="A305" t="s">
        <v>563</v>
      </c>
      <c r="B305" t="s">
        <v>563</v>
      </c>
      <c r="C305">
        <v>129020</v>
      </c>
      <c r="D305">
        <v>25540</v>
      </c>
      <c r="E305">
        <v>5445</v>
      </c>
      <c r="F305">
        <v>3135</v>
      </c>
      <c r="G305">
        <v>5821</v>
      </c>
      <c r="H305">
        <v>8747</v>
      </c>
      <c r="I305">
        <v>14623</v>
      </c>
      <c r="J305">
        <v>14505</v>
      </c>
      <c r="K305">
        <v>0</v>
      </c>
      <c r="L305">
        <v>9212</v>
      </c>
      <c r="M305">
        <v>15738</v>
      </c>
      <c r="N305">
        <v>17983</v>
      </c>
    </row>
    <row r="306" spans="1:14" x14ac:dyDescent="0.2">
      <c r="A306" t="s">
        <v>564</v>
      </c>
      <c r="B306" t="s">
        <v>564</v>
      </c>
      <c r="C306">
        <v>145600</v>
      </c>
      <c r="D306">
        <v>16980</v>
      </c>
      <c r="E306">
        <v>4933</v>
      </c>
      <c r="F306">
        <v>6169</v>
      </c>
      <c r="G306">
        <v>4288</v>
      </c>
      <c r="H306">
        <v>7064</v>
      </c>
      <c r="I306">
        <v>4807</v>
      </c>
      <c r="J306">
        <v>4920</v>
      </c>
      <c r="K306">
        <v>203</v>
      </c>
      <c r="L306">
        <v>1327</v>
      </c>
      <c r="M306">
        <v>3549</v>
      </c>
      <c r="N306">
        <v>7101</v>
      </c>
    </row>
    <row r="307" spans="1:14" x14ac:dyDescent="0.2">
      <c r="A307" t="s">
        <v>565</v>
      </c>
      <c r="B307" t="s">
        <v>566</v>
      </c>
      <c r="C307">
        <v>225627</v>
      </c>
      <c r="D307">
        <v>41700</v>
      </c>
      <c r="E307">
        <v>9166</v>
      </c>
      <c r="F307">
        <v>6805</v>
      </c>
      <c r="G307">
        <v>6302</v>
      </c>
      <c r="H307">
        <v>12522</v>
      </c>
      <c r="I307">
        <v>19506</v>
      </c>
      <c r="J307">
        <v>10426</v>
      </c>
      <c r="K307">
        <v>2053</v>
      </c>
      <c r="L307">
        <v>2240</v>
      </c>
      <c r="M307">
        <v>5213</v>
      </c>
      <c r="N307">
        <v>3620</v>
      </c>
    </row>
    <row r="308" spans="1:14" x14ac:dyDescent="0.2">
      <c r="A308" t="s">
        <v>567</v>
      </c>
      <c r="B308" t="s">
        <v>568</v>
      </c>
      <c r="C308">
        <v>159993</v>
      </c>
      <c r="D308">
        <v>33740</v>
      </c>
      <c r="E308">
        <v>25897</v>
      </c>
      <c r="F308">
        <v>41344</v>
      </c>
      <c r="G308">
        <v>8905</v>
      </c>
      <c r="H308">
        <v>20018</v>
      </c>
      <c r="I308">
        <v>25707</v>
      </c>
      <c r="J308">
        <v>22972</v>
      </c>
      <c r="K308">
        <v>14058</v>
      </c>
      <c r="L308">
        <v>12695</v>
      </c>
      <c r="M308">
        <v>29628</v>
      </c>
      <c r="N308">
        <v>28171</v>
      </c>
    </row>
    <row r="309" spans="1:14" x14ac:dyDescent="0.2">
      <c r="A309" t="s">
        <v>569</v>
      </c>
      <c r="B309" t="s">
        <v>569</v>
      </c>
      <c r="C309">
        <v>166513</v>
      </c>
      <c r="D309">
        <v>31700</v>
      </c>
      <c r="E309">
        <v>2065</v>
      </c>
      <c r="F309">
        <v>2647</v>
      </c>
      <c r="G309">
        <v>4553</v>
      </c>
      <c r="H309">
        <v>2937</v>
      </c>
      <c r="I309">
        <v>5019</v>
      </c>
      <c r="J309">
        <v>3505</v>
      </c>
      <c r="K309">
        <v>0</v>
      </c>
      <c r="L309">
        <v>1213</v>
      </c>
      <c r="M309">
        <v>3346</v>
      </c>
      <c r="N309">
        <v>3184</v>
      </c>
    </row>
    <row r="310" spans="1:14" x14ac:dyDescent="0.2">
      <c r="A310" t="s">
        <v>570</v>
      </c>
      <c r="B310" t="s">
        <v>570</v>
      </c>
      <c r="C310">
        <v>163268</v>
      </c>
      <c r="D310">
        <v>12580</v>
      </c>
      <c r="E310">
        <v>2553</v>
      </c>
      <c r="F310">
        <v>5106</v>
      </c>
      <c r="G310">
        <v>2540</v>
      </c>
      <c r="H310">
        <v>2085</v>
      </c>
      <c r="I310">
        <v>2562</v>
      </c>
      <c r="J310">
        <v>3714</v>
      </c>
      <c r="K310">
        <v>460</v>
      </c>
      <c r="L310">
        <v>2761</v>
      </c>
      <c r="M310">
        <v>3195</v>
      </c>
      <c r="N310">
        <v>4475</v>
      </c>
    </row>
    <row r="311" spans="1:14" x14ac:dyDescent="0.2">
      <c r="A311" t="s">
        <v>571</v>
      </c>
      <c r="B311" t="s">
        <v>571</v>
      </c>
      <c r="C311">
        <v>163338</v>
      </c>
      <c r="D311">
        <v>41540</v>
      </c>
      <c r="E311">
        <v>1605</v>
      </c>
      <c r="F311">
        <v>1173</v>
      </c>
      <c r="G311">
        <v>1015</v>
      </c>
      <c r="H311">
        <v>1403</v>
      </c>
      <c r="I311">
        <v>6816</v>
      </c>
      <c r="J311">
        <v>3219</v>
      </c>
      <c r="K311">
        <v>766</v>
      </c>
      <c r="L311">
        <v>0</v>
      </c>
      <c r="M311">
        <v>2994</v>
      </c>
      <c r="N311">
        <v>2573</v>
      </c>
    </row>
    <row r="312" spans="1:14" x14ac:dyDescent="0.2">
      <c r="A312" t="s">
        <v>572</v>
      </c>
      <c r="B312" t="s">
        <v>572</v>
      </c>
      <c r="C312">
        <v>199111</v>
      </c>
      <c r="D312">
        <v>11700</v>
      </c>
      <c r="E312">
        <v>4936</v>
      </c>
      <c r="F312">
        <v>7423</v>
      </c>
      <c r="G312">
        <v>9463</v>
      </c>
      <c r="H312">
        <v>3949</v>
      </c>
      <c r="I312">
        <v>4625</v>
      </c>
      <c r="J312">
        <v>5061</v>
      </c>
      <c r="K312">
        <v>0</v>
      </c>
      <c r="L312">
        <v>1072</v>
      </c>
      <c r="M312">
        <v>3537</v>
      </c>
      <c r="N312">
        <v>5383</v>
      </c>
    </row>
    <row r="313" spans="1:14" x14ac:dyDescent="0.2">
      <c r="A313" t="s">
        <v>573</v>
      </c>
      <c r="B313" t="s">
        <v>573</v>
      </c>
      <c r="C313">
        <v>199148</v>
      </c>
      <c r="D313">
        <v>24660</v>
      </c>
      <c r="E313">
        <v>9530</v>
      </c>
      <c r="F313">
        <v>12094</v>
      </c>
      <c r="G313">
        <v>11541</v>
      </c>
      <c r="H313">
        <v>13286</v>
      </c>
      <c r="I313">
        <v>14928</v>
      </c>
      <c r="J313">
        <v>9620</v>
      </c>
      <c r="K313">
        <v>2318</v>
      </c>
      <c r="L313">
        <v>3885</v>
      </c>
      <c r="M313">
        <v>8847</v>
      </c>
      <c r="N313">
        <v>11328</v>
      </c>
    </row>
    <row r="314" spans="1:14" x14ac:dyDescent="0.2">
      <c r="A314" t="s">
        <v>574</v>
      </c>
      <c r="B314" t="s">
        <v>574</v>
      </c>
      <c r="C314">
        <v>199218</v>
      </c>
      <c r="D314">
        <v>48900</v>
      </c>
      <c r="E314">
        <v>34478</v>
      </c>
      <c r="F314">
        <v>37552</v>
      </c>
      <c r="G314">
        <v>34623</v>
      </c>
      <c r="H314">
        <v>32669</v>
      </c>
      <c r="I314">
        <v>36368</v>
      </c>
      <c r="J314">
        <v>25645</v>
      </c>
      <c r="K314">
        <v>8158</v>
      </c>
      <c r="L314">
        <v>20760</v>
      </c>
      <c r="M314">
        <v>33427</v>
      </c>
      <c r="N314">
        <v>35614</v>
      </c>
    </row>
    <row r="315" spans="1:14" x14ac:dyDescent="0.2">
      <c r="A315" t="s">
        <v>575</v>
      </c>
      <c r="B315" t="s">
        <v>575</v>
      </c>
      <c r="C315">
        <v>154095</v>
      </c>
      <c r="D315">
        <v>47940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233</v>
      </c>
      <c r="B316" t="s">
        <v>233</v>
      </c>
      <c r="C316">
        <v>182281</v>
      </c>
      <c r="D316">
        <v>29820</v>
      </c>
      <c r="E316">
        <v>20605</v>
      </c>
      <c r="F316">
        <v>27975</v>
      </c>
      <c r="G316">
        <v>17432</v>
      </c>
      <c r="H316">
        <v>20304</v>
      </c>
      <c r="I316">
        <v>19350</v>
      </c>
      <c r="J316">
        <v>17716</v>
      </c>
      <c r="K316">
        <v>6962</v>
      </c>
      <c r="L316">
        <v>106</v>
      </c>
      <c r="M316">
        <v>14103</v>
      </c>
      <c r="N316">
        <v>12737</v>
      </c>
    </row>
    <row r="317" spans="1:14" x14ac:dyDescent="0.2">
      <c r="A317" t="s">
        <v>576</v>
      </c>
      <c r="B317" t="s">
        <v>576</v>
      </c>
      <c r="C317">
        <v>218742</v>
      </c>
      <c r="D317">
        <v>43900</v>
      </c>
      <c r="E317">
        <v>3374</v>
      </c>
      <c r="F317">
        <v>3713</v>
      </c>
      <c r="G317">
        <v>4398</v>
      </c>
      <c r="H317">
        <v>3748</v>
      </c>
      <c r="I317">
        <v>4369</v>
      </c>
      <c r="J317">
        <v>9305</v>
      </c>
      <c r="K317">
        <v>2518</v>
      </c>
      <c r="L317">
        <v>3639</v>
      </c>
      <c r="M317">
        <v>4845</v>
      </c>
      <c r="N317">
        <v>4781</v>
      </c>
    </row>
    <row r="318" spans="1:14" x14ac:dyDescent="0.2">
      <c r="A318" t="s">
        <v>577</v>
      </c>
      <c r="B318" t="s">
        <v>577</v>
      </c>
      <c r="C318">
        <v>228769</v>
      </c>
      <c r="D318">
        <v>19100</v>
      </c>
      <c r="E318">
        <v>14411</v>
      </c>
      <c r="F318">
        <v>14070</v>
      </c>
      <c r="G318">
        <v>19389</v>
      </c>
      <c r="H318">
        <v>15915</v>
      </c>
      <c r="I318">
        <v>16080</v>
      </c>
      <c r="J318">
        <v>13582</v>
      </c>
      <c r="K318">
        <v>6669</v>
      </c>
      <c r="L318">
        <v>7536</v>
      </c>
      <c r="M318">
        <v>13308</v>
      </c>
      <c r="N318">
        <v>8538</v>
      </c>
    </row>
    <row r="319" spans="1:14" x14ac:dyDescent="0.2">
      <c r="A319" t="s">
        <v>578</v>
      </c>
      <c r="B319" t="s">
        <v>578</v>
      </c>
      <c r="C319">
        <v>221768</v>
      </c>
      <c r="D319">
        <v>32280</v>
      </c>
      <c r="E319">
        <v>3112</v>
      </c>
      <c r="F319">
        <v>3907</v>
      </c>
      <c r="G319">
        <v>6190</v>
      </c>
      <c r="H319">
        <v>7615</v>
      </c>
      <c r="I319">
        <v>3244</v>
      </c>
      <c r="J319">
        <v>3823</v>
      </c>
      <c r="K319">
        <v>258</v>
      </c>
      <c r="L319">
        <v>2002</v>
      </c>
      <c r="M319">
        <v>5188</v>
      </c>
      <c r="N319">
        <v>5925</v>
      </c>
    </row>
    <row r="320" spans="1:14" x14ac:dyDescent="0.2">
      <c r="A320" t="s">
        <v>234</v>
      </c>
      <c r="B320" t="s">
        <v>234</v>
      </c>
      <c r="C320">
        <v>230764</v>
      </c>
      <c r="D320">
        <v>41620</v>
      </c>
      <c r="E320">
        <v>24761</v>
      </c>
      <c r="F320">
        <v>27071</v>
      </c>
      <c r="G320">
        <v>36536</v>
      </c>
      <c r="H320">
        <v>46337</v>
      </c>
      <c r="I320">
        <v>47369</v>
      </c>
      <c r="J320">
        <v>38508</v>
      </c>
      <c r="K320">
        <v>0</v>
      </c>
      <c r="L320">
        <v>0</v>
      </c>
      <c r="M320">
        <v>29224</v>
      </c>
      <c r="N320">
        <v>36793</v>
      </c>
    </row>
    <row r="321" spans="1:14" x14ac:dyDescent="0.2">
      <c r="A321" t="s">
        <v>579</v>
      </c>
      <c r="B321" t="s">
        <v>579</v>
      </c>
      <c r="C321">
        <v>230728</v>
      </c>
      <c r="D321">
        <v>30860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236</v>
      </c>
      <c r="B322" t="s">
        <v>236</v>
      </c>
      <c r="C322">
        <v>230737</v>
      </c>
      <c r="D322">
        <v>39340</v>
      </c>
      <c r="E322">
        <v>11623</v>
      </c>
      <c r="F322">
        <v>16790</v>
      </c>
      <c r="G322">
        <v>24229</v>
      </c>
      <c r="H322">
        <v>17665</v>
      </c>
      <c r="I322">
        <v>13701</v>
      </c>
      <c r="J322">
        <v>19387</v>
      </c>
      <c r="K322">
        <v>705</v>
      </c>
      <c r="L322">
        <v>9643</v>
      </c>
      <c r="M322">
        <v>14144</v>
      </c>
      <c r="N322">
        <v>16018</v>
      </c>
    </row>
    <row r="323" spans="1:14" x14ac:dyDescent="0.2">
      <c r="A323" t="s">
        <v>237</v>
      </c>
      <c r="B323" t="s">
        <v>237</v>
      </c>
      <c r="C323">
        <v>228796</v>
      </c>
      <c r="D323">
        <v>21340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238</v>
      </c>
      <c r="B324" t="s">
        <v>238</v>
      </c>
      <c r="C324">
        <v>227368</v>
      </c>
      <c r="D324">
        <v>32580</v>
      </c>
      <c r="E324">
        <v>11879</v>
      </c>
      <c r="F324">
        <v>10054</v>
      </c>
      <c r="G324">
        <v>15823</v>
      </c>
      <c r="H324">
        <v>22155</v>
      </c>
      <c r="I324">
        <v>22419</v>
      </c>
      <c r="J324">
        <v>28187</v>
      </c>
      <c r="K324">
        <v>13053</v>
      </c>
      <c r="L324">
        <v>13749</v>
      </c>
      <c r="M324">
        <v>37220</v>
      </c>
      <c r="N324">
        <v>45461</v>
      </c>
    </row>
    <row r="325" spans="1:14" x14ac:dyDescent="0.2">
      <c r="A325" t="s">
        <v>239</v>
      </c>
      <c r="B325" t="s">
        <v>239</v>
      </c>
      <c r="C325">
        <v>229027</v>
      </c>
      <c r="D325">
        <v>41700</v>
      </c>
      <c r="E325">
        <v>9562</v>
      </c>
      <c r="F325">
        <v>11957</v>
      </c>
      <c r="G325">
        <v>9808</v>
      </c>
      <c r="H325">
        <v>7767</v>
      </c>
      <c r="I325">
        <v>11859</v>
      </c>
      <c r="J325">
        <v>10468</v>
      </c>
      <c r="K325">
        <v>2898</v>
      </c>
      <c r="L325">
        <v>1796</v>
      </c>
      <c r="M325">
        <v>9539</v>
      </c>
      <c r="N325">
        <v>16058</v>
      </c>
    </row>
    <row r="326" spans="1:14" x14ac:dyDescent="0.2">
      <c r="A326" t="s">
        <v>580</v>
      </c>
      <c r="B326" t="s">
        <v>580</v>
      </c>
      <c r="C326">
        <v>152600</v>
      </c>
      <c r="D326">
        <v>16980</v>
      </c>
      <c r="E326">
        <v>3119</v>
      </c>
      <c r="F326">
        <v>4257</v>
      </c>
      <c r="G326">
        <v>4859</v>
      </c>
      <c r="H326">
        <v>1779</v>
      </c>
      <c r="I326">
        <v>1994</v>
      </c>
      <c r="J326">
        <v>1931</v>
      </c>
      <c r="K326">
        <v>0</v>
      </c>
      <c r="L326">
        <v>1002</v>
      </c>
      <c r="M326">
        <v>1848</v>
      </c>
      <c r="N326">
        <v>2345</v>
      </c>
    </row>
    <row r="327" spans="1:14" x14ac:dyDescent="0.2">
      <c r="A327" t="s">
        <v>581</v>
      </c>
      <c r="B327" t="s">
        <v>581</v>
      </c>
      <c r="C327">
        <v>221999</v>
      </c>
      <c r="D327">
        <v>34980</v>
      </c>
      <c r="E327">
        <v>112427</v>
      </c>
      <c r="F327">
        <v>102022</v>
      </c>
      <c r="G327">
        <v>115460</v>
      </c>
      <c r="H327">
        <v>92286</v>
      </c>
      <c r="I327">
        <v>98983</v>
      </c>
      <c r="J327">
        <v>102519</v>
      </c>
      <c r="K327">
        <v>37988</v>
      </c>
      <c r="L327">
        <v>42861</v>
      </c>
      <c r="M327">
        <v>120418</v>
      </c>
      <c r="N327">
        <v>125732</v>
      </c>
    </row>
    <row r="328" spans="1:14" x14ac:dyDescent="0.2">
      <c r="A328" t="s">
        <v>240</v>
      </c>
      <c r="B328" t="s">
        <v>240</v>
      </c>
      <c r="C328">
        <v>234030</v>
      </c>
      <c r="D328">
        <v>40060</v>
      </c>
      <c r="E328">
        <v>13007</v>
      </c>
      <c r="F328">
        <v>11070</v>
      </c>
      <c r="G328">
        <v>14375</v>
      </c>
      <c r="H328">
        <v>15373</v>
      </c>
      <c r="I328">
        <v>15507</v>
      </c>
      <c r="J328">
        <v>13454</v>
      </c>
      <c r="K328">
        <v>2921</v>
      </c>
      <c r="L328">
        <v>16170</v>
      </c>
      <c r="M328">
        <v>16000</v>
      </c>
      <c r="N328">
        <v>14959</v>
      </c>
    </row>
    <row r="329" spans="1:14" x14ac:dyDescent="0.2">
      <c r="A329" t="s">
        <v>241</v>
      </c>
      <c r="B329" t="s">
        <v>241</v>
      </c>
      <c r="C329">
        <v>231174</v>
      </c>
      <c r="D329">
        <v>15540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">
      <c r="A330" t="s">
        <v>582</v>
      </c>
      <c r="B330" t="s">
        <v>582</v>
      </c>
      <c r="C330">
        <v>216597</v>
      </c>
      <c r="D330">
        <v>37980</v>
      </c>
      <c r="E330">
        <v>5822</v>
      </c>
      <c r="F330">
        <v>5199</v>
      </c>
      <c r="G330">
        <v>5171</v>
      </c>
      <c r="H330">
        <v>4704</v>
      </c>
      <c r="I330">
        <v>4973</v>
      </c>
      <c r="J330">
        <v>4372</v>
      </c>
      <c r="K330">
        <v>183</v>
      </c>
      <c r="L330">
        <v>805</v>
      </c>
      <c r="M330">
        <v>2559</v>
      </c>
      <c r="N330">
        <v>4691</v>
      </c>
    </row>
    <row r="331" spans="1:14" x14ac:dyDescent="0.2">
      <c r="A331" t="s">
        <v>242</v>
      </c>
      <c r="B331" t="s">
        <v>242</v>
      </c>
      <c r="C331">
        <v>234076</v>
      </c>
      <c r="D331">
        <v>16820</v>
      </c>
      <c r="E331">
        <v>142496</v>
      </c>
      <c r="F331">
        <v>83825</v>
      </c>
      <c r="G331">
        <v>132308</v>
      </c>
      <c r="H331">
        <v>107202</v>
      </c>
      <c r="I331">
        <v>112476</v>
      </c>
      <c r="J331">
        <v>101668</v>
      </c>
      <c r="K331">
        <v>34019</v>
      </c>
      <c r="L331">
        <v>10582</v>
      </c>
      <c r="M331">
        <v>112522</v>
      </c>
      <c r="N331">
        <v>154507</v>
      </c>
    </row>
    <row r="332" spans="1:14" x14ac:dyDescent="0.2">
      <c r="A332" t="s">
        <v>243</v>
      </c>
      <c r="B332" t="s">
        <v>243</v>
      </c>
      <c r="C332">
        <v>233921</v>
      </c>
      <c r="D332">
        <v>13980</v>
      </c>
      <c r="E332">
        <v>24581</v>
      </c>
      <c r="F332">
        <v>23115</v>
      </c>
      <c r="G332">
        <v>18711</v>
      </c>
      <c r="H332">
        <v>13460</v>
      </c>
      <c r="I332">
        <v>15835</v>
      </c>
      <c r="J332">
        <v>14733</v>
      </c>
      <c r="K332">
        <v>1966</v>
      </c>
      <c r="L332">
        <v>22896</v>
      </c>
      <c r="M332">
        <v>43615</v>
      </c>
      <c r="N332">
        <v>36806</v>
      </c>
    </row>
    <row r="333" spans="1:14" x14ac:dyDescent="0.2">
      <c r="A333" t="s">
        <v>583</v>
      </c>
      <c r="B333" t="s">
        <v>583</v>
      </c>
      <c r="C333">
        <v>234085</v>
      </c>
      <c r="D333">
        <v>31340</v>
      </c>
      <c r="E333">
        <v>5100</v>
      </c>
      <c r="F333">
        <v>4061</v>
      </c>
      <c r="G333">
        <v>5981</v>
      </c>
      <c r="H333">
        <v>5470</v>
      </c>
      <c r="I333">
        <v>6401</v>
      </c>
      <c r="J333">
        <v>4476</v>
      </c>
      <c r="K333">
        <v>1371</v>
      </c>
      <c r="L333">
        <v>2332</v>
      </c>
      <c r="M333">
        <v>4771</v>
      </c>
      <c r="N333">
        <v>7395</v>
      </c>
    </row>
    <row r="334" spans="1:14" x14ac:dyDescent="0.2">
      <c r="A334" t="s">
        <v>584</v>
      </c>
      <c r="B334" t="s">
        <v>584</v>
      </c>
      <c r="C334">
        <v>197197</v>
      </c>
      <c r="D334">
        <v>35620</v>
      </c>
      <c r="E334">
        <v>3168</v>
      </c>
      <c r="F334">
        <v>1906</v>
      </c>
      <c r="G334">
        <v>1138</v>
      </c>
      <c r="H334">
        <v>1134</v>
      </c>
      <c r="I334">
        <v>883</v>
      </c>
      <c r="J334">
        <v>1292</v>
      </c>
      <c r="K334">
        <v>0</v>
      </c>
      <c r="L334">
        <v>0</v>
      </c>
      <c r="M334">
        <v>1107</v>
      </c>
      <c r="N334">
        <v>1915</v>
      </c>
    </row>
    <row r="335" spans="1:14" x14ac:dyDescent="0.2">
      <c r="A335" t="s">
        <v>585</v>
      </c>
      <c r="B335" t="s">
        <v>585</v>
      </c>
      <c r="C335">
        <v>199847</v>
      </c>
      <c r="D335">
        <v>49180</v>
      </c>
      <c r="E335">
        <v>19171</v>
      </c>
      <c r="F335">
        <v>18800</v>
      </c>
      <c r="G335">
        <v>22649</v>
      </c>
      <c r="H335">
        <v>27965</v>
      </c>
      <c r="I335">
        <v>18191</v>
      </c>
      <c r="J335">
        <v>18855</v>
      </c>
      <c r="K335">
        <v>8099</v>
      </c>
      <c r="L335">
        <v>8804</v>
      </c>
      <c r="M335">
        <v>34197</v>
      </c>
      <c r="N335">
        <v>48766</v>
      </c>
    </row>
    <row r="336" spans="1:14" x14ac:dyDescent="0.2">
      <c r="A336" t="s">
        <v>244</v>
      </c>
      <c r="B336" t="s">
        <v>244</v>
      </c>
      <c r="C336">
        <v>236948</v>
      </c>
      <c r="D336">
        <v>42660</v>
      </c>
      <c r="E336">
        <v>27883</v>
      </c>
      <c r="F336">
        <v>26394</v>
      </c>
      <c r="G336">
        <v>24297</v>
      </c>
      <c r="H336">
        <v>22526</v>
      </c>
      <c r="I336">
        <v>16802</v>
      </c>
      <c r="J336">
        <v>19085</v>
      </c>
      <c r="K336">
        <v>1866</v>
      </c>
      <c r="L336">
        <v>5714</v>
      </c>
      <c r="M336">
        <v>21367</v>
      </c>
      <c r="N336">
        <v>30839</v>
      </c>
    </row>
    <row r="337" spans="1:14" x14ac:dyDescent="0.2">
      <c r="A337" t="s">
        <v>586</v>
      </c>
      <c r="B337" t="s">
        <v>586</v>
      </c>
      <c r="C337">
        <v>236939</v>
      </c>
      <c r="D337">
        <v>39420</v>
      </c>
      <c r="E337">
        <v>18127</v>
      </c>
      <c r="F337">
        <v>33185</v>
      </c>
      <c r="G337">
        <v>21808</v>
      </c>
      <c r="H337">
        <v>23604</v>
      </c>
      <c r="I337">
        <v>20580</v>
      </c>
      <c r="J337">
        <v>15063</v>
      </c>
      <c r="K337">
        <v>3392</v>
      </c>
      <c r="L337">
        <v>2437</v>
      </c>
      <c r="M337">
        <v>21889</v>
      </c>
      <c r="N337">
        <v>27795</v>
      </c>
    </row>
    <row r="338" spans="1:14" x14ac:dyDescent="0.2">
      <c r="A338" t="s">
        <v>587</v>
      </c>
      <c r="B338" t="s">
        <v>587</v>
      </c>
      <c r="C338">
        <v>230782</v>
      </c>
      <c r="D338">
        <v>36260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247</v>
      </c>
      <c r="B339" t="s">
        <v>247</v>
      </c>
      <c r="C339">
        <v>238032</v>
      </c>
      <c r="D339">
        <v>34060</v>
      </c>
      <c r="E339">
        <v>16470</v>
      </c>
      <c r="F339">
        <v>33158</v>
      </c>
      <c r="G339">
        <v>40390</v>
      </c>
      <c r="H339">
        <v>40613</v>
      </c>
      <c r="I339">
        <v>35101</v>
      </c>
      <c r="J339">
        <v>41253</v>
      </c>
      <c r="K339">
        <v>2174</v>
      </c>
      <c r="L339">
        <v>15845</v>
      </c>
      <c r="M339">
        <v>53271</v>
      </c>
      <c r="N339">
        <v>59894</v>
      </c>
    </row>
    <row r="340" spans="1:14" x14ac:dyDescent="0.2">
      <c r="A340" t="s">
        <v>588</v>
      </c>
      <c r="B340" t="s">
        <v>588</v>
      </c>
      <c r="C340">
        <v>200004</v>
      </c>
      <c r="D340">
        <v>19000</v>
      </c>
      <c r="E340">
        <v>10214</v>
      </c>
      <c r="F340">
        <v>10113</v>
      </c>
      <c r="G340">
        <v>12194</v>
      </c>
      <c r="H340">
        <v>12331</v>
      </c>
      <c r="I340">
        <v>14255</v>
      </c>
      <c r="J340">
        <v>12386</v>
      </c>
      <c r="K340">
        <v>2038</v>
      </c>
      <c r="L340">
        <v>2378</v>
      </c>
      <c r="M340">
        <v>11639</v>
      </c>
      <c r="N340">
        <v>9690</v>
      </c>
    </row>
    <row r="341" spans="1:14" x14ac:dyDescent="0.2">
      <c r="A341" t="s">
        <v>589</v>
      </c>
      <c r="B341" t="s">
        <v>589</v>
      </c>
      <c r="C341">
        <v>149772</v>
      </c>
      <c r="D341">
        <v>31380</v>
      </c>
      <c r="E341">
        <v>3954</v>
      </c>
      <c r="F341">
        <v>3651</v>
      </c>
      <c r="G341">
        <v>2974</v>
      </c>
      <c r="H341">
        <v>2124</v>
      </c>
      <c r="I341">
        <v>1614</v>
      </c>
      <c r="J341">
        <v>2604</v>
      </c>
      <c r="K341">
        <v>0</v>
      </c>
      <c r="L341">
        <v>908</v>
      </c>
      <c r="M341">
        <v>2151</v>
      </c>
      <c r="N341">
        <v>1657</v>
      </c>
    </row>
    <row r="342" spans="1:14" x14ac:dyDescent="0.2">
      <c r="A342" t="s">
        <v>590</v>
      </c>
      <c r="B342" t="s">
        <v>590</v>
      </c>
      <c r="C342">
        <v>157951</v>
      </c>
      <c r="D342">
        <v>14540</v>
      </c>
      <c r="E342">
        <v>11946</v>
      </c>
      <c r="F342">
        <v>12594</v>
      </c>
      <c r="G342">
        <v>9452</v>
      </c>
      <c r="H342">
        <v>14327</v>
      </c>
      <c r="I342">
        <v>10002</v>
      </c>
      <c r="J342">
        <v>11771</v>
      </c>
      <c r="K342">
        <v>4464</v>
      </c>
      <c r="L342">
        <v>4310</v>
      </c>
      <c r="M342">
        <v>5873</v>
      </c>
      <c r="N342">
        <v>8641</v>
      </c>
    </row>
    <row r="343" spans="1:14" x14ac:dyDescent="0.2">
      <c r="A343" t="s">
        <v>591</v>
      </c>
      <c r="B343" t="s">
        <v>591</v>
      </c>
      <c r="C343">
        <v>172699</v>
      </c>
      <c r="D343">
        <v>28020</v>
      </c>
      <c r="E343">
        <v>2361</v>
      </c>
      <c r="F343">
        <v>4114</v>
      </c>
      <c r="G343">
        <v>1340</v>
      </c>
      <c r="H343">
        <v>4530</v>
      </c>
      <c r="I343">
        <v>2952</v>
      </c>
      <c r="J343">
        <v>1612</v>
      </c>
      <c r="K343">
        <v>0</v>
      </c>
      <c r="L343">
        <v>2750</v>
      </c>
      <c r="M343">
        <v>1921</v>
      </c>
      <c r="N343">
        <v>3456</v>
      </c>
    </row>
    <row r="344" spans="1:14" x14ac:dyDescent="0.2">
      <c r="A344" t="s">
        <v>592</v>
      </c>
      <c r="B344" t="s">
        <v>592</v>
      </c>
      <c r="C344">
        <v>156125</v>
      </c>
      <c r="D344">
        <v>48620</v>
      </c>
      <c r="E344">
        <v>78972</v>
      </c>
      <c r="F344">
        <v>87173</v>
      </c>
      <c r="G344">
        <v>71714</v>
      </c>
      <c r="H344">
        <v>65806</v>
      </c>
      <c r="I344">
        <v>62498</v>
      </c>
      <c r="J344">
        <v>45168</v>
      </c>
      <c r="K344">
        <v>15260</v>
      </c>
      <c r="L344">
        <v>49197</v>
      </c>
      <c r="M344">
        <v>44982</v>
      </c>
      <c r="N344">
        <v>47099</v>
      </c>
    </row>
    <row r="345" spans="1:14" x14ac:dyDescent="0.2">
      <c r="A345" t="s">
        <v>253</v>
      </c>
      <c r="B345" t="s">
        <v>253</v>
      </c>
      <c r="C345">
        <v>231624</v>
      </c>
      <c r="D345">
        <v>47260</v>
      </c>
      <c r="E345">
        <v>7826</v>
      </c>
      <c r="F345">
        <v>5518</v>
      </c>
      <c r="G345">
        <v>6005</v>
      </c>
      <c r="H345">
        <v>5560</v>
      </c>
      <c r="I345">
        <v>7230</v>
      </c>
      <c r="J345">
        <v>9144</v>
      </c>
      <c r="K345">
        <v>2668</v>
      </c>
      <c r="L345">
        <v>3525</v>
      </c>
      <c r="M345">
        <v>8984</v>
      </c>
      <c r="N345">
        <v>11243</v>
      </c>
    </row>
    <row r="346" spans="1:14" x14ac:dyDescent="0.2">
      <c r="A346" t="s">
        <v>254</v>
      </c>
      <c r="B346" t="s">
        <v>254</v>
      </c>
      <c r="C346">
        <v>218964</v>
      </c>
      <c r="D346">
        <v>16740</v>
      </c>
      <c r="E346">
        <v>8070</v>
      </c>
      <c r="F346">
        <v>11170</v>
      </c>
      <c r="G346">
        <v>11295</v>
      </c>
      <c r="H346">
        <v>7011</v>
      </c>
      <c r="I346">
        <v>7781</v>
      </c>
      <c r="J346">
        <v>8476</v>
      </c>
      <c r="K346">
        <v>2135</v>
      </c>
      <c r="L346">
        <v>5640</v>
      </c>
      <c r="M346">
        <v>8802</v>
      </c>
      <c r="N346">
        <v>8864</v>
      </c>
    </row>
    <row r="347" spans="1:14" x14ac:dyDescent="0.2">
      <c r="A347" t="s">
        <v>255</v>
      </c>
      <c r="B347" t="s">
        <v>255</v>
      </c>
      <c r="C347">
        <v>240444</v>
      </c>
      <c r="D347">
        <v>31540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593</v>
      </c>
      <c r="B348" t="s">
        <v>593</v>
      </c>
      <c r="C348">
        <v>218973</v>
      </c>
      <c r="D348">
        <v>43900</v>
      </c>
      <c r="E348">
        <v>7018</v>
      </c>
      <c r="F348">
        <v>7760</v>
      </c>
      <c r="G348">
        <v>8112</v>
      </c>
      <c r="H348">
        <v>5257</v>
      </c>
      <c r="I348">
        <v>8334</v>
      </c>
      <c r="J348">
        <v>6253</v>
      </c>
      <c r="K348">
        <v>3080</v>
      </c>
      <c r="L348">
        <v>3797</v>
      </c>
      <c r="M348">
        <v>7436</v>
      </c>
      <c r="N348">
        <v>12667</v>
      </c>
    </row>
    <row r="349" spans="1:14" x14ac:dyDescent="0.2">
      <c r="A349" t="s">
        <v>594</v>
      </c>
      <c r="B349" t="s">
        <v>594</v>
      </c>
      <c r="C349">
        <v>206604</v>
      </c>
      <c r="D349">
        <v>19430</v>
      </c>
      <c r="E349">
        <v>6149</v>
      </c>
      <c r="F349">
        <v>7477</v>
      </c>
      <c r="G349">
        <v>7648</v>
      </c>
      <c r="H349">
        <v>7818</v>
      </c>
      <c r="I349">
        <v>7644</v>
      </c>
      <c r="J349">
        <v>9026</v>
      </c>
      <c r="K349">
        <v>223</v>
      </c>
      <c r="L349">
        <v>4250</v>
      </c>
      <c r="M349">
        <v>4840</v>
      </c>
      <c r="N349">
        <v>10966</v>
      </c>
    </row>
    <row r="350" spans="1:14" x14ac:dyDescent="0.2">
      <c r="A350" t="s">
        <v>259</v>
      </c>
      <c r="B350" t="s">
        <v>259</v>
      </c>
      <c r="C350">
        <v>240727</v>
      </c>
      <c r="D350">
        <v>29660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595</v>
      </c>
      <c r="B351" t="s">
        <v>595</v>
      </c>
      <c r="C351">
        <v>206622</v>
      </c>
      <c r="D351">
        <v>17140</v>
      </c>
      <c r="E351">
        <v>4077</v>
      </c>
      <c r="F351">
        <v>3484</v>
      </c>
      <c r="G351">
        <v>4448</v>
      </c>
      <c r="H351">
        <v>8072</v>
      </c>
      <c r="I351">
        <v>4218</v>
      </c>
      <c r="J351">
        <v>3525</v>
      </c>
      <c r="K351">
        <v>0</v>
      </c>
      <c r="L351">
        <v>2739</v>
      </c>
      <c r="M351">
        <v>7229</v>
      </c>
      <c r="N351">
        <v>4727</v>
      </c>
    </row>
    <row r="352" spans="1:14" x14ac:dyDescent="0.2">
      <c r="A352" t="s">
        <v>596</v>
      </c>
      <c r="B352" t="s">
        <v>596</v>
      </c>
      <c r="C352">
        <v>130794</v>
      </c>
      <c r="D352">
        <v>35300</v>
      </c>
      <c r="E352">
        <v>4299</v>
      </c>
      <c r="F352">
        <v>2771</v>
      </c>
      <c r="G352">
        <v>3761</v>
      </c>
      <c r="H352">
        <v>4367</v>
      </c>
      <c r="I352">
        <v>7166</v>
      </c>
      <c r="J352">
        <v>4846</v>
      </c>
      <c r="K352">
        <v>0</v>
      </c>
      <c r="L352">
        <v>0</v>
      </c>
      <c r="M352">
        <v>3802</v>
      </c>
      <c r="N352">
        <v>2008</v>
      </c>
    </row>
    <row r="353" spans="1:14" x14ac:dyDescent="0.2">
      <c r="A353" t="s">
        <v>597</v>
      </c>
      <c r="B353" t="s">
        <v>597</v>
      </c>
      <c r="C353">
        <v>206695</v>
      </c>
      <c r="D353">
        <v>49660</v>
      </c>
      <c r="E353">
        <v>5892</v>
      </c>
      <c r="F353">
        <v>10164</v>
      </c>
      <c r="G353">
        <v>8108</v>
      </c>
      <c r="H353">
        <v>7634</v>
      </c>
      <c r="I353">
        <v>5497</v>
      </c>
      <c r="J353">
        <v>8089</v>
      </c>
      <c r="K353">
        <v>161</v>
      </c>
      <c r="L353">
        <v>4283</v>
      </c>
      <c r="M353">
        <v>6163</v>
      </c>
      <c r="N353">
        <v>7836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7897-7203-4AD8-8730-ADB455695D9F}">
  <sheetPr>
    <tabColor theme="4"/>
  </sheetPr>
  <dimension ref="A1:O354"/>
  <sheetViews>
    <sheetView workbookViewId="0"/>
  </sheetViews>
  <sheetFormatPr baseColWidth="10" defaultColWidth="9.1640625" defaultRowHeight="15" x14ac:dyDescent="0.2"/>
  <cols>
    <col min="1" max="2" width="18.5" bestFit="1" customWidth="1"/>
    <col min="3" max="3" width="7" bestFit="1" customWidth="1"/>
    <col min="4" max="4" width="8.1640625" bestFit="1" customWidth="1"/>
    <col min="5" max="11" width="7" bestFit="1" customWidth="1"/>
    <col min="12" max="12" width="6" bestFit="1" customWidth="1"/>
    <col min="13" max="13" width="7" bestFit="1" customWidth="1"/>
    <col min="14" max="14" width="7" customWidth="1"/>
  </cols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f>E1+1</f>
        <v>2015</v>
      </c>
      <c r="G1">
        <f t="shared" ref="G1:N1" si="0">F1+1</f>
        <v>2016</v>
      </c>
      <c r="H1">
        <f t="shared" si="0"/>
        <v>2017</v>
      </c>
      <c r="I1">
        <f t="shared" si="0"/>
        <v>2018</v>
      </c>
      <c r="J1">
        <f t="shared" si="0"/>
        <v>2019</v>
      </c>
      <c r="K1">
        <f t="shared" si="0"/>
        <v>2020</v>
      </c>
      <c r="L1">
        <f t="shared" si="0"/>
        <v>2021</v>
      </c>
      <c r="M1">
        <f t="shared" si="0"/>
        <v>2022</v>
      </c>
      <c r="N1">
        <f t="shared" si="0"/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f>IFERROR(VLOOKUP($C2,'[1]2013-2014'!$A:$D,4,FALSE),"")</f>
        <v>12492</v>
      </c>
      <c r="F2">
        <f>IFERROR(VLOOKUP($C2,'[1]2014-2015'!$A:$D,4,FALSE),"")</f>
        <v>24186</v>
      </c>
      <c r="G2">
        <f>IFERROR(VLOOKUP($C2,'[1]2015-2016'!$A:$D,4,FALSE),"")</f>
        <v>21011</v>
      </c>
      <c r="H2">
        <f>IFERROR(VLOOKUP($C2,'[1]2016-2017'!$A:$D,4,FALSE),"")</f>
        <v>26898</v>
      </c>
      <c r="I2">
        <f>IFERROR(VLOOKUP($C2,'[1]2017-2018'!$A:$D,4,FALSE),"")</f>
        <v>20801</v>
      </c>
      <c r="J2">
        <f>IFERROR(VLOOKUP($C2,'[1]2018-2019'!$A:$D,4,FALSE),"")</f>
        <v>18959</v>
      </c>
      <c r="K2">
        <f>IFERROR(VLOOKUP($C2,'[1]2019-2020'!$A:$D,4,FALSE),"")</f>
        <v>21377</v>
      </c>
      <c r="L2">
        <f>IFERROR(VLOOKUP($C2,'[1]2020-2021'!$A:$D,4,FALSE),"")</f>
        <v>6691</v>
      </c>
      <c r="M2">
        <f>IFERROR(VLOOKUP($C2,'[1]2021-2022'!$A:$D,4,FALSE),"")</f>
        <v>15800</v>
      </c>
      <c r="N2">
        <f>IFERROR(VLOOKUP($C2,'[1]2022-2023'!$A:$D,4,FALSE),"")</f>
        <v>22953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f>IFERROR(VLOOKUP($C3,'[1]2013-2014'!$A:$D,4,FALSE),"")</f>
        <v>13350</v>
      </c>
      <c r="F3">
        <f>IFERROR(VLOOKUP($C3,'[1]2014-2015'!$A:$D,4,FALSE),"")</f>
        <v>17368</v>
      </c>
      <c r="G3">
        <f>IFERROR(VLOOKUP($C3,'[1]2015-2016'!$A:$D,4,FALSE),"")</f>
        <v>20002</v>
      </c>
      <c r="H3">
        <f>IFERROR(VLOOKUP($C3,'[1]2016-2017'!$A:$D,4,FALSE),"")</f>
        <v>18382</v>
      </c>
      <c r="I3">
        <f>IFERROR(VLOOKUP($C3,'[1]2017-2018'!$A:$D,4,FALSE),"")</f>
        <v>18702</v>
      </c>
      <c r="J3">
        <f>IFERROR(VLOOKUP($C3,'[1]2018-2019'!$A:$D,4,FALSE),"")</f>
        <v>18882</v>
      </c>
      <c r="K3">
        <f>IFERROR(VLOOKUP($C3,'[1]2019-2020'!$A:$D,4,FALSE),"")</f>
        <v>23544</v>
      </c>
      <c r="L3">
        <f>IFERROR(VLOOKUP($C3,'[1]2020-2021'!$A:$D,4,FALSE),"")</f>
        <v>4162</v>
      </c>
      <c r="M3">
        <f>IFERROR(VLOOKUP($C3,'[1]2021-2022'!$A:$D,4,FALSE),"")</f>
        <v>12682</v>
      </c>
      <c r="N3">
        <f>IFERROR(VLOOKUP($C3,'[1]2022-2023'!$A:$D,4,FALSE),"")</f>
        <v>20892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f>IFERROR(VLOOKUP($C4,'[1]2013-2014'!$A:$D,4,FALSE),"")</f>
        <v>38044</v>
      </c>
      <c r="F4">
        <f>IFERROR(VLOOKUP($C4,'[1]2014-2015'!$A:$D,4,FALSE),"")</f>
        <v>26925</v>
      </c>
      <c r="G4">
        <f>IFERROR(VLOOKUP($C4,'[1]2015-2016'!$A:$D,4,FALSE),"")</f>
        <v>25106</v>
      </c>
      <c r="H4">
        <f>IFERROR(VLOOKUP($C4,'[1]2016-2017'!$A:$D,4,FALSE),"")</f>
        <v>31396</v>
      </c>
      <c r="I4">
        <f>IFERROR(VLOOKUP($C4,'[1]2017-2018'!$A:$D,4,FALSE),"")</f>
        <v>32644</v>
      </c>
      <c r="J4">
        <f>IFERROR(VLOOKUP($C4,'[1]2018-2019'!$A:$D,4,FALSE),"")</f>
        <v>34445</v>
      </c>
      <c r="K4">
        <f>IFERROR(VLOOKUP($C4,'[1]2019-2020'!$A:$D,4,FALSE),"")</f>
        <v>31893</v>
      </c>
      <c r="L4">
        <f>IFERROR(VLOOKUP($C4,'[1]2020-2021'!$A:$D,4,FALSE),"")</f>
        <v>400</v>
      </c>
      <c r="M4">
        <f>IFERROR(VLOOKUP($C4,'[1]2021-2022'!$A:$D,4,FALSE),"")</f>
        <v>19249</v>
      </c>
      <c r="N4">
        <f>IFERROR(VLOOKUP($C4,'[1]2022-2023'!$A:$D,4,FALSE),"")</f>
        <v>24107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f>IFERROR(VLOOKUP($C5,'[1]2013-2014'!$A:$D,4,FALSE),"")</f>
        <v>54129</v>
      </c>
      <c r="F5">
        <f>IFERROR(VLOOKUP($C5,'[1]2014-2015'!$A:$D,4,FALSE),"")</f>
        <v>57846</v>
      </c>
      <c r="G5">
        <f>IFERROR(VLOOKUP($C5,'[1]2015-2016'!$A:$D,4,FALSE),"")</f>
        <v>50278</v>
      </c>
      <c r="H5">
        <f>IFERROR(VLOOKUP($C5,'[1]2016-2017'!$A:$D,4,FALSE),"")</f>
        <v>50867</v>
      </c>
      <c r="I5">
        <f>IFERROR(VLOOKUP($C5,'[1]2017-2018'!$A:$D,4,FALSE),"")</f>
        <v>45191</v>
      </c>
      <c r="J5">
        <f>IFERROR(VLOOKUP($C5,'[1]2018-2019'!$A:$D,4,FALSE),"")</f>
        <v>44362</v>
      </c>
      <c r="K5">
        <f>IFERROR(VLOOKUP($C5,'[1]2019-2020'!$A:$D,4,FALSE),"")</f>
        <v>50207</v>
      </c>
      <c r="L5">
        <f>IFERROR(VLOOKUP($C5,'[1]2020-2021'!$A:$D,4,FALSE),"")</f>
        <v>203</v>
      </c>
      <c r="M5">
        <f>IFERROR(VLOOKUP($C5,'[1]2021-2022'!$A:$D,4,FALSE),"")</f>
        <v>28916</v>
      </c>
      <c r="N5">
        <f>IFERROR(VLOOKUP($C5,'[1]2022-2023'!$A:$D,4,FALSE),"")</f>
        <v>32262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f>IFERROR(VLOOKUP($C6,'[1]2013-2014'!$A:$D,4,FALSE),"")</f>
        <v>182825</v>
      </c>
      <c r="F6">
        <f>IFERROR(VLOOKUP($C6,'[1]2014-2015'!$A:$D,4,FALSE),"")</f>
        <v>193362</v>
      </c>
      <c r="G6">
        <f>IFERROR(VLOOKUP($C6,'[1]2015-2016'!$A:$D,4,FALSE),"")</f>
        <v>196655</v>
      </c>
      <c r="H6">
        <f>IFERROR(VLOOKUP($C6,'[1]2016-2017'!$A:$D,4,FALSE),"")</f>
        <v>203109</v>
      </c>
      <c r="I6">
        <f>IFERROR(VLOOKUP($C6,'[1]2017-2018'!$A:$D,4,FALSE),"")</f>
        <v>227640</v>
      </c>
      <c r="J6">
        <f>IFERROR(VLOOKUP($C6,'[1]2018-2019'!$A:$D,4,FALSE),"")</f>
        <v>163581</v>
      </c>
      <c r="K6">
        <f>IFERROR(VLOOKUP($C6,'[1]2019-2020'!$A:$D,4,FALSE),"")</f>
        <v>159725</v>
      </c>
      <c r="L6">
        <f>IFERROR(VLOOKUP($C6,'[1]2020-2021'!$A:$D,4,FALSE),"")</f>
        <v>26685</v>
      </c>
      <c r="M6">
        <f>IFERROR(VLOOKUP($C6,'[1]2021-2022'!$A:$D,4,FALSE),"")</f>
        <v>175244</v>
      </c>
      <c r="N6">
        <f>IFERROR(VLOOKUP($C6,'[1]2022-2023'!$A:$D,4,FALSE),"")</f>
        <v>164512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f>IFERROR(VLOOKUP($C7,'[1]2013-2014'!$A:$D,4,FALSE),"")</f>
        <v>19088</v>
      </c>
      <c r="F7">
        <f>IFERROR(VLOOKUP($C7,'[1]2014-2015'!$A:$D,4,FALSE),"")</f>
        <v>13872</v>
      </c>
      <c r="G7">
        <f>IFERROR(VLOOKUP($C7,'[1]2015-2016'!$A:$D,4,FALSE),"")</f>
        <v>12868</v>
      </c>
      <c r="H7">
        <f>IFERROR(VLOOKUP($C7,'[1]2016-2017'!$A:$D,4,FALSE),"")</f>
        <v>16136</v>
      </c>
      <c r="I7">
        <f>IFERROR(VLOOKUP($C7,'[1]2017-2018'!$A:$D,4,FALSE),"")</f>
        <v>10901</v>
      </c>
      <c r="J7">
        <f>IFERROR(VLOOKUP($C7,'[1]2018-2019'!$A:$D,4,FALSE),"")</f>
        <v>14452</v>
      </c>
      <c r="K7">
        <f>IFERROR(VLOOKUP($C7,'[1]2019-2020'!$A:$D,4,FALSE),"")</f>
        <v>14841</v>
      </c>
      <c r="L7">
        <f>IFERROR(VLOOKUP($C7,'[1]2020-2021'!$A:$D,4,FALSE),"")</f>
        <v>1319</v>
      </c>
      <c r="M7">
        <f>IFERROR(VLOOKUP($C7,'[1]2021-2022'!$A:$D,4,FALSE),"")</f>
        <v>13862</v>
      </c>
      <c r="N7">
        <f>IFERROR(VLOOKUP($C7,'[1]2022-2023'!$A:$D,4,FALSE),"")</f>
        <v>26787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f>IFERROR(VLOOKUP($C8,'[1]2013-2014'!$A:$D,4,FALSE),"")</f>
        <v>31242</v>
      </c>
      <c r="F8">
        <f>IFERROR(VLOOKUP($C8,'[1]2014-2015'!$A:$D,4,FALSE),"")</f>
        <v>18480</v>
      </c>
      <c r="G8">
        <f>IFERROR(VLOOKUP($C8,'[1]2015-2016'!$A:$D,4,FALSE),"")</f>
        <v>17605</v>
      </c>
      <c r="H8">
        <f>IFERROR(VLOOKUP($C8,'[1]2016-2017'!$A:$D,4,FALSE),"")</f>
        <v>19848</v>
      </c>
      <c r="I8">
        <f>IFERROR(VLOOKUP($C8,'[1]2017-2018'!$A:$D,4,FALSE),"")</f>
        <v>10393</v>
      </c>
      <c r="J8">
        <f>IFERROR(VLOOKUP($C8,'[1]2018-2019'!$A:$D,4,FALSE),"")</f>
        <v>25587</v>
      </c>
      <c r="K8">
        <f>IFERROR(VLOOKUP($C8,'[1]2019-2020'!$A:$D,4,FALSE),"")</f>
        <v>15282</v>
      </c>
      <c r="L8">
        <f>IFERROR(VLOOKUP($C8,'[1]2020-2021'!$A:$D,4,FALSE),"")</f>
        <v>7677</v>
      </c>
      <c r="M8">
        <f>IFERROR(VLOOKUP($C8,'[1]2021-2022'!$A:$D,4,FALSE),"")</f>
        <v>10530</v>
      </c>
      <c r="N8">
        <f>IFERROR(VLOOKUP($C8,'[1]2022-2023'!$A:$D,4,FALSE),"")</f>
        <v>7441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f>IFERROR(VLOOKUP($C9,'[1]2013-2014'!$A:$D,4,FALSE),"")</f>
        <v>10050</v>
      </c>
      <c r="F9">
        <f>IFERROR(VLOOKUP($C9,'[1]2014-2015'!$A:$D,4,FALSE),"")</f>
        <v>15958</v>
      </c>
      <c r="G9">
        <f>IFERROR(VLOOKUP($C9,'[1]2015-2016'!$A:$D,4,FALSE),"")</f>
        <v>12530</v>
      </c>
      <c r="H9">
        <f>IFERROR(VLOOKUP($C9,'[1]2016-2017'!$A:$D,4,FALSE),"")</f>
        <v>11775</v>
      </c>
      <c r="I9">
        <f>IFERROR(VLOOKUP($C9,'[1]2017-2018'!$A:$D,4,FALSE),"")</f>
        <v>5806</v>
      </c>
      <c r="J9">
        <f>IFERROR(VLOOKUP($C9,'[1]2018-2019'!$A:$D,4,FALSE),"")</f>
        <v>8359</v>
      </c>
      <c r="K9">
        <f>IFERROR(VLOOKUP($C9,'[1]2019-2020'!$A:$D,4,FALSE),"")</f>
        <v>4056</v>
      </c>
      <c r="L9">
        <f>IFERROR(VLOOKUP($C9,'[1]2020-2021'!$A:$D,4,FALSE),"")</f>
        <v>1987</v>
      </c>
      <c r="M9">
        <f>IFERROR(VLOOKUP($C9,'[1]2021-2022'!$A:$D,4,FALSE),"")</f>
        <v>3740</v>
      </c>
      <c r="N9">
        <f>IFERROR(VLOOKUP($C9,'[1]2022-2023'!$A:$D,4,FALSE),"")</f>
        <v>21552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f>IFERROR(VLOOKUP($C10,'[1]2013-2014'!$A:$D,4,FALSE),"")</f>
        <v>23528</v>
      </c>
      <c r="F10">
        <f>IFERROR(VLOOKUP($C10,'[1]2014-2015'!$A:$D,4,FALSE),"")</f>
        <v>17228</v>
      </c>
      <c r="G10">
        <f>IFERROR(VLOOKUP($C10,'[1]2015-2016'!$A:$D,4,FALSE),"")</f>
        <v>9263</v>
      </c>
      <c r="H10">
        <f>IFERROR(VLOOKUP($C10,'[1]2016-2017'!$A:$D,4,FALSE),"")</f>
        <v>9058</v>
      </c>
      <c r="I10">
        <f>IFERROR(VLOOKUP($C10,'[1]2017-2018'!$A:$D,4,FALSE),"")</f>
        <v>9135</v>
      </c>
      <c r="J10">
        <f>IFERROR(VLOOKUP($C10,'[1]2018-2019'!$A:$D,4,FALSE),"")</f>
        <v>12122</v>
      </c>
      <c r="K10">
        <f>IFERROR(VLOOKUP($C10,'[1]2019-2020'!$A:$D,4,FALSE),"")</f>
        <v>12050</v>
      </c>
      <c r="L10">
        <f>IFERROR(VLOOKUP($C10,'[1]2020-2021'!$A:$D,4,FALSE),"")</f>
        <v>0</v>
      </c>
      <c r="M10">
        <f>IFERROR(VLOOKUP($C10,'[1]2021-2022'!$A:$D,4,FALSE),"")</f>
        <v>8335</v>
      </c>
      <c r="N10">
        <f>IFERROR(VLOOKUP($C10,'[1]2022-2023'!$A:$D,4,FALSE),"")</f>
        <v>14150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f>IFERROR(VLOOKUP($C11,'[1]2013-2014'!$A:$D,4,FALSE),"")</f>
        <v>15815</v>
      </c>
      <c r="F11">
        <f>IFERROR(VLOOKUP($C11,'[1]2014-2015'!$A:$D,4,FALSE),"")</f>
        <v>19422</v>
      </c>
      <c r="G11">
        <f>IFERROR(VLOOKUP($C11,'[1]2015-2016'!$A:$D,4,FALSE),"")</f>
        <v>15765</v>
      </c>
      <c r="H11">
        <f>IFERROR(VLOOKUP($C11,'[1]2016-2017'!$A:$D,4,FALSE),"")</f>
        <v>18854</v>
      </c>
      <c r="I11">
        <f>IFERROR(VLOOKUP($C11,'[1]2017-2018'!$A:$D,4,FALSE),"")</f>
        <v>16490</v>
      </c>
      <c r="J11">
        <f>IFERROR(VLOOKUP($C11,'[1]2018-2019'!$A:$D,4,FALSE),"")</f>
        <v>14364</v>
      </c>
      <c r="K11">
        <f>IFERROR(VLOOKUP($C11,'[1]2019-2020'!$A:$D,4,FALSE),"")</f>
        <v>25276</v>
      </c>
      <c r="L11">
        <f>IFERROR(VLOOKUP($C11,'[1]2020-2021'!$A:$D,4,FALSE),"")</f>
        <v>985</v>
      </c>
      <c r="M11">
        <f>IFERROR(VLOOKUP($C11,'[1]2021-2022'!$A:$D,4,FALSE),"")</f>
        <v>42620</v>
      </c>
      <c r="N11">
        <f>IFERROR(VLOOKUP($C11,'[1]2022-2023'!$A:$D,4,FALSE),"")</f>
        <v>40397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f>IFERROR(VLOOKUP($C12,'[1]2013-2014'!$A:$D,4,FALSE),"")</f>
        <v>258749</v>
      </c>
      <c r="F12">
        <f>IFERROR(VLOOKUP($C12,'[1]2014-2015'!$A:$D,4,FALSE),"")</f>
        <v>248046</v>
      </c>
      <c r="G12">
        <f>IFERROR(VLOOKUP($C12,'[1]2015-2016'!$A:$D,4,FALSE),"")</f>
        <v>261478</v>
      </c>
      <c r="H12">
        <f>IFERROR(VLOOKUP($C12,'[1]2016-2017'!$A:$D,4,FALSE),"")</f>
        <v>230560</v>
      </c>
      <c r="I12">
        <f>IFERROR(VLOOKUP($C12,'[1]2017-2018'!$A:$D,4,FALSE),"")</f>
        <v>230947</v>
      </c>
      <c r="J12">
        <f>IFERROR(VLOOKUP($C12,'[1]2018-2019'!$A:$D,4,FALSE),"")</f>
        <v>233645</v>
      </c>
      <c r="K12">
        <f>IFERROR(VLOOKUP($C12,'[1]2019-2020'!$A:$D,4,FALSE),"")</f>
        <v>232114</v>
      </c>
      <c r="L12">
        <f>IFERROR(VLOOKUP($C12,'[1]2020-2021'!$A:$D,4,FALSE),"")</f>
        <v>0</v>
      </c>
      <c r="M12">
        <f>IFERROR(VLOOKUP($C12,'[1]2021-2022'!$A:$D,4,FALSE),"")</f>
        <v>228040</v>
      </c>
      <c r="N12">
        <f>IFERROR(VLOOKUP($C12,'[1]2022-2023'!$A:$D,4,FALSE),"")</f>
        <v>239947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f>IFERROR(VLOOKUP($C13,'[1]2013-2014'!$A:$D,4,FALSE),"")</f>
        <v>113680</v>
      </c>
      <c r="F13">
        <f>IFERROR(VLOOKUP($C13,'[1]2014-2015'!$A:$D,4,FALSE),"")</f>
        <v>107730</v>
      </c>
      <c r="G13">
        <f>IFERROR(VLOOKUP($C13,'[1]2015-2016'!$A:$D,4,FALSE),"")</f>
        <v>98718</v>
      </c>
      <c r="H13">
        <f>IFERROR(VLOOKUP($C13,'[1]2016-2017'!$A:$D,4,FALSE),"")</f>
        <v>104011</v>
      </c>
      <c r="I13">
        <f>IFERROR(VLOOKUP($C13,'[1]2017-2018'!$A:$D,4,FALSE),"")</f>
        <v>180251</v>
      </c>
      <c r="J13">
        <f>IFERROR(VLOOKUP($C13,'[1]2018-2019'!$A:$D,4,FALSE),"")</f>
        <v>168602</v>
      </c>
      <c r="K13">
        <f>IFERROR(VLOOKUP($C13,'[1]2019-2020'!$A:$D,4,FALSE),"")</f>
        <v>148019</v>
      </c>
      <c r="L13">
        <f>IFERROR(VLOOKUP($C13,'[1]2020-2021'!$A:$D,4,FALSE),"")</f>
        <v>0</v>
      </c>
      <c r="M13">
        <f>IFERROR(VLOOKUP($C13,'[1]2021-2022'!$A:$D,4,FALSE),"")</f>
        <v>119596</v>
      </c>
      <c r="N13">
        <f>IFERROR(VLOOKUP($C13,'[1]2022-2023'!$A:$D,4,FALSE),"")</f>
        <v>121058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f>IFERROR(VLOOKUP($C14,'[1]2013-2014'!$A:$D,4,FALSE),"")</f>
        <v>34490</v>
      </c>
      <c r="F14">
        <f>IFERROR(VLOOKUP($C14,'[1]2014-2015'!$A:$D,4,FALSE),"")</f>
        <v>25927</v>
      </c>
      <c r="G14">
        <f>IFERROR(VLOOKUP($C14,'[1]2015-2016'!$A:$D,4,FALSE),"")</f>
        <v>16607</v>
      </c>
      <c r="H14">
        <f>IFERROR(VLOOKUP($C14,'[1]2016-2017'!$A:$D,4,FALSE),"")</f>
        <v>16505</v>
      </c>
      <c r="I14">
        <f>IFERROR(VLOOKUP($C14,'[1]2017-2018'!$A:$D,4,FALSE),"")</f>
        <v>35043</v>
      </c>
      <c r="J14">
        <f>IFERROR(VLOOKUP($C14,'[1]2018-2019'!$A:$D,4,FALSE),"")</f>
        <v>22149</v>
      </c>
      <c r="K14">
        <f>IFERROR(VLOOKUP($C14,'[1]2019-2020'!$A:$D,4,FALSE),"")</f>
        <v>23247</v>
      </c>
      <c r="L14">
        <f>IFERROR(VLOOKUP($C14,'[1]2020-2021'!$A:$D,4,FALSE),"")</f>
        <v>550</v>
      </c>
      <c r="M14">
        <f>IFERROR(VLOOKUP($C14,'[1]2021-2022'!$A:$D,4,FALSE),"")</f>
        <v>19275</v>
      </c>
      <c r="N14">
        <f>IFERROR(VLOOKUP($C14,'[1]2022-2023'!$A:$D,4,FALSE),"")</f>
        <v>38606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f>IFERROR(VLOOKUP($C15,'[1]2013-2014'!$A:$D,4,FALSE),"")</f>
        <v>280465</v>
      </c>
      <c r="F15">
        <f>IFERROR(VLOOKUP($C15,'[1]2014-2015'!$A:$D,4,FALSE),"")</f>
        <v>294860</v>
      </c>
      <c r="G15">
        <f>IFERROR(VLOOKUP($C15,'[1]2015-2016'!$A:$D,4,FALSE),"")</f>
        <v>267825</v>
      </c>
      <c r="H15">
        <f>IFERROR(VLOOKUP($C15,'[1]2016-2017'!$A:$D,4,FALSE),"")</f>
        <v>274446</v>
      </c>
      <c r="I15">
        <f>IFERROR(VLOOKUP($C15,'[1]2017-2018'!$A:$D,4,FALSE),"")</f>
        <v>275084</v>
      </c>
      <c r="J15">
        <f>IFERROR(VLOOKUP($C15,'[1]2018-2019'!$A:$D,4,FALSE),"")</f>
        <v>275012</v>
      </c>
      <c r="K15">
        <f>IFERROR(VLOOKUP($C15,'[1]2019-2020'!$A:$D,4,FALSE),"")</f>
        <v>294262</v>
      </c>
      <c r="L15">
        <f>IFERROR(VLOOKUP($C15,'[1]2020-2021'!$A:$D,4,FALSE),"")</f>
        <v>72822</v>
      </c>
      <c r="M15">
        <f>IFERROR(VLOOKUP($C15,'[1]2021-2022'!$A:$D,4,FALSE),"")</f>
        <v>361412</v>
      </c>
      <c r="N15">
        <f>IFERROR(VLOOKUP($C15,'[1]2022-2023'!$A:$D,4,FALSE),"")</f>
        <v>323875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f>IFERROR(VLOOKUP($C16,'[1]2013-2014'!$A:$D,4,FALSE),"")</f>
        <v>38112</v>
      </c>
      <c r="F16">
        <f>IFERROR(VLOOKUP($C16,'[1]2014-2015'!$A:$D,4,FALSE),"")</f>
        <v>25988</v>
      </c>
      <c r="G16">
        <f>IFERROR(VLOOKUP($C16,'[1]2015-2016'!$A:$D,4,FALSE),"")</f>
        <v>21722</v>
      </c>
      <c r="H16">
        <f>IFERROR(VLOOKUP($C16,'[1]2016-2017'!$A:$D,4,FALSE),"")</f>
        <v>43989</v>
      </c>
      <c r="I16">
        <f>IFERROR(VLOOKUP($C16,'[1]2017-2018'!$A:$D,4,FALSE),"")</f>
        <v>29800</v>
      </c>
      <c r="J16">
        <f>IFERROR(VLOOKUP($C16,'[1]2018-2019'!$A:$D,4,FALSE),"")</f>
        <v>22304</v>
      </c>
      <c r="K16">
        <f>IFERROR(VLOOKUP($C16,'[1]2019-2020'!$A:$D,4,FALSE),"")</f>
        <v>25608</v>
      </c>
      <c r="L16">
        <f>IFERROR(VLOOKUP($C16,'[1]2020-2021'!$A:$D,4,FALSE),"")</f>
        <v>8920</v>
      </c>
      <c r="M16">
        <f>IFERROR(VLOOKUP($C16,'[1]2021-2022'!$A:$D,4,FALSE),"")</f>
        <v>18894</v>
      </c>
      <c r="N16">
        <f>IFERROR(VLOOKUP($C16,'[1]2022-2023'!$A:$D,4,FALSE),"")</f>
        <v>32271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f>IFERROR(VLOOKUP($C17,'[1]2013-2014'!$A:$D,4,FALSE),"")</f>
        <v>19583</v>
      </c>
      <c r="F17">
        <f>IFERROR(VLOOKUP($C17,'[1]2014-2015'!$A:$D,4,FALSE),"")</f>
        <v>19317</v>
      </c>
      <c r="G17">
        <f>IFERROR(VLOOKUP($C17,'[1]2015-2016'!$A:$D,4,FALSE),"")</f>
        <v>19628</v>
      </c>
      <c r="H17">
        <f>IFERROR(VLOOKUP($C17,'[1]2016-2017'!$A:$D,4,FALSE),"")</f>
        <v>18450</v>
      </c>
      <c r="I17">
        <f>IFERROR(VLOOKUP($C17,'[1]2017-2018'!$A:$D,4,FALSE),"")</f>
        <v>13788</v>
      </c>
      <c r="J17">
        <f>IFERROR(VLOOKUP($C17,'[1]2018-2019'!$A:$D,4,FALSE),"")</f>
        <v>14043</v>
      </c>
      <c r="K17">
        <f>IFERROR(VLOOKUP($C17,'[1]2019-2020'!$A:$D,4,FALSE),"")</f>
        <v>17099</v>
      </c>
      <c r="L17">
        <f>IFERROR(VLOOKUP($C17,'[1]2020-2021'!$A:$D,4,FALSE),"")</f>
        <v>252</v>
      </c>
      <c r="M17">
        <f>IFERROR(VLOOKUP($C17,'[1]2021-2022'!$A:$D,4,FALSE),"")</f>
        <v>12166</v>
      </c>
      <c r="N17">
        <f>IFERROR(VLOOKUP($C17,'[1]2022-2023'!$A:$D,4,FALSE),"")</f>
        <v>14944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f>IFERROR(VLOOKUP($C18,'[1]2013-2014'!$A:$D,4,FALSE),"")</f>
        <v>104815</v>
      </c>
      <c r="F18">
        <f>IFERROR(VLOOKUP($C18,'[1]2014-2015'!$A:$D,4,FALSE),"")</f>
        <v>133033</v>
      </c>
      <c r="G18">
        <f>IFERROR(VLOOKUP($C18,'[1]2015-2016'!$A:$D,4,FALSE),"")</f>
        <v>123244</v>
      </c>
      <c r="H18">
        <f>IFERROR(VLOOKUP($C18,'[1]2016-2017'!$A:$D,4,FALSE),"")</f>
        <v>117490</v>
      </c>
      <c r="I18">
        <f>IFERROR(VLOOKUP($C18,'[1]2017-2018'!$A:$D,4,FALSE),"")</f>
        <v>131537</v>
      </c>
      <c r="J18">
        <f>IFERROR(VLOOKUP($C18,'[1]2018-2019'!$A:$D,4,FALSE),"")</f>
        <v>138650</v>
      </c>
      <c r="K18">
        <f>IFERROR(VLOOKUP($C18,'[1]2019-2020'!$A:$D,4,FALSE),"")</f>
        <v>150721</v>
      </c>
      <c r="L18">
        <f>IFERROR(VLOOKUP($C18,'[1]2020-2021'!$A:$D,4,FALSE),"")</f>
        <v>23712</v>
      </c>
      <c r="M18">
        <f>IFERROR(VLOOKUP($C18,'[1]2021-2022'!$A:$D,4,FALSE),"")</f>
        <v>145936</v>
      </c>
      <c r="N18">
        <f>IFERROR(VLOOKUP($C18,'[1]2022-2023'!$A:$D,4,FALSE),"")</f>
        <v>145936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f>IFERROR(VLOOKUP($C19,'[1]2013-2014'!$A:$D,4,FALSE),"")</f>
        <v>37959</v>
      </c>
      <c r="F19">
        <f>IFERROR(VLOOKUP($C19,'[1]2014-2015'!$A:$D,4,FALSE),"")</f>
        <v>33318</v>
      </c>
      <c r="G19">
        <f>IFERROR(VLOOKUP($C19,'[1]2015-2016'!$A:$D,4,FALSE),"")</f>
        <v>28824</v>
      </c>
      <c r="H19">
        <f>IFERROR(VLOOKUP($C19,'[1]2016-2017'!$A:$D,4,FALSE),"")</f>
        <v>28157</v>
      </c>
      <c r="I19">
        <f>IFERROR(VLOOKUP($C19,'[1]2017-2018'!$A:$D,4,FALSE),"")</f>
        <v>31908</v>
      </c>
      <c r="J19">
        <f>IFERROR(VLOOKUP($C19,'[1]2018-2019'!$A:$D,4,FALSE),"")</f>
        <v>23967</v>
      </c>
      <c r="K19">
        <f>IFERROR(VLOOKUP($C19,'[1]2019-2020'!$A:$D,4,FALSE),"")</f>
        <v>23006</v>
      </c>
      <c r="L19">
        <f>IFERROR(VLOOKUP($C19,'[1]2020-2021'!$A:$D,4,FALSE),"")</f>
        <v>6724</v>
      </c>
      <c r="M19">
        <f>IFERROR(VLOOKUP($C19,'[1]2021-2022'!$A:$D,4,FALSE),"")</f>
        <v>13672</v>
      </c>
      <c r="N19">
        <f>IFERROR(VLOOKUP($C19,'[1]2022-2023'!$A:$D,4,FALSE),"")</f>
        <v>21053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f>IFERROR(VLOOKUP($C20,'[1]2013-2014'!$A:$D,4,FALSE),"")</f>
        <v>42922</v>
      </c>
      <c r="F20">
        <f>IFERROR(VLOOKUP($C20,'[1]2014-2015'!$A:$D,4,FALSE),"")</f>
        <v>42087</v>
      </c>
      <c r="G20">
        <f>IFERROR(VLOOKUP($C20,'[1]2015-2016'!$A:$D,4,FALSE),"")</f>
        <v>52514</v>
      </c>
      <c r="H20">
        <f>IFERROR(VLOOKUP($C20,'[1]2016-2017'!$A:$D,4,FALSE),"")</f>
        <v>49943</v>
      </c>
      <c r="I20">
        <f>IFERROR(VLOOKUP($C20,'[1]2017-2018'!$A:$D,4,FALSE),"")</f>
        <v>59534</v>
      </c>
      <c r="J20">
        <f>IFERROR(VLOOKUP($C20,'[1]2018-2019'!$A:$D,4,FALSE),"")</f>
        <v>57631</v>
      </c>
      <c r="K20">
        <f>IFERROR(VLOOKUP($C20,'[1]2019-2020'!$A:$D,4,FALSE),"")</f>
        <v>66591</v>
      </c>
      <c r="L20">
        <f>IFERROR(VLOOKUP($C20,'[1]2020-2021'!$A:$D,4,FALSE),"")</f>
        <v>1281</v>
      </c>
      <c r="M20">
        <f>IFERROR(VLOOKUP($C20,'[1]2021-2022'!$A:$D,4,FALSE),"")</f>
        <v>44836</v>
      </c>
      <c r="N20">
        <f>IFERROR(VLOOKUP($C20,'[1]2022-2023'!$A:$D,4,FALSE),"")</f>
        <v>58125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f>IFERROR(VLOOKUP($C21,'[1]2013-2014'!$A:$D,4,FALSE),"")</f>
        <v>115696</v>
      </c>
      <c r="F21">
        <f>IFERROR(VLOOKUP($C21,'[1]2014-2015'!$A:$D,4,FALSE),"")</f>
        <v>119691</v>
      </c>
      <c r="G21">
        <f>IFERROR(VLOOKUP($C21,'[1]2015-2016'!$A:$D,4,FALSE),"")</f>
        <v>121790</v>
      </c>
      <c r="H21">
        <f>IFERROR(VLOOKUP($C21,'[1]2016-2017'!$A:$D,4,FALSE),"")</f>
        <v>122609</v>
      </c>
      <c r="I21">
        <f>IFERROR(VLOOKUP($C21,'[1]2017-2018'!$A:$D,4,FALSE),"")</f>
        <v>120304</v>
      </c>
      <c r="J21">
        <f>IFERROR(VLOOKUP($C21,'[1]2018-2019'!$A:$D,4,FALSE),"")</f>
        <v>111916</v>
      </c>
      <c r="K21">
        <f>IFERROR(VLOOKUP($C21,'[1]2019-2020'!$A:$D,4,FALSE),"")</f>
        <v>122664</v>
      </c>
      <c r="L21">
        <f>IFERROR(VLOOKUP($C21,'[1]2020-2021'!$A:$D,4,FALSE),"")</f>
        <v>23500</v>
      </c>
      <c r="M21">
        <f>IFERROR(VLOOKUP($C21,'[1]2021-2022'!$A:$D,4,FALSE),"")</f>
        <v>143457</v>
      </c>
      <c r="N21">
        <f>IFERROR(VLOOKUP($C21,'[1]2022-2023'!$A:$D,4,FALSE),"")</f>
        <v>161047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f>IFERROR(VLOOKUP($C22,'[1]2013-2014'!$A:$D,4,FALSE),"")</f>
        <v>38067</v>
      </c>
      <c r="F22">
        <f>IFERROR(VLOOKUP($C22,'[1]2014-2015'!$A:$D,4,FALSE),"")</f>
        <v>27793</v>
      </c>
      <c r="G22">
        <f>IFERROR(VLOOKUP($C22,'[1]2015-2016'!$A:$D,4,FALSE),"")</f>
        <v>30438</v>
      </c>
      <c r="H22">
        <f>IFERROR(VLOOKUP($C22,'[1]2016-2017'!$A:$D,4,FALSE),"")</f>
        <v>31501</v>
      </c>
      <c r="I22">
        <f>IFERROR(VLOOKUP($C22,'[1]2017-2018'!$A:$D,4,FALSE),"")</f>
        <v>38543</v>
      </c>
      <c r="J22">
        <f>IFERROR(VLOOKUP($C22,'[1]2018-2019'!$A:$D,4,FALSE),"")</f>
        <v>36871</v>
      </c>
      <c r="K22">
        <f>IFERROR(VLOOKUP($C22,'[1]2019-2020'!$A:$D,4,FALSE),"")</f>
        <v>32476</v>
      </c>
      <c r="L22">
        <f>IFERROR(VLOOKUP($C22,'[1]2020-2021'!$A:$D,4,FALSE),"")</f>
        <v>2792</v>
      </c>
      <c r="M22">
        <f>IFERROR(VLOOKUP($C22,'[1]2021-2022'!$A:$D,4,FALSE),"")</f>
        <v>27942</v>
      </c>
      <c r="N22">
        <f>IFERROR(VLOOKUP($C22,'[1]2022-2023'!$A:$D,4,FALSE),"")</f>
        <v>30603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f>IFERROR(VLOOKUP($C23,'[1]2013-2014'!$A:$D,4,FALSE),"")</f>
        <v>13498</v>
      </c>
      <c r="F23">
        <f>IFERROR(VLOOKUP($C23,'[1]2014-2015'!$A:$D,4,FALSE),"")</f>
        <v>9405</v>
      </c>
      <c r="G23">
        <f>IFERROR(VLOOKUP($C23,'[1]2015-2016'!$A:$D,4,FALSE),"")</f>
        <v>8326</v>
      </c>
      <c r="H23">
        <f>IFERROR(VLOOKUP($C23,'[1]2016-2017'!$A:$D,4,FALSE),"")</f>
        <v>9009</v>
      </c>
      <c r="I23">
        <f>IFERROR(VLOOKUP($C23,'[1]2017-2018'!$A:$D,4,FALSE),"")</f>
        <v>10099</v>
      </c>
      <c r="J23">
        <f>IFERROR(VLOOKUP($C23,'[1]2018-2019'!$A:$D,4,FALSE),"")</f>
        <v>11009</v>
      </c>
      <c r="K23">
        <f>IFERROR(VLOOKUP($C23,'[1]2019-2020'!$A:$D,4,FALSE),"")</f>
        <v>7943</v>
      </c>
      <c r="L23" t="str">
        <f>IFERROR(VLOOKUP($C23,'[1]2020-2021'!$A:$D,4,FALSE),"")</f>
        <v/>
      </c>
      <c r="M23">
        <f>IFERROR(VLOOKUP($C23,'[1]2021-2022'!$A:$D,4,FALSE),"")</f>
        <v>4030</v>
      </c>
      <c r="N23">
        <f>IFERROR(VLOOKUP($C23,'[1]2022-2023'!$A:$D,4,FALSE),"")</f>
        <v>8948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f>IFERROR(VLOOKUP($C24,'[1]2013-2014'!$A:$D,4,FALSE),"")</f>
        <v>36091</v>
      </c>
      <c r="F24">
        <f>IFERROR(VLOOKUP($C24,'[1]2014-2015'!$A:$D,4,FALSE),"")</f>
        <v>35854</v>
      </c>
      <c r="G24">
        <f>IFERROR(VLOOKUP($C24,'[1]2015-2016'!$A:$D,4,FALSE),"")</f>
        <v>35565</v>
      </c>
      <c r="H24">
        <f>IFERROR(VLOOKUP($C24,'[1]2016-2017'!$A:$D,4,FALSE),"")</f>
        <v>35015</v>
      </c>
      <c r="I24">
        <f>IFERROR(VLOOKUP($C24,'[1]2017-2018'!$A:$D,4,FALSE),"")</f>
        <v>36722</v>
      </c>
      <c r="J24">
        <f>IFERROR(VLOOKUP($C24,'[1]2018-2019'!$A:$D,4,FALSE),"")</f>
        <v>34137</v>
      </c>
      <c r="K24">
        <f>IFERROR(VLOOKUP($C24,'[1]2019-2020'!$A:$D,4,FALSE),"")</f>
        <v>31991</v>
      </c>
      <c r="L24">
        <f>IFERROR(VLOOKUP($C24,'[1]2020-2021'!$A:$D,4,FALSE),"")</f>
        <v>0</v>
      </c>
      <c r="M24">
        <f>IFERROR(VLOOKUP($C24,'[1]2021-2022'!$A:$D,4,FALSE),"")</f>
        <v>24907</v>
      </c>
      <c r="N24">
        <f>IFERROR(VLOOKUP($C24,'[1]2022-2023'!$A:$D,4,FALSE),"")</f>
        <v>31657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f>IFERROR(VLOOKUP($C25,'[1]2013-2014'!$A:$D,4,FALSE),"")</f>
        <v>108957</v>
      </c>
      <c r="F25">
        <f>IFERROR(VLOOKUP($C25,'[1]2014-2015'!$A:$D,4,FALSE),"")</f>
        <v>80843</v>
      </c>
      <c r="G25">
        <f>IFERROR(VLOOKUP($C25,'[1]2015-2016'!$A:$D,4,FALSE),"")</f>
        <v>100334</v>
      </c>
      <c r="H25">
        <f>IFERROR(VLOOKUP($C25,'[1]2016-2017'!$A:$D,4,FALSE),"")</f>
        <v>75553</v>
      </c>
      <c r="I25">
        <f>IFERROR(VLOOKUP($C25,'[1]2017-2018'!$A:$D,4,FALSE),"")</f>
        <v>107959</v>
      </c>
      <c r="J25">
        <f>IFERROR(VLOOKUP($C25,'[1]2018-2019'!$A:$D,4,FALSE),"")</f>
        <v>75615</v>
      </c>
      <c r="K25">
        <f>IFERROR(VLOOKUP($C25,'[1]2019-2020'!$A:$D,4,FALSE),"")</f>
        <v>76737</v>
      </c>
      <c r="L25">
        <f>IFERROR(VLOOKUP($C25,'[1]2020-2021'!$A:$D,4,FALSE),"")</f>
        <v>2350</v>
      </c>
      <c r="M25">
        <f>IFERROR(VLOOKUP($C25,'[1]2021-2022'!$A:$D,4,FALSE),"")</f>
        <v>125900</v>
      </c>
      <c r="N25">
        <f>IFERROR(VLOOKUP($C25,'[1]2022-2023'!$A:$D,4,FALSE),"")</f>
        <v>142893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f>IFERROR(VLOOKUP($C26,'[1]2013-2014'!$A:$D,4,FALSE),"")</f>
        <v>52094</v>
      </c>
      <c r="F26">
        <f>IFERROR(VLOOKUP($C26,'[1]2014-2015'!$A:$D,4,FALSE),"")</f>
        <v>76268</v>
      </c>
      <c r="G26">
        <f>IFERROR(VLOOKUP($C26,'[1]2015-2016'!$A:$D,4,FALSE),"")</f>
        <v>57998</v>
      </c>
      <c r="H26">
        <f>IFERROR(VLOOKUP($C26,'[1]2016-2017'!$A:$D,4,FALSE),"")</f>
        <v>76371</v>
      </c>
      <c r="I26">
        <f>IFERROR(VLOOKUP($C26,'[1]2017-2018'!$A:$D,4,FALSE),"")</f>
        <v>87731</v>
      </c>
      <c r="J26">
        <f>IFERROR(VLOOKUP($C26,'[1]2018-2019'!$A:$D,4,FALSE),"")</f>
        <v>94377</v>
      </c>
      <c r="K26">
        <f>IFERROR(VLOOKUP($C26,'[1]2019-2020'!$A:$D,4,FALSE),"")</f>
        <v>97527</v>
      </c>
      <c r="L26">
        <f>IFERROR(VLOOKUP($C26,'[1]2020-2021'!$A:$D,4,FALSE),"")</f>
        <v>0</v>
      </c>
      <c r="M26">
        <f>IFERROR(VLOOKUP($C26,'[1]2021-2022'!$A:$D,4,FALSE),"")</f>
        <v>78676</v>
      </c>
      <c r="N26">
        <f>IFERROR(VLOOKUP($C26,'[1]2022-2023'!$A:$D,4,FALSE),"")</f>
        <v>83679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f>IFERROR(VLOOKUP($C27,'[1]2013-2014'!$A:$D,4,FALSE),"")</f>
        <v>16713</v>
      </c>
      <c r="F27">
        <f>IFERROR(VLOOKUP($C27,'[1]2014-2015'!$A:$D,4,FALSE),"")</f>
        <v>7263</v>
      </c>
      <c r="G27">
        <f>IFERROR(VLOOKUP($C27,'[1]2015-2016'!$A:$D,4,FALSE),"")</f>
        <v>10508</v>
      </c>
      <c r="H27">
        <f>IFERROR(VLOOKUP($C27,'[1]2016-2017'!$A:$D,4,FALSE),"")</f>
        <v>9902</v>
      </c>
      <c r="I27">
        <f>IFERROR(VLOOKUP($C27,'[1]2017-2018'!$A:$D,4,FALSE),"")</f>
        <v>9024</v>
      </c>
      <c r="J27">
        <f>IFERROR(VLOOKUP($C27,'[1]2018-2019'!$A:$D,4,FALSE),"")</f>
        <v>11025</v>
      </c>
      <c r="K27">
        <f>IFERROR(VLOOKUP($C27,'[1]2019-2020'!$A:$D,4,FALSE),"")</f>
        <v>11734</v>
      </c>
      <c r="L27">
        <f>IFERROR(VLOOKUP($C27,'[1]2020-2021'!$A:$D,4,FALSE),"")</f>
        <v>0</v>
      </c>
      <c r="M27">
        <f>IFERROR(VLOOKUP($C27,'[1]2021-2022'!$A:$D,4,FALSE),"")</f>
        <v>9408</v>
      </c>
      <c r="N27">
        <f>IFERROR(VLOOKUP($C27,'[1]2022-2023'!$A:$D,4,FALSE),"")</f>
        <v>11559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f>IFERROR(VLOOKUP($C28,'[1]2013-2014'!$A:$D,4,FALSE),"")</f>
        <v>26384</v>
      </c>
      <c r="F28">
        <f>IFERROR(VLOOKUP($C28,'[1]2014-2015'!$A:$D,4,FALSE),"")</f>
        <v>34468</v>
      </c>
      <c r="G28">
        <f>IFERROR(VLOOKUP($C28,'[1]2015-2016'!$A:$D,4,FALSE),"")</f>
        <v>33928</v>
      </c>
      <c r="H28">
        <f>IFERROR(VLOOKUP($C28,'[1]2016-2017'!$A:$D,4,FALSE),"")</f>
        <v>31212</v>
      </c>
      <c r="I28">
        <f>IFERROR(VLOOKUP($C28,'[1]2017-2018'!$A:$D,4,FALSE),"")</f>
        <v>28756</v>
      </c>
      <c r="J28">
        <f>IFERROR(VLOOKUP($C28,'[1]2018-2019'!$A:$D,4,FALSE),"")</f>
        <v>34250</v>
      </c>
      <c r="K28">
        <f>IFERROR(VLOOKUP($C28,'[1]2019-2020'!$A:$D,4,FALSE),"")</f>
        <v>36791</v>
      </c>
      <c r="L28">
        <f>IFERROR(VLOOKUP($C28,'[1]2020-2021'!$A:$D,4,FALSE),"")</f>
        <v>3300</v>
      </c>
      <c r="M28">
        <f>IFERROR(VLOOKUP($C28,'[1]2021-2022'!$A:$D,4,FALSE),"")</f>
        <v>32758</v>
      </c>
      <c r="N28">
        <f>IFERROR(VLOOKUP($C28,'[1]2022-2023'!$A:$D,4,FALSE),"")</f>
        <v>30905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f>IFERROR(VLOOKUP($C29,'[1]2013-2014'!$A:$D,4,FALSE),"")</f>
        <v>112335</v>
      </c>
      <c r="F29">
        <f>IFERROR(VLOOKUP($C29,'[1]2014-2015'!$A:$D,4,FALSE),"")</f>
        <v>91614</v>
      </c>
      <c r="G29">
        <f>IFERROR(VLOOKUP($C29,'[1]2015-2016'!$A:$D,4,FALSE),"")</f>
        <v>89299</v>
      </c>
      <c r="H29">
        <f>IFERROR(VLOOKUP($C29,'[1]2016-2017'!$A:$D,4,FALSE),"")</f>
        <v>82318</v>
      </c>
      <c r="I29">
        <f>IFERROR(VLOOKUP($C29,'[1]2017-2018'!$A:$D,4,FALSE),"")</f>
        <v>85489</v>
      </c>
      <c r="J29">
        <f>IFERROR(VLOOKUP($C29,'[1]2018-2019'!$A:$D,4,FALSE),"")</f>
        <v>86871</v>
      </c>
      <c r="K29">
        <f>IFERROR(VLOOKUP($C29,'[1]2019-2020'!$A:$D,4,FALSE),"")</f>
        <v>96059</v>
      </c>
      <c r="L29">
        <f>IFERROR(VLOOKUP($C29,'[1]2020-2021'!$A:$D,4,FALSE),"")</f>
        <v>0</v>
      </c>
      <c r="M29">
        <f>IFERROR(VLOOKUP($C29,'[1]2021-2022'!$A:$D,4,FALSE),"")</f>
        <v>60912</v>
      </c>
      <c r="N29">
        <f>IFERROR(VLOOKUP($C29,'[1]2022-2023'!$A:$D,4,FALSE),"")</f>
        <v>79150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f>IFERROR(VLOOKUP($C30,'[1]2013-2014'!$A:$D,4,FALSE),"")</f>
        <v>14577</v>
      </c>
      <c r="F30">
        <f>IFERROR(VLOOKUP($C30,'[1]2014-2015'!$A:$D,4,FALSE),"")</f>
        <v>11088</v>
      </c>
      <c r="G30">
        <f>IFERROR(VLOOKUP($C30,'[1]2015-2016'!$A:$D,4,FALSE),"")</f>
        <v>15246</v>
      </c>
      <c r="H30">
        <f>IFERROR(VLOOKUP($C30,'[1]2016-2017'!$A:$D,4,FALSE),"")</f>
        <v>12504</v>
      </c>
      <c r="I30">
        <f>IFERROR(VLOOKUP($C30,'[1]2017-2018'!$A:$D,4,FALSE),"")</f>
        <v>11474</v>
      </c>
      <c r="J30">
        <f>IFERROR(VLOOKUP($C30,'[1]2018-2019'!$A:$D,4,FALSE),"")</f>
        <v>19589</v>
      </c>
      <c r="K30">
        <f>IFERROR(VLOOKUP($C30,'[1]2019-2020'!$A:$D,4,FALSE),"")</f>
        <v>19110</v>
      </c>
      <c r="L30" t="str">
        <f>IFERROR(VLOOKUP($C30,'[1]2020-2021'!$A:$D,4,FALSE),"")</f>
        <v/>
      </c>
      <c r="M30">
        <f>IFERROR(VLOOKUP($C30,'[1]2021-2022'!$A:$D,4,FALSE),"")</f>
        <v>8027</v>
      </c>
      <c r="N30">
        <f>IFERROR(VLOOKUP($C30,'[1]2022-2023'!$A:$D,4,FALSE),"")</f>
        <v>11087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f>IFERROR(VLOOKUP($C31,'[1]2013-2014'!$A:$D,4,FALSE),"")</f>
        <v>15694</v>
      </c>
      <c r="F31">
        <f>IFERROR(VLOOKUP($C31,'[1]2014-2015'!$A:$D,4,FALSE),"")</f>
        <v>13108</v>
      </c>
      <c r="G31">
        <f>IFERROR(VLOOKUP($C31,'[1]2015-2016'!$A:$D,4,FALSE),"")</f>
        <v>6108</v>
      </c>
      <c r="H31">
        <f>IFERROR(VLOOKUP($C31,'[1]2016-2017'!$A:$D,4,FALSE),"")</f>
        <v>8504</v>
      </c>
      <c r="I31">
        <f>IFERROR(VLOOKUP($C31,'[1]2017-2018'!$A:$D,4,FALSE),"")</f>
        <v>7619</v>
      </c>
      <c r="J31">
        <f>IFERROR(VLOOKUP($C31,'[1]2018-2019'!$A:$D,4,FALSE),"")</f>
        <v>10530</v>
      </c>
      <c r="K31">
        <f>IFERROR(VLOOKUP($C31,'[1]2019-2020'!$A:$D,4,FALSE),"")</f>
        <v>14229</v>
      </c>
      <c r="L31">
        <f>IFERROR(VLOOKUP($C31,'[1]2020-2021'!$A:$D,4,FALSE),"")</f>
        <v>0</v>
      </c>
      <c r="M31">
        <f>IFERROR(VLOOKUP($C31,'[1]2021-2022'!$A:$D,4,FALSE),"")</f>
        <v>20892</v>
      </c>
      <c r="N31">
        <f>IFERROR(VLOOKUP($C31,'[1]2022-2023'!$A:$D,4,FALSE),"")</f>
        <v>12813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f>IFERROR(VLOOKUP($C32,'[1]2013-2014'!$A:$D,4,FALSE),"")</f>
        <v>39570</v>
      </c>
      <c r="F32">
        <f>IFERROR(VLOOKUP($C32,'[1]2014-2015'!$A:$D,4,FALSE),"")</f>
        <v>45878</v>
      </c>
      <c r="G32">
        <f>IFERROR(VLOOKUP($C32,'[1]2015-2016'!$A:$D,4,FALSE),"")</f>
        <v>41556</v>
      </c>
      <c r="H32">
        <f>IFERROR(VLOOKUP($C32,'[1]2016-2017'!$A:$D,4,FALSE),"")</f>
        <v>42996</v>
      </c>
      <c r="I32">
        <f>IFERROR(VLOOKUP($C32,'[1]2017-2018'!$A:$D,4,FALSE),"")</f>
        <v>42689</v>
      </c>
      <c r="J32">
        <f>IFERROR(VLOOKUP($C32,'[1]2018-2019'!$A:$D,4,FALSE),"")</f>
        <v>39531</v>
      </c>
      <c r="K32">
        <f>IFERROR(VLOOKUP($C32,'[1]2019-2020'!$A:$D,4,FALSE),"")</f>
        <v>31218</v>
      </c>
      <c r="L32">
        <f>IFERROR(VLOOKUP($C32,'[1]2020-2021'!$A:$D,4,FALSE),"")</f>
        <v>0</v>
      </c>
      <c r="M32">
        <f>IFERROR(VLOOKUP($C32,'[1]2021-2022'!$A:$D,4,FALSE),"")</f>
        <v>12289</v>
      </c>
      <c r="N32">
        <f>IFERROR(VLOOKUP($C32,'[1]2022-2023'!$A:$D,4,FALSE),"")</f>
        <v>16452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f>IFERROR(VLOOKUP($C33,'[1]2013-2014'!$A:$D,4,FALSE),"")</f>
        <v>52288</v>
      </c>
      <c r="F33">
        <f>IFERROR(VLOOKUP($C33,'[1]2014-2015'!$A:$D,4,FALSE),"")</f>
        <v>47311</v>
      </c>
      <c r="G33">
        <f>IFERROR(VLOOKUP($C33,'[1]2015-2016'!$A:$D,4,FALSE),"")</f>
        <v>48642</v>
      </c>
      <c r="H33">
        <f>IFERROR(VLOOKUP($C33,'[1]2016-2017'!$A:$D,4,FALSE),"")</f>
        <v>49287</v>
      </c>
      <c r="I33">
        <f>IFERROR(VLOOKUP($C33,'[1]2017-2018'!$A:$D,4,FALSE),"")</f>
        <v>49889</v>
      </c>
      <c r="J33">
        <f>IFERROR(VLOOKUP($C33,'[1]2018-2019'!$A:$D,4,FALSE),"")</f>
        <v>74054</v>
      </c>
      <c r="K33">
        <f>IFERROR(VLOOKUP($C33,'[1]2019-2020'!$A:$D,4,FALSE),"")</f>
        <v>61427</v>
      </c>
      <c r="L33">
        <f>IFERROR(VLOOKUP($C33,'[1]2020-2021'!$A:$D,4,FALSE),"")</f>
        <v>0</v>
      </c>
      <c r="M33">
        <f>IFERROR(VLOOKUP($C33,'[1]2021-2022'!$A:$D,4,FALSE),"")</f>
        <v>34717</v>
      </c>
      <c r="N33">
        <f>IFERROR(VLOOKUP($C33,'[1]2022-2023'!$A:$D,4,FALSE),"")</f>
        <v>42874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f>IFERROR(VLOOKUP($C34,'[1]2013-2014'!$A:$D,4,FALSE),"")</f>
        <v>116816</v>
      </c>
      <c r="F34">
        <f>IFERROR(VLOOKUP($C34,'[1]2014-2015'!$A:$D,4,FALSE),"")</f>
        <v>117970</v>
      </c>
      <c r="G34">
        <f>IFERROR(VLOOKUP($C34,'[1]2015-2016'!$A:$D,4,FALSE),"")</f>
        <v>130637</v>
      </c>
      <c r="H34">
        <f>IFERROR(VLOOKUP($C34,'[1]2016-2017'!$A:$D,4,FALSE),"")</f>
        <v>133724</v>
      </c>
      <c r="I34">
        <f>IFERROR(VLOOKUP($C34,'[1]2017-2018'!$A:$D,4,FALSE),"")</f>
        <v>145430</v>
      </c>
      <c r="J34">
        <f>IFERROR(VLOOKUP($C34,'[1]2018-2019'!$A:$D,4,FALSE),"")</f>
        <v>134702</v>
      </c>
      <c r="K34">
        <f>IFERROR(VLOOKUP($C34,'[1]2019-2020'!$A:$D,4,FALSE),"")</f>
        <v>146489</v>
      </c>
      <c r="L34">
        <f>IFERROR(VLOOKUP($C34,'[1]2020-2021'!$A:$D,4,FALSE),"")</f>
        <v>19894</v>
      </c>
      <c r="M34">
        <f>IFERROR(VLOOKUP($C34,'[1]2021-2022'!$A:$D,4,FALSE),"")</f>
        <v>121730</v>
      </c>
      <c r="N34">
        <f>IFERROR(VLOOKUP($C34,'[1]2022-2023'!$A:$D,4,FALSE),"")</f>
        <v>126686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f>IFERROR(VLOOKUP($C35,'[1]2013-2014'!$A:$D,4,FALSE),"")</f>
        <v>238131</v>
      </c>
      <c r="F35">
        <f>IFERROR(VLOOKUP($C35,'[1]2014-2015'!$A:$D,4,FALSE),"")</f>
        <v>258002</v>
      </c>
      <c r="G35">
        <f>IFERROR(VLOOKUP($C35,'[1]2015-2016'!$A:$D,4,FALSE),"")</f>
        <v>264588</v>
      </c>
      <c r="H35">
        <f>IFERROR(VLOOKUP($C35,'[1]2016-2017'!$A:$D,4,FALSE),"")</f>
        <v>260569</v>
      </c>
      <c r="I35">
        <f>IFERROR(VLOOKUP($C35,'[1]2017-2018'!$A:$D,4,FALSE),"")</f>
        <v>227692</v>
      </c>
      <c r="J35">
        <f>IFERROR(VLOOKUP($C35,'[1]2018-2019'!$A:$D,4,FALSE),"")</f>
        <v>191322</v>
      </c>
      <c r="K35">
        <f>IFERROR(VLOOKUP($C35,'[1]2019-2020'!$A:$D,4,FALSE),"")</f>
        <v>189392</v>
      </c>
      <c r="L35">
        <f>IFERROR(VLOOKUP($C35,'[1]2020-2021'!$A:$D,4,FALSE),"")</f>
        <v>0</v>
      </c>
      <c r="M35">
        <f>IFERROR(VLOOKUP($C35,'[1]2021-2022'!$A:$D,4,FALSE),"")</f>
        <v>235540</v>
      </c>
      <c r="N35">
        <f>IFERROR(VLOOKUP($C35,'[1]2022-2023'!$A:$D,4,FALSE),"")</f>
        <v>225875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f>IFERROR(VLOOKUP($C36,'[1]2013-2014'!$A:$D,4,FALSE),"")</f>
        <v>26206</v>
      </c>
      <c r="F36">
        <f>IFERROR(VLOOKUP($C36,'[1]2014-2015'!$A:$D,4,FALSE),"")</f>
        <v>26536</v>
      </c>
      <c r="G36">
        <f>IFERROR(VLOOKUP($C36,'[1]2015-2016'!$A:$D,4,FALSE),"")</f>
        <v>27715</v>
      </c>
      <c r="H36">
        <f>IFERROR(VLOOKUP($C36,'[1]2016-2017'!$A:$D,4,FALSE),"")</f>
        <v>20742</v>
      </c>
      <c r="I36">
        <f>IFERROR(VLOOKUP($C36,'[1]2017-2018'!$A:$D,4,FALSE),"")</f>
        <v>23813</v>
      </c>
      <c r="J36">
        <f>IFERROR(VLOOKUP($C36,'[1]2018-2019'!$A:$D,4,FALSE),"")</f>
        <v>21752</v>
      </c>
      <c r="K36">
        <f>IFERROR(VLOOKUP($C36,'[1]2019-2020'!$A:$D,4,FALSE),"")</f>
        <v>24443</v>
      </c>
      <c r="L36">
        <f>IFERROR(VLOOKUP($C36,'[1]2020-2021'!$A:$D,4,FALSE),"")</f>
        <v>0</v>
      </c>
      <c r="M36">
        <f>IFERROR(VLOOKUP($C36,'[1]2021-2022'!$A:$D,4,FALSE),"")</f>
        <v>16007</v>
      </c>
      <c r="N36">
        <f>IFERROR(VLOOKUP($C36,'[1]2022-2023'!$A:$D,4,FALSE),"")</f>
        <v>28469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f>IFERROR(VLOOKUP($C37,'[1]2013-2014'!$A:$D,4,FALSE),"")</f>
        <v>18956</v>
      </c>
      <c r="F37">
        <f>IFERROR(VLOOKUP($C37,'[1]2014-2015'!$A:$D,4,FALSE),"")</f>
        <v>15648</v>
      </c>
      <c r="G37">
        <f>IFERROR(VLOOKUP($C37,'[1]2015-2016'!$A:$D,4,FALSE),"")</f>
        <v>14001</v>
      </c>
      <c r="H37">
        <f>IFERROR(VLOOKUP($C37,'[1]2016-2017'!$A:$D,4,FALSE),"")</f>
        <v>14129</v>
      </c>
      <c r="I37">
        <f>IFERROR(VLOOKUP($C37,'[1]2017-2018'!$A:$D,4,FALSE),"")</f>
        <v>19004</v>
      </c>
      <c r="J37">
        <f>IFERROR(VLOOKUP($C37,'[1]2018-2019'!$A:$D,4,FALSE),"")</f>
        <v>13692</v>
      </c>
      <c r="K37">
        <f>IFERROR(VLOOKUP($C37,'[1]2019-2020'!$A:$D,4,FALSE),"")</f>
        <v>12276</v>
      </c>
      <c r="L37">
        <f>IFERROR(VLOOKUP($C37,'[1]2020-2021'!$A:$D,4,FALSE),"")</f>
        <v>0</v>
      </c>
      <c r="M37">
        <f>IFERROR(VLOOKUP($C37,'[1]2021-2022'!$A:$D,4,FALSE),"")</f>
        <v>7802</v>
      </c>
      <c r="N37">
        <f>IFERROR(VLOOKUP($C37,'[1]2022-2023'!$A:$D,4,FALSE),"")</f>
        <v>12063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f>IFERROR(VLOOKUP($C38,'[1]2013-2014'!$A:$D,4,FALSE),"")</f>
        <v>147318</v>
      </c>
      <c r="F38">
        <f>IFERROR(VLOOKUP($C38,'[1]2014-2015'!$A:$D,4,FALSE),"")</f>
        <v>145775</v>
      </c>
      <c r="G38">
        <f>IFERROR(VLOOKUP($C38,'[1]2015-2016'!$A:$D,4,FALSE),"")</f>
        <v>183293</v>
      </c>
      <c r="H38">
        <f>IFERROR(VLOOKUP($C38,'[1]2016-2017'!$A:$D,4,FALSE),"")</f>
        <v>169298</v>
      </c>
      <c r="I38">
        <f>IFERROR(VLOOKUP($C38,'[1]2017-2018'!$A:$D,4,FALSE),"")</f>
        <v>125386</v>
      </c>
      <c r="J38">
        <f>IFERROR(VLOOKUP($C38,'[1]2018-2019'!$A:$D,4,FALSE),"")</f>
        <v>90036</v>
      </c>
      <c r="K38">
        <f>IFERROR(VLOOKUP($C38,'[1]2019-2020'!$A:$D,4,FALSE),"")</f>
        <v>83996</v>
      </c>
      <c r="L38">
        <f>IFERROR(VLOOKUP($C38,'[1]2020-2021'!$A:$D,4,FALSE),"")</f>
        <v>0</v>
      </c>
      <c r="M38">
        <f>IFERROR(VLOOKUP($C38,'[1]2021-2022'!$A:$D,4,FALSE),"")</f>
        <v>85430</v>
      </c>
      <c r="N38">
        <f>IFERROR(VLOOKUP($C38,'[1]2022-2023'!$A:$D,4,FALSE),"")</f>
        <v>36639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f>IFERROR(VLOOKUP($C39,'[1]2018-2019'!$A:$D,4,FALSE),"")</f>
        <v>46129</v>
      </c>
      <c r="K39">
        <f>IFERROR(VLOOKUP($C39,'[1]2019-2020'!$A:$D,4,FALSE),"")</f>
        <v>63615</v>
      </c>
      <c r="L39">
        <f>IFERROR(VLOOKUP($C39,'[1]2020-2021'!$A:$D,4,FALSE),"")</f>
        <v>0</v>
      </c>
      <c r="M39">
        <f>IFERROR(VLOOKUP($C39,'[1]2021-2022'!$A:$D,4,FALSE),"")</f>
        <v>59364</v>
      </c>
      <c r="N39">
        <f>IFERROR(VLOOKUP($C39,'[1]2022-2023'!$A:$D,4,FALSE),"")</f>
        <v>56536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f>IFERROR(VLOOKUP($C40,'[1]2013-2014'!$A:$D,4,FALSE),"")</f>
        <v>28515</v>
      </c>
      <c r="F40">
        <f>IFERROR(VLOOKUP($C40,'[1]2014-2015'!$A:$D,4,FALSE),"")</f>
        <v>20447</v>
      </c>
      <c r="G40">
        <f>IFERROR(VLOOKUP($C40,'[1]2015-2016'!$A:$D,4,FALSE),"")</f>
        <v>25760</v>
      </c>
      <c r="H40">
        <f>IFERROR(VLOOKUP($C40,'[1]2016-2017'!$A:$D,4,FALSE),"")</f>
        <v>30605</v>
      </c>
      <c r="I40">
        <f>IFERROR(VLOOKUP($C40,'[1]2017-2018'!$A:$D,4,FALSE),"")</f>
        <v>26251</v>
      </c>
      <c r="J40">
        <f>IFERROR(VLOOKUP($C40,'[1]2018-2019'!$A:$D,4,FALSE),"")</f>
        <v>35132</v>
      </c>
      <c r="K40">
        <f>IFERROR(VLOOKUP($C40,'[1]2019-2020'!$A:$D,4,FALSE),"")</f>
        <v>21230</v>
      </c>
      <c r="L40">
        <f>IFERROR(VLOOKUP($C40,'[1]2020-2021'!$A:$D,4,FALSE),"")</f>
        <v>100</v>
      </c>
      <c r="M40">
        <f>IFERROR(VLOOKUP($C40,'[1]2021-2022'!$A:$D,4,FALSE),"")</f>
        <v>14358</v>
      </c>
      <c r="N40">
        <f>IFERROR(VLOOKUP($C40,'[1]2022-2023'!$A:$D,4,FALSE),"")</f>
        <v>18239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f>IFERROR(VLOOKUP($C41,'[1]2013-2014'!$A:$D,4,FALSE),"")</f>
        <v>21998</v>
      </c>
      <c r="F41">
        <f>IFERROR(VLOOKUP($C41,'[1]2014-2015'!$A:$D,4,FALSE),"")</f>
        <v>25822</v>
      </c>
      <c r="G41">
        <f>IFERROR(VLOOKUP($C41,'[1]2015-2016'!$A:$D,4,FALSE),"")</f>
        <v>18367</v>
      </c>
      <c r="H41">
        <f>IFERROR(VLOOKUP($C41,'[1]2016-2017'!$A:$D,4,FALSE),"")</f>
        <v>18413</v>
      </c>
      <c r="I41">
        <f>IFERROR(VLOOKUP($C41,'[1]2017-2018'!$A:$D,4,FALSE),"")</f>
        <v>17931</v>
      </c>
      <c r="J41">
        <f>IFERROR(VLOOKUP($C41,'[1]2018-2019'!$A:$D,4,FALSE),"")</f>
        <v>15459</v>
      </c>
      <c r="K41">
        <f>IFERROR(VLOOKUP($C41,'[1]2019-2020'!$A:$D,4,FALSE),"")</f>
        <v>16981</v>
      </c>
      <c r="L41">
        <f>IFERROR(VLOOKUP($C41,'[1]2020-2021'!$A:$D,4,FALSE),"")</f>
        <v>0</v>
      </c>
      <c r="M41">
        <f>IFERROR(VLOOKUP($C41,'[1]2021-2022'!$A:$D,4,FALSE),"")</f>
        <v>16234</v>
      </c>
      <c r="N41">
        <f>IFERROR(VLOOKUP($C41,'[1]2022-2023'!$A:$D,4,FALSE),"")</f>
        <v>12130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f>IFERROR(VLOOKUP($C42,'[1]2013-2014'!$A:$D,4,FALSE),"")</f>
        <v>14324</v>
      </c>
      <c r="F42">
        <f>IFERROR(VLOOKUP($C42,'[1]2014-2015'!$A:$D,4,FALSE),"")</f>
        <v>13057</v>
      </c>
      <c r="G42">
        <f>IFERROR(VLOOKUP($C42,'[1]2015-2016'!$A:$D,4,FALSE),"")</f>
        <v>11515</v>
      </c>
      <c r="H42">
        <f>IFERROR(VLOOKUP($C42,'[1]2016-2017'!$A:$D,4,FALSE),"")</f>
        <v>11956</v>
      </c>
      <c r="I42">
        <f>IFERROR(VLOOKUP($C42,'[1]2017-2018'!$A:$D,4,FALSE),"")</f>
        <v>19833</v>
      </c>
      <c r="J42">
        <f>IFERROR(VLOOKUP($C42,'[1]2018-2019'!$A:$D,4,FALSE),"")</f>
        <v>11816</v>
      </c>
      <c r="K42">
        <f>IFERROR(VLOOKUP($C42,'[1]2019-2020'!$A:$D,4,FALSE),"")</f>
        <v>15374</v>
      </c>
      <c r="L42">
        <f>IFERROR(VLOOKUP($C42,'[1]2020-2021'!$A:$D,4,FALSE),"")</f>
        <v>3035</v>
      </c>
      <c r="M42">
        <f>IFERROR(VLOOKUP($C42,'[1]2021-2022'!$A:$D,4,FALSE),"")</f>
        <v>15632</v>
      </c>
      <c r="N42">
        <f>IFERROR(VLOOKUP($C42,'[1]2022-2023'!$A:$D,4,FALSE),"")</f>
        <v>18671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f>IFERROR(VLOOKUP($C43,'[1]2013-2014'!$A:$D,4,FALSE),"")</f>
        <v>16207</v>
      </c>
      <c r="F43">
        <f>IFERROR(VLOOKUP($C43,'[1]2014-2015'!$A:$D,4,FALSE),"")</f>
        <v>11010</v>
      </c>
      <c r="G43">
        <f>IFERROR(VLOOKUP($C43,'[1]2015-2016'!$A:$D,4,FALSE),"")</f>
        <v>17845</v>
      </c>
      <c r="H43">
        <f>IFERROR(VLOOKUP($C43,'[1]2016-2017'!$A:$D,4,FALSE),"")</f>
        <v>17098</v>
      </c>
      <c r="I43">
        <f>IFERROR(VLOOKUP($C43,'[1]2017-2018'!$A:$D,4,FALSE),"")</f>
        <v>15730</v>
      </c>
      <c r="J43">
        <f>IFERROR(VLOOKUP($C43,'[1]2018-2019'!$A:$D,4,FALSE),"")</f>
        <v>12057</v>
      </c>
      <c r="K43">
        <f>IFERROR(VLOOKUP($C43,'[1]2019-2020'!$A:$D,4,FALSE),"")</f>
        <v>15555</v>
      </c>
      <c r="L43">
        <f>IFERROR(VLOOKUP($C43,'[1]2020-2021'!$A:$D,4,FALSE),"")</f>
        <v>0</v>
      </c>
      <c r="M43">
        <f>IFERROR(VLOOKUP($C43,'[1]2021-2022'!$A:$D,4,FALSE),"")</f>
        <v>11332</v>
      </c>
      <c r="N43">
        <f>IFERROR(VLOOKUP($C43,'[1]2022-2023'!$A:$D,4,FALSE),"")</f>
        <v>11060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f>IFERROR(VLOOKUP($C44,'[1]2013-2014'!$A:$D,4,FALSE),"")</f>
        <v>27101</v>
      </c>
      <c r="F44">
        <f>IFERROR(VLOOKUP($C44,'[1]2014-2015'!$A:$D,4,FALSE),"")</f>
        <v>46051</v>
      </c>
      <c r="G44">
        <f>IFERROR(VLOOKUP($C44,'[1]2015-2016'!$A:$D,4,FALSE),"")</f>
        <v>42496</v>
      </c>
      <c r="H44">
        <f>IFERROR(VLOOKUP($C44,'[1]2016-2017'!$A:$D,4,FALSE),"")</f>
        <v>43336</v>
      </c>
      <c r="I44">
        <f>IFERROR(VLOOKUP($C44,'[1]2017-2018'!$A:$D,4,FALSE),"")</f>
        <v>34108</v>
      </c>
      <c r="J44">
        <f>IFERROR(VLOOKUP($C44,'[1]2018-2019'!$A:$D,4,FALSE),"")</f>
        <v>36101</v>
      </c>
      <c r="K44">
        <f>IFERROR(VLOOKUP($C44,'[1]2019-2020'!$A:$D,4,FALSE),"")</f>
        <v>30066</v>
      </c>
      <c r="L44">
        <f>IFERROR(VLOOKUP($C44,'[1]2020-2021'!$A:$D,4,FALSE),"")</f>
        <v>0</v>
      </c>
      <c r="M44">
        <f>IFERROR(VLOOKUP($C44,'[1]2021-2022'!$A:$D,4,FALSE),"")</f>
        <v>15371</v>
      </c>
      <c r="N44">
        <f>IFERROR(VLOOKUP($C44,'[1]2022-2023'!$A:$D,4,FALSE),"")</f>
        <v>24164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f>IFERROR(VLOOKUP($C45,'[1]2013-2014'!$A:$D,4,FALSE),"")</f>
        <v>10067</v>
      </c>
      <c r="F45">
        <f>IFERROR(VLOOKUP($C45,'[1]2014-2015'!$A:$D,4,FALSE),"")</f>
        <v>12922</v>
      </c>
      <c r="G45">
        <f>IFERROR(VLOOKUP($C45,'[1]2015-2016'!$A:$D,4,FALSE),"")</f>
        <v>10349</v>
      </c>
      <c r="H45">
        <f>IFERROR(VLOOKUP($C45,'[1]2016-2017'!$A:$D,4,FALSE),"")</f>
        <v>9007</v>
      </c>
      <c r="I45">
        <f>IFERROR(VLOOKUP($C45,'[1]2017-2018'!$A:$D,4,FALSE),"")</f>
        <v>9604</v>
      </c>
      <c r="J45">
        <f>IFERROR(VLOOKUP($C45,'[1]2018-2019'!$A:$D,4,FALSE),"")</f>
        <v>10989</v>
      </c>
      <c r="K45">
        <f>IFERROR(VLOOKUP($C45,'[1]2019-2020'!$A:$D,4,FALSE),"")</f>
        <v>9508</v>
      </c>
      <c r="L45">
        <f>IFERROR(VLOOKUP($C45,'[1]2020-2021'!$A:$D,4,FALSE),"")</f>
        <v>300</v>
      </c>
      <c r="M45">
        <f>IFERROR(VLOOKUP($C45,'[1]2021-2022'!$A:$D,4,FALSE),"")</f>
        <v>6647</v>
      </c>
      <c r="N45">
        <f>IFERROR(VLOOKUP($C45,'[1]2022-2023'!$A:$D,4,FALSE),"")</f>
        <v>8972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f>IFERROR(VLOOKUP($C46,'[1]2013-2014'!$A:$D,4,FALSE),"")</f>
        <v>76666</v>
      </c>
      <c r="F46">
        <f>IFERROR(VLOOKUP($C46,'[1]2014-2015'!$A:$D,4,FALSE),"")</f>
        <v>56888</v>
      </c>
      <c r="G46">
        <f>IFERROR(VLOOKUP($C46,'[1]2015-2016'!$A:$D,4,FALSE),"")</f>
        <v>70018</v>
      </c>
      <c r="H46">
        <f>IFERROR(VLOOKUP($C46,'[1]2016-2017'!$A:$D,4,FALSE),"")</f>
        <v>68265</v>
      </c>
      <c r="I46">
        <f>IFERROR(VLOOKUP($C46,'[1]2017-2018'!$A:$D,4,FALSE),"")</f>
        <v>60126</v>
      </c>
      <c r="J46">
        <f>IFERROR(VLOOKUP($C46,'[1]2018-2019'!$A:$D,4,FALSE),"")</f>
        <v>51748</v>
      </c>
      <c r="K46">
        <f>IFERROR(VLOOKUP($C46,'[1]2019-2020'!$A:$D,4,FALSE),"")</f>
        <v>53276</v>
      </c>
      <c r="L46">
        <f>IFERROR(VLOOKUP($C46,'[1]2020-2021'!$A:$D,4,FALSE),"")</f>
        <v>442</v>
      </c>
      <c r="M46">
        <f>IFERROR(VLOOKUP($C46,'[1]2021-2022'!$A:$D,4,FALSE),"")</f>
        <v>37979</v>
      </c>
      <c r="N46">
        <f>IFERROR(VLOOKUP($C46,'[1]2022-2023'!$A:$D,4,FALSE),"")</f>
        <v>44780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f>IFERROR(VLOOKUP($C47,'[1]2013-2014'!$A:$D,4,FALSE),"")</f>
        <v>54527</v>
      </c>
      <c r="F47">
        <f>IFERROR(VLOOKUP($C47,'[1]2014-2015'!$A:$D,4,FALSE),"")</f>
        <v>54969</v>
      </c>
      <c r="G47">
        <f>IFERROR(VLOOKUP($C47,'[1]2015-2016'!$A:$D,4,FALSE),"")</f>
        <v>49415</v>
      </c>
      <c r="H47">
        <f>IFERROR(VLOOKUP($C47,'[1]2016-2017'!$A:$D,4,FALSE),"")</f>
        <v>53851</v>
      </c>
      <c r="I47">
        <f>IFERROR(VLOOKUP($C47,'[1]2017-2018'!$A:$D,4,FALSE),"")</f>
        <v>50811</v>
      </c>
      <c r="J47">
        <f>IFERROR(VLOOKUP($C47,'[1]2018-2019'!$A:$D,4,FALSE),"")</f>
        <v>43638</v>
      </c>
      <c r="K47">
        <f>IFERROR(VLOOKUP($C47,'[1]2019-2020'!$A:$D,4,FALSE),"")</f>
        <v>38313</v>
      </c>
      <c r="L47">
        <f>IFERROR(VLOOKUP($C47,'[1]2020-2021'!$A:$D,4,FALSE),"")</f>
        <v>2846</v>
      </c>
      <c r="M47">
        <f>IFERROR(VLOOKUP($C47,'[1]2021-2022'!$A:$D,4,FALSE),"")</f>
        <v>50518</v>
      </c>
      <c r="N47">
        <f>IFERROR(VLOOKUP($C47,'[1]2022-2023'!$A:$D,4,FALSE),"")</f>
        <v>49608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f>IFERROR(VLOOKUP($C48,'[1]2013-2014'!$A:$D,4,FALSE),"")</f>
        <v>13119</v>
      </c>
      <c r="F48">
        <f>IFERROR(VLOOKUP($C48,'[1]2014-2015'!$A:$D,4,FALSE),"")</f>
        <v>4927</v>
      </c>
      <c r="G48">
        <f>IFERROR(VLOOKUP($C48,'[1]2015-2016'!$A:$D,4,FALSE),"")</f>
        <v>14193</v>
      </c>
      <c r="H48">
        <f>IFERROR(VLOOKUP($C48,'[1]2016-2017'!$A:$D,4,FALSE),"")</f>
        <v>10466</v>
      </c>
      <c r="I48">
        <f>IFERROR(VLOOKUP($C48,'[1]2017-2018'!$A:$D,4,FALSE),"")</f>
        <v>4949</v>
      </c>
      <c r="J48">
        <f>IFERROR(VLOOKUP($C48,'[1]2018-2019'!$A:$D,4,FALSE),"")</f>
        <v>4851</v>
      </c>
      <c r="K48">
        <f>IFERROR(VLOOKUP($C48,'[1]2019-2020'!$A:$D,4,FALSE),"")</f>
        <v>4869</v>
      </c>
      <c r="L48">
        <v>0</v>
      </c>
      <c r="M48">
        <f>IFERROR(VLOOKUP($C48,'[1]2021-2022'!$A:$D,4,FALSE),"")</f>
        <v>2859</v>
      </c>
      <c r="N48">
        <f>IFERROR(VLOOKUP($C48,'[1]2022-2023'!$A:$D,4,FALSE),"")</f>
        <v>1279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f>IFERROR(VLOOKUP($C49,'[1]2013-2014'!$A:$D,4,FALSE),"")</f>
        <v>162771</v>
      </c>
      <c r="F49">
        <f>IFERROR(VLOOKUP($C49,'[1]2014-2015'!$A:$D,4,FALSE),"")</f>
        <v>168011</v>
      </c>
      <c r="G49">
        <f>IFERROR(VLOOKUP($C49,'[1]2015-2016'!$A:$D,4,FALSE),"")</f>
        <v>160055</v>
      </c>
      <c r="H49">
        <f>IFERROR(VLOOKUP($C49,'[1]2016-2017'!$A:$D,4,FALSE),"")</f>
        <v>177575</v>
      </c>
      <c r="I49">
        <f>IFERROR(VLOOKUP($C49,'[1]2017-2018'!$A:$D,4,FALSE),"")</f>
        <v>129303</v>
      </c>
      <c r="J49">
        <f>IFERROR(VLOOKUP($C49,'[1]2018-2019'!$A:$D,4,FALSE),"")</f>
        <v>202610</v>
      </c>
      <c r="K49">
        <f>IFERROR(VLOOKUP($C49,'[1]2019-2020'!$A:$D,4,FALSE),"")</f>
        <v>166493</v>
      </c>
      <c r="L49">
        <f>IFERROR(VLOOKUP($C49,'[1]2020-2021'!$A:$D,4,FALSE),"")</f>
        <v>6070</v>
      </c>
      <c r="M49">
        <f>IFERROR(VLOOKUP($C49,'[1]2021-2022'!$A:$D,4,FALSE),"")</f>
        <v>166920</v>
      </c>
      <c r="N49">
        <f>IFERROR(VLOOKUP($C49,'[1]2022-2023'!$A:$D,4,FALSE),"")</f>
        <v>178332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f>IFERROR(VLOOKUP($C50,'[1]2013-2014'!$A:$D,4,FALSE),"")</f>
        <v>142231</v>
      </c>
      <c r="F50">
        <f>IFERROR(VLOOKUP($C50,'[1]2014-2015'!$A:$D,4,FALSE),"")</f>
        <v>129800</v>
      </c>
      <c r="G50">
        <f>IFERROR(VLOOKUP($C50,'[1]2015-2016'!$A:$D,4,FALSE),"")</f>
        <v>147958</v>
      </c>
      <c r="H50">
        <f>IFERROR(VLOOKUP($C50,'[1]2016-2017'!$A:$D,4,FALSE),"")</f>
        <v>123442</v>
      </c>
      <c r="I50">
        <f>IFERROR(VLOOKUP($C50,'[1]2017-2018'!$A:$D,4,FALSE),"")</f>
        <v>123895</v>
      </c>
      <c r="J50">
        <f>IFERROR(VLOOKUP($C50,'[1]2018-2019'!$A:$D,4,FALSE),"")</f>
        <v>133290</v>
      </c>
      <c r="K50">
        <f>IFERROR(VLOOKUP($C50,'[1]2019-2020'!$A:$D,4,FALSE),"")</f>
        <v>116139</v>
      </c>
      <c r="L50">
        <f>IFERROR(VLOOKUP($C50,'[1]2020-2021'!$A:$D,4,FALSE),"")</f>
        <v>21613</v>
      </c>
      <c r="M50">
        <f>IFERROR(VLOOKUP($C50,'[1]2021-2022'!$A:$D,4,FALSE),"")</f>
        <v>106578</v>
      </c>
      <c r="N50">
        <f>IFERROR(VLOOKUP($C50,'[1]2022-2023'!$A:$D,4,FALSE),"")</f>
        <v>110795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f>IFERROR(VLOOKUP($C51,'[1]2013-2014'!$A:$D,4,FALSE),"")</f>
        <v>33545</v>
      </c>
      <c r="F51">
        <f>IFERROR(VLOOKUP($C51,'[1]2014-2015'!$A:$D,4,FALSE),"")</f>
        <v>29943</v>
      </c>
      <c r="G51">
        <f>IFERROR(VLOOKUP($C51,'[1]2015-2016'!$A:$D,4,FALSE),"")</f>
        <v>28669</v>
      </c>
      <c r="H51">
        <f>IFERROR(VLOOKUP($C51,'[1]2016-2017'!$A:$D,4,FALSE),"")</f>
        <v>18195</v>
      </c>
      <c r="I51">
        <f>IFERROR(VLOOKUP($C51,'[1]2017-2018'!$A:$D,4,FALSE),"")</f>
        <v>18946</v>
      </c>
      <c r="J51">
        <f>IFERROR(VLOOKUP($C51,'[1]2018-2019'!$A:$D,4,FALSE),"")</f>
        <v>18956</v>
      </c>
      <c r="K51">
        <f>IFERROR(VLOOKUP($C51,'[1]2019-2020'!$A:$D,4,FALSE),"")</f>
        <v>21014</v>
      </c>
      <c r="L51">
        <f>IFERROR(VLOOKUP($C51,'[1]2020-2021'!$A:$D,4,FALSE),"")</f>
        <v>0</v>
      </c>
      <c r="M51">
        <f>IFERROR(VLOOKUP($C51,'[1]2021-2022'!$A:$D,4,FALSE),"")</f>
        <v>37477</v>
      </c>
      <c r="N51">
        <f>IFERROR(VLOOKUP($C51,'[1]2022-2023'!$A:$D,4,FALSE),"")</f>
        <v>30241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f>IFERROR(VLOOKUP($C52,'[1]2013-2014'!$A:$D,4,FALSE),"")</f>
        <v>47023</v>
      </c>
      <c r="F52">
        <f>IFERROR(VLOOKUP($C52,'[1]2014-2015'!$A:$D,4,FALSE),"")</f>
        <v>40054</v>
      </c>
      <c r="G52">
        <f>IFERROR(VLOOKUP($C52,'[1]2015-2016'!$A:$D,4,FALSE),"")</f>
        <v>31769</v>
      </c>
      <c r="H52">
        <f>IFERROR(VLOOKUP($C52,'[1]2016-2017'!$A:$D,4,FALSE),"")</f>
        <v>31968</v>
      </c>
      <c r="I52">
        <f>IFERROR(VLOOKUP($C52,'[1]2017-2018'!$A:$D,4,FALSE),"")</f>
        <v>21650</v>
      </c>
      <c r="J52">
        <f>IFERROR(VLOOKUP($C52,'[1]2018-2019'!$A:$D,4,FALSE),"")</f>
        <v>16786</v>
      </c>
      <c r="K52">
        <f>IFERROR(VLOOKUP($C52,'[1]2019-2020'!$A:$D,4,FALSE),"")</f>
        <v>25276</v>
      </c>
      <c r="L52">
        <f>IFERROR(VLOOKUP($C52,'[1]2020-2021'!$A:$D,4,FALSE),"")</f>
        <v>1609</v>
      </c>
      <c r="M52">
        <f>IFERROR(VLOOKUP($C52,'[1]2021-2022'!$A:$D,4,FALSE),"")</f>
        <v>21650</v>
      </c>
      <c r="N52">
        <f>IFERROR(VLOOKUP($C52,'[1]2022-2023'!$A:$D,4,FALSE),"")</f>
        <v>23841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f>IFERROR(VLOOKUP($C53,'[1]2013-2014'!$A:$D,4,FALSE),"")</f>
        <v>49513</v>
      </c>
      <c r="F53">
        <f>IFERROR(VLOOKUP($C53,'[1]2014-2015'!$A:$D,4,FALSE),"")</f>
        <v>38275</v>
      </c>
      <c r="G53">
        <f>IFERROR(VLOOKUP($C53,'[1]2015-2016'!$A:$D,4,FALSE),"")</f>
        <v>45630</v>
      </c>
      <c r="H53">
        <f>IFERROR(VLOOKUP($C53,'[1]2016-2017'!$A:$D,4,FALSE),"")</f>
        <v>57921</v>
      </c>
      <c r="I53">
        <f>IFERROR(VLOOKUP($C53,'[1]2017-2018'!$A:$D,4,FALSE),"")</f>
        <v>53976</v>
      </c>
      <c r="J53">
        <f>IFERROR(VLOOKUP($C53,'[1]2018-2019'!$A:$D,4,FALSE),"")</f>
        <v>63035</v>
      </c>
      <c r="K53">
        <f>IFERROR(VLOOKUP($C53,'[1]2019-2020'!$A:$D,4,FALSE),"")</f>
        <v>63475</v>
      </c>
      <c r="L53">
        <f>IFERROR(VLOOKUP($C53,'[1]2020-2021'!$A:$D,4,FALSE),"")</f>
        <v>19756</v>
      </c>
      <c r="M53">
        <f>IFERROR(VLOOKUP($C53,'[1]2021-2022'!$A:$D,4,FALSE),"")</f>
        <v>60513</v>
      </c>
      <c r="N53">
        <f>IFERROR(VLOOKUP($C53,'[1]2022-2023'!$A:$D,4,FALSE),"")</f>
        <v>83356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f>IFERROR(VLOOKUP($C54,'[1]2013-2014'!$A:$D,4,FALSE),"")</f>
        <v>10449</v>
      </c>
      <c r="F54">
        <f>IFERROR(VLOOKUP($C54,'[1]2014-2015'!$A:$D,4,FALSE),"")</f>
        <v>13150</v>
      </c>
      <c r="G54">
        <f>IFERROR(VLOOKUP($C54,'[1]2015-2016'!$A:$D,4,FALSE),"")</f>
        <v>9493</v>
      </c>
      <c r="H54">
        <f>IFERROR(VLOOKUP($C54,'[1]2016-2017'!$A:$D,4,FALSE),"")</f>
        <v>9447</v>
      </c>
      <c r="I54">
        <f>IFERROR(VLOOKUP($C54,'[1]2017-2018'!$A:$D,4,FALSE),"")</f>
        <v>10448</v>
      </c>
      <c r="J54">
        <f>IFERROR(VLOOKUP($C54,'[1]2018-2019'!$A:$D,4,FALSE),"")</f>
        <v>9958</v>
      </c>
      <c r="K54">
        <f>IFERROR(VLOOKUP($C54,'[1]2019-2020'!$A:$D,4,FALSE),"")</f>
        <v>17243</v>
      </c>
      <c r="L54">
        <f>IFERROR(VLOOKUP($C54,'[1]2020-2021'!$A:$D,4,FALSE),"")</f>
        <v>0</v>
      </c>
      <c r="M54">
        <f>IFERROR(VLOOKUP($C54,'[1]2021-2022'!$A:$D,4,FALSE),"")</f>
        <v>12051</v>
      </c>
      <c r="N54">
        <f>IFERROR(VLOOKUP($C54,'[1]2022-2023'!$A:$D,4,FALSE),"")</f>
        <v>15288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f>IFERROR(VLOOKUP($C55,'[1]2013-2014'!$A:$D,4,FALSE),"")</f>
        <v>173429</v>
      </c>
      <c r="F55">
        <f>IFERROR(VLOOKUP($C55,'[1]2014-2015'!$A:$D,4,FALSE),"")</f>
        <v>155298</v>
      </c>
      <c r="G55">
        <f>IFERROR(VLOOKUP($C55,'[1]2015-2016'!$A:$D,4,FALSE),"")</f>
        <v>145180</v>
      </c>
      <c r="H55">
        <f>IFERROR(VLOOKUP($C55,'[1]2016-2017'!$A:$D,4,FALSE),"")</f>
        <v>132119</v>
      </c>
      <c r="I55">
        <f>IFERROR(VLOOKUP($C55,'[1]2017-2018'!$A:$D,4,FALSE),"")</f>
        <v>104088</v>
      </c>
      <c r="J55">
        <f>IFERROR(VLOOKUP($C55,'[1]2018-2019'!$A:$D,4,FALSE),"")</f>
        <v>116761</v>
      </c>
      <c r="K55">
        <f>IFERROR(VLOOKUP($C55,'[1]2019-2020'!$A:$D,4,FALSE),"")</f>
        <v>127669</v>
      </c>
      <c r="L55">
        <f>IFERROR(VLOOKUP($C55,'[1]2020-2021'!$A:$D,4,FALSE),"")</f>
        <v>398</v>
      </c>
      <c r="M55">
        <f>IFERROR(VLOOKUP($C55,'[1]2021-2022'!$A:$D,4,FALSE),"")</f>
        <v>125181</v>
      </c>
      <c r="N55">
        <f>IFERROR(VLOOKUP($C55,'[1]2022-2023'!$A:$D,4,FALSE),"")</f>
        <v>114362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f>IFERROR(VLOOKUP($C56,'[1]2013-2014'!$A:$D,4,FALSE),"")</f>
        <v>83717</v>
      </c>
      <c r="F56">
        <f>IFERROR(VLOOKUP($C56,'[1]2014-2015'!$A:$D,4,FALSE),"")</f>
        <v>82514</v>
      </c>
      <c r="G56">
        <f>IFERROR(VLOOKUP($C56,'[1]2015-2016'!$A:$D,4,FALSE),"")</f>
        <v>65505</v>
      </c>
      <c r="H56">
        <f>IFERROR(VLOOKUP($C56,'[1]2016-2017'!$A:$D,4,FALSE),"")</f>
        <v>82449</v>
      </c>
      <c r="I56">
        <f>IFERROR(VLOOKUP($C56,'[1]2017-2018'!$A:$D,4,FALSE),"")</f>
        <v>53455</v>
      </c>
      <c r="J56">
        <f>IFERROR(VLOOKUP($C56,'[1]2018-2019'!$A:$D,4,FALSE),"")</f>
        <v>48604</v>
      </c>
      <c r="K56">
        <f>IFERROR(VLOOKUP($C56,'[1]2019-2020'!$A:$D,4,FALSE),"")</f>
        <v>56518</v>
      </c>
      <c r="L56">
        <f>IFERROR(VLOOKUP($C56,'[1]2020-2021'!$A:$D,4,FALSE),"")</f>
        <v>0</v>
      </c>
      <c r="M56">
        <f>IFERROR(VLOOKUP($C56,'[1]2021-2022'!$A:$D,4,FALSE),"")</f>
        <v>92607</v>
      </c>
      <c r="N56">
        <f>IFERROR(VLOOKUP($C56,'[1]2022-2023'!$A:$D,4,FALSE),"")</f>
        <v>76150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f>IFERROR(VLOOKUP($C57,'[1]2013-2014'!$A:$D,4,FALSE),"")</f>
        <v>27620</v>
      </c>
      <c r="F57">
        <f>IFERROR(VLOOKUP($C57,'[1]2014-2015'!$A:$D,4,FALSE),"")</f>
        <v>24567</v>
      </c>
      <c r="G57">
        <f>IFERROR(VLOOKUP($C57,'[1]2015-2016'!$A:$D,4,FALSE),"")</f>
        <v>33915</v>
      </c>
      <c r="H57">
        <f>IFERROR(VLOOKUP($C57,'[1]2016-2017'!$A:$D,4,FALSE),"")</f>
        <v>21128</v>
      </c>
      <c r="I57">
        <f>IFERROR(VLOOKUP($C57,'[1]2017-2018'!$A:$D,4,FALSE),"")</f>
        <v>19048</v>
      </c>
      <c r="J57">
        <f>IFERROR(VLOOKUP($C57,'[1]2018-2019'!$A:$D,4,FALSE),"")</f>
        <v>18311</v>
      </c>
      <c r="K57">
        <f>IFERROR(VLOOKUP($C57,'[1]2019-2020'!$A:$D,4,FALSE),"")</f>
        <v>17843</v>
      </c>
      <c r="L57" t="str">
        <f>IFERROR(VLOOKUP($C57,'[1]2020-2021'!$A:$D,4,FALSE),"")</f>
        <v/>
      </c>
      <c r="M57">
        <f>IFERROR(VLOOKUP($C57,'[1]2021-2022'!$A:$D,4,FALSE),"")</f>
        <v>7162</v>
      </c>
      <c r="N57">
        <f>IFERROR(VLOOKUP($C57,'[1]2022-2023'!$A:$D,4,FALSE),"")</f>
        <v>15058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f>IFERROR(VLOOKUP($C58,'[1]2013-2014'!$A:$D,4,FALSE),"")</f>
        <v>12770</v>
      </c>
      <c r="F58">
        <f>IFERROR(VLOOKUP($C58,'[1]2014-2015'!$A:$D,4,FALSE),"")</f>
        <v>8872</v>
      </c>
      <c r="G58">
        <f>IFERROR(VLOOKUP($C58,'[1]2015-2016'!$A:$D,4,FALSE),"")</f>
        <v>11401</v>
      </c>
      <c r="H58">
        <f>IFERROR(VLOOKUP($C58,'[1]2016-2017'!$A:$D,4,FALSE),"")</f>
        <v>8552</v>
      </c>
      <c r="I58">
        <f>IFERROR(VLOOKUP($C58,'[1]2017-2018'!$A:$D,4,FALSE),"")</f>
        <v>11466</v>
      </c>
      <c r="J58">
        <f>IFERROR(VLOOKUP($C58,'[1]2018-2019'!$A:$D,4,FALSE),"")</f>
        <v>6713</v>
      </c>
      <c r="K58">
        <f>IFERROR(VLOOKUP($C58,'[1]2019-2020'!$A:$D,4,FALSE),"")</f>
        <v>9549</v>
      </c>
      <c r="L58">
        <f>IFERROR(VLOOKUP($C58,'[1]2020-2021'!$A:$D,4,FALSE),"")</f>
        <v>0</v>
      </c>
      <c r="M58">
        <f>IFERROR(VLOOKUP($C58,'[1]2021-2022'!$A:$D,4,FALSE),"")</f>
        <v>7561</v>
      </c>
      <c r="N58">
        <f>IFERROR(VLOOKUP($C58,'[1]2022-2023'!$A:$D,4,FALSE),"")</f>
        <v>11445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f>IFERROR(VLOOKUP($C59,'[1]2013-2014'!$A:$D,4,FALSE),"")</f>
        <v>18497</v>
      </c>
      <c r="F59">
        <f>IFERROR(VLOOKUP($C59,'[1]2014-2015'!$A:$D,4,FALSE),"")</f>
        <v>27522</v>
      </c>
      <c r="G59">
        <f>IFERROR(VLOOKUP($C59,'[1]2015-2016'!$A:$D,4,FALSE),"")</f>
        <v>21516</v>
      </c>
      <c r="H59">
        <f>IFERROR(VLOOKUP($C59,'[1]2016-2017'!$A:$D,4,FALSE),"")</f>
        <v>13992</v>
      </c>
      <c r="I59">
        <f>IFERROR(VLOOKUP($C59,'[1]2017-2018'!$A:$D,4,FALSE),"")</f>
        <v>16166</v>
      </c>
      <c r="J59">
        <f>IFERROR(VLOOKUP($C59,'[1]2018-2019'!$A:$D,4,FALSE),"")</f>
        <v>21618</v>
      </c>
      <c r="K59">
        <f>IFERROR(VLOOKUP($C59,'[1]2019-2020'!$A:$D,4,FALSE),"")</f>
        <v>11456</v>
      </c>
      <c r="L59" t="str">
        <f>IFERROR(VLOOKUP($C59,'[1]2020-2021'!$A:$D,4,FALSE),"")</f>
        <v/>
      </c>
      <c r="M59">
        <f>IFERROR(VLOOKUP($C59,'[1]2021-2022'!$A:$D,4,FALSE),"")</f>
        <v>6175</v>
      </c>
      <c r="N59">
        <f>IFERROR(VLOOKUP($C59,'[1]2022-2023'!$A:$D,4,FALSE),"")</f>
        <v>10682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f>IFERROR(VLOOKUP($C60,'[1]2013-2014'!$A:$D,4,FALSE),"")</f>
        <v>286329</v>
      </c>
      <c r="F60">
        <f>IFERROR(VLOOKUP($C60,'[1]2014-2015'!$A:$D,4,FALSE),"")</f>
        <v>289808</v>
      </c>
      <c r="G60">
        <f>IFERROR(VLOOKUP($C60,'[1]2015-2016'!$A:$D,4,FALSE),"")</f>
        <v>302887</v>
      </c>
      <c r="H60">
        <f>IFERROR(VLOOKUP($C60,'[1]2016-2017'!$A:$D,4,FALSE),"")</f>
        <v>296013</v>
      </c>
      <c r="I60">
        <f>IFERROR(VLOOKUP($C60,'[1]2017-2018'!$A:$D,4,FALSE),"")</f>
        <v>306000</v>
      </c>
      <c r="J60">
        <f>IFERROR(VLOOKUP($C60,'[1]2018-2019'!$A:$D,4,FALSE),"")</f>
        <v>303629</v>
      </c>
      <c r="K60">
        <f>IFERROR(VLOOKUP($C60,'[1]2019-2020'!$A:$D,4,FALSE),"")</f>
        <v>311651</v>
      </c>
      <c r="L60">
        <f>IFERROR(VLOOKUP($C60,'[1]2020-2021'!$A:$D,4,FALSE),"")</f>
        <v>18666</v>
      </c>
      <c r="M60">
        <f>IFERROR(VLOOKUP($C60,'[1]2021-2022'!$A:$D,4,FALSE),"")</f>
        <v>249158</v>
      </c>
      <c r="N60">
        <f>IFERROR(VLOOKUP($C60,'[1]2022-2023'!$A:$D,4,FALSE),"")</f>
        <v>257449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f>IFERROR(VLOOKUP($C61,'[1]2013-2014'!$A:$D,4,FALSE),"")</f>
        <v>16438</v>
      </c>
      <c r="F61">
        <f>IFERROR(VLOOKUP($C61,'[1]2014-2015'!$A:$D,4,FALSE),"")</f>
        <v>15614</v>
      </c>
      <c r="G61">
        <f>IFERROR(VLOOKUP($C61,'[1]2015-2016'!$A:$D,4,FALSE),"")</f>
        <v>24863</v>
      </c>
      <c r="H61">
        <f>IFERROR(VLOOKUP($C61,'[1]2016-2017'!$A:$D,4,FALSE),"")</f>
        <v>34906</v>
      </c>
      <c r="I61">
        <f>IFERROR(VLOOKUP($C61,'[1]2017-2018'!$A:$D,4,FALSE),"")</f>
        <v>33547</v>
      </c>
      <c r="J61">
        <f>IFERROR(VLOOKUP($C61,'[1]2018-2019'!$A:$D,4,FALSE),"")</f>
        <v>34589</v>
      </c>
      <c r="K61">
        <f>IFERROR(VLOOKUP($C61,'[1]2019-2020'!$A:$D,4,FALSE),"")</f>
        <v>36334</v>
      </c>
      <c r="L61">
        <f>IFERROR(VLOOKUP($C61,'[1]2020-2021'!$A:$D,4,FALSE),"")</f>
        <v>0</v>
      </c>
      <c r="M61">
        <f>IFERROR(VLOOKUP($C61,'[1]2021-2022'!$A:$D,4,FALSE),"")</f>
        <v>10926</v>
      </c>
      <c r="N61">
        <f>IFERROR(VLOOKUP($C61,'[1]2022-2023'!$A:$D,4,FALSE),"")</f>
        <v>17454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f>IFERROR(VLOOKUP($C62,'[1]2013-2014'!$A:$D,4,FALSE),"")</f>
        <v>12079</v>
      </c>
      <c r="F62">
        <f>IFERROR(VLOOKUP($C62,'[1]2014-2015'!$A:$D,4,FALSE),"")</f>
        <v>15946</v>
      </c>
      <c r="G62">
        <f>IFERROR(VLOOKUP($C62,'[1]2015-2016'!$A:$D,4,FALSE),"")</f>
        <v>13584</v>
      </c>
      <c r="H62">
        <f>IFERROR(VLOOKUP($C62,'[1]2016-2017'!$A:$D,4,FALSE),"")</f>
        <v>12789</v>
      </c>
      <c r="I62">
        <f>IFERROR(VLOOKUP($C62,'[1]2017-2018'!$A:$D,4,FALSE),"")</f>
        <v>9992</v>
      </c>
      <c r="J62">
        <f>IFERROR(VLOOKUP($C62,'[1]2018-2019'!$A:$D,4,FALSE),"")</f>
        <v>16576</v>
      </c>
      <c r="K62">
        <f>IFERROR(VLOOKUP($C62,'[1]2019-2020'!$A:$D,4,FALSE),"")</f>
        <v>12923</v>
      </c>
      <c r="L62">
        <f>IFERROR(VLOOKUP($C62,'[1]2020-2021'!$A:$D,4,FALSE),"")</f>
        <v>0</v>
      </c>
      <c r="M62">
        <f>IFERROR(VLOOKUP($C62,'[1]2021-2022'!$A:$D,4,FALSE),"")</f>
        <v>4416</v>
      </c>
      <c r="N62">
        <f>IFERROR(VLOOKUP($C62,'[1]2022-2023'!$A:$D,4,FALSE),"")</f>
        <v>5976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f>IFERROR(VLOOKUP($C63,'[1]2013-2014'!$A:$D,4,FALSE),"")</f>
        <v>12115</v>
      </c>
      <c r="F63">
        <f>IFERROR(VLOOKUP($C63,'[1]2014-2015'!$A:$D,4,FALSE),"")</f>
        <v>11422</v>
      </c>
      <c r="G63">
        <f>IFERROR(VLOOKUP($C63,'[1]2015-2016'!$A:$D,4,FALSE),"")</f>
        <v>11363</v>
      </c>
      <c r="H63">
        <f>IFERROR(VLOOKUP($C63,'[1]2016-2017'!$A:$D,4,FALSE),"")</f>
        <v>9491</v>
      </c>
      <c r="I63">
        <f>IFERROR(VLOOKUP($C63,'[1]2017-2018'!$A:$D,4,FALSE),"")</f>
        <v>10423</v>
      </c>
      <c r="J63">
        <f>IFERROR(VLOOKUP($C63,'[1]2018-2019'!$A:$D,4,FALSE),"")</f>
        <v>11581</v>
      </c>
      <c r="K63">
        <f>IFERROR(VLOOKUP($C63,'[1]2019-2020'!$A:$D,4,FALSE),"")</f>
        <v>10480</v>
      </c>
      <c r="L63" t="str">
        <f>IFERROR(VLOOKUP($C63,'[1]2020-2021'!$A:$D,4,FALSE),"")</f>
        <v/>
      </c>
      <c r="M63">
        <f>IFERROR(VLOOKUP($C63,'[1]2021-2022'!$A:$D,4,FALSE),"")</f>
        <v>4155</v>
      </c>
      <c r="N63">
        <f>IFERROR(VLOOKUP($C63,'[1]2022-2023'!$A:$D,4,FALSE),"")</f>
        <v>8313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f>IFERROR(VLOOKUP($C64,'[1]2013-2014'!$A:$D,4,FALSE),"")</f>
        <v>44545</v>
      </c>
      <c r="F64">
        <f>IFERROR(VLOOKUP($C64,'[1]2014-2015'!$A:$D,4,FALSE),"")</f>
        <v>74809</v>
      </c>
      <c r="G64">
        <f>IFERROR(VLOOKUP($C64,'[1]2015-2016'!$A:$D,4,FALSE),"")</f>
        <v>68763</v>
      </c>
      <c r="H64">
        <f>IFERROR(VLOOKUP($C64,'[1]2016-2017'!$A:$D,4,FALSE),"")</f>
        <v>54806</v>
      </c>
      <c r="I64">
        <f>IFERROR(VLOOKUP($C64,'[1]2017-2018'!$A:$D,4,FALSE),"")</f>
        <v>55600</v>
      </c>
      <c r="J64">
        <f>IFERROR(VLOOKUP($C64,'[1]2018-2019'!$A:$D,4,FALSE),"")</f>
        <v>60793</v>
      </c>
      <c r="K64">
        <f>IFERROR(VLOOKUP($C64,'[1]2019-2020'!$A:$D,4,FALSE),"")</f>
        <v>47887</v>
      </c>
      <c r="L64">
        <f>IFERROR(VLOOKUP($C64,'[1]2020-2021'!$A:$D,4,FALSE),"")</f>
        <v>225</v>
      </c>
      <c r="M64">
        <f>IFERROR(VLOOKUP($C64,'[1]2021-2022'!$A:$D,4,FALSE),"")</f>
        <v>44921</v>
      </c>
      <c r="N64">
        <f>IFERROR(VLOOKUP($C64,'[1]2022-2023'!$A:$D,4,FALSE),"")</f>
        <v>50342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f>IFERROR(VLOOKUP($C65,'[1]2013-2014'!$A:$D,4,FALSE),"")</f>
        <v>209369</v>
      </c>
      <c r="F65">
        <f>IFERROR(VLOOKUP($C65,'[1]2014-2015'!$A:$D,4,FALSE),"")</f>
        <v>216203</v>
      </c>
      <c r="G65">
        <f>IFERROR(VLOOKUP($C65,'[1]2015-2016'!$A:$D,4,FALSE),"")</f>
        <v>220012</v>
      </c>
      <c r="H65">
        <f>IFERROR(VLOOKUP($C65,'[1]2016-2017'!$A:$D,4,FALSE),"")</f>
        <v>208291</v>
      </c>
      <c r="I65">
        <f>IFERROR(VLOOKUP($C65,'[1]2017-2018'!$A:$D,4,FALSE),"")</f>
        <v>207950</v>
      </c>
      <c r="J65">
        <f>IFERROR(VLOOKUP($C65,'[1]2018-2019'!$A:$D,4,FALSE),"")</f>
        <v>220277</v>
      </c>
      <c r="K65">
        <f>IFERROR(VLOOKUP($C65,'[1]2019-2020'!$A:$D,4,FALSE),"")</f>
        <v>227186</v>
      </c>
      <c r="L65">
        <f>IFERROR(VLOOKUP($C65,'[1]2020-2021'!$A:$D,4,FALSE),"")</f>
        <v>0</v>
      </c>
      <c r="M65">
        <f>IFERROR(VLOOKUP($C65,'[1]2021-2022'!$A:$D,4,FALSE),"")</f>
        <v>227919</v>
      </c>
      <c r="N65">
        <f>IFERROR(VLOOKUP($C65,'[1]2022-2023'!$A:$D,4,FALSE),"")</f>
        <v>214512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f>IFERROR(VLOOKUP($C66,'[1]2013-2014'!$A:$D,4,FALSE),"")</f>
        <v>33309</v>
      </c>
      <c r="F66">
        <f>IFERROR(VLOOKUP($C66,'[1]2014-2015'!$A:$D,4,FALSE),"")</f>
        <v>29438</v>
      </c>
      <c r="G66">
        <f>IFERROR(VLOOKUP($C66,'[1]2015-2016'!$A:$D,4,FALSE),"")</f>
        <v>25686</v>
      </c>
      <c r="H66">
        <f>IFERROR(VLOOKUP($C66,'[1]2016-2017'!$A:$D,4,FALSE),"")</f>
        <v>30470</v>
      </c>
      <c r="I66">
        <f>IFERROR(VLOOKUP($C66,'[1]2017-2018'!$A:$D,4,FALSE),"")</f>
        <v>40695</v>
      </c>
      <c r="J66">
        <f>IFERROR(VLOOKUP($C66,'[1]2018-2019'!$A:$D,4,FALSE),"")</f>
        <v>32438</v>
      </c>
      <c r="K66">
        <f>IFERROR(VLOOKUP($C66,'[1]2019-2020'!$A:$D,4,FALSE),"")</f>
        <v>34479</v>
      </c>
      <c r="L66">
        <f>IFERROR(VLOOKUP($C66,'[1]2020-2021'!$A:$D,4,FALSE),"")</f>
        <v>0</v>
      </c>
      <c r="M66">
        <f>IFERROR(VLOOKUP($C66,'[1]2021-2022'!$A:$D,4,FALSE),"")</f>
        <v>25652</v>
      </c>
      <c r="N66">
        <f>IFERROR(VLOOKUP($C66,'[1]2022-2023'!$A:$D,4,FALSE),"")</f>
        <v>31999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f>IFERROR(VLOOKUP($C67,'[1]2013-2014'!$A:$D,4,FALSE),"")</f>
        <v>12047</v>
      </c>
      <c r="F67">
        <f>IFERROR(VLOOKUP($C67,'[1]2014-2015'!$A:$D,4,FALSE),"")</f>
        <v>15580</v>
      </c>
      <c r="G67">
        <f>IFERROR(VLOOKUP($C67,'[1]2015-2016'!$A:$D,4,FALSE),"")</f>
        <v>15904</v>
      </c>
      <c r="H67">
        <f>IFERROR(VLOOKUP($C67,'[1]2016-2017'!$A:$D,4,FALSE),"")</f>
        <v>12992</v>
      </c>
      <c r="I67">
        <f>IFERROR(VLOOKUP($C67,'[1]2017-2018'!$A:$D,4,FALSE),"")</f>
        <v>8511</v>
      </c>
      <c r="J67">
        <f>IFERROR(VLOOKUP($C67,'[1]2018-2019'!$A:$D,4,FALSE),"")</f>
        <v>8706</v>
      </c>
      <c r="K67">
        <f>IFERROR(VLOOKUP($C67,'[1]2019-2020'!$A:$D,4,FALSE),"")</f>
        <v>10290</v>
      </c>
      <c r="L67">
        <f>IFERROR(VLOOKUP($C67,'[1]2020-2021'!$A:$D,4,FALSE),"")</f>
        <v>0</v>
      </c>
      <c r="M67">
        <f>IFERROR(VLOOKUP($C67,'[1]2021-2022'!$A:$D,4,FALSE),"")</f>
        <v>8280</v>
      </c>
      <c r="N67">
        <f>IFERROR(VLOOKUP($C67,'[1]2022-2023'!$A:$D,4,FALSE),"")</f>
        <v>12273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f>IFERROR(VLOOKUP($C68,'[1]2013-2014'!$A:$D,4,FALSE),"")</f>
        <v>40543</v>
      </c>
      <c r="F68">
        <f>IFERROR(VLOOKUP($C68,'[1]2014-2015'!$A:$D,4,FALSE),"")</f>
        <v>24855</v>
      </c>
      <c r="G68">
        <f>IFERROR(VLOOKUP($C68,'[1]2015-2016'!$A:$D,4,FALSE),"")</f>
        <v>25125</v>
      </c>
      <c r="H68">
        <f>IFERROR(VLOOKUP($C68,'[1]2016-2017'!$A:$D,4,FALSE),"")</f>
        <v>21182</v>
      </c>
      <c r="I68">
        <f>IFERROR(VLOOKUP($C68,'[1]2017-2018'!$A:$D,4,FALSE),"")</f>
        <v>16858</v>
      </c>
      <c r="J68">
        <f>IFERROR(VLOOKUP($C68,'[1]2018-2019'!$A:$D,4,FALSE),"")</f>
        <v>15052</v>
      </c>
      <c r="K68">
        <f>IFERROR(VLOOKUP($C68,'[1]2019-2020'!$A:$D,4,FALSE),"")</f>
        <v>13860</v>
      </c>
      <c r="L68">
        <f>IFERROR(VLOOKUP($C68,'[1]2020-2021'!$A:$D,4,FALSE),"")</f>
        <v>78</v>
      </c>
      <c r="M68">
        <f>IFERROR(VLOOKUP($C68,'[1]2021-2022'!$A:$D,4,FALSE),"")</f>
        <v>10305</v>
      </c>
      <c r="N68">
        <f>IFERROR(VLOOKUP($C68,'[1]2022-2023'!$A:$D,4,FALSE),"")</f>
        <v>14024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f>IFERROR(VLOOKUP($C69,'[1]2013-2014'!$A:$D,4,FALSE),"")</f>
        <v>108178</v>
      </c>
      <c r="F69">
        <f>IFERROR(VLOOKUP($C69,'[1]2014-2015'!$A:$D,4,FALSE),"")</f>
        <v>99805</v>
      </c>
      <c r="G69">
        <f>IFERROR(VLOOKUP($C69,'[1]2015-2016'!$A:$D,4,FALSE),"")</f>
        <v>77190</v>
      </c>
      <c r="H69">
        <f>IFERROR(VLOOKUP($C69,'[1]2016-2017'!$A:$D,4,FALSE),"")</f>
        <v>88610</v>
      </c>
      <c r="I69">
        <f>IFERROR(VLOOKUP($C69,'[1]2017-2018'!$A:$D,4,FALSE),"")</f>
        <v>98354</v>
      </c>
      <c r="J69">
        <f>IFERROR(VLOOKUP($C69,'[1]2018-2019'!$A:$D,4,FALSE),"")</f>
        <v>86504</v>
      </c>
      <c r="K69">
        <f>IFERROR(VLOOKUP($C69,'[1]2019-2020'!$A:$D,4,FALSE),"")</f>
        <v>93371</v>
      </c>
      <c r="L69">
        <f>IFERROR(VLOOKUP($C69,'[1]2020-2021'!$A:$D,4,FALSE),"")</f>
        <v>0</v>
      </c>
      <c r="M69">
        <f>IFERROR(VLOOKUP($C69,'[1]2021-2022'!$A:$D,4,FALSE),"")</f>
        <v>58616</v>
      </c>
      <c r="N69">
        <f>IFERROR(VLOOKUP($C69,'[1]2022-2023'!$A:$D,4,FALSE),"")</f>
        <v>60671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f>IFERROR(VLOOKUP($C70,'[1]2013-2014'!$A:$D,4,FALSE),"")</f>
        <v>37082</v>
      </c>
      <c r="F70">
        <f>IFERROR(VLOOKUP($C70,'[1]2014-2015'!$A:$D,4,FALSE),"")</f>
        <v>40620</v>
      </c>
      <c r="G70">
        <f>IFERROR(VLOOKUP($C70,'[1]2015-2016'!$A:$D,4,FALSE),"")</f>
        <v>31819</v>
      </c>
      <c r="H70">
        <f>IFERROR(VLOOKUP($C70,'[1]2016-2017'!$A:$D,4,FALSE),"")</f>
        <v>23924</v>
      </c>
      <c r="I70">
        <f>IFERROR(VLOOKUP($C70,'[1]2017-2018'!$A:$D,4,FALSE),"")</f>
        <v>18614</v>
      </c>
      <c r="J70">
        <f>IFERROR(VLOOKUP($C70,'[1]2018-2019'!$A:$D,4,FALSE),"")</f>
        <v>23931</v>
      </c>
      <c r="K70">
        <f>IFERROR(VLOOKUP($C70,'[1]2019-2020'!$A:$D,4,FALSE),"")</f>
        <v>18677</v>
      </c>
      <c r="L70">
        <f>IFERROR(VLOOKUP($C70,'[1]2020-2021'!$A:$D,4,FALSE),"")</f>
        <v>0</v>
      </c>
      <c r="M70">
        <f>IFERROR(VLOOKUP($C70,'[1]2021-2022'!$A:$D,4,FALSE),"")</f>
        <v>18578</v>
      </c>
      <c r="N70">
        <f>IFERROR(VLOOKUP($C70,'[1]2022-2023'!$A:$D,4,FALSE),"")</f>
        <v>24814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f>IFERROR(VLOOKUP($C71,'[1]2013-2014'!$A:$D,4,FALSE),"")</f>
        <v>52161</v>
      </c>
      <c r="F71">
        <f>IFERROR(VLOOKUP($C71,'[1]2014-2015'!$A:$D,4,FALSE),"")</f>
        <v>47918</v>
      </c>
      <c r="G71">
        <f>IFERROR(VLOOKUP($C71,'[1]2015-2016'!$A:$D,4,FALSE),"")</f>
        <v>43222</v>
      </c>
      <c r="H71">
        <f>IFERROR(VLOOKUP($C71,'[1]2016-2017'!$A:$D,4,FALSE),"")</f>
        <v>42645</v>
      </c>
      <c r="I71">
        <f>IFERROR(VLOOKUP($C71,'[1]2017-2018'!$A:$D,4,FALSE),"")</f>
        <v>44735</v>
      </c>
      <c r="J71">
        <f>IFERROR(VLOOKUP($C71,'[1]2018-2019'!$A:$D,4,FALSE),"")</f>
        <v>49825</v>
      </c>
      <c r="K71">
        <f>IFERROR(VLOOKUP($C71,'[1]2019-2020'!$A:$D,4,FALSE),"")</f>
        <v>52868</v>
      </c>
      <c r="L71">
        <f>IFERROR(VLOOKUP($C71,'[1]2020-2021'!$A:$D,4,FALSE),"")</f>
        <v>7832</v>
      </c>
      <c r="M71">
        <f>IFERROR(VLOOKUP($C71,'[1]2021-2022'!$A:$D,4,FALSE),"")</f>
        <v>54468</v>
      </c>
      <c r="N71">
        <f>IFERROR(VLOOKUP($C71,'[1]2022-2023'!$A:$D,4,FALSE),"")</f>
        <v>51437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f>IFERROR(VLOOKUP($C72,'[1]2013-2014'!$A:$D,4,FALSE),"")</f>
        <v>22555</v>
      </c>
      <c r="F72">
        <f>IFERROR(VLOOKUP($C72,'[1]2014-2015'!$A:$D,4,FALSE),"")</f>
        <v>19043</v>
      </c>
      <c r="G72">
        <f>IFERROR(VLOOKUP($C72,'[1]2015-2016'!$A:$D,4,FALSE),"")</f>
        <v>16950</v>
      </c>
      <c r="H72">
        <f>IFERROR(VLOOKUP($C72,'[1]2016-2017'!$A:$D,4,FALSE),"")</f>
        <v>14234</v>
      </c>
      <c r="I72">
        <f>IFERROR(VLOOKUP($C72,'[1]2017-2018'!$A:$D,4,FALSE),"")</f>
        <v>13846</v>
      </c>
      <c r="J72">
        <f>IFERROR(VLOOKUP($C72,'[1]2018-2019'!$A:$D,4,FALSE),"")</f>
        <v>19871</v>
      </c>
      <c r="K72">
        <f>IFERROR(VLOOKUP($C72,'[1]2019-2020'!$A:$D,4,FALSE),"")</f>
        <v>16323</v>
      </c>
      <c r="L72">
        <f>IFERROR(VLOOKUP($C72,'[1]2020-2021'!$A:$D,4,FALSE),"")</f>
        <v>0</v>
      </c>
      <c r="M72">
        <f>IFERROR(VLOOKUP($C72,'[1]2021-2022'!$A:$D,4,FALSE),"")</f>
        <v>12359</v>
      </c>
      <c r="N72">
        <f>IFERROR(VLOOKUP($C72,'[1]2022-2023'!$A:$D,4,FALSE),"")</f>
        <v>21569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f>IFERROR(VLOOKUP($C73,'[1]2013-2014'!$A:$D,4,FALSE),"")</f>
        <v>158338</v>
      </c>
      <c r="F73">
        <f>IFERROR(VLOOKUP($C73,'[1]2014-2015'!$A:$D,4,FALSE),"")</f>
        <v>149024</v>
      </c>
      <c r="G73">
        <f>IFERROR(VLOOKUP($C73,'[1]2015-2016'!$A:$D,4,FALSE),"")</f>
        <v>167652</v>
      </c>
      <c r="H73">
        <f>IFERROR(VLOOKUP($C73,'[1]2016-2017'!$A:$D,4,FALSE),"")</f>
        <v>149024</v>
      </c>
      <c r="I73">
        <f>IFERROR(VLOOKUP($C73,'[1]2017-2018'!$A:$D,4,FALSE),"")</f>
        <v>149024</v>
      </c>
      <c r="J73">
        <f>IFERROR(VLOOKUP($C73,'[1]2018-2019'!$A:$D,4,FALSE),"")</f>
        <v>158338</v>
      </c>
      <c r="K73">
        <f>IFERROR(VLOOKUP($C73,'[1]2019-2020'!$A:$D,4,FALSE),"")</f>
        <v>158338</v>
      </c>
      <c r="L73">
        <f>IFERROR(VLOOKUP($C73,'[1]2020-2021'!$A:$D,4,FALSE),"")</f>
        <v>0</v>
      </c>
      <c r="M73">
        <f>IFERROR(VLOOKUP($C73,'[1]2021-2022'!$A:$D,4,FALSE),"")</f>
        <v>167652</v>
      </c>
      <c r="N73">
        <f>IFERROR(VLOOKUP($C73,'[1]2022-2023'!$A:$D,4,FALSE),"")</f>
        <v>149024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f>IFERROR(VLOOKUP($C74,'[1]2013-2014'!$A:$D,4,FALSE),"")</f>
        <v>43503</v>
      </c>
      <c r="F74">
        <f>IFERROR(VLOOKUP($C74,'[1]2014-2015'!$A:$D,4,FALSE),"")</f>
        <v>36327</v>
      </c>
      <c r="G74">
        <f>IFERROR(VLOOKUP($C74,'[1]2015-2016'!$A:$D,4,FALSE),"")</f>
        <v>31147</v>
      </c>
      <c r="H74">
        <f>IFERROR(VLOOKUP($C74,'[1]2016-2017'!$A:$D,4,FALSE),"")</f>
        <v>21915</v>
      </c>
      <c r="I74">
        <f>IFERROR(VLOOKUP($C74,'[1]2017-2018'!$A:$D,4,FALSE),"")</f>
        <v>34464</v>
      </c>
      <c r="J74">
        <f>IFERROR(VLOOKUP($C74,'[1]2018-2019'!$A:$D,4,FALSE),"")</f>
        <v>43854</v>
      </c>
      <c r="K74">
        <f>IFERROR(VLOOKUP($C74,'[1]2019-2020'!$A:$D,4,FALSE),"")</f>
        <v>32285</v>
      </c>
      <c r="L74">
        <f>IFERROR(VLOOKUP($C74,'[1]2020-2021'!$A:$D,4,FALSE),"")</f>
        <v>212</v>
      </c>
      <c r="M74">
        <f>IFERROR(VLOOKUP($C74,'[1]2021-2022'!$A:$D,4,FALSE),"")</f>
        <v>30432</v>
      </c>
      <c r="N74">
        <f>IFERROR(VLOOKUP($C74,'[1]2022-2023'!$A:$D,4,FALSE),"")</f>
        <v>43565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f>IFERROR(VLOOKUP($C75,'[1]2013-2014'!$A:$D,4,FALSE),"")</f>
        <v>75370</v>
      </c>
      <c r="F75">
        <f>IFERROR(VLOOKUP($C75,'[1]2014-2015'!$A:$D,4,FALSE),"")</f>
        <v>75138</v>
      </c>
      <c r="G75">
        <f>IFERROR(VLOOKUP($C75,'[1]2015-2016'!$A:$D,4,FALSE),"")</f>
        <v>71116</v>
      </c>
      <c r="H75">
        <f>IFERROR(VLOOKUP($C75,'[1]2016-2017'!$A:$D,4,FALSE),"")</f>
        <v>68090</v>
      </c>
      <c r="I75">
        <f>IFERROR(VLOOKUP($C75,'[1]2017-2018'!$A:$D,4,FALSE),"")</f>
        <v>63899</v>
      </c>
      <c r="J75">
        <f>IFERROR(VLOOKUP($C75,'[1]2018-2019'!$A:$D,4,FALSE),"")</f>
        <v>67581</v>
      </c>
      <c r="K75">
        <f>IFERROR(VLOOKUP($C75,'[1]2019-2020'!$A:$D,4,FALSE),"")</f>
        <v>62899</v>
      </c>
      <c r="L75">
        <f>IFERROR(VLOOKUP($C75,'[1]2020-2021'!$A:$D,4,FALSE),"")</f>
        <v>1527</v>
      </c>
      <c r="M75">
        <f>IFERROR(VLOOKUP($C75,'[1]2021-2022'!$A:$D,4,FALSE),"")</f>
        <v>53456</v>
      </c>
      <c r="N75">
        <f>IFERROR(VLOOKUP($C75,'[1]2022-2023'!$A:$D,4,FALSE),"")</f>
        <v>66847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f>IFERROR(VLOOKUP($C76,'[1]2013-2014'!$A:$D,4,FALSE),"")</f>
        <v>12961</v>
      </c>
      <c r="F76">
        <f>IFERROR(VLOOKUP($C76,'[1]2014-2015'!$A:$D,4,FALSE),"")</f>
        <v>22421</v>
      </c>
      <c r="G76">
        <f>IFERROR(VLOOKUP($C76,'[1]2015-2016'!$A:$D,4,FALSE),"")</f>
        <v>15921</v>
      </c>
      <c r="H76">
        <f>IFERROR(VLOOKUP($C76,'[1]2016-2017'!$A:$D,4,FALSE),"")</f>
        <v>18587</v>
      </c>
      <c r="I76">
        <f>IFERROR(VLOOKUP($C76,'[1]2017-2018'!$A:$D,4,FALSE),"")</f>
        <v>15814</v>
      </c>
      <c r="J76">
        <f>IFERROR(VLOOKUP($C76,'[1]2018-2019'!$A:$D,4,FALSE),"")</f>
        <v>16356</v>
      </c>
      <c r="K76">
        <f>IFERROR(VLOOKUP($C76,'[1]2019-2020'!$A:$D,4,FALSE),"")</f>
        <v>17269</v>
      </c>
      <c r="L76">
        <f>IFERROR(VLOOKUP($C76,'[1]2020-2021'!$A:$D,4,FALSE),"")</f>
        <v>98</v>
      </c>
      <c r="M76">
        <f>IFERROR(VLOOKUP($C76,'[1]2021-2022'!$A:$D,4,FALSE),"")</f>
        <v>13466</v>
      </c>
      <c r="N76">
        <f>IFERROR(VLOOKUP($C76,'[1]2022-2023'!$A:$D,4,FALSE),"")</f>
        <v>22502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f>IFERROR(VLOOKUP($C77,'[1]2013-2014'!$A:$D,4,FALSE),"")</f>
        <v>41800</v>
      </c>
      <c r="F77">
        <f>IFERROR(VLOOKUP($C77,'[1]2014-2015'!$A:$D,4,FALSE),"")</f>
        <v>47000</v>
      </c>
      <c r="G77">
        <f>IFERROR(VLOOKUP($C77,'[1]2015-2016'!$A:$D,4,FALSE),"")</f>
        <v>32550</v>
      </c>
      <c r="H77">
        <f>IFERROR(VLOOKUP($C77,'[1]2016-2017'!$A:$D,4,FALSE),"")</f>
        <v>30100</v>
      </c>
      <c r="I77">
        <f>IFERROR(VLOOKUP($C77,'[1]2017-2018'!$A:$D,4,FALSE),"")</f>
        <v>21170</v>
      </c>
      <c r="J77">
        <f>IFERROR(VLOOKUP($C77,'[1]2018-2019'!$A:$D,4,FALSE),"")</f>
        <v>34852</v>
      </c>
      <c r="K77">
        <f>IFERROR(VLOOKUP($C77,'[1]2019-2020'!$A:$D,4,FALSE),"")</f>
        <v>34647</v>
      </c>
      <c r="L77">
        <f>IFERROR(VLOOKUP($C77,'[1]2020-2021'!$A:$D,4,FALSE),"")</f>
        <v>9060</v>
      </c>
      <c r="M77">
        <f>IFERROR(VLOOKUP($C77,'[1]2021-2022'!$A:$D,4,FALSE),"")</f>
        <v>47460</v>
      </c>
      <c r="N77">
        <f>IFERROR(VLOOKUP($C77,'[1]2022-2023'!$A:$D,4,FALSE),"")</f>
        <v>56521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f>IFERROR(VLOOKUP($C78,'[1]2013-2014'!$A:$D,4,FALSE),"")</f>
        <v>17114</v>
      </c>
      <c r="F78">
        <f>IFERROR(VLOOKUP($C78,'[1]2014-2015'!$A:$D,4,FALSE),"")</f>
        <v>16305</v>
      </c>
      <c r="G78">
        <f>IFERROR(VLOOKUP($C78,'[1]2015-2016'!$A:$D,4,FALSE),"")</f>
        <v>20873</v>
      </c>
      <c r="H78">
        <f>IFERROR(VLOOKUP($C78,'[1]2016-2017'!$A:$D,4,FALSE),"")</f>
        <v>19935</v>
      </c>
      <c r="I78">
        <f>IFERROR(VLOOKUP($C78,'[1]2017-2018'!$A:$D,4,FALSE),"")</f>
        <v>25920</v>
      </c>
      <c r="J78">
        <f>IFERROR(VLOOKUP($C78,'[1]2018-2019'!$A:$D,4,FALSE),"")</f>
        <v>30452</v>
      </c>
      <c r="K78">
        <f>IFERROR(VLOOKUP($C78,'[1]2019-2020'!$A:$D,4,FALSE),"")</f>
        <v>24942</v>
      </c>
      <c r="L78">
        <f>IFERROR(VLOOKUP($C78,'[1]2020-2021'!$A:$D,4,FALSE),"")</f>
        <v>300</v>
      </c>
      <c r="M78">
        <f>IFERROR(VLOOKUP($C78,'[1]2021-2022'!$A:$D,4,FALSE),"")</f>
        <v>24437</v>
      </c>
      <c r="N78">
        <f>IFERROR(VLOOKUP($C78,'[1]2022-2023'!$A:$D,4,FALSE),"")</f>
        <v>43774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f>IFERROR(VLOOKUP($C79,'[1]2013-2014'!$A:$D,4,FALSE),"")</f>
        <v>16926</v>
      </c>
      <c r="F79">
        <f>IFERROR(VLOOKUP($C79,'[1]2014-2015'!$A:$D,4,FALSE),"")</f>
        <v>28867</v>
      </c>
      <c r="G79">
        <f>IFERROR(VLOOKUP($C79,'[1]2015-2016'!$A:$D,4,FALSE),"")</f>
        <v>22717</v>
      </c>
      <c r="H79">
        <f>IFERROR(VLOOKUP($C79,'[1]2016-2017'!$A:$D,4,FALSE),"")</f>
        <v>24945</v>
      </c>
      <c r="I79">
        <f>IFERROR(VLOOKUP($C79,'[1]2017-2018'!$A:$D,4,FALSE),"")</f>
        <v>18688</v>
      </c>
      <c r="J79">
        <f>IFERROR(VLOOKUP($C79,'[1]2018-2019'!$A:$D,4,FALSE),"")</f>
        <v>17376</v>
      </c>
      <c r="K79">
        <f>IFERROR(VLOOKUP($C79,'[1]2019-2020'!$A:$D,4,FALSE),"")</f>
        <v>22120</v>
      </c>
      <c r="L79">
        <f>IFERROR(VLOOKUP($C79,'[1]2020-2021'!$A:$D,4,FALSE),"")</f>
        <v>0</v>
      </c>
      <c r="M79">
        <f>IFERROR(VLOOKUP($C79,'[1]2021-2022'!$A:$D,4,FALSE),"")</f>
        <v>14392</v>
      </c>
      <c r="N79">
        <f>IFERROR(VLOOKUP($C79,'[1]2022-2023'!$A:$D,4,FALSE),"")</f>
        <v>23320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f>IFERROR(VLOOKUP($C80,'[1]2013-2014'!$A:$D,4,FALSE),"")</f>
        <v>19349</v>
      </c>
      <c r="F80">
        <f>IFERROR(VLOOKUP($C80,'[1]2014-2015'!$A:$D,4,FALSE),"")</f>
        <v>18897</v>
      </c>
      <c r="G80">
        <f>IFERROR(VLOOKUP($C80,'[1]2015-2016'!$A:$D,4,FALSE),"")</f>
        <v>19291</v>
      </c>
      <c r="H80">
        <f>IFERROR(VLOOKUP($C80,'[1]2016-2017'!$A:$D,4,FALSE),"")</f>
        <v>18644</v>
      </c>
      <c r="I80">
        <f>IFERROR(VLOOKUP($C80,'[1]2017-2018'!$A:$D,4,FALSE),"")</f>
        <v>20693</v>
      </c>
      <c r="J80">
        <f>IFERROR(VLOOKUP($C80,'[1]2018-2019'!$A:$D,4,FALSE),"")</f>
        <v>32139</v>
      </c>
      <c r="K80">
        <f>IFERROR(VLOOKUP($C80,'[1]2019-2020'!$A:$D,4,FALSE),"")</f>
        <v>26422</v>
      </c>
      <c r="L80">
        <f>IFERROR(VLOOKUP($C80,'[1]2020-2021'!$A:$D,4,FALSE),"")</f>
        <v>0</v>
      </c>
      <c r="M80">
        <f>IFERROR(VLOOKUP($C80,'[1]2021-2022'!$A:$D,4,FALSE),"")</f>
        <v>26785</v>
      </c>
      <c r="N80">
        <f>IFERROR(VLOOKUP($C80,'[1]2022-2023'!$A:$D,4,FALSE),"")</f>
        <v>24436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f>IFERROR(VLOOKUP($C81,'[1]2013-2014'!$A:$D,4,FALSE),"")</f>
        <v>50974</v>
      </c>
      <c r="F81">
        <f>IFERROR(VLOOKUP($C81,'[1]2014-2015'!$A:$D,4,FALSE),"")</f>
        <v>38390</v>
      </c>
      <c r="G81">
        <f>IFERROR(VLOOKUP($C81,'[1]2015-2016'!$A:$D,4,FALSE),"")</f>
        <v>45981</v>
      </c>
      <c r="H81">
        <f>IFERROR(VLOOKUP($C81,'[1]2016-2017'!$A:$D,4,FALSE),"")</f>
        <v>60809</v>
      </c>
      <c r="I81">
        <f>IFERROR(VLOOKUP($C81,'[1]2017-2018'!$A:$D,4,FALSE),"")</f>
        <v>71034</v>
      </c>
      <c r="J81">
        <f>IFERROR(VLOOKUP($C81,'[1]2018-2019'!$A:$D,4,FALSE),"")</f>
        <v>69251</v>
      </c>
      <c r="K81">
        <f>IFERROR(VLOOKUP($C81,'[1]2019-2020'!$A:$D,4,FALSE),"")</f>
        <v>80004</v>
      </c>
      <c r="L81">
        <f>IFERROR(VLOOKUP($C81,'[1]2020-2021'!$A:$D,4,FALSE),"")</f>
        <v>5479</v>
      </c>
      <c r="M81">
        <f>IFERROR(VLOOKUP($C81,'[1]2021-2022'!$A:$D,4,FALSE),"")</f>
        <v>46503</v>
      </c>
      <c r="N81">
        <f>IFERROR(VLOOKUP($C81,'[1]2022-2023'!$A:$D,4,FALSE),"")</f>
        <v>50014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f>IFERROR(VLOOKUP($C82,'[1]2013-2014'!$A:$D,4,FALSE),"")</f>
        <v>77279</v>
      </c>
      <c r="F82">
        <f>IFERROR(VLOOKUP($C82,'[1]2014-2015'!$A:$D,4,FALSE),"")</f>
        <v>80263</v>
      </c>
      <c r="G82">
        <f>IFERROR(VLOOKUP($C82,'[1]2015-2016'!$A:$D,4,FALSE),"")</f>
        <v>82364</v>
      </c>
      <c r="H82">
        <f>IFERROR(VLOOKUP($C82,'[1]2016-2017'!$A:$D,4,FALSE),"")</f>
        <v>69966</v>
      </c>
      <c r="I82">
        <f>IFERROR(VLOOKUP($C82,'[1]2017-2018'!$A:$D,4,FALSE),"")</f>
        <v>64296</v>
      </c>
      <c r="J82">
        <f>IFERROR(VLOOKUP($C82,'[1]2018-2019'!$A:$D,4,FALSE),"")</f>
        <v>84709</v>
      </c>
      <c r="K82">
        <f>IFERROR(VLOOKUP($C82,'[1]2019-2020'!$A:$D,4,FALSE),"")</f>
        <v>77037</v>
      </c>
      <c r="L82">
        <f>IFERROR(VLOOKUP($C82,'[1]2020-2021'!$A:$D,4,FALSE),"")</f>
        <v>0</v>
      </c>
      <c r="M82">
        <f>IFERROR(VLOOKUP($C82,'[1]2021-2022'!$A:$D,4,FALSE),"")</f>
        <v>42487</v>
      </c>
      <c r="N82">
        <f>IFERROR(VLOOKUP($C82,'[1]2022-2023'!$A:$D,4,FALSE),"")</f>
        <v>59119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f>IFERROR(VLOOKUP($C83,'[1]2013-2014'!$A:$D,4,FALSE),"")</f>
        <v>23847</v>
      </c>
      <c r="F83">
        <f>IFERROR(VLOOKUP($C83,'[1]2014-2015'!$A:$D,4,FALSE),"")</f>
        <v>30150</v>
      </c>
      <c r="G83">
        <f>IFERROR(VLOOKUP($C83,'[1]2015-2016'!$A:$D,4,FALSE),"")</f>
        <v>20953</v>
      </c>
      <c r="H83">
        <f>IFERROR(VLOOKUP($C83,'[1]2016-2017'!$A:$D,4,FALSE),"")</f>
        <v>21763</v>
      </c>
      <c r="I83">
        <f>IFERROR(VLOOKUP($C83,'[1]2017-2018'!$A:$D,4,FALSE),"")</f>
        <v>17518</v>
      </c>
      <c r="J83">
        <f>IFERROR(VLOOKUP($C83,'[1]2018-2019'!$A:$D,4,FALSE),"")</f>
        <v>17484</v>
      </c>
      <c r="K83">
        <f>IFERROR(VLOOKUP($C83,'[1]2019-2020'!$A:$D,4,FALSE),"")</f>
        <v>21714</v>
      </c>
      <c r="L83">
        <f>IFERROR(VLOOKUP($C83,'[1]2020-2021'!$A:$D,4,FALSE),"")</f>
        <v>0</v>
      </c>
      <c r="M83">
        <f>IFERROR(VLOOKUP($C83,'[1]2021-2022'!$A:$D,4,FALSE),"")</f>
        <v>20601</v>
      </c>
      <c r="N83">
        <f>IFERROR(VLOOKUP($C83,'[1]2022-2023'!$A:$D,4,FALSE),"")</f>
        <v>33239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f>IFERROR(VLOOKUP($C84,'[1]2013-2014'!$A:$D,4,FALSE),"")</f>
        <v>8605</v>
      </c>
      <c r="F84">
        <f>IFERROR(VLOOKUP($C84,'[1]2014-2015'!$A:$D,4,FALSE),"")</f>
        <v>8927</v>
      </c>
      <c r="G84">
        <f>IFERROR(VLOOKUP($C84,'[1]2015-2016'!$A:$D,4,FALSE),"")</f>
        <v>11548</v>
      </c>
      <c r="H84">
        <f>IFERROR(VLOOKUP($C84,'[1]2016-2017'!$A:$D,4,FALSE),"")</f>
        <v>11347</v>
      </c>
      <c r="I84">
        <f>IFERROR(VLOOKUP($C84,'[1]2017-2018'!$A:$D,4,FALSE),"")</f>
        <v>6691</v>
      </c>
      <c r="J84">
        <f>IFERROR(VLOOKUP($C84,'[1]2018-2019'!$A:$D,4,FALSE),"")</f>
        <v>10922</v>
      </c>
      <c r="K84">
        <f>IFERROR(VLOOKUP($C84,'[1]2019-2020'!$A:$D,4,FALSE),"")</f>
        <v>8029</v>
      </c>
      <c r="L84">
        <f>IFERROR(VLOOKUP($C84,'[1]2020-2021'!$A:$D,4,FALSE),"")</f>
        <v>0</v>
      </c>
      <c r="M84">
        <f>IFERROR(VLOOKUP($C84,'[1]2021-2022'!$A:$D,4,FALSE),"")</f>
        <v>2885</v>
      </c>
      <c r="N84">
        <f>IFERROR(VLOOKUP($C84,'[1]2022-2023'!$A:$D,4,FALSE),"")</f>
        <v>10402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f>IFERROR(VLOOKUP($C85,'[1]2013-2014'!$A:$D,4,FALSE),"")</f>
        <v>73780</v>
      </c>
      <c r="F85">
        <f>IFERROR(VLOOKUP($C85,'[1]2014-2015'!$A:$D,4,FALSE),"")</f>
        <v>71890</v>
      </c>
      <c r="G85">
        <f>IFERROR(VLOOKUP($C85,'[1]2015-2016'!$A:$D,4,FALSE),"")</f>
        <v>73373</v>
      </c>
      <c r="H85">
        <f>IFERROR(VLOOKUP($C85,'[1]2016-2017'!$A:$D,4,FALSE),"")</f>
        <v>75598</v>
      </c>
      <c r="I85">
        <f>IFERROR(VLOOKUP($C85,'[1]2017-2018'!$A:$D,4,FALSE),"")</f>
        <v>73114</v>
      </c>
      <c r="J85">
        <f>IFERROR(VLOOKUP($C85,'[1]2018-2019'!$A:$D,4,FALSE),"")</f>
        <v>45841</v>
      </c>
      <c r="K85">
        <f>IFERROR(VLOOKUP($C85,'[1]2019-2020'!$A:$D,4,FALSE),"")</f>
        <v>42228</v>
      </c>
      <c r="L85">
        <f>IFERROR(VLOOKUP($C85,'[1]2020-2021'!$A:$D,4,FALSE),"")</f>
        <v>9407</v>
      </c>
      <c r="M85">
        <f>IFERROR(VLOOKUP($C85,'[1]2021-2022'!$A:$D,4,FALSE),"")</f>
        <v>39196</v>
      </c>
      <c r="N85">
        <f>IFERROR(VLOOKUP($C85,'[1]2022-2023'!$A:$D,4,FALSE),"")</f>
        <v>30773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f>IFERROR(VLOOKUP($C86,'[1]2013-2014'!$A:$D,4,FALSE),"")</f>
        <v>22111</v>
      </c>
      <c r="F86">
        <f>IFERROR(VLOOKUP($C86,'[1]2014-2015'!$A:$D,4,FALSE),"")</f>
        <v>14890</v>
      </c>
      <c r="G86">
        <f>IFERROR(VLOOKUP($C86,'[1]2015-2016'!$A:$D,4,FALSE),"")</f>
        <v>18394</v>
      </c>
      <c r="H86">
        <f>IFERROR(VLOOKUP($C86,'[1]2016-2017'!$A:$D,4,FALSE),"")</f>
        <v>13210</v>
      </c>
      <c r="I86">
        <f>IFERROR(VLOOKUP($C86,'[1]2017-2018'!$A:$D,4,FALSE),"")</f>
        <v>21550</v>
      </c>
      <c r="J86">
        <f>IFERROR(VLOOKUP($C86,'[1]2018-2019'!$A:$D,4,FALSE),"")</f>
        <v>16603</v>
      </c>
      <c r="K86">
        <f>IFERROR(VLOOKUP($C86,'[1]2019-2020'!$A:$D,4,FALSE),"")</f>
        <v>14674</v>
      </c>
      <c r="L86">
        <f>IFERROR(VLOOKUP($C86,'[1]2020-2021'!$A:$D,4,FALSE),"")</f>
        <v>2965</v>
      </c>
      <c r="M86">
        <f>IFERROR(VLOOKUP($C86,'[1]2021-2022'!$A:$D,4,FALSE),"")</f>
        <v>21055</v>
      </c>
      <c r="N86">
        <f>IFERROR(VLOOKUP($C86,'[1]2022-2023'!$A:$D,4,FALSE),"")</f>
        <v>19094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f>IFERROR(VLOOKUP($C87,'[1]2013-2014'!$A:$D,4,FALSE),"")</f>
        <v>20188</v>
      </c>
      <c r="F87">
        <f>IFERROR(VLOOKUP($C87,'[1]2014-2015'!$A:$D,4,FALSE),"")</f>
        <v>16387</v>
      </c>
      <c r="G87">
        <f>IFERROR(VLOOKUP($C87,'[1]2015-2016'!$A:$D,4,FALSE),"")</f>
        <v>13793</v>
      </c>
      <c r="H87">
        <f>IFERROR(VLOOKUP($C87,'[1]2016-2017'!$A:$D,4,FALSE),"")</f>
        <v>17750</v>
      </c>
      <c r="I87">
        <f>IFERROR(VLOOKUP($C87,'[1]2017-2018'!$A:$D,4,FALSE),"")</f>
        <v>16636</v>
      </c>
      <c r="J87">
        <f>IFERROR(VLOOKUP($C87,'[1]2018-2019'!$A:$D,4,FALSE),"")</f>
        <v>16655</v>
      </c>
      <c r="K87">
        <f>IFERROR(VLOOKUP($C87,'[1]2019-2020'!$A:$D,4,FALSE),"")</f>
        <v>19975</v>
      </c>
      <c r="L87">
        <f>IFERROR(VLOOKUP($C87,'[1]2020-2021'!$A:$D,4,FALSE),"")</f>
        <v>2646</v>
      </c>
      <c r="M87">
        <f>IFERROR(VLOOKUP($C87,'[1]2021-2022'!$A:$D,4,FALSE),"")</f>
        <v>26605</v>
      </c>
      <c r="N87">
        <f>IFERROR(VLOOKUP($C87,'[1]2022-2023'!$A:$D,4,FALSE),"")</f>
        <v>38050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f>IFERROR(VLOOKUP($C88,'[1]2013-2014'!$A:$D,4,FALSE),"")</f>
        <v>195013</v>
      </c>
      <c r="F88">
        <f>IFERROR(VLOOKUP($C88,'[1]2014-2015'!$A:$D,4,FALSE),"")</f>
        <v>169123</v>
      </c>
      <c r="G88">
        <f>IFERROR(VLOOKUP($C88,'[1]2015-2016'!$A:$D,4,FALSE),"")</f>
        <v>154982</v>
      </c>
      <c r="H88">
        <f>IFERROR(VLOOKUP($C88,'[1]2016-2017'!$A:$D,4,FALSE),"")</f>
        <v>106905</v>
      </c>
      <c r="I88">
        <f>IFERROR(VLOOKUP($C88,'[1]2017-2018'!$A:$D,4,FALSE),"")</f>
        <v>165446</v>
      </c>
      <c r="J88">
        <f>IFERROR(VLOOKUP($C88,'[1]2018-2019'!$A:$D,4,FALSE),"")</f>
        <v>144001</v>
      </c>
      <c r="K88">
        <f>IFERROR(VLOOKUP($C88,'[1]2019-2020'!$A:$D,4,FALSE),"")</f>
        <v>146064</v>
      </c>
      <c r="L88">
        <f>IFERROR(VLOOKUP($C88,'[1]2020-2021'!$A:$D,4,FALSE),"")</f>
        <v>20599</v>
      </c>
      <c r="M88">
        <f>IFERROR(VLOOKUP($C88,'[1]2021-2022'!$A:$D,4,FALSE),"")</f>
        <v>163529</v>
      </c>
      <c r="N88">
        <f>IFERROR(VLOOKUP($C88,'[1]2022-2023'!$A:$D,4,FALSE),"")</f>
        <v>130000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f>IFERROR(VLOOKUP($C89,'[1]2013-2014'!$A:$D,4,FALSE),"")</f>
        <v>17057</v>
      </c>
      <c r="F89">
        <f>IFERROR(VLOOKUP($C89,'[1]2014-2015'!$A:$D,4,FALSE),"")</f>
        <v>9902</v>
      </c>
      <c r="G89">
        <f>IFERROR(VLOOKUP($C89,'[1]2015-2016'!$A:$D,4,FALSE),"")</f>
        <v>22253</v>
      </c>
      <c r="H89">
        <f>IFERROR(VLOOKUP($C89,'[1]2016-2017'!$A:$D,4,FALSE),"")</f>
        <v>18664</v>
      </c>
      <c r="I89">
        <f>IFERROR(VLOOKUP($C89,'[1]2017-2018'!$A:$D,4,FALSE),"")</f>
        <v>19697</v>
      </c>
      <c r="J89">
        <f>IFERROR(VLOOKUP($C89,'[1]2018-2019'!$A:$D,4,FALSE),"")</f>
        <v>27558</v>
      </c>
      <c r="K89">
        <f>IFERROR(VLOOKUP($C89,'[1]2019-2020'!$A:$D,4,FALSE),"")</f>
        <v>16186</v>
      </c>
      <c r="L89">
        <f>IFERROR(VLOOKUP($C89,'[1]2020-2021'!$A:$D,4,FALSE),"")</f>
        <v>136</v>
      </c>
      <c r="M89">
        <f>IFERROR(VLOOKUP($C89,'[1]2021-2022'!$A:$D,4,FALSE),"")</f>
        <v>22673</v>
      </c>
      <c r="N89">
        <f>IFERROR(VLOOKUP($C89,'[1]2022-2023'!$A:$D,4,FALSE),"")</f>
        <v>17568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f>IFERROR(VLOOKUP($C90,'[1]2013-2014'!$A:$D,4,FALSE),"")</f>
        <v>106849</v>
      </c>
      <c r="F90">
        <f>IFERROR(VLOOKUP($C90,'[1]2014-2015'!$A:$D,4,FALSE),"")</f>
        <v>120650</v>
      </c>
      <c r="G90">
        <f>IFERROR(VLOOKUP($C90,'[1]2015-2016'!$A:$D,4,FALSE),"")</f>
        <v>105221</v>
      </c>
      <c r="H90">
        <f>IFERROR(VLOOKUP($C90,'[1]2016-2017'!$A:$D,4,FALSE),"")</f>
        <v>143302</v>
      </c>
      <c r="I90">
        <f>IFERROR(VLOOKUP($C90,'[1]2017-2018'!$A:$D,4,FALSE),"")</f>
        <v>127685</v>
      </c>
      <c r="J90">
        <f>IFERROR(VLOOKUP($C90,'[1]2018-2019'!$A:$D,4,FALSE),"")</f>
        <v>146036</v>
      </c>
      <c r="K90">
        <f>IFERROR(VLOOKUP($C90,'[1]2019-2020'!$A:$D,4,FALSE),"")</f>
        <v>143862</v>
      </c>
      <c r="L90">
        <f>IFERROR(VLOOKUP($C90,'[1]2020-2021'!$A:$D,4,FALSE),"")</f>
        <v>36067</v>
      </c>
      <c r="M90">
        <f>IFERROR(VLOOKUP($C90,'[1]2021-2022'!$A:$D,4,FALSE),"")</f>
        <v>126262</v>
      </c>
      <c r="N90">
        <f>IFERROR(VLOOKUP($C90,'[1]2022-2023'!$A:$D,4,FALSE),"")</f>
        <v>105077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f>IFERROR(VLOOKUP($C91,'[1]2013-2014'!$A:$D,4,FALSE),"")</f>
        <v>34954</v>
      </c>
      <c r="F91">
        <f>IFERROR(VLOOKUP($C91,'[1]2014-2015'!$A:$D,4,FALSE),"")</f>
        <v>29976</v>
      </c>
      <c r="G91">
        <f>IFERROR(VLOOKUP($C91,'[1]2015-2016'!$A:$D,4,FALSE),"")</f>
        <v>40666</v>
      </c>
      <c r="H91">
        <f>IFERROR(VLOOKUP($C91,'[1]2016-2017'!$A:$D,4,FALSE),"")</f>
        <v>28161</v>
      </c>
      <c r="I91">
        <f>IFERROR(VLOOKUP($C91,'[1]2017-2018'!$A:$D,4,FALSE),"")</f>
        <v>26638</v>
      </c>
      <c r="J91">
        <f>IFERROR(VLOOKUP($C91,'[1]2018-2019'!$A:$D,4,FALSE),"")</f>
        <v>30839</v>
      </c>
      <c r="K91">
        <f>IFERROR(VLOOKUP($C91,'[1]2019-2020'!$A:$D,4,FALSE),"")</f>
        <v>34040</v>
      </c>
      <c r="L91">
        <f>IFERROR(VLOOKUP($C91,'[1]2020-2021'!$A:$D,4,FALSE),"")</f>
        <v>0</v>
      </c>
      <c r="M91">
        <f>IFERROR(VLOOKUP($C91,'[1]2021-2022'!$A:$D,4,FALSE),"")</f>
        <v>8866</v>
      </c>
      <c r="N91">
        <f>IFERROR(VLOOKUP($C91,'[1]2022-2023'!$A:$D,4,FALSE),"")</f>
        <v>22690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f>IFERROR(VLOOKUP($C92,'[1]2013-2014'!$A:$D,4,FALSE),"")</f>
        <v>128737</v>
      </c>
      <c r="F92">
        <f>IFERROR(VLOOKUP($C92,'[1]2014-2015'!$A:$D,4,FALSE),"")</f>
        <v>86666</v>
      </c>
      <c r="G92">
        <f>IFERROR(VLOOKUP($C92,'[1]2015-2016'!$A:$D,4,FALSE),"")</f>
        <v>113333</v>
      </c>
      <c r="H92">
        <f>IFERROR(VLOOKUP($C92,'[1]2016-2017'!$A:$D,4,FALSE),"")</f>
        <v>98790</v>
      </c>
      <c r="I92">
        <f>IFERROR(VLOOKUP($C92,'[1]2017-2018'!$A:$D,4,FALSE),"")</f>
        <v>102554</v>
      </c>
      <c r="J92">
        <f>IFERROR(VLOOKUP($C92,'[1]2018-2019'!$A:$D,4,FALSE),"")</f>
        <v>98714</v>
      </c>
      <c r="K92">
        <f>IFERROR(VLOOKUP($C92,'[1]2019-2020'!$A:$D,4,FALSE),"")</f>
        <v>80066</v>
      </c>
      <c r="L92">
        <f>IFERROR(VLOOKUP($C92,'[1]2020-2021'!$A:$D,4,FALSE),"")</f>
        <v>0</v>
      </c>
      <c r="M92">
        <f>IFERROR(VLOOKUP($C92,'[1]2021-2022'!$A:$D,4,FALSE),"")</f>
        <v>75299</v>
      </c>
      <c r="N92">
        <f>IFERROR(VLOOKUP($C92,'[1]2022-2023'!$A:$D,4,FALSE),"")</f>
        <v>70874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f>IFERROR(VLOOKUP($C93,'[1]2013-2014'!$A:$D,4,FALSE),"")</f>
        <v>16247</v>
      </c>
      <c r="F93">
        <f>IFERROR(VLOOKUP($C93,'[1]2014-2015'!$A:$D,4,FALSE),"")</f>
        <v>16770</v>
      </c>
      <c r="G93">
        <f>IFERROR(VLOOKUP($C93,'[1]2015-2016'!$A:$D,4,FALSE),"")</f>
        <v>23381</v>
      </c>
      <c r="H93">
        <f>IFERROR(VLOOKUP($C93,'[1]2016-2017'!$A:$D,4,FALSE),"")</f>
        <v>22862</v>
      </c>
      <c r="I93">
        <f>IFERROR(VLOOKUP($C93,'[1]2017-2018'!$A:$D,4,FALSE),"")</f>
        <v>25666</v>
      </c>
      <c r="J93">
        <f>IFERROR(VLOOKUP($C93,'[1]2018-2019'!$A:$D,4,FALSE),"")</f>
        <v>30927</v>
      </c>
      <c r="K93">
        <f>IFERROR(VLOOKUP($C93,'[1]2019-2020'!$A:$D,4,FALSE),"")</f>
        <v>36739</v>
      </c>
      <c r="L93">
        <f>IFERROR(VLOOKUP($C93,'[1]2020-2021'!$A:$D,4,FALSE),"")</f>
        <v>3000</v>
      </c>
      <c r="M93">
        <f>IFERROR(VLOOKUP($C93,'[1]2021-2022'!$A:$D,4,FALSE),"")</f>
        <v>33313</v>
      </c>
      <c r="N93">
        <f>IFERROR(VLOOKUP($C93,'[1]2022-2023'!$A:$D,4,FALSE),"")</f>
        <v>34941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f>IFERROR(VLOOKUP($C94,'[1]2013-2014'!$A:$D,4,FALSE),"")</f>
        <v>17360</v>
      </c>
      <c r="F94">
        <f>IFERROR(VLOOKUP($C94,'[1]2014-2015'!$A:$D,4,FALSE),"")</f>
        <v>26665</v>
      </c>
      <c r="G94">
        <f>IFERROR(VLOOKUP($C94,'[1]2015-2016'!$A:$D,4,FALSE),"")</f>
        <v>23707</v>
      </c>
      <c r="H94">
        <f>IFERROR(VLOOKUP($C94,'[1]2016-2017'!$A:$D,4,FALSE),"")</f>
        <v>23723</v>
      </c>
      <c r="I94">
        <f>IFERROR(VLOOKUP($C94,'[1]2017-2018'!$A:$D,4,FALSE),"")</f>
        <v>24252</v>
      </c>
      <c r="J94">
        <f>IFERROR(VLOOKUP($C94,'[1]2018-2019'!$A:$D,4,FALSE),"")</f>
        <v>27831</v>
      </c>
      <c r="K94">
        <f>IFERROR(VLOOKUP($C94,'[1]2019-2020'!$A:$D,4,FALSE),"")</f>
        <v>22458</v>
      </c>
      <c r="L94">
        <f>IFERROR(VLOOKUP($C94,'[1]2020-2021'!$A:$D,4,FALSE),"")</f>
        <v>5849</v>
      </c>
      <c r="M94">
        <f>IFERROR(VLOOKUP($C94,'[1]2021-2022'!$A:$D,4,FALSE),"")</f>
        <v>23832</v>
      </c>
      <c r="N94">
        <f>IFERROR(VLOOKUP($C94,'[1]2022-2023'!$A:$D,4,FALSE),"")</f>
        <v>20527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f>IFERROR(VLOOKUP($C95,'[1]2013-2014'!$A:$D,4,FALSE),"")</f>
        <v>20059</v>
      </c>
      <c r="F95">
        <f>IFERROR(VLOOKUP($C95,'[1]2014-2015'!$A:$D,4,FALSE),"")</f>
        <v>17658</v>
      </c>
      <c r="G95">
        <f>IFERROR(VLOOKUP($C95,'[1]2015-2016'!$A:$D,4,FALSE),"")</f>
        <v>14891</v>
      </c>
      <c r="H95">
        <f>IFERROR(VLOOKUP($C95,'[1]2016-2017'!$A:$D,4,FALSE),"")</f>
        <v>17686</v>
      </c>
      <c r="I95">
        <f>IFERROR(VLOOKUP($C95,'[1]2017-2018'!$A:$D,4,FALSE),"")</f>
        <v>14438</v>
      </c>
      <c r="J95">
        <f>IFERROR(VLOOKUP($C95,'[1]2018-2019'!$A:$D,4,FALSE),"")</f>
        <v>17042</v>
      </c>
      <c r="K95">
        <f>IFERROR(VLOOKUP($C95,'[1]2019-2020'!$A:$D,4,FALSE),"")</f>
        <v>17756</v>
      </c>
      <c r="L95">
        <f>IFERROR(VLOOKUP($C95,'[1]2020-2021'!$A:$D,4,FALSE),"")</f>
        <v>0</v>
      </c>
      <c r="M95">
        <f>IFERROR(VLOOKUP($C95,'[1]2021-2022'!$A:$D,4,FALSE),"")</f>
        <v>8263</v>
      </c>
      <c r="N95">
        <f>IFERROR(VLOOKUP($C95,'[1]2022-2023'!$A:$D,4,FALSE),"")</f>
        <v>8580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f>IFERROR(VLOOKUP($C96,'[1]2013-2014'!$A:$D,4,FALSE),"")</f>
        <v>68822</v>
      </c>
      <c r="F96">
        <f>IFERROR(VLOOKUP($C96,'[1]2014-2015'!$A:$D,4,FALSE),"")</f>
        <v>57415</v>
      </c>
      <c r="G96">
        <f>IFERROR(VLOOKUP($C96,'[1]2015-2016'!$A:$D,4,FALSE),"")</f>
        <v>64506</v>
      </c>
      <c r="H96">
        <f>IFERROR(VLOOKUP($C96,'[1]2016-2017'!$A:$D,4,FALSE),"")</f>
        <v>71990</v>
      </c>
      <c r="I96">
        <f>IFERROR(VLOOKUP($C96,'[1]2017-2018'!$A:$D,4,FALSE),"")</f>
        <v>69491</v>
      </c>
      <c r="J96">
        <f>IFERROR(VLOOKUP($C96,'[1]2018-2019'!$A:$D,4,FALSE),"")</f>
        <v>73701</v>
      </c>
      <c r="K96">
        <f>IFERROR(VLOOKUP($C96,'[1]2019-2020'!$A:$D,4,FALSE),"")</f>
        <v>68634</v>
      </c>
      <c r="L96">
        <f>IFERROR(VLOOKUP($C96,'[1]2020-2021'!$A:$D,4,FALSE),"")</f>
        <v>2212</v>
      </c>
      <c r="M96">
        <f>IFERROR(VLOOKUP($C96,'[1]2021-2022'!$A:$D,4,FALSE),"")</f>
        <v>49805</v>
      </c>
      <c r="N96">
        <f>IFERROR(VLOOKUP($C96,'[1]2022-2023'!$A:$D,4,FALSE),"")</f>
        <v>57348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f>IFERROR(VLOOKUP($C97,'[1]2013-2014'!$A:$D,4,FALSE),"")</f>
        <v>49050</v>
      </c>
      <c r="F97">
        <f>IFERROR(VLOOKUP($C97,'[1]2014-2015'!$A:$D,4,FALSE),"")</f>
        <v>47563</v>
      </c>
      <c r="G97">
        <f>IFERROR(VLOOKUP($C97,'[1]2015-2016'!$A:$D,4,FALSE),"")</f>
        <v>59413</v>
      </c>
      <c r="H97">
        <f>IFERROR(VLOOKUP($C97,'[1]2016-2017'!$A:$D,4,FALSE),"")</f>
        <v>48061</v>
      </c>
      <c r="I97">
        <f>IFERROR(VLOOKUP($C97,'[1]2017-2018'!$A:$D,4,FALSE),"")</f>
        <v>45019</v>
      </c>
      <c r="J97">
        <f>IFERROR(VLOOKUP($C97,'[1]2018-2019'!$A:$D,4,FALSE),"")</f>
        <v>40488</v>
      </c>
      <c r="K97">
        <f>IFERROR(VLOOKUP($C97,'[1]2019-2020'!$A:$D,4,FALSE),"")</f>
        <v>41941</v>
      </c>
      <c r="L97">
        <f>IFERROR(VLOOKUP($C97,'[1]2020-2021'!$A:$D,4,FALSE),"")</f>
        <v>0</v>
      </c>
      <c r="M97">
        <f>IFERROR(VLOOKUP($C97,'[1]2021-2022'!$A:$D,4,FALSE),"")</f>
        <v>14557</v>
      </c>
      <c r="N97">
        <f>IFERROR(VLOOKUP($C97,'[1]2022-2023'!$A:$D,4,FALSE),"")</f>
        <v>27340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f>IFERROR(VLOOKUP($C98,'[1]2013-2014'!$A:$D,4,FALSE),"")</f>
        <v>138724</v>
      </c>
      <c r="F98">
        <f>IFERROR(VLOOKUP($C98,'[1]2014-2015'!$A:$D,4,FALSE),"")</f>
        <v>154076</v>
      </c>
      <c r="G98">
        <f>IFERROR(VLOOKUP($C98,'[1]2015-2016'!$A:$D,4,FALSE),"")</f>
        <v>150945</v>
      </c>
      <c r="H98">
        <f>IFERROR(VLOOKUP($C98,'[1]2016-2017'!$A:$D,4,FALSE),"")</f>
        <v>144143</v>
      </c>
      <c r="I98">
        <f>IFERROR(VLOOKUP($C98,'[1]2017-2018'!$A:$D,4,FALSE),"")</f>
        <v>143093</v>
      </c>
      <c r="J98">
        <f>IFERROR(VLOOKUP($C98,'[1]2018-2019'!$A:$D,4,FALSE),"")</f>
        <v>137036</v>
      </c>
      <c r="K98">
        <f>IFERROR(VLOOKUP($C98,'[1]2019-2020'!$A:$D,4,FALSE),"")</f>
        <v>142762</v>
      </c>
      <c r="L98">
        <f>IFERROR(VLOOKUP($C98,'[1]2020-2021'!$A:$D,4,FALSE),"")</f>
        <v>0</v>
      </c>
      <c r="M98">
        <f>IFERROR(VLOOKUP($C98,'[1]2021-2022'!$A:$D,4,FALSE),"")</f>
        <v>93927</v>
      </c>
      <c r="N98">
        <f>IFERROR(VLOOKUP($C98,'[1]2022-2023'!$A:$D,4,FALSE),"")</f>
        <v>92520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f>IFERROR(VLOOKUP($C99,'[1]2013-2014'!$A:$D,4,FALSE),"")</f>
        <v>110512</v>
      </c>
      <c r="F99">
        <f>IFERROR(VLOOKUP($C99,'[1]2014-2015'!$A:$D,4,FALSE),"")</f>
        <v>120270</v>
      </c>
      <c r="G99">
        <f>IFERROR(VLOOKUP($C99,'[1]2015-2016'!$A:$D,4,FALSE),"")</f>
        <v>139570</v>
      </c>
      <c r="H99">
        <f>IFERROR(VLOOKUP($C99,'[1]2016-2017'!$A:$D,4,FALSE),"")</f>
        <v>129939</v>
      </c>
      <c r="I99">
        <f>IFERROR(VLOOKUP($C99,'[1]2017-2018'!$A:$D,4,FALSE),"")</f>
        <v>123207</v>
      </c>
      <c r="J99">
        <f>IFERROR(VLOOKUP($C99,'[1]2018-2019'!$A:$D,4,FALSE),"")</f>
        <v>148700</v>
      </c>
      <c r="K99">
        <f>IFERROR(VLOOKUP($C99,'[1]2019-2020'!$A:$D,4,FALSE),"")</f>
        <v>164071</v>
      </c>
      <c r="L99">
        <f>IFERROR(VLOOKUP($C99,'[1]2020-2021'!$A:$D,4,FALSE),"")</f>
        <v>27846</v>
      </c>
      <c r="M99">
        <f>IFERROR(VLOOKUP($C99,'[1]2021-2022'!$A:$D,4,FALSE),"")</f>
        <v>132557</v>
      </c>
      <c r="N99">
        <f>IFERROR(VLOOKUP($C99,'[1]2022-2023'!$A:$D,4,FALSE),"")</f>
        <v>140155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f>IFERROR(VLOOKUP($C100,'[1]2013-2014'!$A:$D,4,FALSE),"")</f>
        <v>27488</v>
      </c>
      <c r="F100">
        <f>IFERROR(VLOOKUP($C100,'[1]2014-2015'!$A:$D,4,FALSE),"")</f>
        <v>24303</v>
      </c>
      <c r="G100">
        <f>IFERROR(VLOOKUP($C100,'[1]2015-2016'!$A:$D,4,FALSE),"")</f>
        <v>26943</v>
      </c>
      <c r="H100">
        <f>IFERROR(VLOOKUP($C100,'[1]2016-2017'!$A:$D,4,FALSE),"")</f>
        <v>22229</v>
      </c>
      <c r="I100">
        <f>IFERROR(VLOOKUP($C100,'[1]2017-2018'!$A:$D,4,FALSE),"")</f>
        <v>21660</v>
      </c>
      <c r="J100">
        <f>IFERROR(VLOOKUP($C100,'[1]2018-2019'!$A:$D,4,FALSE),"")</f>
        <v>24021</v>
      </c>
      <c r="K100">
        <f>IFERROR(VLOOKUP($C100,'[1]2019-2020'!$A:$D,4,FALSE),"")</f>
        <v>29209</v>
      </c>
      <c r="L100">
        <f>IFERROR(VLOOKUP($C100,'[1]2020-2021'!$A:$D,4,FALSE),"")</f>
        <v>9623</v>
      </c>
      <c r="M100">
        <f>IFERROR(VLOOKUP($C100,'[1]2021-2022'!$A:$D,4,FALSE),"")</f>
        <v>15773</v>
      </c>
      <c r="N100">
        <f>IFERROR(VLOOKUP($C100,'[1]2022-2023'!$A:$D,4,FALSE),"")</f>
        <v>33997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f>IFERROR(VLOOKUP($C101,'[1]2013-2014'!$A:$D,4,FALSE),"")</f>
        <v>111926</v>
      </c>
      <c r="F101">
        <f>IFERROR(VLOOKUP($C101,'[1]2014-2015'!$A:$D,4,FALSE),"")</f>
        <v>99212</v>
      </c>
      <c r="G101">
        <f>IFERROR(VLOOKUP($C101,'[1]2015-2016'!$A:$D,4,FALSE),"")</f>
        <v>110804</v>
      </c>
      <c r="H101">
        <f>IFERROR(VLOOKUP($C101,'[1]2016-2017'!$A:$D,4,FALSE),"")</f>
        <v>126718</v>
      </c>
      <c r="I101">
        <f>IFERROR(VLOOKUP($C101,'[1]2017-2018'!$A:$D,4,FALSE),"")</f>
        <v>123843</v>
      </c>
      <c r="J101">
        <f>IFERROR(VLOOKUP($C101,'[1]2018-2019'!$A:$D,4,FALSE),"")</f>
        <v>107003</v>
      </c>
      <c r="K101">
        <f>IFERROR(VLOOKUP($C101,'[1]2019-2020'!$A:$D,4,FALSE),"")</f>
        <v>90260</v>
      </c>
      <c r="L101">
        <f>IFERROR(VLOOKUP($C101,'[1]2020-2021'!$A:$D,4,FALSE),"")</f>
        <v>15600</v>
      </c>
      <c r="M101">
        <f>IFERROR(VLOOKUP($C101,'[1]2021-2022'!$A:$D,4,FALSE),"")</f>
        <v>86234</v>
      </c>
      <c r="N101">
        <f>IFERROR(VLOOKUP($C101,'[1]2022-2023'!$A:$D,4,FALSE),"")</f>
        <v>80125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f>IFERROR(VLOOKUP($C102,'[1]2013-2014'!$A:$D,4,FALSE),"")</f>
        <v>90000</v>
      </c>
      <c r="F102">
        <f>IFERROR(VLOOKUP($C102,'[1]2014-2015'!$A:$D,4,FALSE),"")</f>
        <v>107521</v>
      </c>
      <c r="G102">
        <f>IFERROR(VLOOKUP($C102,'[1]2015-2016'!$A:$D,4,FALSE),"")</f>
        <v>90000</v>
      </c>
      <c r="H102">
        <f>IFERROR(VLOOKUP($C102,'[1]2016-2017'!$A:$D,4,FALSE),"")</f>
        <v>96000</v>
      </c>
      <c r="I102">
        <f>IFERROR(VLOOKUP($C102,'[1]2017-2018'!$A:$D,4,FALSE),"")</f>
        <v>96000</v>
      </c>
      <c r="J102">
        <f>IFERROR(VLOOKUP($C102,'[1]2018-2019'!$A:$D,4,FALSE),"")</f>
        <v>102000</v>
      </c>
      <c r="K102">
        <f>IFERROR(VLOOKUP($C102,'[1]2019-2020'!$A:$D,4,FALSE),"")</f>
        <v>102000</v>
      </c>
      <c r="L102">
        <f>IFERROR(VLOOKUP($C102,'[1]2020-2021'!$A:$D,4,FALSE),"")</f>
        <v>600</v>
      </c>
      <c r="M102">
        <f>IFERROR(VLOOKUP($C102,'[1]2021-2022'!$A:$D,4,FALSE),"")</f>
        <v>96000</v>
      </c>
      <c r="N102">
        <f>IFERROR(VLOOKUP($C102,'[1]2022-2023'!$A:$D,4,FALSE),"")</f>
        <v>102333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f>IFERROR(VLOOKUP($C103,'[1]2013-2014'!$A:$D,4,FALSE),"")</f>
        <v>17452</v>
      </c>
      <c r="F103">
        <f>IFERROR(VLOOKUP($C103,'[1]2014-2015'!$A:$D,4,FALSE),"")</f>
        <v>3104</v>
      </c>
      <c r="G103">
        <f>IFERROR(VLOOKUP($C103,'[1]2015-2016'!$A:$D,4,FALSE),"")</f>
        <v>8499</v>
      </c>
      <c r="H103">
        <f>IFERROR(VLOOKUP($C103,'[1]2016-2017'!$A:$D,4,FALSE),"")</f>
        <v>6839</v>
      </c>
      <c r="I103">
        <f>IFERROR(VLOOKUP($C103,'[1]2017-2018'!$A:$D,4,FALSE),"")</f>
        <v>13397</v>
      </c>
      <c r="J103">
        <f>IFERROR(VLOOKUP($C103,'[1]2018-2019'!$A:$D,4,FALSE),"")</f>
        <v>16172</v>
      </c>
      <c r="K103">
        <f>IFERROR(VLOOKUP($C103,'[1]2019-2020'!$A:$D,4,FALSE),"")</f>
        <v>14559</v>
      </c>
      <c r="L103">
        <f>IFERROR(VLOOKUP($C103,'[1]2020-2021'!$A:$D,4,FALSE),"")</f>
        <v>5391</v>
      </c>
      <c r="M103">
        <f>IFERROR(VLOOKUP($C103,'[1]2021-2022'!$A:$D,4,FALSE),"")</f>
        <v>20079</v>
      </c>
      <c r="N103">
        <f>IFERROR(VLOOKUP($C103,'[1]2022-2023'!$A:$D,4,FALSE),"")</f>
        <v>14912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f>IFERROR(VLOOKUP($C104,'[1]2013-2014'!$A:$D,4,FALSE),"")</f>
        <v>52471</v>
      </c>
      <c r="F104">
        <f>IFERROR(VLOOKUP($C104,'[1]2014-2015'!$A:$D,4,FALSE),"")</f>
        <v>108562</v>
      </c>
      <c r="G104">
        <f>IFERROR(VLOOKUP($C104,'[1]2015-2016'!$A:$D,4,FALSE),"")</f>
        <v>116119</v>
      </c>
      <c r="H104">
        <f>IFERROR(VLOOKUP($C104,'[1]2016-2017'!$A:$D,4,FALSE),"")</f>
        <v>122708</v>
      </c>
      <c r="I104">
        <f>IFERROR(VLOOKUP($C104,'[1]2017-2018'!$A:$D,4,FALSE),"")</f>
        <v>132495</v>
      </c>
      <c r="J104">
        <f>IFERROR(VLOOKUP($C104,'[1]2018-2019'!$A:$D,4,FALSE),"")</f>
        <v>100375</v>
      </c>
      <c r="K104">
        <f>IFERROR(VLOOKUP($C104,'[1]2019-2020'!$A:$D,4,FALSE),"")</f>
        <v>111647</v>
      </c>
      <c r="L104">
        <f>IFERROR(VLOOKUP($C104,'[1]2020-2021'!$A:$D,4,FALSE),"")</f>
        <v>7084</v>
      </c>
      <c r="M104">
        <f>IFERROR(VLOOKUP($C104,'[1]2021-2022'!$A:$D,4,FALSE),"")</f>
        <v>119062</v>
      </c>
      <c r="N104">
        <f>IFERROR(VLOOKUP($C104,'[1]2022-2023'!$A:$D,4,FALSE),"")</f>
        <v>118159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f>IFERROR(VLOOKUP($C105,'[1]2013-2014'!$A:$D,4,FALSE),"")</f>
        <v>67646</v>
      </c>
      <c r="F105">
        <f>IFERROR(VLOOKUP($C105,'[1]2014-2015'!$A:$D,4,FALSE),"")</f>
        <v>50139</v>
      </c>
      <c r="G105">
        <f>IFERROR(VLOOKUP($C105,'[1]2015-2016'!$A:$D,4,FALSE),"")</f>
        <v>42412</v>
      </c>
      <c r="H105">
        <f>IFERROR(VLOOKUP($C105,'[1]2016-2017'!$A:$D,4,FALSE),"")</f>
        <v>38329</v>
      </c>
      <c r="I105">
        <f>IFERROR(VLOOKUP($C105,'[1]2017-2018'!$A:$D,4,FALSE),"")</f>
        <v>39601</v>
      </c>
      <c r="J105">
        <f>IFERROR(VLOOKUP($C105,'[1]2018-2019'!$A:$D,4,FALSE),"")</f>
        <v>37933</v>
      </c>
      <c r="K105">
        <f>IFERROR(VLOOKUP($C105,'[1]2019-2020'!$A:$D,4,FALSE),"")</f>
        <v>28653</v>
      </c>
      <c r="L105">
        <f>IFERROR(VLOOKUP($C105,'[1]2020-2021'!$A:$D,4,FALSE),"")</f>
        <v>0</v>
      </c>
      <c r="M105">
        <f>IFERROR(VLOOKUP($C105,'[1]2021-2022'!$A:$D,4,FALSE),"")</f>
        <v>21779</v>
      </c>
      <c r="N105">
        <f>IFERROR(VLOOKUP($C105,'[1]2022-2023'!$A:$D,4,FALSE),"")</f>
        <v>20696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f>IFERROR(VLOOKUP($C106,'[1]2013-2014'!$A:$D,4,FALSE),"")</f>
        <v>41387</v>
      </c>
      <c r="F106">
        <f>IFERROR(VLOOKUP($C106,'[1]2014-2015'!$A:$D,4,FALSE),"")</f>
        <v>41440</v>
      </c>
      <c r="G106">
        <f>IFERROR(VLOOKUP($C106,'[1]2015-2016'!$A:$D,4,FALSE),"")</f>
        <v>47951</v>
      </c>
      <c r="H106">
        <f>IFERROR(VLOOKUP($C106,'[1]2016-2017'!$A:$D,4,FALSE),"")</f>
        <v>41127</v>
      </c>
      <c r="I106">
        <f>IFERROR(VLOOKUP($C106,'[1]2017-2018'!$A:$D,4,FALSE),"")</f>
        <v>58869</v>
      </c>
      <c r="J106">
        <f>IFERROR(VLOOKUP($C106,'[1]2018-2019'!$A:$D,4,FALSE),"")</f>
        <v>60766</v>
      </c>
      <c r="K106">
        <f>IFERROR(VLOOKUP($C106,'[1]2019-2020'!$A:$D,4,FALSE),"")</f>
        <v>60228</v>
      </c>
      <c r="L106">
        <f>IFERROR(VLOOKUP($C106,'[1]2020-2021'!$A:$D,4,FALSE),"")</f>
        <v>0</v>
      </c>
      <c r="M106">
        <f>IFERROR(VLOOKUP($C106,'[1]2021-2022'!$A:$D,4,FALSE),"")</f>
        <v>22036</v>
      </c>
      <c r="N106">
        <f>IFERROR(VLOOKUP($C106,'[1]2022-2023'!$A:$D,4,FALSE),"")</f>
        <v>11692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f>IFERROR(VLOOKUP($C107,'[1]2013-2014'!$A:$D,4,FALSE),"")</f>
        <v>21955</v>
      </c>
      <c r="F107">
        <f>IFERROR(VLOOKUP($C107,'[1]2014-2015'!$A:$D,4,FALSE),"")</f>
        <v>24469</v>
      </c>
      <c r="G107">
        <f>IFERROR(VLOOKUP($C107,'[1]2015-2016'!$A:$D,4,FALSE),"")</f>
        <v>21980</v>
      </c>
      <c r="H107">
        <f>IFERROR(VLOOKUP($C107,'[1]2016-2017'!$A:$D,4,FALSE),"")</f>
        <v>18618</v>
      </c>
      <c r="I107">
        <f>IFERROR(VLOOKUP($C107,'[1]2017-2018'!$A:$D,4,FALSE),"")</f>
        <v>22536</v>
      </c>
      <c r="J107">
        <f>IFERROR(VLOOKUP($C107,'[1]2018-2019'!$A:$D,4,FALSE),"")</f>
        <v>12794</v>
      </c>
      <c r="K107">
        <f>IFERROR(VLOOKUP($C107,'[1]2019-2020'!$A:$D,4,FALSE),"")</f>
        <v>16131</v>
      </c>
      <c r="L107">
        <f>IFERROR(VLOOKUP($C107,'[1]2020-2021'!$A:$D,4,FALSE),"")</f>
        <v>0</v>
      </c>
      <c r="M107">
        <f>IFERROR(VLOOKUP($C107,'[1]2021-2022'!$A:$D,4,FALSE),"")</f>
        <v>5996</v>
      </c>
      <c r="N107">
        <f>IFERROR(VLOOKUP($C107,'[1]2022-2023'!$A:$D,4,FALSE),"")</f>
        <v>5207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f>IFERROR(VLOOKUP($C108,'[1]2013-2014'!$A:$D,4,FALSE),"")</f>
        <v>24148</v>
      </c>
      <c r="F108">
        <f>IFERROR(VLOOKUP($C108,'[1]2014-2015'!$A:$D,4,FALSE),"")</f>
        <v>25001</v>
      </c>
      <c r="G108">
        <f>IFERROR(VLOOKUP($C108,'[1]2015-2016'!$A:$D,4,FALSE),"")</f>
        <v>23985</v>
      </c>
      <c r="H108">
        <f>IFERROR(VLOOKUP($C108,'[1]2016-2017'!$A:$D,4,FALSE),"")</f>
        <v>25280</v>
      </c>
      <c r="I108">
        <f>IFERROR(VLOOKUP($C108,'[1]2017-2018'!$A:$D,4,FALSE),"")</f>
        <v>16623</v>
      </c>
      <c r="J108">
        <f>IFERROR(VLOOKUP($C108,'[1]2018-2019'!$A:$D,4,FALSE),"")</f>
        <v>17055</v>
      </c>
      <c r="K108">
        <f>IFERROR(VLOOKUP($C108,'[1]2019-2020'!$A:$D,4,FALSE),"")</f>
        <v>17678</v>
      </c>
      <c r="L108" t="str">
        <f>IFERROR(VLOOKUP($C108,'[1]2020-2021'!$A:$D,4,FALSE),"")</f>
        <v/>
      </c>
      <c r="M108">
        <f>IFERROR(VLOOKUP($C108,'[1]2021-2022'!$A:$D,4,FALSE),"")</f>
        <v>17280</v>
      </c>
      <c r="N108">
        <f>IFERROR(VLOOKUP($C108,'[1]2022-2023'!$A:$D,4,FALSE),"")</f>
        <v>17306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f>IFERROR(VLOOKUP($C109,'[1]2013-2014'!$A:$D,4,FALSE),"")</f>
        <v>121915</v>
      </c>
      <c r="F109">
        <f>IFERROR(VLOOKUP($C109,'[1]2014-2015'!$A:$D,4,FALSE),"")</f>
        <v>117019</v>
      </c>
      <c r="G109">
        <f>IFERROR(VLOOKUP($C109,'[1]2015-2016'!$A:$D,4,FALSE),"")</f>
        <v>141637</v>
      </c>
      <c r="H109">
        <f>IFERROR(VLOOKUP($C109,'[1]2016-2017'!$A:$D,4,FALSE),"")</f>
        <v>118444</v>
      </c>
      <c r="I109">
        <f>IFERROR(VLOOKUP($C109,'[1]2017-2018'!$A:$D,4,FALSE),"")</f>
        <v>115879</v>
      </c>
      <c r="J109">
        <f>IFERROR(VLOOKUP($C109,'[1]2018-2019'!$A:$D,4,FALSE),"")</f>
        <v>99489</v>
      </c>
      <c r="K109">
        <f>IFERROR(VLOOKUP($C109,'[1]2019-2020'!$A:$D,4,FALSE),"")</f>
        <v>114333</v>
      </c>
      <c r="L109">
        <f>IFERROR(VLOOKUP($C109,'[1]2020-2021'!$A:$D,4,FALSE),"")</f>
        <v>0</v>
      </c>
      <c r="M109">
        <f>IFERROR(VLOOKUP($C109,'[1]2021-2022'!$A:$D,4,FALSE),"")</f>
        <v>47698</v>
      </c>
      <c r="N109">
        <f>IFERROR(VLOOKUP($C109,'[1]2022-2023'!$A:$D,4,FALSE),"")</f>
        <v>92527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f>IFERROR(VLOOKUP($C110,'[1]2013-2014'!$A:$D,4,FALSE),"")</f>
        <v>17044</v>
      </c>
      <c r="F110">
        <f>IFERROR(VLOOKUP($C110,'[1]2014-2015'!$A:$D,4,FALSE),"")</f>
        <v>20961</v>
      </c>
      <c r="G110">
        <f>IFERROR(VLOOKUP($C110,'[1]2015-2016'!$A:$D,4,FALSE),"")</f>
        <v>23028</v>
      </c>
      <c r="H110">
        <f>IFERROR(VLOOKUP($C110,'[1]2016-2017'!$A:$D,4,FALSE),"")</f>
        <v>19712</v>
      </c>
      <c r="I110">
        <f>IFERROR(VLOOKUP($C110,'[1]2017-2018'!$A:$D,4,FALSE),"")</f>
        <v>17727</v>
      </c>
      <c r="J110">
        <f>IFERROR(VLOOKUP($C110,'[1]2018-2019'!$A:$D,4,FALSE),"")</f>
        <v>16829</v>
      </c>
      <c r="K110">
        <f>IFERROR(VLOOKUP($C110,'[1]2019-2020'!$A:$D,4,FALSE),"")</f>
        <v>17847</v>
      </c>
      <c r="L110">
        <f>IFERROR(VLOOKUP($C110,'[1]2020-2021'!$A:$D,4,FALSE),"")</f>
        <v>10</v>
      </c>
      <c r="M110">
        <f>IFERROR(VLOOKUP($C110,'[1]2021-2022'!$A:$D,4,FALSE),"")</f>
        <v>49622</v>
      </c>
      <c r="N110">
        <f>IFERROR(VLOOKUP($C110,'[1]2022-2023'!$A:$D,4,FALSE),"")</f>
        <v>50014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f>IFERROR(VLOOKUP($C111,'[1]2013-2014'!$A:$D,4,FALSE),"")</f>
        <v>22023</v>
      </c>
      <c r="F111">
        <f>IFERROR(VLOOKUP($C111,'[1]2014-2015'!$A:$D,4,FALSE),"")</f>
        <v>27508</v>
      </c>
      <c r="G111">
        <f>IFERROR(VLOOKUP($C111,'[1]2015-2016'!$A:$D,4,FALSE),"")</f>
        <v>21901</v>
      </c>
      <c r="H111">
        <f>IFERROR(VLOOKUP($C111,'[1]2016-2017'!$A:$D,4,FALSE),"")</f>
        <v>25957</v>
      </c>
      <c r="I111">
        <f>IFERROR(VLOOKUP($C111,'[1]2017-2018'!$A:$D,4,FALSE),"")</f>
        <v>23819</v>
      </c>
      <c r="J111">
        <f>IFERROR(VLOOKUP($C111,'[1]2018-2019'!$A:$D,4,FALSE),"")</f>
        <v>35605</v>
      </c>
      <c r="K111">
        <f>IFERROR(VLOOKUP($C111,'[1]2019-2020'!$A:$D,4,FALSE),"")</f>
        <v>39718</v>
      </c>
      <c r="L111">
        <f>IFERROR(VLOOKUP($C111,'[1]2020-2021'!$A:$D,4,FALSE),"")</f>
        <v>0</v>
      </c>
      <c r="M111">
        <f>IFERROR(VLOOKUP($C111,'[1]2021-2022'!$A:$D,4,FALSE),"")</f>
        <v>25933</v>
      </c>
      <c r="N111">
        <f>IFERROR(VLOOKUP($C111,'[1]2022-2023'!$A:$D,4,FALSE),"")</f>
        <v>30581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f>IFERROR(VLOOKUP($C112,'[1]2013-2014'!$A:$D,4,FALSE),"")</f>
        <v>19683</v>
      </c>
      <c r="F112">
        <f>IFERROR(VLOOKUP($C112,'[1]2014-2015'!$A:$D,4,FALSE),"")</f>
        <v>19174</v>
      </c>
      <c r="G112">
        <f>IFERROR(VLOOKUP($C112,'[1]2015-2016'!$A:$D,4,FALSE),"")</f>
        <v>22566</v>
      </c>
      <c r="H112">
        <f>IFERROR(VLOOKUP($C112,'[1]2016-2017'!$A:$D,4,FALSE),"")</f>
        <v>25161</v>
      </c>
      <c r="I112">
        <f>IFERROR(VLOOKUP($C112,'[1]2017-2018'!$A:$D,4,FALSE),"")</f>
        <v>21340</v>
      </c>
      <c r="J112">
        <f>IFERROR(VLOOKUP($C112,'[1]2018-2019'!$A:$D,4,FALSE),"")</f>
        <v>19050</v>
      </c>
      <c r="K112">
        <f>IFERROR(VLOOKUP($C112,'[1]2019-2020'!$A:$D,4,FALSE),"")</f>
        <v>19019</v>
      </c>
      <c r="L112">
        <f>IFERROR(VLOOKUP($C112,'[1]2020-2021'!$A:$D,4,FALSE),"")</f>
        <v>0</v>
      </c>
      <c r="M112">
        <f>IFERROR(VLOOKUP($C112,'[1]2021-2022'!$A:$D,4,FALSE),"")</f>
        <v>11258</v>
      </c>
      <c r="N112">
        <f>IFERROR(VLOOKUP($C112,'[1]2022-2023'!$A:$D,4,FALSE),"")</f>
        <v>17047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f>IFERROR(VLOOKUP($C113,'[1]2013-2014'!$A:$D,4,FALSE),"")</f>
        <v>60520</v>
      </c>
      <c r="F113">
        <f>IFERROR(VLOOKUP($C113,'[1]2014-2015'!$A:$D,4,FALSE),"")</f>
        <v>44793</v>
      </c>
      <c r="G113">
        <f>IFERROR(VLOOKUP($C113,'[1]2015-2016'!$A:$D,4,FALSE),"")</f>
        <v>66706</v>
      </c>
      <c r="H113">
        <f>IFERROR(VLOOKUP($C113,'[1]2016-2017'!$A:$D,4,FALSE),"")</f>
        <v>69941</v>
      </c>
      <c r="I113">
        <f>IFERROR(VLOOKUP($C113,'[1]2017-2018'!$A:$D,4,FALSE),"")</f>
        <v>54919</v>
      </c>
      <c r="J113">
        <f>IFERROR(VLOOKUP($C113,'[1]2018-2019'!$A:$D,4,FALSE),"")</f>
        <v>121042</v>
      </c>
      <c r="K113">
        <f>IFERROR(VLOOKUP($C113,'[1]2019-2020'!$A:$D,4,FALSE),"")</f>
        <v>107490</v>
      </c>
      <c r="L113">
        <f>IFERROR(VLOOKUP($C113,'[1]2020-2021'!$A:$D,4,FALSE),"")</f>
        <v>27885</v>
      </c>
      <c r="M113">
        <f>IFERROR(VLOOKUP($C113,'[1]2021-2022'!$A:$D,4,FALSE),"")</f>
        <v>121462</v>
      </c>
      <c r="N113">
        <f>IFERROR(VLOOKUP($C113,'[1]2022-2023'!$A:$D,4,FALSE),"")</f>
        <v>134093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f>IFERROR(VLOOKUP($C114,'[1]2013-2014'!$A:$D,4,FALSE),"")</f>
        <v>9112</v>
      </c>
      <c r="F114">
        <f>IFERROR(VLOOKUP($C114,'[1]2014-2015'!$A:$D,4,FALSE),"")</f>
        <v>9963</v>
      </c>
      <c r="G114">
        <f>IFERROR(VLOOKUP($C114,'[1]2015-2016'!$A:$D,4,FALSE),"")</f>
        <v>11250</v>
      </c>
      <c r="H114">
        <f>IFERROR(VLOOKUP($C114,'[1]2016-2017'!$A:$D,4,FALSE),"")</f>
        <v>10238</v>
      </c>
      <c r="I114">
        <f>IFERROR(VLOOKUP($C114,'[1]2017-2018'!$A:$D,4,FALSE),"")</f>
        <v>8842</v>
      </c>
      <c r="J114">
        <f>IFERROR(VLOOKUP($C114,'[1]2018-2019'!$A:$D,4,FALSE),"")</f>
        <v>9453</v>
      </c>
      <c r="K114">
        <f>IFERROR(VLOOKUP($C114,'[1]2019-2020'!$A:$D,4,FALSE),"")</f>
        <v>7583</v>
      </c>
      <c r="L114">
        <f>IFERROR(VLOOKUP($C114,'[1]2020-2021'!$A:$D,4,FALSE),"")</f>
        <v>1200</v>
      </c>
      <c r="M114">
        <f>IFERROR(VLOOKUP($C114,'[1]2021-2022'!$A:$D,4,FALSE),"")</f>
        <v>8199</v>
      </c>
      <c r="N114">
        <f>IFERROR(VLOOKUP($C114,'[1]2022-2023'!$A:$D,4,FALSE),"")</f>
        <v>10442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f>IFERROR(VLOOKUP($C115,'[1]2013-2014'!$A:$D,4,FALSE),"")</f>
        <v>12728</v>
      </c>
      <c r="F115">
        <f>IFERROR(VLOOKUP($C115,'[1]2014-2015'!$A:$D,4,FALSE),"")</f>
        <v>9008</v>
      </c>
      <c r="G115">
        <f>IFERROR(VLOOKUP($C115,'[1]2015-2016'!$A:$D,4,FALSE),"")</f>
        <v>19287</v>
      </c>
      <c r="H115">
        <f>IFERROR(VLOOKUP($C115,'[1]2016-2017'!$A:$D,4,FALSE),"")</f>
        <v>10966</v>
      </c>
      <c r="I115">
        <f>IFERROR(VLOOKUP($C115,'[1]2017-2018'!$A:$D,4,FALSE),"")</f>
        <v>14441</v>
      </c>
      <c r="J115">
        <f>IFERROR(VLOOKUP($C115,'[1]2018-2019'!$A:$D,4,FALSE),"")</f>
        <v>22999</v>
      </c>
      <c r="K115">
        <f>IFERROR(VLOOKUP($C115,'[1]2019-2020'!$A:$D,4,FALSE),"")</f>
        <v>17103</v>
      </c>
      <c r="L115">
        <f>IFERROR(VLOOKUP($C115,'[1]2020-2021'!$A:$D,4,FALSE),"")</f>
        <v>0</v>
      </c>
      <c r="M115">
        <f>IFERROR(VLOOKUP($C115,'[1]2021-2022'!$A:$D,4,FALSE),"")</f>
        <v>14815</v>
      </c>
      <c r="N115">
        <f>IFERROR(VLOOKUP($C115,'[1]2022-2023'!$A:$D,4,FALSE),"")</f>
        <v>22298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f>IFERROR(VLOOKUP($C116,'[1]2013-2014'!$A:$D,4,FALSE),"")</f>
        <v>18585</v>
      </c>
      <c r="F116">
        <f>IFERROR(VLOOKUP($C116,'[1]2014-2015'!$A:$D,4,FALSE),"")</f>
        <v>16199</v>
      </c>
      <c r="G116">
        <f>IFERROR(VLOOKUP($C116,'[1]2015-2016'!$A:$D,4,FALSE),"")</f>
        <v>21000</v>
      </c>
      <c r="H116">
        <f>IFERROR(VLOOKUP($C116,'[1]2016-2017'!$A:$D,4,FALSE),"")</f>
        <v>15142</v>
      </c>
      <c r="I116">
        <f>IFERROR(VLOOKUP($C116,'[1]2017-2018'!$A:$D,4,FALSE),"")</f>
        <v>23241</v>
      </c>
      <c r="J116">
        <f>IFERROR(VLOOKUP($C116,'[1]2018-2019'!$A:$D,4,FALSE),"")</f>
        <v>10677</v>
      </c>
      <c r="K116">
        <f>IFERROR(VLOOKUP($C116,'[1]2019-2020'!$A:$D,4,FALSE),"")</f>
        <v>15720</v>
      </c>
      <c r="L116">
        <f>IFERROR(VLOOKUP($C116,'[1]2020-2021'!$A:$D,4,FALSE),"")</f>
        <v>0</v>
      </c>
      <c r="M116">
        <f>IFERROR(VLOOKUP($C116,'[1]2021-2022'!$A:$D,4,FALSE),"")</f>
        <v>19804</v>
      </c>
      <c r="N116">
        <f>IFERROR(VLOOKUP($C116,'[1]2022-2023'!$A:$D,4,FALSE),"")</f>
        <v>27484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f>IFERROR(VLOOKUP($C117,'[1]2013-2014'!$A:$D,4,FALSE),"")</f>
        <v>23265</v>
      </c>
      <c r="F117">
        <f>IFERROR(VLOOKUP($C117,'[1]2014-2015'!$A:$D,4,FALSE),"")</f>
        <v>20059</v>
      </c>
      <c r="G117">
        <f>IFERROR(VLOOKUP($C117,'[1]2015-2016'!$A:$D,4,FALSE),"")</f>
        <v>23873</v>
      </c>
      <c r="H117">
        <f>IFERROR(VLOOKUP($C117,'[1]2016-2017'!$A:$D,4,FALSE),"")</f>
        <v>15791</v>
      </c>
      <c r="I117">
        <f>IFERROR(VLOOKUP($C117,'[1]2017-2018'!$A:$D,4,FALSE),"")</f>
        <v>22645</v>
      </c>
      <c r="J117">
        <f>IFERROR(VLOOKUP($C117,'[1]2018-2019'!$A:$D,4,FALSE),"")</f>
        <v>19729</v>
      </c>
      <c r="K117">
        <f>IFERROR(VLOOKUP($C117,'[1]2019-2020'!$A:$D,4,FALSE),"")</f>
        <v>17814</v>
      </c>
      <c r="L117">
        <f>IFERROR(VLOOKUP($C117,'[1]2020-2021'!$A:$D,4,FALSE),"")</f>
        <v>120</v>
      </c>
      <c r="M117">
        <f>IFERROR(VLOOKUP($C117,'[1]2021-2022'!$A:$D,4,FALSE),"")</f>
        <v>15153</v>
      </c>
      <c r="N117">
        <f>IFERROR(VLOOKUP($C117,'[1]2022-2023'!$A:$D,4,FALSE),"")</f>
        <v>18043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f>IFERROR(VLOOKUP($C118,'[1]2013-2014'!$A:$D,4,FALSE),"")</f>
        <v>243931</v>
      </c>
      <c r="F118">
        <f>IFERROR(VLOOKUP($C118,'[1]2014-2015'!$A:$D,4,FALSE),"")</f>
        <v>234435</v>
      </c>
      <c r="G118">
        <f>IFERROR(VLOOKUP($C118,'[1]2015-2016'!$A:$D,4,FALSE),"")</f>
        <v>165409</v>
      </c>
      <c r="H118">
        <f>IFERROR(VLOOKUP($C118,'[1]2016-2017'!$A:$D,4,FALSE),"")</f>
        <v>216257</v>
      </c>
      <c r="I118">
        <f>IFERROR(VLOOKUP($C118,'[1]2017-2018'!$A:$D,4,FALSE),"")</f>
        <v>227051</v>
      </c>
      <c r="J118">
        <f>IFERROR(VLOOKUP($C118,'[1]2018-2019'!$A:$D,4,FALSE),"")</f>
        <v>199303</v>
      </c>
      <c r="K118">
        <f>IFERROR(VLOOKUP($C118,'[1]2019-2020'!$A:$D,4,FALSE),"")</f>
        <v>234730</v>
      </c>
      <c r="L118">
        <f>IFERROR(VLOOKUP($C118,'[1]2020-2021'!$A:$D,4,FALSE),"")</f>
        <v>2164</v>
      </c>
      <c r="M118">
        <f>IFERROR(VLOOKUP($C118,'[1]2021-2022'!$A:$D,4,FALSE),"")</f>
        <v>235044</v>
      </c>
      <c r="N118">
        <f>IFERROR(VLOOKUP($C118,'[1]2022-2023'!$A:$D,4,FALSE),"")</f>
        <v>256539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f>IFERROR(VLOOKUP($C119,'[1]2013-2014'!$A:$D,4,FALSE),"")</f>
        <v>82319</v>
      </c>
      <c r="F119">
        <f>IFERROR(VLOOKUP($C119,'[1]2014-2015'!$A:$D,4,FALSE),"")</f>
        <v>87732</v>
      </c>
      <c r="G119">
        <f>IFERROR(VLOOKUP($C119,'[1]2015-2016'!$A:$D,4,FALSE),"")</f>
        <v>83194</v>
      </c>
      <c r="H119">
        <f>IFERROR(VLOOKUP($C119,'[1]2016-2017'!$A:$D,4,FALSE),"")</f>
        <v>101035</v>
      </c>
      <c r="I119">
        <f>IFERROR(VLOOKUP($C119,'[1]2017-2018'!$A:$D,4,FALSE),"")</f>
        <v>71992</v>
      </c>
      <c r="J119">
        <f>IFERROR(VLOOKUP($C119,'[1]2018-2019'!$A:$D,4,FALSE),"")</f>
        <v>86788</v>
      </c>
      <c r="K119">
        <f>IFERROR(VLOOKUP($C119,'[1]2019-2020'!$A:$D,4,FALSE),"")</f>
        <v>68938</v>
      </c>
      <c r="L119">
        <f>IFERROR(VLOOKUP($C119,'[1]2020-2021'!$A:$D,4,FALSE),"")</f>
        <v>0</v>
      </c>
      <c r="M119">
        <f>IFERROR(VLOOKUP($C119,'[1]2021-2022'!$A:$D,4,FALSE),"")</f>
        <v>49310</v>
      </c>
      <c r="N119">
        <f>IFERROR(VLOOKUP($C119,'[1]2022-2023'!$A:$D,4,FALSE),"")</f>
        <v>52641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f>IFERROR(VLOOKUP($C120,'[1]2013-2014'!$A:$D,4,FALSE),"")</f>
        <v>312453</v>
      </c>
      <c r="F120">
        <f>IFERROR(VLOOKUP($C120,'[1]2014-2015'!$A:$D,4,FALSE),"")</f>
        <v>309477</v>
      </c>
      <c r="G120">
        <f>IFERROR(VLOOKUP($C120,'[1]2015-2016'!$A:$D,4,FALSE),"")</f>
        <v>290809</v>
      </c>
      <c r="H120">
        <f>IFERROR(VLOOKUP($C120,'[1]2016-2017'!$A:$D,4,FALSE),"")</f>
        <v>294549</v>
      </c>
      <c r="I120">
        <f>IFERROR(VLOOKUP($C120,'[1]2017-2018'!$A:$D,4,FALSE),"")</f>
        <v>280631</v>
      </c>
      <c r="J120">
        <f>IFERROR(VLOOKUP($C120,'[1]2018-2019'!$A:$D,4,FALSE),"")</f>
        <v>319335</v>
      </c>
      <c r="K120">
        <f>IFERROR(VLOOKUP($C120,'[1]2019-2020'!$A:$D,4,FALSE),"")</f>
        <v>309699</v>
      </c>
      <c r="L120">
        <f>IFERROR(VLOOKUP($C120,'[1]2020-2021'!$A:$D,4,FALSE),"")</f>
        <v>125</v>
      </c>
      <c r="M120">
        <f>IFERROR(VLOOKUP($C120,'[1]2021-2022'!$A:$D,4,FALSE),"")</f>
        <v>285208</v>
      </c>
      <c r="N120">
        <f>IFERROR(VLOOKUP($C120,'[1]2022-2023'!$A:$D,4,FALSE),"")</f>
        <v>273721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f>IFERROR(VLOOKUP($C121,'[1]2013-2014'!$A:$D,4,FALSE),"")</f>
        <v>77300</v>
      </c>
      <c r="F121">
        <f>IFERROR(VLOOKUP($C121,'[1]2014-2015'!$A:$D,4,FALSE),"")</f>
        <v>70687</v>
      </c>
      <c r="G121">
        <f>IFERROR(VLOOKUP($C121,'[1]2015-2016'!$A:$D,4,FALSE),"")</f>
        <v>51421</v>
      </c>
      <c r="H121">
        <f>IFERROR(VLOOKUP($C121,'[1]2016-2017'!$A:$D,4,FALSE),"")</f>
        <v>51368</v>
      </c>
      <c r="I121">
        <f>IFERROR(VLOOKUP($C121,'[1]2017-2018'!$A:$D,4,FALSE),"")</f>
        <v>55132</v>
      </c>
      <c r="J121">
        <f>IFERROR(VLOOKUP($C121,'[1]2018-2019'!$A:$D,4,FALSE),"")</f>
        <v>55465</v>
      </c>
      <c r="K121">
        <f>IFERROR(VLOOKUP($C121,'[1]2019-2020'!$A:$D,4,FALSE),"")</f>
        <v>47789</v>
      </c>
      <c r="L121">
        <f>IFERROR(VLOOKUP($C121,'[1]2020-2021'!$A:$D,4,FALSE),"")</f>
        <v>1190</v>
      </c>
      <c r="M121">
        <f>IFERROR(VLOOKUP($C121,'[1]2021-2022'!$A:$D,4,FALSE),"")</f>
        <v>41854</v>
      </c>
      <c r="N121">
        <f>IFERROR(VLOOKUP($C121,'[1]2022-2023'!$A:$D,4,FALSE),"")</f>
        <v>57987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f>IFERROR(VLOOKUP($C122,'[1]2013-2014'!$A:$D,4,FALSE),"")</f>
        <v>23451</v>
      </c>
      <c r="F122">
        <f>IFERROR(VLOOKUP($C122,'[1]2014-2015'!$A:$D,4,FALSE),"")</f>
        <v>43261</v>
      </c>
      <c r="G122">
        <f>IFERROR(VLOOKUP($C122,'[1]2015-2016'!$A:$D,4,FALSE),"")</f>
        <v>23741</v>
      </c>
      <c r="H122">
        <f>IFERROR(VLOOKUP($C122,'[1]2016-2017'!$A:$D,4,FALSE),"")</f>
        <v>21345</v>
      </c>
      <c r="I122">
        <f>IFERROR(VLOOKUP($C122,'[1]2017-2018'!$A:$D,4,FALSE),"")</f>
        <v>18013</v>
      </c>
      <c r="J122">
        <f>IFERROR(VLOOKUP($C122,'[1]2018-2019'!$A:$D,4,FALSE),"")</f>
        <v>17840</v>
      </c>
      <c r="K122">
        <f>IFERROR(VLOOKUP($C122,'[1]2019-2020'!$A:$D,4,FALSE),"")</f>
        <v>17169</v>
      </c>
      <c r="L122">
        <f>IFERROR(VLOOKUP($C122,'[1]2020-2021'!$A:$D,4,FALSE),"")</f>
        <v>0</v>
      </c>
      <c r="M122">
        <f>IFERROR(VLOOKUP($C122,'[1]2021-2022'!$A:$D,4,FALSE),"")</f>
        <v>28349</v>
      </c>
      <c r="N122">
        <f>IFERROR(VLOOKUP($C122,'[1]2022-2023'!$A:$D,4,FALSE),"")</f>
        <v>27719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f>IFERROR(VLOOKUP($C123,'[1]2013-2014'!$A:$D,4,FALSE),"")</f>
        <v>254588</v>
      </c>
      <c r="F123">
        <f>IFERROR(VLOOKUP($C123,'[1]2014-2015'!$A:$D,4,FALSE),"")</f>
        <v>253817</v>
      </c>
      <c r="G123">
        <f>IFERROR(VLOOKUP($C123,'[1]2015-2016'!$A:$D,4,FALSE),"")</f>
        <v>207528</v>
      </c>
      <c r="H123">
        <f>IFERROR(VLOOKUP($C123,'[1]2016-2017'!$A:$D,4,FALSE),"")</f>
        <v>250959</v>
      </c>
      <c r="I123">
        <f>IFERROR(VLOOKUP($C123,'[1]2017-2018'!$A:$D,4,FALSE),"")</f>
        <v>180391</v>
      </c>
      <c r="J123">
        <f>IFERROR(VLOOKUP($C123,'[1]2018-2019'!$A:$D,4,FALSE),"")</f>
        <v>231650</v>
      </c>
      <c r="K123">
        <f>IFERROR(VLOOKUP($C123,'[1]2019-2020'!$A:$D,4,FALSE),"")</f>
        <v>197713</v>
      </c>
      <c r="L123">
        <f>IFERROR(VLOOKUP($C123,'[1]2020-2021'!$A:$D,4,FALSE),"")</f>
        <v>8754</v>
      </c>
      <c r="M123">
        <f>IFERROR(VLOOKUP($C123,'[1]2021-2022'!$A:$D,4,FALSE),"")</f>
        <v>217895</v>
      </c>
      <c r="N123">
        <f>IFERROR(VLOOKUP($C123,'[1]2022-2023'!$A:$D,4,FALSE),"")</f>
        <v>210305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f>IFERROR(VLOOKUP($C124,'[1]2013-2014'!$A:$D,4,FALSE),"")</f>
        <v>227079</v>
      </c>
      <c r="F124">
        <f>IFERROR(VLOOKUP($C124,'[1]2014-2015'!$A:$D,4,FALSE),"")</f>
        <v>228714</v>
      </c>
      <c r="G124">
        <f>IFERROR(VLOOKUP($C124,'[1]2015-2016'!$A:$D,4,FALSE),"")</f>
        <v>228326</v>
      </c>
      <c r="H124">
        <f>IFERROR(VLOOKUP($C124,'[1]2016-2017'!$A:$D,4,FALSE),"")</f>
        <v>214130</v>
      </c>
      <c r="I124">
        <f>IFERROR(VLOOKUP($C124,'[1]2017-2018'!$A:$D,4,FALSE),"")</f>
        <v>225941</v>
      </c>
      <c r="J124">
        <f>IFERROR(VLOOKUP($C124,'[1]2018-2019'!$A:$D,4,FALSE),"")</f>
        <v>225578</v>
      </c>
      <c r="K124">
        <f>IFERROR(VLOOKUP($C124,'[1]2019-2020'!$A:$D,4,FALSE),"")</f>
        <v>237223</v>
      </c>
      <c r="L124">
        <f>IFERROR(VLOOKUP($C124,'[1]2020-2021'!$A:$D,4,FALSE),"")</f>
        <v>11859</v>
      </c>
      <c r="M124">
        <f>IFERROR(VLOOKUP($C124,'[1]2021-2022'!$A:$D,4,FALSE),"")</f>
        <v>244457</v>
      </c>
      <c r="N124">
        <f>IFERROR(VLOOKUP($C124,'[1]2022-2023'!$A:$D,4,FALSE),"")</f>
        <v>213998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E125">
        <f>IFERROR(VLOOKUP($C125,'[1]2013-2014'!$A:$D,4,FALSE),"")</f>
        <v>9225</v>
      </c>
      <c r="F125">
        <f>IFERROR(VLOOKUP($C125,'[1]2014-2015'!$A:$D,4,FALSE),"")</f>
        <v>19853</v>
      </c>
      <c r="G125">
        <f>IFERROR(VLOOKUP($C125,'[1]2015-2016'!$A:$D,4,FALSE),"")</f>
        <v>11609</v>
      </c>
      <c r="H125">
        <f>IFERROR(VLOOKUP($C125,'[1]2016-2017'!$A:$D,4,FALSE),"")</f>
        <v>12651</v>
      </c>
      <c r="I125">
        <f>IFERROR(VLOOKUP($C125,'[1]2017-2018'!$A:$D,4,FALSE),"")</f>
        <v>13737</v>
      </c>
      <c r="J125">
        <f>IFERROR(VLOOKUP($C125,'[1]2018-2019'!$A:$D,4,FALSE),"")</f>
        <v>20181</v>
      </c>
      <c r="K125">
        <f>IFERROR(VLOOKUP($C125,'[1]2019-2020'!$A:$D,4,FALSE),"")</f>
        <v>15661</v>
      </c>
      <c r="L125">
        <f>IFERROR(VLOOKUP($C125,'[1]2020-2021'!$A:$D,4,FALSE),"")</f>
        <v>0</v>
      </c>
      <c r="M125">
        <f>IFERROR(VLOOKUP($C125,'[1]2021-2022'!$A:$D,4,FALSE),"")</f>
        <v>8696</v>
      </c>
      <c r="N125">
        <f>IFERROR(VLOOKUP($C125,'[1]2022-2023'!$A:$D,4,FALSE),"")</f>
        <v>15040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f>IFERROR(VLOOKUP($C126,'[1]2013-2014'!$A:$D,4,FALSE),"")</f>
        <v>12197</v>
      </c>
      <c r="F126">
        <f>IFERROR(VLOOKUP($C126,'[1]2014-2015'!$A:$D,4,FALSE),"")</f>
        <v>9224</v>
      </c>
      <c r="G126">
        <f>IFERROR(VLOOKUP($C126,'[1]2015-2016'!$A:$D,4,FALSE),"")</f>
        <v>16131</v>
      </c>
      <c r="H126">
        <f>IFERROR(VLOOKUP($C126,'[1]2016-2017'!$A:$D,4,FALSE),"")</f>
        <v>18409</v>
      </c>
      <c r="I126">
        <f>IFERROR(VLOOKUP($C126,'[1]2017-2018'!$A:$D,4,FALSE),"")</f>
        <v>24922</v>
      </c>
      <c r="J126">
        <f>IFERROR(VLOOKUP($C126,'[1]2018-2019'!$A:$D,4,FALSE),"")</f>
        <v>12145</v>
      </c>
      <c r="K126">
        <f>IFERROR(VLOOKUP($C126,'[1]2019-2020'!$A:$D,4,FALSE),"")</f>
        <v>8381</v>
      </c>
      <c r="L126">
        <f>IFERROR(VLOOKUP($C126,'[1]2020-2021'!$A:$D,4,FALSE),"")</f>
        <v>2331</v>
      </c>
      <c r="M126">
        <f>IFERROR(VLOOKUP($C126,'[1]2021-2022'!$A:$D,4,FALSE),"")</f>
        <v>11530</v>
      </c>
      <c r="N126">
        <f>IFERROR(VLOOKUP($C126,'[1]2022-2023'!$A:$D,4,FALSE),"")</f>
        <v>15035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f>IFERROR(VLOOKUP($C127,'[1]2013-2014'!$A:$D,4,FALSE),"")</f>
        <v>16882</v>
      </c>
      <c r="F127">
        <f>IFERROR(VLOOKUP($C127,'[1]2014-2015'!$A:$D,4,FALSE),"")</f>
        <v>6211</v>
      </c>
      <c r="G127">
        <f>IFERROR(VLOOKUP($C127,'[1]2015-2016'!$A:$D,4,FALSE),"")</f>
        <v>9582</v>
      </c>
      <c r="H127">
        <f>IFERROR(VLOOKUP($C127,'[1]2016-2017'!$A:$D,4,FALSE),"")</f>
        <v>12178</v>
      </c>
      <c r="I127">
        <f>IFERROR(VLOOKUP($C127,'[1]2017-2018'!$A:$D,4,FALSE),"")</f>
        <v>12972</v>
      </c>
      <c r="J127">
        <f>IFERROR(VLOOKUP($C127,'[1]2018-2019'!$A:$D,4,FALSE),"")</f>
        <v>9799</v>
      </c>
      <c r="K127">
        <f>IFERROR(VLOOKUP($C127,'[1]2019-2020'!$A:$D,4,FALSE),"")</f>
        <v>11003</v>
      </c>
      <c r="L127">
        <f>IFERROR(VLOOKUP($C127,'[1]2020-2021'!$A:$D,4,FALSE),"")</f>
        <v>2040</v>
      </c>
      <c r="M127">
        <f>IFERROR(VLOOKUP($C127,'[1]2021-2022'!$A:$D,4,FALSE),"")</f>
        <v>13521</v>
      </c>
      <c r="N127">
        <f>IFERROR(VLOOKUP($C127,'[1]2022-2023'!$A:$D,4,FALSE),"")</f>
        <v>11589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f>IFERROR(VLOOKUP($C128,'[1]2013-2014'!$A:$D,4,FALSE),"")</f>
        <v>18723</v>
      </c>
      <c r="F128">
        <f>IFERROR(VLOOKUP($C128,'[1]2014-2015'!$A:$D,4,FALSE),"")</f>
        <v>24173</v>
      </c>
      <c r="G128">
        <f>IFERROR(VLOOKUP($C128,'[1]2015-2016'!$A:$D,4,FALSE),"")</f>
        <v>16385</v>
      </c>
      <c r="H128">
        <f>IFERROR(VLOOKUP($C128,'[1]2016-2017'!$A:$D,4,FALSE),"")</f>
        <v>15070</v>
      </c>
      <c r="I128">
        <f>IFERROR(VLOOKUP($C128,'[1]2017-2018'!$A:$D,4,FALSE),"")</f>
        <v>27993</v>
      </c>
      <c r="J128">
        <f>IFERROR(VLOOKUP($C128,'[1]2018-2019'!$A:$D,4,FALSE),"")</f>
        <v>25753</v>
      </c>
      <c r="K128">
        <f>IFERROR(VLOOKUP($C128,'[1]2019-2020'!$A:$D,4,FALSE),"")</f>
        <v>22303</v>
      </c>
      <c r="L128">
        <f>IFERROR(VLOOKUP($C128,'[1]2020-2021'!$A:$D,4,FALSE),"")</f>
        <v>5114</v>
      </c>
      <c r="M128">
        <f>IFERROR(VLOOKUP($C128,'[1]2021-2022'!$A:$D,4,FALSE),"")</f>
        <v>28385</v>
      </c>
      <c r="N128">
        <f>IFERROR(VLOOKUP($C128,'[1]2022-2023'!$A:$D,4,FALSE),"")</f>
        <v>27797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f>IFERROR(VLOOKUP($C129,'[1]2013-2014'!$A:$D,4,FALSE),"")</f>
        <v>36115</v>
      </c>
      <c r="F129">
        <f>IFERROR(VLOOKUP($C129,'[1]2014-2015'!$A:$D,4,FALSE),"")</f>
        <v>64907</v>
      </c>
      <c r="G129">
        <f>IFERROR(VLOOKUP($C129,'[1]2015-2016'!$A:$D,4,FALSE),"")</f>
        <v>54026</v>
      </c>
      <c r="H129">
        <f>IFERROR(VLOOKUP($C129,'[1]2016-2017'!$A:$D,4,FALSE),"")</f>
        <v>43008</v>
      </c>
      <c r="I129">
        <f>IFERROR(VLOOKUP($C129,'[1]2017-2018'!$A:$D,4,FALSE),"")</f>
        <v>37305</v>
      </c>
      <c r="J129">
        <f>IFERROR(VLOOKUP($C129,'[1]2018-2019'!$A:$D,4,FALSE),"")</f>
        <v>34499</v>
      </c>
      <c r="K129">
        <f>IFERROR(VLOOKUP($C129,'[1]2019-2020'!$A:$D,4,FALSE),"")</f>
        <v>36518</v>
      </c>
      <c r="L129">
        <f>IFERROR(VLOOKUP($C129,'[1]2020-2021'!$A:$D,4,FALSE),"")</f>
        <v>3250</v>
      </c>
      <c r="M129">
        <f>IFERROR(VLOOKUP($C129,'[1]2021-2022'!$A:$D,4,FALSE),"")</f>
        <v>66115</v>
      </c>
      <c r="N129">
        <f>IFERROR(VLOOKUP($C129,'[1]2022-2023'!$A:$D,4,FALSE),"")</f>
        <v>60283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f>IFERROR(VLOOKUP($C130,'[1]2013-2014'!$A:$D,4,FALSE),"")</f>
        <v>262993</v>
      </c>
      <c r="F130">
        <f>IFERROR(VLOOKUP($C130,'[1]2014-2015'!$A:$D,4,FALSE),"")</f>
        <v>262127</v>
      </c>
      <c r="G130">
        <f>IFERROR(VLOOKUP($C130,'[1]2015-2016'!$A:$D,4,FALSE),"")</f>
        <v>279412</v>
      </c>
      <c r="H130">
        <f>IFERROR(VLOOKUP($C130,'[1]2016-2017'!$A:$D,4,FALSE),"")</f>
        <v>262320</v>
      </c>
      <c r="I130">
        <f>IFERROR(VLOOKUP($C130,'[1]2017-2018'!$A:$D,4,FALSE),"")</f>
        <v>294206</v>
      </c>
      <c r="J130">
        <f>IFERROR(VLOOKUP($C130,'[1]2018-2019'!$A:$D,4,FALSE),"")</f>
        <v>276010</v>
      </c>
      <c r="K130">
        <f>IFERROR(VLOOKUP($C130,'[1]2019-2020'!$A:$D,4,FALSE),"")</f>
        <v>262202</v>
      </c>
      <c r="L130">
        <f>IFERROR(VLOOKUP($C130,'[1]2020-2021'!$A:$D,4,FALSE),"")</f>
        <v>27700</v>
      </c>
      <c r="M130">
        <f>IFERROR(VLOOKUP($C130,'[1]2021-2022'!$A:$D,4,FALSE),"")</f>
        <v>276300</v>
      </c>
      <c r="N130">
        <f>IFERROR(VLOOKUP($C130,'[1]2022-2023'!$A:$D,4,FALSE),"")</f>
        <v>260800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f>IFERROR(VLOOKUP($C131,'[1]2013-2014'!$A:$D,4,FALSE),"")</f>
        <v>23475</v>
      </c>
      <c r="F131">
        <f>IFERROR(VLOOKUP($C131,'[1]2014-2015'!$A:$D,4,FALSE),"")</f>
        <v>20763</v>
      </c>
      <c r="G131">
        <f>IFERROR(VLOOKUP($C131,'[1]2015-2016'!$A:$D,4,FALSE),"")</f>
        <v>19874</v>
      </c>
      <c r="H131">
        <f>IFERROR(VLOOKUP($C131,'[1]2016-2017'!$A:$D,4,FALSE),"")</f>
        <v>22694</v>
      </c>
      <c r="I131">
        <f>IFERROR(VLOOKUP($C131,'[1]2017-2018'!$A:$D,4,FALSE),"")</f>
        <v>16951</v>
      </c>
      <c r="J131">
        <f>IFERROR(VLOOKUP($C131,'[1]2018-2019'!$A:$D,4,FALSE),"")</f>
        <v>15327</v>
      </c>
      <c r="K131">
        <f>IFERROR(VLOOKUP($C131,'[1]2019-2020'!$A:$D,4,FALSE),"")</f>
        <v>13898</v>
      </c>
      <c r="L131">
        <f>IFERROR(VLOOKUP($C131,'[1]2020-2021'!$A:$D,4,FALSE),"")</f>
        <v>758</v>
      </c>
      <c r="M131">
        <f>IFERROR(VLOOKUP($C131,'[1]2021-2022'!$A:$D,4,FALSE),"")</f>
        <v>9738</v>
      </c>
      <c r="N131">
        <f>IFERROR(VLOOKUP($C131,'[1]2022-2023'!$A:$D,4,FALSE),"")</f>
        <v>13108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f>IFERROR(VLOOKUP($C132,'[1]2013-2014'!$A:$D,4,FALSE),"")</f>
        <v>206123</v>
      </c>
      <c r="F132">
        <f>IFERROR(VLOOKUP($C132,'[1]2014-2015'!$A:$D,4,FALSE),"")</f>
        <v>213337</v>
      </c>
      <c r="G132">
        <f>IFERROR(VLOOKUP($C132,'[1]2015-2016'!$A:$D,4,FALSE),"")</f>
        <v>214252</v>
      </c>
      <c r="H132">
        <f>IFERROR(VLOOKUP($C132,'[1]2016-2017'!$A:$D,4,FALSE),"")</f>
        <v>195111</v>
      </c>
      <c r="I132">
        <f>IFERROR(VLOOKUP($C132,'[1]2017-2018'!$A:$D,4,FALSE),"")</f>
        <v>156801</v>
      </c>
      <c r="J132">
        <f>IFERROR(VLOOKUP($C132,'[1]2018-2019'!$A:$D,4,FALSE),"")</f>
        <v>170232</v>
      </c>
      <c r="K132">
        <f>IFERROR(VLOOKUP($C132,'[1]2019-2020'!$A:$D,4,FALSE),"")</f>
        <v>143881</v>
      </c>
      <c r="L132">
        <f>IFERROR(VLOOKUP($C132,'[1]2020-2021'!$A:$D,4,FALSE),"")</f>
        <v>13035</v>
      </c>
      <c r="M132">
        <f>IFERROR(VLOOKUP($C132,'[1]2021-2022'!$A:$D,4,FALSE),"")</f>
        <v>98978</v>
      </c>
      <c r="N132">
        <f>IFERROR(VLOOKUP($C132,'[1]2022-2023'!$A:$D,4,FALSE),"")</f>
        <v>163135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f>IFERROR(VLOOKUP($C133,'[1]2013-2014'!$A:$D,4,FALSE),"")</f>
        <v>20090</v>
      </c>
      <c r="F133">
        <f>IFERROR(VLOOKUP($C133,'[1]2014-2015'!$A:$D,4,FALSE),"")</f>
        <v>14410</v>
      </c>
      <c r="G133">
        <f>IFERROR(VLOOKUP($C133,'[1]2015-2016'!$A:$D,4,FALSE),"")</f>
        <v>19287</v>
      </c>
      <c r="H133">
        <f>IFERROR(VLOOKUP($C133,'[1]2016-2017'!$A:$D,4,FALSE),"")</f>
        <v>15388</v>
      </c>
      <c r="I133">
        <f>IFERROR(VLOOKUP($C133,'[1]2017-2018'!$A:$D,4,FALSE),"")</f>
        <v>16056</v>
      </c>
      <c r="J133">
        <f>IFERROR(VLOOKUP($C133,'[1]2018-2019'!$A:$D,4,FALSE),"")</f>
        <v>11130</v>
      </c>
      <c r="K133">
        <f>IFERROR(VLOOKUP($C133,'[1]2019-2020'!$A:$D,4,FALSE),"")</f>
        <v>12490</v>
      </c>
      <c r="L133">
        <f>IFERROR(VLOOKUP($C133,'[1]2020-2021'!$A:$D,4,FALSE),"")</f>
        <v>4048</v>
      </c>
      <c r="M133">
        <f>IFERROR(VLOOKUP($C133,'[1]2021-2022'!$A:$D,4,FALSE),"")</f>
        <v>16308</v>
      </c>
      <c r="N133">
        <f>IFERROR(VLOOKUP($C133,'[1]2022-2023'!$A:$D,4,FALSE),"")</f>
        <v>26890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f>IFERROR(VLOOKUP($C134,'[1]2013-2014'!$A:$D,4,FALSE),"")</f>
        <v>52814</v>
      </c>
      <c r="F134">
        <f>IFERROR(VLOOKUP($C134,'[1]2014-2015'!$A:$D,4,FALSE),"")</f>
        <v>50463</v>
      </c>
      <c r="G134">
        <f>IFERROR(VLOOKUP($C134,'[1]2015-2016'!$A:$D,4,FALSE),"")</f>
        <v>57398</v>
      </c>
      <c r="H134">
        <f>IFERROR(VLOOKUP($C134,'[1]2016-2017'!$A:$D,4,FALSE),"")</f>
        <v>46064</v>
      </c>
      <c r="I134">
        <f>IFERROR(VLOOKUP($C134,'[1]2017-2018'!$A:$D,4,FALSE),"")</f>
        <v>44796</v>
      </c>
      <c r="J134">
        <f>IFERROR(VLOOKUP($C134,'[1]2018-2019'!$A:$D,4,FALSE),"")</f>
        <v>44456</v>
      </c>
      <c r="K134">
        <f>IFERROR(VLOOKUP($C134,'[1]2019-2020'!$A:$D,4,FALSE),"")</f>
        <v>45628</v>
      </c>
      <c r="L134">
        <f>IFERROR(VLOOKUP($C134,'[1]2020-2021'!$A:$D,4,FALSE),"")</f>
        <v>0</v>
      </c>
      <c r="M134">
        <f>IFERROR(VLOOKUP($C134,'[1]2021-2022'!$A:$D,4,FALSE),"")</f>
        <v>31530</v>
      </c>
      <c r="N134">
        <f>IFERROR(VLOOKUP($C134,'[1]2022-2023'!$A:$D,4,FALSE),"")</f>
        <v>32500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f>IFERROR(VLOOKUP($C135,'[1]2013-2014'!$A:$D,4,FALSE),"")</f>
        <v>413350</v>
      </c>
      <c r="F135">
        <f>IFERROR(VLOOKUP($C135,'[1]2014-2015'!$A:$D,4,FALSE),"")</f>
        <v>447874</v>
      </c>
      <c r="G135">
        <f>IFERROR(VLOOKUP($C135,'[1]2015-2016'!$A:$D,4,FALSE),"")</f>
        <v>397148</v>
      </c>
      <c r="H135">
        <f>IFERROR(VLOOKUP($C135,'[1]2016-2017'!$A:$D,4,FALSE),"")</f>
        <v>398850</v>
      </c>
      <c r="I135">
        <f>IFERROR(VLOOKUP($C135,'[1]2017-2018'!$A:$D,4,FALSE),"")</f>
        <v>393743</v>
      </c>
      <c r="J135">
        <f>IFERROR(VLOOKUP($C135,'[1]2018-2019'!$A:$D,4,FALSE),"")</f>
        <v>390510</v>
      </c>
      <c r="K135">
        <f>IFERROR(VLOOKUP($C135,'[1]2019-2020'!$A:$D,4,FALSE),"")</f>
        <v>362872</v>
      </c>
      <c r="L135">
        <f>IFERROR(VLOOKUP($C135,'[1]2020-2021'!$A:$D,4,FALSE),"")</f>
        <v>33825</v>
      </c>
      <c r="M135">
        <f>IFERROR(VLOOKUP($C135,'[1]2021-2022'!$A:$D,4,FALSE),"")</f>
        <v>348082</v>
      </c>
      <c r="N135">
        <f>IFERROR(VLOOKUP($C135,'[1]2022-2023'!$A:$D,4,FALSE),"")</f>
        <v>357721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f>IFERROR(VLOOKUP($C136,'[1]2013-2014'!$A:$D,4,FALSE),"")</f>
        <v>41828</v>
      </c>
      <c r="F136">
        <f>IFERROR(VLOOKUP($C136,'[1]2014-2015'!$A:$D,4,FALSE),"")</f>
        <v>32364</v>
      </c>
      <c r="G136">
        <f>IFERROR(VLOOKUP($C136,'[1]2015-2016'!$A:$D,4,FALSE),"")</f>
        <v>39886</v>
      </c>
      <c r="H136">
        <f>IFERROR(VLOOKUP($C136,'[1]2016-2017'!$A:$D,4,FALSE),"")</f>
        <v>36532</v>
      </c>
      <c r="I136">
        <f>IFERROR(VLOOKUP($C136,'[1]2017-2018'!$A:$D,4,FALSE),"")</f>
        <v>26755</v>
      </c>
      <c r="J136">
        <f>IFERROR(VLOOKUP($C136,'[1]2018-2019'!$A:$D,4,FALSE),"")</f>
        <v>29577</v>
      </c>
      <c r="K136">
        <f>IFERROR(VLOOKUP($C136,'[1]2019-2020'!$A:$D,4,FALSE),"")</f>
        <v>29757</v>
      </c>
      <c r="L136">
        <f>IFERROR(VLOOKUP($C136,'[1]2020-2021'!$A:$D,4,FALSE),"")</f>
        <v>26</v>
      </c>
      <c r="M136">
        <f>IFERROR(VLOOKUP($C136,'[1]2021-2022'!$A:$D,4,FALSE),"")</f>
        <v>33690</v>
      </c>
      <c r="N136">
        <f>IFERROR(VLOOKUP($C136,'[1]2022-2023'!$A:$D,4,FALSE),"")</f>
        <v>23701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f>IFERROR(VLOOKUP($C137,'[1]2013-2014'!$A:$D,4,FALSE),"")</f>
        <v>21423</v>
      </c>
      <c r="F137">
        <f>IFERROR(VLOOKUP($C137,'[1]2014-2015'!$A:$D,4,FALSE),"")</f>
        <v>27621</v>
      </c>
      <c r="G137">
        <f>IFERROR(VLOOKUP($C137,'[1]2015-2016'!$A:$D,4,FALSE),"")</f>
        <v>20847</v>
      </c>
      <c r="H137">
        <f>IFERROR(VLOOKUP($C137,'[1]2016-2017'!$A:$D,4,FALSE),"")</f>
        <v>22323</v>
      </c>
      <c r="I137">
        <f>IFERROR(VLOOKUP($C137,'[1]2017-2018'!$A:$D,4,FALSE),"")</f>
        <v>18584</v>
      </c>
      <c r="J137">
        <f>IFERROR(VLOOKUP($C137,'[1]2018-2019'!$A:$D,4,FALSE),"")</f>
        <v>17533</v>
      </c>
      <c r="K137">
        <f>IFERROR(VLOOKUP($C137,'[1]2019-2020'!$A:$D,4,FALSE),"")</f>
        <v>21381</v>
      </c>
      <c r="L137">
        <f>IFERROR(VLOOKUP($C137,'[1]2020-2021'!$A:$D,4,FALSE),"")</f>
        <v>0</v>
      </c>
      <c r="M137">
        <f>IFERROR(VLOOKUP($C137,'[1]2021-2022'!$A:$D,4,FALSE),"")</f>
        <v>21402</v>
      </c>
      <c r="N137">
        <f>IFERROR(VLOOKUP($C137,'[1]2022-2023'!$A:$D,4,FALSE),"")</f>
        <v>20094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f>IFERROR(VLOOKUP($C138,'[1]2013-2014'!$A:$D,4,FALSE),"")</f>
        <v>25969</v>
      </c>
      <c r="F138">
        <f>IFERROR(VLOOKUP($C138,'[1]2014-2015'!$A:$D,4,FALSE),"")</f>
        <v>30416</v>
      </c>
      <c r="G138">
        <f>IFERROR(VLOOKUP($C138,'[1]2015-2016'!$A:$D,4,FALSE),"")</f>
        <v>28413</v>
      </c>
      <c r="H138">
        <f>IFERROR(VLOOKUP($C138,'[1]2016-2017'!$A:$D,4,FALSE),"")</f>
        <v>30241</v>
      </c>
      <c r="I138">
        <f>IFERROR(VLOOKUP($C138,'[1]2017-2018'!$A:$D,4,FALSE),"")</f>
        <v>23400</v>
      </c>
      <c r="J138">
        <f>IFERROR(VLOOKUP($C138,'[1]2018-2019'!$A:$D,4,FALSE),"")</f>
        <v>34982</v>
      </c>
      <c r="K138">
        <f>IFERROR(VLOOKUP($C138,'[1]2019-2020'!$A:$D,4,FALSE),"")</f>
        <v>33842</v>
      </c>
      <c r="L138">
        <f>IFERROR(VLOOKUP($C138,'[1]2020-2021'!$A:$D,4,FALSE),"")</f>
        <v>12823</v>
      </c>
      <c r="M138">
        <f>IFERROR(VLOOKUP($C138,'[1]2021-2022'!$A:$D,4,FALSE),"")</f>
        <v>24433</v>
      </c>
      <c r="N138">
        <f>IFERROR(VLOOKUP($C138,'[1]2022-2023'!$A:$D,4,FALSE),"")</f>
        <v>27794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f>IFERROR(VLOOKUP($C139,'[1]2013-2014'!$A:$D,4,FALSE),"")</f>
        <v>15674</v>
      </c>
      <c r="F139">
        <f>IFERROR(VLOOKUP($C139,'[1]2014-2015'!$A:$D,4,FALSE),"")</f>
        <v>14696</v>
      </c>
      <c r="G139">
        <f>IFERROR(VLOOKUP($C139,'[1]2015-2016'!$A:$D,4,FALSE),"")</f>
        <v>20919</v>
      </c>
      <c r="H139">
        <f>IFERROR(VLOOKUP($C139,'[1]2016-2017'!$A:$D,4,FALSE),"")</f>
        <v>17325</v>
      </c>
      <c r="I139">
        <f>IFERROR(VLOOKUP($C139,'[1]2017-2018'!$A:$D,4,FALSE),"")</f>
        <v>16143</v>
      </c>
      <c r="J139">
        <f>IFERROR(VLOOKUP($C139,'[1]2018-2019'!$A:$D,4,FALSE),"")</f>
        <v>17238</v>
      </c>
      <c r="K139">
        <f>IFERROR(VLOOKUP($C139,'[1]2019-2020'!$A:$D,4,FALSE),"")</f>
        <v>12436</v>
      </c>
      <c r="L139">
        <f>IFERROR(VLOOKUP($C139,'[1]2020-2021'!$A:$D,4,FALSE),"")</f>
        <v>0</v>
      </c>
      <c r="M139">
        <f>IFERROR(VLOOKUP($C139,'[1]2021-2022'!$A:$D,4,FALSE),"")</f>
        <v>12535</v>
      </c>
      <c r="N139">
        <f>IFERROR(VLOOKUP($C139,'[1]2022-2023'!$A:$D,4,FALSE),"")</f>
        <v>13574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f>IFERROR(VLOOKUP($C140,'[1]2013-2014'!$A:$D,4,FALSE),"")</f>
        <v>37230</v>
      </c>
      <c r="F140">
        <f>IFERROR(VLOOKUP($C140,'[1]2014-2015'!$A:$D,4,FALSE),"")</f>
        <v>27400</v>
      </c>
      <c r="G140">
        <f>IFERROR(VLOOKUP($C140,'[1]2015-2016'!$A:$D,4,FALSE),"")</f>
        <v>35217</v>
      </c>
      <c r="H140">
        <f>IFERROR(VLOOKUP($C140,'[1]2016-2017'!$A:$D,4,FALSE),"")</f>
        <v>39113</v>
      </c>
      <c r="I140">
        <f>IFERROR(VLOOKUP($C140,'[1]2017-2018'!$A:$D,4,FALSE),"")</f>
        <v>42938</v>
      </c>
      <c r="J140">
        <f>IFERROR(VLOOKUP($C140,'[1]2018-2019'!$A:$D,4,FALSE),"")</f>
        <v>49524</v>
      </c>
      <c r="K140">
        <f>IFERROR(VLOOKUP($C140,'[1]2019-2020'!$A:$D,4,FALSE),"")</f>
        <v>76093</v>
      </c>
      <c r="L140">
        <f>IFERROR(VLOOKUP($C140,'[1]2020-2021'!$A:$D,4,FALSE),"")</f>
        <v>3250</v>
      </c>
      <c r="M140">
        <f>IFERROR(VLOOKUP($C140,'[1]2021-2022'!$A:$D,4,FALSE),"")</f>
        <v>50100</v>
      </c>
      <c r="N140">
        <f>IFERROR(VLOOKUP($C140,'[1]2022-2023'!$A:$D,4,FALSE),"")</f>
        <v>64769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f>IFERROR(VLOOKUP($C141,'[1]2013-2014'!$A:$D,4,FALSE),"")</f>
        <v>20877</v>
      </c>
      <c r="F141">
        <f>IFERROR(VLOOKUP($C141,'[1]2014-2015'!$A:$D,4,FALSE),"")</f>
        <v>20585</v>
      </c>
      <c r="G141">
        <f>IFERROR(VLOOKUP($C141,'[1]2015-2016'!$A:$D,4,FALSE),"")</f>
        <v>26917</v>
      </c>
      <c r="H141">
        <f>IFERROR(VLOOKUP($C141,'[1]2016-2017'!$A:$D,4,FALSE),"")</f>
        <v>26113</v>
      </c>
      <c r="I141">
        <f>IFERROR(VLOOKUP($C141,'[1]2017-2018'!$A:$D,4,FALSE),"")</f>
        <v>22420</v>
      </c>
      <c r="J141">
        <f>IFERROR(VLOOKUP($C141,'[1]2018-2019'!$A:$D,4,FALSE),"")</f>
        <v>39215</v>
      </c>
      <c r="K141">
        <f>IFERROR(VLOOKUP($C141,'[1]2019-2020'!$A:$D,4,FALSE),"")</f>
        <v>30411</v>
      </c>
      <c r="L141">
        <f>IFERROR(VLOOKUP($C141,'[1]2020-2021'!$A:$D,4,FALSE),"")</f>
        <v>9804</v>
      </c>
      <c r="M141">
        <f>IFERROR(VLOOKUP($C141,'[1]2021-2022'!$A:$D,4,FALSE),"")</f>
        <v>28108</v>
      </c>
      <c r="N141">
        <f>IFERROR(VLOOKUP($C141,'[1]2022-2023'!$A:$D,4,FALSE),"")</f>
        <v>28785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f>IFERROR(VLOOKUP($C142,'[1]2013-2014'!$A:$D,4,FALSE),"")</f>
        <v>41975</v>
      </c>
      <c r="F142">
        <f>IFERROR(VLOOKUP($C142,'[1]2014-2015'!$A:$D,4,FALSE),"")</f>
        <v>22527</v>
      </c>
      <c r="G142">
        <f>IFERROR(VLOOKUP($C142,'[1]2015-2016'!$A:$D,4,FALSE),"")</f>
        <v>52513</v>
      </c>
      <c r="H142">
        <f>IFERROR(VLOOKUP($C142,'[1]2016-2017'!$A:$D,4,FALSE),"")</f>
        <v>44071</v>
      </c>
      <c r="I142">
        <f>IFERROR(VLOOKUP($C142,'[1]2017-2018'!$A:$D,4,FALSE),"")</f>
        <v>32488</v>
      </c>
      <c r="J142">
        <f>IFERROR(VLOOKUP($C142,'[1]2018-2019'!$A:$D,4,FALSE),"")</f>
        <v>26789</v>
      </c>
      <c r="K142">
        <f>IFERROR(VLOOKUP($C142,'[1]2019-2020'!$A:$D,4,FALSE),"")</f>
        <v>23393</v>
      </c>
      <c r="L142">
        <f>IFERROR(VLOOKUP($C142,'[1]2020-2021'!$A:$D,4,FALSE),"")</f>
        <v>5264</v>
      </c>
      <c r="M142">
        <f>IFERROR(VLOOKUP($C142,'[1]2021-2022'!$A:$D,4,FALSE),"")</f>
        <v>18313</v>
      </c>
      <c r="N142">
        <f>IFERROR(VLOOKUP($C142,'[1]2022-2023'!$A:$D,4,FALSE),"")</f>
        <v>34534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f>IFERROR(VLOOKUP($C143,'[1]2013-2014'!$A:$D,4,FALSE),"")</f>
        <v>26843</v>
      </c>
      <c r="F143">
        <f>IFERROR(VLOOKUP($C143,'[1]2014-2015'!$A:$D,4,FALSE),"")</f>
        <v>16848</v>
      </c>
      <c r="G143">
        <f>IFERROR(VLOOKUP($C143,'[1]2015-2016'!$A:$D,4,FALSE),"")</f>
        <v>16284</v>
      </c>
      <c r="H143">
        <f>IFERROR(VLOOKUP($C143,'[1]2016-2017'!$A:$D,4,FALSE),"")</f>
        <v>11597</v>
      </c>
      <c r="I143">
        <f>IFERROR(VLOOKUP($C143,'[1]2017-2018'!$A:$D,4,FALSE),"")</f>
        <v>15834</v>
      </c>
      <c r="J143">
        <f>IFERROR(VLOOKUP($C143,'[1]2018-2019'!$A:$D,4,FALSE),"")</f>
        <v>8825</v>
      </c>
      <c r="K143">
        <f>IFERROR(VLOOKUP($C143,'[1]2019-2020'!$A:$D,4,FALSE),"")</f>
        <v>9745</v>
      </c>
      <c r="L143">
        <f>IFERROR(VLOOKUP($C143,'[1]2020-2021'!$A:$D,4,FALSE),"")</f>
        <v>0</v>
      </c>
      <c r="M143">
        <f>IFERROR(VLOOKUP($C143,'[1]2021-2022'!$A:$D,4,FALSE),"")</f>
        <v>3690</v>
      </c>
      <c r="N143">
        <f>IFERROR(VLOOKUP($C143,'[1]2022-2023'!$A:$D,4,FALSE),"")</f>
        <v>4157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f>IFERROR(VLOOKUP($C144,'[1]2013-2014'!$A:$D,4,FALSE),"")</f>
        <v>26938</v>
      </c>
      <c r="F144">
        <f>IFERROR(VLOOKUP($C144,'[1]2014-2015'!$A:$D,4,FALSE),"")</f>
        <v>25256</v>
      </c>
      <c r="G144">
        <f>IFERROR(VLOOKUP($C144,'[1]2015-2016'!$A:$D,4,FALSE),"")</f>
        <v>31105</v>
      </c>
      <c r="H144">
        <f>IFERROR(VLOOKUP($C144,'[1]2016-2017'!$A:$D,4,FALSE),"")</f>
        <v>37442</v>
      </c>
      <c r="I144">
        <f>IFERROR(VLOOKUP($C144,'[1]2017-2018'!$A:$D,4,FALSE),"")</f>
        <v>17343</v>
      </c>
      <c r="J144">
        <f>IFERROR(VLOOKUP($C144,'[1]2018-2019'!$A:$D,4,FALSE),"")</f>
        <v>22206</v>
      </c>
      <c r="K144">
        <f>IFERROR(VLOOKUP($C144,'[1]2019-2020'!$A:$D,4,FALSE),"")</f>
        <v>19568</v>
      </c>
      <c r="L144">
        <f>IFERROR(VLOOKUP($C144,'[1]2020-2021'!$A:$D,4,FALSE),"")</f>
        <v>0</v>
      </c>
      <c r="M144">
        <f>IFERROR(VLOOKUP($C144,'[1]2021-2022'!$A:$D,4,FALSE),"")</f>
        <v>11855</v>
      </c>
      <c r="N144">
        <f>IFERROR(VLOOKUP($C144,'[1]2022-2023'!$A:$D,4,FALSE),"")</f>
        <v>19220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f>IFERROR(VLOOKUP($C145,'[1]2013-2014'!$A:$D,4,FALSE),"")</f>
        <v>40996</v>
      </c>
      <c r="F145">
        <f>IFERROR(VLOOKUP($C145,'[1]2014-2015'!$A:$D,4,FALSE),"")</f>
        <v>42453</v>
      </c>
      <c r="G145">
        <f>IFERROR(VLOOKUP($C145,'[1]2015-2016'!$A:$D,4,FALSE),"")</f>
        <v>41801</v>
      </c>
      <c r="H145">
        <f>IFERROR(VLOOKUP($C145,'[1]2016-2017'!$A:$D,4,FALSE),"")</f>
        <v>34075</v>
      </c>
      <c r="I145">
        <f>IFERROR(VLOOKUP($C145,'[1]2017-2018'!$A:$D,4,FALSE),"")</f>
        <v>35210</v>
      </c>
      <c r="J145">
        <f>IFERROR(VLOOKUP($C145,'[1]2018-2019'!$A:$D,4,FALSE),"")</f>
        <v>31345</v>
      </c>
      <c r="K145">
        <f>IFERROR(VLOOKUP($C145,'[1]2019-2020'!$A:$D,4,FALSE),"")</f>
        <v>27446</v>
      </c>
      <c r="L145">
        <f>IFERROR(VLOOKUP($C145,'[1]2020-2021'!$A:$D,4,FALSE),"")</f>
        <v>0</v>
      </c>
      <c r="M145">
        <f>IFERROR(VLOOKUP($C145,'[1]2021-2022'!$A:$D,4,FALSE),"")</f>
        <v>16126</v>
      </c>
      <c r="N145">
        <f>IFERROR(VLOOKUP($C145,'[1]2022-2023'!$A:$D,4,FALSE),"")</f>
        <v>22931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f>IFERROR(VLOOKUP($C146,'[1]2013-2014'!$A:$D,4,FALSE),"")</f>
        <v>16564</v>
      </c>
      <c r="F146">
        <f>IFERROR(VLOOKUP($C146,'[1]2014-2015'!$A:$D,4,FALSE),"")</f>
        <v>15571</v>
      </c>
      <c r="G146">
        <f>IFERROR(VLOOKUP($C146,'[1]2015-2016'!$A:$D,4,FALSE),"")</f>
        <v>16491</v>
      </c>
      <c r="H146">
        <f>IFERROR(VLOOKUP($C146,'[1]2016-2017'!$A:$D,4,FALSE),"")</f>
        <v>14862</v>
      </c>
      <c r="I146">
        <f>IFERROR(VLOOKUP($C146,'[1]2017-2018'!$A:$D,4,FALSE),"")</f>
        <v>19973</v>
      </c>
      <c r="J146">
        <f>IFERROR(VLOOKUP($C146,'[1]2018-2019'!$A:$D,4,FALSE),"")</f>
        <v>18491</v>
      </c>
      <c r="K146">
        <f>IFERROR(VLOOKUP($C146,'[1]2019-2020'!$A:$D,4,FALSE),"")</f>
        <v>18293</v>
      </c>
      <c r="L146">
        <f>IFERROR(VLOOKUP($C146,'[1]2020-2021'!$A:$D,4,FALSE),"")</f>
        <v>0</v>
      </c>
      <c r="M146">
        <f>IFERROR(VLOOKUP($C146,'[1]2021-2022'!$A:$D,4,FALSE),"")</f>
        <v>23659</v>
      </c>
      <c r="N146">
        <f>IFERROR(VLOOKUP($C146,'[1]2022-2023'!$A:$D,4,FALSE),"")</f>
        <v>19716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f>IFERROR(VLOOKUP($C147,'[1]2013-2014'!$A:$D,4,FALSE),"")</f>
        <v>51069</v>
      </c>
      <c r="F147">
        <f>IFERROR(VLOOKUP($C147,'[1]2014-2015'!$A:$D,4,FALSE),"")</f>
        <v>63797</v>
      </c>
      <c r="G147">
        <f>IFERROR(VLOOKUP($C147,'[1]2015-2016'!$A:$D,4,FALSE),"")</f>
        <v>60802</v>
      </c>
      <c r="H147">
        <f>IFERROR(VLOOKUP($C147,'[1]2016-2017'!$A:$D,4,FALSE),"")</f>
        <v>58472</v>
      </c>
      <c r="I147">
        <f>IFERROR(VLOOKUP($C147,'[1]2017-2018'!$A:$D,4,FALSE),"")</f>
        <v>63278</v>
      </c>
      <c r="J147">
        <f>IFERROR(VLOOKUP($C147,'[1]2018-2019'!$A:$D,4,FALSE),"")</f>
        <v>55156</v>
      </c>
      <c r="K147">
        <f>IFERROR(VLOOKUP($C147,'[1]2019-2020'!$A:$D,4,FALSE),"")</f>
        <v>59084</v>
      </c>
      <c r="L147">
        <f>IFERROR(VLOOKUP($C147,'[1]2020-2021'!$A:$D,4,FALSE),"")</f>
        <v>7324</v>
      </c>
      <c r="M147">
        <f>IFERROR(VLOOKUP($C147,'[1]2021-2022'!$A:$D,4,FALSE),"")</f>
        <v>35209</v>
      </c>
      <c r="N147">
        <f>IFERROR(VLOOKUP($C147,'[1]2022-2023'!$A:$D,4,FALSE),"")</f>
        <v>44409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f>IFERROR(VLOOKUP($C148,'[1]2013-2014'!$A:$D,4,FALSE),"")</f>
        <v>62797</v>
      </c>
      <c r="F148">
        <f>IFERROR(VLOOKUP($C148,'[1]2014-2015'!$A:$D,4,FALSE),"")</f>
        <v>72136</v>
      </c>
      <c r="G148">
        <f>IFERROR(VLOOKUP($C148,'[1]2015-2016'!$A:$D,4,FALSE),"")</f>
        <v>65547</v>
      </c>
      <c r="H148">
        <f>IFERROR(VLOOKUP($C148,'[1]2016-2017'!$A:$D,4,FALSE),"")</f>
        <v>50017</v>
      </c>
      <c r="I148">
        <f>IFERROR(VLOOKUP($C148,'[1]2017-2018'!$A:$D,4,FALSE),"")</f>
        <v>55167</v>
      </c>
      <c r="J148">
        <f>IFERROR(VLOOKUP($C148,'[1]2018-2019'!$A:$D,4,FALSE),"")</f>
        <v>38720</v>
      </c>
      <c r="K148">
        <f>IFERROR(VLOOKUP($C148,'[1]2019-2020'!$A:$D,4,FALSE),"")</f>
        <v>42225</v>
      </c>
      <c r="L148">
        <f>IFERROR(VLOOKUP($C148,'[1]2020-2021'!$A:$D,4,FALSE),"")</f>
        <v>19200</v>
      </c>
      <c r="M148">
        <f>IFERROR(VLOOKUP($C148,'[1]2021-2022'!$A:$D,4,FALSE),"")</f>
        <v>43256</v>
      </c>
      <c r="N148">
        <f>IFERROR(VLOOKUP($C148,'[1]2022-2023'!$A:$D,4,FALSE),"")</f>
        <v>37686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f>IFERROR(VLOOKUP($C149,'[1]2013-2014'!$A:$D,4,FALSE),"")</f>
        <v>383070</v>
      </c>
      <c r="F149">
        <f>IFERROR(VLOOKUP($C149,'[1]2014-2015'!$A:$D,4,FALSE),"")</f>
        <v>406338</v>
      </c>
      <c r="G149">
        <f>IFERROR(VLOOKUP($C149,'[1]2015-2016'!$A:$D,4,FALSE),"")</f>
        <v>396333</v>
      </c>
      <c r="H149">
        <f>IFERROR(VLOOKUP($C149,'[1]2016-2017'!$A:$D,4,FALSE),"")</f>
        <v>354390</v>
      </c>
      <c r="I149">
        <f>IFERROR(VLOOKUP($C149,'[1]2017-2018'!$A:$D,4,FALSE),"")</f>
        <v>371427</v>
      </c>
      <c r="J149">
        <f>IFERROR(VLOOKUP($C149,'[1]2018-2019'!$A:$D,4,FALSE),"")</f>
        <v>283471</v>
      </c>
      <c r="K149">
        <f>IFERROR(VLOOKUP($C149,'[1]2019-2020'!$A:$D,4,FALSE),"")</f>
        <v>299846</v>
      </c>
      <c r="L149">
        <f>IFERROR(VLOOKUP($C149,'[1]2020-2021'!$A:$D,4,FALSE),"")</f>
        <v>35009</v>
      </c>
      <c r="M149">
        <f>IFERROR(VLOOKUP($C149,'[1]2021-2022'!$A:$D,4,FALSE),"")</f>
        <v>211867</v>
      </c>
      <c r="N149">
        <f>IFERROR(VLOOKUP($C149,'[1]2022-2023'!$A:$D,4,FALSE),"")</f>
        <v>212441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f>IFERROR(VLOOKUP($C150,'[1]2013-2014'!$A:$D,4,FALSE),"")</f>
        <v>26993</v>
      </c>
      <c r="F150">
        <f>IFERROR(VLOOKUP($C150,'[1]2014-2015'!$A:$D,4,FALSE),"")</f>
        <v>33163</v>
      </c>
      <c r="G150">
        <f>IFERROR(VLOOKUP($C150,'[1]2015-2016'!$A:$D,4,FALSE),"")</f>
        <v>29308</v>
      </c>
      <c r="H150">
        <f>IFERROR(VLOOKUP($C150,'[1]2016-2017'!$A:$D,4,FALSE),"")</f>
        <v>29791</v>
      </c>
      <c r="I150">
        <f>IFERROR(VLOOKUP($C150,'[1]2017-2018'!$A:$D,4,FALSE),"")</f>
        <v>36073</v>
      </c>
      <c r="J150">
        <f>IFERROR(VLOOKUP($C150,'[1]2018-2019'!$A:$D,4,FALSE),"")</f>
        <v>63103</v>
      </c>
      <c r="K150">
        <f>IFERROR(VLOOKUP($C150,'[1]2019-2020'!$A:$D,4,FALSE),"")</f>
        <v>51433</v>
      </c>
      <c r="L150">
        <f>IFERROR(VLOOKUP($C150,'[1]2020-2021'!$A:$D,4,FALSE),"")</f>
        <v>0</v>
      </c>
      <c r="M150">
        <f>IFERROR(VLOOKUP($C150,'[1]2021-2022'!$A:$D,4,FALSE),"")</f>
        <v>45731</v>
      </c>
      <c r="N150">
        <f>IFERROR(VLOOKUP($C150,'[1]2022-2023'!$A:$D,4,FALSE),"")</f>
        <v>47217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f>IFERROR(VLOOKUP($C151,'[1]2013-2014'!$A:$D,4,FALSE),"")</f>
        <v>12837</v>
      </c>
      <c r="F151">
        <f>IFERROR(VLOOKUP($C151,'[1]2014-2015'!$A:$D,4,FALSE),"")</f>
        <v>11205</v>
      </c>
      <c r="G151">
        <f>IFERROR(VLOOKUP($C151,'[1]2015-2016'!$A:$D,4,FALSE),"")</f>
        <v>10549</v>
      </c>
      <c r="H151">
        <f>IFERROR(VLOOKUP($C151,'[1]2016-2017'!$A:$D,4,FALSE),"")</f>
        <v>11070</v>
      </c>
      <c r="I151">
        <f>IFERROR(VLOOKUP($C151,'[1]2017-2018'!$A:$D,4,FALSE),"")</f>
        <v>9809</v>
      </c>
      <c r="J151">
        <f>IFERROR(VLOOKUP($C151,'[1]2018-2019'!$A:$D,4,FALSE),"")</f>
        <v>8833</v>
      </c>
      <c r="K151">
        <f>IFERROR(VLOOKUP($C151,'[1]2019-2020'!$A:$D,4,FALSE),"")</f>
        <v>9782</v>
      </c>
      <c r="L151">
        <f>IFERROR(VLOOKUP($C151,'[1]2020-2021'!$A:$D,4,FALSE),"")</f>
        <v>0</v>
      </c>
      <c r="M151">
        <f>IFERROR(VLOOKUP($C151,'[1]2021-2022'!$A:$D,4,FALSE),"")</f>
        <v>7619</v>
      </c>
      <c r="N151">
        <f>IFERROR(VLOOKUP($C151,'[1]2022-2023'!$A:$D,4,FALSE),"")</f>
        <v>12026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f>IFERROR(VLOOKUP($C152,'[1]2013-2014'!$A:$D,4,FALSE),"")</f>
        <v>142567</v>
      </c>
      <c r="F152">
        <f>IFERROR(VLOOKUP($C152,'[1]2014-2015'!$A:$D,4,FALSE),"")</f>
        <v>151249</v>
      </c>
      <c r="G152">
        <f>IFERROR(VLOOKUP($C152,'[1]2015-2016'!$A:$D,4,FALSE),"")</f>
        <v>204890</v>
      </c>
      <c r="H152">
        <f>IFERROR(VLOOKUP($C152,'[1]2016-2017'!$A:$D,4,FALSE),"")</f>
        <v>112307</v>
      </c>
      <c r="I152">
        <f>IFERROR(VLOOKUP($C152,'[1]2017-2018'!$A:$D,4,FALSE),"")</f>
        <v>162533</v>
      </c>
      <c r="J152">
        <f>IFERROR(VLOOKUP($C152,'[1]2018-2019'!$A:$D,4,FALSE),"")</f>
        <v>179116</v>
      </c>
      <c r="K152">
        <f>IFERROR(VLOOKUP($C152,'[1]2019-2020'!$A:$D,4,FALSE),"")</f>
        <v>171294</v>
      </c>
      <c r="L152">
        <f>IFERROR(VLOOKUP($C152,'[1]2020-2021'!$A:$D,4,FALSE),"")</f>
        <v>28433</v>
      </c>
      <c r="M152">
        <f>IFERROR(VLOOKUP($C152,'[1]2021-2022'!$A:$D,4,FALSE),"")</f>
        <v>178562</v>
      </c>
      <c r="N152">
        <f>IFERROR(VLOOKUP($C152,'[1]2022-2023'!$A:$D,4,FALSE),"")</f>
        <v>167723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f>IFERROR(VLOOKUP($C153,'[1]2013-2014'!$A:$D,4,FALSE),"")</f>
        <v>17059</v>
      </c>
      <c r="F153">
        <f>IFERROR(VLOOKUP($C153,'[1]2014-2015'!$A:$D,4,FALSE),"")</f>
        <v>14627</v>
      </c>
      <c r="G153">
        <f>IFERROR(VLOOKUP($C153,'[1]2015-2016'!$A:$D,4,FALSE),"")</f>
        <v>16770</v>
      </c>
      <c r="H153">
        <f>IFERROR(VLOOKUP($C153,'[1]2016-2017'!$A:$D,4,FALSE),"")</f>
        <v>10867</v>
      </c>
      <c r="I153">
        <f>IFERROR(VLOOKUP($C153,'[1]2017-2018'!$A:$D,4,FALSE),"")</f>
        <v>12344</v>
      </c>
      <c r="J153">
        <f>IFERROR(VLOOKUP($C153,'[1]2018-2019'!$A:$D,4,FALSE),"")</f>
        <v>12109</v>
      </c>
      <c r="K153">
        <f>IFERROR(VLOOKUP($C153,'[1]2019-2020'!$A:$D,4,FALSE),"")</f>
        <v>10711</v>
      </c>
      <c r="L153">
        <f>IFERROR(VLOOKUP($C153,'[1]2020-2021'!$A:$D,4,FALSE),"")</f>
        <v>0</v>
      </c>
      <c r="M153">
        <f>IFERROR(VLOOKUP($C153,'[1]2021-2022'!$A:$D,4,FALSE),"")</f>
        <v>8330</v>
      </c>
      <c r="N153">
        <f>IFERROR(VLOOKUP($C153,'[1]2022-2023'!$A:$D,4,FALSE),"")</f>
        <v>10149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f>IFERROR(VLOOKUP($C154,'[1]2013-2014'!$A:$D,4,FALSE),"")</f>
        <v>23469</v>
      </c>
      <c r="F154">
        <f>IFERROR(VLOOKUP($C154,'[1]2014-2015'!$A:$D,4,FALSE),"")</f>
        <v>17134</v>
      </c>
      <c r="G154">
        <f>IFERROR(VLOOKUP($C154,'[1]2015-2016'!$A:$D,4,FALSE),"")</f>
        <v>17715</v>
      </c>
      <c r="H154">
        <f>IFERROR(VLOOKUP($C154,'[1]2016-2017'!$A:$D,4,FALSE),"")</f>
        <v>14974</v>
      </c>
      <c r="I154">
        <f>IFERROR(VLOOKUP($C154,'[1]2017-2018'!$A:$D,4,FALSE),"")</f>
        <v>12044</v>
      </c>
      <c r="J154">
        <f>IFERROR(VLOOKUP($C154,'[1]2018-2019'!$A:$D,4,FALSE),"")</f>
        <v>13972</v>
      </c>
      <c r="K154">
        <f>IFERROR(VLOOKUP($C154,'[1]2019-2020'!$A:$D,4,FALSE),"")</f>
        <v>14856</v>
      </c>
      <c r="L154">
        <f>IFERROR(VLOOKUP($C154,'[1]2020-2021'!$A:$D,4,FALSE),"")</f>
        <v>0</v>
      </c>
      <c r="M154">
        <f>IFERROR(VLOOKUP($C154,'[1]2021-2022'!$A:$D,4,FALSE),"")</f>
        <v>9094</v>
      </c>
      <c r="N154">
        <f>IFERROR(VLOOKUP($C154,'[1]2022-2023'!$A:$D,4,FALSE),"")</f>
        <v>12327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f>IFERROR(VLOOKUP($C155,'[1]2013-2014'!$A:$D,4,FALSE),"")</f>
        <v>17477</v>
      </c>
      <c r="F155">
        <f>IFERROR(VLOOKUP($C155,'[1]2014-2015'!$A:$D,4,FALSE),"")</f>
        <v>16120</v>
      </c>
      <c r="G155">
        <f>IFERROR(VLOOKUP($C155,'[1]2015-2016'!$A:$D,4,FALSE),"")</f>
        <v>18209</v>
      </c>
      <c r="H155">
        <f>IFERROR(VLOOKUP($C155,'[1]2016-2017'!$A:$D,4,FALSE),"")</f>
        <v>15049</v>
      </c>
      <c r="I155">
        <f>IFERROR(VLOOKUP($C155,'[1]2017-2018'!$A:$D,4,FALSE),"")</f>
        <v>15916</v>
      </c>
      <c r="J155">
        <f>IFERROR(VLOOKUP($C155,'[1]2018-2019'!$A:$D,4,FALSE),"")</f>
        <v>14213</v>
      </c>
      <c r="K155">
        <f>IFERROR(VLOOKUP($C155,'[1]2019-2020'!$A:$D,4,FALSE),"")</f>
        <v>17050</v>
      </c>
      <c r="L155">
        <f>IFERROR(VLOOKUP($C155,'[1]2020-2021'!$A:$D,4,FALSE),"")</f>
        <v>2</v>
      </c>
      <c r="M155">
        <f>IFERROR(VLOOKUP($C155,'[1]2021-2022'!$A:$D,4,FALSE),"")</f>
        <v>14774</v>
      </c>
      <c r="N155">
        <f>IFERROR(VLOOKUP($C155,'[1]2022-2023'!$A:$D,4,FALSE),"")</f>
        <v>15553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f>IFERROR(VLOOKUP($C156,'[1]2013-2014'!$A:$D,4,FALSE),"")</f>
        <v>245232</v>
      </c>
      <c r="F156">
        <f>IFERROR(VLOOKUP($C156,'[1]2014-2015'!$A:$D,4,FALSE),"")</f>
        <v>232161</v>
      </c>
      <c r="G156">
        <f>IFERROR(VLOOKUP($C156,'[1]2015-2016'!$A:$D,4,FALSE),"")</f>
        <v>252858</v>
      </c>
      <c r="H156">
        <f>IFERROR(VLOOKUP($C156,'[1]2016-2017'!$A:$D,4,FALSE),"")</f>
        <v>233169</v>
      </c>
      <c r="I156">
        <f>IFERROR(VLOOKUP($C156,'[1]2017-2018'!$A:$D,4,FALSE),"")</f>
        <v>246469</v>
      </c>
      <c r="J156">
        <f>IFERROR(VLOOKUP($C156,'[1]2018-2019'!$A:$D,4,FALSE),"")</f>
        <v>296611</v>
      </c>
      <c r="K156">
        <f>IFERROR(VLOOKUP($C156,'[1]2019-2020'!$A:$D,4,FALSE),"")</f>
        <v>242324</v>
      </c>
      <c r="L156">
        <f>IFERROR(VLOOKUP($C156,'[1]2020-2021'!$A:$D,4,FALSE),"")</f>
        <v>1800</v>
      </c>
      <c r="M156">
        <f>IFERROR(VLOOKUP($C156,'[1]2021-2022'!$A:$D,4,FALSE),"")</f>
        <v>215925</v>
      </c>
      <c r="N156">
        <f>IFERROR(VLOOKUP($C156,'[1]2022-2023'!$A:$D,4,FALSE),"")</f>
        <v>243584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f>IFERROR(VLOOKUP($C157,'[1]2013-2014'!$A:$D,4,FALSE),"")</f>
        <v>75411</v>
      </c>
      <c r="F157">
        <f>IFERROR(VLOOKUP($C157,'[1]2014-2015'!$A:$D,4,FALSE),"")</f>
        <v>86827</v>
      </c>
      <c r="G157">
        <f>IFERROR(VLOOKUP($C157,'[1]2015-2016'!$A:$D,4,FALSE),"")</f>
        <v>76632</v>
      </c>
      <c r="H157">
        <f>IFERROR(VLOOKUP($C157,'[1]2016-2017'!$A:$D,4,FALSE),"")</f>
        <v>93045</v>
      </c>
      <c r="I157">
        <f>IFERROR(VLOOKUP($C157,'[1]2017-2018'!$A:$D,4,FALSE),"")</f>
        <v>93253</v>
      </c>
      <c r="J157">
        <f>IFERROR(VLOOKUP($C157,'[1]2018-2019'!$A:$D,4,FALSE),"")</f>
        <v>115243</v>
      </c>
      <c r="K157">
        <f>IFERROR(VLOOKUP($C157,'[1]2019-2020'!$A:$D,4,FALSE),"")</f>
        <v>90135</v>
      </c>
      <c r="L157">
        <f>IFERROR(VLOOKUP($C157,'[1]2020-2021'!$A:$D,4,FALSE),"")</f>
        <v>14216</v>
      </c>
      <c r="M157">
        <f>IFERROR(VLOOKUP($C157,'[1]2021-2022'!$A:$D,4,FALSE),"")</f>
        <v>71148</v>
      </c>
      <c r="N157">
        <f>IFERROR(VLOOKUP($C157,'[1]2022-2023'!$A:$D,4,FALSE),"")</f>
        <v>79145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f>IFERROR(VLOOKUP($C158,'[1]2013-2014'!$A:$D,4,FALSE),"")</f>
        <v>200913</v>
      </c>
      <c r="F158">
        <f>IFERROR(VLOOKUP($C158,'[1]2014-2015'!$A:$D,4,FALSE),"")</f>
        <v>241197</v>
      </c>
      <c r="G158">
        <f>IFERROR(VLOOKUP($C158,'[1]2015-2016'!$A:$D,4,FALSE),"")</f>
        <v>303676</v>
      </c>
      <c r="H158">
        <f>IFERROR(VLOOKUP($C158,'[1]2016-2017'!$A:$D,4,FALSE),"")</f>
        <v>299306</v>
      </c>
      <c r="I158">
        <f>IFERROR(VLOOKUP($C158,'[1]2017-2018'!$A:$D,4,FALSE),"")</f>
        <v>264164</v>
      </c>
      <c r="J158">
        <f>IFERROR(VLOOKUP($C158,'[1]2018-2019'!$A:$D,4,FALSE),"")</f>
        <v>252155</v>
      </c>
      <c r="K158">
        <f>IFERROR(VLOOKUP($C158,'[1]2019-2020'!$A:$D,4,FALSE),"")</f>
        <v>260720</v>
      </c>
      <c r="L158">
        <f>IFERROR(VLOOKUP($C158,'[1]2020-2021'!$A:$D,4,FALSE),"")</f>
        <v>0</v>
      </c>
      <c r="M158">
        <f>IFERROR(VLOOKUP($C158,'[1]2021-2022'!$A:$D,4,FALSE),"")</f>
        <v>234937</v>
      </c>
      <c r="N158">
        <f>IFERROR(VLOOKUP($C158,'[1]2022-2023'!$A:$D,4,FALSE),"")</f>
        <v>238777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f>IFERROR(VLOOKUP($C159,'[1]2013-2014'!$A:$D,4,FALSE),"")</f>
        <v>85069</v>
      </c>
      <c r="F159">
        <f>IFERROR(VLOOKUP($C159,'[1]2014-2015'!$A:$D,4,FALSE),"")</f>
        <v>68291</v>
      </c>
      <c r="G159">
        <f>IFERROR(VLOOKUP($C159,'[1]2015-2016'!$A:$D,4,FALSE),"")</f>
        <v>53841</v>
      </c>
      <c r="H159">
        <f>IFERROR(VLOOKUP($C159,'[1]2016-2017'!$A:$D,4,FALSE),"")</f>
        <v>59338</v>
      </c>
      <c r="I159">
        <f>IFERROR(VLOOKUP($C159,'[1]2017-2018'!$A:$D,4,FALSE),"")</f>
        <v>50901</v>
      </c>
      <c r="J159">
        <f>IFERROR(VLOOKUP($C159,'[1]2018-2019'!$A:$D,4,FALSE),"")</f>
        <v>47468</v>
      </c>
      <c r="K159">
        <f>IFERROR(VLOOKUP($C159,'[1]2019-2020'!$A:$D,4,FALSE),"")</f>
        <v>43477</v>
      </c>
      <c r="L159">
        <f>IFERROR(VLOOKUP($C159,'[1]2020-2021'!$A:$D,4,FALSE),"")</f>
        <v>0</v>
      </c>
      <c r="M159">
        <f>IFERROR(VLOOKUP($C159,'[1]2021-2022'!$A:$D,4,FALSE),"")</f>
        <v>33708</v>
      </c>
      <c r="N159">
        <f>IFERROR(VLOOKUP($C159,'[1]2022-2023'!$A:$D,4,FALSE),"")</f>
        <v>50124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f>IFERROR(VLOOKUP($C160,'[1]2013-2014'!$A:$D,4,FALSE),"")</f>
        <v>10208</v>
      </c>
      <c r="F160">
        <f>IFERROR(VLOOKUP($C160,'[1]2014-2015'!$A:$D,4,FALSE),"")</f>
        <v>15749</v>
      </c>
      <c r="G160">
        <f>IFERROR(VLOOKUP($C160,'[1]2015-2016'!$A:$D,4,FALSE),"")</f>
        <v>8497</v>
      </c>
      <c r="H160">
        <f>IFERROR(VLOOKUP($C160,'[1]2016-2017'!$A:$D,4,FALSE),"")</f>
        <v>8708</v>
      </c>
      <c r="I160">
        <f>IFERROR(VLOOKUP($C160,'[1]2017-2018'!$A:$D,4,FALSE),"")</f>
        <v>9527</v>
      </c>
      <c r="J160">
        <f>IFERROR(VLOOKUP($C160,'[1]2018-2019'!$A:$D,4,FALSE),"")</f>
        <v>33740</v>
      </c>
      <c r="K160">
        <f>IFERROR(VLOOKUP($C160,'[1]2019-2020'!$A:$D,4,FALSE),"")</f>
        <v>43304</v>
      </c>
      <c r="L160">
        <f>IFERROR(VLOOKUP($C160,'[1]2020-2021'!$A:$D,4,FALSE),"")</f>
        <v>4203</v>
      </c>
      <c r="M160">
        <f>IFERROR(VLOOKUP($C160,'[1]2021-2022'!$A:$D,4,FALSE),"")</f>
        <v>15531</v>
      </c>
      <c r="N160">
        <f>IFERROR(VLOOKUP($C160,'[1]2022-2023'!$A:$D,4,FALSE),"")</f>
        <v>32023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f>IFERROR(VLOOKUP($C161,'[1]2013-2014'!$A:$D,4,FALSE),"")</f>
        <v>290183</v>
      </c>
      <c r="F161">
        <f>IFERROR(VLOOKUP($C161,'[1]2014-2015'!$A:$D,4,FALSE),"")</f>
        <v>250478</v>
      </c>
      <c r="G161">
        <f>IFERROR(VLOOKUP($C161,'[1]2015-2016'!$A:$D,4,FALSE),"")</f>
        <v>240579</v>
      </c>
      <c r="H161">
        <f>IFERROR(VLOOKUP($C161,'[1]2016-2017'!$A:$D,4,FALSE),"")</f>
        <v>173208</v>
      </c>
      <c r="I161">
        <f>IFERROR(VLOOKUP($C161,'[1]2017-2018'!$A:$D,4,FALSE),"")</f>
        <v>118277</v>
      </c>
      <c r="J161">
        <f>IFERROR(VLOOKUP($C161,'[1]2018-2019'!$A:$D,4,FALSE),"")</f>
        <v>287566</v>
      </c>
      <c r="K161">
        <f>IFERROR(VLOOKUP($C161,'[1]2019-2020'!$A:$D,4,FALSE),"")</f>
        <v>293622</v>
      </c>
      <c r="L161">
        <f>IFERROR(VLOOKUP($C161,'[1]2020-2021'!$A:$D,4,FALSE),"")</f>
        <v>21419</v>
      </c>
      <c r="M161">
        <f>IFERROR(VLOOKUP($C161,'[1]2021-2022'!$A:$D,4,FALSE),"")</f>
        <v>210948</v>
      </c>
      <c r="N161">
        <f>IFERROR(VLOOKUP($C161,'[1]2022-2023'!$A:$D,4,FALSE),"")</f>
        <v>171663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f>IFERROR(VLOOKUP($C162,'[1]2013-2014'!$A:$D,4,FALSE),"")</f>
        <v>42889</v>
      </c>
      <c r="F162">
        <f>IFERROR(VLOOKUP($C162,'[1]2014-2015'!$A:$D,4,FALSE),"")</f>
        <v>48758</v>
      </c>
      <c r="G162">
        <f>IFERROR(VLOOKUP($C162,'[1]2015-2016'!$A:$D,4,FALSE),"")</f>
        <v>48808</v>
      </c>
      <c r="H162">
        <f>IFERROR(VLOOKUP($C162,'[1]2016-2017'!$A:$D,4,FALSE),"")</f>
        <v>49707</v>
      </c>
      <c r="I162">
        <f>IFERROR(VLOOKUP($C162,'[1]2017-2018'!$A:$D,4,FALSE),"")</f>
        <v>42763</v>
      </c>
      <c r="J162">
        <f>IFERROR(VLOOKUP($C162,'[1]2018-2019'!$A:$D,4,FALSE),"")</f>
        <v>37630</v>
      </c>
      <c r="K162">
        <f>IFERROR(VLOOKUP($C162,'[1]2019-2020'!$A:$D,4,FALSE),"")</f>
        <v>41023</v>
      </c>
      <c r="L162">
        <f>IFERROR(VLOOKUP($C162,'[1]2020-2021'!$A:$D,4,FALSE),"")</f>
        <v>11949</v>
      </c>
      <c r="M162">
        <f>IFERROR(VLOOKUP($C162,'[1]2021-2022'!$A:$D,4,FALSE),"")</f>
        <v>28731</v>
      </c>
      <c r="N162">
        <f>IFERROR(VLOOKUP($C162,'[1]2022-2023'!$A:$D,4,FALSE),"")</f>
        <v>26390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f>IFERROR(VLOOKUP($C163,'[1]2013-2014'!$A:$D,4,FALSE),"")</f>
        <v>92424</v>
      </c>
      <c r="F163">
        <f>IFERROR(VLOOKUP($C163,'[1]2014-2015'!$A:$D,4,FALSE),"")</f>
        <v>91991</v>
      </c>
      <c r="G163">
        <f>IFERROR(VLOOKUP($C163,'[1]2015-2016'!$A:$D,4,FALSE),"")</f>
        <v>112110</v>
      </c>
      <c r="H163">
        <f>IFERROR(VLOOKUP($C163,'[1]2016-2017'!$A:$D,4,FALSE),"")</f>
        <v>113701</v>
      </c>
      <c r="I163">
        <f>IFERROR(VLOOKUP($C163,'[1]2017-2018'!$A:$D,4,FALSE),"")</f>
        <v>99639</v>
      </c>
      <c r="J163">
        <f>IFERROR(VLOOKUP($C163,'[1]2018-2019'!$A:$D,4,FALSE),"")</f>
        <v>106316</v>
      </c>
      <c r="K163">
        <f>IFERROR(VLOOKUP($C163,'[1]2019-2020'!$A:$D,4,FALSE),"")</f>
        <v>79415</v>
      </c>
      <c r="L163">
        <f>IFERROR(VLOOKUP($C163,'[1]2020-2021'!$A:$D,4,FALSE),"")</f>
        <v>0</v>
      </c>
      <c r="M163">
        <f>IFERROR(VLOOKUP($C163,'[1]2021-2022'!$A:$D,4,FALSE),"")</f>
        <v>64383</v>
      </c>
      <c r="N163">
        <f>IFERROR(VLOOKUP($C163,'[1]2022-2023'!$A:$D,4,FALSE),"")</f>
        <v>99020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f>IFERROR(VLOOKUP($C164,'[1]2013-2014'!$A:$D,4,FALSE),"")</f>
        <v>16816</v>
      </c>
      <c r="F164">
        <f>IFERROR(VLOOKUP($C164,'[1]2014-2015'!$A:$D,4,FALSE),"")</f>
        <v>18916</v>
      </c>
      <c r="G164">
        <f>IFERROR(VLOOKUP($C164,'[1]2015-2016'!$A:$D,4,FALSE),"")</f>
        <v>25670</v>
      </c>
      <c r="H164">
        <f>IFERROR(VLOOKUP($C164,'[1]2016-2017'!$A:$D,4,FALSE),"")</f>
        <v>26823</v>
      </c>
      <c r="I164">
        <f>IFERROR(VLOOKUP($C164,'[1]2017-2018'!$A:$D,4,FALSE),"")</f>
        <v>23389</v>
      </c>
      <c r="J164">
        <f>IFERROR(VLOOKUP($C164,'[1]2018-2019'!$A:$D,4,FALSE),"")</f>
        <v>25436</v>
      </c>
      <c r="K164">
        <f>IFERROR(VLOOKUP($C164,'[1]2019-2020'!$A:$D,4,FALSE),"")</f>
        <v>24118</v>
      </c>
      <c r="L164">
        <f>IFERROR(VLOOKUP($C164,'[1]2020-2021'!$A:$D,4,FALSE),"")</f>
        <v>0</v>
      </c>
      <c r="M164">
        <f>IFERROR(VLOOKUP($C164,'[1]2021-2022'!$A:$D,4,FALSE),"")</f>
        <v>32677</v>
      </c>
      <c r="N164">
        <f>IFERROR(VLOOKUP($C164,'[1]2022-2023'!$A:$D,4,FALSE),"")</f>
        <v>33242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f>IFERROR(VLOOKUP($C165,'[1]2013-2014'!$A:$D,4,FALSE),"")</f>
        <v>190477</v>
      </c>
      <c r="F165">
        <f>IFERROR(VLOOKUP($C165,'[1]2014-2015'!$A:$D,4,FALSE),"")</f>
        <v>221690</v>
      </c>
      <c r="G165">
        <f>IFERROR(VLOOKUP($C165,'[1]2015-2016'!$A:$D,4,FALSE),"")</f>
        <v>197398</v>
      </c>
      <c r="H165">
        <f>IFERROR(VLOOKUP($C165,'[1]2016-2017'!$A:$D,4,FALSE),"")</f>
        <v>200190</v>
      </c>
      <c r="I165">
        <f>IFERROR(VLOOKUP($C165,'[1]2017-2018'!$A:$D,4,FALSE),"")</f>
        <v>173948</v>
      </c>
      <c r="J165">
        <f>IFERROR(VLOOKUP($C165,'[1]2018-2019'!$A:$D,4,FALSE),"")</f>
        <v>225093</v>
      </c>
      <c r="K165">
        <f>IFERROR(VLOOKUP($C165,'[1]2019-2020'!$A:$D,4,FALSE),"")</f>
        <v>200621</v>
      </c>
      <c r="L165">
        <f>IFERROR(VLOOKUP($C165,'[1]2020-2021'!$A:$D,4,FALSE),"")</f>
        <v>644</v>
      </c>
      <c r="M165">
        <f>IFERROR(VLOOKUP($C165,'[1]2021-2022'!$A:$D,4,FALSE),"")</f>
        <v>179294</v>
      </c>
      <c r="N165">
        <f>IFERROR(VLOOKUP($C165,'[1]2022-2023'!$A:$D,4,FALSE),"")</f>
        <v>199725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f>IFERROR(VLOOKUP($C166,'[1]2013-2014'!$A:$D,4,FALSE),"")</f>
        <v>236752</v>
      </c>
      <c r="F166">
        <f>IFERROR(VLOOKUP($C166,'[1]2014-2015'!$A:$D,4,FALSE),"")</f>
        <v>236752</v>
      </c>
      <c r="G166">
        <f>IFERROR(VLOOKUP($C166,'[1]2015-2016'!$A:$D,4,FALSE),"")</f>
        <v>236752</v>
      </c>
      <c r="H166">
        <f>IFERROR(VLOOKUP($C166,'[1]2016-2017'!$A:$D,4,FALSE),"")</f>
        <v>236752</v>
      </c>
      <c r="I166">
        <f>IFERROR(VLOOKUP($C166,'[1]2017-2018'!$A:$D,4,FALSE),"")</f>
        <v>251549</v>
      </c>
      <c r="J166">
        <f>IFERROR(VLOOKUP($C166,'[1]2018-2019'!$A:$D,4,FALSE),"")</f>
        <v>236752</v>
      </c>
      <c r="K166">
        <f>IFERROR(VLOOKUP($C166,'[1]2019-2020'!$A:$D,4,FALSE),"")</f>
        <v>221955</v>
      </c>
      <c r="L166">
        <f>IFERROR(VLOOKUP($C166,'[1]2020-2021'!$A:$D,4,FALSE),"")</f>
        <v>557</v>
      </c>
      <c r="M166">
        <f>IFERROR(VLOOKUP($C166,'[1]2021-2022'!$A:$D,4,FALSE),"")</f>
        <v>221955</v>
      </c>
      <c r="N166">
        <f>IFERROR(VLOOKUP($C166,'[1]2022-2023'!$A:$D,4,FALSE),"")</f>
        <v>207158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f>IFERROR(VLOOKUP($C167,'[1]2013-2014'!$A:$D,4,FALSE),"")</f>
        <v>71446</v>
      </c>
      <c r="F167">
        <f>IFERROR(VLOOKUP($C167,'[1]2014-2015'!$A:$D,4,FALSE),"")</f>
        <v>64592</v>
      </c>
      <c r="G167">
        <f>IFERROR(VLOOKUP($C167,'[1]2015-2016'!$A:$D,4,FALSE),"")</f>
        <v>72569</v>
      </c>
      <c r="H167">
        <f>IFERROR(VLOOKUP($C167,'[1]2016-2017'!$A:$D,4,FALSE),"")</f>
        <v>88628</v>
      </c>
      <c r="I167">
        <f>IFERROR(VLOOKUP($C167,'[1]2017-2018'!$A:$D,4,FALSE),"")</f>
        <v>94837</v>
      </c>
      <c r="J167">
        <f>IFERROR(VLOOKUP($C167,'[1]2018-2019'!$A:$D,4,FALSE),"")</f>
        <v>56269</v>
      </c>
      <c r="K167">
        <f>IFERROR(VLOOKUP($C167,'[1]2019-2020'!$A:$D,4,FALSE),"")</f>
        <v>51789</v>
      </c>
      <c r="L167">
        <f>IFERROR(VLOOKUP($C167,'[1]2020-2021'!$A:$D,4,FALSE),"")</f>
        <v>2400</v>
      </c>
      <c r="M167">
        <f>IFERROR(VLOOKUP($C167,'[1]2021-2022'!$A:$D,4,FALSE),"")</f>
        <v>49418</v>
      </c>
      <c r="N167">
        <f>IFERROR(VLOOKUP($C167,'[1]2022-2023'!$A:$D,4,FALSE),"")</f>
        <v>51199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f>IFERROR(VLOOKUP($C168,'[1]2013-2014'!$A:$D,4,FALSE),"")</f>
        <v>37014</v>
      </c>
      <c r="F168">
        <f>IFERROR(VLOOKUP($C168,'[1]2014-2015'!$A:$D,4,FALSE),"")</f>
        <v>43880</v>
      </c>
      <c r="G168">
        <f>IFERROR(VLOOKUP($C168,'[1]2015-2016'!$A:$D,4,FALSE),"")</f>
        <v>34676</v>
      </c>
      <c r="H168">
        <f>IFERROR(VLOOKUP($C168,'[1]2016-2017'!$A:$D,4,FALSE),"")</f>
        <v>18990</v>
      </c>
      <c r="I168">
        <f>IFERROR(VLOOKUP($C168,'[1]2017-2018'!$A:$D,4,FALSE),"")</f>
        <v>24273</v>
      </c>
      <c r="J168">
        <f>IFERROR(VLOOKUP($C168,'[1]2018-2019'!$A:$D,4,FALSE),"")</f>
        <v>21191</v>
      </c>
      <c r="K168">
        <f>IFERROR(VLOOKUP($C168,'[1]2019-2020'!$A:$D,4,FALSE),"")</f>
        <v>21478</v>
      </c>
      <c r="L168">
        <f>IFERROR(VLOOKUP($C168,'[1]2020-2021'!$A:$D,4,FALSE),"")</f>
        <v>0</v>
      </c>
      <c r="M168">
        <f>IFERROR(VLOOKUP($C168,'[1]2021-2022'!$A:$D,4,FALSE),"")</f>
        <v>34025</v>
      </c>
      <c r="N168">
        <f>IFERROR(VLOOKUP($C168,'[1]2022-2023'!$A:$D,4,FALSE),"")</f>
        <v>32771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f>IFERROR(VLOOKUP($C169,'[1]2013-2014'!$A:$D,4,FALSE),"")</f>
        <v>236345</v>
      </c>
      <c r="F169">
        <f>IFERROR(VLOOKUP($C169,'[1]2014-2015'!$A:$D,4,FALSE),"")</f>
        <v>219389</v>
      </c>
      <c r="G169">
        <f>IFERROR(VLOOKUP($C169,'[1]2015-2016'!$A:$D,4,FALSE),"")</f>
        <v>182006</v>
      </c>
      <c r="H169">
        <f>IFERROR(VLOOKUP($C169,'[1]2016-2017'!$A:$D,4,FALSE),"")</f>
        <v>206171</v>
      </c>
      <c r="I169">
        <f>IFERROR(VLOOKUP($C169,'[1]2017-2018'!$A:$D,4,FALSE),"")</f>
        <v>201454</v>
      </c>
      <c r="J169">
        <f>IFERROR(VLOOKUP($C169,'[1]2018-2019'!$A:$D,4,FALSE),"")</f>
        <v>170796</v>
      </c>
      <c r="K169">
        <f>IFERROR(VLOOKUP($C169,'[1]2019-2020'!$A:$D,4,FALSE),"")</f>
        <v>163712</v>
      </c>
      <c r="L169">
        <f>IFERROR(VLOOKUP($C169,'[1]2020-2021'!$A:$D,4,FALSE),"")</f>
        <v>286</v>
      </c>
      <c r="M169">
        <f>IFERROR(VLOOKUP($C169,'[1]2021-2022'!$A:$D,4,FALSE),"")</f>
        <v>154006</v>
      </c>
      <c r="N169">
        <f>IFERROR(VLOOKUP($C169,'[1]2022-2023'!$A:$D,4,FALSE),"")</f>
        <v>160670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f>IFERROR(VLOOKUP($C170,'[1]2013-2014'!$A:$D,4,FALSE),"")</f>
        <v>123743</v>
      </c>
      <c r="F170">
        <f>IFERROR(VLOOKUP($C170,'[1]2014-2015'!$A:$D,4,FALSE),"")</f>
        <v>106946</v>
      </c>
      <c r="G170">
        <f>IFERROR(VLOOKUP($C170,'[1]2015-2016'!$A:$D,4,FALSE),"")</f>
        <v>98338</v>
      </c>
      <c r="H170">
        <f>IFERROR(VLOOKUP($C170,'[1]2016-2017'!$A:$D,4,FALSE),"")</f>
        <v>124346</v>
      </c>
      <c r="I170">
        <f>IFERROR(VLOOKUP($C170,'[1]2017-2018'!$A:$D,4,FALSE),"")</f>
        <v>146271</v>
      </c>
      <c r="J170">
        <f>IFERROR(VLOOKUP($C170,'[1]2018-2019'!$A:$D,4,FALSE),"")</f>
        <v>135212</v>
      </c>
      <c r="K170">
        <f>IFERROR(VLOOKUP($C170,'[1]2019-2020'!$A:$D,4,FALSE),"")</f>
        <v>106711</v>
      </c>
      <c r="L170">
        <f>IFERROR(VLOOKUP($C170,'[1]2020-2021'!$A:$D,4,FALSE),"")</f>
        <v>17430</v>
      </c>
      <c r="M170">
        <f>IFERROR(VLOOKUP($C170,'[1]2021-2022'!$A:$D,4,FALSE),"")</f>
        <v>117663</v>
      </c>
      <c r="N170">
        <f>IFERROR(VLOOKUP($C170,'[1]2022-2023'!$A:$D,4,FALSE),"")</f>
        <v>122787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f>IFERROR(VLOOKUP($C171,'[1]2013-2014'!$A:$D,4,FALSE),"")</f>
        <v>16871</v>
      </c>
      <c r="F171">
        <f>IFERROR(VLOOKUP($C171,'[1]2014-2015'!$A:$D,4,FALSE),"")</f>
        <v>10248</v>
      </c>
      <c r="G171">
        <f>IFERROR(VLOOKUP($C171,'[1]2015-2016'!$A:$D,4,FALSE),"")</f>
        <v>11426</v>
      </c>
      <c r="H171">
        <f>IFERROR(VLOOKUP($C171,'[1]2016-2017'!$A:$D,4,FALSE),"")</f>
        <v>20882</v>
      </c>
      <c r="I171">
        <f>IFERROR(VLOOKUP($C171,'[1]2017-2018'!$A:$D,4,FALSE),"")</f>
        <v>21089</v>
      </c>
      <c r="J171">
        <f>IFERROR(VLOOKUP($C171,'[1]2018-2019'!$A:$D,4,FALSE),"")</f>
        <v>26437</v>
      </c>
      <c r="K171">
        <f>IFERROR(VLOOKUP($C171,'[1]2019-2020'!$A:$D,4,FALSE),"")</f>
        <v>17264</v>
      </c>
      <c r="L171">
        <f>IFERROR(VLOOKUP($C171,'[1]2020-2021'!$A:$D,4,FALSE),"")</f>
        <v>895</v>
      </c>
      <c r="M171">
        <f>IFERROR(VLOOKUP($C171,'[1]2021-2022'!$A:$D,4,FALSE),"")</f>
        <v>18346</v>
      </c>
      <c r="N171">
        <f>IFERROR(VLOOKUP($C171,'[1]2022-2023'!$A:$D,4,FALSE),"")</f>
        <v>15247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f>IFERROR(VLOOKUP($C172,'[1]2013-2014'!$A:$D,4,FALSE),"")</f>
        <v>168271</v>
      </c>
      <c r="F172">
        <f>IFERROR(VLOOKUP($C172,'[1]2014-2015'!$A:$D,4,FALSE),"")</f>
        <v>124052</v>
      </c>
      <c r="G172">
        <f>IFERROR(VLOOKUP($C172,'[1]2015-2016'!$A:$D,4,FALSE),"")</f>
        <v>107014</v>
      </c>
      <c r="H172">
        <f>IFERROR(VLOOKUP($C172,'[1]2016-2017'!$A:$D,4,FALSE),"")</f>
        <v>168818</v>
      </c>
      <c r="I172">
        <f>IFERROR(VLOOKUP($C172,'[1]2017-2018'!$A:$D,4,FALSE),"")</f>
        <v>240976</v>
      </c>
      <c r="J172">
        <f>IFERROR(VLOOKUP($C172,'[1]2018-2019'!$A:$D,4,FALSE),"")</f>
        <v>164046</v>
      </c>
      <c r="K172">
        <f>IFERROR(VLOOKUP($C172,'[1]2019-2020'!$A:$D,4,FALSE),"")</f>
        <v>146136</v>
      </c>
      <c r="L172">
        <f>IFERROR(VLOOKUP($C172,'[1]2020-2021'!$A:$D,4,FALSE),"")</f>
        <v>33890</v>
      </c>
      <c r="M172">
        <f>IFERROR(VLOOKUP($C172,'[1]2021-2022'!$A:$D,4,FALSE),"")</f>
        <v>105595</v>
      </c>
      <c r="N172">
        <f>IFERROR(VLOOKUP($C172,'[1]2022-2023'!$A:$D,4,FALSE),"")</f>
        <v>219844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f>IFERROR(VLOOKUP($C173,'[1]2013-2014'!$A:$D,4,FALSE),"")</f>
        <v>88690</v>
      </c>
      <c r="F173">
        <f>IFERROR(VLOOKUP($C173,'[1]2014-2015'!$A:$D,4,FALSE),"")</f>
        <v>74201</v>
      </c>
      <c r="G173">
        <f>IFERROR(VLOOKUP($C173,'[1]2015-2016'!$A:$D,4,FALSE),"")</f>
        <v>62106</v>
      </c>
      <c r="H173">
        <f>IFERROR(VLOOKUP($C173,'[1]2016-2017'!$A:$D,4,FALSE),"")</f>
        <v>71161</v>
      </c>
      <c r="I173">
        <f>IFERROR(VLOOKUP($C173,'[1]2017-2018'!$A:$D,4,FALSE),"")</f>
        <v>67764</v>
      </c>
      <c r="J173">
        <f>IFERROR(VLOOKUP($C173,'[1]2018-2019'!$A:$D,4,FALSE),"")</f>
        <v>77255</v>
      </c>
      <c r="K173">
        <f>IFERROR(VLOOKUP($C173,'[1]2019-2020'!$A:$D,4,FALSE),"")</f>
        <v>59144</v>
      </c>
      <c r="L173">
        <f>IFERROR(VLOOKUP($C173,'[1]2020-2021'!$A:$D,4,FALSE),"")</f>
        <v>15826</v>
      </c>
      <c r="M173">
        <f>IFERROR(VLOOKUP($C173,'[1]2021-2022'!$A:$D,4,FALSE),"")</f>
        <v>59949</v>
      </c>
      <c r="N173">
        <f>IFERROR(VLOOKUP($C173,'[1]2022-2023'!$A:$D,4,FALSE),"")</f>
        <v>46198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f>IFERROR(VLOOKUP($C174,'[1]2013-2014'!$A:$D,4,FALSE),"")</f>
        <v>27502</v>
      </c>
      <c r="F174">
        <f>IFERROR(VLOOKUP($C174,'[1]2014-2015'!$A:$D,4,FALSE),"")</f>
        <v>26522</v>
      </c>
      <c r="G174">
        <f>IFERROR(VLOOKUP($C174,'[1]2015-2016'!$A:$D,4,FALSE),"")</f>
        <v>47170</v>
      </c>
      <c r="H174">
        <f>IFERROR(VLOOKUP($C174,'[1]2016-2017'!$A:$D,4,FALSE),"")</f>
        <v>45710</v>
      </c>
      <c r="I174">
        <f>IFERROR(VLOOKUP($C174,'[1]2017-2018'!$A:$D,4,FALSE),"")</f>
        <v>28399</v>
      </c>
      <c r="J174">
        <f>IFERROR(VLOOKUP($C174,'[1]2018-2019'!$A:$D,4,FALSE),"")</f>
        <v>25351</v>
      </c>
      <c r="K174">
        <f>IFERROR(VLOOKUP($C174,'[1]2019-2020'!$A:$D,4,FALSE),"")</f>
        <v>27926</v>
      </c>
      <c r="L174">
        <f>IFERROR(VLOOKUP($C174,'[1]2020-2021'!$A:$D,4,FALSE),"")</f>
        <v>0</v>
      </c>
      <c r="M174">
        <f>IFERROR(VLOOKUP($C174,'[1]2021-2022'!$A:$D,4,FALSE),"")</f>
        <v>23637</v>
      </c>
      <c r="N174">
        <f>IFERROR(VLOOKUP($C174,'[1]2022-2023'!$A:$D,4,FALSE),"")</f>
        <v>20618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f>IFERROR(VLOOKUP($C175,'[1]2013-2014'!$A:$D,4,FALSE),"")</f>
        <v>49870</v>
      </c>
      <c r="F175">
        <f>IFERROR(VLOOKUP($C175,'[1]2014-2015'!$A:$D,4,FALSE),"")</f>
        <v>64532</v>
      </c>
      <c r="G175">
        <f>IFERROR(VLOOKUP($C175,'[1]2015-2016'!$A:$D,4,FALSE),"")</f>
        <v>55371</v>
      </c>
      <c r="H175">
        <f>IFERROR(VLOOKUP($C175,'[1]2016-2017'!$A:$D,4,FALSE),"")</f>
        <v>49508</v>
      </c>
      <c r="I175">
        <f>IFERROR(VLOOKUP($C175,'[1]2017-2018'!$A:$D,4,FALSE),"")</f>
        <v>56568</v>
      </c>
      <c r="J175">
        <f>IFERROR(VLOOKUP($C175,'[1]2018-2019'!$A:$D,4,FALSE),"")</f>
        <v>59272</v>
      </c>
      <c r="K175">
        <f>IFERROR(VLOOKUP($C175,'[1]2019-2020'!$A:$D,4,FALSE),"")</f>
        <v>60372</v>
      </c>
      <c r="L175">
        <f>IFERROR(VLOOKUP($C175,'[1]2020-2021'!$A:$D,4,FALSE),"")</f>
        <v>0</v>
      </c>
      <c r="M175">
        <f>IFERROR(VLOOKUP($C175,'[1]2021-2022'!$A:$D,4,FALSE),"")</f>
        <v>53917</v>
      </c>
      <c r="N175">
        <f>IFERROR(VLOOKUP($C175,'[1]2022-2023'!$A:$D,4,FALSE),"")</f>
        <v>44831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f>IFERROR(VLOOKUP($C176,'[1]2013-2014'!$A:$D,4,FALSE),"")</f>
        <v>31627</v>
      </c>
      <c r="F176">
        <f>IFERROR(VLOOKUP($C176,'[1]2014-2015'!$A:$D,4,FALSE),"")</f>
        <v>23310</v>
      </c>
      <c r="G176">
        <f>IFERROR(VLOOKUP($C176,'[1]2015-2016'!$A:$D,4,FALSE),"")</f>
        <v>27523</v>
      </c>
      <c r="H176">
        <f>IFERROR(VLOOKUP($C176,'[1]2016-2017'!$A:$D,4,FALSE),"")</f>
        <v>45646</v>
      </c>
      <c r="I176">
        <f>IFERROR(VLOOKUP($C176,'[1]2017-2018'!$A:$D,4,FALSE),"")</f>
        <v>43102</v>
      </c>
      <c r="J176">
        <f>IFERROR(VLOOKUP($C176,'[1]2018-2019'!$A:$D,4,FALSE),"")</f>
        <v>36429</v>
      </c>
      <c r="K176">
        <f>IFERROR(VLOOKUP($C176,'[1]2019-2020'!$A:$D,4,FALSE),"")</f>
        <v>48487</v>
      </c>
      <c r="L176">
        <f>IFERROR(VLOOKUP($C176,'[1]2020-2021'!$A:$D,4,FALSE),"")</f>
        <v>0</v>
      </c>
      <c r="M176">
        <f>IFERROR(VLOOKUP($C176,'[1]2021-2022'!$A:$D,4,FALSE),"")</f>
        <v>42634</v>
      </c>
      <c r="N176">
        <f>IFERROR(VLOOKUP($C176,'[1]2022-2023'!$A:$D,4,FALSE),"")</f>
        <v>42530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f>IFERROR(VLOOKUP($C177,'[1]2013-2014'!$A:$D,4,FALSE),"")</f>
        <v>33257</v>
      </c>
      <c r="F177">
        <f>IFERROR(VLOOKUP($C177,'[1]2014-2015'!$A:$D,4,FALSE),"")</f>
        <v>36880</v>
      </c>
      <c r="G177">
        <f>IFERROR(VLOOKUP($C177,'[1]2015-2016'!$A:$D,4,FALSE),"")</f>
        <v>46730</v>
      </c>
      <c r="H177">
        <f>IFERROR(VLOOKUP($C177,'[1]2016-2017'!$A:$D,4,FALSE),"")</f>
        <v>39279</v>
      </c>
      <c r="I177">
        <f>IFERROR(VLOOKUP($C177,'[1]2017-2018'!$A:$D,4,FALSE),"")</f>
        <v>37866</v>
      </c>
      <c r="J177">
        <f>IFERROR(VLOOKUP($C177,'[1]2018-2019'!$A:$D,4,FALSE),"")</f>
        <v>35434</v>
      </c>
      <c r="K177">
        <f>IFERROR(VLOOKUP($C177,'[1]2019-2020'!$A:$D,4,FALSE),"")</f>
        <v>27002</v>
      </c>
      <c r="L177">
        <f>IFERROR(VLOOKUP($C177,'[1]2020-2021'!$A:$D,4,FALSE),"")</f>
        <v>6947</v>
      </c>
      <c r="M177">
        <f>IFERROR(VLOOKUP($C177,'[1]2021-2022'!$A:$D,4,FALSE),"")</f>
        <v>25242</v>
      </c>
      <c r="N177">
        <f>IFERROR(VLOOKUP($C177,'[1]2022-2023'!$A:$D,4,FALSE),"")</f>
        <v>28793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f>IFERROR(VLOOKUP($C178,'[1]2013-2014'!$A:$D,4,FALSE),"")</f>
        <v>23416</v>
      </c>
      <c r="F178">
        <f>IFERROR(VLOOKUP($C178,'[1]2014-2015'!$A:$D,4,FALSE),"")</f>
        <v>16775</v>
      </c>
      <c r="G178">
        <f>IFERROR(VLOOKUP($C178,'[1]2015-2016'!$A:$D,4,FALSE),"")</f>
        <v>12103</v>
      </c>
      <c r="H178">
        <f>IFERROR(VLOOKUP($C178,'[1]2016-2017'!$A:$D,4,FALSE),"")</f>
        <v>20892</v>
      </c>
      <c r="I178">
        <f>IFERROR(VLOOKUP($C178,'[1]2017-2018'!$A:$D,4,FALSE),"")</f>
        <v>22936</v>
      </c>
      <c r="J178">
        <f>IFERROR(VLOOKUP($C178,'[1]2018-2019'!$A:$D,4,FALSE),"")</f>
        <v>20107</v>
      </c>
      <c r="K178">
        <f>IFERROR(VLOOKUP($C178,'[1]2019-2020'!$A:$D,4,FALSE),"")</f>
        <v>20363</v>
      </c>
      <c r="L178">
        <f>IFERROR(VLOOKUP($C178,'[1]2020-2021'!$A:$D,4,FALSE),"")</f>
        <v>70</v>
      </c>
      <c r="M178">
        <f>IFERROR(VLOOKUP($C178,'[1]2021-2022'!$A:$D,4,FALSE),"")</f>
        <v>21771</v>
      </c>
      <c r="N178">
        <f>IFERROR(VLOOKUP($C178,'[1]2022-2023'!$A:$D,4,FALSE),"")</f>
        <v>15776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f>IFERROR(VLOOKUP($C179,'[1]2013-2014'!$A:$D,4,FALSE),"")</f>
        <v>18066</v>
      </c>
      <c r="F179">
        <f>IFERROR(VLOOKUP($C179,'[1]2014-2015'!$A:$D,4,FALSE),"")</f>
        <v>16063</v>
      </c>
      <c r="G179">
        <f>IFERROR(VLOOKUP($C179,'[1]2015-2016'!$A:$D,4,FALSE),"")</f>
        <v>26488</v>
      </c>
      <c r="H179">
        <f>IFERROR(VLOOKUP($C179,'[1]2016-2017'!$A:$D,4,FALSE),"")</f>
        <v>34042</v>
      </c>
      <c r="I179">
        <f>IFERROR(VLOOKUP($C179,'[1]2017-2018'!$A:$D,4,FALSE),"")</f>
        <v>30307</v>
      </c>
      <c r="J179">
        <f>IFERROR(VLOOKUP($C179,'[1]2018-2019'!$A:$D,4,FALSE),"")</f>
        <v>21499</v>
      </c>
      <c r="K179">
        <f>IFERROR(VLOOKUP($C179,'[1]2019-2020'!$A:$D,4,FALSE),"")</f>
        <v>25544</v>
      </c>
      <c r="L179">
        <f>IFERROR(VLOOKUP($C179,'[1]2020-2021'!$A:$D,4,FALSE),"")</f>
        <v>0</v>
      </c>
      <c r="M179">
        <f>IFERROR(VLOOKUP($C179,'[1]2021-2022'!$A:$D,4,FALSE),"")</f>
        <v>25033</v>
      </c>
      <c r="N179">
        <f>IFERROR(VLOOKUP($C179,'[1]2022-2023'!$A:$D,4,FALSE),"")</f>
        <v>26985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f>IFERROR(VLOOKUP($C180,'[1]2013-2014'!$A:$D,4,FALSE),"")</f>
        <v>61695</v>
      </c>
      <c r="F180">
        <f>IFERROR(VLOOKUP($C180,'[1]2014-2015'!$A:$D,4,FALSE),"")</f>
        <v>74311</v>
      </c>
      <c r="G180">
        <f>IFERROR(VLOOKUP($C180,'[1]2015-2016'!$A:$D,4,FALSE),"")</f>
        <v>45737</v>
      </c>
      <c r="H180">
        <f>IFERROR(VLOOKUP($C180,'[1]2016-2017'!$A:$D,4,FALSE),"")</f>
        <v>47140</v>
      </c>
      <c r="I180">
        <f>IFERROR(VLOOKUP($C180,'[1]2017-2018'!$A:$D,4,FALSE),"")</f>
        <v>60801</v>
      </c>
      <c r="J180">
        <f>IFERROR(VLOOKUP($C180,'[1]2018-2019'!$A:$D,4,FALSE),"")</f>
        <v>87067</v>
      </c>
      <c r="K180">
        <f>IFERROR(VLOOKUP($C180,'[1]2019-2020'!$A:$D,4,FALSE),"")</f>
        <v>73298</v>
      </c>
      <c r="L180">
        <f>IFERROR(VLOOKUP($C180,'[1]2020-2021'!$A:$D,4,FALSE),"")</f>
        <v>16179</v>
      </c>
      <c r="M180">
        <f>IFERROR(VLOOKUP($C180,'[1]2021-2022'!$A:$D,4,FALSE),"")</f>
        <v>65072</v>
      </c>
      <c r="N180">
        <f>IFERROR(VLOOKUP($C180,'[1]2022-2023'!$A:$D,4,FALSE),"")</f>
        <v>67836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f>IFERROR(VLOOKUP($C181,'[1]2013-2014'!$A:$D,4,FALSE),"")</f>
        <v>26569</v>
      </c>
      <c r="F181">
        <f>IFERROR(VLOOKUP($C181,'[1]2014-2015'!$A:$D,4,FALSE),"")</f>
        <v>16932</v>
      </c>
      <c r="G181">
        <f>IFERROR(VLOOKUP($C181,'[1]2015-2016'!$A:$D,4,FALSE),"")</f>
        <v>20112</v>
      </c>
      <c r="H181">
        <f>IFERROR(VLOOKUP($C181,'[1]2016-2017'!$A:$D,4,FALSE),"")</f>
        <v>17666</v>
      </c>
      <c r="I181">
        <f>IFERROR(VLOOKUP($C181,'[1]2017-2018'!$A:$D,4,FALSE),"")</f>
        <v>27338</v>
      </c>
      <c r="J181">
        <f>IFERROR(VLOOKUP($C181,'[1]2018-2019'!$A:$D,4,FALSE),"")</f>
        <v>27409</v>
      </c>
      <c r="K181">
        <f>IFERROR(VLOOKUP($C181,'[1]2019-2020'!$A:$D,4,FALSE),"")</f>
        <v>33550</v>
      </c>
      <c r="L181">
        <f>IFERROR(VLOOKUP($C181,'[1]2020-2021'!$A:$D,4,FALSE),"")</f>
        <v>0</v>
      </c>
      <c r="M181">
        <f>IFERROR(VLOOKUP($C181,'[1]2021-2022'!$A:$D,4,FALSE),"")</f>
        <v>26079</v>
      </c>
      <c r="N181">
        <f>IFERROR(VLOOKUP($C181,'[1]2022-2023'!$A:$D,4,FALSE),"")</f>
        <v>33297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f>IFERROR(VLOOKUP($C182,'[1]2013-2014'!$A:$D,4,FALSE),"")</f>
        <v>27876</v>
      </c>
      <c r="F182">
        <f>IFERROR(VLOOKUP($C182,'[1]2014-2015'!$A:$D,4,FALSE),"")</f>
        <v>20913</v>
      </c>
      <c r="G182">
        <f>IFERROR(VLOOKUP($C182,'[1]2015-2016'!$A:$D,4,FALSE),"")</f>
        <v>20648</v>
      </c>
      <c r="H182">
        <f>IFERROR(VLOOKUP($C182,'[1]2016-2017'!$A:$D,4,FALSE),"")</f>
        <v>18781</v>
      </c>
      <c r="I182">
        <f>IFERROR(VLOOKUP($C182,'[1]2017-2018'!$A:$D,4,FALSE),"")</f>
        <v>17687</v>
      </c>
      <c r="J182">
        <f>IFERROR(VLOOKUP($C182,'[1]2018-2019'!$A:$D,4,FALSE),"")</f>
        <v>15237</v>
      </c>
      <c r="K182">
        <f>IFERROR(VLOOKUP($C182,'[1]2019-2020'!$A:$D,4,FALSE),"")</f>
        <v>13977</v>
      </c>
      <c r="L182">
        <f>IFERROR(VLOOKUP($C182,'[1]2020-2021'!$A:$D,4,FALSE),"")</f>
        <v>320</v>
      </c>
      <c r="M182">
        <f>IFERROR(VLOOKUP($C182,'[1]2021-2022'!$A:$D,4,FALSE),"")</f>
        <v>16910</v>
      </c>
      <c r="N182">
        <f>IFERROR(VLOOKUP($C182,'[1]2022-2023'!$A:$D,4,FALSE),"")</f>
        <v>27393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f>IFERROR(VLOOKUP($C183,'[1]2013-2014'!$A:$D,4,FALSE),"")</f>
        <v>26812</v>
      </c>
      <c r="F183">
        <f>IFERROR(VLOOKUP($C183,'[1]2014-2015'!$A:$D,4,FALSE),"")</f>
        <v>29121</v>
      </c>
      <c r="G183">
        <f>IFERROR(VLOOKUP($C183,'[1]2015-2016'!$A:$D,4,FALSE),"")</f>
        <v>30183</v>
      </c>
      <c r="H183">
        <f>IFERROR(VLOOKUP($C183,'[1]2016-2017'!$A:$D,4,FALSE),"")</f>
        <v>29084</v>
      </c>
      <c r="I183">
        <f>IFERROR(VLOOKUP($C183,'[1]2017-2018'!$A:$D,4,FALSE),"")</f>
        <v>23710</v>
      </c>
      <c r="J183">
        <f>IFERROR(VLOOKUP($C183,'[1]2018-2019'!$A:$D,4,FALSE),"")</f>
        <v>23391</v>
      </c>
      <c r="K183">
        <f>IFERROR(VLOOKUP($C183,'[1]2019-2020'!$A:$D,4,FALSE),"")</f>
        <v>23057</v>
      </c>
      <c r="L183">
        <f>IFERROR(VLOOKUP($C183,'[1]2020-2021'!$A:$D,4,FALSE),"")</f>
        <v>487</v>
      </c>
      <c r="M183">
        <f>IFERROR(VLOOKUP($C183,'[1]2021-2022'!$A:$D,4,FALSE),"")</f>
        <v>22403</v>
      </c>
      <c r="N183">
        <f>IFERROR(VLOOKUP($C183,'[1]2022-2023'!$A:$D,4,FALSE),"")</f>
        <v>23612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f>IFERROR(VLOOKUP($C184,'[1]2013-2014'!$A:$D,4,FALSE),"")</f>
        <v>240182</v>
      </c>
      <c r="F184">
        <f>IFERROR(VLOOKUP($C184,'[1]2014-2015'!$A:$D,4,FALSE),"")</f>
        <v>308726</v>
      </c>
      <c r="G184">
        <f>IFERROR(VLOOKUP($C184,'[1]2015-2016'!$A:$D,4,FALSE),"")</f>
        <v>301646</v>
      </c>
      <c r="H184">
        <f>IFERROR(VLOOKUP($C184,'[1]2016-2017'!$A:$D,4,FALSE),"")</f>
        <v>286322</v>
      </c>
      <c r="I184">
        <f>IFERROR(VLOOKUP($C184,'[1]2017-2018'!$A:$D,4,FALSE),"")</f>
        <v>289807</v>
      </c>
      <c r="J184">
        <f>IFERROR(VLOOKUP($C184,'[1]2018-2019'!$A:$D,4,FALSE),"")</f>
        <v>305744</v>
      </c>
      <c r="K184">
        <f>IFERROR(VLOOKUP($C184,'[1]2019-2020'!$A:$D,4,FALSE),"")</f>
        <v>272701</v>
      </c>
      <c r="L184">
        <f>IFERROR(VLOOKUP($C184,'[1]2020-2021'!$A:$D,4,FALSE),"")</f>
        <v>650</v>
      </c>
      <c r="M184">
        <f>IFERROR(VLOOKUP($C184,'[1]2021-2022'!$A:$D,4,FALSE),"")</f>
        <v>207165</v>
      </c>
      <c r="N184">
        <f>IFERROR(VLOOKUP($C184,'[1]2022-2023'!$A:$D,4,FALSE),"")</f>
        <v>225307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f>IFERROR(VLOOKUP($C185,'[1]2013-2014'!$A:$D,4,FALSE),"")</f>
        <v>246702</v>
      </c>
      <c r="F185">
        <f>IFERROR(VLOOKUP($C185,'[1]2014-2015'!$A:$D,4,FALSE),"")</f>
        <v>249101</v>
      </c>
      <c r="G185">
        <f>IFERROR(VLOOKUP($C185,'[1]2015-2016'!$A:$D,4,FALSE),"")</f>
        <v>277739</v>
      </c>
      <c r="H185">
        <f>IFERROR(VLOOKUP($C185,'[1]2016-2017'!$A:$D,4,FALSE),"")</f>
        <v>246832</v>
      </c>
      <c r="I185">
        <f>IFERROR(VLOOKUP($C185,'[1]2017-2018'!$A:$D,4,FALSE),"")</f>
        <v>263367</v>
      </c>
      <c r="J185">
        <f>IFERROR(VLOOKUP($C185,'[1]2018-2019'!$A:$D,4,FALSE),"")</f>
        <v>276143</v>
      </c>
      <c r="K185">
        <f>IFERROR(VLOOKUP($C185,'[1]2019-2020'!$A:$D,4,FALSE),"")</f>
        <v>249677</v>
      </c>
      <c r="L185">
        <f>IFERROR(VLOOKUP($C185,'[1]2020-2021'!$A:$D,4,FALSE),"")</f>
        <v>50</v>
      </c>
      <c r="M185">
        <f>IFERROR(VLOOKUP($C185,'[1]2021-2022'!$A:$D,4,FALSE),"")</f>
        <v>290371</v>
      </c>
      <c r="N185">
        <f>IFERROR(VLOOKUP($C185,'[1]2022-2023'!$A:$D,4,FALSE),"")</f>
        <v>198322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f>IFERROR(VLOOKUP($C186,'[1]2013-2014'!$A:$D,4,FALSE),"")</f>
        <v>96997</v>
      </c>
      <c r="F186">
        <f>IFERROR(VLOOKUP($C186,'[1]2014-2015'!$A:$D,4,FALSE),"")</f>
        <v>82453</v>
      </c>
      <c r="G186">
        <f>IFERROR(VLOOKUP($C186,'[1]2015-2016'!$A:$D,4,FALSE),"")</f>
        <v>124535</v>
      </c>
      <c r="H186">
        <f>IFERROR(VLOOKUP($C186,'[1]2016-2017'!$A:$D,4,FALSE),"")</f>
        <v>124920</v>
      </c>
      <c r="I186">
        <f>IFERROR(VLOOKUP($C186,'[1]2017-2018'!$A:$D,4,FALSE),"")</f>
        <v>135725</v>
      </c>
      <c r="J186">
        <f>IFERROR(VLOOKUP($C186,'[1]2018-2019'!$A:$D,4,FALSE),"")</f>
        <v>163169</v>
      </c>
      <c r="K186">
        <f>IFERROR(VLOOKUP($C186,'[1]2019-2020'!$A:$D,4,FALSE),"")</f>
        <v>130815</v>
      </c>
      <c r="L186">
        <f>IFERROR(VLOOKUP($C186,'[1]2020-2021'!$A:$D,4,FALSE),"")</f>
        <v>550</v>
      </c>
      <c r="M186">
        <f>IFERROR(VLOOKUP($C186,'[1]2021-2022'!$A:$D,4,FALSE),"")</f>
        <v>98785</v>
      </c>
      <c r="N186">
        <f>IFERROR(VLOOKUP($C186,'[1]2022-2023'!$A:$D,4,FALSE),"")</f>
        <v>111454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f>IFERROR(VLOOKUP($C187,'[1]2013-2014'!$A:$D,4,FALSE),"")</f>
        <v>7454</v>
      </c>
      <c r="F187">
        <f>IFERROR(VLOOKUP($C187,'[1]2014-2015'!$A:$D,4,FALSE),"")</f>
        <v>11780</v>
      </c>
      <c r="G187">
        <f>IFERROR(VLOOKUP($C187,'[1]2015-2016'!$A:$D,4,FALSE),"")</f>
        <v>11033</v>
      </c>
      <c r="H187">
        <f>IFERROR(VLOOKUP($C187,'[1]2016-2017'!$A:$D,4,FALSE),"")</f>
        <v>11438</v>
      </c>
      <c r="I187">
        <f>IFERROR(VLOOKUP($C187,'[1]2017-2018'!$A:$D,4,FALSE),"")</f>
        <v>7219</v>
      </c>
      <c r="J187">
        <f>IFERROR(VLOOKUP($C187,'[1]2018-2019'!$A:$D,4,FALSE),"")</f>
        <v>5362</v>
      </c>
      <c r="K187">
        <f>IFERROR(VLOOKUP($C187,'[1]2019-2020'!$A:$D,4,FALSE),"")</f>
        <v>7185</v>
      </c>
      <c r="L187">
        <f>IFERROR(VLOOKUP($C187,'[1]2020-2021'!$A:$D,4,FALSE),"")</f>
        <v>0</v>
      </c>
      <c r="M187">
        <f>IFERROR(VLOOKUP($C187,'[1]2021-2022'!$A:$D,4,FALSE),"")</f>
        <v>7573</v>
      </c>
      <c r="N187">
        <f>IFERROR(VLOOKUP($C187,'[1]2022-2023'!$A:$D,4,FALSE),"")</f>
        <v>9798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f>IFERROR(VLOOKUP($C188,'[1]2013-2014'!$A:$D,4,FALSE),"")</f>
        <v>228176</v>
      </c>
      <c r="F188">
        <f>IFERROR(VLOOKUP($C188,'[1]2014-2015'!$A:$D,4,FALSE),"")</f>
        <v>218558</v>
      </c>
      <c r="G188">
        <f>IFERROR(VLOOKUP($C188,'[1]2015-2016'!$A:$D,4,FALSE),"")</f>
        <v>208492</v>
      </c>
      <c r="H188">
        <f>IFERROR(VLOOKUP($C188,'[1]2016-2017'!$A:$D,4,FALSE),"")</f>
        <v>176532</v>
      </c>
      <c r="I188">
        <f>IFERROR(VLOOKUP($C188,'[1]2017-2018'!$A:$D,4,FALSE),"")</f>
        <v>185013</v>
      </c>
      <c r="J188">
        <f>IFERROR(VLOOKUP($C188,'[1]2018-2019'!$A:$D,4,FALSE),"")</f>
        <v>177715</v>
      </c>
      <c r="K188">
        <f>IFERROR(VLOOKUP($C188,'[1]2019-2020'!$A:$D,4,FALSE),"")</f>
        <v>197861</v>
      </c>
      <c r="L188" t="str">
        <f>IFERROR(VLOOKUP($C188,'[1]2020-2021'!$A:$D,4,FALSE),"")</f>
        <v/>
      </c>
      <c r="M188">
        <f>IFERROR(VLOOKUP($C188,'[1]2021-2022'!$A:$D,4,FALSE),"")</f>
        <v>156548</v>
      </c>
      <c r="N188">
        <f>IFERROR(VLOOKUP($C188,'[1]2022-2023'!$A:$D,4,FALSE),"")</f>
        <v>228225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f>IFERROR(VLOOKUP($C189,'[1]2013-2014'!$A:$D,4,FALSE),"")</f>
        <v>89224</v>
      </c>
      <c r="F189">
        <f>IFERROR(VLOOKUP($C189,'[1]2014-2015'!$A:$D,4,FALSE),"")</f>
        <v>104558</v>
      </c>
      <c r="G189">
        <f>IFERROR(VLOOKUP($C189,'[1]2015-2016'!$A:$D,4,FALSE),"")</f>
        <v>76283</v>
      </c>
      <c r="H189">
        <f>IFERROR(VLOOKUP($C189,'[1]2016-2017'!$A:$D,4,FALSE),"")</f>
        <v>83065</v>
      </c>
      <c r="I189">
        <f>IFERROR(VLOOKUP($C189,'[1]2017-2018'!$A:$D,4,FALSE),"")</f>
        <v>79409</v>
      </c>
      <c r="J189">
        <f>IFERROR(VLOOKUP($C189,'[1]2018-2019'!$A:$D,4,FALSE),"")</f>
        <v>100407</v>
      </c>
      <c r="K189">
        <f>IFERROR(VLOOKUP($C189,'[1]2019-2020'!$A:$D,4,FALSE),"")</f>
        <v>91041</v>
      </c>
      <c r="L189" t="str">
        <f>IFERROR(VLOOKUP($C189,'[1]2020-2021'!$A:$D,4,FALSE),"")</f>
        <v/>
      </c>
      <c r="M189">
        <f>IFERROR(VLOOKUP($C189,'[1]2021-2022'!$A:$D,4,FALSE),"")</f>
        <v>86780</v>
      </c>
      <c r="N189">
        <f>IFERROR(VLOOKUP($C189,'[1]2022-2023'!$A:$D,4,FALSE),"")</f>
        <v>49974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f>IFERROR(VLOOKUP($C190,'[1]2013-2014'!$A:$D,4,FALSE),"")</f>
        <v>9588</v>
      </c>
      <c r="F190">
        <f>IFERROR(VLOOKUP($C190,'[1]2014-2015'!$A:$D,4,FALSE),"")</f>
        <v>8696</v>
      </c>
      <c r="G190">
        <f>IFERROR(VLOOKUP($C190,'[1]2015-2016'!$A:$D,4,FALSE),"")</f>
        <v>7582</v>
      </c>
      <c r="H190">
        <f>IFERROR(VLOOKUP($C190,'[1]2016-2017'!$A:$D,4,FALSE),"")</f>
        <v>13012</v>
      </c>
      <c r="I190">
        <f>IFERROR(VLOOKUP($C190,'[1]2017-2018'!$A:$D,4,FALSE),"")</f>
        <v>11230</v>
      </c>
      <c r="J190">
        <f>IFERROR(VLOOKUP($C190,'[1]2018-2019'!$A:$D,4,FALSE),"")</f>
        <v>11499</v>
      </c>
      <c r="K190">
        <f>IFERROR(VLOOKUP($C190,'[1]2019-2020'!$A:$D,4,FALSE),"")</f>
        <v>10295</v>
      </c>
      <c r="L190">
        <f>IFERROR(VLOOKUP($C190,'[1]2020-2021'!$A:$D,4,FALSE),"")</f>
        <v>5112</v>
      </c>
      <c r="M190">
        <f>IFERROR(VLOOKUP($C190,'[1]2021-2022'!$A:$D,4,FALSE),"")</f>
        <v>14000</v>
      </c>
      <c r="N190">
        <f>IFERROR(VLOOKUP($C190,'[1]2022-2023'!$A:$D,4,FALSE),"")</f>
        <v>15323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f>IFERROR(VLOOKUP($C191,'[1]2013-2014'!$A:$D,4,FALSE),"")</f>
        <v>18915</v>
      </c>
      <c r="F191">
        <f>IFERROR(VLOOKUP($C191,'[1]2014-2015'!$A:$D,4,FALSE),"")</f>
        <v>15336</v>
      </c>
      <c r="G191">
        <f>IFERROR(VLOOKUP($C191,'[1]2015-2016'!$A:$D,4,FALSE),"")</f>
        <v>15570</v>
      </c>
      <c r="H191">
        <f>IFERROR(VLOOKUP($C191,'[1]2016-2017'!$A:$D,4,FALSE),"")</f>
        <v>15462</v>
      </c>
      <c r="I191">
        <f>IFERROR(VLOOKUP($C191,'[1]2017-2018'!$A:$D,4,FALSE),"")</f>
        <v>17227</v>
      </c>
      <c r="J191">
        <f>IFERROR(VLOOKUP($C191,'[1]2018-2019'!$A:$D,4,FALSE),"")</f>
        <v>17208</v>
      </c>
      <c r="K191">
        <f>IFERROR(VLOOKUP($C191,'[1]2019-2020'!$A:$D,4,FALSE),"")</f>
        <v>13578</v>
      </c>
      <c r="L191">
        <f>IFERROR(VLOOKUP($C191,'[1]2020-2021'!$A:$D,4,FALSE),"")</f>
        <v>0</v>
      </c>
      <c r="M191">
        <f>IFERROR(VLOOKUP($C191,'[1]2021-2022'!$A:$D,4,FALSE),"")</f>
        <v>9798</v>
      </c>
      <c r="N191">
        <f>IFERROR(VLOOKUP($C191,'[1]2022-2023'!$A:$D,4,FALSE),"")</f>
        <v>13379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f>IFERROR(VLOOKUP($C192,'[1]2013-2014'!$A:$D,4,FALSE),"")</f>
        <v>6243</v>
      </c>
      <c r="F192">
        <f>IFERROR(VLOOKUP($C192,'[1]2014-2015'!$A:$D,4,FALSE),"")</f>
        <v>9980</v>
      </c>
      <c r="G192">
        <f>IFERROR(VLOOKUP($C192,'[1]2015-2016'!$A:$D,4,FALSE),"")</f>
        <v>11038</v>
      </c>
      <c r="H192">
        <f>IFERROR(VLOOKUP($C192,'[1]2016-2017'!$A:$D,4,FALSE),"")</f>
        <v>7657</v>
      </c>
      <c r="I192">
        <f>IFERROR(VLOOKUP($C192,'[1]2017-2018'!$A:$D,4,FALSE),"")</f>
        <v>6266</v>
      </c>
      <c r="J192">
        <f>IFERROR(VLOOKUP($C192,'[1]2018-2019'!$A:$D,4,FALSE),"")</f>
        <v>4651</v>
      </c>
      <c r="K192">
        <f>IFERROR(VLOOKUP($C192,'[1]2019-2020'!$A:$D,4,FALSE),"")</f>
        <v>8292</v>
      </c>
      <c r="L192">
        <f>IFERROR(VLOOKUP($C192,'[1]2020-2021'!$A:$D,4,FALSE),"")</f>
        <v>1764</v>
      </c>
      <c r="M192">
        <f>IFERROR(VLOOKUP($C192,'[1]2021-2022'!$A:$D,4,FALSE),"")</f>
        <v>6121</v>
      </c>
      <c r="N192">
        <f>IFERROR(VLOOKUP($C192,'[1]2022-2023'!$A:$D,4,FALSE),"")</f>
        <v>8157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f>IFERROR(VLOOKUP($C193,'[1]2013-2014'!$A:$D,4,FALSE),"")</f>
        <v>17202</v>
      </c>
      <c r="F193">
        <f>IFERROR(VLOOKUP($C193,'[1]2014-2015'!$A:$D,4,FALSE),"")</f>
        <v>18771</v>
      </c>
      <c r="G193">
        <f>IFERROR(VLOOKUP($C193,'[1]2015-2016'!$A:$D,4,FALSE),"")</f>
        <v>27928</v>
      </c>
      <c r="H193">
        <f>IFERROR(VLOOKUP($C193,'[1]2016-2017'!$A:$D,4,FALSE),"")</f>
        <v>21229</v>
      </c>
      <c r="I193">
        <f>IFERROR(VLOOKUP($C193,'[1]2017-2018'!$A:$D,4,FALSE),"")</f>
        <v>14975</v>
      </c>
      <c r="J193">
        <f>IFERROR(VLOOKUP($C193,'[1]2018-2019'!$A:$D,4,FALSE),"")</f>
        <v>17329</v>
      </c>
      <c r="K193">
        <f>IFERROR(VLOOKUP($C193,'[1]2019-2020'!$A:$D,4,FALSE),"")</f>
        <v>17313</v>
      </c>
      <c r="L193">
        <f>IFERROR(VLOOKUP($C193,'[1]2020-2021'!$A:$D,4,FALSE),"")</f>
        <v>73</v>
      </c>
      <c r="M193">
        <f>IFERROR(VLOOKUP($C193,'[1]2021-2022'!$A:$D,4,FALSE),"")</f>
        <v>9449</v>
      </c>
      <c r="N193">
        <f>IFERROR(VLOOKUP($C193,'[1]2022-2023'!$A:$D,4,FALSE),"")</f>
        <v>10822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f>IFERROR(VLOOKUP($C194,'[1]2013-2014'!$A:$D,4,FALSE),"")</f>
        <v>8757</v>
      </c>
      <c r="F194">
        <f>IFERROR(VLOOKUP($C194,'[1]2014-2015'!$A:$D,4,FALSE),"")</f>
        <v>14804</v>
      </c>
      <c r="G194">
        <f>IFERROR(VLOOKUP($C194,'[1]2015-2016'!$A:$D,4,FALSE),"")</f>
        <v>16991</v>
      </c>
      <c r="H194">
        <f>IFERROR(VLOOKUP($C194,'[1]2016-2017'!$A:$D,4,FALSE),"")</f>
        <v>6893</v>
      </c>
      <c r="I194">
        <f>IFERROR(VLOOKUP($C194,'[1]2017-2018'!$A:$D,4,FALSE),"")</f>
        <v>12307</v>
      </c>
      <c r="J194">
        <f>IFERROR(VLOOKUP($C194,'[1]2018-2019'!$A:$D,4,FALSE),"")</f>
        <v>10384</v>
      </c>
      <c r="K194">
        <f>IFERROR(VLOOKUP($C194,'[1]2019-2020'!$A:$D,4,FALSE),"")</f>
        <v>8234</v>
      </c>
      <c r="L194">
        <f>IFERROR(VLOOKUP($C194,'[1]2020-2021'!$A:$D,4,FALSE),"")</f>
        <v>0</v>
      </c>
      <c r="M194">
        <f>IFERROR(VLOOKUP($C194,'[1]2021-2022'!$A:$D,4,FALSE),"")</f>
        <v>4829</v>
      </c>
      <c r="N194">
        <f>IFERROR(VLOOKUP($C194,'[1]2022-2023'!$A:$D,4,FALSE),"")</f>
        <v>5810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f>IFERROR(VLOOKUP($C195,'[1]2013-2014'!$A:$D,4,FALSE),"")</f>
        <v>20942</v>
      </c>
      <c r="F195">
        <f>IFERROR(VLOOKUP($C195,'[1]2014-2015'!$A:$D,4,FALSE),"")</f>
        <v>23075</v>
      </c>
      <c r="G195">
        <f>IFERROR(VLOOKUP($C195,'[1]2015-2016'!$A:$D,4,FALSE),"")</f>
        <v>21902</v>
      </c>
      <c r="H195">
        <f>IFERROR(VLOOKUP($C195,'[1]2016-2017'!$A:$D,4,FALSE),"")</f>
        <v>26383</v>
      </c>
      <c r="I195">
        <f>IFERROR(VLOOKUP($C195,'[1]2017-2018'!$A:$D,4,FALSE),"")</f>
        <v>23834</v>
      </c>
      <c r="J195">
        <f>IFERROR(VLOOKUP($C195,'[1]2018-2019'!$A:$D,4,FALSE),"")</f>
        <v>30726</v>
      </c>
      <c r="K195">
        <f>IFERROR(VLOOKUP($C195,'[1]2019-2020'!$A:$D,4,FALSE),"")</f>
        <v>24930</v>
      </c>
      <c r="L195">
        <f>IFERROR(VLOOKUP($C195,'[1]2020-2021'!$A:$D,4,FALSE),"")</f>
        <v>1954</v>
      </c>
      <c r="M195">
        <f>IFERROR(VLOOKUP($C195,'[1]2021-2022'!$A:$D,4,FALSE),"")</f>
        <v>22182</v>
      </c>
      <c r="N195">
        <f>IFERROR(VLOOKUP($C195,'[1]2022-2023'!$A:$D,4,FALSE),"")</f>
        <v>25721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f>IFERROR(VLOOKUP($C196,'[1]2018-2019'!$A:$D,4,FALSE),"")</f>
        <v>11692</v>
      </c>
      <c r="K196">
        <f>IFERROR(VLOOKUP($C196,'[1]2019-2020'!$A:$D,4,FALSE),"")</f>
        <v>9423</v>
      </c>
      <c r="L196">
        <f>IFERROR(VLOOKUP($C196,'[1]2020-2021'!$A:$D,4,FALSE),"")</f>
        <v>3384</v>
      </c>
      <c r="M196">
        <f>IFERROR(VLOOKUP($C196,'[1]2021-2022'!$A:$D,4,FALSE),"")</f>
        <v>8711</v>
      </c>
      <c r="N196">
        <f>IFERROR(VLOOKUP($C196,'[1]2022-2023'!$A:$D,4,FALSE),"")</f>
        <v>18299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f>IFERROR(VLOOKUP($C197,'[1]2013-2014'!$A:$D,4,FALSE),"")</f>
        <v>324458</v>
      </c>
      <c r="F197">
        <f>IFERROR(VLOOKUP($C197,'[1]2014-2015'!$A:$D,4,FALSE),"")</f>
        <v>293723</v>
      </c>
      <c r="G197">
        <f>IFERROR(VLOOKUP($C197,'[1]2015-2016'!$A:$D,4,FALSE),"")</f>
        <v>293219</v>
      </c>
      <c r="H197">
        <f>IFERROR(VLOOKUP($C197,'[1]2016-2017'!$A:$D,4,FALSE),"")</f>
        <v>289075</v>
      </c>
      <c r="I197">
        <f>IFERROR(VLOOKUP($C197,'[1]2017-2018'!$A:$D,4,FALSE),"")</f>
        <v>275681</v>
      </c>
      <c r="J197">
        <f>IFERROR(VLOOKUP($C197,'[1]2018-2019'!$A:$D,4,FALSE),"")</f>
        <v>336822</v>
      </c>
      <c r="K197">
        <f>IFERROR(VLOOKUP($C197,'[1]2019-2020'!$A:$D,4,FALSE),"")</f>
        <v>301544</v>
      </c>
      <c r="L197">
        <f>IFERROR(VLOOKUP($C197,'[1]2020-2021'!$A:$D,4,FALSE),"")</f>
        <v>6526</v>
      </c>
      <c r="M197">
        <f>IFERROR(VLOOKUP($C197,'[1]2021-2022'!$A:$D,4,FALSE),"")</f>
        <v>315115</v>
      </c>
      <c r="N197">
        <f>IFERROR(VLOOKUP($C197,'[1]2022-2023'!$A:$D,4,FALSE),"")</f>
        <v>298344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f>IFERROR(VLOOKUP($C198,'[1]2013-2014'!$A:$D,4,FALSE),"")</f>
        <v>25746</v>
      </c>
      <c r="F198">
        <f>IFERROR(VLOOKUP($C198,'[1]2014-2015'!$A:$D,4,FALSE),"")</f>
        <v>20394</v>
      </c>
      <c r="G198">
        <f>IFERROR(VLOOKUP($C198,'[1]2015-2016'!$A:$D,4,FALSE),"")</f>
        <v>27754</v>
      </c>
      <c r="H198">
        <f>IFERROR(VLOOKUP($C198,'[1]2016-2017'!$A:$D,4,FALSE),"")</f>
        <v>27812</v>
      </c>
      <c r="I198">
        <f>IFERROR(VLOOKUP($C198,'[1]2017-2018'!$A:$D,4,FALSE),"")</f>
        <v>24245</v>
      </c>
      <c r="J198">
        <f>IFERROR(VLOOKUP($C198,'[1]2018-2019'!$A:$D,4,FALSE),"")</f>
        <v>23157</v>
      </c>
      <c r="K198">
        <f>IFERROR(VLOOKUP($C198,'[1]2019-2020'!$A:$D,4,FALSE),"")</f>
        <v>17058</v>
      </c>
      <c r="L198">
        <f>IFERROR(VLOOKUP($C198,'[1]2020-2021'!$A:$D,4,FALSE),"")</f>
        <v>4778</v>
      </c>
      <c r="M198">
        <f>IFERROR(VLOOKUP($C198,'[1]2021-2022'!$A:$D,4,FALSE),"")</f>
        <v>20712</v>
      </c>
      <c r="N198">
        <f>IFERROR(VLOOKUP($C198,'[1]2022-2023'!$A:$D,4,FALSE),"")</f>
        <v>23187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f>IFERROR(VLOOKUP($C199,'[1]2013-2014'!$A:$D,4,FALSE),"")</f>
        <v>43008</v>
      </c>
      <c r="F199">
        <f>IFERROR(VLOOKUP($C199,'[1]2014-2015'!$A:$D,4,FALSE),"")</f>
        <v>35174</v>
      </c>
      <c r="G199">
        <f>IFERROR(VLOOKUP($C199,'[1]2015-2016'!$A:$D,4,FALSE),"")</f>
        <v>36124</v>
      </c>
      <c r="H199">
        <f>IFERROR(VLOOKUP($C199,'[1]2016-2017'!$A:$D,4,FALSE),"")</f>
        <v>49824</v>
      </c>
      <c r="I199">
        <f>IFERROR(VLOOKUP($C199,'[1]2017-2018'!$A:$D,4,FALSE),"")</f>
        <v>38601</v>
      </c>
      <c r="J199">
        <f>IFERROR(VLOOKUP($C199,'[1]2018-2019'!$A:$D,4,FALSE),"")</f>
        <v>29003</v>
      </c>
      <c r="K199">
        <f>IFERROR(VLOOKUP($C199,'[1]2019-2020'!$A:$D,4,FALSE),"")</f>
        <v>37462</v>
      </c>
      <c r="L199">
        <f>IFERROR(VLOOKUP($C199,'[1]2020-2021'!$A:$D,4,FALSE),"")</f>
        <v>12151</v>
      </c>
      <c r="M199">
        <f>IFERROR(VLOOKUP($C199,'[1]2021-2022'!$A:$D,4,FALSE),"")</f>
        <v>28700</v>
      </c>
      <c r="N199">
        <f>IFERROR(VLOOKUP($C199,'[1]2022-2023'!$A:$D,4,FALSE),"")</f>
        <v>25388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f>IFERROR(VLOOKUP($C200,'[1]2013-2014'!$A:$D,4,FALSE),"")</f>
        <v>22506</v>
      </c>
      <c r="F200">
        <f>IFERROR(VLOOKUP($C200,'[1]2014-2015'!$A:$D,4,FALSE),"")</f>
        <v>38148</v>
      </c>
      <c r="G200">
        <f>IFERROR(VLOOKUP($C200,'[1]2015-2016'!$A:$D,4,FALSE),"")</f>
        <v>48554</v>
      </c>
      <c r="H200">
        <f>IFERROR(VLOOKUP($C200,'[1]2016-2017'!$A:$D,4,FALSE),"")</f>
        <v>33871</v>
      </c>
      <c r="I200">
        <f>IFERROR(VLOOKUP($C200,'[1]2017-2018'!$A:$D,4,FALSE),"")</f>
        <v>21703</v>
      </c>
      <c r="J200">
        <f>IFERROR(VLOOKUP($C200,'[1]2018-2019'!$A:$D,4,FALSE),"")</f>
        <v>22865</v>
      </c>
      <c r="K200">
        <f>IFERROR(VLOOKUP($C200,'[1]2019-2020'!$A:$D,4,FALSE),"")</f>
        <v>30074</v>
      </c>
      <c r="L200">
        <f>IFERROR(VLOOKUP($C200,'[1]2020-2021'!$A:$D,4,FALSE),"")</f>
        <v>5326</v>
      </c>
      <c r="M200">
        <f>IFERROR(VLOOKUP($C200,'[1]2021-2022'!$A:$D,4,FALSE),"")</f>
        <v>20240</v>
      </c>
      <c r="N200">
        <f>IFERROR(VLOOKUP($C200,'[1]2022-2023'!$A:$D,4,FALSE),"")</f>
        <v>22438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f>IFERROR(VLOOKUP($C201,'[1]2013-2014'!$A:$D,4,FALSE),"")</f>
        <v>39242</v>
      </c>
      <c r="F201">
        <f>IFERROR(VLOOKUP($C201,'[1]2014-2015'!$A:$D,4,FALSE),"")</f>
        <v>44307</v>
      </c>
      <c r="G201">
        <f>IFERROR(VLOOKUP($C201,'[1]2015-2016'!$A:$D,4,FALSE),"")</f>
        <v>35624</v>
      </c>
      <c r="H201">
        <f>IFERROR(VLOOKUP($C201,'[1]2016-2017'!$A:$D,4,FALSE),"")</f>
        <v>37610</v>
      </c>
      <c r="I201">
        <f>IFERROR(VLOOKUP($C201,'[1]2017-2018'!$A:$D,4,FALSE),"")</f>
        <v>52887</v>
      </c>
      <c r="J201">
        <f>IFERROR(VLOOKUP($C201,'[1]2018-2019'!$A:$D,4,FALSE),"")</f>
        <v>53825</v>
      </c>
      <c r="K201">
        <f>IFERROR(VLOOKUP($C201,'[1]2019-2020'!$A:$D,4,FALSE),"")</f>
        <v>51895</v>
      </c>
      <c r="L201">
        <f>IFERROR(VLOOKUP($C201,'[1]2020-2021'!$A:$D,4,FALSE),"")</f>
        <v>14835</v>
      </c>
      <c r="M201">
        <f>IFERROR(VLOOKUP($C201,'[1]2021-2022'!$A:$D,4,FALSE),"")</f>
        <v>60469</v>
      </c>
      <c r="N201">
        <f>IFERROR(VLOOKUP($C201,'[1]2022-2023'!$A:$D,4,FALSE),"")</f>
        <v>57744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f>IFERROR(VLOOKUP($C202,'[1]2013-2014'!$A:$D,4,FALSE),"")</f>
        <v>14090</v>
      </c>
      <c r="F202">
        <f>IFERROR(VLOOKUP($C202,'[1]2014-2015'!$A:$D,4,FALSE),"")</f>
        <v>15044</v>
      </c>
      <c r="G202">
        <f>IFERROR(VLOOKUP($C202,'[1]2015-2016'!$A:$D,4,FALSE),"")</f>
        <v>25012</v>
      </c>
      <c r="H202">
        <f>IFERROR(VLOOKUP($C202,'[1]2016-2017'!$A:$D,4,FALSE),"")</f>
        <v>14616</v>
      </c>
      <c r="I202">
        <f>IFERROR(VLOOKUP($C202,'[1]2017-2018'!$A:$D,4,FALSE),"")</f>
        <v>15993</v>
      </c>
      <c r="J202">
        <f>IFERROR(VLOOKUP($C202,'[1]2018-2019'!$A:$D,4,FALSE),"")</f>
        <v>14526</v>
      </c>
      <c r="K202">
        <f>IFERROR(VLOOKUP($C202,'[1]2019-2020'!$A:$D,4,FALSE),"")</f>
        <v>15419</v>
      </c>
      <c r="L202">
        <f>IFERROR(VLOOKUP($C202,'[1]2020-2021'!$A:$D,4,FALSE),"")</f>
        <v>0</v>
      </c>
      <c r="M202">
        <f>IFERROR(VLOOKUP($C202,'[1]2021-2022'!$A:$D,4,FALSE),"")</f>
        <v>10364</v>
      </c>
      <c r="N202">
        <f>IFERROR(VLOOKUP($C202,'[1]2022-2023'!$A:$D,4,FALSE),"")</f>
        <v>11301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f>IFERROR(VLOOKUP($C203,'[1]2013-2014'!$A:$D,4,FALSE),"")</f>
        <v>17755</v>
      </c>
      <c r="F203">
        <f>IFERROR(VLOOKUP($C203,'[1]2014-2015'!$A:$D,4,FALSE),"")</f>
        <v>27635</v>
      </c>
      <c r="G203">
        <f>IFERROR(VLOOKUP($C203,'[1]2015-2016'!$A:$D,4,FALSE),"")</f>
        <v>14823</v>
      </c>
      <c r="H203">
        <f>IFERROR(VLOOKUP($C203,'[1]2016-2017'!$A:$D,4,FALSE),"")</f>
        <v>12602</v>
      </c>
      <c r="I203">
        <f>IFERROR(VLOOKUP($C203,'[1]2017-2018'!$A:$D,4,FALSE),"")</f>
        <v>7950</v>
      </c>
      <c r="J203">
        <f>IFERROR(VLOOKUP($C203,'[1]2018-2019'!$A:$D,4,FALSE),"")</f>
        <v>12908</v>
      </c>
      <c r="K203">
        <f>IFERROR(VLOOKUP($C203,'[1]2019-2020'!$A:$D,4,FALSE),"")</f>
        <v>10215</v>
      </c>
      <c r="L203">
        <f>IFERROR(VLOOKUP($C203,'[1]2020-2021'!$A:$D,4,FALSE),"")</f>
        <v>0</v>
      </c>
      <c r="M203">
        <f>IFERROR(VLOOKUP($C203,'[1]2021-2022'!$A:$D,4,FALSE),"")</f>
        <v>9521</v>
      </c>
      <c r="N203">
        <f>IFERROR(VLOOKUP($C203,'[1]2022-2023'!$A:$D,4,FALSE),"")</f>
        <v>10368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f>IFERROR(VLOOKUP($C204,'[1]2013-2014'!$A:$D,4,FALSE),"")</f>
        <v>21198</v>
      </c>
      <c r="F204">
        <f>IFERROR(VLOOKUP($C204,'[1]2014-2015'!$A:$D,4,FALSE),"")</f>
        <v>18161</v>
      </c>
      <c r="G204">
        <f>IFERROR(VLOOKUP($C204,'[1]2015-2016'!$A:$D,4,FALSE),"")</f>
        <v>19959</v>
      </c>
      <c r="H204">
        <f>IFERROR(VLOOKUP($C204,'[1]2016-2017'!$A:$D,4,FALSE),"")</f>
        <v>15695</v>
      </c>
      <c r="I204">
        <f>IFERROR(VLOOKUP($C204,'[1]2017-2018'!$A:$D,4,FALSE),"")</f>
        <v>24471</v>
      </c>
      <c r="J204">
        <f>IFERROR(VLOOKUP($C204,'[1]2018-2019'!$A:$D,4,FALSE),"")</f>
        <v>21452</v>
      </c>
      <c r="K204">
        <f>IFERROR(VLOOKUP($C204,'[1]2019-2020'!$A:$D,4,FALSE),"")</f>
        <v>20953</v>
      </c>
      <c r="L204">
        <f>IFERROR(VLOOKUP($C204,'[1]2020-2021'!$A:$D,4,FALSE),"")</f>
        <v>475</v>
      </c>
      <c r="M204">
        <f>IFERROR(VLOOKUP($C204,'[1]2021-2022'!$A:$D,4,FALSE),"")</f>
        <v>14775</v>
      </c>
      <c r="N204">
        <f>IFERROR(VLOOKUP($C204,'[1]2022-2023'!$A:$D,4,FALSE),"")</f>
        <v>17373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f>IFERROR(VLOOKUP($C205,'[1]2013-2014'!$A:$D,4,FALSE),"")</f>
        <v>25829</v>
      </c>
      <c r="F205">
        <f>IFERROR(VLOOKUP($C205,'[1]2014-2015'!$A:$D,4,FALSE),"")</f>
        <v>30233</v>
      </c>
      <c r="G205">
        <f>IFERROR(VLOOKUP($C205,'[1]2015-2016'!$A:$D,4,FALSE),"")</f>
        <v>32154</v>
      </c>
      <c r="H205">
        <f>IFERROR(VLOOKUP($C205,'[1]2016-2017'!$A:$D,4,FALSE),"")</f>
        <v>39539</v>
      </c>
      <c r="I205">
        <f>IFERROR(VLOOKUP($C205,'[1]2017-2018'!$A:$D,4,FALSE),"")</f>
        <v>57891</v>
      </c>
      <c r="J205">
        <f>IFERROR(VLOOKUP($C205,'[1]2018-2019'!$A:$D,4,FALSE),"")</f>
        <v>61731</v>
      </c>
      <c r="K205">
        <f>IFERROR(VLOOKUP($C205,'[1]2019-2020'!$A:$D,4,FALSE),"")</f>
        <v>53385</v>
      </c>
      <c r="L205">
        <f>IFERROR(VLOOKUP($C205,'[1]2020-2021'!$A:$D,4,FALSE),"")</f>
        <v>0</v>
      </c>
      <c r="M205">
        <f>IFERROR(VLOOKUP($C205,'[1]2021-2022'!$A:$D,4,FALSE),"")</f>
        <v>38175</v>
      </c>
      <c r="N205">
        <f>IFERROR(VLOOKUP($C205,'[1]2022-2023'!$A:$D,4,FALSE),"")</f>
        <v>52751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f>IFERROR(VLOOKUP($C206,'[1]2013-2014'!$A:$D,4,FALSE),"")</f>
        <v>114215</v>
      </c>
      <c r="F206">
        <f>IFERROR(VLOOKUP($C206,'[1]2014-2015'!$A:$D,4,FALSE),"")</f>
        <v>124451</v>
      </c>
      <c r="G206">
        <f>IFERROR(VLOOKUP($C206,'[1]2015-2016'!$A:$D,4,FALSE),"")</f>
        <v>124451</v>
      </c>
      <c r="H206">
        <f>IFERROR(VLOOKUP($C206,'[1]2016-2017'!$A:$D,4,FALSE),"")</f>
        <v>126145</v>
      </c>
      <c r="I206">
        <f>IFERROR(VLOOKUP($C206,'[1]2017-2018'!$A:$D,4,FALSE),"")</f>
        <v>110306</v>
      </c>
      <c r="J206">
        <f>IFERROR(VLOOKUP($C206,'[1]2018-2019'!$A:$D,4,FALSE),"")</f>
        <v>121580</v>
      </c>
      <c r="K206">
        <f>IFERROR(VLOOKUP($C206,'[1]2019-2020'!$A:$D,4,FALSE),"")</f>
        <v>91418</v>
      </c>
      <c r="L206">
        <f>IFERROR(VLOOKUP($C206,'[1]2020-2021'!$A:$D,4,FALSE),"")</f>
        <v>0</v>
      </c>
      <c r="M206">
        <f>IFERROR(VLOOKUP($C206,'[1]2021-2022'!$A:$D,4,FALSE),"")</f>
        <v>65513</v>
      </c>
      <c r="N206">
        <f>IFERROR(VLOOKUP($C206,'[1]2022-2023'!$A:$D,4,FALSE),"")</f>
        <v>88023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f>IFERROR(VLOOKUP($C207,'[1]2013-2014'!$A:$D,4,FALSE),"")</f>
        <v>23547</v>
      </c>
      <c r="F207">
        <f>IFERROR(VLOOKUP($C207,'[1]2014-2015'!$A:$D,4,FALSE),"")</f>
        <v>29034</v>
      </c>
      <c r="G207">
        <f>IFERROR(VLOOKUP($C207,'[1]2015-2016'!$A:$D,4,FALSE),"")</f>
        <v>22219</v>
      </c>
      <c r="H207">
        <f>IFERROR(VLOOKUP($C207,'[1]2016-2017'!$A:$D,4,FALSE),"")</f>
        <v>18909</v>
      </c>
      <c r="I207">
        <f>IFERROR(VLOOKUP($C207,'[1]2017-2018'!$A:$D,4,FALSE),"")</f>
        <v>14161</v>
      </c>
      <c r="J207">
        <f>IFERROR(VLOOKUP($C207,'[1]2018-2019'!$A:$D,4,FALSE),"")</f>
        <v>17988</v>
      </c>
      <c r="K207">
        <f>IFERROR(VLOOKUP($C207,'[1]2019-2020'!$A:$D,4,FALSE),"")</f>
        <v>15722</v>
      </c>
      <c r="L207">
        <f>IFERROR(VLOOKUP($C207,'[1]2020-2021'!$A:$D,4,FALSE),"")</f>
        <v>7089</v>
      </c>
      <c r="M207">
        <f>IFERROR(VLOOKUP($C207,'[1]2021-2022'!$A:$D,4,FALSE),"")</f>
        <v>10115</v>
      </c>
      <c r="N207">
        <f>IFERROR(VLOOKUP($C207,'[1]2022-2023'!$A:$D,4,FALSE),"")</f>
        <v>18812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f>IFERROR(VLOOKUP($C208,'[1]2013-2014'!$A:$D,4,FALSE),"")</f>
        <v>158945</v>
      </c>
      <c r="F208">
        <f>IFERROR(VLOOKUP($C208,'[1]2014-2015'!$A:$D,4,FALSE),"")</f>
        <v>146576</v>
      </c>
      <c r="G208">
        <f>IFERROR(VLOOKUP($C208,'[1]2015-2016'!$A:$D,4,FALSE),"")</f>
        <v>136282</v>
      </c>
      <c r="H208">
        <f>IFERROR(VLOOKUP($C208,'[1]2016-2017'!$A:$D,4,FALSE),"")</f>
        <v>148583</v>
      </c>
      <c r="I208">
        <f>IFERROR(VLOOKUP($C208,'[1]2017-2018'!$A:$D,4,FALSE),"")</f>
        <v>132212</v>
      </c>
      <c r="J208">
        <f>IFERROR(VLOOKUP($C208,'[1]2018-2019'!$A:$D,4,FALSE),"")</f>
        <v>144926</v>
      </c>
      <c r="K208">
        <f>IFERROR(VLOOKUP($C208,'[1]2019-2020'!$A:$D,4,FALSE),"")</f>
        <v>136777</v>
      </c>
      <c r="L208">
        <f>IFERROR(VLOOKUP($C208,'[1]2020-2021'!$A:$D,4,FALSE),"")</f>
        <v>2058</v>
      </c>
      <c r="M208">
        <f>IFERROR(VLOOKUP($C208,'[1]2021-2022'!$A:$D,4,FALSE),"")</f>
        <v>109246</v>
      </c>
      <c r="N208">
        <f>IFERROR(VLOOKUP($C208,'[1]2022-2023'!$A:$D,4,FALSE),"")</f>
        <v>116248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f>IFERROR(VLOOKUP($C209,'[1]2013-2014'!$A:$D,4,FALSE),"")</f>
        <v>32129</v>
      </c>
      <c r="F209">
        <f>IFERROR(VLOOKUP($C209,'[1]2014-2015'!$A:$D,4,FALSE),"")</f>
        <v>36366</v>
      </c>
      <c r="G209">
        <f>IFERROR(VLOOKUP($C209,'[1]2015-2016'!$A:$D,4,FALSE),"")</f>
        <v>37168</v>
      </c>
      <c r="H209">
        <f>IFERROR(VLOOKUP($C209,'[1]2016-2017'!$A:$D,4,FALSE),"")</f>
        <v>48885</v>
      </c>
      <c r="I209">
        <f>IFERROR(VLOOKUP($C209,'[1]2017-2018'!$A:$D,4,FALSE),"")</f>
        <v>47453</v>
      </c>
      <c r="J209">
        <f>IFERROR(VLOOKUP($C209,'[1]2018-2019'!$A:$D,4,FALSE),"")</f>
        <v>48276</v>
      </c>
      <c r="K209">
        <f>IFERROR(VLOOKUP($C209,'[1]2019-2020'!$A:$D,4,FALSE),"")</f>
        <v>41638</v>
      </c>
      <c r="L209">
        <f>IFERROR(VLOOKUP($C209,'[1]2020-2021'!$A:$D,4,FALSE),"")</f>
        <v>0</v>
      </c>
      <c r="M209">
        <f>IFERROR(VLOOKUP($C209,'[1]2021-2022'!$A:$D,4,FALSE),"")</f>
        <v>35747</v>
      </c>
      <c r="N209">
        <f>IFERROR(VLOOKUP($C209,'[1]2022-2023'!$A:$D,4,FALSE),"")</f>
        <v>33199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f>IFERROR(VLOOKUP($C210,'[1]2013-2014'!$A:$D,4,FALSE),"")</f>
        <v>128602</v>
      </c>
      <c r="F210">
        <f>IFERROR(VLOOKUP($C210,'[1]2014-2015'!$A:$D,4,FALSE),"")</f>
        <v>100212</v>
      </c>
      <c r="G210">
        <f>IFERROR(VLOOKUP($C210,'[1]2015-2016'!$A:$D,4,FALSE),"")</f>
        <v>114200</v>
      </c>
      <c r="H210">
        <f>IFERROR(VLOOKUP($C210,'[1]2016-2017'!$A:$D,4,FALSE),"")</f>
        <v>101956</v>
      </c>
      <c r="I210">
        <f>IFERROR(VLOOKUP($C210,'[1]2017-2018'!$A:$D,4,FALSE),"")</f>
        <v>89566</v>
      </c>
      <c r="J210">
        <f>IFERROR(VLOOKUP($C210,'[1]2018-2019'!$A:$D,4,FALSE),"")</f>
        <v>87842</v>
      </c>
      <c r="K210">
        <f>IFERROR(VLOOKUP($C210,'[1]2019-2020'!$A:$D,4,FALSE),"")</f>
        <v>72978</v>
      </c>
      <c r="L210">
        <f>IFERROR(VLOOKUP($C210,'[1]2020-2021'!$A:$D,4,FALSE),"")</f>
        <v>0</v>
      </c>
      <c r="M210">
        <f>IFERROR(VLOOKUP($C210,'[1]2021-2022'!$A:$D,4,FALSE),"")</f>
        <v>97452</v>
      </c>
      <c r="N210">
        <f>IFERROR(VLOOKUP($C210,'[1]2022-2023'!$A:$D,4,FALSE),"")</f>
        <v>71324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f>IFERROR(VLOOKUP($C211,'[1]2013-2014'!$A:$D,4,FALSE),"")</f>
        <v>329481</v>
      </c>
      <c r="F211">
        <f>IFERROR(VLOOKUP($C211,'[1]2014-2015'!$A:$D,4,FALSE),"")</f>
        <v>292968</v>
      </c>
      <c r="G211">
        <f>IFERROR(VLOOKUP($C211,'[1]2015-2016'!$A:$D,4,FALSE),"")</f>
        <v>257957</v>
      </c>
      <c r="H211">
        <f>IFERROR(VLOOKUP($C211,'[1]2016-2017'!$A:$D,4,FALSE),"")</f>
        <v>234156</v>
      </c>
      <c r="I211">
        <f>IFERROR(VLOOKUP($C211,'[1]2017-2018'!$A:$D,4,FALSE),"")</f>
        <v>242916</v>
      </c>
      <c r="J211">
        <f>IFERROR(VLOOKUP($C211,'[1]2018-2019'!$A:$D,4,FALSE),"")</f>
        <v>250595</v>
      </c>
      <c r="K211">
        <f>IFERROR(VLOOKUP($C211,'[1]2019-2020'!$A:$D,4,FALSE),"")</f>
        <v>261561</v>
      </c>
      <c r="L211">
        <f>IFERROR(VLOOKUP($C211,'[1]2020-2021'!$A:$D,4,FALSE),"")</f>
        <v>0</v>
      </c>
      <c r="M211">
        <f>IFERROR(VLOOKUP($C211,'[1]2021-2022'!$A:$D,4,FALSE),"")</f>
        <v>212412</v>
      </c>
      <c r="N211">
        <f>IFERROR(VLOOKUP($C211,'[1]2022-2023'!$A:$D,4,FALSE),"")</f>
        <v>194901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f>IFERROR(VLOOKUP($C212,'[1]2013-2014'!$A:$D,4,FALSE),"")</f>
        <v>179206</v>
      </c>
      <c r="F212">
        <f>IFERROR(VLOOKUP($C212,'[1]2014-2015'!$A:$D,4,FALSE),"")</f>
        <v>166802</v>
      </c>
      <c r="G212">
        <f>IFERROR(VLOOKUP($C212,'[1]2015-2016'!$A:$D,4,FALSE),"")</f>
        <v>150003</v>
      </c>
      <c r="H212">
        <f>IFERROR(VLOOKUP($C212,'[1]2016-2017'!$A:$D,4,FALSE),"")</f>
        <v>148748</v>
      </c>
      <c r="I212">
        <f>IFERROR(VLOOKUP($C212,'[1]2017-2018'!$A:$D,4,FALSE),"")</f>
        <v>153799</v>
      </c>
      <c r="J212">
        <f>IFERROR(VLOOKUP($C212,'[1]2018-2019'!$A:$D,4,FALSE),"")</f>
        <v>127967</v>
      </c>
      <c r="K212">
        <f>IFERROR(VLOOKUP($C212,'[1]2019-2020'!$A:$D,4,FALSE),"")</f>
        <v>120815</v>
      </c>
      <c r="L212">
        <f>IFERROR(VLOOKUP($C212,'[1]2020-2021'!$A:$D,4,FALSE),"")</f>
        <v>28119</v>
      </c>
      <c r="M212">
        <f>IFERROR(VLOOKUP($C212,'[1]2021-2022'!$A:$D,4,FALSE),"")</f>
        <v>130860</v>
      </c>
      <c r="N212">
        <f>IFERROR(VLOOKUP($C212,'[1]2022-2023'!$A:$D,4,FALSE),"")</f>
        <v>113673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f>IFERROR(VLOOKUP($C213,'[1]2013-2014'!$A:$D,4,FALSE),"")</f>
        <v>166354</v>
      </c>
      <c r="F213">
        <f>IFERROR(VLOOKUP($C213,'[1]2014-2015'!$A:$D,4,FALSE),"")</f>
        <v>126355</v>
      </c>
      <c r="G213">
        <f>IFERROR(VLOOKUP($C213,'[1]2015-2016'!$A:$D,4,FALSE),"")</f>
        <v>93713</v>
      </c>
      <c r="H213">
        <f>IFERROR(VLOOKUP($C213,'[1]2016-2017'!$A:$D,4,FALSE),"")</f>
        <v>134988</v>
      </c>
      <c r="I213">
        <f>IFERROR(VLOOKUP($C213,'[1]2017-2018'!$A:$D,4,FALSE),"")</f>
        <v>147230</v>
      </c>
      <c r="J213">
        <f>IFERROR(VLOOKUP($C213,'[1]2018-2019'!$A:$D,4,FALSE),"")</f>
        <v>109386</v>
      </c>
      <c r="K213">
        <f>IFERROR(VLOOKUP($C213,'[1]2019-2020'!$A:$D,4,FALSE),"")</f>
        <v>121742</v>
      </c>
      <c r="L213">
        <f>IFERROR(VLOOKUP($C213,'[1]2020-2021'!$A:$D,4,FALSE),"")</f>
        <v>43550</v>
      </c>
      <c r="M213">
        <f>IFERROR(VLOOKUP($C213,'[1]2021-2022'!$A:$D,4,FALSE),"")</f>
        <v>134994</v>
      </c>
      <c r="N213">
        <f>IFERROR(VLOOKUP($C213,'[1]2022-2023'!$A:$D,4,FALSE),"")</f>
        <v>135569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f>IFERROR(VLOOKUP($C214,'[1]2013-2014'!$A:$D,4,FALSE),"")</f>
        <v>104008</v>
      </c>
      <c r="F214">
        <f>IFERROR(VLOOKUP($C214,'[1]2014-2015'!$A:$D,4,FALSE),"")</f>
        <v>140072</v>
      </c>
      <c r="G214">
        <f>IFERROR(VLOOKUP($C214,'[1]2015-2016'!$A:$D,4,FALSE),"")</f>
        <v>112604</v>
      </c>
      <c r="H214">
        <f>IFERROR(VLOOKUP($C214,'[1]2016-2017'!$A:$D,4,FALSE),"")</f>
        <v>98590</v>
      </c>
      <c r="I214">
        <f>IFERROR(VLOOKUP($C214,'[1]2017-2018'!$A:$D,4,FALSE),"")</f>
        <v>88851</v>
      </c>
      <c r="J214">
        <f>IFERROR(VLOOKUP($C214,'[1]2018-2019'!$A:$D,4,FALSE),"")</f>
        <v>105916</v>
      </c>
      <c r="K214">
        <f>IFERROR(VLOOKUP($C214,'[1]2019-2020'!$A:$D,4,FALSE),"")</f>
        <v>83215</v>
      </c>
      <c r="L214">
        <f>IFERROR(VLOOKUP($C214,'[1]2020-2021'!$A:$D,4,FALSE),"")</f>
        <v>2500</v>
      </c>
      <c r="M214">
        <f>IFERROR(VLOOKUP($C214,'[1]2021-2022'!$A:$D,4,FALSE),"")</f>
        <v>69741</v>
      </c>
      <c r="N214">
        <f>IFERROR(VLOOKUP($C214,'[1]2022-2023'!$A:$D,4,FALSE),"")</f>
        <v>89903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f>IFERROR(VLOOKUP($C215,'[1]2013-2014'!$A:$D,4,FALSE),"")</f>
        <v>124583</v>
      </c>
      <c r="F215">
        <f>IFERROR(VLOOKUP($C215,'[1]2014-2015'!$A:$D,4,FALSE),"")</f>
        <v>115196</v>
      </c>
      <c r="G215">
        <f>IFERROR(VLOOKUP($C215,'[1]2015-2016'!$A:$D,4,FALSE),"")</f>
        <v>111908</v>
      </c>
      <c r="H215">
        <f>IFERROR(VLOOKUP($C215,'[1]2016-2017'!$A:$D,4,FALSE),"")</f>
        <v>140524</v>
      </c>
      <c r="I215">
        <f>IFERROR(VLOOKUP($C215,'[1]2017-2018'!$A:$D,4,FALSE),"")</f>
        <v>123883</v>
      </c>
      <c r="J215">
        <f>IFERROR(VLOOKUP($C215,'[1]2018-2019'!$A:$D,4,FALSE),"")</f>
        <v>125061</v>
      </c>
      <c r="K215">
        <f>IFERROR(VLOOKUP($C215,'[1]2019-2020'!$A:$D,4,FALSE),"")</f>
        <v>126601</v>
      </c>
      <c r="L215">
        <f>IFERROR(VLOOKUP($C215,'[1]2020-2021'!$A:$D,4,FALSE),"")</f>
        <v>14439</v>
      </c>
      <c r="M215">
        <f>IFERROR(VLOOKUP($C215,'[1]2021-2022'!$A:$D,4,FALSE),"")</f>
        <v>116358</v>
      </c>
      <c r="N215">
        <f>IFERROR(VLOOKUP($C215,'[1]2022-2023'!$A:$D,4,FALSE),"")</f>
        <v>103566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f>IFERROR(VLOOKUP($C216,'[1]2013-2014'!$A:$D,4,FALSE),"")</f>
        <v>19154</v>
      </c>
      <c r="F216">
        <f>IFERROR(VLOOKUP($C216,'[1]2014-2015'!$A:$D,4,FALSE),"")</f>
        <v>17861</v>
      </c>
      <c r="G216">
        <f>IFERROR(VLOOKUP($C216,'[1]2015-2016'!$A:$D,4,FALSE),"")</f>
        <v>29449</v>
      </c>
      <c r="H216">
        <f>IFERROR(VLOOKUP($C216,'[1]2016-2017'!$A:$D,4,FALSE),"")</f>
        <v>21786</v>
      </c>
      <c r="I216">
        <f>IFERROR(VLOOKUP($C216,'[1]2017-2018'!$A:$D,4,FALSE),"")</f>
        <v>28400</v>
      </c>
      <c r="J216">
        <f>IFERROR(VLOOKUP($C216,'[1]2018-2019'!$A:$D,4,FALSE),"")</f>
        <v>26788</v>
      </c>
      <c r="K216">
        <f>IFERROR(VLOOKUP($C216,'[1]2019-2020'!$A:$D,4,FALSE),"")</f>
        <v>33504</v>
      </c>
      <c r="L216">
        <f>IFERROR(VLOOKUP($C216,'[1]2020-2021'!$A:$D,4,FALSE),"")</f>
        <v>2661</v>
      </c>
      <c r="M216">
        <f>IFERROR(VLOOKUP($C216,'[1]2021-2022'!$A:$D,4,FALSE),"")</f>
        <v>17947</v>
      </c>
      <c r="N216">
        <f>IFERROR(VLOOKUP($C216,'[1]2022-2023'!$A:$D,4,FALSE),"")</f>
        <v>26822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f>IFERROR(VLOOKUP($C217,'[1]2013-2014'!$A:$D,4,FALSE),"")</f>
        <v>55069</v>
      </c>
      <c r="F217">
        <f>IFERROR(VLOOKUP($C217,'[1]2014-2015'!$A:$D,4,FALSE),"")</f>
        <v>48411</v>
      </c>
      <c r="G217">
        <f>IFERROR(VLOOKUP($C217,'[1]2015-2016'!$A:$D,4,FALSE),"")</f>
        <v>39813</v>
      </c>
      <c r="H217">
        <f>IFERROR(VLOOKUP($C217,'[1]2016-2017'!$A:$D,4,FALSE),"")</f>
        <v>33581</v>
      </c>
      <c r="I217">
        <f>IFERROR(VLOOKUP($C217,'[1]2017-2018'!$A:$D,4,FALSE),"")</f>
        <v>31352</v>
      </c>
      <c r="J217">
        <f>IFERROR(VLOOKUP($C217,'[1]2018-2019'!$A:$D,4,FALSE),"")</f>
        <v>28948</v>
      </c>
      <c r="K217">
        <f>IFERROR(VLOOKUP($C217,'[1]2019-2020'!$A:$D,4,FALSE),"")</f>
        <v>33569</v>
      </c>
      <c r="L217">
        <f>IFERROR(VLOOKUP($C217,'[1]2020-2021'!$A:$D,4,FALSE),"")</f>
        <v>15991</v>
      </c>
      <c r="M217">
        <f>IFERROR(VLOOKUP($C217,'[1]2021-2022'!$A:$D,4,FALSE),"")</f>
        <v>60714</v>
      </c>
      <c r="N217">
        <f>IFERROR(VLOOKUP($C217,'[1]2022-2023'!$A:$D,4,FALSE),"")</f>
        <v>85030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f>IFERROR(VLOOKUP($C218,'[1]2013-2014'!$A:$D,4,FALSE),"")</f>
        <v>140085</v>
      </c>
      <c r="F218">
        <f>IFERROR(VLOOKUP($C218,'[1]2014-2015'!$A:$D,4,FALSE),"")</f>
        <v>117962</v>
      </c>
      <c r="G218">
        <f>IFERROR(VLOOKUP($C218,'[1]2015-2016'!$A:$D,4,FALSE),"")</f>
        <v>134405</v>
      </c>
      <c r="H218">
        <f>IFERROR(VLOOKUP($C218,'[1]2016-2017'!$A:$D,4,FALSE),"")</f>
        <v>168208</v>
      </c>
      <c r="I218">
        <f>IFERROR(VLOOKUP($C218,'[1]2017-2018'!$A:$D,4,FALSE),"")</f>
        <v>158616</v>
      </c>
      <c r="J218">
        <f>IFERROR(VLOOKUP($C218,'[1]2018-2019'!$A:$D,4,FALSE),"")</f>
        <v>145027</v>
      </c>
      <c r="K218">
        <f>IFERROR(VLOOKUP($C218,'[1]2019-2020'!$A:$D,4,FALSE),"")</f>
        <v>136648</v>
      </c>
      <c r="L218">
        <f>IFERROR(VLOOKUP($C218,'[1]2020-2021'!$A:$D,4,FALSE),"")</f>
        <v>0</v>
      </c>
      <c r="M218">
        <f>IFERROR(VLOOKUP($C218,'[1]2021-2022'!$A:$D,4,FALSE),"")</f>
        <v>118484</v>
      </c>
      <c r="N218">
        <f>IFERROR(VLOOKUP($C218,'[1]2022-2023'!$A:$D,4,FALSE),"")</f>
        <v>124682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f>IFERROR(VLOOKUP($C219,'[1]2013-2014'!$A:$D,4,FALSE),"")</f>
        <v>67077</v>
      </c>
      <c r="F219">
        <f>IFERROR(VLOOKUP($C219,'[1]2014-2015'!$A:$D,4,FALSE),"")</f>
        <v>95409</v>
      </c>
      <c r="G219">
        <f>IFERROR(VLOOKUP($C219,'[1]2015-2016'!$A:$D,4,FALSE),"")</f>
        <v>106354</v>
      </c>
      <c r="H219">
        <f>IFERROR(VLOOKUP($C219,'[1]2016-2017'!$A:$D,4,FALSE),"")</f>
        <v>84887</v>
      </c>
      <c r="I219">
        <f>IFERROR(VLOOKUP($C219,'[1]2017-2018'!$A:$D,4,FALSE),"")</f>
        <v>86130</v>
      </c>
      <c r="J219">
        <f>IFERROR(VLOOKUP($C219,'[1]2018-2019'!$A:$D,4,FALSE),"")</f>
        <v>82580</v>
      </c>
      <c r="K219">
        <f>IFERROR(VLOOKUP($C219,'[1]2019-2020'!$A:$D,4,FALSE),"")</f>
        <v>75866</v>
      </c>
      <c r="L219">
        <f>IFERROR(VLOOKUP($C219,'[1]2020-2021'!$A:$D,4,FALSE),"")</f>
        <v>0</v>
      </c>
      <c r="M219">
        <f>IFERROR(VLOOKUP($C219,'[1]2021-2022'!$A:$D,4,FALSE),"")</f>
        <v>58648</v>
      </c>
      <c r="N219">
        <f>IFERROR(VLOOKUP($C219,'[1]2022-2023'!$A:$D,4,FALSE),"")</f>
        <v>61649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f>IFERROR(VLOOKUP($C220,'[1]2013-2014'!$A:$D,4,FALSE),"")</f>
        <v>38745</v>
      </c>
      <c r="F220">
        <f>IFERROR(VLOOKUP($C220,'[1]2014-2015'!$A:$D,4,FALSE),"")</f>
        <v>35772</v>
      </c>
      <c r="G220">
        <f>IFERROR(VLOOKUP($C220,'[1]2015-2016'!$A:$D,4,FALSE),"")</f>
        <v>33694</v>
      </c>
      <c r="H220">
        <f>IFERROR(VLOOKUP($C220,'[1]2016-2017'!$A:$D,4,FALSE),"")</f>
        <v>36443</v>
      </c>
      <c r="I220">
        <f>IFERROR(VLOOKUP($C220,'[1]2017-2018'!$A:$D,4,FALSE),"")</f>
        <v>32914</v>
      </c>
      <c r="J220">
        <f>IFERROR(VLOOKUP($C220,'[1]2018-2019'!$A:$D,4,FALSE),"")</f>
        <v>32275</v>
      </c>
      <c r="K220">
        <f>IFERROR(VLOOKUP($C220,'[1]2019-2020'!$A:$D,4,FALSE),"")</f>
        <v>35895</v>
      </c>
      <c r="L220">
        <f>IFERROR(VLOOKUP($C220,'[1]2020-2021'!$A:$D,4,FALSE),"")</f>
        <v>0</v>
      </c>
      <c r="M220">
        <f>IFERROR(VLOOKUP($C220,'[1]2021-2022'!$A:$D,4,FALSE),"")</f>
        <v>16479</v>
      </c>
      <c r="N220">
        <f>IFERROR(VLOOKUP($C220,'[1]2022-2023'!$A:$D,4,FALSE),"")</f>
        <v>26445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f>IFERROR(VLOOKUP($C221,'[1]2013-2014'!$A:$D,4,FALSE),"")</f>
        <v>59975</v>
      </c>
      <c r="F221">
        <f>IFERROR(VLOOKUP($C221,'[1]2014-2015'!$A:$D,4,FALSE),"")</f>
        <v>43979</v>
      </c>
      <c r="G221">
        <f>IFERROR(VLOOKUP($C221,'[1]2015-2016'!$A:$D,4,FALSE),"")</f>
        <v>48204</v>
      </c>
      <c r="H221">
        <f>IFERROR(VLOOKUP($C221,'[1]2016-2017'!$A:$D,4,FALSE),"")</f>
        <v>50904</v>
      </c>
      <c r="I221">
        <f>IFERROR(VLOOKUP($C221,'[1]2017-2018'!$A:$D,4,FALSE),"")</f>
        <v>58348</v>
      </c>
      <c r="J221">
        <f>IFERROR(VLOOKUP($C221,'[1]2018-2019'!$A:$D,4,FALSE),"")</f>
        <v>48218</v>
      </c>
      <c r="K221">
        <f>IFERROR(VLOOKUP($C221,'[1]2019-2020'!$A:$D,4,FALSE),"")</f>
        <v>39902</v>
      </c>
      <c r="L221" t="str">
        <f>IFERROR(VLOOKUP($C221,'[1]2020-2021'!$A:$D,4,FALSE),"")</f>
        <v/>
      </c>
      <c r="M221">
        <f>IFERROR(VLOOKUP($C221,'[1]2021-2022'!$A:$D,4,FALSE),"")</f>
        <v>15383</v>
      </c>
      <c r="N221">
        <f>IFERROR(VLOOKUP($C221,'[1]2022-2023'!$A:$D,4,FALSE),"")</f>
        <v>37224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f>IFERROR(VLOOKUP($C222,'[1]2013-2014'!$A:$D,4,FALSE),"")</f>
        <v>112625</v>
      </c>
      <c r="F222">
        <f>IFERROR(VLOOKUP($C222,'[1]2014-2015'!$A:$D,4,FALSE),"")</f>
        <v>128701</v>
      </c>
      <c r="G222">
        <f>IFERROR(VLOOKUP($C222,'[1]2015-2016'!$A:$D,4,FALSE),"")</f>
        <v>103648</v>
      </c>
      <c r="H222">
        <f>IFERROR(VLOOKUP($C222,'[1]2016-2017'!$A:$D,4,FALSE),"")</f>
        <v>111868</v>
      </c>
      <c r="I222">
        <f>IFERROR(VLOOKUP($C222,'[1]2017-2018'!$A:$D,4,FALSE),"")</f>
        <v>136745</v>
      </c>
      <c r="J222">
        <f>IFERROR(VLOOKUP($C222,'[1]2018-2019'!$A:$D,4,FALSE),"")</f>
        <v>135690</v>
      </c>
      <c r="K222">
        <f>IFERROR(VLOOKUP($C222,'[1]2019-2020'!$A:$D,4,FALSE),"")</f>
        <v>156235</v>
      </c>
      <c r="L222">
        <f>IFERROR(VLOOKUP($C222,'[1]2020-2021'!$A:$D,4,FALSE),"")</f>
        <v>2982</v>
      </c>
      <c r="M222">
        <f>IFERROR(VLOOKUP($C222,'[1]2021-2022'!$A:$D,4,FALSE),"")</f>
        <v>127683</v>
      </c>
      <c r="N222">
        <f>IFERROR(VLOOKUP($C222,'[1]2022-2023'!$A:$D,4,FALSE),"")</f>
        <v>131224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f>IFERROR(VLOOKUP($C223,'[1]2013-2014'!$A:$D,4,FALSE),"")</f>
        <v>17371</v>
      </c>
      <c r="F223">
        <f>IFERROR(VLOOKUP($C223,'[1]2014-2015'!$A:$D,4,FALSE),"")</f>
        <v>21775</v>
      </c>
      <c r="G223">
        <f>IFERROR(VLOOKUP($C223,'[1]2015-2016'!$A:$D,4,FALSE),"")</f>
        <v>20448</v>
      </c>
      <c r="H223">
        <f>IFERROR(VLOOKUP($C223,'[1]2016-2017'!$A:$D,4,FALSE),"")</f>
        <v>19158</v>
      </c>
      <c r="I223">
        <f>IFERROR(VLOOKUP($C223,'[1]2017-2018'!$A:$D,4,FALSE),"")</f>
        <v>18498</v>
      </c>
      <c r="J223">
        <f>IFERROR(VLOOKUP($C223,'[1]2018-2019'!$A:$D,4,FALSE),"")</f>
        <v>15607</v>
      </c>
      <c r="K223">
        <f>IFERROR(VLOOKUP($C223,'[1]2019-2020'!$A:$D,4,FALSE),"")</f>
        <v>19461</v>
      </c>
      <c r="L223">
        <f>IFERROR(VLOOKUP($C223,'[1]2020-2021'!$A:$D,4,FALSE),"")</f>
        <v>0</v>
      </c>
      <c r="M223">
        <f>IFERROR(VLOOKUP($C223,'[1]2021-2022'!$A:$D,4,FALSE),"")</f>
        <v>12338</v>
      </c>
      <c r="N223">
        <f>IFERROR(VLOOKUP($C223,'[1]2022-2023'!$A:$D,4,FALSE),"")</f>
        <v>14868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f>IFERROR(VLOOKUP($C224,'[1]2013-2014'!$A:$D,4,FALSE),"")</f>
        <v>198078</v>
      </c>
      <c r="F224">
        <f>IFERROR(VLOOKUP($C224,'[1]2014-2015'!$A:$D,4,FALSE),"")</f>
        <v>180221</v>
      </c>
      <c r="G224">
        <f>IFERROR(VLOOKUP($C224,'[1]2015-2016'!$A:$D,4,FALSE),"")</f>
        <v>172516</v>
      </c>
      <c r="H224">
        <f>IFERROR(VLOOKUP($C224,'[1]2016-2017'!$A:$D,4,FALSE),"")</f>
        <v>141568</v>
      </c>
      <c r="I224">
        <f>IFERROR(VLOOKUP($C224,'[1]2017-2018'!$A:$D,4,FALSE),"")</f>
        <v>74103</v>
      </c>
      <c r="J224">
        <f>IFERROR(VLOOKUP($C224,'[1]2018-2019'!$A:$D,4,FALSE),"")</f>
        <v>121473</v>
      </c>
      <c r="K224">
        <f>IFERROR(VLOOKUP($C224,'[1]2019-2020'!$A:$D,4,FALSE),"")</f>
        <v>158847</v>
      </c>
      <c r="L224">
        <f>IFERROR(VLOOKUP($C224,'[1]2020-2021'!$A:$D,4,FALSE),"")</f>
        <v>5500</v>
      </c>
      <c r="M224">
        <f>IFERROR(VLOOKUP($C224,'[1]2021-2022'!$A:$D,4,FALSE),"")</f>
        <v>153077</v>
      </c>
      <c r="N224">
        <f>IFERROR(VLOOKUP($C224,'[1]2022-2023'!$A:$D,4,FALSE),"")</f>
        <v>139298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f>IFERROR(VLOOKUP($C225,'[1]2013-2014'!$A:$D,4,FALSE),"")</f>
        <v>28324</v>
      </c>
      <c r="F225">
        <f>IFERROR(VLOOKUP($C225,'[1]2014-2015'!$A:$D,4,FALSE),"")</f>
        <v>33641</v>
      </c>
      <c r="G225">
        <f>IFERROR(VLOOKUP($C225,'[1]2015-2016'!$A:$D,4,FALSE),"")</f>
        <v>40560</v>
      </c>
      <c r="H225">
        <f>IFERROR(VLOOKUP($C225,'[1]2016-2017'!$A:$D,4,FALSE),"")</f>
        <v>42006</v>
      </c>
      <c r="I225">
        <f>IFERROR(VLOOKUP($C225,'[1]2017-2018'!$A:$D,4,FALSE),"")</f>
        <v>33840</v>
      </c>
      <c r="J225">
        <f>IFERROR(VLOOKUP($C225,'[1]2018-2019'!$A:$D,4,FALSE),"")</f>
        <v>33637</v>
      </c>
      <c r="K225">
        <f>IFERROR(VLOOKUP($C225,'[1]2019-2020'!$A:$D,4,FALSE),"")</f>
        <v>28501</v>
      </c>
      <c r="L225">
        <f>IFERROR(VLOOKUP($C225,'[1]2020-2021'!$A:$D,4,FALSE),"")</f>
        <v>0</v>
      </c>
      <c r="M225">
        <f>IFERROR(VLOOKUP($C225,'[1]2021-2022'!$A:$D,4,FALSE),"")</f>
        <v>17151</v>
      </c>
      <c r="N225">
        <f>IFERROR(VLOOKUP($C225,'[1]2022-2023'!$A:$D,4,FALSE),"")</f>
        <v>27573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f>IFERROR(VLOOKUP($C226,'[1]2013-2014'!$A:$D,4,FALSE),"")</f>
        <v>14831</v>
      </c>
      <c r="F226">
        <f>IFERROR(VLOOKUP($C226,'[1]2014-2015'!$A:$D,4,FALSE),"")</f>
        <v>9513</v>
      </c>
      <c r="G226">
        <f>IFERROR(VLOOKUP($C226,'[1]2015-2016'!$A:$D,4,FALSE),"")</f>
        <v>9281</v>
      </c>
      <c r="H226">
        <f>IFERROR(VLOOKUP($C226,'[1]2016-2017'!$A:$D,4,FALSE),"")</f>
        <v>6994</v>
      </c>
      <c r="I226">
        <f>IFERROR(VLOOKUP($C226,'[1]2017-2018'!$A:$D,4,FALSE),"")</f>
        <v>7885</v>
      </c>
      <c r="J226">
        <f>IFERROR(VLOOKUP($C226,'[1]2018-2019'!$A:$D,4,FALSE),"")</f>
        <v>19807</v>
      </c>
      <c r="K226">
        <f>IFERROR(VLOOKUP($C226,'[1]2019-2020'!$A:$D,4,FALSE),"")</f>
        <v>15867</v>
      </c>
      <c r="L226">
        <f>IFERROR(VLOOKUP($C226,'[1]2020-2021'!$A:$D,4,FALSE),"")</f>
        <v>32</v>
      </c>
      <c r="M226">
        <f>IFERROR(VLOOKUP($C226,'[1]2021-2022'!$A:$D,4,FALSE),"")</f>
        <v>13256</v>
      </c>
      <c r="N226">
        <f>IFERROR(VLOOKUP($C226,'[1]2022-2023'!$A:$D,4,FALSE),"")</f>
        <v>14090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f>IFERROR(VLOOKUP($C227,'[1]2013-2014'!$A:$D,4,FALSE),"")</f>
        <v>19022</v>
      </c>
      <c r="F227">
        <f>IFERROR(VLOOKUP($C227,'[1]2014-2015'!$A:$D,4,FALSE),"")</f>
        <v>10401</v>
      </c>
      <c r="G227">
        <f>IFERROR(VLOOKUP($C227,'[1]2015-2016'!$A:$D,4,FALSE),"")</f>
        <v>8246</v>
      </c>
      <c r="H227">
        <f>IFERROR(VLOOKUP($C227,'[1]2016-2017'!$A:$D,4,FALSE),"")</f>
        <v>10173</v>
      </c>
      <c r="I227">
        <f>IFERROR(VLOOKUP($C227,'[1]2017-2018'!$A:$D,4,FALSE),"")</f>
        <v>16874</v>
      </c>
      <c r="J227">
        <f>IFERROR(VLOOKUP($C227,'[1]2018-2019'!$A:$D,4,FALSE),"")</f>
        <v>9283</v>
      </c>
      <c r="K227">
        <f>IFERROR(VLOOKUP($C227,'[1]2019-2020'!$A:$D,4,FALSE),"")</f>
        <v>17943</v>
      </c>
      <c r="L227">
        <f>IFERROR(VLOOKUP($C227,'[1]2020-2021'!$A:$D,4,FALSE),"")</f>
        <v>5069</v>
      </c>
      <c r="M227">
        <f>IFERROR(VLOOKUP($C227,'[1]2021-2022'!$A:$D,4,FALSE),"")</f>
        <v>8559</v>
      </c>
      <c r="N227">
        <f>IFERROR(VLOOKUP($C227,'[1]2022-2023'!$A:$D,4,FALSE),"")</f>
        <v>12845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f>IFERROR(VLOOKUP($C228,'[1]2013-2014'!$A:$D,4,FALSE),"")</f>
        <v>8749</v>
      </c>
      <c r="F228">
        <f>IFERROR(VLOOKUP($C228,'[1]2014-2015'!$A:$D,4,FALSE),"")</f>
        <v>9165</v>
      </c>
      <c r="G228">
        <f>IFERROR(VLOOKUP($C228,'[1]2015-2016'!$A:$D,4,FALSE),"")</f>
        <v>9737</v>
      </c>
      <c r="H228">
        <f>IFERROR(VLOOKUP($C228,'[1]2016-2017'!$A:$D,4,FALSE),"")</f>
        <v>6641</v>
      </c>
      <c r="I228">
        <f>IFERROR(VLOOKUP($C228,'[1]2017-2018'!$A:$D,4,FALSE),"")</f>
        <v>5815</v>
      </c>
      <c r="J228">
        <f>IFERROR(VLOOKUP($C228,'[1]2018-2019'!$A:$D,4,FALSE),"")</f>
        <v>8077</v>
      </c>
      <c r="K228">
        <f>IFERROR(VLOOKUP($C228,'[1]2019-2020'!$A:$D,4,FALSE),"")</f>
        <v>5369</v>
      </c>
      <c r="L228">
        <f>IFERROR(VLOOKUP($C228,'[1]2020-2021'!$A:$D,4,FALSE),"")</f>
        <v>111</v>
      </c>
      <c r="M228">
        <f>IFERROR(VLOOKUP($C228,'[1]2021-2022'!$A:$D,4,FALSE),"")</f>
        <v>6036</v>
      </c>
      <c r="N228">
        <f>IFERROR(VLOOKUP($C228,'[1]2022-2023'!$A:$D,4,FALSE),"")</f>
        <v>5919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f>IFERROR(VLOOKUP($C229,'[1]2013-2014'!$A:$D,4,FALSE),"")</f>
        <v>29893</v>
      </c>
      <c r="F229">
        <f>IFERROR(VLOOKUP($C229,'[1]2014-2015'!$A:$D,4,FALSE),"")</f>
        <v>27866</v>
      </c>
      <c r="G229">
        <f>IFERROR(VLOOKUP($C229,'[1]2015-2016'!$A:$D,4,FALSE),"")</f>
        <v>30259</v>
      </c>
      <c r="H229">
        <f>IFERROR(VLOOKUP($C229,'[1]2016-2017'!$A:$D,4,FALSE),"")</f>
        <v>26291</v>
      </c>
      <c r="I229">
        <f>IFERROR(VLOOKUP($C229,'[1]2017-2018'!$A:$D,4,FALSE),"")</f>
        <v>24058</v>
      </c>
      <c r="J229">
        <f>IFERROR(VLOOKUP($C229,'[1]2018-2019'!$A:$D,4,FALSE),"")</f>
        <v>25794</v>
      </c>
      <c r="K229">
        <f>IFERROR(VLOOKUP($C229,'[1]2019-2020'!$A:$D,4,FALSE),"")</f>
        <v>27318</v>
      </c>
      <c r="L229" t="str">
        <f>IFERROR(VLOOKUP($C229,'[1]2020-2021'!$A:$D,4,FALSE),"")</f>
        <v/>
      </c>
      <c r="M229">
        <f>IFERROR(VLOOKUP($C229,'[1]2021-2022'!$A:$D,4,FALSE),"")</f>
        <v>11235</v>
      </c>
      <c r="N229">
        <f>IFERROR(VLOOKUP($C229,'[1]2022-2023'!$A:$D,4,FALSE),"")</f>
        <v>31786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f>IFERROR(VLOOKUP($C230,'[1]2013-2014'!$A:$D,4,FALSE),"")</f>
        <v>133548</v>
      </c>
      <c r="F230">
        <f>IFERROR(VLOOKUP($C230,'[1]2014-2015'!$A:$D,4,FALSE),"")</f>
        <v>146444</v>
      </c>
      <c r="G230">
        <f>IFERROR(VLOOKUP($C230,'[1]2015-2016'!$A:$D,4,FALSE),"")</f>
        <v>164954</v>
      </c>
      <c r="H230">
        <f>IFERROR(VLOOKUP($C230,'[1]2016-2017'!$A:$D,4,FALSE),"")</f>
        <v>152867</v>
      </c>
      <c r="I230">
        <f>IFERROR(VLOOKUP($C230,'[1]2017-2018'!$A:$D,4,FALSE),"")</f>
        <v>162315</v>
      </c>
      <c r="J230">
        <f>IFERROR(VLOOKUP($C230,'[1]2018-2019'!$A:$D,4,FALSE),"")</f>
        <v>171761</v>
      </c>
      <c r="K230">
        <f>IFERROR(VLOOKUP($C230,'[1]2019-2020'!$A:$D,4,FALSE),"")</f>
        <v>161029</v>
      </c>
      <c r="L230">
        <f>IFERROR(VLOOKUP($C230,'[1]2020-2021'!$A:$D,4,FALSE),"")</f>
        <v>0</v>
      </c>
      <c r="M230">
        <f>IFERROR(VLOOKUP($C230,'[1]2021-2022'!$A:$D,4,FALSE),"")</f>
        <v>168869</v>
      </c>
      <c r="N230">
        <f>IFERROR(VLOOKUP($C230,'[1]2022-2023'!$A:$D,4,FALSE),"")</f>
        <v>180330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f>IFERROR(VLOOKUP($C231,'[1]2013-2014'!$A:$D,4,FALSE),"")</f>
        <v>216553</v>
      </c>
      <c r="F231">
        <f>IFERROR(VLOOKUP($C231,'[1]2014-2015'!$A:$D,4,FALSE),"")</f>
        <v>195884</v>
      </c>
      <c r="G231">
        <f>IFERROR(VLOOKUP($C231,'[1]2015-2016'!$A:$D,4,FALSE),"")</f>
        <v>245916</v>
      </c>
      <c r="H231">
        <f>IFERROR(VLOOKUP($C231,'[1]2016-2017'!$A:$D,4,FALSE),"")</f>
        <v>234930</v>
      </c>
      <c r="I231">
        <f>IFERROR(VLOOKUP($C231,'[1]2017-2018'!$A:$D,4,FALSE),"")</f>
        <v>243844</v>
      </c>
      <c r="J231">
        <f>IFERROR(VLOOKUP($C231,'[1]2018-2019'!$A:$D,4,FALSE),"")</f>
        <v>217005</v>
      </c>
      <c r="K231">
        <f>IFERROR(VLOOKUP($C231,'[1]2019-2020'!$A:$D,4,FALSE),"")</f>
        <v>236864</v>
      </c>
      <c r="L231">
        <f>IFERROR(VLOOKUP($C231,'[1]2020-2021'!$A:$D,4,FALSE),"")</f>
        <v>2568</v>
      </c>
      <c r="M231">
        <f>IFERROR(VLOOKUP($C231,'[1]2021-2022'!$A:$D,4,FALSE),"")</f>
        <v>251668</v>
      </c>
      <c r="N231">
        <f>IFERROR(VLOOKUP($C231,'[1]2022-2023'!$A:$D,4,FALSE),"")</f>
        <v>238016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f>IFERROR(VLOOKUP($C232,'[1]2013-2014'!$A:$D,4,FALSE),"")</f>
        <v>13614</v>
      </c>
      <c r="F232">
        <f>IFERROR(VLOOKUP($C232,'[1]2014-2015'!$A:$D,4,FALSE),"")</f>
        <v>17523</v>
      </c>
      <c r="G232">
        <f>IFERROR(VLOOKUP($C232,'[1]2015-2016'!$A:$D,4,FALSE),"")</f>
        <v>16620</v>
      </c>
      <c r="H232">
        <f>IFERROR(VLOOKUP($C232,'[1]2016-2017'!$A:$D,4,FALSE),"")</f>
        <v>33337</v>
      </c>
      <c r="I232">
        <f>IFERROR(VLOOKUP($C232,'[1]2017-2018'!$A:$D,4,FALSE),"")</f>
        <v>22458</v>
      </c>
      <c r="J232">
        <f>IFERROR(VLOOKUP($C232,'[1]2018-2019'!$A:$D,4,FALSE),"")</f>
        <v>21906</v>
      </c>
      <c r="K232">
        <f>IFERROR(VLOOKUP($C232,'[1]2019-2020'!$A:$D,4,FALSE),"")</f>
        <v>17267</v>
      </c>
      <c r="L232">
        <f>IFERROR(VLOOKUP($C232,'[1]2020-2021'!$A:$D,4,FALSE),"")</f>
        <v>0</v>
      </c>
      <c r="M232">
        <f>IFERROR(VLOOKUP($C232,'[1]2021-2022'!$A:$D,4,FALSE),"")</f>
        <v>21151</v>
      </c>
      <c r="N232">
        <f>IFERROR(VLOOKUP($C232,'[1]2022-2023'!$A:$D,4,FALSE),"")</f>
        <v>21738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f>IFERROR(VLOOKUP($C233,'[1]2013-2014'!$A:$D,4,FALSE),"")</f>
        <v>24574</v>
      </c>
      <c r="F233">
        <f>IFERROR(VLOOKUP($C233,'[1]2014-2015'!$A:$D,4,FALSE),"")</f>
        <v>27481</v>
      </c>
      <c r="G233">
        <f>IFERROR(VLOOKUP($C233,'[1]2015-2016'!$A:$D,4,FALSE),"")</f>
        <v>20623</v>
      </c>
      <c r="H233">
        <f>IFERROR(VLOOKUP($C233,'[1]2016-2017'!$A:$D,4,FALSE),"")</f>
        <v>17868</v>
      </c>
      <c r="I233">
        <f>IFERROR(VLOOKUP($C233,'[1]2017-2018'!$A:$D,4,FALSE),"")</f>
        <v>19055</v>
      </c>
      <c r="J233">
        <f>IFERROR(VLOOKUP($C233,'[1]2018-2019'!$A:$D,4,FALSE),"")</f>
        <v>17150</v>
      </c>
      <c r="K233">
        <f>IFERROR(VLOOKUP($C233,'[1]2019-2020'!$A:$D,4,FALSE),"")</f>
        <v>17647</v>
      </c>
      <c r="L233">
        <f>IFERROR(VLOOKUP($C233,'[1]2020-2021'!$A:$D,4,FALSE),"")</f>
        <v>0</v>
      </c>
      <c r="M233">
        <f>IFERROR(VLOOKUP($C233,'[1]2021-2022'!$A:$D,4,FALSE),"")</f>
        <v>12479</v>
      </c>
      <c r="N233">
        <f>IFERROR(VLOOKUP($C233,'[1]2022-2023'!$A:$D,4,FALSE),"")</f>
        <v>16756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f>IFERROR(VLOOKUP($C234,'[1]2013-2014'!$A:$D,4,FALSE),"")</f>
        <v>21972</v>
      </c>
      <c r="F234">
        <f>IFERROR(VLOOKUP($C234,'[1]2014-2015'!$A:$D,4,FALSE),"")</f>
        <v>29309</v>
      </c>
      <c r="G234">
        <f>IFERROR(VLOOKUP($C234,'[1]2015-2016'!$A:$D,4,FALSE),"")</f>
        <v>27392</v>
      </c>
      <c r="H234">
        <f>IFERROR(VLOOKUP($C234,'[1]2016-2017'!$A:$D,4,FALSE),"")</f>
        <v>17122</v>
      </c>
      <c r="I234">
        <f>IFERROR(VLOOKUP($C234,'[1]2017-2018'!$A:$D,4,FALSE),"")</f>
        <v>20733</v>
      </c>
      <c r="J234">
        <f>IFERROR(VLOOKUP($C234,'[1]2018-2019'!$A:$D,4,FALSE),"")</f>
        <v>23042</v>
      </c>
      <c r="K234">
        <f>IFERROR(VLOOKUP($C234,'[1]2019-2020'!$A:$D,4,FALSE),"")</f>
        <v>24991</v>
      </c>
      <c r="L234">
        <f>IFERROR(VLOOKUP($C234,'[1]2020-2021'!$A:$D,4,FALSE),"")</f>
        <v>3260</v>
      </c>
      <c r="M234">
        <f>IFERROR(VLOOKUP($C234,'[1]2021-2022'!$A:$D,4,FALSE),"")</f>
        <v>14585</v>
      </c>
      <c r="N234">
        <f>IFERROR(VLOOKUP($C234,'[1]2022-2023'!$A:$D,4,FALSE),"")</f>
        <v>19620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f>IFERROR(VLOOKUP($C235,'[1]2013-2014'!$A:$D,4,FALSE),"")</f>
        <v>71058</v>
      </c>
      <c r="F235">
        <f>IFERROR(VLOOKUP($C235,'[1]2014-2015'!$A:$D,4,FALSE),"")</f>
        <v>86461</v>
      </c>
      <c r="G235">
        <f>IFERROR(VLOOKUP($C235,'[1]2015-2016'!$A:$D,4,FALSE),"")</f>
        <v>80198</v>
      </c>
      <c r="H235">
        <f>IFERROR(VLOOKUP($C235,'[1]2016-2017'!$A:$D,4,FALSE),"")</f>
        <v>82761</v>
      </c>
      <c r="I235">
        <f>IFERROR(VLOOKUP($C235,'[1]2017-2018'!$A:$D,4,FALSE),"")</f>
        <v>99466</v>
      </c>
      <c r="J235">
        <f>IFERROR(VLOOKUP($C235,'[1]2018-2019'!$A:$D,4,FALSE),"")</f>
        <v>81153</v>
      </c>
      <c r="K235">
        <f>IFERROR(VLOOKUP($C235,'[1]2019-2020'!$A:$D,4,FALSE),"")</f>
        <v>92156</v>
      </c>
      <c r="L235">
        <f>IFERROR(VLOOKUP($C235,'[1]2020-2021'!$A:$D,4,FALSE),"")</f>
        <v>0</v>
      </c>
      <c r="M235">
        <f>IFERROR(VLOOKUP($C235,'[1]2021-2022'!$A:$D,4,FALSE),"")</f>
        <v>72207</v>
      </c>
      <c r="N235">
        <f>IFERROR(VLOOKUP($C235,'[1]2022-2023'!$A:$D,4,FALSE),"")</f>
        <v>82531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f>IFERROR(VLOOKUP($C236,'[1]2013-2014'!$A:$D,4,FALSE),"")</f>
        <v>22741</v>
      </c>
      <c r="F236">
        <f>IFERROR(VLOOKUP($C236,'[1]2014-2015'!$A:$D,4,FALSE),"")</f>
        <v>26442</v>
      </c>
      <c r="G236">
        <f>IFERROR(VLOOKUP($C236,'[1]2015-2016'!$A:$D,4,FALSE),"")</f>
        <v>37477</v>
      </c>
      <c r="H236">
        <f>IFERROR(VLOOKUP($C236,'[1]2016-2017'!$A:$D,4,FALSE),"")</f>
        <v>39930</v>
      </c>
      <c r="I236">
        <f>IFERROR(VLOOKUP($C236,'[1]2017-2018'!$A:$D,4,FALSE),"")</f>
        <v>34430</v>
      </c>
      <c r="J236">
        <f>IFERROR(VLOOKUP($C236,'[1]2018-2019'!$A:$D,4,FALSE),"")</f>
        <v>29087</v>
      </c>
      <c r="K236">
        <f>IFERROR(VLOOKUP($C236,'[1]2019-2020'!$A:$D,4,FALSE),"")</f>
        <v>29746</v>
      </c>
      <c r="L236">
        <f>IFERROR(VLOOKUP($C236,'[1]2020-2021'!$A:$D,4,FALSE),"")</f>
        <v>0</v>
      </c>
      <c r="M236">
        <f>IFERROR(VLOOKUP($C236,'[1]2021-2022'!$A:$D,4,FALSE),"")</f>
        <v>26778</v>
      </c>
      <c r="N236">
        <f>IFERROR(VLOOKUP($C236,'[1]2022-2023'!$A:$D,4,FALSE),"")</f>
        <v>33869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f>IFERROR(VLOOKUP($C237,'[1]2013-2014'!$A:$D,4,FALSE),"")</f>
        <v>97632</v>
      </c>
      <c r="F237">
        <f>IFERROR(VLOOKUP($C237,'[1]2014-2015'!$A:$D,4,FALSE),"")</f>
        <v>111983</v>
      </c>
      <c r="G237">
        <f>IFERROR(VLOOKUP($C237,'[1]2015-2016'!$A:$D,4,FALSE),"")</f>
        <v>102965</v>
      </c>
      <c r="H237">
        <f>IFERROR(VLOOKUP($C237,'[1]2016-2017'!$A:$D,4,FALSE),"")</f>
        <v>100188</v>
      </c>
      <c r="I237">
        <f>IFERROR(VLOOKUP($C237,'[1]2017-2018'!$A:$D,4,FALSE),"")</f>
        <v>97379</v>
      </c>
      <c r="J237">
        <f>IFERROR(VLOOKUP($C237,'[1]2018-2019'!$A:$D,4,FALSE),"")</f>
        <v>97408</v>
      </c>
      <c r="K237">
        <f>IFERROR(VLOOKUP($C237,'[1]2019-2020'!$A:$D,4,FALSE),"")</f>
        <v>96013</v>
      </c>
      <c r="L237">
        <f>IFERROR(VLOOKUP($C237,'[1]2020-2021'!$A:$D,4,FALSE),"")</f>
        <v>0</v>
      </c>
      <c r="M237">
        <f>IFERROR(VLOOKUP($C237,'[1]2021-2022'!$A:$D,4,FALSE),"")</f>
        <v>91079</v>
      </c>
      <c r="N237">
        <f>IFERROR(VLOOKUP($C237,'[1]2022-2023'!$A:$D,4,FALSE),"")</f>
        <v>100567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f>IFERROR(VLOOKUP($C238,'[1]2013-2014'!$A:$D,4,FALSE),"")</f>
        <v>18381</v>
      </c>
      <c r="F238">
        <f>IFERROR(VLOOKUP($C238,'[1]2014-2015'!$A:$D,4,FALSE),"")</f>
        <v>19058</v>
      </c>
      <c r="G238">
        <f>IFERROR(VLOOKUP($C238,'[1]2015-2016'!$A:$D,4,FALSE),"")</f>
        <v>19391</v>
      </c>
      <c r="H238">
        <f>IFERROR(VLOOKUP($C238,'[1]2016-2017'!$A:$D,4,FALSE),"")</f>
        <v>18588</v>
      </c>
      <c r="I238">
        <f>IFERROR(VLOOKUP($C238,'[1]2017-2018'!$A:$D,4,FALSE),"")</f>
        <v>20201</v>
      </c>
      <c r="J238">
        <f>IFERROR(VLOOKUP($C238,'[1]2018-2019'!$A:$D,4,FALSE),"")</f>
        <v>16936</v>
      </c>
      <c r="K238">
        <f>IFERROR(VLOOKUP($C238,'[1]2019-2020'!$A:$D,4,FALSE),"")</f>
        <v>18091</v>
      </c>
      <c r="L238">
        <f>IFERROR(VLOOKUP($C238,'[1]2020-2021'!$A:$D,4,FALSE),"")</f>
        <v>0</v>
      </c>
      <c r="M238">
        <f>IFERROR(VLOOKUP($C238,'[1]2021-2022'!$A:$D,4,FALSE),"")</f>
        <v>18437</v>
      </c>
      <c r="N238">
        <f>IFERROR(VLOOKUP($C238,'[1]2022-2023'!$A:$D,4,FALSE),"")</f>
        <v>19876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f>IFERROR(VLOOKUP($C239,'[1]2013-2014'!$A:$D,4,FALSE),"")</f>
        <v>22297</v>
      </c>
      <c r="F239">
        <f>IFERROR(VLOOKUP($C239,'[1]2014-2015'!$A:$D,4,FALSE),"")</f>
        <v>17693</v>
      </c>
      <c r="G239">
        <f>IFERROR(VLOOKUP($C239,'[1]2015-2016'!$A:$D,4,FALSE),"")</f>
        <v>18312</v>
      </c>
      <c r="H239">
        <f>IFERROR(VLOOKUP($C239,'[1]2016-2017'!$A:$D,4,FALSE),"")</f>
        <v>15008</v>
      </c>
      <c r="I239">
        <f>IFERROR(VLOOKUP($C239,'[1]2017-2018'!$A:$D,4,FALSE),"")</f>
        <v>9190</v>
      </c>
      <c r="J239">
        <f>IFERROR(VLOOKUP($C239,'[1]2018-2019'!$A:$D,4,FALSE),"")</f>
        <v>16403</v>
      </c>
      <c r="K239">
        <f>IFERROR(VLOOKUP($C239,'[1]2019-2020'!$A:$D,4,FALSE),"")</f>
        <v>26548</v>
      </c>
      <c r="L239">
        <f>IFERROR(VLOOKUP($C239,'[1]2020-2021'!$A:$D,4,FALSE),"")</f>
        <v>0</v>
      </c>
      <c r="M239">
        <f>IFERROR(VLOOKUP($C239,'[1]2021-2022'!$A:$D,4,FALSE),"")</f>
        <v>12474</v>
      </c>
      <c r="N239">
        <f>IFERROR(VLOOKUP($C239,'[1]2022-2023'!$A:$D,4,FALSE),"")</f>
        <v>17160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f>IFERROR(VLOOKUP($C240,'[1]2013-2014'!$A:$D,4,FALSE),"")</f>
        <v>88492</v>
      </c>
      <c r="F240">
        <f>IFERROR(VLOOKUP($C240,'[1]2014-2015'!$A:$D,4,FALSE),"")</f>
        <v>92315</v>
      </c>
      <c r="G240">
        <f>IFERROR(VLOOKUP($C240,'[1]2015-2016'!$A:$D,4,FALSE),"")</f>
        <v>83759</v>
      </c>
      <c r="H240">
        <f>IFERROR(VLOOKUP($C240,'[1]2016-2017'!$A:$D,4,FALSE),"")</f>
        <v>74874</v>
      </c>
      <c r="I240">
        <f>IFERROR(VLOOKUP($C240,'[1]2017-2018'!$A:$D,4,FALSE),"")</f>
        <v>104698</v>
      </c>
      <c r="J240">
        <f>IFERROR(VLOOKUP($C240,'[1]2018-2019'!$A:$D,4,FALSE),"")</f>
        <v>106077</v>
      </c>
      <c r="K240">
        <f>IFERROR(VLOOKUP($C240,'[1]2019-2020'!$A:$D,4,FALSE),"")</f>
        <v>128523</v>
      </c>
      <c r="L240">
        <f>IFERROR(VLOOKUP($C240,'[1]2020-2021'!$A:$D,4,FALSE),"")</f>
        <v>64</v>
      </c>
      <c r="M240">
        <f>IFERROR(VLOOKUP($C240,'[1]2021-2022'!$A:$D,4,FALSE),"")</f>
        <v>128506</v>
      </c>
      <c r="N240">
        <f>IFERROR(VLOOKUP($C240,'[1]2022-2023'!$A:$D,4,FALSE),"")</f>
        <v>164399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f>IFERROR(VLOOKUP($C241,'[1]2013-2014'!$A:$D,4,FALSE),"")</f>
        <v>10229</v>
      </c>
      <c r="F241">
        <f>IFERROR(VLOOKUP($C241,'[1]2014-2015'!$A:$D,4,FALSE),"")</f>
        <v>12544</v>
      </c>
      <c r="G241">
        <f>IFERROR(VLOOKUP($C241,'[1]2015-2016'!$A:$D,4,FALSE),"")</f>
        <v>12898</v>
      </c>
      <c r="H241">
        <f>IFERROR(VLOOKUP($C241,'[1]2016-2017'!$A:$D,4,FALSE),"")</f>
        <v>9327</v>
      </c>
      <c r="I241">
        <f>IFERROR(VLOOKUP($C241,'[1]2017-2018'!$A:$D,4,FALSE),"")</f>
        <v>7934</v>
      </c>
      <c r="J241">
        <f>IFERROR(VLOOKUP($C241,'[1]2018-2019'!$A:$D,4,FALSE),"")</f>
        <v>8879</v>
      </c>
      <c r="K241">
        <f>IFERROR(VLOOKUP($C241,'[1]2019-2020'!$A:$D,4,FALSE),"")</f>
        <v>10500</v>
      </c>
      <c r="L241">
        <f>IFERROR(VLOOKUP($C241,'[1]2020-2021'!$A:$D,4,FALSE),"")</f>
        <v>0</v>
      </c>
      <c r="M241">
        <f>IFERROR(VLOOKUP($C241,'[1]2021-2022'!$A:$D,4,FALSE),"")</f>
        <v>7846</v>
      </c>
      <c r="N241">
        <f>IFERROR(VLOOKUP($C241,'[1]2022-2023'!$A:$D,4,FALSE),"")</f>
        <v>9746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f>IFERROR(VLOOKUP($C242,'[1]2013-2014'!$A:$D,4,FALSE),"")</f>
        <v>5672</v>
      </c>
      <c r="F242">
        <f>IFERROR(VLOOKUP($C242,'[1]2014-2015'!$A:$D,4,FALSE),"")</f>
        <v>7334</v>
      </c>
      <c r="G242">
        <f>IFERROR(VLOOKUP($C242,'[1]2015-2016'!$A:$D,4,FALSE),"")</f>
        <v>6840</v>
      </c>
      <c r="H242">
        <f>IFERROR(VLOOKUP($C242,'[1]2016-2017'!$A:$D,4,FALSE),"")</f>
        <v>6340</v>
      </c>
      <c r="I242">
        <f>IFERROR(VLOOKUP($C242,'[1]2017-2018'!$A:$D,4,FALSE),"")</f>
        <v>6198</v>
      </c>
      <c r="J242">
        <f>IFERROR(VLOOKUP($C242,'[1]2018-2019'!$A:$D,4,FALSE),"")</f>
        <v>8422</v>
      </c>
      <c r="K242">
        <f>IFERROR(VLOOKUP($C242,'[1]2019-2020'!$A:$D,4,FALSE),"")</f>
        <v>8140</v>
      </c>
      <c r="L242">
        <f>IFERROR(VLOOKUP($C242,'[1]2020-2021'!$A:$D,4,FALSE),"")</f>
        <v>0</v>
      </c>
      <c r="M242">
        <f>IFERROR(VLOOKUP($C242,'[1]2021-2022'!$A:$D,4,FALSE),"")</f>
        <v>10931</v>
      </c>
      <c r="N242">
        <f>IFERROR(VLOOKUP($C242,'[1]2022-2023'!$A:$D,4,FALSE),"")</f>
        <v>9528</v>
      </c>
    </row>
    <row r="243" spans="1:14" x14ac:dyDescent="0.2">
      <c r="A243" t="s">
        <v>520</v>
      </c>
      <c r="B243" s="14" t="s">
        <v>599</v>
      </c>
      <c r="C243">
        <v>215743</v>
      </c>
      <c r="D243">
        <v>11020</v>
      </c>
      <c r="E243">
        <f>IFERROR(VLOOKUP($C243,'[1]2013-2014'!$A:$D,4,FALSE),"")</f>
        <v>14313</v>
      </c>
      <c r="F243">
        <f>IFERROR(VLOOKUP($C243,'[1]2014-2015'!$A:$D,4,FALSE),"")</f>
        <v>13224</v>
      </c>
      <c r="G243">
        <f>IFERROR(VLOOKUP($C243,'[1]2015-2016'!$A:$D,4,FALSE),"")</f>
        <v>15258</v>
      </c>
      <c r="H243">
        <f>IFERROR(VLOOKUP($C243,'[1]2016-2017'!$A:$D,4,FALSE),"")</f>
        <v>10668</v>
      </c>
      <c r="I243">
        <f>IFERROR(VLOOKUP($C243,'[1]2017-2018'!$A:$D,4,FALSE),"")</f>
        <v>13023</v>
      </c>
      <c r="J243">
        <f>IFERROR(VLOOKUP($C243,'[1]2018-2019'!$A:$D,4,FALSE),"")</f>
        <v>17976</v>
      </c>
      <c r="K243">
        <f>IFERROR(VLOOKUP($C243,'[1]2019-2020'!$A:$D,4,FALSE),"")</f>
        <v>16164</v>
      </c>
      <c r="L243">
        <f>IFERROR(VLOOKUP($C243,'[1]2020-2021'!$A:$D,4,FALSE),"")</f>
        <v>0</v>
      </c>
      <c r="M243">
        <f>IFERROR(VLOOKUP($C243,'[1]2021-2022'!$A:$D,4,FALSE),"")</f>
        <v>5855</v>
      </c>
      <c r="N243">
        <f>IFERROR(VLOOKUP($C243,'[1]2022-2023'!$A:$D,4,FALSE),"")</f>
        <v>10152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f>IFERROR(VLOOKUP($C244,'[1]2013-2014'!$A:$D,4,FALSE),"")</f>
        <v>60850</v>
      </c>
      <c r="F244">
        <f>IFERROR(VLOOKUP($C244,'[1]2014-2015'!$A:$D,4,FALSE),"")</f>
        <v>52908</v>
      </c>
      <c r="G244">
        <f>IFERROR(VLOOKUP($C244,'[1]2015-2016'!$A:$D,4,FALSE),"")</f>
        <v>62740</v>
      </c>
      <c r="H244">
        <f>IFERROR(VLOOKUP($C244,'[1]2016-2017'!$A:$D,4,FALSE),"")</f>
        <v>58501</v>
      </c>
      <c r="I244">
        <f>IFERROR(VLOOKUP($C244,'[1]2017-2018'!$A:$D,4,FALSE),"")</f>
        <v>47946</v>
      </c>
      <c r="J244">
        <f>IFERROR(VLOOKUP($C244,'[1]2018-2019'!$A:$D,4,FALSE),"")</f>
        <v>59077</v>
      </c>
      <c r="K244">
        <f>IFERROR(VLOOKUP($C244,'[1]2019-2020'!$A:$D,4,FALSE),"")</f>
        <v>29513</v>
      </c>
      <c r="L244">
        <f>IFERROR(VLOOKUP($C244,'[1]2020-2021'!$A:$D,4,FALSE),"")</f>
        <v>0</v>
      </c>
      <c r="M244">
        <f>IFERROR(VLOOKUP($C244,'[1]2021-2022'!$A:$D,4,FALSE),"")</f>
        <v>25260</v>
      </c>
      <c r="N244">
        <f>IFERROR(VLOOKUP($C244,'[1]2022-2023'!$A:$D,4,FALSE),"")</f>
        <v>24066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f>IFERROR(VLOOKUP($C245,'[1]2013-2014'!$A:$D,4,FALSE),"")</f>
        <v>143278</v>
      </c>
      <c r="F245">
        <f>IFERROR(VLOOKUP($C245,'[1]2014-2015'!$A:$D,4,FALSE),"")</f>
        <v>126576</v>
      </c>
      <c r="G245">
        <f>IFERROR(VLOOKUP($C245,'[1]2015-2016'!$A:$D,4,FALSE),"")</f>
        <v>121633</v>
      </c>
      <c r="H245">
        <f>IFERROR(VLOOKUP($C245,'[1]2016-2017'!$A:$D,4,FALSE),"")</f>
        <v>100675</v>
      </c>
      <c r="I245">
        <f>IFERROR(VLOOKUP($C245,'[1]2017-2018'!$A:$D,4,FALSE),"")</f>
        <v>112237</v>
      </c>
      <c r="J245">
        <f>IFERROR(VLOOKUP($C245,'[1]2018-2019'!$A:$D,4,FALSE),"")</f>
        <v>117136</v>
      </c>
      <c r="K245">
        <f>IFERROR(VLOOKUP($C245,'[1]2019-2020'!$A:$D,4,FALSE),"")</f>
        <v>123838</v>
      </c>
      <c r="L245">
        <f>IFERROR(VLOOKUP($C245,'[1]2020-2021'!$A:$D,4,FALSE),"")</f>
        <v>0</v>
      </c>
      <c r="M245">
        <f>IFERROR(VLOOKUP($C245,'[1]2021-2022'!$A:$D,4,FALSE),"")</f>
        <v>104815</v>
      </c>
      <c r="N245">
        <f>IFERROR(VLOOKUP($C245,'[1]2022-2023'!$A:$D,4,FALSE),"")</f>
        <v>127012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f>IFERROR(VLOOKUP($C246,'[1]2013-2014'!$A:$D,4,FALSE),"")</f>
        <v>50426</v>
      </c>
      <c r="F246">
        <f>IFERROR(VLOOKUP($C246,'[1]2014-2015'!$A:$D,4,FALSE),"")</f>
        <v>52965</v>
      </c>
      <c r="G246">
        <f>IFERROR(VLOOKUP($C246,'[1]2015-2016'!$A:$D,4,FALSE),"")</f>
        <v>54848</v>
      </c>
      <c r="H246">
        <f>IFERROR(VLOOKUP($C246,'[1]2016-2017'!$A:$D,4,FALSE),"")</f>
        <v>52574</v>
      </c>
      <c r="I246">
        <f>IFERROR(VLOOKUP($C246,'[1]2017-2018'!$A:$D,4,FALSE),"")</f>
        <v>59686</v>
      </c>
      <c r="J246">
        <f>IFERROR(VLOOKUP($C246,'[1]2018-2019'!$A:$D,4,FALSE),"")</f>
        <v>52453</v>
      </c>
      <c r="K246">
        <f>IFERROR(VLOOKUP($C246,'[1]2019-2020'!$A:$D,4,FALSE),"")</f>
        <v>54242</v>
      </c>
      <c r="L246">
        <f>IFERROR(VLOOKUP($C246,'[1]2020-2021'!$A:$D,4,FALSE),"")</f>
        <v>0</v>
      </c>
      <c r="M246">
        <f>IFERROR(VLOOKUP($C246,'[1]2021-2022'!$A:$D,4,FALSE),"")</f>
        <v>43437</v>
      </c>
      <c r="N246">
        <f>IFERROR(VLOOKUP($C246,'[1]2022-2023'!$A:$D,4,FALSE),"")</f>
        <v>57541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f>IFERROR(VLOOKUP($C247,'[1]2013-2014'!$A:$D,4,FALSE),"")</f>
        <v>3933</v>
      </c>
      <c r="F247">
        <f>IFERROR(VLOOKUP($C247,'[1]2014-2015'!$A:$D,4,FALSE),"")</f>
        <v>4817</v>
      </c>
      <c r="G247">
        <f>IFERROR(VLOOKUP($C247,'[1]2015-2016'!$A:$D,4,FALSE),"")</f>
        <v>6709</v>
      </c>
      <c r="H247">
        <f>IFERROR(VLOOKUP($C247,'[1]2016-2017'!$A:$D,4,FALSE),"")</f>
        <v>4397</v>
      </c>
      <c r="I247">
        <f>IFERROR(VLOOKUP($C247,'[1]2017-2018'!$A:$D,4,FALSE),"")</f>
        <v>7799</v>
      </c>
      <c r="J247">
        <f>IFERROR(VLOOKUP($C247,'[1]2018-2019'!$A:$D,4,FALSE),"")</f>
        <v>9678</v>
      </c>
      <c r="K247">
        <f>IFERROR(VLOOKUP($C247,'[1]2019-2020'!$A:$D,4,FALSE),"")</f>
        <v>8903</v>
      </c>
      <c r="L247">
        <f>IFERROR(VLOOKUP($C247,'[1]2020-2021'!$A:$D,4,FALSE),"")</f>
        <v>0</v>
      </c>
      <c r="M247">
        <f>IFERROR(VLOOKUP($C247,'[1]2021-2022'!$A:$D,4,FALSE),"")</f>
        <v>6838</v>
      </c>
      <c r="N247">
        <f>IFERROR(VLOOKUP($C247,'[1]2022-2023'!$A:$D,4,FALSE),"")</f>
        <v>8028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f>IFERROR(VLOOKUP($C248,'[1]2013-2014'!$A:$D,4,FALSE),"")</f>
        <v>15186</v>
      </c>
      <c r="F248">
        <f>IFERROR(VLOOKUP($C248,'[1]2014-2015'!$A:$D,4,FALSE),"")</f>
        <v>19717</v>
      </c>
      <c r="G248">
        <f>IFERROR(VLOOKUP($C248,'[1]2015-2016'!$A:$D,4,FALSE),"")</f>
        <v>16404</v>
      </c>
      <c r="H248">
        <f>IFERROR(VLOOKUP($C248,'[1]2016-2017'!$A:$D,4,FALSE),"")</f>
        <v>18858</v>
      </c>
      <c r="I248">
        <f>IFERROR(VLOOKUP($C248,'[1]2017-2018'!$A:$D,4,FALSE),"")</f>
        <v>15105</v>
      </c>
      <c r="J248">
        <f>IFERROR(VLOOKUP($C248,'[1]2018-2019'!$A:$D,4,FALSE),"")</f>
        <v>15925</v>
      </c>
      <c r="K248">
        <f>IFERROR(VLOOKUP($C248,'[1]2019-2020'!$A:$D,4,FALSE),"")</f>
        <v>15367</v>
      </c>
      <c r="L248">
        <f>IFERROR(VLOOKUP($C248,'[1]2020-2021'!$A:$D,4,FALSE),"")</f>
        <v>8349</v>
      </c>
      <c r="M248">
        <f>IFERROR(VLOOKUP($C248,'[1]2021-2022'!$A:$D,4,FALSE),"")</f>
        <v>7575</v>
      </c>
      <c r="N248">
        <f>IFERROR(VLOOKUP($C248,'[1]2022-2023'!$A:$D,4,FALSE),"")</f>
        <v>21337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f>IFERROR(VLOOKUP($C249,'[1]2013-2014'!$A:$D,4,FALSE),"")</f>
        <v>19711</v>
      </c>
      <c r="F249">
        <f>IFERROR(VLOOKUP($C249,'[1]2014-2015'!$A:$D,4,FALSE),"")</f>
        <v>13893</v>
      </c>
      <c r="G249">
        <f>IFERROR(VLOOKUP($C249,'[1]2015-2016'!$A:$D,4,FALSE),"")</f>
        <v>17440</v>
      </c>
      <c r="H249">
        <f>IFERROR(VLOOKUP($C249,'[1]2016-2017'!$A:$D,4,FALSE),"")</f>
        <v>21531</v>
      </c>
      <c r="I249">
        <f>IFERROR(VLOOKUP($C249,'[1]2017-2018'!$A:$D,4,FALSE),"")</f>
        <v>16237</v>
      </c>
      <c r="J249">
        <f>IFERROR(VLOOKUP($C249,'[1]2018-2019'!$A:$D,4,FALSE),"")</f>
        <v>19933</v>
      </c>
      <c r="K249">
        <f>IFERROR(VLOOKUP($C249,'[1]2019-2020'!$A:$D,4,FALSE),"")</f>
        <v>13269</v>
      </c>
      <c r="L249">
        <f>IFERROR(VLOOKUP($C249,'[1]2020-2021'!$A:$D,4,FALSE),"")</f>
        <v>4246</v>
      </c>
      <c r="M249">
        <f>IFERROR(VLOOKUP($C249,'[1]2021-2022'!$A:$D,4,FALSE),"")</f>
        <v>20449</v>
      </c>
      <c r="N249">
        <f>IFERROR(VLOOKUP($C249,'[1]2022-2023'!$A:$D,4,FALSE),"")</f>
        <v>40096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f>IFERROR(VLOOKUP($C250,'[1]2013-2014'!$A:$D,4,FALSE),"")</f>
        <v>38362</v>
      </c>
      <c r="F250">
        <f>IFERROR(VLOOKUP($C250,'[1]2014-2015'!$A:$D,4,FALSE),"")</f>
        <v>26101</v>
      </c>
      <c r="G250">
        <f>IFERROR(VLOOKUP($C250,'[1]2015-2016'!$A:$D,4,FALSE),"")</f>
        <v>25823</v>
      </c>
      <c r="H250">
        <f>IFERROR(VLOOKUP($C250,'[1]2016-2017'!$A:$D,4,FALSE),"")</f>
        <v>27532</v>
      </c>
      <c r="I250">
        <f>IFERROR(VLOOKUP($C250,'[1]2017-2018'!$A:$D,4,FALSE),"")</f>
        <v>34531</v>
      </c>
      <c r="J250">
        <f>IFERROR(VLOOKUP($C250,'[1]2018-2019'!$A:$D,4,FALSE),"")</f>
        <v>31255</v>
      </c>
      <c r="K250">
        <f>IFERROR(VLOOKUP($C250,'[1]2019-2020'!$A:$D,4,FALSE),"")</f>
        <v>28181</v>
      </c>
      <c r="L250">
        <f>IFERROR(VLOOKUP($C250,'[1]2020-2021'!$A:$D,4,FALSE),"")</f>
        <v>0</v>
      </c>
      <c r="M250">
        <f>IFERROR(VLOOKUP($C250,'[1]2021-2022'!$A:$D,4,FALSE),"")</f>
        <v>17446</v>
      </c>
      <c r="N250">
        <f>IFERROR(VLOOKUP($C250,'[1]2022-2023'!$A:$D,4,FALSE),"")</f>
        <v>22317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f>IFERROR(VLOOKUP($C251,'[1]2013-2014'!$A:$D,4,FALSE),"")</f>
        <v>198624</v>
      </c>
      <c r="F251">
        <f>IFERROR(VLOOKUP($C251,'[1]2014-2015'!$A:$D,4,FALSE),"")</f>
        <v>211038</v>
      </c>
      <c r="G251">
        <f>IFERROR(VLOOKUP($C251,'[1]2015-2016'!$A:$D,4,FALSE),"")</f>
        <v>244190</v>
      </c>
      <c r="H251">
        <f>IFERROR(VLOOKUP($C251,'[1]2016-2017'!$A:$D,4,FALSE),"")</f>
        <v>170742</v>
      </c>
      <c r="I251">
        <f>IFERROR(VLOOKUP($C251,'[1]2017-2018'!$A:$D,4,FALSE),"")</f>
        <v>170163</v>
      </c>
      <c r="J251">
        <f>IFERROR(VLOOKUP($C251,'[1]2018-2019'!$A:$D,4,FALSE),"")</f>
        <v>185040</v>
      </c>
      <c r="K251">
        <f>IFERROR(VLOOKUP($C251,'[1]2019-2020'!$A:$D,4,FALSE),"")</f>
        <v>175015</v>
      </c>
      <c r="L251">
        <f>IFERROR(VLOOKUP($C251,'[1]2020-2021'!$A:$D,4,FALSE),"")</f>
        <v>0</v>
      </c>
      <c r="M251">
        <f>IFERROR(VLOOKUP($C251,'[1]2021-2022'!$A:$D,4,FALSE),"")</f>
        <v>169972</v>
      </c>
      <c r="N251">
        <f>IFERROR(VLOOKUP($C251,'[1]2022-2023'!$A:$D,4,FALSE),"")</f>
        <v>196181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f>IFERROR(VLOOKUP($C252,'[1]2013-2014'!$A:$D,4,FALSE),"")</f>
        <v>38439</v>
      </c>
      <c r="F252">
        <f>IFERROR(VLOOKUP($C252,'[1]2014-2015'!$A:$D,4,FALSE),"")</f>
        <v>29690</v>
      </c>
      <c r="G252">
        <f>IFERROR(VLOOKUP($C252,'[1]2015-2016'!$A:$D,4,FALSE),"")</f>
        <v>25922</v>
      </c>
      <c r="H252">
        <f>IFERROR(VLOOKUP($C252,'[1]2016-2017'!$A:$D,4,FALSE),"")</f>
        <v>30416</v>
      </c>
      <c r="I252">
        <f>IFERROR(VLOOKUP($C252,'[1]2017-2018'!$A:$D,4,FALSE),"")</f>
        <v>37834</v>
      </c>
      <c r="J252">
        <f>IFERROR(VLOOKUP($C252,'[1]2018-2019'!$A:$D,4,FALSE),"")</f>
        <v>35699</v>
      </c>
      <c r="K252">
        <f>IFERROR(VLOOKUP($C252,'[1]2019-2020'!$A:$D,4,FALSE),"")</f>
        <v>44503</v>
      </c>
      <c r="L252">
        <f>IFERROR(VLOOKUP($C252,'[1]2020-2021'!$A:$D,4,FALSE),"")</f>
        <v>0</v>
      </c>
      <c r="M252">
        <f>IFERROR(VLOOKUP($C252,'[1]2021-2022'!$A:$D,4,FALSE),"")</f>
        <v>31934</v>
      </c>
      <c r="N252">
        <f>IFERROR(VLOOKUP($C252,'[1]2022-2023'!$A:$D,4,FALSE),"")</f>
        <v>33192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f>IFERROR(VLOOKUP($C253,'[1]2013-2014'!$A:$D,4,FALSE),"")</f>
        <v>23036</v>
      </c>
      <c r="F253">
        <f>IFERROR(VLOOKUP($C253,'[1]2014-2015'!$A:$D,4,FALSE),"")</f>
        <v>23238</v>
      </c>
      <c r="G253">
        <f>IFERROR(VLOOKUP($C253,'[1]2015-2016'!$A:$D,4,FALSE),"")</f>
        <v>23059</v>
      </c>
      <c r="H253">
        <f>IFERROR(VLOOKUP($C253,'[1]2016-2017'!$A:$D,4,FALSE),"")</f>
        <v>29810</v>
      </c>
      <c r="I253">
        <f>IFERROR(VLOOKUP($C253,'[1]2017-2018'!$A:$D,4,FALSE),"")</f>
        <v>23737</v>
      </c>
      <c r="J253">
        <f>IFERROR(VLOOKUP($C253,'[1]2018-2019'!$A:$D,4,FALSE),"")</f>
        <v>24867</v>
      </c>
      <c r="K253">
        <f>IFERROR(VLOOKUP($C253,'[1]2019-2020'!$A:$D,4,FALSE),"")</f>
        <v>26022</v>
      </c>
      <c r="L253">
        <f>IFERROR(VLOOKUP($C253,'[1]2020-2021'!$A:$D,4,FALSE),"")</f>
        <v>0</v>
      </c>
      <c r="M253">
        <f>IFERROR(VLOOKUP($C253,'[1]2021-2022'!$A:$D,4,FALSE),"")</f>
        <v>26350</v>
      </c>
      <c r="N253">
        <f>IFERROR(VLOOKUP($C253,'[1]2022-2023'!$A:$D,4,FALSE),"")</f>
        <v>32724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f>IFERROR(VLOOKUP($C254,'[1]2013-2014'!$A:$D,4,FALSE),"")</f>
        <v>27498</v>
      </c>
      <c r="F254">
        <f>IFERROR(VLOOKUP($C254,'[1]2014-2015'!$A:$D,4,FALSE),"")</f>
        <v>26521</v>
      </c>
      <c r="G254">
        <f>IFERROR(VLOOKUP($C254,'[1]2015-2016'!$A:$D,4,FALSE),"")</f>
        <v>26455</v>
      </c>
      <c r="H254">
        <f>IFERROR(VLOOKUP($C254,'[1]2016-2017'!$A:$D,4,FALSE),"")</f>
        <v>29558</v>
      </c>
      <c r="I254">
        <f>IFERROR(VLOOKUP($C254,'[1]2017-2018'!$A:$D,4,FALSE),"")</f>
        <v>35733</v>
      </c>
      <c r="J254">
        <f>IFERROR(VLOOKUP($C254,'[1]2018-2019'!$A:$D,4,FALSE),"")</f>
        <v>32254</v>
      </c>
      <c r="K254">
        <f>IFERROR(VLOOKUP($C254,'[1]2019-2020'!$A:$D,4,FALSE),"")</f>
        <v>34435</v>
      </c>
      <c r="L254">
        <f>IFERROR(VLOOKUP($C254,'[1]2020-2021'!$A:$D,4,FALSE),"")</f>
        <v>0</v>
      </c>
      <c r="M254">
        <f>IFERROR(VLOOKUP($C254,'[1]2021-2022'!$A:$D,4,FALSE),"")</f>
        <v>21056</v>
      </c>
      <c r="N254">
        <f>IFERROR(VLOOKUP($C254,'[1]2022-2023'!$A:$D,4,FALSE),"")</f>
        <v>30060</v>
      </c>
    </row>
    <row r="255" spans="1:14" x14ac:dyDescent="0.2">
      <c r="A255" s="7" t="s">
        <v>600</v>
      </c>
      <c r="B255" s="7" t="s">
        <v>600</v>
      </c>
      <c r="C255">
        <v>140960</v>
      </c>
      <c r="E255">
        <f>IFERROR(VLOOKUP($C255,'[1]2013-2014'!$A:$D,4,FALSE),"")</f>
        <v>23732</v>
      </c>
      <c r="F255">
        <f>IFERROR(VLOOKUP($C255,'[1]2014-2015'!$A:$D,4,FALSE),"")</f>
        <v>21605</v>
      </c>
      <c r="G255">
        <f>IFERROR(VLOOKUP($C255,'[1]2015-2016'!$A:$D,4,FALSE),"")</f>
        <v>25986</v>
      </c>
      <c r="H255">
        <f>IFERROR(VLOOKUP($C255,'[1]2016-2017'!$A:$D,4,FALSE),"")</f>
        <v>19750</v>
      </c>
      <c r="I255">
        <f>IFERROR(VLOOKUP($C255,'[1]2017-2018'!$A:$D,4,FALSE),"")</f>
        <v>22390</v>
      </c>
      <c r="J255">
        <f>IFERROR(VLOOKUP($C255,'[1]2018-2019'!$A:$D,4,FALSE),"")</f>
        <v>23414</v>
      </c>
      <c r="K255" t="str">
        <f>IFERROR(VLOOKUP($C255,'[1]2019-2020'!$A:$D,4,FALSE),"")</f>
        <v/>
      </c>
      <c r="L255" t="str">
        <f>IFERROR(VLOOKUP($C255,'[1]2020-2021'!$A:$D,4,FALSE),"")</f>
        <v/>
      </c>
      <c r="M255" t="str">
        <f>IFERROR(VLOOKUP($C255,'[1]2021-2022'!$A:$D,4,FALSE),"")</f>
        <v/>
      </c>
      <c r="N255" t="str">
        <f>IFERROR(VLOOKUP($C255,'[1]2022-2023'!$A:$D,4,FALSE),"")</f>
        <v/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E256">
        <f>IFERROR(VLOOKUP($C256,'[1]2013-2014'!$A:$D,4,FALSE),"")</f>
        <v>30699</v>
      </c>
      <c r="F256">
        <f>IFERROR(VLOOKUP($C256,'[1]2014-2015'!$A:$D,4,FALSE),"")</f>
        <v>37058</v>
      </c>
      <c r="G256">
        <f>IFERROR(VLOOKUP($C256,'[1]2015-2016'!$A:$D,4,FALSE),"")</f>
        <v>31830</v>
      </c>
      <c r="H256">
        <f>IFERROR(VLOOKUP($C256,'[1]2016-2017'!$A:$D,4,FALSE),"")</f>
        <v>22477</v>
      </c>
      <c r="I256">
        <f>IFERROR(VLOOKUP($C256,'[1]2017-2018'!$A:$D,4,FALSE),"")</f>
        <v>26313</v>
      </c>
      <c r="J256">
        <f>IFERROR(VLOOKUP($C256,'[1]2018-2019'!$A:$D,4,FALSE),"")</f>
        <v>19708</v>
      </c>
      <c r="K256">
        <f>IFERROR(VLOOKUP($C256,'[1]2019-2020'!$A:$D,4,FALSE),"")</f>
        <v>12582</v>
      </c>
      <c r="L256">
        <f>IFERROR(VLOOKUP($C256,'[1]2020-2021'!$A:$D,4,FALSE),"")</f>
        <v>0</v>
      </c>
      <c r="M256">
        <f>IFERROR(VLOOKUP($C256,'[1]2021-2022'!$A:$D,4,FALSE),"")</f>
        <v>20557</v>
      </c>
      <c r="N256">
        <f>IFERROR(VLOOKUP($C256,'[1]2022-2023'!$A:$D,4,FALSE),"")</f>
        <v>16279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E257">
        <f>IFERROR(VLOOKUP($C257,'[1]2013-2014'!$A:$D,4,FALSE),"")</f>
        <v>114056</v>
      </c>
      <c r="F257">
        <f>IFERROR(VLOOKUP($C257,'[1]2014-2015'!$A:$D,4,FALSE),"")</f>
        <v>113804</v>
      </c>
      <c r="G257">
        <f>IFERROR(VLOOKUP($C257,'[1]2015-2016'!$A:$D,4,FALSE),"")</f>
        <v>113125</v>
      </c>
      <c r="H257">
        <f>IFERROR(VLOOKUP($C257,'[1]2016-2017'!$A:$D,4,FALSE),"")</f>
        <v>111350</v>
      </c>
      <c r="I257">
        <f>IFERROR(VLOOKUP($C257,'[1]2017-2018'!$A:$D,4,FALSE),"")</f>
        <v>143766</v>
      </c>
      <c r="J257">
        <f>IFERROR(VLOOKUP($C257,'[1]2018-2019'!$A:$D,4,FALSE),"")</f>
        <v>127603</v>
      </c>
      <c r="K257">
        <f>IFERROR(VLOOKUP($C257,'[1]2019-2020'!$A:$D,4,FALSE),"")</f>
        <v>154924</v>
      </c>
      <c r="L257">
        <f>IFERROR(VLOOKUP($C257,'[1]2020-2021'!$A:$D,4,FALSE),"")</f>
        <v>1756</v>
      </c>
      <c r="M257">
        <f>IFERROR(VLOOKUP($C257,'[1]2021-2022'!$A:$D,4,FALSE),"")</f>
        <v>137234</v>
      </c>
      <c r="N257">
        <f>IFERROR(VLOOKUP($C257,'[1]2022-2023'!$A:$D,4,FALSE),"")</f>
        <v>143626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E258">
        <f>IFERROR(VLOOKUP($C258,'[1]2013-2014'!$A:$D,4,FALSE),"")</f>
        <v>39360</v>
      </c>
      <c r="F258">
        <f>IFERROR(VLOOKUP($C258,'[1]2014-2015'!$A:$D,4,FALSE),"")</f>
        <v>65154</v>
      </c>
      <c r="G258">
        <f>IFERROR(VLOOKUP($C258,'[1]2015-2016'!$A:$D,4,FALSE),"")</f>
        <v>45839</v>
      </c>
      <c r="H258">
        <f>IFERROR(VLOOKUP($C258,'[1]2016-2017'!$A:$D,4,FALSE),"")</f>
        <v>51346</v>
      </c>
      <c r="I258">
        <f>IFERROR(VLOOKUP($C258,'[1]2017-2018'!$A:$D,4,FALSE),"")</f>
        <v>64301</v>
      </c>
      <c r="J258">
        <f>IFERROR(VLOOKUP($C258,'[1]2018-2019'!$A:$D,4,FALSE),"")</f>
        <v>57315</v>
      </c>
      <c r="K258">
        <f>IFERROR(VLOOKUP($C258,'[1]2019-2020'!$A:$D,4,FALSE),"")</f>
        <v>54782</v>
      </c>
      <c r="L258">
        <f>IFERROR(VLOOKUP($C258,'[1]2020-2021'!$A:$D,4,FALSE),"")</f>
        <v>10249</v>
      </c>
      <c r="M258">
        <f>IFERROR(VLOOKUP($C258,'[1]2021-2022'!$A:$D,4,FALSE),"")</f>
        <v>27788</v>
      </c>
      <c r="N258">
        <f>IFERROR(VLOOKUP($C258,'[1]2022-2023'!$A:$D,4,FALSE),"")</f>
        <v>42467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E259">
        <f>IFERROR(VLOOKUP($C259,'[1]2013-2014'!$A:$D,4,FALSE),"")</f>
        <v>108424</v>
      </c>
      <c r="F259">
        <f>IFERROR(VLOOKUP($C259,'[1]2014-2015'!$A:$D,4,FALSE),"")</f>
        <v>99872</v>
      </c>
      <c r="G259">
        <f>IFERROR(VLOOKUP($C259,'[1]2015-2016'!$A:$D,4,FALSE),"")</f>
        <v>106589</v>
      </c>
      <c r="H259">
        <f>IFERROR(VLOOKUP($C259,'[1]2016-2017'!$A:$D,4,FALSE),"")</f>
        <v>100728</v>
      </c>
      <c r="I259">
        <f>IFERROR(VLOOKUP($C259,'[1]2017-2018'!$A:$D,4,FALSE),"")</f>
        <v>95490</v>
      </c>
      <c r="J259">
        <f>IFERROR(VLOOKUP($C259,'[1]2018-2019'!$A:$D,4,FALSE),"")</f>
        <v>87358</v>
      </c>
      <c r="K259">
        <f>IFERROR(VLOOKUP($C259,'[1]2019-2020'!$A:$D,4,FALSE),"")</f>
        <v>87188</v>
      </c>
      <c r="L259">
        <f>IFERROR(VLOOKUP($C259,'[1]2020-2021'!$A:$D,4,FALSE),"")</f>
        <v>0</v>
      </c>
      <c r="M259">
        <f>IFERROR(VLOOKUP($C259,'[1]2021-2022'!$A:$D,4,FALSE),"")</f>
        <v>71741</v>
      </c>
      <c r="N259">
        <f>IFERROR(VLOOKUP($C259,'[1]2022-2023'!$A:$D,4,FALSE),"")</f>
        <v>83393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E260">
        <f>IFERROR(VLOOKUP($C260,'[1]2013-2014'!$A:$D,4,FALSE),"")</f>
        <v>24572</v>
      </c>
      <c r="F260">
        <f>IFERROR(VLOOKUP($C260,'[1]2014-2015'!$A:$D,4,FALSE),"")</f>
        <v>22176</v>
      </c>
      <c r="G260">
        <f>IFERROR(VLOOKUP($C260,'[1]2015-2016'!$A:$D,4,FALSE),"")</f>
        <v>23296</v>
      </c>
      <c r="H260">
        <f>IFERROR(VLOOKUP($C260,'[1]2016-2017'!$A:$D,4,FALSE),"")</f>
        <v>17624</v>
      </c>
      <c r="I260">
        <f>IFERROR(VLOOKUP($C260,'[1]2017-2018'!$A:$D,4,FALSE),"")</f>
        <v>16496</v>
      </c>
      <c r="J260">
        <f>IFERROR(VLOOKUP($C260,'[1]2018-2019'!$A:$D,4,FALSE),"")</f>
        <v>19786</v>
      </c>
      <c r="K260">
        <f>IFERROR(VLOOKUP($C260,'[1]2019-2020'!$A:$D,4,FALSE),"")</f>
        <v>10376</v>
      </c>
      <c r="L260">
        <f>IFERROR(VLOOKUP($C260,'[1]2020-2021'!$A:$D,4,FALSE),"")</f>
        <v>239</v>
      </c>
      <c r="M260">
        <f>IFERROR(VLOOKUP($C260,'[1]2021-2022'!$A:$D,4,FALSE),"")</f>
        <v>9021</v>
      </c>
      <c r="N260">
        <f>IFERROR(VLOOKUP($C260,'[1]2022-2023'!$A:$D,4,FALSE),"")</f>
        <v>17423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E261">
        <f>IFERROR(VLOOKUP($C261,'[1]2013-2014'!$A:$D,4,FALSE),"")</f>
        <v>107412</v>
      </c>
      <c r="F261">
        <f>IFERROR(VLOOKUP($C261,'[1]2014-2015'!$A:$D,4,FALSE),"")</f>
        <v>124986</v>
      </c>
      <c r="G261">
        <f>IFERROR(VLOOKUP($C261,'[1]2015-2016'!$A:$D,4,FALSE),"")</f>
        <v>117420</v>
      </c>
      <c r="H261">
        <f>IFERROR(VLOOKUP($C261,'[1]2016-2017'!$A:$D,4,FALSE),"")</f>
        <v>124198</v>
      </c>
      <c r="I261">
        <f>IFERROR(VLOOKUP($C261,'[1]2017-2018'!$A:$D,4,FALSE),"")</f>
        <v>119878</v>
      </c>
      <c r="J261">
        <f>IFERROR(VLOOKUP($C261,'[1]2018-2019'!$A:$D,4,FALSE),"")</f>
        <v>103856</v>
      </c>
      <c r="K261">
        <f>IFERROR(VLOOKUP($C261,'[1]2019-2020'!$A:$D,4,FALSE),"")</f>
        <v>74722</v>
      </c>
      <c r="L261">
        <f>IFERROR(VLOOKUP($C261,'[1]2020-2021'!$A:$D,4,FALSE),"")</f>
        <v>12513</v>
      </c>
      <c r="M261">
        <f>IFERROR(VLOOKUP($C261,'[1]2021-2022'!$A:$D,4,FALSE),"")</f>
        <v>64786</v>
      </c>
      <c r="N261">
        <f>IFERROR(VLOOKUP($C261,'[1]2022-2023'!$A:$D,4,FALSE),"")</f>
        <v>62657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E262">
        <f>IFERROR(VLOOKUP($C262,'[1]2013-2014'!$A:$D,4,FALSE),"")</f>
        <v>33389</v>
      </c>
      <c r="F262">
        <f>IFERROR(VLOOKUP($C262,'[1]2014-2015'!$A:$D,4,FALSE),"")</f>
        <v>25564</v>
      </c>
      <c r="G262">
        <f>IFERROR(VLOOKUP($C262,'[1]2015-2016'!$A:$D,4,FALSE),"")</f>
        <v>32068</v>
      </c>
      <c r="H262">
        <f>IFERROR(VLOOKUP($C262,'[1]2016-2017'!$A:$D,4,FALSE),"")</f>
        <v>34732</v>
      </c>
      <c r="I262">
        <f>IFERROR(VLOOKUP($C262,'[1]2017-2018'!$A:$D,4,FALSE),"")</f>
        <v>31323</v>
      </c>
      <c r="J262">
        <f>IFERROR(VLOOKUP($C262,'[1]2018-2019'!$A:$D,4,FALSE),"")</f>
        <v>36224</v>
      </c>
      <c r="K262">
        <f>IFERROR(VLOOKUP($C262,'[1]2019-2020'!$A:$D,4,FALSE),"")</f>
        <v>51237</v>
      </c>
      <c r="L262">
        <f>IFERROR(VLOOKUP($C262,'[1]2020-2021'!$A:$D,4,FALSE),"")</f>
        <v>14990</v>
      </c>
      <c r="M262">
        <f>IFERROR(VLOOKUP($C262,'[1]2021-2022'!$A:$D,4,FALSE),"")</f>
        <v>32199</v>
      </c>
      <c r="N262">
        <f>IFERROR(VLOOKUP($C262,'[1]2022-2023'!$A:$D,4,FALSE),"")</f>
        <v>32412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E263">
        <f>IFERROR(VLOOKUP($C263,'[1]2013-2014'!$A:$D,4,FALSE),"")</f>
        <v>161177</v>
      </c>
      <c r="F263">
        <f>IFERROR(VLOOKUP($C263,'[1]2014-2015'!$A:$D,4,FALSE),"")</f>
        <v>184314</v>
      </c>
      <c r="G263">
        <f>IFERROR(VLOOKUP($C263,'[1]2015-2016'!$A:$D,4,FALSE),"")</f>
        <v>227911</v>
      </c>
      <c r="H263">
        <f>IFERROR(VLOOKUP($C263,'[1]2016-2017'!$A:$D,4,FALSE),"")</f>
        <v>241126</v>
      </c>
      <c r="I263">
        <f>IFERROR(VLOOKUP($C263,'[1]2017-2018'!$A:$D,4,FALSE),"")</f>
        <v>189265</v>
      </c>
      <c r="J263">
        <f>IFERROR(VLOOKUP($C263,'[1]2018-2019'!$A:$D,4,FALSE),"")</f>
        <v>195023</v>
      </c>
      <c r="K263">
        <f>IFERROR(VLOOKUP($C263,'[1]2019-2020'!$A:$D,4,FALSE),"")</f>
        <v>207068</v>
      </c>
      <c r="L263">
        <f>IFERROR(VLOOKUP($C263,'[1]2020-2021'!$A:$D,4,FALSE),"")</f>
        <v>28582</v>
      </c>
      <c r="M263">
        <f>IFERROR(VLOOKUP($C263,'[1]2021-2022'!$A:$D,4,FALSE),"")</f>
        <v>155533</v>
      </c>
      <c r="N263">
        <f>IFERROR(VLOOKUP($C263,'[1]2022-2023'!$A:$D,4,FALSE),"")</f>
        <v>157053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E264">
        <f>IFERROR(VLOOKUP($C264,'[1]2013-2014'!$A:$D,4,FALSE),"")</f>
        <v>7197</v>
      </c>
      <c r="F264">
        <f>IFERROR(VLOOKUP($C264,'[1]2014-2015'!$A:$D,4,FALSE),"")</f>
        <v>6914</v>
      </c>
      <c r="G264">
        <f>IFERROR(VLOOKUP($C264,'[1]2015-2016'!$A:$D,4,FALSE),"")</f>
        <v>4834</v>
      </c>
      <c r="H264">
        <f>IFERROR(VLOOKUP($C264,'[1]2016-2017'!$A:$D,4,FALSE),"")</f>
        <v>4406</v>
      </c>
      <c r="I264">
        <f>IFERROR(VLOOKUP($C264,'[1]2017-2018'!$A:$D,4,FALSE),"")</f>
        <v>1907</v>
      </c>
      <c r="J264">
        <f>IFERROR(VLOOKUP($C264,'[1]2018-2019'!$A:$D,4,FALSE),"")</f>
        <v>4322</v>
      </c>
      <c r="K264">
        <f>IFERROR(VLOOKUP($C264,'[1]2019-2020'!$A:$D,4,FALSE),"")</f>
        <v>9674</v>
      </c>
      <c r="L264">
        <f>IFERROR(VLOOKUP($C264,'[1]2020-2021'!$A:$D,4,FALSE),"")</f>
        <v>408</v>
      </c>
      <c r="M264">
        <f>IFERROR(VLOOKUP($C264,'[1]2021-2022'!$A:$D,4,FALSE),"")</f>
        <v>4554</v>
      </c>
      <c r="N264">
        <f>IFERROR(VLOOKUP($C264,'[1]2022-2023'!$A:$D,4,FALSE),"")</f>
        <v>5196</v>
      </c>
    </row>
    <row r="265" spans="1:14" x14ac:dyDescent="0.2">
      <c r="A265" s="7" t="s">
        <v>201</v>
      </c>
      <c r="B265" t="s">
        <v>201</v>
      </c>
      <c r="C265">
        <v>219471</v>
      </c>
      <c r="D265">
        <v>46820</v>
      </c>
      <c r="E265">
        <f>IFERROR(VLOOKUP($C265,'[1]2013-2014'!$A:$D,4,FALSE),"")</f>
        <v>23354</v>
      </c>
      <c r="F265">
        <f>IFERROR(VLOOKUP($C265,'[1]2014-2015'!$A:$D,4,FALSE),"")</f>
        <v>22685</v>
      </c>
      <c r="G265">
        <f>IFERROR(VLOOKUP($C265,'[1]2015-2016'!$A:$D,4,FALSE),"")</f>
        <v>22487</v>
      </c>
      <c r="H265">
        <f>IFERROR(VLOOKUP($C265,'[1]2016-2017'!$A:$D,4,FALSE),"")</f>
        <v>30695</v>
      </c>
      <c r="I265">
        <f>IFERROR(VLOOKUP($C265,'[1]2017-2018'!$A:$D,4,FALSE),"")</f>
        <v>34036</v>
      </c>
      <c r="J265">
        <f>IFERROR(VLOOKUP($C265,'[1]2018-2019'!$A:$D,4,FALSE),"")</f>
        <v>30869</v>
      </c>
      <c r="K265">
        <f>IFERROR(VLOOKUP($C265,'[1]2019-2020'!$A:$D,4,FALSE),"")</f>
        <v>33322</v>
      </c>
      <c r="L265">
        <f>IFERROR(VLOOKUP($C265,'[1]2020-2021'!$A:$D,4,FALSE),"")</f>
        <v>6209</v>
      </c>
      <c r="M265">
        <f>IFERROR(VLOOKUP($C265,'[1]2021-2022'!$A:$D,4,FALSE),"")</f>
        <v>24883</v>
      </c>
      <c r="N265">
        <f>IFERROR(VLOOKUP($C265,'[1]2022-2023'!$A:$D,4,FALSE),"")</f>
        <v>28404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E266">
        <f>IFERROR(VLOOKUP($C266,'[1]2013-2014'!$A:$D,4,FALSE),"")</f>
        <v>37254</v>
      </c>
      <c r="F266">
        <f>IFERROR(VLOOKUP($C266,'[1]2014-2015'!$A:$D,4,FALSE),"")</f>
        <v>38912</v>
      </c>
      <c r="G266">
        <f>IFERROR(VLOOKUP($C266,'[1]2015-2016'!$A:$D,4,FALSE),"")</f>
        <v>33382</v>
      </c>
      <c r="H266">
        <f>IFERROR(VLOOKUP($C266,'[1]2016-2017'!$A:$D,4,FALSE),"")</f>
        <v>30173</v>
      </c>
      <c r="I266">
        <f>IFERROR(VLOOKUP($C266,'[1]2017-2018'!$A:$D,4,FALSE),"")</f>
        <v>34383</v>
      </c>
      <c r="J266">
        <f>IFERROR(VLOOKUP($C266,'[1]2018-2019'!$A:$D,4,FALSE),"")</f>
        <v>40718</v>
      </c>
      <c r="K266">
        <f>IFERROR(VLOOKUP($C266,'[1]2019-2020'!$A:$D,4,FALSE),"")</f>
        <v>34824</v>
      </c>
      <c r="L266">
        <f>IFERROR(VLOOKUP($C266,'[1]2020-2021'!$A:$D,4,FALSE),"")</f>
        <v>6634</v>
      </c>
      <c r="M266">
        <f>IFERROR(VLOOKUP($C266,'[1]2021-2022'!$A:$D,4,FALSE),"")</f>
        <v>32180</v>
      </c>
      <c r="N266">
        <f>IFERROR(VLOOKUP($C266,'[1]2022-2023'!$A:$D,4,FALSE),"")</f>
        <v>27464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E267">
        <f>IFERROR(VLOOKUP($C267,'[1]2013-2014'!$A:$D,4,FALSE),"")</f>
        <v>74909</v>
      </c>
      <c r="F267">
        <f>IFERROR(VLOOKUP($C267,'[1]2014-2015'!$A:$D,4,FALSE),"")</f>
        <v>57821</v>
      </c>
      <c r="G267">
        <f>IFERROR(VLOOKUP($C267,'[1]2015-2016'!$A:$D,4,FALSE),"")</f>
        <v>55770</v>
      </c>
      <c r="H267">
        <f>IFERROR(VLOOKUP($C267,'[1]2016-2017'!$A:$D,4,FALSE),"")</f>
        <v>43955</v>
      </c>
      <c r="I267">
        <f>IFERROR(VLOOKUP($C267,'[1]2017-2018'!$A:$D,4,FALSE),"")</f>
        <v>46244</v>
      </c>
      <c r="J267">
        <f>IFERROR(VLOOKUP($C267,'[1]2018-2019'!$A:$D,4,FALSE),"")</f>
        <v>77400</v>
      </c>
      <c r="K267">
        <f>IFERROR(VLOOKUP($C267,'[1]2019-2020'!$A:$D,4,FALSE),"")</f>
        <v>63826</v>
      </c>
      <c r="L267">
        <f>IFERROR(VLOOKUP($C267,'[1]2020-2021'!$A:$D,4,FALSE),"")</f>
        <v>4386</v>
      </c>
      <c r="M267">
        <f>IFERROR(VLOOKUP($C267,'[1]2021-2022'!$A:$D,4,FALSE),"")</f>
        <v>37780</v>
      </c>
      <c r="N267">
        <f>IFERROR(VLOOKUP($C267,'[1]2022-2023'!$A:$D,4,FALSE),"")</f>
        <v>56559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E268">
        <f>IFERROR(VLOOKUP($C268,'[1]2013-2014'!$A:$D,4,FALSE),"")</f>
        <v>25779</v>
      </c>
      <c r="F268">
        <f>IFERROR(VLOOKUP($C268,'[1]2014-2015'!$A:$D,4,FALSE),"")</f>
        <v>31104</v>
      </c>
      <c r="G268">
        <f>IFERROR(VLOOKUP($C268,'[1]2015-2016'!$A:$D,4,FALSE),"")</f>
        <v>19842</v>
      </c>
      <c r="H268">
        <f>IFERROR(VLOOKUP($C268,'[1]2016-2017'!$A:$D,4,FALSE),"")</f>
        <v>27306</v>
      </c>
      <c r="I268">
        <f>IFERROR(VLOOKUP($C268,'[1]2017-2018'!$A:$D,4,FALSE),"")</f>
        <v>17526</v>
      </c>
      <c r="J268">
        <f>IFERROR(VLOOKUP($C268,'[1]2018-2019'!$A:$D,4,FALSE),"")</f>
        <v>20737</v>
      </c>
      <c r="K268">
        <f>IFERROR(VLOOKUP($C268,'[1]2019-2020'!$A:$D,4,FALSE),"")</f>
        <v>16647</v>
      </c>
      <c r="L268">
        <f>IFERROR(VLOOKUP($C268,'[1]2020-2021'!$A:$D,4,FALSE),"")</f>
        <v>8565</v>
      </c>
      <c r="M268">
        <f>IFERROR(VLOOKUP($C268,'[1]2021-2022'!$A:$D,4,FALSE),"")</f>
        <v>13945</v>
      </c>
      <c r="N268">
        <f>IFERROR(VLOOKUP($C268,'[1]2022-2023'!$A:$D,4,FALSE),"")</f>
        <v>20536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E269">
        <f>IFERROR(VLOOKUP($C269,'[1]2013-2014'!$A:$D,4,FALSE),"")</f>
        <v>6812</v>
      </c>
      <c r="F269">
        <f>IFERROR(VLOOKUP($C269,'[1]2014-2015'!$A:$D,4,FALSE),"")</f>
        <v>7176</v>
      </c>
      <c r="G269">
        <f>IFERROR(VLOOKUP($C269,'[1]2015-2016'!$A:$D,4,FALSE),"")</f>
        <v>10054</v>
      </c>
      <c r="H269">
        <f>IFERROR(VLOOKUP($C269,'[1]2016-2017'!$A:$D,4,FALSE),"")</f>
        <v>11557</v>
      </c>
      <c r="I269">
        <f>IFERROR(VLOOKUP($C269,'[1]2017-2018'!$A:$D,4,FALSE),"")</f>
        <v>10881</v>
      </c>
      <c r="J269">
        <f>IFERROR(VLOOKUP($C269,'[1]2018-2019'!$A:$D,4,FALSE),"")</f>
        <v>10105</v>
      </c>
      <c r="K269">
        <f>IFERROR(VLOOKUP($C269,'[1]2019-2020'!$A:$D,4,FALSE),"")</f>
        <v>9389</v>
      </c>
      <c r="L269">
        <f>IFERROR(VLOOKUP($C269,'[1]2020-2021'!$A:$D,4,FALSE),"")</f>
        <v>2890</v>
      </c>
      <c r="M269">
        <f>IFERROR(VLOOKUP($C269,'[1]2021-2022'!$A:$D,4,FALSE),"")</f>
        <v>5876</v>
      </c>
      <c r="N269">
        <f>IFERROR(VLOOKUP($C269,'[1]2022-2023'!$A:$D,4,FALSE),"")</f>
        <v>12053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E270">
        <f>IFERROR(VLOOKUP($C270,'[1]2013-2014'!$A:$D,4,FALSE),"")</f>
        <v>69913</v>
      </c>
      <c r="F270">
        <f>IFERROR(VLOOKUP($C270,'[1]2014-2015'!$A:$D,4,FALSE),"")</f>
        <v>56836</v>
      </c>
      <c r="G270">
        <f>IFERROR(VLOOKUP($C270,'[1]2015-2016'!$A:$D,4,FALSE),"")</f>
        <v>82918</v>
      </c>
      <c r="H270">
        <f>IFERROR(VLOOKUP($C270,'[1]2016-2017'!$A:$D,4,FALSE),"")</f>
        <v>78632</v>
      </c>
      <c r="I270">
        <f>IFERROR(VLOOKUP($C270,'[1]2017-2018'!$A:$D,4,FALSE),"")</f>
        <v>74712</v>
      </c>
      <c r="J270">
        <f>IFERROR(VLOOKUP($C270,'[1]2018-2019'!$A:$D,4,FALSE),"")</f>
        <v>55194</v>
      </c>
      <c r="K270">
        <f>IFERROR(VLOOKUP($C270,'[1]2019-2020'!$A:$D,4,FALSE),"")</f>
        <v>65755</v>
      </c>
      <c r="L270">
        <f>IFERROR(VLOOKUP($C270,'[1]2020-2021'!$A:$D,4,FALSE),"")</f>
        <v>0</v>
      </c>
      <c r="M270">
        <f>IFERROR(VLOOKUP($C270,'[1]2021-2022'!$A:$D,4,FALSE),"")</f>
        <v>61756</v>
      </c>
      <c r="N270">
        <f>IFERROR(VLOOKUP($C270,'[1]2022-2023'!$A:$D,4,FALSE),"")</f>
        <v>70712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E271">
        <f>IFERROR(VLOOKUP($C271,'[1]2013-2014'!$A:$D,4,FALSE),"")</f>
        <v>73126</v>
      </c>
      <c r="F271">
        <f>IFERROR(VLOOKUP($C271,'[1]2014-2015'!$A:$D,4,FALSE),"")</f>
        <v>73461</v>
      </c>
      <c r="G271">
        <f>IFERROR(VLOOKUP($C271,'[1]2015-2016'!$A:$D,4,FALSE),"")</f>
        <v>84445</v>
      </c>
      <c r="H271">
        <f>IFERROR(VLOOKUP($C271,'[1]2016-2017'!$A:$D,4,FALSE),"")</f>
        <v>76214</v>
      </c>
      <c r="I271">
        <f>IFERROR(VLOOKUP($C271,'[1]2017-2018'!$A:$D,4,FALSE),"")</f>
        <v>63470</v>
      </c>
      <c r="J271">
        <f>IFERROR(VLOOKUP($C271,'[1]2018-2019'!$A:$D,4,FALSE),"")</f>
        <v>67081</v>
      </c>
      <c r="K271">
        <f>IFERROR(VLOOKUP($C271,'[1]2019-2020'!$A:$D,4,FALSE),"")</f>
        <v>68791</v>
      </c>
      <c r="L271">
        <f>IFERROR(VLOOKUP($C271,'[1]2020-2021'!$A:$D,4,FALSE),"")</f>
        <v>0</v>
      </c>
      <c r="M271">
        <f>IFERROR(VLOOKUP($C271,'[1]2021-2022'!$A:$D,4,FALSE),"")</f>
        <v>64230</v>
      </c>
      <c r="N271">
        <f>IFERROR(VLOOKUP($C271,'[1]2022-2023'!$A:$D,4,FALSE),"")</f>
        <v>75511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E272">
        <f>IFERROR(VLOOKUP($C272,'[1]2013-2014'!$A:$D,4,FALSE),"")</f>
        <v>66120</v>
      </c>
      <c r="F272">
        <f>IFERROR(VLOOKUP($C272,'[1]2014-2015'!$A:$D,4,FALSE),"")</f>
        <v>49838</v>
      </c>
      <c r="G272">
        <f>IFERROR(VLOOKUP($C272,'[1]2015-2016'!$A:$D,4,FALSE),"")</f>
        <v>44908</v>
      </c>
      <c r="H272">
        <f>IFERROR(VLOOKUP($C272,'[1]2016-2017'!$A:$D,4,FALSE),"")</f>
        <v>38975</v>
      </c>
      <c r="I272">
        <f>IFERROR(VLOOKUP($C272,'[1]2017-2018'!$A:$D,4,FALSE),"")</f>
        <v>29958</v>
      </c>
      <c r="J272">
        <f>IFERROR(VLOOKUP($C272,'[1]2018-2019'!$A:$D,4,FALSE),"")</f>
        <v>41004</v>
      </c>
      <c r="K272">
        <f>IFERROR(VLOOKUP($C272,'[1]2019-2020'!$A:$D,4,FALSE),"")</f>
        <v>44324</v>
      </c>
      <c r="L272">
        <f>IFERROR(VLOOKUP($C272,'[1]2020-2021'!$A:$D,4,FALSE),"")</f>
        <v>10800</v>
      </c>
      <c r="M272">
        <f>IFERROR(VLOOKUP($C272,'[1]2021-2022'!$A:$D,4,FALSE),"")</f>
        <v>42208</v>
      </c>
      <c r="N272">
        <f>IFERROR(VLOOKUP($C272,'[1]2022-2023'!$A:$D,4,FALSE),"")</f>
        <v>56525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E273">
        <f>IFERROR(VLOOKUP($C273,'[1]2013-2014'!$A:$D,4,FALSE),"")</f>
        <v>20357</v>
      </c>
      <c r="F273">
        <f>IFERROR(VLOOKUP($C273,'[1]2014-2015'!$A:$D,4,FALSE),"")</f>
        <v>15561</v>
      </c>
      <c r="G273">
        <f>IFERROR(VLOOKUP($C273,'[1]2015-2016'!$A:$D,4,FALSE),"")</f>
        <v>23235</v>
      </c>
      <c r="H273">
        <f>IFERROR(VLOOKUP($C273,'[1]2016-2017'!$A:$D,4,FALSE),"")</f>
        <v>14398</v>
      </c>
      <c r="I273">
        <f>IFERROR(VLOOKUP($C273,'[1]2017-2018'!$A:$D,4,FALSE),"")</f>
        <v>15737</v>
      </c>
      <c r="J273">
        <f>IFERROR(VLOOKUP($C273,'[1]2018-2019'!$A:$D,4,FALSE),"")</f>
        <v>15581</v>
      </c>
      <c r="K273">
        <f>IFERROR(VLOOKUP($C273,'[1]2019-2020'!$A:$D,4,FALSE),"")</f>
        <v>41868</v>
      </c>
      <c r="L273">
        <f>IFERROR(VLOOKUP($C273,'[1]2020-2021'!$A:$D,4,FALSE),"")</f>
        <v>11579</v>
      </c>
      <c r="M273">
        <f>IFERROR(VLOOKUP($C273,'[1]2021-2022'!$A:$D,4,FALSE),"")</f>
        <v>35674</v>
      </c>
      <c r="N273">
        <f>IFERROR(VLOOKUP($C273,'[1]2022-2023'!$A:$D,4,FALSE),"")</f>
        <v>49732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E274">
        <f>IFERROR(VLOOKUP($C274,'[1]2013-2014'!$A:$D,4,FALSE),"")</f>
        <v>20130</v>
      </c>
      <c r="F274">
        <f>IFERROR(VLOOKUP($C274,'[1]2014-2015'!$A:$D,4,FALSE),"")</f>
        <v>16901</v>
      </c>
      <c r="G274">
        <f>IFERROR(VLOOKUP($C274,'[1]2015-2016'!$A:$D,4,FALSE),"")</f>
        <v>20344</v>
      </c>
      <c r="H274">
        <f>IFERROR(VLOOKUP($C274,'[1]2016-2017'!$A:$D,4,FALSE),"")</f>
        <v>23999</v>
      </c>
      <c r="I274">
        <f>IFERROR(VLOOKUP($C274,'[1]2017-2018'!$A:$D,4,FALSE),"")</f>
        <v>33518</v>
      </c>
      <c r="J274">
        <f>IFERROR(VLOOKUP($C274,'[1]2018-2019'!$A:$D,4,FALSE),"")</f>
        <v>30830</v>
      </c>
      <c r="K274">
        <f>IFERROR(VLOOKUP($C274,'[1]2019-2020'!$A:$D,4,FALSE),"")</f>
        <v>32651</v>
      </c>
      <c r="L274">
        <f>IFERROR(VLOOKUP($C274,'[1]2020-2021'!$A:$D,4,FALSE),"")</f>
        <v>5126</v>
      </c>
      <c r="M274">
        <f>IFERROR(VLOOKUP($C274,'[1]2021-2022'!$A:$D,4,FALSE),"")</f>
        <v>26216</v>
      </c>
      <c r="N274">
        <f>IFERROR(VLOOKUP($C274,'[1]2022-2023'!$A:$D,4,FALSE),"")</f>
        <v>29179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E275">
        <f>IFERROR(VLOOKUP($C275,'[1]2013-2014'!$A:$D,4,FALSE),"")</f>
        <v>54990</v>
      </c>
      <c r="F275">
        <f>IFERROR(VLOOKUP($C275,'[1]2014-2015'!$A:$D,4,FALSE),"")</f>
        <v>58336</v>
      </c>
      <c r="G275">
        <f>IFERROR(VLOOKUP($C275,'[1]2015-2016'!$A:$D,4,FALSE),"")</f>
        <v>64646</v>
      </c>
      <c r="H275">
        <f>IFERROR(VLOOKUP($C275,'[1]2016-2017'!$A:$D,4,FALSE),"")</f>
        <v>57728</v>
      </c>
      <c r="I275">
        <f>IFERROR(VLOOKUP($C275,'[1]2017-2018'!$A:$D,4,FALSE),"")</f>
        <v>60007</v>
      </c>
      <c r="J275">
        <f>IFERROR(VLOOKUP($C275,'[1]2018-2019'!$A:$D,4,FALSE),"")</f>
        <v>64117</v>
      </c>
      <c r="K275">
        <f>IFERROR(VLOOKUP($C275,'[1]2019-2020'!$A:$D,4,FALSE),"")</f>
        <v>61020</v>
      </c>
      <c r="L275">
        <f>IFERROR(VLOOKUP($C275,'[1]2020-2021'!$A:$D,4,FALSE),"")</f>
        <v>0</v>
      </c>
      <c r="M275">
        <f>IFERROR(VLOOKUP($C275,'[1]2021-2022'!$A:$D,4,FALSE),"")</f>
        <v>59616</v>
      </c>
      <c r="N275">
        <f>IFERROR(VLOOKUP($C275,'[1]2022-2023'!$A:$D,4,FALSE),"")</f>
        <v>56453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E276">
        <f>IFERROR(VLOOKUP($C276,'[1]2013-2014'!$A:$D,4,FALSE),"")</f>
        <v>6567</v>
      </c>
      <c r="F276">
        <f>IFERROR(VLOOKUP($C276,'[1]2014-2015'!$A:$D,4,FALSE),"")</f>
        <v>18882</v>
      </c>
      <c r="G276">
        <f>IFERROR(VLOOKUP($C276,'[1]2015-2016'!$A:$D,4,FALSE),"")</f>
        <v>6821</v>
      </c>
      <c r="H276">
        <f>IFERROR(VLOOKUP($C276,'[1]2016-2017'!$A:$D,4,FALSE),"")</f>
        <v>6851</v>
      </c>
      <c r="I276">
        <f>IFERROR(VLOOKUP($C276,'[1]2017-2018'!$A:$D,4,FALSE),"")</f>
        <v>5964</v>
      </c>
      <c r="J276">
        <f>IFERROR(VLOOKUP($C276,'[1]2018-2019'!$A:$D,4,FALSE),"")</f>
        <v>7407</v>
      </c>
      <c r="K276">
        <f>IFERROR(VLOOKUP($C276,'[1]2019-2020'!$A:$D,4,FALSE),"")</f>
        <v>7426</v>
      </c>
      <c r="L276">
        <f>IFERROR(VLOOKUP($C276,'[1]2020-2021'!$A:$D,4,FALSE),"")</f>
        <v>0</v>
      </c>
      <c r="M276">
        <f>IFERROR(VLOOKUP($C276,'[1]2021-2022'!$A:$D,4,FALSE),"")</f>
        <v>3460</v>
      </c>
      <c r="N276">
        <f>IFERROR(VLOOKUP($C276,'[1]2022-2023'!$A:$D,4,FALSE),"")</f>
        <v>3324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E277">
        <f>IFERROR(VLOOKUP($C277,'[1]2013-2014'!$A:$D,4,FALSE),"")</f>
        <v>148614</v>
      </c>
      <c r="F277">
        <f>IFERROR(VLOOKUP($C277,'[1]2014-2015'!$A:$D,4,FALSE),"")</f>
        <v>156732</v>
      </c>
      <c r="G277">
        <f>IFERROR(VLOOKUP($C277,'[1]2015-2016'!$A:$D,4,FALSE),"")</f>
        <v>125002</v>
      </c>
      <c r="H277">
        <f>IFERROR(VLOOKUP($C277,'[1]2016-2017'!$A:$D,4,FALSE),"")</f>
        <v>143632</v>
      </c>
      <c r="I277">
        <f>IFERROR(VLOOKUP($C277,'[1]2017-2018'!$A:$D,4,FALSE),"")</f>
        <v>146768</v>
      </c>
      <c r="J277">
        <f>IFERROR(VLOOKUP($C277,'[1]2018-2019'!$A:$D,4,FALSE),"")</f>
        <v>186169</v>
      </c>
      <c r="K277">
        <f>IFERROR(VLOOKUP($C277,'[1]2019-2020'!$A:$D,4,FALSE),"")</f>
        <v>124715</v>
      </c>
      <c r="L277">
        <f>IFERROR(VLOOKUP($C277,'[1]2020-2021'!$A:$D,4,FALSE),"")</f>
        <v>0</v>
      </c>
      <c r="M277">
        <f>IFERROR(VLOOKUP($C277,'[1]2021-2022'!$A:$D,4,FALSE),"")</f>
        <v>131735</v>
      </c>
      <c r="N277">
        <f>IFERROR(VLOOKUP($C277,'[1]2022-2023'!$A:$D,4,FALSE),"")</f>
        <v>140201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E278">
        <f>IFERROR(VLOOKUP($C278,'[1]2013-2014'!$A:$D,4,FALSE),"")</f>
        <v>81770</v>
      </c>
      <c r="F278">
        <f>IFERROR(VLOOKUP($C278,'[1]2014-2015'!$A:$D,4,FALSE),"")</f>
        <v>84336</v>
      </c>
      <c r="G278">
        <f>IFERROR(VLOOKUP($C278,'[1]2015-2016'!$A:$D,4,FALSE),"")</f>
        <v>74685</v>
      </c>
      <c r="H278">
        <f>IFERROR(VLOOKUP($C278,'[1]2016-2017'!$A:$D,4,FALSE),"")</f>
        <v>57856</v>
      </c>
      <c r="I278">
        <f>IFERROR(VLOOKUP($C278,'[1]2017-2018'!$A:$D,4,FALSE),"")</f>
        <v>75050</v>
      </c>
      <c r="J278">
        <f>IFERROR(VLOOKUP($C278,'[1]2018-2019'!$A:$D,4,FALSE),"")</f>
        <v>54518</v>
      </c>
      <c r="K278">
        <f>IFERROR(VLOOKUP($C278,'[1]2019-2020'!$A:$D,4,FALSE),"")</f>
        <v>68733</v>
      </c>
      <c r="L278">
        <f>IFERROR(VLOOKUP($C278,'[1]2020-2021'!$A:$D,4,FALSE),"")</f>
        <v>0</v>
      </c>
      <c r="M278">
        <f>IFERROR(VLOOKUP($C278,'[1]2021-2022'!$A:$D,4,FALSE),"")</f>
        <v>35393</v>
      </c>
      <c r="N278">
        <f>IFERROR(VLOOKUP($C278,'[1]2022-2023'!$A:$D,4,FALSE),"")</f>
        <v>52765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E279">
        <f>IFERROR(VLOOKUP($C279,'[1]2013-2014'!$A:$D,4,FALSE),"")</f>
        <v>8583</v>
      </c>
      <c r="F279">
        <f>IFERROR(VLOOKUP($C279,'[1]2014-2015'!$A:$D,4,FALSE),"")</f>
        <v>14428</v>
      </c>
      <c r="G279">
        <f>IFERROR(VLOOKUP($C279,'[1]2015-2016'!$A:$D,4,FALSE),"")</f>
        <v>11264</v>
      </c>
      <c r="H279">
        <f>IFERROR(VLOOKUP($C279,'[1]2016-2017'!$A:$D,4,FALSE),"")</f>
        <v>12127</v>
      </c>
      <c r="I279">
        <f>IFERROR(VLOOKUP($C279,'[1]2017-2018'!$A:$D,4,FALSE),"")</f>
        <v>8145</v>
      </c>
      <c r="J279">
        <f>IFERROR(VLOOKUP($C279,'[1]2018-2019'!$A:$D,4,FALSE),"")</f>
        <v>6271</v>
      </c>
      <c r="K279">
        <f>IFERROR(VLOOKUP($C279,'[1]2019-2020'!$A:$D,4,FALSE),"")</f>
        <v>9636</v>
      </c>
      <c r="L279">
        <f>IFERROR(VLOOKUP($C279,'[1]2020-2021'!$A:$D,4,FALSE),"")</f>
        <v>400</v>
      </c>
      <c r="M279">
        <f>IFERROR(VLOOKUP($C279,'[1]2021-2022'!$A:$D,4,FALSE),"")</f>
        <v>6295</v>
      </c>
      <c r="N279">
        <f>IFERROR(VLOOKUP($C279,'[1]2022-2023'!$A:$D,4,FALSE),"")</f>
        <v>7741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E280">
        <f>IFERROR(VLOOKUP($C280,'[1]2013-2014'!$A:$D,4,FALSE),"")</f>
        <v>23089</v>
      </c>
      <c r="F280">
        <f>IFERROR(VLOOKUP($C280,'[1]2014-2015'!$A:$D,4,FALSE),"")</f>
        <v>44143</v>
      </c>
      <c r="G280">
        <f>IFERROR(VLOOKUP($C280,'[1]2015-2016'!$A:$D,4,FALSE),"")</f>
        <v>54812</v>
      </c>
      <c r="H280">
        <f>IFERROR(VLOOKUP($C280,'[1]2016-2017'!$A:$D,4,FALSE),"")</f>
        <v>51532</v>
      </c>
      <c r="I280">
        <f>IFERROR(VLOOKUP($C280,'[1]2017-2018'!$A:$D,4,FALSE),"")</f>
        <v>38114</v>
      </c>
      <c r="J280">
        <f>IFERROR(VLOOKUP($C280,'[1]2018-2019'!$A:$D,4,FALSE),"")</f>
        <v>41649</v>
      </c>
      <c r="K280">
        <f>IFERROR(VLOOKUP($C280,'[1]2019-2020'!$A:$D,4,FALSE),"")</f>
        <v>40137</v>
      </c>
      <c r="L280">
        <f>IFERROR(VLOOKUP($C280,'[1]2020-2021'!$A:$D,4,FALSE),"")</f>
        <v>0</v>
      </c>
      <c r="M280">
        <f>IFERROR(VLOOKUP($C280,'[1]2021-2022'!$A:$D,4,FALSE),"")</f>
        <v>34471</v>
      </c>
      <c r="N280">
        <f>IFERROR(VLOOKUP($C280,'[1]2022-2023'!$A:$D,4,FALSE),"")</f>
        <v>30473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E281">
        <f>IFERROR(VLOOKUP($C281,'[1]2013-2014'!$A:$D,4,FALSE),"")</f>
        <v>472550</v>
      </c>
      <c r="F281">
        <f>IFERROR(VLOOKUP($C281,'[1]2014-2015'!$A:$D,4,FALSE),"")</f>
        <v>429378</v>
      </c>
      <c r="G281">
        <f>IFERROR(VLOOKUP($C281,'[1]2015-2016'!$A:$D,4,FALSE),"")</f>
        <v>367068</v>
      </c>
      <c r="H281">
        <f>IFERROR(VLOOKUP($C281,'[1]2016-2017'!$A:$D,4,FALSE),"")</f>
        <v>444809</v>
      </c>
      <c r="I281">
        <f>IFERROR(VLOOKUP($C281,'[1]2017-2018'!$A:$D,4,FALSE),"")</f>
        <v>407778</v>
      </c>
      <c r="J281">
        <f>IFERROR(VLOOKUP($C281,'[1]2018-2019'!$A:$D,4,FALSE),"")</f>
        <v>417852</v>
      </c>
      <c r="K281">
        <f>IFERROR(VLOOKUP($C281,'[1]2019-2020'!$A:$D,4,FALSE),"")</f>
        <v>390666</v>
      </c>
      <c r="L281">
        <f>IFERROR(VLOOKUP($C281,'[1]2020-2021'!$A:$D,4,FALSE),"")</f>
        <v>0</v>
      </c>
      <c r="M281">
        <f>IFERROR(VLOOKUP($C281,'[1]2021-2022'!$A:$D,4,FALSE),"")</f>
        <v>320279</v>
      </c>
      <c r="N281">
        <f>IFERROR(VLOOKUP($C281,'[1]2022-2023'!$A:$D,4,FALSE),"")</f>
        <v>343828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E282">
        <f>IFERROR(VLOOKUP($C282,'[1]2013-2014'!$A:$D,4,FALSE),"")</f>
        <v>74328</v>
      </c>
      <c r="F282">
        <f>IFERROR(VLOOKUP($C282,'[1]2014-2015'!$A:$D,4,FALSE),"")</f>
        <v>78336</v>
      </c>
      <c r="G282">
        <f>IFERROR(VLOOKUP($C282,'[1]2015-2016'!$A:$D,4,FALSE),"")</f>
        <v>95668</v>
      </c>
      <c r="H282">
        <f>IFERROR(VLOOKUP($C282,'[1]2016-2017'!$A:$D,4,FALSE),"")</f>
        <v>128658</v>
      </c>
      <c r="I282">
        <f>IFERROR(VLOOKUP($C282,'[1]2017-2018'!$A:$D,4,FALSE),"")</f>
        <v>118101</v>
      </c>
      <c r="J282">
        <f>IFERROR(VLOOKUP($C282,'[1]2018-2019'!$A:$D,4,FALSE),"")</f>
        <v>121401</v>
      </c>
      <c r="K282">
        <f>IFERROR(VLOOKUP($C282,'[1]2019-2020'!$A:$D,4,FALSE),"")</f>
        <v>118359</v>
      </c>
      <c r="L282">
        <f>IFERROR(VLOOKUP($C282,'[1]2020-2021'!$A:$D,4,FALSE),"")</f>
        <v>24595</v>
      </c>
      <c r="M282">
        <f>IFERROR(VLOOKUP($C282,'[1]2021-2022'!$A:$D,4,FALSE),"")</f>
        <v>94811</v>
      </c>
      <c r="N282">
        <f>IFERROR(VLOOKUP($C282,'[1]2022-2023'!$A:$D,4,FALSE),"")</f>
        <v>105267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E283">
        <f>IFERROR(VLOOKUP($C283,'[1]2013-2014'!$A:$D,4,FALSE),"")</f>
        <v>83485</v>
      </c>
      <c r="F283">
        <f>IFERROR(VLOOKUP($C283,'[1]2014-2015'!$A:$D,4,FALSE),"")</f>
        <v>109620</v>
      </c>
      <c r="G283">
        <f>IFERROR(VLOOKUP($C283,'[1]2015-2016'!$A:$D,4,FALSE),"")</f>
        <v>89223</v>
      </c>
      <c r="H283">
        <f>IFERROR(VLOOKUP($C283,'[1]2016-2017'!$A:$D,4,FALSE),"")</f>
        <v>92880</v>
      </c>
      <c r="I283">
        <f>IFERROR(VLOOKUP($C283,'[1]2017-2018'!$A:$D,4,FALSE),"")</f>
        <v>82213</v>
      </c>
      <c r="J283">
        <f>IFERROR(VLOOKUP($C283,'[1]2018-2019'!$A:$D,4,FALSE),"")</f>
        <v>87039</v>
      </c>
      <c r="K283">
        <f>IFERROR(VLOOKUP($C283,'[1]2019-2020'!$A:$D,4,FALSE),"")</f>
        <v>96377</v>
      </c>
      <c r="L283">
        <f>IFERROR(VLOOKUP($C283,'[1]2020-2021'!$A:$D,4,FALSE),"")</f>
        <v>0</v>
      </c>
      <c r="M283">
        <f>IFERROR(VLOOKUP($C283,'[1]2021-2022'!$A:$D,4,FALSE),"")</f>
        <v>58118</v>
      </c>
      <c r="N283">
        <f>IFERROR(VLOOKUP($C283,'[1]2022-2023'!$A:$D,4,FALSE),"")</f>
        <v>81705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E284">
        <f>IFERROR(VLOOKUP($C284,'[1]2013-2014'!$A:$D,4,FALSE),"")</f>
        <v>263070</v>
      </c>
      <c r="F284">
        <f>IFERROR(VLOOKUP($C284,'[1]2014-2015'!$A:$D,4,FALSE),"")</f>
        <v>241025</v>
      </c>
      <c r="G284">
        <f>IFERROR(VLOOKUP($C284,'[1]2015-2016'!$A:$D,4,FALSE),"")</f>
        <v>227725</v>
      </c>
      <c r="H284">
        <f>IFERROR(VLOOKUP($C284,'[1]2016-2017'!$A:$D,4,FALSE),"")</f>
        <v>218190</v>
      </c>
      <c r="I284">
        <f>IFERROR(VLOOKUP($C284,'[1]2017-2018'!$A:$D,4,FALSE),"")</f>
        <v>243148</v>
      </c>
      <c r="J284">
        <f>IFERROR(VLOOKUP($C284,'[1]2018-2019'!$A:$D,4,FALSE),"")</f>
        <v>342615</v>
      </c>
      <c r="K284">
        <f>IFERROR(VLOOKUP($C284,'[1]2019-2020'!$A:$D,4,FALSE),"")</f>
        <v>322822</v>
      </c>
      <c r="L284">
        <f>IFERROR(VLOOKUP($C284,'[1]2020-2021'!$A:$D,4,FALSE),"")</f>
        <v>67056</v>
      </c>
      <c r="M284">
        <f>IFERROR(VLOOKUP($C284,'[1]2021-2022'!$A:$D,4,FALSE),"")</f>
        <v>291236</v>
      </c>
      <c r="N284">
        <f>IFERROR(VLOOKUP($C284,'[1]2022-2023'!$A:$D,4,FALSE),"")</f>
        <v>300496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E285">
        <f>IFERROR(VLOOKUP($C285,'[1]2013-2014'!$A:$D,4,FALSE),"")</f>
        <v>20378</v>
      </c>
      <c r="F285">
        <f>IFERROR(VLOOKUP($C285,'[1]2014-2015'!$A:$D,4,FALSE),"")</f>
        <v>17378</v>
      </c>
      <c r="G285">
        <f>IFERROR(VLOOKUP($C285,'[1]2015-2016'!$A:$D,4,FALSE),"")</f>
        <v>35007</v>
      </c>
      <c r="H285">
        <f>IFERROR(VLOOKUP($C285,'[1]2016-2017'!$A:$D,4,FALSE),"")</f>
        <v>31527</v>
      </c>
      <c r="I285">
        <f>IFERROR(VLOOKUP($C285,'[1]2017-2018'!$A:$D,4,FALSE),"")</f>
        <v>26652</v>
      </c>
      <c r="J285">
        <f>IFERROR(VLOOKUP($C285,'[1]2018-2019'!$A:$D,4,FALSE),"")</f>
        <v>12542</v>
      </c>
      <c r="K285">
        <f>IFERROR(VLOOKUP($C285,'[1]2019-2020'!$A:$D,4,FALSE),"")</f>
        <v>45402</v>
      </c>
      <c r="L285">
        <f>IFERROR(VLOOKUP($C285,'[1]2020-2021'!$A:$D,4,FALSE),"")</f>
        <v>3303</v>
      </c>
      <c r="M285">
        <f>IFERROR(VLOOKUP($C285,'[1]2021-2022'!$A:$D,4,FALSE),"")</f>
        <v>15507</v>
      </c>
      <c r="N285">
        <f>IFERROR(VLOOKUP($C285,'[1]2022-2023'!$A:$D,4,FALSE),"")</f>
        <v>47472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E286">
        <f>IFERROR(VLOOKUP($C286,'[1]2013-2014'!$A:$D,4,FALSE),"")</f>
        <v>22471</v>
      </c>
      <c r="F286">
        <f>IFERROR(VLOOKUP($C286,'[1]2014-2015'!$A:$D,4,FALSE),"")</f>
        <v>23524</v>
      </c>
      <c r="G286">
        <f>IFERROR(VLOOKUP($C286,'[1]2015-2016'!$A:$D,4,FALSE),"")</f>
        <v>27972</v>
      </c>
      <c r="H286">
        <f>IFERROR(VLOOKUP($C286,'[1]2016-2017'!$A:$D,4,FALSE),"")</f>
        <v>25031</v>
      </c>
      <c r="I286">
        <f>IFERROR(VLOOKUP($C286,'[1]2017-2018'!$A:$D,4,FALSE),"")</f>
        <v>27624</v>
      </c>
      <c r="J286">
        <f>IFERROR(VLOOKUP($C286,'[1]2018-2019'!$A:$D,4,FALSE),"")</f>
        <v>26062</v>
      </c>
      <c r="K286">
        <f>IFERROR(VLOOKUP($C286,'[1]2019-2020'!$A:$D,4,FALSE),"")</f>
        <v>20399</v>
      </c>
      <c r="L286">
        <f>IFERROR(VLOOKUP($C286,'[1]2020-2021'!$A:$D,4,FALSE),"")</f>
        <v>6386</v>
      </c>
      <c r="M286">
        <f>IFERROR(VLOOKUP($C286,'[1]2021-2022'!$A:$D,4,FALSE),"")</f>
        <v>15868</v>
      </c>
      <c r="N286">
        <f>IFERROR(VLOOKUP($C286,'[1]2022-2023'!$A:$D,4,FALSE),"")</f>
        <v>19446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E287">
        <f>IFERROR(VLOOKUP($C287,'[1]2013-2014'!$A:$D,4,FALSE),"")</f>
        <v>183350</v>
      </c>
      <c r="F287">
        <f>IFERROR(VLOOKUP($C287,'[1]2014-2015'!$A:$D,4,FALSE),"")</f>
        <v>202489</v>
      </c>
      <c r="G287">
        <f>IFERROR(VLOOKUP($C287,'[1]2015-2016'!$A:$D,4,FALSE),"")</f>
        <v>218082</v>
      </c>
      <c r="H287">
        <f>IFERROR(VLOOKUP($C287,'[1]2016-2017'!$A:$D,4,FALSE),"")</f>
        <v>178343</v>
      </c>
      <c r="I287">
        <f>IFERROR(VLOOKUP($C287,'[1]2017-2018'!$A:$D,4,FALSE),"")</f>
        <v>180232</v>
      </c>
      <c r="J287">
        <f>IFERROR(VLOOKUP($C287,'[1]2018-2019'!$A:$D,4,FALSE),"")</f>
        <v>181651</v>
      </c>
      <c r="K287">
        <f>IFERROR(VLOOKUP($C287,'[1]2019-2020'!$A:$D,4,FALSE),"")</f>
        <v>166236</v>
      </c>
      <c r="L287">
        <f>IFERROR(VLOOKUP($C287,'[1]2020-2021'!$A:$D,4,FALSE),"")</f>
        <v>19667</v>
      </c>
      <c r="M287">
        <f>IFERROR(VLOOKUP($C287,'[1]2021-2022'!$A:$D,4,FALSE),"")</f>
        <v>235563</v>
      </c>
      <c r="N287">
        <f>IFERROR(VLOOKUP($C287,'[1]2022-2023'!$A:$D,4,FALSE),"")</f>
        <v>189904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E288">
        <f>IFERROR(VLOOKUP($C288,'[1]2013-2014'!$A:$D,4,FALSE),"")</f>
        <v>104325</v>
      </c>
      <c r="F288">
        <f>IFERROR(VLOOKUP($C288,'[1]2014-2015'!$A:$D,4,FALSE),"")</f>
        <v>124683</v>
      </c>
      <c r="G288">
        <f>IFERROR(VLOOKUP($C288,'[1]2015-2016'!$A:$D,4,FALSE),"")</f>
        <v>161199</v>
      </c>
      <c r="H288">
        <f>IFERROR(VLOOKUP($C288,'[1]2016-2017'!$A:$D,4,FALSE),"")</f>
        <v>130582</v>
      </c>
      <c r="I288">
        <f>IFERROR(VLOOKUP($C288,'[1]2017-2018'!$A:$D,4,FALSE),"")</f>
        <v>146040</v>
      </c>
      <c r="J288">
        <f>IFERROR(VLOOKUP($C288,'[1]2018-2019'!$A:$D,4,FALSE),"")</f>
        <v>123338</v>
      </c>
      <c r="K288">
        <f>IFERROR(VLOOKUP($C288,'[1]2019-2020'!$A:$D,4,FALSE),"")</f>
        <v>118112</v>
      </c>
      <c r="L288">
        <f>IFERROR(VLOOKUP($C288,'[1]2020-2021'!$A:$D,4,FALSE),"")</f>
        <v>10732</v>
      </c>
      <c r="M288">
        <f>IFERROR(VLOOKUP($C288,'[1]2021-2022'!$A:$D,4,FALSE),"")</f>
        <v>134265</v>
      </c>
      <c r="N288">
        <f>IFERROR(VLOOKUP($C288,'[1]2022-2023'!$A:$D,4,FALSE),"")</f>
        <v>148475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E289">
        <f>IFERROR(VLOOKUP($C289,'[1]2013-2014'!$A:$D,4,FALSE),"")</f>
        <v>23998</v>
      </c>
      <c r="F289">
        <f>IFERROR(VLOOKUP($C289,'[1]2014-2015'!$A:$D,4,FALSE),"")</f>
        <v>24599</v>
      </c>
      <c r="G289">
        <f>IFERROR(VLOOKUP($C289,'[1]2015-2016'!$A:$D,4,FALSE),"")</f>
        <v>21796</v>
      </c>
      <c r="H289">
        <f>IFERROR(VLOOKUP($C289,'[1]2016-2017'!$A:$D,4,FALSE),"")</f>
        <v>22904</v>
      </c>
      <c r="I289">
        <f>IFERROR(VLOOKUP($C289,'[1]2017-2018'!$A:$D,4,FALSE),"")</f>
        <v>21385</v>
      </c>
      <c r="J289">
        <f>IFERROR(VLOOKUP($C289,'[1]2018-2019'!$A:$D,4,FALSE),"")</f>
        <v>22495</v>
      </c>
      <c r="K289">
        <f>IFERROR(VLOOKUP($C289,'[1]2019-2020'!$A:$D,4,FALSE),"")</f>
        <v>21201</v>
      </c>
      <c r="L289">
        <f>IFERROR(VLOOKUP($C289,'[1]2020-2021'!$A:$D,4,FALSE),"")</f>
        <v>2440</v>
      </c>
      <c r="M289">
        <f>IFERROR(VLOOKUP($C289,'[1]2021-2022'!$A:$D,4,FALSE),"")</f>
        <v>25595</v>
      </c>
      <c r="N289">
        <f>IFERROR(VLOOKUP($C289,'[1]2022-2023'!$A:$D,4,FALSE),"")</f>
        <v>32964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E290">
        <f>IFERROR(VLOOKUP($C290,'[1]2013-2014'!$A:$D,4,FALSE),"")</f>
        <v>26207</v>
      </c>
      <c r="F290">
        <f>IFERROR(VLOOKUP($C290,'[1]2014-2015'!$A:$D,4,FALSE),"")</f>
        <v>27448</v>
      </c>
      <c r="G290">
        <f>IFERROR(VLOOKUP($C290,'[1]2015-2016'!$A:$D,4,FALSE),"")</f>
        <v>32053</v>
      </c>
      <c r="H290">
        <f>IFERROR(VLOOKUP($C290,'[1]2016-2017'!$A:$D,4,FALSE),"")</f>
        <v>35292</v>
      </c>
      <c r="I290">
        <f>IFERROR(VLOOKUP($C290,'[1]2017-2018'!$A:$D,4,FALSE),"")</f>
        <v>28518</v>
      </c>
      <c r="J290">
        <f>IFERROR(VLOOKUP($C290,'[1]2018-2019'!$A:$D,4,FALSE),"")</f>
        <v>46009</v>
      </c>
      <c r="K290">
        <f>IFERROR(VLOOKUP($C290,'[1]2019-2020'!$A:$D,4,FALSE),"")</f>
        <v>41123</v>
      </c>
      <c r="L290">
        <f>IFERROR(VLOOKUP($C290,'[1]2020-2021'!$A:$D,4,FALSE),"")</f>
        <v>8996</v>
      </c>
      <c r="M290">
        <f>IFERROR(VLOOKUP($C290,'[1]2021-2022'!$A:$D,4,FALSE),"")</f>
        <v>24079</v>
      </c>
      <c r="N290">
        <f>IFERROR(VLOOKUP($C290,'[1]2022-2023'!$A:$D,4,FALSE),"")</f>
        <v>26261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E291">
        <f>IFERROR(VLOOKUP($C291,'[1]2013-2014'!$A:$D,4,FALSE),"")</f>
        <v>130145</v>
      </c>
      <c r="F291">
        <f>IFERROR(VLOOKUP($C291,'[1]2014-2015'!$A:$D,4,FALSE),"")</f>
        <v>125832</v>
      </c>
      <c r="G291">
        <f>IFERROR(VLOOKUP($C291,'[1]2015-2016'!$A:$D,4,FALSE),"")</f>
        <v>140836</v>
      </c>
      <c r="H291">
        <f>IFERROR(VLOOKUP($C291,'[1]2016-2017'!$A:$D,4,FALSE),"")</f>
        <v>171508</v>
      </c>
      <c r="I291">
        <f>IFERROR(VLOOKUP($C291,'[1]2017-2018'!$A:$D,4,FALSE),"")</f>
        <v>193319</v>
      </c>
      <c r="J291">
        <f>IFERROR(VLOOKUP($C291,'[1]2018-2019'!$A:$D,4,FALSE),"")</f>
        <v>217771</v>
      </c>
      <c r="K291">
        <f>IFERROR(VLOOKUP($C291,'[1]2019-2020'!$A:$D,4,FALSE),"")</f>
        <v>238962</v>
      </c>
      <c r="L291">
        <f>IFERROR(VLOOKUP($C291,'[1]2020-2021'!$A:$D,4,FALSE),"")</f>
        <v>58734</v>
      </c>
      <c r="M291">
        <f>IFERROR(VLOOKUP($C291,'[1]2021-2022'!$A:$D,4,FALSE),"")</f>
        <v>251515</v>
      </c>
      <c r="N291">
        <f>IFERROR(VLOOKUP($C291,'[1]2022-2023'!$A:$D,4,FALSE),"")</f>
        <v>224774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E292">
        <f>IFERROR(VLOOKUP($C292,'[1]2013-2014'!$A:$D,4,FALSE),"")</f>
        <v>15328</v>
      </c>
      <c r="F292">
        <f>IFERROR(VLOOKUP($C292,'[1]2014-2015'!$A:$D,4,FALSE),"")</f>
        <v>21292</v>
      </c>
      <c r="G292">
        <f>IFERROR(VLOOKUP($C292,'[1]2015-2016'!$A:$D,4,FALSE),"")</f>
        <v>23597</v>
      </c>
      <c r="H292">
        <f>IFERROR(VLOOKUP($C292,'[1]2016-2017'!$A:$D,4,FALSE),"")</f>
        <v>27080</v>
      </c>
      <c r="I292">
        <f>IFERROR(VLOOKUP($C292,'[1]2017-2018'!$A:$D,4,FALSE),"")</f>
        <v>11357</v>
      </c>
      <c r="J292">
        <f>IFERROR(VLOOKUP($C292,'[1]2018-2019'!$A:$D,4,FALSE),"")</f>
        <v>16079</v>
      </c>
      <c r="K292">
        <f>IFERROR(VLOOKUP($C292,'[1]2019-2020'!$A:$D,4,FALSE),"")</f>
        <v>14019</v>
      </c>
      <c r="L292">
        <f>IFERROR(VLOOKUP($C292,'[1]2020-2021'!$A:$D,4,FALSE),"")</f>
        <v>6687</v>
      </c>
      <c r="M292">
        <f>IFERROR(VLOOKUP($C292,'[1]2021-2022'!$A:$D,4,FALSE),"")</f>
        <v>16088</v>
      </c>
      <c r="N292">
        <f>IFERROR(VLOOKUP($C292,'[1]2022-2023'!$A:$D,4,FALSE),"")</f>
        <v>22316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E293">
        <f>IFERROR(VLOOKUP($C293,'[1]2013-2014'!$A:$D,4,FALSE),"")</f>
        <v>75030</v>
      </c>
      <c r="F293">
        <f>IFERROR(VLOOKUP($C293,'[1]2014-2015'!$A:$D,4,FALSE),"")</f>
        <v>75432</v>
      </c>
      <c r="G293">
        <f>IFERROR(VLOOKUP($C293,'[1]2015-2016'!$A:$D,4,FALSE),"")</f>
        <v>67177</v>
      </c>
      <c r="H293">
        <f>IFERROR(VLOOKUP($C293,'[1]2016-2017'!$A:$D,4,FALSE),"")</f>
        <v>66303</v>
      </c>
      <c r="I293">
        <f>IFERROR(VLOOKUP($C293,'[1]2017-2018'!$A:$D,4,FALSE),"")</f>
        <v>67834</v>
      </c>
      <c r="J293">
        <f>IFERROR(VLOOKUP($C293,'[1]2018-2019'!$A:$D,4,FALSE),"")</f>
        <v>76338</v>
      </c>
      <c r="K293">
        <f>IFERROR(VLOOKUP($C293,'[1]2019-2020'!$A:$D,4,FALSE),"")</f>
        <v>68959</v>
      </c>
      <c r="L293">
        <f>IFERROR(VLOOKUP($C293,'[1]2020-2021'!$A:$D,4,FALSE),"")</f>
        <v>0</v>
      </c>
      <c r="M293">
        <f>IFERROR(VLOOKUP($C293,'[1]2021-2022'!$A:$D,4,FALSE),"")</f>
        <v>68002</v>
      </c>
      <c r="N293">
        <f>IFERROR(VLOOKUP($C293,'[1]2022-2023'!$A:$D,4,FALSE),"")</f>
        <v>67602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E294">
        <f>IFERROR(VLOOKUP($C294,'[1]2013-2014'!$A:$D,4,FALSE),"")</f>
        <v>41027</v>
      </c>
      <c r="F294">
        <f>IFERROR(VLOOKUP($C294,'[1]2014-2015'!$A:$D,4,FALSE),"")</f>
        <v>27320</v>
      </c>
      <c r="G294">
        <f>IFERROR(VLOOKUP($C294,'[1]2015-2016'!$A:$D,4,FALSE),"")</f>
        <v>28724</v>
      </c>
      <c r="H294">
        <f>IFERROR(VLOOKUP($C294,'[1]2016-2017'!$A:$D,4,FALSE),"")</f>
        <v>26173</v>
      </c>
      <c r="I294">
        <f>IFERROR(VLOOKUP($C294,'[1]2017-2018'!$A:$D,4,FALSE),"")</f>
        <v>20331</v>
      </c>
      <c r="J294">
        <f>IFERROR(VLOOKUP($C294,'[1]2018-2019'!$A:$D,4,FALSE),"")</f>
        <v>17935</v>
      </c>
      <c r="K294">
        <f>IFERROR(VLOOKUP($C294,'[1]2019-2020'!$A:$D,4,FALSE),"")</f>
        <v>23761</v>
      </c>
      <c r="L294">
        <f>IFERROR(VLOOKUP($C294,'[1]2020-2021'!$A:$D,4,FALSE),"")</f>
        <v>0</v>
      </c>
      <c r="M294">
        <f>IFERROR(VLOOKUP($C294,'[1]2021-2022'!$A:$D,4,FALSE),"")</f>
        <v>22301</v>
      </c>
      <c r="N294">
        <f>IFERROR(VLOOKUP($C294,'[1]2022-2023'!$A:$D,4,FALSE),"")</f>
        <v>27027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E295">
        <f>IFERROR(VLOOKUP($C295,'[1]2013-2014'!$A:$D,4,FALSE),"")</f>
        <v>21034</v>
      </c>
      <c r="F295">
        <f>IFERROR(VLOOKUP($C295,'[1]2014-2015'!$A:$D,4,FALSE),"")</f>
        <v>25906</v>
      </c>
      <c r="G295">
        <f>IFERROR(VLOOKUP($C295,'[1]2015-2016'!$A:$D,4,FALSE),"")</f>
        <v>20862</v>
      </c>
      <c r="H295">
        <f>IFERROR(VLOOKUP($C295,'[1]2016-2017'!$A:$D,4,FALSE),"")</f>
        <v>17988</v>
      </c>
      <c r="I295">
        <f>IFERROR(VLOOKUP($C295,'[1]2017-2018'!$A:$D,4,FALSE),"")</f>
        <v>29221</v>
      </c>
      <c r="J295">
        <f>IFERROR(VLOOKUP($C295,'[1]2018-2019'!$A:$D,4,FALSE),"")</f>
        <v>37887</v>
      </c>
      <c r="K295">
        <f>IFERROR(VLOOKUP($C295,'[1]2019-2020'!$A:$D,4,FALSE),"")</f>
        <v>38937</v>
      </c>
      <c r="L295">
        <f>IFERROR(VLOOKUP($C295,'[1]2020-2021'!$A:$D,4,FALSE),"")</f>
        <v>10595</v>
      </c>
      <c r="M295">
        <f>IFERROR(VLOOKUP($C295,'[1]2021-2022'!$A:$D,4,FALSE),"")</f>
        <v>35850</v>
      </c>
      <c r="N295">
        <f>IFERROR(VLOOKUP($C295,'[1]2022-2023'!$A:$D,4,FALSE),"")</f>
        <v>42500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E296">
        <f>IFERROR(VLOOKUP($C296,'[1]2013-2014'!$A:$D,4,FALSE),"")</f>
        <v>31857</v>
      </c>
      <c r="F296">
        <f>IFERROR(VLOOKUP($C296,'[1]2014-2015'!$A:$D,4,FALSE),"")</f>
        <v>33338</v>
      </c>
      <c r="G296">
        <f>IFERROR(VLOOKUP($C296,'[1]2015-2016'!$A:$D,4,FALSE),"")</f>
        <v>28793</v>
      </c>
      <c r="H296">
        <f>IFERROR(VLOOKUP($C296,'[1]2016-2017'!$A:$D,4,FALSE),"")</f>
        <v>25611</v>
      </c>
      <c r="I296">
        <f>IFERROR(VLOOKUP($C296,'[1]2017-2018'!$A:$D,4,FALSE),"")</f>
        <v>25771</v>
      </c>
      <c r="J296">
        <f>IFERROR(VLOOKUP($C296,'[1]2018-2019'!$A:$D,4,FALSE),"")</f>
        <v>21857</v>
      </c>
      <c r="K296">
        <f>IFERROR(VLOOKUP($C296,'[1]2019-2020'!$A:$D,4,FALSE),"")</f>
        <v>24405</v>
      </c>
      <c r="L296">
        <f>IFERROR(VLOOKUP($C296,'[1]2020-2021'!$A:$D,4,FALSE),"")</f>
        <v>1000</v>
      </c>
      <c r="M296">
        <f>IFERROR(VLOOKUP($C296,'[1]2021-2022'!$A:$D,4,FALSE),"")</f>
        <v>18804</v>
      </c>
      <c r="N296">
        <f>IFERROR(VLOOKUP($C296,'[1]2022-2023'!$A:$D,4,FALSE),"")</f>
        <v>17815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E297">
        <f>IFERROR(VLOOKUP($C297,'[1]2013-2014'!$A:$D,4,FALSE),"")</f>
        <v>63389</v>
      </c>
      <c r="F297">
        <f>IFERROR(VLOOKUP($C297,'[1]2014-2015'!$A:$D,4,FALSE),"")</f>
        <v>85778</v>
      </c>
      <c r="G297">
        <f>IFERROR(VLOOKUP($C297,'[1]2015-2016'!$A:$D,4,FALSE),"")</f>
        <v>71177</v>
      </c>
      <c r="H297">
        <f>IFERROR(VLOOKUP($C297,'[1]2016-2017'!$A:$D,4,FALSE),"")</f>
        <v>64876</v>
      </c>
      <c r="I297">
        <f>IFERROR(VLOOKUP($C297,'[1]2017-2018'!$A:$D,4,FALSE),"")</f>
        <v>67762</v>
      </c>
      <c r="J297">
        <f>IFERROR(VLOOKUP($C297,'[1]2018-2019'!$A:$D,4,FALSE),"")</f>
        <v>71885</v>
      </c>
      <c r="K297">
        <f>IFERROR(VLOOKUP($C297,'[1]2019-2020'!$A:$D,4,FALSE),"")</f>
        <v>68731</v>
      </c>
      <c r="L297">
        <f>IFERROR(VLOOKUP($C297,'[1]2020-2021'!$A:$D,4,FALSE),"")</f>
        <v>700</v>
      </c>
      <c r="M297">
        <f>IFERROR(VLOOKUP($C297,'[1]2021-2022'!$A:$D,4,FALSE),"")</f>
        <v>46575</v>
      </c>
      <c r="N297">
        <f>IFERROR(VLOOKUP($C297,'[1]2022-2023'!$A:$D,4,FALSE),"")</f>
        <v>55605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E298">
        <f>IFERROR(VLOOKUP($C298,'[1]2013-2014'!$A:$D,4,FALSE),"")</f>
        <v>73161</v>
      </c>
      <c r="F298">
        <f>IFERROR(VLOOKUP($C298,'[1]2014-2015'!$A:$D,4,FALSE),"")</f>
        <v>55383</v>
      </c>
      <c r="G298">
        <f>IFERROR(VLOOKUP($C298,'[1]2015-2016'!$A:$D,4,FALSE),"")</f>
        <v>79132</v>
      </c>
      <c r="H298">
        <f>IFERROR(VLOOKUP($C298,'[1]2016-2017'!$A:$D,4,FALSE),"")</f>
        <v>66146</v>
      </c>
      <c r="I298">
        <f>IFERROR(VLOOKUP($C298,'[1]2017-2018'!$A:$D,4,FALSE),"")</f>
        <v>63396</v>
      </c>
      <c r="J298">
        <f>IFERROR(VLOOKUP($C298,'[1]2018-2019'!$A:$D,4,FALSE),"")</f>
        <v>48592</v>
      </c>
      <c r="K298">
        <f>IFERROR(VLOOKUP($C298,'[1]2019-2020'!$A:$D,4,FALSE),"")</f>
        <v>46114</v>
      </c>
      <c r="L298">
        <f>IFERROR(VLOOKUP($C298,'[1]2020-2021'!$A:$D,4,FALSE),"")</f>
        <v>15761</v>
      </c>
      <c r="M298">
        <f>IFERROR(VLOOKUP($C298,'[1]2021-2022'!$A:$D,4,FALSE),"")</f>
        <v>58108</v>
      </c>
      <c r="N298">
        <f>IFERROR(VLOOKUP($C298,'[1]2022-2023'!$A:$D,4,FALSE),"")</f>
        <v>75498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E299">
        <f>IFERROR(VLOOKUP($C299,'[1]2013-2014'!$A:$D,4,FALSE),"")</f>
        <v>37185</v>
      </c>
      <c r="F299">
        <f>IFERROR(VLOOKUP($C299,'[1]2014-2015'!$A:$D,4,FALSE),"")</f>
        <v>50852</v>
      </c>
      <c r="G299">
        <f>IFERROR(VLOOKUP($C299,'[1]2015-2016'!$A:$D,4,FALSE),"")</f>
        <v>47411</v>
      </c>
      <c r="H299">
        <f>IFERROR(VLOOKUP($C299,'[1]2016-2017'!$A:$D,4,FALSE),"")</f>
        <v>42465</v>
      </c>
      <c r="I299">
        <f>IFERROR(VLOOKUP($C299,'[1]2017-2018'!$A:$D,4,FALSE),"")</f>
        <v>42063</v>
      </c>
      <c r="J299">
        <f>IFERROR(VLOOKUP($C299,'[1]2018-2019'!$A:$D,4,FALSE),"")</f>
        <v>29466</v>
      </c>
      <c r="K299">
        <f>IFERROR(VLOOKUP($C299,'[1]2019-2020'!$A:$D,4,FALSE),"")</f>
        <v>30272</v>
      </c>
      <c r="L299">
        <f>IFERROR(VLOOKUP($C299,'[1]2020-2021'!$A:$D,4,FALSE),"")</f>
        <v>0</v>
      </c>
      <c r="M299">
        <f>IFERROR(VLOOKUP($C299,'[1]2021-2022'!$A:$D,4,FALSE),"")</f>
        <v>24595</v>
      </c>
      <c r="N299">
        <f>IFERROR(VLOOKUP($C299,'[1]2022-2023'!$A:$D,4,FALSE),"")</f>
        <v>13719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E300">
        <f>IFERROR(VLOOKUP($C300,'[1]2013-2014'!$A:$D,4,FALSE),"")</f>
        <v>25674</v>
      </c>
      <c r="F300">
        <f>IFERROR(VLOOKUP($C300,'[1]2014-2015'!$A:$D,4,FALSE),"")</f>
        <v>34902</v>
      </c>
      <c r="G300">
        <f>IFERROR(VLOOKUP($C300,'[1]2015-2016'!$A:$D,4,FALSE),"")</f>
        <v>31665</v>
      </c>
      <c r="H300">
        <f>IFERROR(VLOOKUP($C300,'[1]2016-2017'!$A:$D,4,FALSE),"")</f>
        <v>23967</v>
      </c>
      <c r="I300">
        <f>IFERROR(VLOOKUP($C300,'[1]2017-2018'!$A:$D,4,FALSE),"")</f>
        <v>25407</v>
      </c>
      <c r="J300">
        <f>IFERROR(VLOOKUP($C300,'[1]2018-2019'!$A:$D,4,FALSE),"")</f>
        <v>23846</v>
      </c>
      <c r="K300">
        <f>IFERROR(VLOOKUP($C300,'[1]2019-2020'!$A:$D,4,FALSE),"")</f>
        <v>17285</v>
      </c>
      <c r="L300">
        <f>IFERROR(VLOOKUP($C300,'[1]2020-2021'!$A:$D,4,FALSE),"")</f>
        <v>0</v>
      </c>
      <c r="M300">
        <f>IFERROR(VLOOKUP($C300,'[1]2021-2022'!$A:$D,4,FALSE),"")</f>
        <v>8759</v>
      </c>
      <c r="N300">
        <f>IFERROR(VLOOKUP($C300,'[1]2022-2023'!$A:$D,4,FALSE),"")</f>
        <v>17477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E301">
        <f>IFERROR(VLOOKUP($C301,'[1]2013-2014'!$A:$D,4,FALSE),"")</f>
        <v>37666</v>
      </c>
      <c r="F301">
        <f>IFERROR(VLOOKUP($C301,'[1]2014-2015'!$A:$D,4,FALSE),"")</f>
        <v>30527</v>
      </c>
      <c r="G301">
        <f>IFERROR(VLOOKUP($C301,'[1]2015-2016'!$A:$D,4,FALSE),"")</f>
        <v>38723</v>
      </c>
      <c r="H301">
        <f>IFERROR(VLOOKUP($C301,'[1]2016-2017'!$A:$D,4,FALSE),"")</f>
        <v>28107</v>
      </c>
      <c r="I301">
        <f>IFERROR(VLOOKUP($C301,'[1]2017-2018'!$A:$D,4,FALSE),"")</f>
        <v>22134</v>
      </c>
      <c r="J301">
        <f>IFERROR(VLOOKUP($C301,'[1]2018-2019'!$A:$D,4,FALSE),"")</f>
        <v>23288</v>
      </c>
      <c r="K301">
        <f>IFERROR(VLOOKUP($C301,'[1]2019-2020'!$A:$D,4,FALSE),"")</f>
        <v>33248</v>
      </c>
      <c r="L301">
        <f>IFERROR(VLOOKUP($C301,'[1]2020-2021'!$A:$D,4,FALSE),"")</f>
        <v>0</v>
      </c>
      <c r="M301">
        <f>IFERROR(VLOOKUP($C301,'[1]2021-2022'!$A:$D,4,FALSE),"")</f>
        <v>14317</v>
      </c>
      <c r="N301">
        <f>IFERROR(VLOOKUP($C301,'[1]2022-2023'!$A:$D,4,FALSE),"")</f>
        <v>38264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E302">
        <f>IFERROR(VLOOKUP($C302,'[1]2013-2014'!$A:$D,4,FALSE),"")</f>
        <v>13691</v>
      </c>
      <c r="F302">
        <f>IFERROR(VLOOKUP($C302,'[1]2014-2015'!$A:$D,4,FALSE),"")</f>
        <v>11427</v>
      </c>
      <c r="G302">
        <f>IFERROR(VLOOKUP($C302,'[1]2015-2016'!$A:$D,4,FALSE),"")</f>
        <v>13469</v>
      </c>
      <c r="H302">
        <f>IFERROR(VLOOKUP($C302,'[1]2016-2017'!$A:$D,4,FALSE),"")</f>
        <v>9648</v>
      </c>
      <c r="I302">
        <f>IFERROR(VLOOKUP($C302,'[1]2017-2018'!$A:$D,4,FALSE),"")</f>
        <v>9131</v>
      </c>
      <c r="J302">
        <f>IFERROR(VLOOKUP($C302,'[1]2018-2019'!$A:$D,4,FALSE),"")</f>
        <v>8821</v>
      </c>
      <c r="K302">
        <f>IFERROR(VLOOKUP($C302,'[1]2019-2020'!$A:$D,4,FALSE),"")</f>
        <v>9286</v>
      </c>
      <c r="L302">
        <f>IFERROR(VLOOKUP($C302,'[1]2020-2021'!$A:$D,4,FALSE),"")</f>
        <v>0</v>
      </c>
      <c r="M302">
        <f>IFERROR(VLOOKUP($C302,'[1]2021-2022'!$A:$D,4,FALSE),"")</f>
        <v>6132</v>
      </c>
      <c r="N302">
        <f>IFERROR(VLOOKUP($C302,'[1]2022-2023'!$A:$D,4,FALSE),"")</f>
        <v>9180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E303">
        <f>IFERROR(VLOOKUP($C303,'[1]2013-2014'!$A:$D,4,FALSE),"")</f>
        <v>38488</v>
      </c>
      <c r="F303">
        <f>IFERROR(VLOOKUP($C303,'[1]2014-2015'!$A:$D,4,FALSE),"")</f>
        <v>38891</v>
      </c>
      <c r="G303">
        <f>IFERROR(VLOOKUP($C303,'[1]2015-2016'!$A:$D,4,FALSE),"")</f>
        <v>25985</v>
      </c>
      <c r="H303">
        <f>IFERROR(VLOOKUP($C303,'[1]2016-2017'!$A:$D,4,FALSE),"")</f>
        <v>20637</v>
      </c>
      <c r="I303">
        <f>IFERROR(VLOOKUP($C303,'[1]2017-2018'!$A:$D,4,FALSE),"")</f>
        <v>29728</v>
      </c>
      <c r="J303">
        <f>IFERROR(VLOOKUP($C303,'[1]2018-2019'!$A:$D,4,FALSE),"")</f>
        <v>30111</v>
      </c>
      <c r="K303">
        <f>IFERROR(VLOOKUP($C303,'[1]2019-2020'!$A:$D,4,FALSE),"")</f>
        <v>24629</v>
      </c>
      <c r="L303">
        <f>IFERROR(VLOOKUP($C303,'[1]2020-2021'!$A:$D,4,FALSE),"")</f>
        <v>0</v>
      </c>
      <c r="M303">
        <f>IFERROR(VLOOKUP($C303,'[1]2021-2022'!$A:$D,4,FALSE),"")</f>
        <v>17631</v>
      </c>
      <c r="N303">
        <f>IFERROR(VLOOKUP($C303,'[1]2022-2023'!$A:$D,4,FALSE),"")</f>
        <v>29497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E304">
        <f>IFERROR(VLOOKUP($C304,'[1]2013-2014'!$A:$D,4,FALSE),"")</f>
        <v>90067</v>
      </c>
      <c r="F304">
        <f>IFERROR(VLOOKUP($C304,'[1]2014-2015'!$A:$D,4,FALSE),"")</f>
        <v>73559</v>
      </c>
      <c r="G304">
        <f>IFERROR(VLOOKUP($C304,'[1]2015-2016'!$A:$D,4,FALSE),"")</f>
        <v>72215</v>
      </c>
      <c r="H304">
        <f>IFERROR(VLOOKUP($C304,'[1]2016-2017'!$A:$D,4,FALSE),"")</f>
        <v>83168</v>
      </c>
      <c r="I304">
        <f>IFERROR(VLOOKUP($C304,'[1]2017-2018'!$A:$D,4,FALSE),"")</f>
        <v>74174</v>
      </c>
      <c r="J304">
        <f>IFERROR(VLOOKUP($C304,'[1]2018-2019'!$A:$D,4,FALSE),"")</f>
        <v>80307</v>
      </c>
      <c r="K304">
        <f>IFERROR(VLOOKUP($C304,'[1]2019-2020'!$A:$D,4,FALSE),"")</f>
        <v>80783</v>
      </c>
      <c r="L304">
        <f>IFERROR(VLOOKUP($C304,'[1]2020-2021'!$A:$D,4,FALSE),"")</f>
        <v>13280</v>
      </c>
      <c r="M304">
        <f>IFERROR(VLOOKUP($C304,'[1]2021-2022'!$A:$D,4,FALSE),"")</f>
        <v>79631</v>
      </c>
      <c r="N304">
        <f>IFERROR(VLOOKUP($C304,'[1]2022-2023'!$A:$D,4,FALSE),"")</f>
        <v>89664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E305">
        <f>IFERROR(VLOOKUP($C305,'[1]2013-2014'!$A:$D,4,FALSE),"")</f>
        <v>146455</v>
      </c>
      <c r="F305">
        <f>IFERROR(VLOOKUP($C305,'[1]2014-2015'!$A:$D,4,FALSE),"")</f>
        <v>131079</v>
      </c>
      <c r="G305">
        <f>IFERROR(VLOOKUP($C305,'[1]2015-2016'!$A:$D,4,FALSE),"")</f>
        <v>137247</v>
      </c>
      <c r="H305">
        <f>IFERROR(VLOOKUP($C305,'[1]2016-2017'!$A:$D,4,FALSE),"")</f>
        <v>190108</v>
      </c>
      <c r="I305">
        <f>IFERROR(VLOOKUP($C305,'[1]2017-2018'!$A:$D,4,FALSE),"")</f>
        <v>137919</v>
      </c>
      <c r="J305">
        <f>IFERROR(VLOOKUP($C305,'[1]2018-2019'!$A:$D,4,FALSE),"")</f>
        <v>148836</v>
      </c>
      <c r="K305">
        <f>IFERROR(VLOOKUP($C305,'[1]2019-2020'!$A:$D,4,FALSE),"")</f>
        <v>113998</v>
      </c>
      <c r="L305">
        <f>IFERROR(VLOOKUP($C305,'[1]2020-2021'!$A:$D,4,FALSE),"")</f>
        <v>0</v>
      </c>
      <c r="M305">
        <f>IFERROR(VLOOKUP($C305,'[1]2021-2022'!$A:$D,4,FALSE),"")</f>
        <v>111152</v>
      </c>
      <c r="N305">
        <f>IFERROR(VLOOKUP($C305,'[1]2022-2023'!$A:$D,4,FALSE),"")</f>
        <v>157697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E306">
        <f>IFERROR(VLOOKUP($C306,'[1]2013-2014'!$A:$D,4,FALSE),"")</f>
        <v>182416</v>
      </c>
      <c r="F306">
        <f>IFERROR(VLOOKUP($C306,'[1]2014-2015'!$A:$D,4,FALSE),"")</f>
        <v>213738</v>
      </c>
      <c r="G306">
        <f>IFERROR(VLOOKUP($C306,'[1]2015-2016'!$A:$D,4,FALSE),"")</f>
        <v>177027</v>
      </c>
      <c r="H306">
        <f>IFERROR(VLOOKUP($C306,'[1]2016-2017'!$A:$D,4,FALSE),"")</f>
        <v>144591</v>
      </c>
      <c r="I306">
        <f>IFERROR(VLOOKUP($C306,'[1]2017-2018'!$A:$D,4,FALSE),"")</f>
        <v>125271</v>
      </c>
      <c r="J306">
        <f>IFERROR(VLOOKUP($C306,'[1]2018-2019'!$A:$D,4,FALSE),"")</f>
        <v>155734</v>
      </c>
      <c r="K306">
        <f>IFERROR(VLOOKUP($C306,'[1]2019-2020'!$A:$D,4,FALSE),"")</f>
        <v>156389</v>
      </c>
      <c r="L306">
        <f>IFERROR(VLOOKUP($C306,'[1]2020-2021'!$A:$D,4,FALSE),"")</f>
        <v>125</v>
      </c>
      <c r="M306">
        <f>IFERROR(VLOOKUP($C306,'[1]2021-2022'!$A:$D,4,FALSE),"")</f>
        <v>165512</v>
      </c>
      <c r="N306">
        <f>IFERROR(VLOOKUP($C306,'[1]2022-2023'!$A:$D,4,FALSE),"")</f>
        <v>194581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E307">
        <f>IFERROR(VLOOKUP($C307,'[1]2013-2014'!$A:$D,4,FALSE),"")</f>
        <v>40545</v>
      </c>
      <c r="F307">
        <f>IFERROR(VLOOKUP($C307,'[1]2014-2015'!$A:$D,4,FALSE),"")</f>
        <v>46615</v>
      </c>
      <c r="G307">
        <f>IFERROR(VLOOKUP($C307,'[1]2015-2016'!$A:$D,4,FALSE),"")</f>
        <v>47492</v>
      </c>
      <c r="H307">
        <f>IFERROR(VLOOKUP($C307,'[1]2016-2017'!$A:$D,4,FALSE),"")</f>
        <v>50439</v>
      </c>
      <c r="I307">
        <f>IFERROR(VLOOKUP($C307,'[1]2017-2018'!$A:$D,4,FALSE),"")</f>
        <v>36549</v>
      </c>
      <c r="J307">
        <f>IFERROR(VLOOKUP($C307,'[1]2018-2019'!$A:$D,4,FALSE),"")</f>
        <v>32592</v>
      </c>
      <c r="K307">
        <f>IFERROR(VLOOKUP($C307,'[1]2019-2020'!$A:$D,4,FALSE),"")</f>
        <v>30862</v>
      </c>
      <c r="L307">
        <f>IFERROR(VLOOKUP($C307,'[1]2020-2021'!$A:$D,4,FALSE),"")</f>
        <v>0</v>
      </c>
      <c r="M307">
        <f>IFERROR(VLOOKUP($C307,'[1]2021-2022'!$A:$D,4,FALSE),"")</f>
        <v>25115</v>
      </c>
      <c r="N307">
        <f>IFERROR(VLOOKUP($C307,'[1]2022-2023'!$A:$D,4,FALSE),"")</f>
        <v>26711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E308">
        <f>IFERROR(VLOOKUP($C308,'[1]2013-2014'!$A:$D,4,FALSE),"")</f>
        <v>9779</v>
      </c>
      <c r="F308">
        <f>IFERROR(VLOOKUP($C308,'[1]2014-2015'!$A:$D,4,FALSE),"")</f>
        <v>13528</v>
      </c>
      <c r="G308">
        <f>IFERROR(VLOOKUP($C308,'[1]2015-2016'!$A:$D,4,FALSE),"")</f>
        <v>12022</v>
      </c>
      <c r="H308">
        <f>IFERROR(VLOOKUP($C308,'[1]2016-2017'!$A:$D,4,FALSE),"")</f>
        <v>12452</v>
      </c>
      <c r="I308">
        <f>IFERROR(VLOOKUP($C308,'[1]2017-2018'!$A:$D,4,FALSE),"")</f>
        <v>16437</v>
      </c>
      <c r="J308">
        <f>IFERROR(VLOOKUP($C308,'[1]2018-2019'!$A:$D,4,FALSE),"")</f>
        <v>7020</v>
      </c>
      <c r="K308">
        <f>IFERROR(VLOOKUP($C308,'[1]2019-2020'!$A:$D,4,FALSE),"")</f>
        <v>5926</v>
      </c>
      <c r="L308">
        <f>IFERROR(VLOOKUP($C308,'[1]2020-2021'!$A:$D,4,FALSE),"")</f>
        <v>2112</v>
      </c>
      <c r="M308">
        <f>IFERROR(VLOOKUP($C308,'[1]2021-2022'!$A:$D,4,FALSE),"")</f>
        <v>4062</v>
      </c>
      <c r="N308">
        <f>IFERROR(VLOOKUP($C308,'[1]2022-2023'!$A:$D,4,FALSE),"")</f>
        <v>4919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E309">
        <f>IFERROR(VLOOKUP($C309,'[1]2013-2014'!$A:$D,4,FALSE),"")</f>
        <v>18153</v>
      </c>
      <c r="F309">
        <f>IFERROR(VLOOKUP($C309,'[1]2014-2015'!$A:$D,4,FALSE),"")</f>
        <v>37149</v>
      </c>
      <c r="G309">
        <f>IFERROR(VLOOKUP($C309,'[1]2015-2016'!$A:$D,4,FALSE),"")</f>
        <v>32123</v>
      </c>
      <c r="H309">
        <f>IFERROR(VLOOKUP($C309,'[1]2016-2017'!$A:$D,4,FALSE),"")</f>
        <v>21224</v>
      </c>
      <c r="I309">
        <f>IFERROR(VLOOKUP($C309,'[1]2017-2018'!$A:$D,4,FALSE),"")</f>
        <v>25261</v>
      </c>
      <c r="J309">
        <f>IFERROR(VLOOKUP($C309,'[1]2018-2019'!$A:$D,4,FALSE),"")</f>
        <v>56796</v>
      </c>
      <c r="K309">
        <f>IFERROR(VLOOKUP($C309,'[1]2019-2020'!$A:$D,4,FALSE),"")</f>
        <v>29889</v>
      </c>
      <c r="L309">
        <f>IFERROR(VLOOKUP($C309,'[1]2020-2021'!$A:$D,4,FALSE),"")</f>
        <v>13988</v>
      </c>
      <c r="M309">
        <f>IFERROR(VLOOKUP($C309,'[1]2021-2022'!$A:$D,4,FALSE),"")</f>
        <v>27436</v>
      </c>
      <c r="N309">
        <f>IFERROR(VLOOKUP($C309,'[1]2022-2023'!$A:$D,4,FALSE),"")</f>
        <v>27101</v>
      </c>
    </row>
    <row r="310" spans="1:14" x14ac:dyDescent="0.2">
      <c r="A310" s="7" t="s">
        <v>569</v>
      </c>
      <c r="B310" s="7" t="s">
        <v>569</v>
      </c>
      <c r="C310">
        <v>166513</v>
      </c>
      <c r="D310">
        <v>31700</v>
      </c>
      <c r="E310">
        <f>IFERROR(VLOOKUP($C310,'[1]2013-2014'!$A:$D,4,FALSE),"")</f>
        <v>10696</v>
      </c>
      <c r="F310">
        <f>IFERROR(VLOOKUP($C310,'[1]2014-2015'!$A:$D,4,FALSE),"")</f>
        <v>10264</v>
      </c>
      <c r="G310">
        <f>IFERROR(VLOOKUP($C310,'[1]2015-2016'!$A:$D,4,FALSE),"")</f>
        <v>12516</v>
      </c>
      <c r="H310">
        <f>IFERROR(VLOOKUP($C310,'[1]2016-2017'!$A:$D,4,FALSE),"")</f>
        <v>14320</v>
      </c>
      <c r="I310">
        <f>IFERROR(VLOOKUP($C310,'[1]2017-2018'!$A:$D,4,FALSE),"")</f>
        <v>17913</v>
      </c>
      <c r="J310">
        <f>IFERROR(VLOOKUP($C310,'[1]2018-2019'!$A:$D,4,FALSE),"")</f>
        <v>15640</v>
      </c>
      <c r="K310">
        <f>IFERROR(VLOOKUP($C310,'[1]2019-2020'!$A:$D,4,FALSE),"")</f>
        <v>16368</v>
      </c>
      <c r="L310">
        <f>IFERROR(VLOOKUP($C310,'[1]2020-2021'!$A:$D,4,FALSE),"")</f>
        <v>0</v>
      </c>
      <c r="M310">
        <f>IFERROR(VLOOKUP($C310,'[1]2021-2022'!$A:$D,4,FALSE),"")</f>
        <v>10970</v>
      </c>
      <c r="N310">
        <f>IFERROR(VLOOKUP($C310,'[1]2022-2023'!$A:$D,4,FALSE),"")</f>
        <v>15289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E311">
        <f>IFERROR(VLOOKUP($C311,'[1]2013-2014'!$A:$D,4,FALSE),"")</f>
        <v>17072</v>
      </c>
      <c r="F311">
        <f>IFERROR(VLOOKUP($C311,'[1]2014-2015'!$A:$D,4,FALSE),"")</f>
        <v>9249</v>
      </c>
      <c r="G311">
        <f>IFERROR(VLOOKUP($C311,'[1]2015-2016'!$A:$D,4,FALSE),"")</f>
        <v>12621</v>
      </c>
      <c r="H311">
        <f>IFERROR(VLOOKUP($C311,'[1]2016-2017'!$A:$D,4,FALSE),"")</f>
        <v>16194</v>
      </c>
      <c r="I311">
        <f>IFERROR(VLOOKUP($C311,'[1]2017-2018'!$A:$D,4,FALSE),"")</f>
        <v>19645</v>
      </c>
      <c r="J311">
        <f>IFERROR(VLOOKUP($C311,'[1]2018-2019'!$A:$D,4,FALSE),"")</f>
        <v>29809</v>
      </c>
      <c r="K311">
        <f>IFERROR(VLOOKUP($C311,'[1]2019-2020'!$A:$D,4,FALSE),"")</f>
        <v>38243</v>
      </c>
      <c r="L311">
        <f>IFERROR(VLOOKUP($C311,'[1]2020-2021'!$A:$D,4,FALSE),"")</f>
        <v>0</v>
      </c>
      <c r="M311">
        <f>IFERROR(VLOOKUP($C311,'[1]2021-2022'!$A:$D,4,FALSE),"")</f>
        <v>25486</v>
      </c>
      <c r="N311">
        <f>IFERROR(VLOOKUP($C311,'[1]2022-2023'!$A:$D,4,FALSE),"")</f>
        <v>27283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E312">
        <f>IFERROR(VLOOKUP($C312,'[1]2013-2014'!$A:$D,4,FALSE),"")</f>
        <v>26376</v>
      </c>
      <c r="F312">
        <f>IFERROR(VLOOKUP($C312,'[1]2014-2015'!$A:$D,4,FALSE),"")</f>
        <v>21252</v>
      </c>
      <c r="G312">
        <f>IFERROR(VLOOKUP($C312,'[1]2015-2016'!$A:$D,4,FALSE),"")</f>
        <v>20585</v>
      </c>
      <c r="H312">
        <f>IFERROR(VLOOKUP($C312,'[1]2016-2017'!$A:$D,4,FALSE),"")</f>
        <v>20484</v>
      </c>
      <c r="I312">
        <f>IFERROR(VLOOKUP($C312,'[1]2017-2018'!$A:$D,4,FALSE),"")</f>
        <v>18169</v>
      </c>
      <c r="J312">
        <f>IFERROR(VLOOKUP($C312,'[1]2018-2019'!$A:$D,4,FALSE),"")</f>
        <v>18039</v>
      </c>
      <c r="K312">
        <f>IFERROR(VLOOKUP($C312,'[1]2019-2020'!$A:$D,4,FALSE),"")</f>
        <v>6723</v>
      </c>
      <c r="L312" t="str">
        <f>IFERROR(VLOOKUP($C312,'[1]2020-2021'!$A:$D,4,FALSE),"")</f>
        <v/>
      </c>
      <c r="M312">
        <f>IFERROR(VLOOKUP($C312,'[1]2021-2022'!$A:$D,4,FALSE),"")</f>
        <v>5108</v>
      </c>
      <c r="N312">
        <f>IFERROR(VLOOKUP($C312,'[1]2022-2023'!$A:$D,4,FALSE),"")</f>
        <v>10988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E313">
        <f>IFERROR(VLOOKUP($C313,'[1]2013-2014'!$A:$D,4,FALSE),"")</f>
        <v>23342</v>
      </c>
      <c r="F313">
        <f>IFERROR(VLOOKUP($C313,'[1]2014-2015'!$A:$D,4,FALSE),"")</f>
        <v>21426</v>
      </c>
      <c r="G313">
        <f>IFERROR(VLOOKUP($C313,'[1]2015-2016'!$A:$D,4,FALSE),"")</f>
        <v>23212</v>
      </c>
      <c r="H313">
        <f>IFERROR(VLOOKUP($C313,'[1]2016-2017'!$A:$D,4,FALSE),"")</f>
        <v>22453</v>
      </c>
      <c r="I313">
        <f>IFERROR(VLOOKUP($C313,'[1]2017-2018'!$A:$D,4,FALSE),"")</f>
        <v>29655</v>
      </c>
      <c r="J313">
        <f>IFERROR(VLOOKUP($C313,'[1]2018-2019'!$A:$D,4,FALSE),"")</f>
        <v>23590</v>
      </c>
      <c r="K313">
        <f>IFERROR(VLOOKUP($C313,'[1]2019-2020'!$A:$D,4,FALSE),"")</f>
        <v>22989</v>
      </c>
      <c r="L313">
        <f>IFERROR(VLOOKUP($C313,'[1]2020-2021'!$A:$D,4,FALSE),"")</f>
        <v>40</v>
      </c>
      <c r="M313">
        <f>IFERROR(VLOOKUP($C313,'[1]2021-2022'!$A:$D,4,FALSE),"")</f>
        <v>10683</v>
      </c>
      <c r="N313">
        <f>IFERROR(VLOOKUP($C313,'[1]2022-2023'!$A:$D,4,FALSE),"")</f>
        <v>19156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E314">
        <f>IFERROR(VLOOKUP($C314,'[1]2013-2014'!$A:$D,4,FALSE),"")</f>
        <v>49346</v>
      </c>
      <c r="F314">
        <f>IFERROR(VLOOKUP($C314,'[1]2014-2015'!$A:$D,4,FALSE),"")</f>
        <v>44160</v>
      </c>
      <c r="G314">
        <f>IFERROR(VLOOKUP($C314,'[1]2015-2016'!$A:$D,4,FALSE),"")</f>
        <v>30252</v>
      </c>
      <c r="H314">
        <f>IFERROR(VLOOKUP($C314,'[1]2016-2017'!$A:$D,4,FALSE),"")</f>
        <v>41666</v>
      </c>
      <c r="I314">
        <f>IFERROR(VLOOKUP($C314,'[1]2017-2018'!$A:$D,4,FALSE),"")</f>
        <v>43728</v>
      </c>
      <c r="J314">
        <f>IFERROR(VLOOKUP($C314,'[1]2018-2019'!$A:$D,4,FALSE),"")</f>
        <v>53399</v>
      </c>
      <c r="K314">
        <f>IFERROR(VLOOKUP($C314,'[1]2019-2020'!$A:$D,4,FALSE),"")</f>
        <v>63208</v>
      </c>
      <c r="L314">
        <f>IFERROR(VLOOKUP($C314,'[1]2020-2021'!$A:$D,4,FALSE),"")</f>
        <v>461</v>
      </c>
      <c r="M314">
        <f>IFERROR(VLOOKUP($C314,'[1]2021-2022'!$A:$D,4,FALSE),"")</f>
        <v>29053</v>
      </c>
      <c r="N314">
        <f>IFERROR(VLOOKUP($C314,'[1]2022-2023'!$A:$D,4,FALSE),"")</f>
        <v>19739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E315">
        <f>IFERROR(VLOOKUP($C315,'[1]2013-2014'!$A:$D,4,FALSE),"")</f>
        <v>45820</v>
      </c>
      <c r="F315">
        <f>IFERROR(VLOOKUP($C315,'[1]2014-2015'!$A:$D,4,FALSE),"")</f>
        <v>47459</v>
      </c>
      <c r="G315">
        <f>IFERROR(VLOOKUP($C315,'[1]2015-2016'!$A:$D,4,FALSE),"")</f>
        <v>58792</v>
      </c>
      <c r="H315">
        <f>IFERROR(VLOOKUP($C315,'[1]2016-2017'!$A:$D,4,FALSE),"")</f>
        <v>65788</v>
      </c>
      <c r="I315">
        <f>IFERROR(VLOOKUP($C315,'[1]2017-2018'!$A:$D,4,FALSE),"")</f>
        <v>55442</v>
      </c>
      <c r="J315">
        <f>IFERROR(VLOOKUP($C315,'[1]2018-2019'!$A:$D,4,FALSE),"")</f>
        <v>55474</v>
      </c>
      <c r="K315">
        <f>IFERROR(VLOOKUP($C315,'[1]2019-2020'!$A:$D,4,FALSE),"")</f>
        <v>50167</v>
      </c>
      <c r="L315">
        <f>IFERROR(VLOOKUP($C315,'[1]2020-2021'!$A:$D,4,FALSE),"")</f>
        <v>925</v>
      </c>
      <c r="M315">
        <f>IFERROR(VLOOKUP($C315,'[1]2021-2022'!$A:$D,4,FALSE),"")</f>
        <v>51094</v>
      </c>
      <c r="N315">
        <f>IFERROR(VLOOKUP($C315,'[1]2022-2023'!$A:$D,4,FALSE),"")</f>
        <v>56671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E316">
        <f>IFERROR(VLOOKUP($C316,'[1]2013-2014'!$A:$D,4,FALSE),"")</f>
        <v>61015</v>
      </c>
      <c r="F316">
        <f>IFERROR(VLOOKUP($C316,'[1]2014-2015'!$A:$D,4,FALSE),"")</f>
        <v>77557</v>
      </c>
      <c r="G316">
        <f>IFERROR(VLOOKUP($C316,'[1]2015-2016'!$A:$D,4,FALSE),"")</f>
        <v>75304</v>
      </c>
      <c r="H316">
        <f>IFERROR(VLOOKUP($C316,'[1]2016-2017'!$A:$D,4,FALSE),"")</f>
        <v>58966</v>
      </c>
      <c r="I316">
        <f>IFERROR(VLOOKUP($C316,'[1]2017-2018'!$A:$D,4,FALSE),"")</f>
        <v>65442</v>
      </c>
      <c r="J316">
        <f>IFERROR(VLOOKUP($C316,'[1]2018-2019'!$A:$D,4,FALSE),"")</f>
        <v>52836</v>
      </c>
      <c r="K316">
        <f>IFERROR(VLOOKUP($C316,'[1]2019-2020'!$A:$D,4,FALSE),"")</f>
        <v>68600</v>
      </c>
      <c r="L316">
        <f>IFERROR(VLOOKUP($C316,'[1]2020-2021'!$A:$D,4,FALSE),"")</f>
        <v>7407</v>
      </c>
      <c r="M316">
        <f>IFERROR(VLOOKUP($C316,'[1]2021-2022'!$A:$D,4,FALSE),"")</f>
        <v>36030</v>
      </c>
      <c r="N316">
        <f>IFERROR(VLOOKUP($C316,'[1]2022-2023'!$A:$D,4,FALSE),"")</f>
        <v>54822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E317">
        <f>IFERROR(VLOOKUP($C317,'[1]2013-2014'!$A:$D,4,FALSE),"")</f>
        <v>262501</v>
      </c>
      <c r="F317">
        <f>IFERROR(VLOOKUP($C317,'[1]2014-2015'!$A:$D,4,FALSE),"")</f>
        <v>211622</v>
      </c>
      <c r="G317">
        <f>IFERROR(VLOOKUP($C317,'[1]2015-2016'!$A:$D,4,FALSE),"")</f>
        <v>196219</v>
      </c>
      <c r="H317">
        <f>IFERROR(VLOOKUP($C317,'[1]2016-2017'!$A:$D,4,FALSE),"")</f>
        <v>192281</v>
      </c>
      <c r="I317">
        <f>IFERROR(VLOOKUP($C317,'[1]2017-2018'!$A:$D,4,FALSE),"")</f>
        <v>181676</v>
      </c>
      <c r="J317">
        <f>IFERROR(VLOOKUP($C317,'[1]2018-2019'!$A:$D,4,FALSE),"")</f>
        <v>146867</v>
      </c>
      <c r="K317">
        <f>IFERROR(VLOOKUP($C317,'[1]2019-2020'!$A:$D,4,FALSE),"")</f>
        <v>156140</v>
      </c>
      <c r="L317">
        <f>IFERROR(VLOOKUP($C317,'[1]2020-2021'!$A:$D,4,FALSE),"")</f>
        <v>280</v>
      </c>
      <c r="M317">
        <f>IFERROR(VLOOKUP($C317,'[1]2021-2022'!$A:$D,4,FALSE),"")</f>
        <v>83581</v>
      </c>
      <c r="N317">
        <f>IFERROR(VLOOKUP($C317,'[1]2022-2023'!$A:$D,4,FALSE),"")</f>
        <v>109131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E318">
        <f>IFERROR(VLOOKUP($C318,'[1]2013-2014'!$A:$D,4,FALSE),"")</f>
        <v>10176</v>
      </c>
      <c r="F318">
        <f>IFERROR(VLOOKUP($C318,'[1]2014-2015'!$A:$D,4,FALSE),"")</f>
        <v>13750</v>
      </c>
      <c r="G318">
        <f>IFERROR(VLOOKUP($C318,'[1]2015-2016'!$A:$D,4,FALSE),"")</f>
        <v>8883</v>
      </c>
      <c r="H318">
        <f>IFERROR(VLOOKUP($C318,'[1]2016-2017'!$A:$D,4,FALSE),"")</f>
        <v>9120</v>
      </c>
      <c r="I318">
        <f>IFERROR(VLOOKUP($C318,'[1]2017-2018'!$A:$D,4,FALSE),"")</f>
        <v>8404</v>
      </c>
      <c r="J318">
        <f>IFERROR(VLOOKUP($C318,'[1]2018-2019'!$A:$D,4,FALSE),"")</f>
        <v>8981</v>
      </c>
      <c r="K318">
        <f>IFERROR(VLOOKUP($C318,'[1]2019-2020'!$A:$D,4,FALSE),"")</f>
        <v>9631</v>
      </c>
      <c r="L318">
        <f>IFERROR(VLOOKUP($C318,'[1]2020-2021'!$A:$D,4,FALSE),"")</f>
        <v>1462</v>
      </c>
      <c r="M318">
        <f>IFERROR(VLOOKUP($C318,'[1]2021-2022'!$A:$D,4,FALSE),"")</f>
        <v>6789</v>
      </c>
      <c r="N318">
        <f>IFERROR(VLOOKUP($C318,'[1]2022-2023'!$A:$D,4,FALSE),"")</f>
        <v>6287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E319">
        <f>IFERROR(VLOOKUP($C319,'[1]2013-2014'!$A:$D,4,FALSE),"")</f>
        <v>26212</v>
      </c>
      <c r="F319">
        <f>IFERROR(VLOOKUP($C319,'[1]2014-2015'!$A:$D,4,FALSE),"")</f>
        <v>28718</v>
      </c>
      <c r="G319">
        <f>IFERROR(VLOOKUP($C319,'[1]2015-2016'!$A:$D,4,FALSE),"")</f>
        <v>43313</v>
      </c>
      <c r="H319">
        <f>IFERROR(VLOOKUP($C319,'[1]2016-2017'!$A:$D,4,FALSE),"")</f>
        <v>41971</v>
      </c>
      <c r="I319">
        <f>IFERROR(VLOOKUP($C319,'[1]2017-2018'!$A:$D,4,FALSE),"")</f>
        <v>35171</v>
      </c>
      <c r="J319">
        <f>IFERROR(VLOOKUP($C319,'[1]2018-2019'!$A:$D,4,FALSE),"")</f>
        <v>26333</v>
      </c>
      <c r="K319">
        <f>IFERROR(VLOOKUP($C319,'[1]2019-2020'!$A:$D,4,FALSE),"")</f>
        <v>28065</v>
      </c>
      <c r="L319">
        <f>IFERROR(VLOOKUP($C319,'[1]2020-2021'!$A:$D,4,FALSE),"")</f>
        <v>7488</v>
      </c>
      <c r="M319">
        <f>IFERROR(VLOOKUP($C319,'[1]2021-2022'!$A:$D,4,FALSE),"")</f>
        <v>19584</v>
      </c>
      <c r="N319">
        <f>IFERROR(VLOOKUP($C319,'[1]2022-2023'!$A:$D,4,FALSE),"")</f>
        <v>20279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E320">
        <f>IFERROR(VLOOKUP($C320,'[1]2013-2014'!$A:$D,4,FALSE),"")</f>
        <v>25802</v>
      </c>
      <c r="F320">
        <f>IFERROR(VLOOKUP($C320,'[1]2014-2015'!$A:$D,4,FALSE),"")</f>
        <v>27485</v>
      </c>
      <c r="G320">
        <f>IFERROR(VLOOKUP($C320,'[1]2015-2016'!$A:$D,4,FALSE),"")</f>
        <v>22491</v>
      </c>
      <c r="H320">
        <f>IFERROR(VLOOKUP($C320,'[1]2016-2017'!$A:$D,4,FALSE),"")</f>
        <v>24637</v>
      </c>
      <c r="I320">
        <f>IFERROR(VLOOKUP($C320,'[1]2017-2018'!$A:$D,4,FALSE),"")</f>
        <v>21050</v>
      </c>
      <c r="J320">
        <f>IFERROR(VLOOKUP($C320,'[1]2018-2019'!$A:$D,4,FALSE),"")</f>
        <v>19373</v>
      </c>
      <c r="K320">
        <f>IFERROR(VLOOKUP($C320,'[1]2019-2020'!$A:$D,4,FALSE),"")</f>
        <v>17170</v>
      </c>
      <c r="L320">
        <f>IFERROR(VLOOKUP($C320,'[1]2020-2021'!$A:$D,4,FALSE),"")</f>
        <v>2689</v>
      </c>
      <c r="M320">
        <f>IFERROR(VLOOKUP($C320,'[1]2021-2022'!$A:$D,4,FALSE),"")</f>
        <v>17905</v>
      </c>
      <c r="N320">
        <f>IFERROR(VLOOKUP($C320,'[1]2022-2023'!$A:$D,4,FALSE),"")</f>
        <v>24548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E321">
        <f>IFERROR(VLOOKUP($C321,'[1]2013-2014'!$A:$D,4,FALSE),"")</f>
        <v>206212</v>
      </c>
      <c r="F321">
        <f>IFERROR(VLOOKUP($C321,'[1]2014-2015'!$A:$D,4,FALSE),"")</f>
        <v>205717</v>
      </c>
      <c r="G321">
        <f>IFERROR(VLOOKUP($C321,'[1]2015-2016'!$A:$D,4,FALSE),"")</f>
        <v>220959</v>
      </c>
      <c r="H321">
        <f>IFERROR(VLOOKUP($C321,'[1]2016-2017'!$A:$D,4,FALSE),"")</f>
        <v>216914</v>
      </c>
      <c r="I321">
        <f>IFERROR(VLOOKUP($C321,'[1]2017-2018'!$A:$D,4,FALSE),"")</f>
        <v>199077</v>
      </c>
      <c r="J321">
        <f>IFERROR(VLOOKUP($C321,'[1]2018-2019'!$A:$D,4,FALSE),"")</f>
        <v>166004</v>
      </c>
      <c r="K321">
        <f>IFERROR(VLOOKUP($C321,'[1]2019-2020'!$A:$D,4,FALSE),"")</f>
        <v>147852</v>
      </c>
      <c r="L321">
        <f>IFERROR(VLOOKUP($C321,'[1]2020-2021'!$A:$D,4,FALSE),"")</f>
        <v>0</v>
      </c>
      <c r="M321">
        <f>IFERROR(VLOOKUP($C321,'[1]2021-2022'!$A:$D,4,FALSE),"")</f>
        <v>122697</v>
      </c>
      <c r="N321">
        <f>IFERROR(VLOOKUP($C321,'[1]2022-2023'!$A:$D,4,FALSE),"")</f>
        <v>114047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E322">
        <f>IFERROR(VLOOKUP($C322,'[1]2013-2014'!$A:$D,4,FALSE),"")</f>
        <v>176928</v>
      </c>
      <c r="F322">
        <f>IFERROR(VLOOKUP($C322,'[1]2014-2015'!$A:$D,4,FALSE),"")</f>
        <v>146525</v>
      </c>
      <c r="G322">
        <f>IFERROR(VLOOKUP($C322,'[1]2015-2016'!$A:$D,4,FALSE),"")</f>
        <v>141989</v>
      </c>
      <c r="H322">
        <f>IFERROR(VLOOKUP($C322,'[1]2016-2017'!$A:$D,4,FALSE),"")</f>
        <v>103082</v>
      </c>
      <c r="I322">
        <f>IFERROR(VLOOKUP($C322,'[1]2017-2018'!$A:$D,4,FALSE),"")</f>
        <v>104159</v>
      </c>
      <c r="J322">
        <f>IFERROR(VLOOKUP($C322,'[1]2018-2019'!$A:$D,4,FALSE),"")</f>
        <v>104709</v>
      </c>
      <c r="K322">
        <f>IFERROR(VLOOKUP($C322,'[1]2019-2020'!$A:$D,4,FALSE),"")</f>
        <v>138737</v>
      </c>
      <c r="L322">
        <f>IFERROR(VLOOKUP($C322,'[1]2020-2021'!$A:$D,4,FALSE),"")</f>
        <v>17988</v>
      </c>
      <c r="M322">
        <f>IFERROR(VLOOKUP($C322,'[1]2021-2022'!$A:$D,4,FALSE),"")</f>
        <v>125945</v>
      </c>
      <c r="N322">
        <f>IFERROR(VLOOKUP($C322,'[1]2022-2023'!$A:$D,4,FALSE),"")</f>
        <v>121658</v>
      </c>
    </row>
    <row r="323" spans="1:14" x14ac:dyDescent="0.2">
      <c r="A323" s="7" t="s">
        <v>236</v>
      </c>
      <c r="B323" s="7" t="s">
        <v>236</v>
      </c>
      <c r="C323">
        <v>230737</v>
      </c>
      <c r="D323">
        <v>39340</v>
      </c>
      <c r="E323">
        <f>IFERROR(VLOOKUP($C323,'[1]2013-2014'!$A:$D,4,FALSE),"")</f>
        <v>33256</v>
      </c>
      <c r="F323">
        <f>IFERROR(VLOOKUP($C323,'[1]2014-2015'!$A:$D,4,FALSE),"")</f>
        <v>27117</v>
      </c>
      <c r="G323">
        <f>IFERROR(VLOOKUP($C323,'[1]2015-2016'!$A:$D,4,FALSE),"")</f>
        <v>33372</v>
      </c>
      <c r="H323">
        <f>IFERROR(VLOOKUP($C323,'[1]2016-2017'!$A:$D,4,FALSE),"")</f>
        <v>38218</v>
      </c>
      <c r="I323">
        <f>IFERROR(VLOOKUP($C323,'[1]2017-2018'!$A:$D,4,FALSE),"")</f>
        <v>58027</v>
      </c>
      <c r="J323">
        <f>IFERROR(VLOOKUP($C323,'[1]2018-2019'!$A:$D,4,FALSE),"")</f>
        <v>43985</v>
      </c>
      <c r="K323">
        <f>IFERROR(VLOOKUP($C323,'[1]2019-2020'!$A:$D,4,FALSE),"")</f>
        <v>31889</v>
      </c>
      <c r="L323">
        <f>IFERROR(VLOOKUP($C323,'[1]2020-2021'!$A:$D,4,FALSE),"")</f>
        <v>1971</v>
      </c>
      <c r="M323">
        <f>IFERROR(VLOOKUP($C323,'[1]2021-2022'!$A:$D,4,FALSE),"")</f>
        <v>30448</v>
      </c>
      <c r="N323">
        <f>IFERROR(VLOOKUP($C323,'[1]2022-2023'!$A:$D,4,FALSE),"")</f>
        <v>37716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E324">
        <f>IFERROR(VLOOKUP($C324,'[1]2013-2014'!$A:$D,4,FALSE),"")</f>
        <v>169851</v>
      </c>
      <c r="F324">
        <f>IFERROR(VLOOKUP($C324,'[1]2014-2015'!$A:$D,4,FALSE),"")</f>
        <v>135322</v>
      </c>
      <c r="G324">
        <f>IFERROR(VLOOKUP($C324,'[1]2015-2016'!$A:$D,4,FALSE),"")</f>
        <v>132941</v>
      </c>
      <c r="H324">
        <f>IFERROR(VLOOKUP($C324,'[1]2016-2017'!$A:$D,4,FALSE),"")</f>
        <v>102403</v>
      </c>
      <c r="I324">
        <f>IFERROR(VLOOKUP($C324,'[1]2017-2018'!$A:$D,4,FALSE),"")</f>
        <v>104637</v>
      </c>
      <c r="J324">
        <f>IFERROR(VLOOKUP($C324,'[1]2018-2019'!$A:$D,4,FALSE),"")</f>
        <v>74831</v>
      </c>
      <c r="K324">
        <f>IFERROR(VLOOKUP($C324,'[1]2019-2020'!$A:$D,4,FALSE),"")</f>
        <v>90282</v>
      </c>
      <c r="L324">
        <f>IFERROR(VLOOKUP($C324,'[1]2020-2021'!$A:$D,4,FALSE),"")</f>
        <v>4419</v>
      </c>
      <c r="M324">
        <f>IFERROR(VLOOKUP($C324,'[1]2021-2022'!$A:$D,4,FALSE),"")</f>
        <v>88125</v>
      </c>
      <c r="N324">
        <f>IFERROR(VLOOKUP($C324,'[1]2022-2023'!$A:$D,4,FALSE),"")</f>
        <v>81941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E325">
        <f>IFERROR(VLOOKUP($C325,'[1]2013-2014'!$A:$D,4,FALSE),"")</f>
        <v>13684</v>
      </c>
      <c r="F325">
        <f>IFERROR(VLOOKUP($C325,'[1]2014-2015'!$A:$D,4,FALSE),"")</f>
        <v>14088</v>
      </c>
      <c r="G325">
        <f>IFERROR(VLOOKUP($C325,'[1]2015-2016'!$A:$D,4,FALSE),"")</f>
        <v>14743</v>
      </c>
      <c r="H325">
        <f>IFERROR(VLOOKUP($C325,'[1]2016-2017'!$A:$D,4,FALSE),"")</f>
        <v>18252</v>
      </c>
      <c r="I325">
        <f>IFERROR(VLOOKUP($C325,'[1]2017-2018'!$A:$D,4,FALSE),"")</f>
        <v>13522</v>
      </c>
      <c r="J325">
        <f>IFERROR(VLOOKUP($C325,'[1]2018-2019'!$A:$D,4,FALSE),"")</f>
        <v>22711</v>
      </c>
      <c r="K325">
        <f>IFERROR(VLOOKUP($C325,'[1]2019-2020'!$A:$D,4,FALSE),"")</f>
        <v>18049</v>
      </c>
      <c r="L325">
        <f>IFERROR(VLOOKUP($C325,'[1]2020-2021'!$A:$D,4,FALSE),"")</f>
        <v>2328</v>
      </c>
      <c r="M325">
        <f>IFERROR(VLOOKUP($C325,'[1]2021-2022'!$A:$D,4,FALSE),"")</f>
        <v>17348</v>
      </c>
      <c r="N325">
        <f>IFERROR(VLOOKUP($C325,'[1]2022-2023'!$A:$D,4,FALSE),"")</f>
        <v>25332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E326">
        <f>IFERROR(VLOOKUP($C326,'[1]2013-2014'!$A:$D,4,FALSE),"")</f>
        <v>14985</v>
      </c>
      <c r="F326">
        <f>IFERROR(VLOOKUP($C326,'[1]2014-2015'!$A:$D,4,FALSE),"")</f>
        <v>15456</v>
      </c>
      <c r="G326">
        <f>IFERROR(VLOOKUP($C326,'[1]2015-2016'!$A:$D,4,FALSE),"")</f>
        <v>15012</v>
      </c>
      <c r="H326">
        <f>IFERROR(VLOOKUP($C326,'[1]2016-2017'!$A:$D,4,FALSE),"")</f>
        <v>14837</v>
      </c>
      <c r="I326">
        <f>IFERROR(VLOOKUP($C326,'[1]2017-2018'!$A:$D,4,FALSE),"")</f>
        <v>18341</v>
      </c>
      <c r="J326">
        <f>IFERROR(VLOOKUP($C326,'[1]2018-2019'!$A:$D,4,FALSE),"")</f>
        <v>19159</v>
      </c>
      <c r="K326">
        <f>IFERROR(VLOOKUP($C326,'[1]2019-2020'!$A:$D,4,FALSE),"")</f>
        <v>16796</v>
      </c>
      <c r="L326">
        <f>IFERROR(VLOOKUP($C326,'[1]2020-2021'!$A:$D,4,FALSE),"")</f>
        <v>5502</v>
      </c>
      <c r="M326">
        <f>IFERROR(VLOOKUP($C326,'[1]2021-2022'!$A:$D,4,FALSE),"")</f>
        <v>15712</v>
      </c>
      <c r="N326">
        <f>IFERROR(VLOOKUP($C326,'[1]2022-2023'!$A:$D,4,FALSE),"")</f>
        <v>18917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E327">
        <f>IFERROR(VLOOKUP($C327,'[1]2013-2014'!$A:$D,4,FALSE),"")</f>
        <v>51002</v>
      </c>
      <c r="F327">
        <f>IFERROR(VLOOKUP($C327,'[1]2014-2015'!$A:$D,4,FALSE),"")</f>
        <v>49063</v>
      </c>
      <c r="G327">
        <f>IFERROR(VLOOKUP($C327,'[1]2015-2016'!$A:$D,4,FALSE),"")</f>
        <v>64309</v>
      </c>
      <c r="H327">
        <f>IFERROR(VLOOKUP($C327,'[1]2016-2017'!$A:$D,4,FALSE),"")</f>
        <v>52468</v>
      </c>
      <c r="I327">
        <f>IFERROR(VLOOKUP($C327,'[1]2017-2018'!$A:$D,4,FALSE),"")</f>
        <v>38111</v>
      </c>
      <c r="J327">
        <f>IFERROR(VLOOKUP($C327,'[1]2018-2019'!$A:$D,4,FALSE),"")</f>
        <v>42321</v>
      </c>
      <c r="K327">
        <f>IFERROR(VLOOKUP($C327,'[1]2019-2020'!$A:$D,4,FALSE),"")</f>
        <v>36360</v>
      </c>
      <c r="L327">
        <f>IFERROR(VLOOKUP($C327,'[1]2020-2021'!$A:$D,4,FALSE),"")</f>
        <v>1109</v>
      </c>
      <c r="M327">
        <f>IFERROR(VLOOKUP($C327,'[1]2021-2022'!$A:$D,4,FALSE),"")</f>
        <v>28133</v>
      </c>
      <c r="N327">
        <f>IFERROR(VLOOKUP($C327,'[1]2022-2023'!$A:$D,4,FALSE),"")</f>
        <v>24373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E328">
        <f>IFERROR(VLOOKUP($C328,'[1]2013-2014'!$A:$D,4,FALSE),"")</f>
        <v>152539</v>
      </c>
      <c r="F328">
        <f>IFERROR(VLOOKUP($C328,'[1]2014-2015'!$A:$D,4,FALSE),"")</f>
        <v>168377</v>
      </c>
      <c r="G328">
        <f>IFERROR(VLOOKUP($C328,'[1]2015-2016'!$A:$D,4,FALSE),"")</f>
        <v>178167</v>
      </c>
      <c r="H328">
        <f>IFERROR(VLOOKUP($C328,'[1]2016-2017'!$A:$D,4,FALSE),"")</f>
        <v>154169</v>
      </c>
      <c r="I328">
        <f>IFERROR(VLOOKUP($C328,'[1]2017-2018'!$A:$D,4,FALSE),"")</f>
        <v>164845</v>
      </c>
      <c r="J328">
        <f>IFERROR(VLOOKUP($C328,'[1]2018-2019'!$A:$D,4,FALSE),"")</f>
        <v>172976</v>
      </c>
      <c r="K328">
        <f>IFERROR(VLOOKUP($C328,'[1]2019-2020'!$A:$D,4,FALSE),"")</f>
        <v>187484</v>
      </c>
      <c r="L328">
        <f>IFERROR(VLOOKUP($C328,'[1]2020-2021'!$A:$D,4,FALSE),"")</f>
        <v>1197</v>
      </c>
      <c r="M328">
        <f>IFERROR(VLOOKUP($C328,'[1]2021-2022'!$A:$D,4,FALSE),"")</f>
        <v>124239</v>
      </c>
      <c r="N328">
        <f>IFERROR(VLOOKUP($C328,'[1]2022-2023'!$A:$D,4,FALSE),"")</f>
        <v>162128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E329">
        <f>IFERROR(VLOOKUP($C329,'[1]2013-2014'!$A:$D,4,FALSE),"")</f>
        <v>116115</v>
      </c>
      <c r="F329">
        <f>IFERROR(VLOOKUP($C329,'[1]2014-2015'!$A:$D,4,FALSE),"")</f>
        <v>114565</v>
      </c>
      <c r="G329">
        <f>IFERROR(VLOOKUP($C329,'[1]2015-2016'!$A:$D,4,FALSE),"")</f>
        <v>129829</v>
      </c>
      <c r="H329">
        <f>IFERROR(VLOOKUP($C329,'[1]2016-2017'!$A:$D,4,FALSE),"")</f>
        <v>122192</v>
      </c>
      <c r="I329">
        <f>IFERROR(VLOOKUP($C329,'[1]2017-2018'!$A:$D,4,FALSE),"")</f>
        <v>137466</v>
      </c>
      <c r="J329">
        <f>IFERROR(VLOOKUP($C329,'[1]2018-2019'!$A:$D,4,FALSE),"")</f>
        <v>129829</v>
      </c>
      <c r="K329">
        <f>IFERROR(VLOOKUP($C329,'[1]2019-2020'!$A:$D,4,FALSE),"")</f>
        <v>137466</v>
      </c>
      <c r="L329">
        <f>IFERROR(VLOOKUP($C329,'[1]2020-2021'!$A:$D,4,FALSE),"")</f>
        <v>3500</v>
      </c>
      <c r="M329">
        <f>IFERROR(VLOOKUP($C329,'[1]2021-2022'!$A:$D,4,FALSE),"")</f>
        <v>109230</v>
      </c>
      <c r="N329">
        <f>IFERROR(VLOOKUP($C329,'[1]2022-2023'!$A:$D,4,FALSE),"")</f>
        <v>131450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E330">
        <f>IFERROR(VLOOKUP($C330,'[1]2013-2014'!$A:$D,4,FALSE),"")</f>
        <v>28546</v>
      </c>
      <c r="F330">
        <f>IFERROR(VLOOKUP($C330,'[1]2014-2015'!$A:$D,4,FALSE),"")</f>
        <v>36909</v>
      </c>
      <c r="G330">
        <f>IFERROR(VLOOKUP($C330,'[1]2015-2016'!$A:$D,4,FALSE),"")</f>
        <v>34030</v>
      </c>
      <c r="H330">
        <f>IFERROR(VLOOKUP($C330,'[1]2016-2017'!$A:$D,4,FALSE),"")</f>
        <v>42116</v>
      </c>
      <c r="I330">
        <f>IFERROR(VLOOKUP($C330,'[1]2017-2018'!$A:$D,4,FALSE),"")</f>
        <v>41012</v>
      </c>
      <c r="J330">
        <f>IFERROR(VLOOKUP($C330,'[1]2018-2019'!$A:$D,4,FALSE),"")</f>
        <v>48480</v>
      </c>
      <c r="K330">
        <f>IFERROR(VLOOKUP($C330,'[1]2019-2020'!$A:$D,4,FALSE),"")</f>
        <v>48501</v>
      </c>
      <c r="L330">
        <f>IFERROR(VLOOKUP($C330,'[1]2020-2021'!$A:$D,4,FALSE),"")</f>
        <v>0</v>
      </c>
      <c r="M330">
        <f>IFERROR(VLOOKUP($C330,'[1]2021-2022'!$A:$D,4,FALSE),"")</f>
        <v>36418</v>
      </c>
      <c r="N330">
        <f>IFERROR(VLOOKUP($C330,'[1]2022-2023'!$A:$D,4,FALSE),"")</f>
        <v>33119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E331">
        <f>IFERROR(VLOOKUP($C331,'[1]2013-2014'!$A:$D,4,FALSE),"")</f>
        <v>143092</v>
      </c>
      <c r="F331">
        <f>IFERROR(VLOOKUP($C331,'[1]2014-2015'!$A:$D,4,FALSE),"")</f>
        <v>154219</v>
      </c>
      <c r="G331">
        <f>IFERROR(VLOOKUP($C331,'[1]2015-2016'!$A:$D,4,FALSE),"")</f>
        <v>129916</v>
      </c>
      <c r="H331">
        <f>IFERROR(VLOOKUP($C331,'[1]2016-2017'!$A:$D,4,FALSE),"")</f>
        <v>146591</v>
      </c>
      <c r="I331">
        <f>IFERROR(VLOOKUP($C331,'[1]2017-2018'!$A:$D,4,FALSE),"")</f>
        <v>153775</v>
      </c>
      <c r="J331">
        <f>IFERROR(VLOOKUP($C331,'[1]2018-2019'!$A:$D,4,FALSE),"")</f>
        <v>135794</v>
      </c>
      <c r="K331">
        <f>IFERROR(VLOOKUP($C331,'[1]2019-2020'!$A:$D,4,FALSE),"")</f>
        <v>169483</v>
      </c>
      <c r="L331">
        <f>IFERROR(VLOOKUP($C331,'[1]2020-2021'!$A:$D,4,FALSE),"")</f>
        <v>0</v>
      </c>
      <c r="M331">
        <f>IFERROR(VLOOKUP($C331,'[1]2021-2022'!$A:$D,4,FALSE),"")</f>
        <v>119608</v>
      </c>
      <c r="N331">
        <f>IFERROR(VLOOKUP($C331,'[1]2022-2023'!$A:$D,4,FALSE),"")</f>
        <v>139034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E332">
        <f>IFERROR(VLOOKUP($C332,'[1]2013-2014'!$A:$D,4,FALSE),"")</f>
        <v>198631</v>
      </c>
      <c r="F332">
        <f>IFERROR(VLOOKUP($C332,'[1]2014-2015'!$A:$D,4,FALSE),"")</f>
        <v>218493</v>
      </c>
      <c r="G332">
        <f>IFERROR(VLOOKUP($C332,'[1]2015-2016'!$A:$D,4,FALSE),"")</f>
        <v>211671</v>
      </c>
      <c r="H332">
        <f>IFERROR(VLOOKUP($C332,'[1]2016-2017'!$A:$D,4,FALSE),"")</f>
        <v>227922</v>
      </c>
      <c r="I332">
        <f>IFERROR(VLOOKUP($C332,'[1]2017-2018'!$A:$D,4,FALSE),"")</f>
        <v>236703</v>
      </c>
      <c r="J332">
        <f>IFERROR(VLOOKUP($C332,'[1]2018-2019'!$A:$D,4,FALSE),"")</f>
        <v>225392</v>
      </c>
      <c r="K332">
        <f>IFERROR(VLOOKUP($C332,'[1]2019-2020'!$A:$D,4,FALSE),"")</f>
        <v>239531</v>
      </c>
      <c r="L332">
        <f>IFERROR(VLOOKUP($C332,'[1]2020-2021'!$A:$D,4,FALSE),"")</f>
        <v>2000</v>
      </c>
      <c r="M332">
        <f>IFERROR(VLOOKUP($C332,'[1]2021-2022'!$A:$D,4,FALSE),"")</f>
        <v>230275</v>
      </c>
      <c r="N332">
        <f>IFERROR(VLOOKUP($C332,'[1]2022-2023'!$A:$D,4,FALSE),"")</f>
        <v>227511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E333">
        <f>IFERROR(VLOOKUP($C333,'[1]2013-2014'!$A:$D,4,FALSE),"")</f>
        <v>86612</v>
      </c>
      <c r="F333">
        <f>IFERROR(VLOOKUP($C333,'[1]2014-2015'!$A:$D,4,FALSE),"")</f>
        <v>103401</v>
      </c>
      <c r="G333">
        <f>IFERROR(VLOOKUP($C333,'[1]2015-2016'!$A:$D,4,FALSE),"")</f>
        <v>126506</v>
      </c>
      <c r="H333">
        <f>IFERROR(VLOOKUP($C333,'[1]2016-2017'!$A:$D,4,FALSE),"")</f>
        <v>127096</v>
      </c>
      <c r="I333">
        <f>IFERROR(VLOOKUP($C333,'[1]2017-2018'!$A:$D,4,FALSE),"")</f>
        <v>138205</v>
      </c>
      <c r="J333">
        <f>IFERROR(VLOOKUP($C333,'[1]2018-2019'!$A:$D,4,FALSE),"")</f>
        <v>131793</v>
      </c>
      <c r="K333">
        <f>IFERROR(VLOOKUP($C333,'[1]2019-2020'!$A:$D,4,FALSE),"")</f>
        <v>159747</v>
      </c>
      <c r="L333">
        <f>IFERROR(VLOOKUP($C333,'[1]2020-2021'!$A:$D,4,FALSE),"")</f>
        <v>3000</v>
      </c>
      <c r="M333">
        <f>IFERROR(VLOOKUP($C333,'[1]2021-2022'!$A:$D,4,FALSE),"")</f>
        <v>114274</v>
      </c>
      <c r="N333">
        <f>IFERROR(VLOOKUP($C333,'[1]2022-2023'!$A:$D,4,FALSE),"")</f>
        <v>143324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E334">
        <f>IFERROR(VLOOKUP($C334,'[1]2013-2014'!$A:$D,4,FALSE),"")</f>
        <v>40071</v>
      </c>
      <c r="F334">
        <f>IFERROR(VLOOKUP($C334,'[1]2014-2015'!$A:$D,4,FALSE),"")</f>
        <v>21002</v>
      </c>
      <c r="G334">
        <f>IFERROR(VLOOKUP($C334,'[1]2015-2016'!$A:$D,4,FALSE),"")</f>
        <v>21044</v>
      </c>
      <c r="H334">
        <f>IFERROR(VLOOKUP($C334,'[1]2016-2017'!$A:$D,4,FALSE),"")</f>
        <v>17382</v>
      </c>
      <c r="I334">
        <f>IFERROR(VLOOKUP($C334,'[1]2017-2018'!$A:$D,4,FALSE),"")</f>
        <v>22407</v>
      </c>
      <c r="J334">
        <f>IFERROR(VLOOKUP($C334,'[1]2018-2019'!$A:$D,4,FALSE),"")</f>
        <v>14233</v>
      </c>
      <c r="K334">
        <f>IFERROR(VLOOKUP($C334,'[1]2019-2020'!$A:$D,4,FALSE),"")</f>
        <v>22234</v>
      </c>
      <c r="L334">
        <f>IFERROR(VLOOKUP($C334,'[1]2020-2021'!$A:$D,4,FALSE),"")</f>
        <v>2068</v>
      </c>
      <c r="M334">
        <f>IFERROR(VLOOKUP($C334,'[1]2021-2022'!$A:$D,4,FALSE),"")</f>
        <v>19622</v>
      </c>
      <c r="N334">
        <f>IFERROR(VLOOKUP($C334,'[1]2022-2023'!$A:$D,4,FALSE),"")</f>
        <v>19718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E335">
        <f>IFERROR(VLOOKUP($C335,'[1]2013-2014'!$A:$D,4,FALSE),"")</f>
        <v>20436</v>
      </c>
      <c r="F335">
        <f>IFERROR(VLOOKUP($C335,'[1]2014-2015'!$A:$D,4,FALSE),"")</f>
        <v>20196</v>
      </c>
      <c r="G335">
        <f>IFERROR(VLOOKUP($C335,'[1]2015-2016'!$A:$D,4,FALSE),"")</f>
        <v>26550</v>
      </c>
      <c r="H335">
        <f>IFERROR(VLOOKUP($C335,'[1]2016-2017'!$A:$D,4,FALSE),"")</f>
        <v>21124</v>
      </c>
      <c r="I335">
        <f>IFERROR(VLOOKUP($C335,'[1]2017-2018'!$A:$D,4,FALSE),"")</f>
        <v>24104</v>
      </c>
      <c r="J335">
        <f>IFERROR(VLOOKUP($C335,'[1]2018-2019'!$A:$D,4,FALSE),"")</f>
        <v>20296</v>
      </c>
      <c r="K335">
        <f>IFERROR(VLOOKUP($C335,'[1]2019-2020'!$A:$D,4,FALSE),"")</f>
        <v>16752</v>
      </c>
      <c r="L335">
        <f>IFERROR(VLOOKUP($C335,'[1]2020-2021'!$A:$D,4,FALSE),"")</f>
        <v>0</v>
      </c>
      <c r="M335">
        <f>IFERROR(VLOOKUP($C335,'[1]2021-2022'!$A:$D,4,FALSE),"")</f>
        <v>19070</v>
      </c>
      <c r="N335">
        <f>IFERROR(VLOOKUP($C335,'[1]2022-2023'!$A:$D,4,FALSE),"")</f>
        <v>9195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E336">
        <f>IFERROR(VLOOKUP($C336,'[1]2013-2014'!$A:$D,4,FALSE),"")</f>
        <v>162005</v>
      </c>
      <c r="F336">
        <f>IFERROR(VLOOKUP($C336,'[1]2014-2015'!$A:$D,4,FALSE),"")</f>
        <v>174336</v>
      </c>
      <c r="G336">
        <f>IFERROR(VLOOKUP($C336,'[1]2015-2016'!$A:$D,4,FALSE),"")</f>
        <v>142807</v>
      </c>
      <c r="H336">
        <f>IFERROR(VLOOKUP($C336,'[1]2016-2017'!$A:$D,4,FALSE),"")</f>
        <v>137560</v>
      </c>
      <c r="I336">
        <f>IFERROR(VLOOKUP($C336,'[1]2017-2018'!$A:$D,4,FALSE),"")</f>
        <v>134807</v>
      </c>
      <c r="J336">
        <f>IFERROR(VLOOKUP($C336,'[1]2018-2019'!$A:$D,4,FALSE),"")</f>
        <v>122014</v>
      </c>
      <c r="K336">
        <f>IFERROR(VLOOKUP($C336,'[1]2019-2020'!$A:$D,4,FALSE),"")</f>
        <v>96653</v>
      </c>
      <c r="L336">
        <f>IFERROR(VLOOKUP($C336,'[1]2020-2021'!$A:$D,4,FALSE),"")</f>
        <v>1915</v>
      </c>
      <c r="M336">
        <f>IFERROR(VLOOKUP($C336,'[1]2021-2022'!$A:$D,4,FALSE),"")</f>
        <v>117936</v>
      </c>
      <c r="N336">
        <f>IFERROR(VLOOKUP($C336,'[1]2022-2023'!$A:$D,4,FALSE),"")</f>
        <v>133300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E337">
        <f>IFERROR(VLOOKUP($C337,'[1]2013-2014'!$A:$D,4,FALSE),"")</f>
        <v>118469</v>
      </c>
      <c r="F337">
        <f>IFERROR(VLOOKUP($C337,'[1]2014-2015'!$A:$D,4,FALSE),"")</f>
        <v>95969</v>
      </c>
      <c r="G337">
        <f>IFERROR(VLOOKUP($C337,'[1]2015-2016'!$A:$D,4,FALSE),"")</f>
        <v>122127</v>
      </c>
      <c r="H337">
        <f>IFERROR(VLOOKUP($C337,'[1]2016-2017'!$A:$D,4,FALSE),"")</f>
        <v>123698</v>
      </c>
      <c r="I337">
        <f>IFERROR(VLOOKUP($C337,'[1]2017-2018'!$A:$D,4,FALSE),"")</f>
        <v>135884</v>
      </c>
      <c r="J337">
        <f>IFERROR(VLOOKUP($C337,'[1]2018-2019'!$A:$D,4,FALSE),"")</f>
        <v>125543</v>
      </c>
      <c r="K337">
        <f>IFERROR(VLOOKUP($C337,'[1]2019-2020'!$A:$D,4,FALSE),"")</f>
        <v>144175</v>
      </c>
      <c r="L337">
        <f>IFERROR(VLOOKUP($C337,'[1]2020-2021'!$A:$D,4,FALSE),"")</f>
        <v>0</v>
      </c>
      <c r="M337">
        <f>IFERROR(VLOOKUP($C337,'[1]2021-2022'!$A:$D,4,FALSE),"")</f>
        <v>111420</v>
      </c>
      <c r="N337">
        <f>IFERROR(VLOOKUP($C337,'[1]2022-2023'!$A:$D,4,FALSE),"")</f>
        <v>125851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E338">
        <f>IFERROR(VLOOKUP($C338,'[1]2013-2014'!$A:$D,4,FALSE),"")</f>
        <v>44804</v>
      </c>
      <c r="F338">
        <f>IFERROR(VLOOKUP($C338,'[1]2014-2015'!$A:$D,4,FALSE),"")</f>
        <v>44662</v>
      </c>
      <c r="G338">
        <f>IFERROR(VLOOKUP($C338,'[1]2015-2016'!$A:$D,4,FALSE),"")</f>
        <v>48562</v>
      </c>
      <c r="H338">
        <f>IFERROR(VLOOKUP($C338,'[1]2016-2017'!$A:$D,4,FALSE),"")</f>
        <v>45937</v>
      </c>
      <c r="I338">
        <f>IFERROR(VLOOKUP($C338,'[1]2017-2018'!$A:$D,4,FALSE),"")</f>
        <v>46177</v>
      </c>
      <c r="J338">
        <f>IFERROR(VLOOKUP($C338,'[1]2018-2019'!$A:$D,4,FALSE),"")</f>
        <v>39403</v>
      </c>
      <c r="K338">
        <f>IFERROR(VLOOKUP($C338,'[1]2019-2020'!$A:$D,4,FALSE),"")</f>
        <v>53811</v>
      </c>
      <c r="L338">
        <f>IFERROR(VLOOKUP($C338,'[1]2020-2021'!$A:$D,4,FALSE),"")</f>
        <v>400</v>
      </c>
      <c r="M338">
        <f>IFERROR(VLOOKUP($C338,'[1]2021-2022'!$A:$D,4,FALSE),"")</f>
        <v>59524</v>
      </c>
      <c r="N338">
        <f>IFERROR(VLOOKUP($C338,'[1]2022-2023'!$A:$D,4,FALSE),"")</f>
        <v>46772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E339">
        <f>IFERROR(VLOOKUP($C339,'[1]2013-2014'!$A:$D,4,FALSE),"")</f>
        <v>109340</v>
      </c>
      <c r="F339">
        <f>IFERROR(VLOOKUP($C339,'[1]2014-2015'!$A:$D,4,FALSE),"")</f>
        <v>95601</v>
      </c>
      <c r="G339">
        <f>IFERROR(VLOOKUP($C339,'[1]2015-2016'!$A:$D,4,FALSE),"")</f>
        <v>94995</v>
      </c>
      <c r="H339">
        <f>IFERROR(VLOOKUP($C339,'[1]2016-2017'!$A:$D,4,FALSE),"")</f>
        <v>89298</v>
      </c>
      <c r="I339">
        <f>IFERROR(VLOOKUP($C339,'[1]2017-2018'!$A:$D,4,FALSE),"")</f>
        <v>101683</v>
      </c>
      <c r="J339">
        <f>IFERROR(VLOOKUP($C339,'[1]2018-2019'!$A:$D,4,FALSE),"")</f>
        <v>101326</v>
      </c>
      <c r="K339">
        <f>IFERROR(VLOOKUP($C339,'[1]2019-2020'!$A:$D,4,FALSE),"")</f>
        <v>61610</v>
      </c>
      <c r="L339">
        <f>IFERROR(VLOOKUP($C339,'[1]2020-2021'!$A:$D,4,FALSE),"")</f>
        <v>4647</v>
      </c>
      <c r="M339">
        <f>IFERROR(VLOOKUP($C339,'[1]2021-2022'!$A:$D,4,FALSE),"")</f>
        <v>67678</v>
      </c>
      <c r="N339">
        <f>IFERROR(VLOOKUP($C339,'[1]2022-2023'!$A:$D,4,FALSE),"")</f>
        <v>61792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E340">
        <f>IFERROR(VLOOKUP($C340,'[1]2013-2014'!$A:$D,4,FALSE),"")</f>
        <v>137206</v>
      </c>
      <c r="F340">
        <f>IFERROR(VLOOKUP($C340,'[1]2014-2015'!$A:$D,4,FALSE),"")</f>
        <v>152837</v>
      </c>
      <c r="G340">
        <f>IFERROR(VLOOKUP($C340,'[1]2015-2016'!$A:$D,4,FALSE),"")</f>
        <v>158750</v>
      </c>
      <c r="H340">
        <f>IFERROR(VLOOKUP($C340,'[1]2016-2017'!$A:$D,4,FALSE),"")</f>
        <v>204742</v>
      </c>
      <c r="I340">
        <f>IFERROR(VLOOKUP($C340,'[1]2017-2018'!$A:$D,4,FALSE),"")</f>
        <v>209164</v>
      </c>
      <c r="J340">
        <f>IFERROR(VLOOKUP($C340,'[1]2018-2019'!$A:$D,4,FALSE),"")</f>
        <v>183695</v>
      </c>
      <c r="K340">
        <f>IFERROR(VLOOKUP($C340,'[1]2019-2020'!$A:$D,4,FALSE),"")</f>
        <v>196776</v>
      </c>
      <c r="L340">
        <f>IFERROR(VLOOKUP($C340,'[1]2020-2021'!$A:$D,4,FALSE),"")</f>
        <v>18464</v>
      </c>
      <c r="M340">
        <f>IFERROR(VLOOKUP($C340,'[1]2021-2022'!$A:$D,4,FALSE),"")</f>
        <v>196098</v>
      </c>
      <c r="N340">
        <f>IFERROR(VLOOKUP($C340,'[1]2022-2023'!$A:$D,4,FALSE),"")</f>
        <v>204064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E341">
        <f>IFERROR(VLOOKUP($C341,'[1]2013-2014'!$A:$D,4,FALSE),"")</f>
        <v>20869</v>
      </c>
      <c r="F341">
        <f>IFERROR(VLOOKUP($C341,'[1]2014-2015'!$A:$D,4,FALSE),"")</f>
        <v>18634</v>
      </c>
      <c r="G341">
        <f>IFERROR(VLOOKUP($C341,'[1]2015-2016'!$A:$D,4,FALSE),"")</f>
        <v>20030</v>
      </c>
      <c r="H341">
        <f>IFERROR(VLOOKUP($C341,'[1]2016-2017'!$A:$D,4,FALSE),"")</f>
        <v>20756</v>
      </c>
      <c r="I341">
        <f>IFERROR(VLOOKUP($C341,'[1]2017-2018'!$A:$D,4,FALSE),"")</f>
        <v>18448</v>
      </c>
      <c r="J341">
        <f>IFERROR(VLOOKUP($C341,'[1]2018-2019'!$A:$D,4,FALSE),"")</f>
        <v>18794</v>
      </c>
      <c r="K341">
        <f>IFERROR(VLOOKUP($C341,'[1]2019-2020'!$A:$D,4,FALSE),"")</f>
        <v>29580</v>
      </c>
      <c r="L341">
        <f>IFERROR(VLOOKUP($C341,'[1]2020-2021'!$A:$D,4,FALSE),"")</f>
        <v>0</v>
      </c>
      <c r="M341">
        <f>IFERROR(VLOOKUP($C341,'[1]2021-2022'!$A:$D,4,FALSE),"")</f>
        <v>21727</v>
      </c>
      <c r="N341">
        <f>IFERROR(VLOOKUP($C341,'[1]2022-2023'!$A:$D,4,FALSE),"")</f>
        <v>25153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E342">
        <f>IFERROR(VLOOKUP($C342,'[1]2013-2014'!$A:$D,4,FALSE),"")</f>
        <v>20679</v>
      </c>
      <c r="F342">
        <f>IFERROR(VLOOKUP($C342,'[1]2014-2015'!$A:$D,4,FALSE),"")</f>
        <v>15240</v>
      </c>
      <c r="G342">
        <f>IFERROR(VLOOKUP($C342,'[1]2015-2016'!$A:$D,4,FALSE),"")</f>
        <v>14139</v>
      </c>
      <c r="H342">
        <f>IFERROR(VLOOKUP($C342,'[1]2016-2017'!$A:$D,4,FALSE),"")</f>
        <v>10111</v>
      </c>
      <c r="I342">
        <f>IFERROR(VLOOKUP($C342,'[1]2017-2018'!$A:$D,4,FALSE),"")</f>
        <v>9640</v>
      </c>
      <c r="J342">
        <f>IFERROR(VLOOKUP($C342,'[1]2018-2019'!$A:$D,4,FALSE),"")</f>
        <v>6061</v>
      </c>
      <c r="K342">
        <f>IFERROR(VLOOKUP($C342,'[1]2019-2020'!$A:$D,4,FALSE),"")</f>
        <v>8034</v>
      </c>
      <c r="L342">
        <f>IFERROR(VLOOKUP($C342,'[1]2020-2021'!$A:$D,4,FALSE),"")</f>
        <v>0</v>
      </c>
      <c r="M342">
        <f>IFERROR(VLOOKUP($C342,'[1]2021-2022'!$A:$D,4,FALSE),"")</f>
        <v>10635</v>
      </c>
      <c r="N342">
        <f>IFERROR(VLOOKUP($C342,'[1]2022-2023'!$A:$D,4,FALSE),"")</f>
        <v>10778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E343">
        <f>IFERROR(VLOOKUP($C343,'[1]2013-2014'!$A:$D,4,FALSE),"")</f>
        <v>80158</v>
      </c>
      <c r="F343">
        <f>IFERROR(VLOOKUP($C343,'[1]2014-2015'!$A:$D,4,FALSE),"")</f>
        <v>73993</v>
      </c>
      <c r="G343">
        <f>IFERROR(VLOOKUP($C343,'[1]2015-2016'!$A:$D,4,FALSE),"")</f>
        <v>58745</v>
      </c>
      <c r="H343">
        <f>IFERROR(VLOOKUP($C343,'[1]2016-2017'!$A:$D,4,FALSE),"")</f>
        <v>54811</v>
      </c>
      <c r="I343">
        <f>IFERROR(VLOOKUP($C343,'[1]2017-2018'!$A:$D,4,FALSE),"")</f>
        <v>93286</v>
      </c>
      <c r="J343">
        <f>IFERROR(VLOOKUP($C343,'[1]2018-2019'!$A:$D,4,FALSE),"")</f>
        <v>81327</v>
      </c>
      <c r="K343">
        <f>IFERROR(VLOOKUP($C343,'[1]2019-2020'!$A:$D,4,FALSE),"")</f>
        <v>71304</v>
      </c>
      <c r="L343">
        <f>IFERROR(VLOOKUP($C343,'[1]2020-2021'!$A:$D,4,FALSE),"")</f>
        <v>14374</v>
      </c>
      <c r="M343">
        <f>IFERROR(VLOOKUP($C343,'[1]2021-2022'!$A:$D,4,FALSE),"")</f>
        <v>69078</v>
      </c>
      <c r="N343">
        <f>IFERROR(VLOOKUP($C343,'[1]2022-2023'!$A:$D,4,FALSE),"")</f>
        <v>56370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E344">
        <f>IFERROR(VLOOKUP($C344,'[1]2013-2014'!$A:$D,4,FALSE),"")</f>
        <v>40119</v>
      </c>
      <c r="F344">
        <f>IFERROR(VLOOKUP($C344,'[1]2014-2015'!$A:$D,4,FALSE),"")</f>
        <v>42285</v>
      </c>
      <c r="G344">
        <f>IFERROR(VLOOKUP($C344,'[1]2015-2016'!$A:$D,4,FALSE),"")</f>
        <v>36544</v>
      </c>
      <c r="H344">
        <f>IFERROR(VLOOKUP($C344,'[1]2016-2017'!$A:$D,4,FALSE),"")</f>
        <v>33705</v>
      </c>
      <c r="I344">
        <f>IFERROR(VLOOKUP($C344,'[1]2017-2018'!$A:$D,4,FALSE),"")</f>
        <v>35608</v>
      </c>
      <c r="J344">
        <f>IFERROR(VLOOKUP($C344,'[1]2018-2019'!$A:$D,4,FALSE),"")</f>
        <v>29208</v>
      </c>
      <c r="K344">
        <f>IFERROR(VLOOKUP($C344,'[1]2019-2020'!$A:$D,4,FALSE),"")</f>
        <v>30950</v>
      </c>
      <c r="L344">
        <f>IFERROR(VLOOKUP($C344,'[1]2020-2021'!$A:$D,4,FALSE),"")</f>
        <v>300</v>
      </c>
      <c r="M344">
        <f>IFERROR(VLOOKUP($C344,'[1]2021-2022'!$A:$D,4,FALSE),"")</f>
        <v>20477</v>
      </c>
      <c r="N344">
        <f>IFERROR(VLOOKUP($C344,'[1]2022-2023'!$A:$D,4,FALSE),"")</f>
        <v>24845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E345">
        <f>IFERROR(VLOOKUP($C345,'[1]2013-2014'!$A:$D,4,FALSE),"")</f>
        <v>182452</v>
      </c>
      <c r="F345">
        <f>IFERROR(VLOOKUP($C345,'[1]2014-2015'!$A:$D,4,FALSE),"")</f>
        <v>162088</v>
      </c>
      <c r="G345">
        <f>IFERROR(VLOOKUP($C345,'[1]2015-2016'!$A:$D,4,FALSE),"")</f>
        <v>162088</v>
      </c>
      <c r="H345">
        <f>IFERROR(VLOOKUP($C345,'[1]2016-2017'!$A:$D,4,FALSE),"")</f>
        <v>182558</v>
      </c>
      <c r="I345">
        <f>IFERROR(VLOOKUP($C345,'[1]2017-2018'!$A:$D,4,FALSE),"")</f>
        <v>172594</v>
      </c>
      <c r="J345">
        <f>IFERROR(VLOOKUP($C345,'[1]2018-2019'!$A:$D,4,FALSE),"")</f>
        <v>142708</v>
      </c>
      <c r="K345">
        <f>IFERROR(VLOOKUP($C345,'[1]2019-2020'!$A:$D,4,FALSE),"")</f>
        <v>195978</v>
      </c>
      <c r="L345">
        <f>IFERROR(VLOOKUP($C345,'[1]2020-2021'!$A:$D,4,FALSE),"")</f>
        <v>19398</v>
      </c>
      <c r="M345">
        <f>IFERROR(VLOOKUP($C345,'[1]2021-2022'!$A:$D,4,FALSE),"")</f>
        <v>148159</v>
      </c>
      <c r="N345">
        <f>IFERROR(VLOOKUP($C345,'[1]2022-2023'!$A:$D,4,FALSE),"")</f>
        <v>114199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E346">
        <f>IFERROR(VLOOKUP($C346,'[1]2013-2014'!$A:$D,4,FALSE),"")</f>
        <v>39747</v>
      </c>
      <c r="F346">
        <f>IFERROR(VLOOKUP($C346,'[1]2014-2015'!$A:$D,4,FALSE),"")</f>
        <v>40787</v>
      </c>
      <c r="G346">
        <f>IFERROR(VLOOKUP($C346,'[1]2015-2016'!$A:$D,4,FALSE),"")</f>
        <v>45943</v>
      </c>
      <c r="H346">
        <f>IFERROR(VLOOKUP($C346,'[1]2016-2017'!$A:$D,4,FALSE),"")</f>
        <v>36717</v>
      </c>
      <c r="I346">
        <f>IFERROR(VLOOKUP($C346,'[1]2017-2018'!$A:$D,4,FALSE),"")</f>
        <v>49109</v>
      </c>
      <c r="J346">
        <f>IFERROR(VLOOKUP($C346,'[1]2018-2019'!$A:$D,4,FALSE),"")</f>
        <v>48584</v>
      </c>
      <c r="K346">
        <f>IFERROR(VLOOKUP($C346,'[1]2019-2020'!$A:$D,4,FALSE),"")</f>
        <v>52121</v>
      </c>
      <c r="L346">
        <f>IFERROR(VLOOKUP($C346,'[1]2020-2021'!$A:$D,4,FALSE),"")</f>
        <v>0</v>
      </c>
      <c r="M346">
        <f>IFERROR(VLOOKUP($C346,'[1]2021-2022'!$A:$D,4,FALSE),"")</f>
        <v>32265</v>
      </c>
      <c r="N346">
        <f>IFERROR(VLOOKUP($C346,'[1]2022-2023'!$A:$D,4,FALSE),"")</f>
        <v>42111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E347">
        <f>IFERROR(VLOOKUP($C347,'[1]2013-2014'!$A:$D,4,FALSE),"")</f>
        <v>23555</v>
      </c>
      <c r="F347">
        <f>IFERROR(VLOOKUP($C347,'[1]2014-2015'!$A:$D,4,FALSE),"")</f>
        <v>17343</v>
      </c>
      <c r="G347">
        <f>IFERROR(VLOOKUP($C347,'[1]2015-2016'!$A:$D,4,FALSE),"")</f>
        <v>21816</v>
      </c>
      <c r="H347">
        <f>IFERROR(VLOOKUP($C347,'[1]2016-2017'!$A:$D,4,FALSE),"")</f>
        <v>33787</v>
      </c>
      <c r="I347">
        <f>IFERROR(VLOOKUP($C347,'[1]2017-2018'!$A:$D,4,FALSE),"")</f>
        <v>26521</v>
      </c>
      <c r="J347">
        <f>IFERROR(VLOOKUP($C347,'[1]2018-2019'!$A:$D,4,FALSE),"")</f>
        <v>27902</v>
      </c>
      <c r="K347">
        <f>IFERROR(VLOOKUP($C347,'[1]2019-2020'!$A:$D,4,FALSE),"")</f>
        <v>42610</v>
      </c>
      <c r="L347">
        <f>IFERROR(VLOOKUP($C347,'[1]2020-2021'!$A:$D,4,FALSE),"")</f>
        <v>2135</v>
      </c>
      <c r="M347">
        <f>IFERROR(VLOOKUP($C347,'[1]2021-2022'!$A:$D,4,FALSE),"")</f>
        <v>19445</v>
      </c>
      <c r="N347">
        <f>IFERROR(VLOOKUP($C347,'[1]2022-2023'!$A:$D,4,FALSE),"")</f>
        <v>15692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E348">
        <f>IFERROR(VLOOKUP($C348,'[1]2013-2014'!$A:$D,4,FALSE),"")</f>
        <v>290773</v>
      </c>
      <c r="F348">
        <f>IFERROR(VLOOKUP($C348,'[1]2014-2015'!$A:$D,4,FALSE),"")</f>
        <v>276464</v>
      </c>
      <c r="G348">
        <f>IFERROR(VLOOKUP($C348,'[1]2015-2016'!$A:$D,4,FALSE),"")</f>
        <v>311166</v>
      </c>
      <c r="H348">
        <f>IFERROR(VLOOKUP($C348,'[1]2016-2017'!$A:$D,4,FALSE),"")</f>
        <v>293870</v>
      </c>
      <c r="I348">
        <f>IFERROR(VLOOKUP($C348,'[1]2017-2018'!$A:$D,4,FALSE),"")</f>
        <v>310901</v>
      </c>
      <c r="J348">
        <f>IFERROR(VLOOKUP($C348,'[1]2018-2019'!$A:$D,4,FALSE),"")</f>
        <v>257546</v>
      </c>
      <c r="K348">
        <f>IFERROR(VLOOKUP($C348,'[1]2019-2020'!$A:$D,4,FALSE),"")</f>
        <v>270587</v>
      </c>
      <c r="L348">
        <f>IFERROR(VLOOKUP($C348,'[1]2020-2021'!$A:$D,4,FALSE),"")</f>
        <v>0</v>
      </c>
      <c r="M348">
        <f>IFERROR(VLOOKUP($C348,'[1]2021-2022'!$A:$D,4,FALSE),"")</f>
        <v>264075</v>
      </c>
      <c r="N348">
        <f>IFERROR(VLOOKUP($C348,'[1]2022-2023'!$A:$D,4,FALSE),"")</f>
        <v>240563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E349">
        <f>IFERROR(VLOOKUP($C349,'[1]2013-2014'!$A:$D,4,FALSE),"")</f>
        <v>16181</v>
      </c>
      <c r="F349">
        <f>IFERROR(VLOOKUP($C349,'[1]2014-2015'!$A:$D,4,FALSE),"")</f>
        <v>27030</v>
      </c>
      <c r="G349">
        <f>IFERROR(VLOOKUP($C349,'[1]2015-2016'!$A:$D,4,FALSE),"")</f>
        <v>21066</v>
      </c>
      <c r="H349">
        <f>IFERROR(VLOOKUP($C349,'[1]2016-2017'!$A:$D,4,FALSE),"")</f>
        <v>20981</v>
      </c>
      <c r="I349">
        <f>IFERROR(VLOOKUP($C349,'[1]2017-2018'!$A:$D,4,FALSE),"")</f>
        <v>34805</v>
      </c>
      <c r="J349">
        <f>IFERROR(VLOOKUP($C349,'[1]2018-2019'!$A:$D,4,FALSE),"")</f>
        <v>37880</v>
      </c>
      <c r="K349">
        <f>IFERROR(VLOOKUP($C349,'[1]2019-2020'!$A:$D,4,FALSE),"")</f>
        <v>29436</v>
      </c>
      <c r="L349">
        <f>IFERROR(VLOOKUP($C349,'[1]2020-2021'!$A:$D,4,FALSE),"")</f>
        <v>427</v>
      </c>
      <c r="M349">
        <f>IFERROR(VLOOKUP($C349,'[1]2021-2022'!$A:$D,4,FALSE),"")</f>
        <v>18741</v>
      </c>
      <c r="N349">
        <f>IFERROR(VLOOKUP($C349,'[1]2022-2023'!$A:$D,4,FALSE),"")</f>
        <v>20284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E350">
        <f>IFERROR(VLOOKUP($C350,'[1]2013-2014'!$A:$D,4,FALSE),"")</f>
        <v>65867</v>
      </c>
      <c r="F350">
        <f>IFERROR(VLOOKUP($C350,'[1]2014-2015'!$A:$D,4,FALSE),"")</f>
        <v>58631</v>
      </c>
      <c r="G350">
        <f>IFERROR(VLOOKUP($C350,'[1]2015-2016'!$A:$D,4,FALSE),"")</f>
        <v>65331</v>
      </c>
      <c r="H350">
        <f>IFERROR(VLOOKUP($C350,'[1]2016-2017'!$A:$D,4,FALSE),"")</f>
        <v>64535</v>
      </c>
      <c r="I350">
        <f>IFERROR(VLOOKUP($C350,'[1]2017-2018'!$A:$D,4,FALSE),"")</f>
        <v>68866</v>
      </c>
      <c r="J350">
        <f>IFERROR(VLOOKUP($C350,'[1]2018-2019'!$A:$D,4,FALSE),"")</f>
        <v>70468</v>
      </c>
      <c r="K350">
        <f>IFERROR(VLOOKUP($C350,'[1]2019-2020'!$A:$D,4,FALSE),"")</f>
        <v>66465</v>
      </c>
      <c r="L350">
        <f>IFERROR(VLOOKUP($C350,'[1]2020-2021'!$A:$D,4,FALSE),"")</f>
        <v>50</v>
      </c>
      <c r="M350">
        <f>IFERROR(VLOOKUP($C350,'[1]2021-2022'!$A:$D,4,FALSE),"")</f>
        <v>49648</v>
      </c>
      <c r="N350">
        <f>IFERROR(VLOOKUP($C350,'[1]2022-2023'!$A:$D,4,FALSE),"")</f>
        <v>55294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E351">
        <f>IFERROR(VLOOKUP($C351,'[1]2013-2014'!$A:$D,4,FALSE),"")</f>
        <v>92716</v>
      </c>
      <c r="F351">
        <f>IFERROR(VLOOKUP($C351,'[1]2014-2015'!$A:$D,4,FALSE),"")</f>
        <v>119897</v>
      </c>
      <c r="G351">
        <f>IFERROR(VLOOKUP($C351,'[1]2015-2016'!$A:$D,4,FALSE),"")</f>
        <v>82218</v>
      </c>
      <c r="H351">
        <f>IFERROR(VLOOKUP($C351,'[1]2016-2017'!$A:$D,4,FALSE),"")</f>
        <v>100581</v>
      </c>
      <c r="I351">
        <f>IFERROR(VLOOKUP($C351,'[1]2017-2018'!$A:$D,4,FALSE),"")</f>
        <v>80159</v>
      </c>
      <c r="J351">
        <f>IFERROR(VLOOKUP($C351,'[1]2018-2019'!$A:$D,4,FALSE),"")</f>
        <v>63383</v>
      </c>
      <c r="K351">
        <f>IFERROR(VLOOKUP($C351,'[1]2019-2020'!$A:$D,4,FALSE),"")</f>
        <v>53792</v>
      </c>
      <c r="L351">
        <f>IFERROR(VLOOKUP($C351,'[1]2020-2021'!$A:$D,4,FALSE),"")</f>
        <v>9073</v>
      </c>
      <c r="M351">
        <f>IFERROR(VLOOKUP($C351,'[1]2021-2022'!$A:$D,4,FALSE),"")</f>
        <v>78990</v>
      </c>
      <c r="N351">
        <f>IFERROR(VLOOKUP($C351,'[1]2022-2023'!$A:$D,4,FALSE),"")</f>
        <v>63106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E352">
        <f>IFERROR(VLOOKUP($C352,'[1]2013-2014'!$A:$D,4,FALSE),"")</f>
        <v>168127</v>
      </c>
      <c r="F352">
        <f>IFERROR(VLOOKUP($C352,'[1]2014-2015'!$A:$D,4,FALSE),"")</f>
        <v>159974</v>
      </c>
      <c r="G352">
        <f>IFERROR(VLOOKUP($C352,'[1]2015-2016'!$A:$D,4,FALSE),"")</f>
        <v>164501</v>
      </c>
      <c r="H352">
        <f>IFERROR(VLOOKUP($C352,'[1]2016-2017'!$A:$D,4,FALSE),"")</f>
        <v>164520</v>
      </c>
      <c r="I352">
        <f>IFERROR(VLOOKUP($C352,'[1]2017-2018'!$A:$D,4,FALSE),"")</f>
        <v>188554</v>
      </c>
      <c r="J352">
        <f>IFERROR(VLOOKUP($C352,'[1]2018-2019'!$A:$D,4,FALSE),"")</f>
        <v>180611</v>
      </c>
      <c r="K352">
        <f>IFERROR(VLOOKUP($C352,'[1]2019-2020'!$A:$D,4,FALSE),"")</f>
        <v>175281</v>
      </c>
      <c r="L352">
        <f>IFERROR(VLOOKUP($C352,'[1]2020-2021'!$A:$D,4,FALSE),"")</f>
        <v>5766</v>
      </c>
      <c r="M352">
        <f>IFERROR(VLOOKUP($C352,'[1]2021-2022'!$A:$D,4,FALSE),"")</f>
        <v>189793</v>
      </c>
      <c r="N352">
        <f>IFERROR(VLOOKUP($C352,'[1]2022-2023'!$A:$D,4,FALSE),"")</f>
        <v>174869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E353">
        <f>IFERROR(VLOOKUP($C353,'[1]2013-2014'!$A:$D,4,FALSE),"")</f>
        <v>13302</v>
      </c>
      <c r="F353">
        <f>IFERROR(VLOOKUP($C353,'[1]2014-2015'!$A:$D,4,FALSE),"")</f>
        <v>16458</v>
      </c>
      <c r="G353">
        <f>IFERROR(VLOOKUP($C353,'[1]2015-2016'!$A:$D,4,FALSE),"")</f>
        <v>18280</v>
      </c>
      <c r="H353">
        <f>IFERROR(VLOOKUP($C353,'[1]2016-2017'!$A:$D,4,FALSE),"")</f>
        <v>17622</v>
      </c>
      <c r="I353">
        <f>IFERROR(VLOOKUP($C353,'[1]2017-2018'!$A:$D,4,FALSE),"")</f>
        <v>15675</v>
      </c>
      <c r="J353">
        <f>IFERROR(VLOOKUP($C353,'[1]2018-2019'!$A:$D,4,FALSE),"")</f>
        <v>22359</v>
      </c>
      <c r="K353">
        <f>IFERROR(VLOOKUP($C353,'[1]2019-2020'!$A:$D,4,FALSE),"")</f>
        <v>16073</v>
      </c>
      <c r="L353" t="str">
        <f>IFERROR(VLOOKUP($C353,'[1]2020-2021'!$A:$D,4,FALSE),"")</f>
        <v/>
      </c>
      <c r="M353">
        <f>IFERROR(VLOOKUP($C353,'[1]2021-2022'!$A:$D,4,FALSE),"")</f>
        <v>10744</v>
      </c>
      <c r="N353">
        <f>IFERROR(VLOOKUP($C353,'[1]2022-2023'!$A:$D,4,FALSE),"")</f>
        <v>14016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E354">
        <f>IFERROR(VLOOKUP($C354,'[1]2013-2014'!$A:$D,4,FALSE),"")</f>
        <v>34894</v>
      </c>
      <c r="F354">
        <f>IFERROR(VLOOKUP($C354,'[1]2014-2015'!$A:$D,4,FALSE),"")</f>
        <v>30587</v>
      </c>
      <c r="G354">
        <f>IFERROR(VLOOKUP($C354,'[1]2015-2016'!$A:$D,4,FALSE),"")</f>
        <v>28195</v>
      </c>
      <c r="H354">
        <f>IFERROR(VLOOKUP($C354,'[1]2016-2017'!$A:$D,4,FALSE),"")</f>
        <v>34852</v>
      </c>
      <c r="I354">
        <f>IFERROR(VLOOKUP($C354,'[1]2017-2018'!$A:$D,4,FALSE),"")</f>
        <v>34539</v>
      </c>
      <c r="J354">
        <f>IFERROR(VLOOKUP($C354,'[1]2018-2019'!$A:$D,4,FALSE),"")</f>
        <v>32043</v>
      </c>
      <c r="K354">
        <f>IFERROR(VLOOKUP($C354,'[1]2019-2020'!$A:$D,4,FALSE),"")</f>
        <v>41246</v>
      </c>
      <c r="L354">
        <f>IFERROR(VLOOKUP($C354,'[1]2020-2021'!$A:$D,4,FALSE),"")</f>
        <v>1200</v>
      </c>
      <c r="M354">
        <f>IFERROR(VLOOKUP($C354,'[1]2021-2022'!$A:$D,4,FALSE),"")</f>
        <v>33046</v>
      </c>
      <c r="N354">
        <f>IFERROR(VLOOKUP($C354,'[1]2022-2023'!$A:$D,4,FALSE),"")</f>
        <v>51909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E72E-FF92-410D-9104-3789540BC163}">
  <sheetPr>
    <tabColor theme="4"/>
  </sheetPr>
  <dimension ref="A1:O354"/>
  <sheetViews>
    <sheetView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F3">
        <v>39004</v>
      </c>
      <c r="G3">
        <v>25686</v>
      </c>
      <c r="H3">
        <v>31709</v>
      </c>
      <c r="I3">
        <v>52204</v>
      </c>
      <c r="J3">
        <v>44953</v>
      </c>
      <c r="K3">
        <v>47291</v>
      </c>
      <c r="L3">
        <v>4787</v>
      </c>
      <c r="M3">
        <v>44492</v>
      </c>
      <c r="N3">
        <v>37089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F4">
        <v>168967</v>
      </c>
      <c r="G4">
        <v>156158</v>
      </c>
      <c r="H4">
        <v>177519</v>
      </c>
      <c r="I4">
        <v>174924</v>
      </c>
      <c r="J4">
        <v>166205</v>
      </c>
      <c r="K4">
        <v>162505</v>
      </c>
      <c r="L4">
        <v>5600</v>
      </c>
      <c r="M4">
        <v>136984</v>
      </c>
      <c r="N4">
        <v>188482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F5">
        <v>55019</v>
      </c>
      <c r="G5">
        <v>108588</v>
      </c>
      <c r="H5">
        <v>62021</v>
      </c>
      <c r="I5">
        <v>117416</v>
      </c>
      <c r="J5">
        <v>92575</v>
      </c>
      <c r="K5">
        <v>107752</v>
      </c>
      <c r="L5">
        <v>490</v>
      </c>
      <c r="M5">
        <v>61165</v>
      </c>
      <c r="N5">
        <v>55997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F6">
        <v>710736</v>
      </c>
      <c r="G6">
        <v>707786</v>
      </c>
      <c r="H6">
        <v>712747</v>
      </c>
      <c r="I6">
        <v>712053</v>
      </c>
      <c r="J6">
        <v>710931</v>
      </c>
      <c r="K6">
        <v>707817</v>
      </c>
      <c r="L6">
        <v>97120</v>
      </c>
      <c r="M6">
        <v>691038</v>
      </c>
      <c r="N6">
        <v>692870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F7">
        <v>33940</v>
      </c>
      <c r="G7">
        <v>27371</v>
      </c>
      <c r="H7">
        <v>29135</v>
      </c>
      <c r="I7">
        <v>30854</v>
      </c>
      <c r="J7">
        <v>50086</v>
      </c>
      <c r="K7">
        <v>32527</v>
      </c>
      <c r="L7">
        <v>0</v>
      </c>
      <c r="M7">
        <v>51206</v>
      </c>
      <c r="N7">
        <v>32447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F8">
        <v>76182</v>
      </c>
      <c r="G8">
        <v>51449</v>
      </c>
      <c r="H8">
        <v>38674</v>
      </c>
      <c r="I8">
        <v>87689</v>
      </c>
      <c r="J8">
        <v>64293</v>
      </c>
      <c r="K8">
        <v>88997</v>
      </c>
      <c r="L8">
        <v>28294</v>
      </c>
      <c r="M8">
        <v>54404</v>
      </c>
      <c r="N8">
        <v>104347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F9">
        <v>85873</v>
      </c>
      <c r="G9">
        <v>61716</v>
      </c>
      <c r="H9">
        <v>71716</v>
      </c>
      <c r="I9">
        <v>83078</v>
      </c>
      <c r="J9">
        <v>91103</v>
      </c>
      <c r="K9">
        <v>92373</v>
      </c>
      <c r="L9">
        <v>0</v>
      </c>
      <c r="M9">
        <v>14500</v>
      </c>
      <c r="N9">
        <v>82634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F11">
        <v>138995</v>
      </c>
      <c r="G11">
        <v>128755</v>
      </c>
      <c r="H11">
        <v>156916</v>
      </c>
      <c r="I11">
        <v>154722</v>
      </c>
      <c r="J11">
        <v>131716</v>
      </c>
      <c r="K11">
        <v>166640</v>
      </c>
      <c r="L11">
        <v>8610</v>
      </c>
      <c r="M11">
        <v>213088</v>
      </c>
      <c r="N11">
        <v>234965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F12">
        <v>354973</v>
      </c>
      <c r="G12">
        <v>308355</v>
      </c>
      <c r="H12">
        <v>338017</v>
      </c>
      <c r="I12">
        <v>255791</v>
      </c>
      <c r="J12">
        <v>318051</v>
      </c>
      <c r="K12">
        <v>237194</v>
      </c>
      <c r="L12">
        <v>0</v>
      </c>
      <c r="M12">
        <v>209401</v>
      </c>
      <c r="N12">
        <v>309465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F13">
        <v>343073</v>
      </c>
      <c r="G13">
        <v>368985</v>
      </c>
      <c r="H13">
        <v>286417</v>
      </c>
      <c r="I13">
        <v>359660</v>
      </c>
      <c r="J13">
        <v>291091</v>
      </c>
      <c r="K13">
        <v>344161</v>
      </c>
      <c r="L13">
        <v>0</v>
      </c>
      <c r="M13">
        <v>330736</v>
      </c>
      <c r="N13">
        <v>258488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F14">
        <v>30036</v>
      </c>
      <c r="G14">
        <v>32865</v>
      </c>
      <c r="H14">
        <v>19538</v>
      </c>
      <c r="I14">
        <v>25855</v>
      </c>
      <c r="J14">
        <v>28435</v>
      </c>
      <c r="K14">
        <v>43143</v>
      </c>
      <c r="L14">
        <v>3000</v>
      </c>
      <c r="M14">
        <v>37834</v>
      </c>
      <c r="N14">
        <v>33044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F15">
        <v>399124</v>
      </c>
      <c r="G15">
        <v>471279</v>
      </c>
      <c r="H15">
        <v>487067</v>
      </c>
      <c r="I15">
        <v>442569</v>
      </c>
      <c r="J15">
        <v>367748</v>
      </c>
      <c r="K15">
        <v>356517</v>
      </c>
      <c r="L15">
        <v>82500</v>
      </c>
      <c r="M15">
        <v>456991</v>
      </c>
      <c r="N15">
        <v>512087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F16">
        <v>149163</v>
      </c>
      <c r="G16">
        <v>138043</v>
      </c>
      <c r="H16">
        <v>136200</v>
      </c>
      <c r="I16">
        <v>119538</v>
      </c>
      <c r="J16">
        <v>119001</v>
      </c>
      <c r="K16">
        <v>124017</v>
      </c>
      <c r="L16">
        <v>24095</v>
      </c>
      <c r="M16">
        <v>67265</v>
      </c>
      <c r="N16">
        <v>91592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F17">
        <v>171310</v>
      </c>
      <c r="G17">
        <v>185946</v>
      </c>
      <c r="H17">
        <v>163267</v>
      </c>
      <c r="I17">
        <v>185543</v>
      </c>
      <c r="J17">
        <v>190156</v>
      </c>
      <c r="K17">
        <v>185935</v>
      </c>
      <c r="L17">
        <v>45548</v>
      </c>
      <c r="M17">
        <v>163580</v>
      </c>
      <c r="N17">
        <v>171882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F18">
        <v>612157</v>
      </c>
      <c r="G18">
        <v>612157</v>
      </c>
      <c r="H18">
        <v>695498</v>
      </c>
      <c r="I18">
        <v>605120</v>
      </c>
      <c r="J18">
        <v>591236</v>
      </c>
      <c r="K18">
        <v>600355</v>
      </c>
      <c r="L18">
        <v>87450</v>
      </c>
      <c r="M18">
        <v>603020</v>
      </c>
      <c r="N18">
        <v>681621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F19">
        <v>24206</v>
      </c>
      <c r="G19">
        <v>23386</v>
      </c>
      <c r="H19">
        <v>30587</v>
      </c>
      <c r="I19">
        <v>41708</v>
      </c>
      <c r="J19">
        <v>37810</v>
      </c>
      <c r="K19">
        <v>47461</v>
      </c>
      <c r="L19">
        <v>4204</v>
      </c>
      <c r="M19">
        <v>28086</v>
      </c>
      <c r="N19">
        <v>32847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F20">
        <v>56332</v>
      </c>
      <c r="G20">
        <v>47841</v>
      </c>
      <c r="H20">
        <v>38946</v>
      </c>
      <c r="I20">
        <v>59395</v>
      </c>
      <c r="J20">
        <v>61725</v>
      </c>
      <c r="K20">
        <v>59545</v>
      </c>
      <c r="L20">
        <v>2865</v>
      </c>
      <c r="M20">
        <v>69181</v>
      </c>
      <c r="N20">
        <v>69824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F21">
        <v>280257</v>
      </c>
      <c r="G21">
        <v>276960</v>
      </c>
      <c r="H21">
        <v>275029</v>
      </c>
      <c r="I21">
        <v>262978</v>
      </c>
      <c r="J21">
        <v>248017</v>
      </c>
      <c r="K21">
        <v>318621</v>
      </c>
      <c r="L21">
        <v>46668</v>
      </c>
      <c r="M21">
        <v>313102</v>
      </c>
      <c r="N21">
        <v>272779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F23">
        <v>38207</v>
      </c>
      <c r="G23">
        <v>35802</v>
      </c>
      <c r="H23">
        <v>25138</v>
      </c>
      <c r="I23">
        <v>29348</v>
      </c>
      <c r="J23">
        <v>24310</v>
      </c>
      <c r="K23">
        <v>19981</v>
      </c>
      <c r="L23">
        <v>0</v>
      </c>
      <c r="M23">
        <v>21291</v>
      </c>
      <c r="N23">
        <v>20143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F25">
        <v>227526</v>
      </c>
      <c r="G25">
        <v>201669</v>
      </c>
      <c r="H25">
        <v>205640</v>
      </c>
      <c r="I25">
        <v>217881</v>
      </c>
      <c r="J25">
        <v>231474</v>
      </c>
      <c r="K25">
        <v>224490</v>
      </c>
      <c r="L25">
        <v>2200</v>
      </c>
      <c r="M25">
        <v>208088</v>
      </c>
      <c r="N25">
        <v>234764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F26">
        <v>239893</v>
      </c>
      <c r="G26">
        <v>211433</v>
      </c>
      <c r="H26">
        <v>192942</v>
      </c>
      <c r="I26">
        <v>215546</v>
      </c>
      <c r="J26">
        <v>263363</v>
      </c>
      <c r="K26">
        <v>205111</v>
      </c>
      <c r="L26">
        <v>0</v>
      </c>
      <c r="M26">
        <v>208694</v>
      </c>
      <c r="N26">
        <v>214233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F28">
        <v>91365</v>
      </c>
      <c r="G28">
        <v>98042</v>
      </c>
      <c r="H28">
        <v>90838</v>
      </c>
      <c r="I28">
        <v>79405</v>
      </c>
      <c r="J28">
        <v>90264</v>
      </c>
      <c r="K28">
        <v>91768</v>
      </c>
      <c r="L28">
        <v>3000</v>
      </c>
      <c r="M28">
        <v>91562</v>
      </c>
      <c r="N28">
        <v>69981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F30">
        <v>28780</v>
      </c>
      <c r="G30">
        <v>24111</v>
      </c>
      <c r="H30">
        <v>22095</v>
      </c>
      <c r="I30">
        <v>11997</v>
      </c>
      <c r="J30">
        <v>20563</v>
      </c>
      <c r="K30">
        <v>18946</v>
      </c>
      <c r="L30">
        <v>0</v>
      </c>
      <c r="M30">
        <v>18761</v>
      </c>
      <c r="N30">
        <v>22113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F31">
        <v>15558</v>
      </c>
      <c r="G31">
        <v>21970</v>
      </c>
      <c r="H31">
        <v>19136</v>
      </c>
      <c r="I31">
        <v>19152</v>
      </c>
      <c r="J31">
        <v>17831</v>
      </c>
      <c r="K31">
        <v>12916</v>
      </c>
      <c r="L31">
        <v>93</v>
      </c>
      <c r="M31">
        <v>11531</v>
      </c>
      <c r="N31">
        <v>14744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F32">
        <v>17650</v>
      </c>
      <c r="G32">
        <v>16278</v>
      </c>
      <c r="H32">
        <v>16618</v>
      </c>
      <c r="I32">
        <v>17318</v>
      </c>
      <c r="J32">
        <v>13144</v>
      </c>
      <c r="K32">
        <v>13751</v>
      </c>
      <c r="L32">
        <v>2622</v>
      </c>
      <c r="M32">
        <v>12074</v>
      </c>
      <c r="N32">
        <v>6616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F33">
        <v>122418</v>
      </c>
      <c r="G33">
        <v>110743</v>
      </c>
      <c r="H33">
        <v>104957</v>
      </c>
      <c r="I33">
        <v>80102</v>
      </c>
      <c r="J33">
        <v>110280</v>
      </c>
      <c r="K33">
        <v>98504</v>
      </c>
      <c r="L33">
        <v>0</v>
      </c>
      <c r="M33">
        <v>90773</v>
      </c>
      <c r="N33">
        <v>74287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F34">
        <v>13156</v>
      </c>
      <c r="G34">
        <v>19096</v>
      </c>
      <c r="H34">
        <v>20532</v>
      </c>
      <c r="I34">
        <v>16176</v>
      </c>
      <c r="J34">
        <v>14997</v>
      </c>
      <c r="K34">
        <v>19593</v>
      </c>
      <c r="L34">
        <v>2955</v>
      </c>
      <c r="M34">
        <v>16758</v>
      </c>
      <c r="N34">
        <v>17499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F35">
        <v>342843</v>
      </c>
      <c r="G35">
        <v>351191</v>
      </c>
      <c r="H35">
        <v>351413</v>
      </c>
      <c r="I35">
        <v>337599</v>
      </c>
      <c r="J35">
        <v>314855</v>
      </c>
      <c r="K35">
        <v>357281</v>
      </c>
      <c r="L35">
        <v>15448</v>
      </c>
      <c r="M35">
        <v>369882</v>
      </c>
      <c r="N35">
        <v>358043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F36">
        <v>44725</v>
      </c>
      <c r="G36">
        <v>41962</v>
      </c>
      <c r="H36">
        <v>45423</v>
      </c>
      <c r="I36">
        <v>37600</v>
      </c>
      <c r="J36">
        <v>39175</v>
      </c>
      <c r="K36">
        <v>32815</v>
      </c>
      <c r="L36">
        <v>0</v>
      </c>
      <c r="M36">
        <v>39759</v>
      </c>
      <c r="N36">
        <v>33860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F38">
        <v>286051</v>
      </c>
      <c r="G38">
        <v>292797</v>
      </c>
      <c r="H38">
        <v>279769</v>
      </c>
      <c r="I38">
        <v>219290</v>
      </c>
      <c r="J38">
        <v>300061</v>
      </c>
      <c r="K38">
        <v>254597</v>
      </c>
      <c r="L38">
        <v>0</v>
      </c>
      <c r="M38">
        <v>224297</v>
      </c>
      <c r="N38">
        <v>270172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F40">
        <v>29567</v>
      </c>
      <c r="G40">
        <v>29497</v>
      </c>
      <c r="H40">
        <v>33138</v>
      </c>
      <c r="I40">
        <v>33276</v>
      </c>
      <c r="J40">
        <v>35405</v>
      </c>
      <c r="K40">
        <v>32403</v>
      </c>
      <c r="L40">
        <v>0</v>
      </c>
      <c r="M40">
        <v>25821</v>
      </c>
      <c r="N40">
        <v>22466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F42">
        <v>51818</v>
      </c>
      <c r="G42">
        <v>37113</v>
      </c>
      <c r="H42">
        <v>46998</v>
      </c>
      <c r="I42">
        <v>51302</v>
      </c>
      <c r="J42">
        <v>38416</v>
      </c>
      <c r="K42">
        <v>47652</v>
      </c>
      <c r="L42">
        <v>6954</v>
      </c>
      <c r="M42">
        <v>37801</v>
      </c>
      <c r="N42">
        <v>36531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F43">
        <v>18470</v>
      </c>
      <c r="G43">
        <v>20564</v>
      </c>
      <c r="H43">
        <v>14726</v>
      </c>
      <c r="I43">
        <v>19562</v>
      </c>
      <c r="J43">
        <v>18490</v>
      </c>
      <c r="K43">
        <v>18974</v>
      </c>
      <c r="L43">
        <v>0</v>
      </c>
      <c r="M43">
        <v>17557</v>
      </c>
      <c r="N43">
        <v>11380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F44">
        <v>97838</v>
      </c>
      <c r="G44">
        <v>94029</v>
      </c>
      <c r="H44">
        <v>104447</v>
      </c>
      <c r="I44">
        <v>67520</v>
      </c>
      <c r="J44">
        <v>77038</v>
      </c>
      <c r="K44">
        <v>81386</v>
      </c>
      <c r="L44">
        <v>757</v>
      </c>
      <c r="M44">
        <v>86775</v>
      </c>
      <c r="N44">
        <v>94940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F45">
        <v>25975</v>
      </c>
      <c r="G45">
        <v>26921</v>
      </c>
      <c r="H45">
        <v>13560</v>
      </c>
      <c r="I45">
        <v>11727</v>
      </c>
      <c r="J45">
        <v>8820</v>
      </c>
      <c r="K45">
        <v>17762</v>
      </c>
      <c r="L45">
        <v>1750</v>
      </c>
      <c r="M45">
        <v>12407</v>
      </c>
      <c r="N45">
        <v>14782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F46">
        <v>79632</v>
      </c>
      <c r="G46">
        <v>87705</v>
      </c>
      <c r="H46">
        <v>85154</v>
      </c>
      <c r="I46">
        <v>71420</v>
      </c>
      <c r="J46">
        <v>70263</v>
      </c>
      <c r="K46">
        <v>73915</v>
      </c>
      <c r="L46">
        <v>1756</v>
      </c>
      <c r="M46">
        <v>79753</v>
      </c>
      <c r="N46">
        <v>65439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F47">
        <v>60879</v>
      </c>
      <c r="G47">
        <v>60910</v>
      </c>
      <c r="H47">
        <v>62204</v>
      </c>
      <c r="I47">
        <v>45848</v>
      </c>
      <c r="J47">
        <v>43761</v>
      </c>
      <c r="K47">
        <v>46603</v>
      </c>
      <c r="L47">
        <v>3144</v>
      </c>
      <c r="M47">
        <v>37410</v>
      </c>
      <c r="N47">
        <v>39881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F49">
        <v>173037</v>
      </c>
      <c r="G49">
        <v>222578</v>
      </c>
      <c r="H49">
        <v>235095</v>
      </c>
      <c r="I49">
        <v>170603</v>
      </c>
      <c r="J49">
        <v>183112</v>
      </c>
      <c r="K49">
        <v>215908</v>
      </c>
      <c r="L49">
        <v>5831</v>
      </c>
      <c r="M49">
        <v>261366</v>
      </c>
      <c r="N49">
        <v>230704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F50">
        <v>572262</v>
      </c>
      <c r="G50">
        <v>588266</v>
      </c>
      <c r="H50">
        <v>566787</v>
      </c>
      <c r="I50">
        <v>565412</v>
      </c>
      <c r="J50">
        <v>562799</v>
      </c>
      <c r="K50">
        <v>566074</v>
      </c>
      <c r="L50">
        <v>112367</v>
      </c>
      <c r="M50">
        <v>476935</v>
      </c>
      <c r="N50">
        <v>564860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F52">
        <v>52376</v>
      </c>
      <c r="G52">
        <v>61729</v>
      </c>
      <c r="H52">
        <v>67137</v>
      </c>
      <c r="I52">
        <v>89754</v>
      </c>
      <c r="J52">
        <v>53173</v>
      </c>
      <c r="K52">
        <v>90112</v>
      </c>
      <c r="L52">
        <v>30000</v>
      </c>
      <c r="M52">
        <v>106687</v>
      </c>
      <c r="N52">
        <v>120178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F54">
        <v>24220</v>
      </c>
      <c r="G54">
        <v>25008</v>
      </c>
      <c r="H54">
        <v>24318</v>
      </c>
      <c r="I54">
        <v>23939</v>
      </c>
      <c r="J54">
        <v>24414</v>
      </c>
      <c r="K54">
        <v>17755</v>
      </c>
      <c r="L54">
        <v>0</v>
      </c>
      <c r="M54">
        <v>10210</v>
      </c>
      <c r="N54">
        <v>12817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F55">
        <v>226670</v>
      </c>
      <c r="G55">
        <v>236331</v>
      </c>
      <c r="H55">
        <v>279652</v>
      </c>
      <c r="I55">
        <v>282335</v>
      </c>
      <c r="J55">
        <v>274852</v>
      </c>
      <c r="K55">
        <v>297435</v>
      </c>
      <c r="L55">
        <v>554</v>
      </c>
      <c r="M55">
        <v>278906</v>
      </c>
      <c r="N55">
        <v>257084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F56">
        <v>159450</v>
      </c>
      <c r="G56">
        <v>149500</v>
      </c>
      <c r="H56">
        <v>165598</v>
      </c>
      <c r="I56">
        <v>192369</v>
      </c>
      <c r="J56">
        <v>177025</v>
      </c>
      <c r="K56">
        <v>140025</v>
      </c>
      <c r="L56">
        <v>0</v>
      </c>
      <c r="M56">
        <v>162577</v>
      </c>
      <c r="N56">
        <v>161345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F57">
        <v>27880</v>
      </c>
      <c r="G57">
        <v>29942</v>
      </c>
      <c r="H57">
        <v>26062</v>
      </c>
      <c r="I57">
        <v>33362</v>
      </c>
      <c r="J57">
        <v>28435</v>
      </c>
      <c r="K57">
        <v>26881</v>
      </c>
      <c r="L57">
        <v>0</v>
      </c>
      <c r="M57">
        <v>27747</v>
      </c>
      <c r="N57">
        <v>25442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F59">
        <v>33233</v>
      </c>
      <c r="G59">
        <v>40623</v>
      </c>
      <c r="H59">
        <v>37227</v>
      </c>
      <c r="I59">
        <v>33967</v>
      </c>
      <c r="J59">
        <v>29121</v>
      </c>
      <c r="K59">
        <v>21475</v>
      </c>
      <c r="L59">
        <v>0</v>
      </c>
      <c r="M59">
        <v>18411</v>
      </c>
      <c r="N59">
        <v>34388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F63">
        <v>27747</v>
      </c>
      <c r="G63">
        <v>33300</v>
      </c>
      <c r="H63">
        <v>28190</v>
      </c>
      <c r="I63">
        <v>27559</v>
      </c>
      <c r="J63">
        <v>20034</v>
      </c>
      <c r="K63">
        <v>22384</v>
      </c>
      <c r="L63">
        <v>0</v>
      </c>
      <c r="M63">
        <v>27401</v>
      </c>
      <c r="N63">
        <v>23322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F64">
        <v>19775</v>
      </c>
      <c r="G64">
        <v>16548</v>
      </c>
      <c r="H64">
        <v>17643</v>
      </c>
      <c r="I64">
        <v>20119</v>
      </c>
      <c r="J64">
        <v>25884</v>
      </c>
      <c r="K64">
        <v>27025</v>
      </c>
      <c r="L64">
        <v>500</v>
      </c>
      <c r="M64">
        <v>21127</v>
      </c>
      <c r="N64">
        <v>18518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F65">
        <v>18607</v>
      </c>
      <c r="G65">
        <v>19343</v>
      </c>
      <c r="H65">
        <v>17495</v>
      </c>
      <c r="I65">
        <v>18373</v>
      </c>
      <c r="J65">
        <v>14797</v>
      </c>
      <c r="K65">
        <v>13702</v>
      </c>
      <c r="L65">
        <v>0</v>
      </c>
      <c r="M65">
        <v>13459</v>
      </c>
      <c r="N65">
        <v>14984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F66">
        <v>109772</v>
      </c>
      <c r="G66">
        <v>94954</v>
      </c>
      <c r="H66">
        <v>82390</v>
      </c>
      <c r="I66">
        <v>99890</v>
      </c>
      <c r="J66">
        <v>97791</v>
      </c>
      <c r="K66">
        <v>99926</v>
      </c>
      <c r="L66">
        <v>4975</v>
      </c>
      <c r="M66">
        <v>77063</v>
      </c>
      <c r="N66">
        <v>106039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F67">
        <v>16422</v>
      </c>
      <c r="G67">
        <v>12177</v>
      </c>
      <c r="H67">
        <v>9873</v>
      </c>
      <c r="I67">
        <v>8432</v>
      </c>
      <c r="J67">
        <v>6836</v>
      </c>
      <c r="K67">
        <v>10596</v>
      </c>
      <c r="L67">
        <v>1502</v>
      </c>
      <c r="M67">
        <v>18540</v>
      </c>
      <c r="N67">
        <v>15120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F71">
        <v>20900</v>
      </c>
      <c r="G71">
        <v>12054</v>
      </c>
      <c r="H71">
        <v>12980</v>
      </c>
      <c r="I71">
        <v>12779</v>
      </c>
      <c r="J71">
        <v>9201</v>
      </c>
      <c r="K71">
        <v>11160</v>
      </c>
      <c r="L71">
        <v>1937</v>
      </c>
      <c r="M71">
        <v>12704</v>
      </c>
      <c r="N71">
        <v>10630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F73">
        <v>191039</v>
      </c>
      <c r="G73">
        <v>158562</v>
      </c>
      <c r="H73">
        <v>179369</v>
      </c>
      <c r="I73">
        <v>187581</v>
      </c>
      <c r="J73">
        <v>159878</v>
      </c>
      <c r="K73">
        <v>154867</v>
      </c>
      <c r="L73">
        <v>0</v>
      </c>
      <c r="M73">
        <v>107968</v>
      </c>
      <c r="N73">
        <v>147029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F74">
        <v>9658</v>
      </c>
      <c r="G74">
        <v>6860</v>
      </c>
      <c r="H74">
        <v>9325</v>
      </c>
      <c r="I74">
        <v>8847</v>
      </c>
      <c r="J74">
        <v>9802</v>
      </c>
      <c r="K74">
        <v>9286</v>
      </c>
      <c r="L74">
        <v>850</v>
      </c>
      <c r="M74">
        <v>6465</v>
      </c>
      <c r="N74">
        <v>6788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F75">
        <v>268713</v>
      </c>
      <c r="G75">
        <v>259645</v>
      </c>
      <c r="H75">
        <v>264680</v>
      </c>
      <c r="I75">
        <v>257090</v>
      </c>
      <c r="J75">
        <v>230356</v>
      </c>
      <c r="K75">
        <v>198804</v>
      </c>
      <c r="L75">
        <v>10850</v>
      </c>
      <c r="M75">
        <v>216355</v>
      </c>
      <c r="N75">
        <v>289606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F76">
        <v>32476</v>
      </c>
      <c r="G76">
        <v>28387</v>
      </c>
      <c r="H76">
        <v>29067</v>
      </c>
      <c r="I76">
        <v>24750</v>
      </c>
      <c r="J76">
        <v>26715</v>
      </c>
      <c r="K76">
        <v>24413</v>
      </c>
      <c r="L76">
        <v>3846</v>
      </c>
      <c r="M76">
        <v>17763</v>
      </c>
      <c r="N76">
        <v>24241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F77">
        <v>47141</v>
      </c>
      <c r="G77">
        <v>41400</v>
      </c>
      <c r="H77">
        <v>40400</v>
      </c>
      <c r="I77">
        <v>36170</v>
      </c>
      <c r="J77">
        <v>43775</v>
      </c>
      <c r="K77">
        <v>41568</v>
      </c>
      <c r="L77">
        <v>11426</v>
      </c>
      <c r="M77">
        <v>69231</v>
      </c>
      <c r="N77">
        <v>80626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F78">
        <v>75127</v>
      </c>
      <c r="G78">
        <v>29381</v>
      </c>
      <c r="H78">
        <v>106064</v>
      </c>
      <c r="I78">
        <v>73649</v>
      </c>
      <c r="J78">
        <v>95632</v>
      </c>
      <c r="K78">
        <v>85127</v>
      </c>
      <c r="L78">
        <v>900</v>
      </c>
      <c r="M78">
        <v>90544</v>
      </c>
      <c r="N78">
        <v>91116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F79">
        <v>75455</v>
      </c>
      <c r="G79">
        <v>47886</v>
      </c>
      <c r="H79">
        <v>67477</v>
      </c>
      <c r="I79">
        <v>50617</v>
      </c>
      <c r="J79">
        <v>63795</v>
      </c>
      <c r="K79">
        <v>41833</v>
      </c>
      <c r="L79">
        <v>0</v>
      </c>
      <c r="M79">
        <v>34349</v>
      </c>
      <c r="N79">
        <v>25650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F80">
        <v>40756</v>
      </c>
      <c r="G80">
        <v>39206</v>
      </c>
      <c r="H80">
        <v>42878</v>
      </c>
      <c r="I80">
        <v>42118</v>
      </c>
      <c r="J80">
        <v>41336</v>
      </c>
      <c r="K80">
        <v>36209</v>
      </c>
      <c r="L80">
        <v>3264</v>
      </c>
      <c r="M80">
        <v>41270</v>
      </c>
      <c r="N80">
        <v>36857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F81">
        <v>0</v>
      </c>
      <c r="G81">
        <v>42769</v>
      </c>
      <c r="H81">
        <v>46009</v>
      </c>
      <c r="I81">
        <v>48050</v>
      </c>
      <c r="J81">
        <v>50619</v>
      </c>
      <c r="K81">
        <v>51152</v>
      </c>
      <c r="L81">
        <v>6721</v>
      </c>
      <c r="M81">
        <v>66553</v>
      </c>
      <c r="N81">
        <v>47355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F86">
        <v>95728</v>
      </c>
      <c r="G86">
        <v>76907</v>
      </c>
      <c r="H86">
        <v>117526</v>
      </c>
      <c r="I86">
        <v>100002</v>
      </c>
      <c r="J86">
        <v>109797</v>
      </c>
      <c r="K86">
        <v>83242</v>
      </c>
      <c r="L86">
        <v>4766</v>
      </c>
      <c r="M86">
        <v>0</v>
      </c>
      <c r="N86">
        <v>89328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F87">
        <v>70608</v>
      </c>
      <c r="G87">
        <v>105703</v>
      </c>
      <c r="H87">
        <v>60437</v>
      </c>
      <c r="I87">
        <v>151580</v>
      </c>
      <c r="J87">
        <v>102308</v>
      </c>
      <c r="K87">
        <v>140857</v>
      </c>
      <c r="L87">
        <v>21529</v>
      </c>
      <c r="M87">
        <v>112956</v>
      </c>
      <c r="N87">
        <v>124074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F88">
        <v>515001</v>
      </c>
      <c r="G88">
        <v>630457</v>
      </c>
      <c r="H88">
        <v>439229</v>
      </c>
      <c r="I88">
        <v>520290</v>
      </c>
      <c r="J88">
        <v>576299</v>
      </c>
      <c r="K88">
        <v>508103</v>
      </c>
      <c r="L88">
        <v>74348</v>
      </c>
      <c r="M88">
        <v>511052</v>
      </c>
      <c r="N88">
        <v>610261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F89">
        <v>55863</v>
      </c>
      <c r="G89">
        <v>60240</v>
      </c>
      <c r="H89">
        <v>78839</v>
      </c>
      <c r="I89">
        <v>76190</v>
      </c>
      <c r="J89">
        <v>107239</v>
      </c>
      <c r="K89">
        <v>99223</v>
      </c>
      <c r="L89">
        <v>0</v>
      </c>
      <c r="M89">
        <v>67866</v>
      </c>
      <c r="N89">
        <v>72092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F90">
        <v>575478</v>
      </c>
      <c r="G90">
        <v>512534</v>
      </c>
      <c r="H90">
        <v>460801</v>
      </c>
      <c r="I90">
        <v>425658</v>
      </c>
      <c r="J90">
        <v>478013</v>
      </c>
      <c r="K90">
        <v>378136</v>
      </c>
      <c r="L90">
        <v>80583</v>
      </c>
      <c r="M90">
        <v>410754</v>
      </c>
      <c r="N90">
        <v>470778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F91">
        <v>32644</v>
      </c>
      <c r="G91">
        <v>38993</v>
      </c>
      <c r="H91">
        <v>32493</v>
      </c>
      <c r="I91">
        <v>23407</v>
      </c>
      <c r="J91">
        <v>23781</v>
      </c>
      <c r="K91">
        <v>17042</v>
      </c>
      <c r="L91">
        <v>0</v>
      </c>
      <c r="M91">
        <v>18338</v>
      </c>
      <c r="N91">
        <v>13351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F92">
        <v>209257</v>
      </c>
      <c r="G92">
        <v>174217</v>
      </c>
      <c r="H92">
        <v>152960</v>
      </c>
      <c r="I92">
        <v>183789</v>
      </c>
      <c r="J92">
        <v>189016</v>
      </c>
      <c r="K92">
        <v>189310</v>
      </c>
      <c r="L92">
        <v>0</v>
      </c>
      <c r="M92">
        <v>200318</v>
      </c>
      <c r="N92">
        <v>234399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F93">
        <v>43375</v>
      </c>
      <c r="G93">
        <v>33975</v>
      </c>
      <c r="H93">
        <v>28855</v>
      </c>
      <c r="I93">
        <v>38875</v>
      </c>
      <c r="J93">
        <v>24555</v>
      </c>
      <c r="K93">
        <v>35883</v>
      </c>
      <c r="L93">
        <v>6198</v>
      </c>
      <c r="M93">
        <v>47887</v>
      </c>
      <c r="N93">
        <v>50946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F94">
        <v>105510</v>
      </c>
      <c r="G94">
        <v>124681</v>
      </c>
      <c r="H94">
        <v>104095</v>
      </c>
      <c r="I94">
        <v>61031</v>
      </c>
      <c r="J94">
        <v>100814</v>
      </c>
      <c r="K94">
        <v>83785</v>
      </c>
      <c r="L94">
        <v>33687</v>
      </c>
      <c r="M94">
        <v>100568</v>
      </c>
      <c r="N94">
        <v>104275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F95">
        <v>21831</v>
      </c>
      <c r="G95">
        <v>23291</v>
      </c>
      <c r="H95">
        <v>25767</v>
      </c>
      <c r="I95">
        <v>23017</v>
      </c>
      <c r="J95">
        <v>18842</v>
      </c>
      <c r="K95">
        <v>16226</v>
      </c>
      <c r="L95">
        <v>6812</v>
      </c>
      <c r="M95">
        <v>20708</v>
      </c>
      <c r="N95">
        <v>19518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F98">
        <v>12746</v>
      </c>
      <c r="G98">
        <v>12409</v>
      </c>
      <c r="H98">
        <v>12029</v>
      </c>
      <c r="I98">
        <v>10829</v>
      </c>
      <c r="J98">
        <v>9201</v>
      </c>
      <c r="K98">
        <v>9803</v>
      </c>
      <c r="L98">
        <v>0</v>
      </c>
      <c r="M98">
        <v>9060</v>
      </c>
      <c r="N98">
        <v>9999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F99">
        <v>649222</v>
      </c>
      <c r="G99">
        <v>649222</v>
      </c>
      <c r="H99">
        <v>556476</v>
      </c>
      <c r="I99">
        <v>556476</v>
      </c>
      <c r="J99">
        <v>649222</v>
      </c>
      <c r="K99">
        <v>649722</v>
      </c>
      <c r="L99">
        <v>61572</v>
      </c>
      <c r="M99">
        <v>556476</v>
      </c>
      <c r="N99">
        <v>556476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F100">
        <v>90037</v>
      </c>
      <c r="G100">
        <v>62081</v>
      </c>
      <c r="H100">
        <v>90617</v>
      </c>
      <c r="I100">
        <v>79163</v>
      </c>
      <c r="J100">
        <v>99691</v>
      </c>
      <c r="K100">
        <v>103116</v>
      </c>
      <c r="L100">
        <v>19035</v>
      </c>
      <c r="M100">
        <v>90443</v>
      </c>
      <c r="N100">
        <v>96140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F101">
        <v>291113</v>
      </c>
      <c r="G101">
        <v>354946</v>
      </c>
      <c r="H101">
        <v>332518</v>
      </c>
      <c r="I101">
        <v>281310</v>
      </c>
      <c r="J101">
        <v>258523</v>
      </c>
      <c r="K101">
        <v>312194</v>
      </c>
      <c r="L101">
        <v>66000</v>
      </c>
      <c r="M101">
        <v>264133</v>
      </c>
      <c r="N101">
        <v>219751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F103">
        <v>29073</v>
      </c>
      <c r="G103">
        <v>30105</v>
      </c>
      <c r="H103">
        <v>32669</v>
      </c>
      <c r="I103">
        <v>59699</v>
      </c>
      <c r="J103">
        <v>32738</v>
      </c>
      <c r="K103">
        <v>31188</v>
      </c>
      <c r="L103">
        <v>21945</v>
      </c>
      <c r="M103">
        <v>22597</v>
      </c>
      <c r="N103">
        <v>29363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F106">
        <v>48423</v>
      </c>
      <c r="G106">
        <v>21229</v>
      </c>
      <c r="H106">
        <v>32685</v>
      </c>
      <c r="I106">
        <v>42527</v>
      </c>
      <c r="J106">
        <v>32634</v>
      </c>
      <c r="K106">
        <v>43309</v>
      </c>
      <c r="L106">
        <v>0</v>
      </c>
      <c r="M106">
        <v>22081</v>
      </c>
      <c r="N106">
        <v>17738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F108">
        <v>75088</v>
      </c>
      <c r="G108">
        <v>63994</v>
      </c>
      <c r="H108">
        <v>73709</v>
      </c>
      <c r="I108">
        <v>52055</v>
      </c>
      <c r="J108">
        <v>49211</v>
      </c>
      <c r="K108">
        <v>54060</v>
      </c>
      <c r="L108">
        <v>0</v>
      </c>
      <c r="M108">
        <v>56007</v>
      </c>
      <c r="N108">
        <v>73443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F109">
        <v>192159</v>
      </c>
      <c r="G109">
        <v>164031</v>
      </c>
      <c r="H109">
        <v>170299</v>
      </c>
      <c r="I109">
        <v>145463</v>
      </c>
      <c r="J109">
        <v>205455</v>
      </c>
      <c r="K109">
        <v>211090</v>
      </c>
      <c r="L109">
        <v>0</v>
      </c>
      <c r="M109">
        <v>13814</v>
      </c>
      <c r="N109">
        <v>64468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F112">
        <v>33738</v>
      </c>
      <c r="G112">
        <v>39140</v>
      </c>
      <c r="H112">
        <v>28845</v>
      </c>
      <c r="I112">
        <v>36001</v>
      </c>
      <c r="J112">
        <v>27614</v>
      </c>
      <c r="K112">
        <v>42067</v>
      </c>
      <c r="L112">
        <v>650</v>
      </c>
      <c r="M112">
        <v>42937</v>
      </c>
      <c r="N112">
        <v>65750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F113">
        <v>198177</v>
      </c>
      <c r="G113">
        <v>271836</v>
      </c>
      <c r="H113">
        <v>233716</v>
      </c>
      <c r="I113">
        <v>195499</v>
      </c>
      <c r="J113">
        <v>179029</v>
      </c>
      <c r="K113">
        <v>127592</v>
      </c>
      <c r="L113">
        <v>35152</v>
      </c>
      <c r="M113">
        <v>125365</v>
      </c>
      <c r="N113">
        <v>148757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F114">
        <v>17509</v>
      </c>
      <c r="G114">
        <v>13952</v>
      </c>
      <c r="H114">
        <v>16379</v>
      </c>
      <c r="I114">
        <v>8998</v>
      </c>
      <c r="J114">
        <v>13304</v>
      </c>
      <c r="K114">
        <v>13932</v>
      </c>
      <c r="L114">
        <v>0</v>
      </c>
      <c r="M114">
        <v>10740</v>
      </c>
      <c r="N114">
        <v>8403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F115">
        <v>11235</v>
      </c>
      <c r="G115">
        <v>10216</v>
      </c>
      <c r="H115">
        <v>11354</v>
      </c>
      <c r="I115">
        <v>24678</v>
      </c>
      <c r="J115">
        <v>22806</v>
      </c>
      <c r="K115">
        <v>15317</v>
      </c>
      <c r="L115">
        <v>0</v>
      </c>
      <c r="M115">
        <v>32646</v>
      </c>
      <c r="N115">
        <v>20379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F116">
        <v>64432</v>
      </c>
      <c r="G116">
        <v>69915</v>
      </c>
      <c r="H116">
        <v>55948</v>
      </c>
      <c r="I116">
        <v>63197</v>
      </c>
      <c r="J116">
        <v>56400</v>
      </c>
      <c r="K116">
        <v>41312</v>
      </c>
      <c r="L116">
        <v>6464</v>
      </c>
      <c r="M116">
        <v>24389</v>
      </c>
      <c r="N116">
        <v>43412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F117">
        <v>40323</v>
      </c>
      <c r="G117">
        <v>36338</v>
      </c>
      <c r="H117">
        <v>29293</v>
      </c>
      <c r="I117">
        <v>31483</v>
      </c>
      <c r="J117">
        <v>44134</v>
      </c>
      <c r="K117">
        <v>30645</v>
      </c>
      <c r="L117">
        <v>7234</v>
      </c>
      <c r="M117">
        <v>18370</v>
      </c>
      <c r="N117">
        <v>25412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F118">
        <v>290842</v>
      </c>
      <c r="G118">
        <v>289397</v>
      </c>
      <c r="H118">
        <v>319505</v>
      </c>
      <c r="I118">
        <v>276003</v>
      </c>
      <c r="J118">
        <v>216907</v>
      </c>
      <c r="K118">
        <v>256110</v>
      </c>
      <c r="L118">
        <v>2576</v>
      </c>
      <c r="M118">
        <v>247431</v>
      </c>
      <c r="N118">
        <v>301339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F119">
        <v>73480</v>
      </c>
      <c r="G119">
        <v>64361</v>
      </c>
      <c r="H119">
        <v>60937</v>
      </c>
      <c r="I119">
        <v>57200</v>
      </c>
      <c r="J119">
        <v>55561</v>
      </c>
      <c r="K119">
        <v>55454</v>
      </c>
      <c r="L119">
        <v>3706</v>
      </c>
      <c r="M119">
        <v>42869</v>
      </c>
      <c r="N119">
        <v>43142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F120">
        <v>249941</v>
      </c>
      <c r="G120">
        <v>310195</v>
      </c>
      <c r="H120">
        <v>301190</v>
      </c>
      <c r="I120">
        <v>263715</v>
      </c>
      <c r="J120">
        <v>286753</v>
      </c>
      <c r="K120">
        <v>247463</v>
      </c>
      <c r="L120">
        <v>2992</v>
      </c>
      <c r="M120">
        <v>281550</v>
      </c>
      <c r="N120">
        <v>328343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F121">
        <v>33957</v>
      </c>
      <c r="G121">
        <v>30360</v>
      </c>
      <c r="H121">
        <v>25763</v>
      </c>
      <c r="I121">
        <v>22444</v>
      </c>
      <c r="J121">
        <v>28283</v>
      </c>
      <c r="K121">
        <v>35222</v>
      </c>
      <c r="L121">
        <v>0</v>
      </c>
      <c r="M121">
        <v>24879</v>
      </c>
      <c r="N121">
        <v>25256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F123">
        <v>472584</v>
      </c>
      <c r="G123">
        <v>441992</v>
      </c>
      <c r="H123">
        <v>487591</v>
      </c>
      <c r="I123">
        <v>464357</v>
      </c>
      <c r="J123">
        <v>476302</v>
      </c>
      <c r="K123">
        <v>458897</v>
      </c>
      <c r="L123">
        <v>5787</v>
      </c>
      <c r="M123">
        <v>467436</v>
      </c>
      <c r="N123">
        <v>484750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F124">
        <v>365377</v>
      </c>
      <c r="G124">
        <v>339113</v>
      </c>
      <c r="H124">
        <v>367899</v>
      </c>
      <c r="I124">
        <v>347586</v>
      </c>
      <c r="J124">
        <v>392072</v>
      </c>
      <c r="K124">
        <v>418561</v>
      </c>
      <c r="L124">
        <v>55017</v>
      </c>
      <c r="M124">
        <v>364221</v>
      </c>
      <c r="N124">
        <v>401411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F126">
        <v>99933</v>
      </c>
      <c r="G126">
        <v>66258</v>
      </c>
      <c r="H126">
        <v>98298</v>
      </c>
      <c r="I126">
        <v>68780</v>
      </c>
      <c r="J126">
        <v>99079</v>
      </c>
      <c r="K126">
        <v>168808</v>
      </c>
      <c r="L126">
        <v>75051</v>
      </c>
      <c r="M126">
        <v>253756</v>
      </c>
      <c r="N126">
        <v>213398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F127">
        <v>10403</v>
      </c>
      <c r="G127">
        <v>17902</v>
      </c>
      <c r="H127">
        <v>9247</v>
      </c>
      <c r="I127">
        <v>12536</v>
      </c>
      <c r="J127">
        <v>9945</v>
      </c>
      <c r="K127">
        <v>10842</v>
      </c>
      <c r="L127">
        <v>0</v>
      </c>
      <c r="M127">
        <v>0</v>
      </c>
      <c r="N127">
        <v>0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F128">
        <v>93439</v>
      </c>
      <c r="G128">
        <v>164781</v>
      </c>
      <c r="H128">
        <v>123030</v>
      </c>
      <c r="I128">
        <v>110328</v>
      </c>
      <c r="J128">
        <v>101421</v>
      </c>
      <c r="K128">
        <v>117800</v>
      </c>
      <c r="L128">
        <v>44631</v>
      </c>
      <c r="M128">
        <v>84046</v>
      </c>
      <c r="N128">
        <v>72645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F129">
        <v>118893</v>
      </c>
      <c r="G129">
        <v>136483</v>
      </c>
      <c r="H129">
        <v>158754</v>
      </c>
      <c r="I129">
        <v>195514</v>
      </c>
      <c r="J129">
        <v>125466</v>
      </c>
      <c r="K129">
        <v>162974</v>
      </c>
      <c r="L129">
        <v>18078</v>
      </c>
      <c r="M129">
        <v>157049</v>
      </c>
      <c r="N129">
        <v>137797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F130">
        <v>204462</v>
      </c>
      <c r="G130">
        <v>190972</v>
      </c>
      <c r="H130">
        <v>154969</v>
      </c>
      <c r="I130">
        <v>186490</v>
      </c>
      <c r="J130">
        <v>116544</v>
      </c>
      <c r="K130">
        <v>237122</v>
      </c>
      <c r="L130">
        <v>19132</v>
      </c>
      <c r="M130">
        <v>132155</v>
      </c>
      <c r="N130">
        <v>258453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F132">
        <v>371565</v>
      </c>
      <c r="G132">
        <v>371698</v>
      </c>
      <c r="H132">
        <v>311512</v>
      </c>
      <c r="I132">
        <v>359107</v>
      </c>
      <c r="J132">
        <v>348165</v>
      </c>
      <c r="K132">
        <v>341726</v>
      </c>
      <c r="L132">
        <v>54605</v>
      </c>
      <c r="M132">
        <v>324577</v>
      </c>
      <c r="N132">
        <v>358154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F133">
        <v>0</v>
      </c>
      <c r="G133">
        <v>52920</v>
      </c>
      <c r="H133">
        <v>46608</v>
      </c>
      <c r="I133">
        <v>46874</v>
      </c>
      <c r="J133">
        <v>40295</v>
      </c>
      <c r="K133">
        <v>35686</v>
      </c>
      <c r="L133">
        <v>8050</v>
      </c>
      <c r="M133">
        <v>34815</v>
      </c>
      <c r="N133">
        <v>33754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F134">
        <v>81263</v>
      </c>
      <c r="G134">
        <v>75366</v>
      </c>
      <c r="H134">
        <v>65387</v>
      </c>
      <c r="I134">
        <v>65924</v>
      </c>
      <c r="J134">
        <v>65590</v>
      </c>
      <c r="K134">
        <v>64109</v>
      </c>
      <c r="L134">
        <v>0</v>
      </c>
      <c r="M134">
        <v>63890</v>
      </c>
      <c r="N134">
        <v>66769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F135">
        <v>403002</v>
      </c>
      <c r="G135">
        <v>490361</v>
      </c>
      <c r="H135">
        <v>375500</v>
      </c>
      <c r="I135">
        <v>395276</v>
      </c>
      <c r="J135">
        <v>385820</v>
      </c>
      <c r="K135">
        <v>425023</v>
      </c>
      <c r="L135">
        <v>60000</v>
      </c>
      <c r="M135">
        <v>394105</v>
      </c>
      <c r="N135">
        <v>482312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F137">
        <v>24216</v>
      </c>
      <c r="G137">
        <v>37970</v>
      </c>
      <c r="H137">
        <v>36682</v>
      </c>
      <c r="I137">
        <v>27945</v>
      </c>
      <c r="J137">
        <v>29219</v>
      </c>
      <c r="K137">
        <v>23321</v>
      </c>
      <c r="L137">
        <v>3010</v>
      </c>
      <c r="M137">
        <v>14304</v>
      </c>
      <c r="N137">
        <v>33421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F138">
        <v>58428</v>
      </c>
      <c r="G138">
        <v>46818</v>
      </c>
      <c r="H138">
        <v>44574</v>
      </c>
      <c r="I138">
        <v>33034</v>
      </c>
      <c r="J138">
        <v>42462</v>
      </c>
      <c r="K138">
        <v>43037</v>
      </c>
      <c r="L138">
        <v>9879</v>
      </c>
      <c r="M138">
        <v>22862</v>
      </c>
      <c r="N138">
        <v>25345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F139">
        <v>31244</v>
      </c>
      <c r="G139">
        <v>42046</v>
      </c>
      <c r="H139">
        <v>32634</v>
      </c>
      <c r="I139">
        <v>42827</v>
      </c>
      <c r="J139">
        <v>24271</v>
      </c>
      <c r="K139">
        <v>33540</v>
      </c>
      <c r="L139">
        <v>929</v>
      </c>
      <c r="M139">
        <v>33836</v>
      </c>
      <c r="N139">
        <v>19430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F140">
        <v>102098</v>
      </c>
      <c r="G140">
        <v>94950</v>
      </c>
      <c r="H140">
        <v>98259</v>
      </c>
      <c r="I140">
        <v>99425</v>
      </c>
      <c r="J140">
        <v>97693</v>
      </c>
      <c r="K140">
        <v>109631</v>
      </c>
      <c r="L140">
        <v>5250</v>
      </c>
      <c r="M140">
        <v>105650</v>
      </c>
      <c r="N140">
        <v>125724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7515</v>
      </c>
      <c r="L143">
        <v>0</v>
      </c>
      <c r="M143">
        <v>3770</v>
      </c>
      <c r="N143">
        <v>12266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F147">
        <v>154652</v>
      </c>
      <c r="G147">
        <v>129577</v>
      </c>
      <c r="H147">
        <v>121346</v>
      </c>
      <c r="I147">
        <v>78754</v>
      </c>
      <c r="J147">
        <v>111303</v>
      </c>
      <c r="K147">
        <v>127418</v>
      </c>
      <c r="L147">
        <v>22340</v>
      </c>
      <c r="M147">
        <v>157454</v>
      </c>
      <c r="N147">
        <v>89979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F148">
        <v>100272</v>
      </c>
      <c r="G148">
        <v>125863</v>
      </c>
      <c r="H148">
        <v>102059</v>
      </c>
      <c r="I148">
        <v>142626</v>
      </c>
      <c r="J148">
        <v>87623</v>
      </c>
      <c r="K148">
        <v>122631</v>
      </c>
      <c r="L148">
        <v>28560</v>
      </c>
      <c r="M148">
        <v>88934</v>
      </c>
      <c r="N148">
        <v>75409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F149">
        <v>317829</v>
      </c>
      <c r="G149">
        <v>294413</v>
      </c>
      <c r="H149">
        <v>324391</v>
      </c>
      <c r="I149">
        <v>276957</v>
      </c>
      <c r="J149">
        <v>351755</v>
      </c>
      <c r="K149">
        <v>299475</v>
      </c>
      <c r="L149">
        <v>68816</v>
      </c>
      <c r="M149">
        <v>307761</v>
      </c>
      <c r="N149">
        <v>250150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F152">
        <v>712063</v>
      </c>
      <c r="G152">
        <v>654084</v>
      </c>
      <c r="H152">
        <v>708618</v>
      </c>
      <c r="I152">
        <v>591034</v>
      </c>
      <c r="J152">
        <v>705733</v>
      </c>
      <c r="K152">
        <v>705892</v>
      </c>
      <c r="L152">
        <v>87233</v>
      </c>
      <c r="M152">
        <v>663653</v>
      </c>
      <c r="N152">
        <v>704172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F153">
        <v>28286</v>
      </c>
      <c r="G153">
        <v>25357</v>
      </c>
      <c r="H153">
        <v>39686</v>
      </c>
      <c r="I153">
        <v>34292</v>
      </c>
      <c r="J153">
        <v>35468</v>
      </c>
      <c r="K153">
        <v>31891</v>
      </c>
      <c r="L153">
        <v>0</v>
      </c>
      <c r="M153">
        <v>25256</v>
      </c>
      <c r="N153">
        <v>27620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F155">
        <v>12839</v>
      </c>
      <c r="G155">
        <v>10703</v>
      </c>
      <c r="H155">
        <v>13241</v>
      </c>
      <c r="I155">
        <v>11444</v>
      </c>
      <c r="J155">
        <v>8657</v>
      </c>
      <c r="K155">
        <v>11317</v>
      </c>
      <c r="L155">
        <v>0</v>
      </c>
      <c r="M155">
        <v>11810</v>
      </c>
      <c r="N155">
        <v>12838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F157">
        <v>192229</v>
      </c>
      <c r="G157">
        <v>157930</v>
      </c>
      <c r="H157">
        <v>173319</v>
      </c>
      <c r="I157">
        <v>130447</v>
      </c>
      <c r="J157">
        <v>144377</v>
      </c>
      <c r="K157">
        <v>162329</v>
      </c>
      <c r="L157">
        <v>78741</v>
      </c>
      <c r="M157">
        <v>130455</v>
      </c>
      <c r="N157">
        <v>131050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F158">
        <v>281884</v>
      </c>
      <c r="G158">
        <v>310389</v>
      </c>
      <c r="H158">
        <v>237690</v>
      </c>
      <c r="I158">
        <v>237859</v>
      </c>
      <c r="J158">
        <v>201562</v>
      </c>
      <c r="K158">
        <v>226871</v>
      </c>
      <c r="L158">
        <v>0</v>
      </c>
      <c r="M158">
        <v>266480</v>
      </c>
      <c r="N158">
        <v>223541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F159">
        <v>96527</v>
      </c>
      <c r="G159">
        <v>66743</v>
      </c>
      <c r="H159">
        <v>87059</v>
      </c>
      <c r="I159">
        <v>64242</v>
      </c>
      <c r="J159">
        <v>62312</v>
      </c>
      <c r="K159">
        <v>56987</v>
      </c>
      <c r="L159">
        <v>0</v>
      </c>
      <c r="M159">
        <v>53966</v>
      </c>
      <c r="N159">
        <v>53999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F160">
        <v>72577</v>
      </c>
      <c r="G160">
        <v>70150</v>
      </c>
      <c r="H160">
        <v>63058</v>
      </c>
      <c r="I160">
        <v>49695</v>
      </c>
      <c r="J160">
        <v>54814</v>
      </c>
      <c r="K160">
        <v>65266</v>
      </c>
      <c r="L160">
        <v>12206</v>
      </c>
      <c r="M160">
        <v>39517</v>
      </c>
      <c r="N160">
        <v>53221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F161">
        <v>203106</v>
      </c>
      <c r="G161">
        <v>262811</v>
      </c>
      <c r="H161">
        <v>261419</v>
      </c>
      <c r="I161">
        <v>290416</v>
      </c>
      <c r="J161">
        <v>211247</v>
      </c>
      <c r="K161">
        <v>271710</v>
      </c>
      <c r="L161">
        <v>54871</v>
      </c>
      <c r="M161">
        <v>219068</v>
      </c>
      <c r="N161">
        <v>183371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F162">
        <v>70002</v>
      </c>
      <c r="G162">
        <v>64150</v>
      </c>
      <c r="H162">
        <v>56186</v>
      </c>
      <c r="I162">
        <v>52725</v>
      </c>
      <c r="J162">
        <v>49015</v>
      </c>
      <c r="K162">
        <v>56437</v>
      </c>
      <c r="L162">
        <v>16171</v>
      </c>
      <c r="M162">
        <v>44541</v>
      </c>
      <c r="N162">
        <v>43997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F163">
        <v>367623</v>
      </c>
      <c r="G163">
        <v>285363</v>
      </c>
      <c r="H163">
        <v>351434</v>
      </c>
      <c r="I163">
        <v>469454</v>
      </c>
      <c r="J163">
        <v>368814</v>
      </c>
      <c r="K163">
        <v>316971</v>
      </c>
      <c r="L163">
        <v>51991</v>
      </c>
      <c r="M163">
        <v>305885</v>
      </c>
      <c r="N163">
        <v>319980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F164">
        <v>95438</v>
      </c>
      <c r="G164">
        <v>94241</v>
      </c>
      <c r="H164">
        <v>102657</v>
      </c>
      <c r="I164">
        <v>98666</v>
      </c>
      <c r="J164">
        <v>85518</v>
      </c>
      <c r="K164">
        <v>88969</v>
      </c>
      <c r="L164">
        <v>0</v>
      </c>
      <c r="M164">
        <v>58481</v>
      </c>
      <c r="N164">
        <v>75323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F165">
        <v>734364</v>
      </c>
      <c r="G165">
        <v>771174</v>
      </c>
      <c r="H165">
        <v>883741</v>
      </c>
      <c r="I165">
        <v>669534</v>
      </c>
      <c r="J165">
        <v>775156</v>
      </c>
      <c r="K165">
        <v>780215</v>
      </c>
      <c r="L165">
        <v>1220</v>
      </c>
      <c r="M165">
        <v>761341</v>
      </c>
      <c r="N165">
        <v>881971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F166">
        <v>522765</v>
      </c>
      <c r="G166">
        <v>522628</v>
      </c>
      <c r="H166">
        <v>522666</v>
      </c>
      <c r="I166">
        <v>507398</v>
      </c>
      <c r="J166">
        <v>508088</v>
      </c>
      <c r="K166">
        <v>474731</v>
      </c>
      <c r="L166">
        <v>716</v>
      </c>
      <c r="M166">
        <v>420808</v>
      </c>
      <c r="N166">
        <v>483332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F167">
        <v>104450</v>
      </c>
      <c r="G167">
        <v>103258</v>
      </c>
      <c r="H167">
        <v>86215</v>
      </c>
      <c r="I167">
        <v>93718</v>
      </c>
      <c r="J167">
        <v>93462</v>
      </c>
      <c r="K167">
        <v>85516</v>
      </c>
      <c r="L167">
        <v>17500</v>
      </c>
      <c r="M167">
        <v>61755</v>
      </c>
      <c r="N167">
        <v>71818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F169">
        <v>335056</v>
      </c>
      <c r="G169">
        <v>366484</v>
      </c>
      <c r="H169">
        <v>306697</v>
      </c>
      <c r="I169">
        <v>310506</v>
      </c>
      <c r="J169">
        <v>265407</v>
      </c>
      <c r="K169">
        <v>323330</v>
      </c>
      <c r="L169">
        <v>1953</v>
      </c>
      <c r="M169">
        <v>322978</v>
      </c>
      <c r="N169">
        <v>315130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F170">
        <v>427892</v>
      </c>
      <c r="G170">
        <v>432490</v>
      </c>
      <c r="H170">
        <v>349904</v>
      </c>
      <c r="I170">
        <v>406703</v>
      </c>
      <c r="J170">
        <v>406401</v>
      </c>
      <c r="K170">
        <v>393277</v>
      </c>
      <c r="L170">
        <v>64328</v>
      </c>
      <c r="M170">
        <v>346455</v>
      </c>
      <c r="N170">
        <v>379753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F171">
        <v>23741</v>
      </c>
      <c r="G171">
        <v>15811</v>
      </c>
      <c r="H171">
        <v>11681</v>
      </c>
      <c r="I171">
        <v>24097</v>
      </c>
      <c r="J171">
        <v>15580</v>
      </c>
      <c r="K171">
        <v>26493</v>
      </c>
      <c r="L171">
        <v>0</v>
      </c>
      <c r="M171">
        <v>27200</v>
      </c>
      <c r="N171">
        <v>19255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F172">
        <v>456996</v>
      </c>
      <c r="G172">
        <v>390720</v>
      </c>
      <c r="H172">
        <v>365651</v>
      </c>
      <c r="I172">
        <v>360429</v>
      </c>
      <c r="J172">
        <v>360261</v>
      </c>
      <c r="K172">
        <v>379119</v>
      </c>
      <c r="L172">
        <v>67110</v>
      </c>
      <c r="M172">
        <v>325614</v>
      </c>
      <c r="N172">
        <v>381677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F173">
        <v>58324</v>
      </c>
      <c r="G173">
        <v>50182</v>
      </c>
      <c r="H173">
        <v>50485</v>
      </c>
      <c r="I173">
        <v>41973</v>
      </c>
      <c r="J173">
        <v>44432</v>
      </c>
      <c r="K173">
        <v>32248</v>
      </c>
      <c r="L173">
        <v>15165</v>
      </c>
      <c r="M173">
        <v>60938</v>
      </c>
      <c r="N173">
        <v>45985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F174">
        <v>9161</v>
      </c>
      <c r="G174">
        <v>12303</v>
      </c>
      <c r="H174">
        <v>9517</v>
      </c>
      <c r="I174">
        <v>16409</v>
      </c>
      <c r="J174">
        <v>16463</v>
      </c>
      <c r="K174">
        <v>19463</v>
      </c>
      <c r="L174">
        <v>1178</v>
      </c>
      <c r="M174">
        <v>15464</v>
      </c>
      <c r="N174">
        <v>15114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F175">
        <v>166440</v>
      </c>
      <c r="G175">
        <v>168975</v>
      </c>
      <c r="H175">
        <v>152261</v>
      </c>
      <c r="I175">
        <v>141212</v>
      </c>
      <c r="J175">
        <v>148064</v>
      </c>
      <c r="K175">
        <v>157812</v>
      </c>
      <c r="L175">
        <v>8691</v>
      </c>
      <c r="M175">
        <v>172085</v>
      </c>
      <c r="N175">
        <v>165178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F176">
        <v>136446</v>
      </c>
      <c r="G176">
        <v>115032</v>
      </c>
      <c r="H176">
        <v>107442</v>
      </c>
      <c r="I176">
        <v>111702</v>
      </c>
      <c r="J176">
        <v>115299</v>
      </c>
      <c r="K176">
        <v>138246</v>
      </c>
      <c r="L176">
        <v>0</v>
      </c>
      <c r="M176">
        <v>153406</v>
      </c>
      <c r="N176">
        <v>158416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F177">
        <v>28741</v>
      </c>
      <c r="G177">
        <v>41019</v>
      </c>
      <c r="H177">
        <v>34415</v>
      </c>
      <c r="I177">
        <v>29435</v>
      </c>
      <c r="J177">
        <v>27505</v>
      </c>
      <c r="K177">
        <v>33969</v>
      </c>
      <c r="L177">
        <v>3081</v>
      </c>
      <c r="M177">
        <v>33534</v>
      </c>
      <c r="N177">
        <v>24706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F178">
        <v>46840</v>
      </c>
      <c r="G178">
        <v>12402</v>
      </c>
      <c r="H178">
        <v>22067</v>
      </c>
      <c r="I178">
        <v>26956</v>
      </c>
      <c r="J178">
        <v>23406</v>
      </c>
      <c r="K178">
        <v>24074</v>
      </c>
      <c r="L178">
        <v>0</v>
      </c>
      <c r="M178">
        <v>20246</v>
      </c>
      <c r="N178">
        <v>26255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F180">
        <v>28717</v>
      </c>
      <c r="G180">
        <v>30241</v>
      </c>
      <c r="H180">
        <v>30840</v>
      </c>
      <c r="I180">
        <v>30239</v>
      </c>
      <c r="J180">
        <v>30945</v>
      </c>
      <c r="K180">
        <v>43402</v>
      </c>
      <c r="L180">
        <v>10912</v>
      </c>
      <c r="M180">
        <v>39218</v>
      </c>
      <c r="N180">
        <v>43674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F181">
        <v>72618</v>
      </c>
      <c r="G181">
        <v>74940</v>
      </c>
      <c r="H181">
        <v>72360</v>
      </c>
      <c r="I181">
        <v>78486</v>
      </c>
      <c r="J181">
        <v>77468</v>
      </c>
      <c r="K181">
        <v>84633</v>
      </c>
      <c r="L181">
        <v>0</v>
      </c>
      <c r="M181">
        <v>62184</v>
      </c>
      <c r="N181">
        <v>76685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F182">
        <v>46682</v>
      </c>
      <c r="G182">
        <v>27487</v>
      </c>
      <c r="H182">
        <v>41211</v>
      </c>
      <c r="I182">
        <v>49480</v>
      </c>
      <c r="J182">
        <v>44318</v>
      </c>
      <c r="K182">
        <v>31674</v>
      </c>
      <c r="L182">
        <v>0</v>
      </c>
      <c r="M182">
        <v>35108</v>
      </c>
      <c r="N182">
        <v>31131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F183">
        <v>162510</v>
      </c>
      <c r="G183">
        <v>226366</v>
      </c>
      <c r="H183">
        <v>189425</v>
      </c>
      <c r="I183">
        <v>209701</v>
      </c>
      <c r="J183">
        <v>157320</v>
      </c>
      <c r="K183">
        <v>191819</v>
      </c>
      <c r="L183">
        <v>8000</v>
      </c>
      <c r="M183">
        <v>186567</v>
      </c>
      <c r="N183">
        <v>154866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F184">
        <v>380785</v>
      </c>
      <c r="G184">
        <v>341928</v>
      </c>
      <c r="H184">
        <v>402479</v>
      </c>
      <c r="I184">
        <v>341100</v>
      </c>
      <c r="J184">
        <v>397982</v>
      </c>
      <c r="K184">
        <v>395264</v>
      </c>
      <c r="L184">
        <v>20510</v>
      </c>
      <c r="M184">
        <v>381660</v>
      </c>
      <c r="N184">
        <v>395683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F185">
        <v>638744</v>
      </c>
      <c r="G185">
        <v>629983</v>
      </c>
      <c r="H185">
        <v>631402</v>
      </c>
      <c r="I185">
        <v>628583</v>
      </c>
      <c r="J185">
        <v>623240</v>
      </c>
      <c r="K185">
        <v>625436</v>
      </c>
      <c r="L185">
        <v>0</v>
      </c>
      <c r="M185">
        <v>603214</v>
      </c>
      <c r="N185">
        <v>606460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F186">
        <v>143172</v>
      </c>
      <c r="G186">
        <v>133022</v>
      </c>
      <c r="H186">
        <v>111003</v>
      </c>
      <c r="I186">
        <v>100329</v>
      </c>
      <c r="J186">
        <v>103085</v>
      </c>
      <c r="K186">
        <v>97080</v>
      </c>
      <c r="L186">
        <v>600</v>
      </c>
      <c r="M186">
        <v>129447</v>
      </c>
      <c r="N186">
        <v>89431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F187">
        <v>78709</v>
      </c>
      <c r="G187">
        <v>43820</v>
      </c>
      <c r="H187">
        <v>57782</v>
      </c>
      <c r="I187">
        <v>66141</v>
      </c>
      <c r="J187">
        <v>60921</v>
      </c>
      <c r="K187">
        <v>50527</v>
      </c>
      <c r="L187">
        <v>0</v>
      </c>
      <c r="M187">
        <v>57878</v>
      </c>
      <c r="N187">
        <v>56777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F188">
        <v>131624</v>
      </c>
      <c r="G188">
        <v>188224</v>
      </c>
      <c r="H188">
        <v>141938</v>
      </c>
      <c r="I188">
        <v>127161</v>
      </c>
      <c r="J188">
        <v>99523</v>
      </c>
      <c r="K188">
        <v>94483</v>
      </c>
      <c r="L188">
        <v>0</v>
      </c>
      <c r="M188">
        <v>97992</v>
      </c>
      <c r="N188">
        <v>89794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F189">
        <v>73612</v>
      </c>
      <c r="G189">
        <v>87429</v>
      </c>
      <c r="H189">
        <v>47725</v>
      </c>
      <c r="I189">
        <v>91195</v>
      </c>
      <c r="J189">
        <v>68529</v>
      </c>
      <c r="K189">
        <v>89523</v>
      </c>
      <c r="L189">
        <v>0</v>
      </c>
      <c r="M189">
        <v>59223</v>
      </c>
      <c r="N189">
        <v>89956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F192">
        <v>26030</v>
      </c>
      <c r="G192">
        <v>21361</v>
      </c>
      <c r="H192">
        <v>37158</v>
      </c>
      <c r="I192">
        <v>47295</v>
      </c>
      <c r="J192">
        <v>46180</v>
      </c>
      <c r="K192">
        <v>41221</v>
      </c>
      <c r="L192">
        <v>15358</v>
      </c>
      <c r="M192">
        <v>34276</v>
      </c>
      <c r="N192">
        <v>31073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F193">
        <v>67813</v>
      </c>
      <c r="G193">
        <v>83649</v>
      </c>
      <c r="H193">
        <v>55095</v>
      </c>
      <c r="I193">
        <v>67748</v>
      </c>
      <c r="J193">
        <v>52019</v>
      </c>
      <c r="K193">
        <v>42590</v>
      </c>
      <c r="L193">
        <v>868</v>
      </c>
      <c r="M193">
        <v>54348</v>
      </c>
      <c r="N193">
        <v>55186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F195">
        <v>32121</v>
      </c>
      <c r="G195">
        <v>32825</v>
      </c>
      <c r="H195">
        <v>48717</v>
      </c>
      <c r="I195">
        <v>49908</v>
      </c>
      <c r="J195">
        <v>53211</v>
      </c>
      <c r="K195">
        <v>56480</v>
      </c>
      <c r="L195">
        <v>0</v>
      </c>
      <c r="M195">
        <v>39861</v>
      </c>
      <c r="N195">
        <v>47854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F196">
        <v>0</v>
      </c>
      <c r="G196">
        <v>0</v>
      </c>
      <c r="H196">
        <v>0</v>
      </c>
      <c r="I196">
        <v>0</v>
      </c>
      <c r="J196">
        <v>33774</v>
      </c>
      <c r="K196">
        <v>47738</v>
      </c>
      <c r="L196">
        <v>4632</v>
      </c>
      <c r="M196">
        <v>43050</v>
      </c>
      <c r="N196">
        <v>30827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F197">
        <v>328000</v>
      </c>
      <c r="G197">
        <v>347500</v>
      </c>
      <c r="H197">
        <v>301500</v>
      </c>
      <c r="I197">
        <v>350500</v>
      </c>
      <c r="J197">
        <v>218111</v>
      </c>
      <c r="K197">
        <v>303000</v>
      </c>
      <c r="L197">
        <v>17675</v>
      </c>
      <c r="M197">
        <v>335628</v>
      </c>
      <c r="N197">
        <v>287599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F198">
        <v>44915</v>
      </c>
      <c r="G198">
        <v>41589</v>
      </c>
      <c r="H198">
        <v>59665</v>
      </c>
      <c r="I198">
        <v>52139</v>
      </c>
      <c r="J198">
        <v>46682</v>
      </c>
      <c r="K198">
        <v>50040</v>
      </c>
      <c r="L198">
        <v>13379</v>
      </c>
      <c r="M198">
        <v>48305</v>
      </c>
      <c r="N198">
        <v>48898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F199">
        <v>167136</v>
      </c>
      <c r="G199">
        <v>166472</v>
      </c>
      <c r="H199">
        <v>167002</v>
      </c>
      <c r="I199">
        <v>164996</v>
      </c>
      <c r="J199">
        <v>181055</v>
      </c>
      <c r="K199">
        <v>156962</v>
      </c>
      <c r="L199">
        <v>34664</v>
      </c>
      <c r="M199">
        <v>135905</v>
      </c>
      <c r="N199">
        <v>141179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F201">
        <v>115627</v>
      </c>
      <c r="G201">
        <v>68155</v>
      </c>
      <c r="H201">
        <v>119269</v>
      </c>
      <c r="I201">
        <v>134174</v>
      </c>
      <c r="J201">
        <v>140131</v>
      </c>
      <c r="K201">
        <v>128150</v>
      </c>
      <c r="L201">
        <v>41490</v>
      </c>
      <c r="M201">
        <v>100013</v>
      </c>
      <c r="N201">
        <v>114150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F203">
        <v>41128</v>
      </c>
      <c r="G203">
        <v>37507</v>
      </c>
      <c r="H203">
        <v>39549</v>
      </c>
      <c r="I203">
        <v>45996</v>
      </c>
      <c r="J203">
        <v>35178</v>
      </c>
      <c r="K203">
        <v>39441</v>
      </c>
      <c r="L203">
        <v>0</v>
      </c>
      <c r="M203">
        <v>38101</v>
      </c>
      <c r="N203">
        <v>38449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F204">
        <v>21037</v>
      </c>
      <c r="G204">
        <v>25612</v>
      </c>
      <c r="H204">
        <v>24477</v>
      </c>
      <c r="I204">
        <v>21917</v>
      </c>
      <c r="J204">
        <v>25293</v>
      </c>
      <c r="K204">
        <v>22871</v>
      </c>
      <c r="L204">
        <v>0</v>
      </c>
      <c r="M204">
        <v>25842</v>
      </c>
      <c r="N204">
        <v>22775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F206">
        <v>270292</v>
      </c>
      <c r="G206">
        <v>233560</v>
      </c>
      <c r="H206">
        <v>243586</v>
      </c>
      <c r="I206">
        <v>250969</v>
      </c>
      <c r="J206">
        <v>307112</v>
      </c>
      <c r="K206">
        <v>264149</v>
      </c>
      <c r="L206">
        <v>1</v>
      </c>
      <c r="M206">
        <v>184075</v>
      </c>
      <c r="N206">
        <v>172182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F207">
        <v>39477</v>
      </c>
      <c r="G207">
        <v>42003</v>
      </c>
      <c r="H207">
        <v>39714</v>
      </c>
      <c r="I207">
        <v>37749</v>
      </c>
      <c r="J207">
        <v>38914</v>
      </c>
      <c r="K207">
        <v>33122</v>
      </c>
      <c r="L207">
        <v>12103</v>
      </c>
      <c r="M207">
        <v>32828</v>
      </c>
      <c r="N207">
        <v>15722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F208">
        <v>484770</v>
      </c>
      <c r="G208">
        <v>484770</v>
      </c>
      <c r="H208">
        <v>484770</v>
      </c>
      <c r="I208">
        <v>543354</v>
      </c>
      <c r="J208">
        <v>465732</v>
      </c>
      <c r="K208">
        <v>534017</v>
      </c>
      <c r="L208">
        <v>58615</v>
      </c>
      <c r="M208">
        <v>509719</v>
      </c>
      <c r="N208">
        <v>457156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F210">
        <v>123090</v>
      </c>
      <c r="G210">
        <v>127938</v>
      </c>
      <c r="H210">
        <v>127139</v>
      </c>
      <c r="I210">
        <v>116325</v>
      </c>
      <c r="J210">
        <v>97374</v>
      </c>
      <c r="K210">
        <v>99398</v>
      </c>
      <c r="L210">
        <v>2364</v>
      </c>
      <c r="M210">
        <v>105753</v>
      </c>
      <c r="N210">
        <v>106152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F211">
        <v>744075</v>
      </c>
      <c r="G211">
        <v>750705</v>
      </c>
      <c r="H211">
        <v>750944</v>
      </c>
      <c r="I211">
        <v>752464</v>
      </c>
      <c r="J211">
        <v>713630</v>
      </c>
      <c r="K211">
        <v>723679</v>
      </c>
      <c r="L211">
        <v>3254</v>
      </c>
      <c r="M211">
        <v>677295</v>
      </c>
      <c r="N211">
        <v>837300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F212">
        <v>510972</v>
      </c>
      <c r="G212">
        <v>512139</v>
      </c>
      <c r="H212">
        <v>521142</v>
      </c>
      <c r="I212">
        <v>519119</v>
      </c>
      <c r="J212">
        <v>607146</v>
      </c>
      <c r="K212">
        <v>499533</v>
      </c>
      <c r="L212">
        <v>113500</v>
      </c>
      <c r="M212">
        <v>544564</v>
      </c>
      <c r="N212">
        <v>503012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F213">
        <v>326324</v>
      </c>
      <c r="G213">
        <v>403678</v>
      </c>
      <c r="H213">
        <v>376695</v>
      </c>
      <c r="I213">
        <v>340740</v>
      </c>
      <c r="J213">
        <v>374793</v>
      </c>
      <c r="K213">
        <v>328902</v>
      </c>
      <c r="L213">
        <v>73328</v>
      </c>
      <c r="M213">
        <v>371087</v>
      </c>
      <c r="N213">
        <v>383146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F214">
        <v>120708</v>
      </c>
      <c r="G214">
        <v>140826</v>
      </c>
      <c r="H214">
        <v>120708</v>
      </c>
      <c r="I214">
        <v>120708</v>
      </c>
      <c r="J214">
        <v>117798</v>
      </c>
      <c r="K214">
        <v>109402</v>
      </c>
      <c r="L214">
        <v>0</v>
      </c>
      <c r="M214">
        <v>95795</v>
      </c>
      <c r="N214">
        <v>121390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F215">
        <v>430829</v>
      </c>
      <c r="G215">
        <v>423355</v>
      </c>
      <c r="H215">
        <v>454368</v>
      </c>
      <c r="I215">
        <v>410414</v>
      </c>
      <c r="J215">
        <v>389794</v>
      </c>
      <c r="K215">
        <v>337631</v>
      </c>
      <c r="L215">
        <v>73196</v>
      </c>
      <c r="M215">
        <v>395304</v>
      </c>
      <c r="N215">
        <v>438028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F218">
        <v>401952</v>
      </c>
      <c r="G218">
        <v>403419</v>
      </c>
      <c r="H218">
        <v>328062</v>
      </c>
      <c r="I218">
        <v>388381</v>
      </c>
      <c r="J218">
        <v>371114</v>
      </c>
      <c r="K218">
        <v>375136</v>
      </c>
      <c r="L218">
        <v>0</v>
      </c>
      <c r="M218">
        <v>346274</v>
      </c>
      <c r="N218">
        <v>329697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F219">
        <v>295230</v>
      </c>
      <c r="G219">
        <v>216476</v>
      </c>
      <c r="H219">
        <v>263357</v>
      </c>
      <c r="I219">
        <v>208524</v>
      </c>
      <c r="J219">
        <v>211252</v>
      </c>
      <c r="K219">
        <v>194546</v>
      </c>
      <c r="L219">
        <v>0</v>
      </c>
      <c r="M219">
        <v>183142</v>
      </c>
      <c r="N219">
        <v>170397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F221">
        <v>34881</v>
      </c>
      <c r="G221">
        <v>30240</v>
      </c>
      <c r="H221">
        <v>27948</v>
      </c>
      <c r="I221">
        <v>26374</v>
      </c>
      <c r="J221">
        <v>38839</v>
      </c>
      <c r="K221">
        <v>42134</v>
      </c>
      <c r="L221">
        <v>0</v>
      </c>
      <c r="M221">
        <v>24855</v>
      </c>
      <c r="N221">
        <v>34269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F222">
        <v>711358</v>
      </c>
      <c r="G222">
        <v>698590</v>
      </c>
      <c r="H222">
        <v>701800</v>
      </c>
      <c r="I222">
        <v>746946</v>
      </c>
      <c r="J222">
        <v>738396</v>
      </c>
      <c r="K222">
        <v>739747</v>
      </c>
      <c r="L222">
        <v>4500</v>
      </c>
      <c r="M222">
        <v>747595</v>
      </c>
      <c r="N222">
        <v>751650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F224">
        <v>289204</v>
      </c>
      <c r="G224">
        <v>288900</v>
      </c>
      <c r="H224">
        <v>322531</v>
      </c>
      <c r="I224">
        <v>254062</v>
      </c>
      <c r="J224">
        <v>250178</v>
      </c>
      <c r="K224">
        <v>303606</v>
      </c>
      <c r="L224">
        <v>10063</v>
      </c>
      <c r="M224">
        <v>317556</v>
      </c>
      <c r="N224">
        <v>382973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F226">
        <v>22914</v>
      </c>
      <c r="G226">
        <v>43081</v>
      </c>
      <c r="H226">
        <v>22948</v>
      </c>
      <c r="I226">
        <v>20678</v>
      </c>
      <c r="J226">
        <v>18993</v>
      </c>
      <c r="K226">
        <v>23995</v>
      </c>
      <c r="L226">
        <v>0</v>
      </c>
      <c r="M226">
        <v>16644</v>
      </c>
      <c r="N226">
        <v>16245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F227">
        <v>14135</v>
      </c>
      <c r="G227">
        <v>18488</v>
      </c>
      <c r="H227">
        <v>48777</v>
      </c>
      <c r="I227">
        <v>89016</v>
      </c>
      <c r="J227">
        <v>34620</v>
      </c>
      <c r="K227">
        <v>31820</v>
      </c>
      <c r="L227">
        <v>3750</v>
      </c>
      <c r="M227">
        <v>15307</v>
      </c>
      <c r="N227">
        <v>34787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F228">
        <v>21392</v>
      </c>
      <c r="G228">
        <v>19048</v>
      </c>
      <c r="H228">
        <v>13194</v>
      </c>
      <c r="I228">
        <v>18558</v>
      </c>
      <c r="J228">
        <v>10287</v>
      </c>
      <c r="K228">
        <v>11810</v>
      </c>
      <c r="L228">
        <v>889</v>
      </c>
      <c r="M228">
        <v>14104</v>
      </c>
      <c r="N228">
        <v>6168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F229">
        <v>49325</v>
      </c>
      <c r="G229">
        <v>41325</v>
      </c>
      <c r="H229">
        <v>44951</v>
      </c>
      <c r="I229">
        <v>36831</v>
      </c>
      <c r="J229">
        <v>39371</v>
      </c>
      <c r="K229">
        <v>36125</v>
      </c>
      <c r="L229">
        <v>0</v>
      </c>
      <c r="M229">
        <v>28074</v>
      </c>
      <c r="N229">
        <v>31491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F231">
        <v>246880</v>
      </c>
      <c r="G231">
        <v>262559</v>
      </c>
      <c r="H231">
        <v>241158</v>
      </c>
      <c r="I231">
        <v>287303</v>
      </c>
      <c r="J231">
        <v>357839</v>
      </c>
      <c r="K231">
        <v>378147</v>
      </c>
      <c r="L231">
        <v>3322</v>
      </c>
      <c r="M231">
        <v>337995</v>
      </c>
      <c r="N231">
        <v>342776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F235">
        <v>26583</v>
      </c>
      <c r="G235">
        <v>23766</v>
      </c>
      <c r="H235">
        <v>19839</v>
      </c>
      <c r="I235">
        <v>22239</v>
      </c>
      <c r="J235">
        <v>24662</v>
      </c>
      <c r="K235">
        <v>29432</v>
      </c>
      <c r="L235">
        <v>500</v>
      </c>
      <c r="M235">
        <v>24459</v>
      </c>
      <c r="N235">
        <v>23089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F236">
        <v>92812</v>
      </c>
      <c r="G236">
        <v>116034</v>
      </c>
      <c r="H236">
        <v>128551</v>
      </c>
      <c r="I236">
        <v>96770</v>
      </c>
      <c r="J236">
        <v>121029</v>
      </c>
      <c r="K236">
        <v>155486</v>
      </c>
      <c r="L236">
        <v>2000</v>
      </c>
      <c r="M236">
        <v>111679</v>
      </c>
      <c r="N236">
        <v>114063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F237">
        <v>52496</v>
      </c>
      <c r="G237">
        <v>48596</v>
      </c>
      <c r="H237">
        <v>55481</v>
      </c>
      <c r="I237">
        <v>40925</v>
      </c>
      <c r="J237">
        <v>40428</v>
      </c>
      <c r="K237">
        <v>45205</v>
      </c>
      <c r="L237">
        <v>2000</v>
      </c>
      <c r="M237">
        <v>41638</v>
      </c>
      <c r="N237">
        <v>39365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F239">
        <v>8137</v>
      </c>
      <c r="G239">
        <v>9267</v>
      </c>
      <c r="H239">
        <v>10055</v>
      </c>
      <c r="I239">
        <v>10099</v>
      </c>
      <c r="J239">
        <v>7614</v>
      </c>
      <c r="K239">
        <v>10664</v>
      </c>
      <c r="L239">
        <v>0</v>
      </c>
      <c r="M239">
        <v>10751</v>
      </c>
      <c r="N239">
        <v>11451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F240">
        <v>303791</v>
      </c>
      <c r="G240">
        <v>334061</v>
      </c>
      <c r="H240">
        <v>313629</v>
      </c>
      <c r="I240">
        <v>278245</v>
      </c>
      <c r="J240">
        <v>264596</v>
      </c>
      <c r="K240">
        <v>210573</v>
      </c>
      <c r="L240">
        <v>0</v>
      </c>
      <c r="M240">
        <v>267780</v>
      </c>
      <c r="N240">
        <v>304538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F241">
        <v>39816</v>
      </c>
      <c r="G241">
        <v>44397</v>
      </c>
      <c r="H241">
        <v>34351</v>
      </c>
      <c r="I241">
        <v>49891</v>
      </c>
      <c r="J241">
        <v>29850</v>
      </c>
      <c r="K241">
        <v>76651</v>
      </c>
      <c r="L241">
        <v>0</v>
      </c>
      <c r="M241">
        <v>45687</v>
      </c>
      <c r="N241">
        <v>100369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F242">
        <v>18769</v>
      </c>
      <c r="G242">
        <v>17030</v>
      </c>
      <c r="H242">
        <v>11876</v>
      </c>
      <c r="I242">
        <v>15375</v>
      </c>
      <c r="J242">
        <v>13746</v>
      </c>
      <c r="K242">
        <v>18194</v>
      </c>
      <c r="L242">
        <v>800</v>
      </c>
      <c r="M242">
        <v>29121</v>
      </c>
      <c r="N242">
        <v>25462</v>
      </c>
    </row>
    <row r="243" spans="1:14" x14ac:dyDescent="0.2">
      <c r="A243" t="s">
        <v>520</v>
      </c>
      <c r="B243" t="s">
        <v>599</v>
      </c>
      <c r="C243">
        <v>215743</v>
      </c>
      <c r="D243">
        <v>11020</v>
      </c>
      <c r="F243">
        <v>6365</v>
      </c>
      <c r="G243">
        <v>6326</v>
      </c>
      <c r="H243">
        <v>6468</v>
      </c>
      <c r="I243">
        <v>8065</v>
      </c>
      <c r="J243">
        <v>7804</v>
      </c>
      <c r="K243">
        <v>7208</v>
      </c>
      <c r="L243">
        <v>0</v>
      </c>
      <c r="M243">
        <v>6081</v>
      </c>
      <c r="N243">
        <v>4427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F248">
        <v>70027</v>
      </c>
      <c r="G248">
        <v>51186</v>
      </c>
      <c r="H248">
        <v>47638</v>
      </c>
      <c r="I248">
        <v>55889</v>
      </c>
      <c r="J248">
        <v>39554</v>
      </c>
      <c r="K248">
        <v>29267</v>
      </c>
      <c r="L248">
        <v>19918</v>
      </c>
      <c r="M248">
        <v>50984</v>
      </c>
      <c r="N248">
        <v>30443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F249">
        <v>32016</v>
      </c>
      <c r="G249">
        <v>33265</v>
      </c>
      <c r="H249">
        <v>29486</v>
      </c>
      <c r="I249">
        <v>32024</v>
      </c>
      <c r="J249">
        <v>27131</v>
      </c>
      <c r="K249">
        <v>21983</v>
      </c>
      <c r="L249">
        <v>4784</v>
      </c>
      <c r="M249">
        <v>19745</v>
      </c>
      <c r="N249">
        <v>32360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F250">
        <v>19504</v>
      </c>
      <c r="G250">
        <v>13839</v>
      </c>
      <c r="H250">
        <v>12023</v>
      </c>
      <c r="I250">
        <v>10711</v>
      </c>
      <c r="J250">
        <v>10653</v>
      </c>
      <c r="K250">
        <v>12574</v>
      </c>
      <c r="L250">
        <v>965</v>
      </c>
      <c r="M250">
        <v>11920</v>
      </c>
      <c r="N250">
        <v>7793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F251">
        <v>226839</v>
      </c>
      <c r="G251">
        <v>203459</v>
      </c>
      <c r="H251">
        <v>223735</v>
      </c>
      <c r="I251">
        <v>275428</v>
      </c>
      <c r="J251">
        <v>220071</v>
      </c>
      <c r="K251">
        <v>179376</v>
      </c>
      <c r="L251">
        <v>0</v>
      </c>
      <c r="M251">
        <v>85399</v>
      </c>
      <c r="N251">
        <v>204575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F253">
        <v>75340</v>
      </c>
      <c r="G253">
        <v>91869</v>
      </c>
      <c r="H253">
        <v>92515</v>
      </c>
      <c r="I253">
        <v>85235</v>
      </c>
      <c r="J253">
        <v>71276</v>
      </c>
      <c r="K253">
        <v>92374</v>
      </c>
      <c r="L253">
        <v>0</v>
      </c>
      <c r="M253">
        <v>92684</v>
      </c>
      <c r="N253">
        <v>98530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600</v>
      </c>
      <c r="B255" t="s">
        <v>600</v>
      </c>
      <c r="C255">
        <v>140960</v>
      </c>
      <c r="F255">
        <v>13813</v>
      </c>
      <c r="G255">
        <v>16168</v>
      </c>
      <c r="H255">
        <v>17907</v>
      </c>
      <c r="I255">
        <v>17046</v>
      </c>
      <c r="J255">
        <v>23243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F258">
        <v>62024</v>
      </c>
      <c r="G258">
        <v>35133</v>
      </c>
      <c r="H258">
        <v>49239</v>
      </c>
      <c r="I258">
        <v>56881</v>
      </c>
      <c r="J258">
        <v>21189</v>
      </c>
      <c r="K258">
        <v>33294</v>
      </c>
      <c r="L258">
        <v>17722</v>
      </c>
      <c r="M258">
        <v>41745</v>
      </c>
      <c r="N258">
        <v>41461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F261">
        <v>129169</v>
      </c>
      <c r="G261">
        <v>147301</v>
      </c>
      <c r="H261">
        <v>142272</v>
      </c>
      <c r="I261">
        <v>139609</v>
      </c>
      <c r="J261">
        <v>116299</v>
      </c>
      <c r="K261">
        <v>141798</v>
      </c>
      <c r="L261">
        <v>31592</v>
      </c>
      <c r="M261">
        <v>139025</v>
      </c>
      <c r="N261">
        <v>149828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F262">
        <v>104669</v>
      </c>
      <c r="G262">
        <v>96234</v>
      </c>
      <c r="H262">
        <v>113749</v>
      </c>
      <c r="I262">
        <v>104070</v>
      </c>
      <c r="J262">
        <v>96383</v>
      </c>
      <c r="K262">
        <v>97933</v>
      </c>
      <c r="L262">
        <v>32693</v>
      </c>
      <c r="M262">
        <v>96498</v>
      </c>
      <c r="N262">
        <v>99874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F263">
        <v>569664</v>
      </c>
      <c r="G263">
        <v>472934</v>
      </c>
      <c r="H263">
        <v>538441</v>
      </c>
      <c r="I263">
        <v>550099</v>
      </c>
      <c r="J263">
        <v>515396</v>
      </c>
      <c r="K263">
        <v>545737</v>
      </c>
      <c r="L263">
        <v>77075</v>
      </c>
      <c r="M263">
        <v>488135</v>
      </c>
      <c r="N263">
        <v>530498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F264">
        <v>53489</v>
      </c>
      <c r="G264">
        <v>78147</v>
      </c>
      <c r="H264">
        <v>40593</v>
      </c>
      <c r="I264">
        <v>59414</v>
      </c>
      <c r="J264">
        <v>45871</v>
      </c>
      <c r="K264">
        <v>62035</v>
      </c>
      <c r="L264">
        <v>7708</v>
      </c>
      <c r="M264">
        <v>32822</v>
      </c>
      <c r="N264">
        <v>48828</v>
      </c>
    </row>
    <row r="265" spans="1:14" x14ac:dyDescent="0.2">
      <c r="A265" t="s">
        <v>201</v>
      </c>
      <c r="B265" t="s">
        <v>201</v>
      </c>
      <c r="C265">
        <v>219471</v>
      </c>
      <c r="D265">
        <v>46820</v>
      </c>
      <c r="F265">
        <v>50455</v>
      </c>
      <c r="G265">
        <v>45140</v>
      </c>
      <c r="H265">
        <v>44174</v>
      </c>
      <c r="I265">
        <v>46736</v>
      </c>
      <c r="J265">
        <v>47098</v>
      </c>
      <c r="K265">
        <v>30225</v>
      </c>
      <c r="L265">
        <v>2051</v>
      </c>
      <c r="M265">
        <v>34898</v>
      </c>
      <c r="N265">
        <v>31772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F266">
        <v>65613</v>
      </c>
      <c r="G266">
        <v>77394</v>
      </c>
      <c r="H266">
        <v>96268</v>
      </c>
      <c r="I266">
        <v>95951</v>
      </c>
      <c r="J266">
        <v>71243</v>
      </c>
      <c r="K266">
        <v>87764</v>
      </c>
      <c r="L266">
        <v>23912</v>
      </c>
      <c r="M266">
        <v>88678</v>
      </c>
      <c r="N266">
        <v>113227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F267">
        <v>214861</v>
      </c>
      <c r="G267">
        <v>159468</v>
      </c>
      <c r="H267">
        <v>262772</v>
      </c>
      <c r="I267">
        <v>188408</v>
      </c>
      <c r="J267">
        <v>231102</v>
      </c>
      <c r="K267">
        <v>222759</v>
      </c>
      <c r="L267">
        <v>20742</v>
      </c>
      <c r="M267">
        <v>200811</v>
      </c>
      <c r="N267">
        <v>148252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F268">
        <v>31134</v>
      </c>
      <c r="G268">
        <v>28822</v>
      </c>
      <c r="H268">
        <v>26813</v>
      </c>
      <c r="I268">
        <v>19320</v>
      </c>
      <c r="J268">
        <v>26990</v>
      </c>
      <c r="K268">
        <v>30264</v>
      </c>
      <c r="L268">
        <v>6718</v>
      </c>
      <c r="M268">
        <v>18645</v>
      </c>
      <c r="N268">
        <v>11130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F269">
        <v>35028</v>
      </c>
      <c r="G269">
        <v>28281</v>
      </c>
      <c r="H269">
        <v>27746</v>
      </c>
      <c r="I269">
        <v>28098</v>
      </c>
      <c r="J269">
        <v>27477</v>
      </c>
      <c r="K269">
        <v>39184</v>
      </c>
      <c r="L269">
        <v>8614</v>
      </c>
      <c r="M269">
        <v>26073</v>
      </c>
      <c r="N269">
        <v>30824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F270">
        <v>439630</v>
      </c>
      <c r="G270">
        <v>527506</v>
      </c>
      <c r="H270">
        <v>410755</v>
      </c>
      <c r="I270">
        <v>508781</v>
      </c>
      <c r="J270">
        <v>332692</v>
      </c>
      <c r="K270">
        <v>356150</v>
      </c>
      <c r="L270">
        <v>3</v>
      </c>
      <c r="M270">
        <v>393508</v>
      </c>
      <c r="N270">
        <v>451410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F271">
        <v>54927</v>
      </c>
      <c r="G271">
        <v>38750</v>
      </c>
      <c r="H271">
        <v>47511</v>
      </c>
      <c r="I271">
        <v>33809</v>
      </c>
      <c r="J271">
        <v>32786</v>
      </c>
      <c r="K271">
        <v>32279</v>
      </c>
      <c r="L271">
        <v>9600</v>
      </c>
      <c r="M271">
        <v>38711</v>
      </c>
      <c r="N271">
        <v>37563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F272">
        <v>136435</v>
      </c>
      <c r="G272">
        <v>170007</v>
      </c>
      <c r="H272">
        <v>171525</v>
      </c>
      <c r="I272">
        <v>130265</v>
      </c>
      <c r="J272">
        <v>129690</v>
      </c>
      <c r="K272">
        <v>123826</v>
      </c>
      <c r="L272">
        <v>0</v>
      </c>
      <c r="M272">
        <v>139559</v>
      </c>
      <c r="N272">
        <v>150787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F273">
        <v>92493</v>
      </c>
      <c r="G273">
        <v>73239</v>
      </c>
      <c r="H273">
        <v>54711</v>
      </c>
      <c r="I273">
        <v>57261</v>
      </c>
      <c r="J273">
        <v>75212</v>
      </c>
      <c r="K273">
        <v>67826</v>
      </c>
      <c r="L273">
        <v>7541</v>
      </c>
      <c r="M273">
        <v>112185</v>
      </c>
      <c r="N273">
        <v>99220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F274">
        <v>16305</v>
      </c>
      <c r="G274">
        <v>27895</v>
      </c>
      <c r="H274">
        <v>41276</v>
      </c>
      <c r="I274">
        <v>57231</v>
      </c>
      <c r="J274">
        <v>41019</v>
      </c>
      <c r="K274">
        <v>23985</v>
      </c>
      <c r="L274">
        <v>6211</v>
      </c>
      <c r="M274">
        <v>18362</v>
      </c>
      <c r="N274">
        <v>24025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F278">
        <v>287174</v>
      </c>
      <c r="G278">
        <v>349417</v>
      </c>
      <c r="H278">
        <v>264853</v>
      </c>
      <c r="I278">
        <v>284388</v>
      </c>
      <c r="J278">
        <v>227052</v>
      </c>
      <c r="K278">
        <v>259123</v>
      </c>
      <c r="L278">
        <v>0</v>
      </c>
      <c r="M278">
        <v>214106</v>
      </c>
      <c r="N278">
        <v>179791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F279">
        <v>22320</v>
      </c>
      <c r="G279">
        <v>18691</v>
      </c>
      <c r="H279">
        <v>20629</v>
      </c>
      <c r="I279">
        <v>11647</v>
      </c>
      <c r="J279">
        <v>12008</v>
      </c>
      <c r="K279">
        <v>11093</v>
      </c>
      <c r="L279">
        <v>1472</v>
      </c>
      <c r="M279">
        <v>7327</v>
      </c>
      <c r="N279">
        <v>9758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F280">
        <v>42629</v>
      </c>
      <c r="G280">
        <v>43607</v>
      </c>
      <c r="H280">
        <v>41719</v>
      </c>
      <c r="I280">
        <v>51487</v>
      </c>
      <c r="J280">
        <v>39068</v>
      </c>
      <c r="K280">
        <v>51214</v>
      </c>
      <c r="L280">
        <v>0</v>
      </c>
      <c r="M280">
        <v>33883</v>
      </c>
      <c r="N280">
        <v>25871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F281">
        <v>242682</v>
      </c>
      <c r="G281">
        <v>224717</v>
      </c>
      <c r="H281">
        <v>196828</v>
      </c>
      <c r="I281">
        <v>237504</v>
      </c>
      <c r="J281">
        <v>222260</v>
      </c>
      <c r="K281">
        <v>252985</v>
      </c>
      <c r="L281">
        <v>0</v>
      </c>
      <c r="M281">
        <v>227224</v>
      </c>
      <c r="N281">
        <v>285795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F282">
        <v>313036</v>
      </c>
      <c r="G282">
        <v>280604</v>
      </c>
      <c r="H282">
        <v>316179</v>
      </c>
      <c r="I282">
        <v>264481</v>
      </c>
      <c r="J282">
        <v>257205</v>
      </c>
      <c r="K282">
        <v>257288</v>
      </c>
      <c r="L282">
        <v>59714</v>
      </c>
      <c r="M282">
        <v>276704</v>
      </c>
      <c r="N282">
        <v>279373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F283">
        <v>140217</v>
      </c>
      <c r="G283">
        <v>264951</v>
      </c>
      <c r="H283">
        <v>190574</v>
      </c>
      <c r="I283">
        <v>163905</v>
      </c>
      <c r="J283">
        <v>170821</v>
      </c>
      <c r="K283">
        <v>206217</v>
      </c>
      <c r="L283">
        <v>3359</v>
      </c>
      <c r="M283">
        <v>128785</v>
      </c>
      <c r="N283">
        <v>120939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F284">
        <v>698276</v>
      </c>
      <c r="G284">
        <v>704088</v>
      </c>
      <c r="H284">
        <v>706776</v>
      </c>
      <c r="I284">
        <v>670454</v>
      </c>
      <c r="J284">
        <v>650887</v>
      </c>
      <c r="K284">
        <v>702912</v>
      </c>
      <c r="L284">
        <v>112660</v>
      </c>
      <c r="M284">
        <v>691088</v>
      </c>
      <c r="N284">
        <v>703727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F285">
        <v>66622</v>
      </c>
      <c r="G285">
        <v>58481</v>
      </c>
      <c r="H285">
        <v>55113</v>
      </c>
      <c r="I285">
        <v>48320</v>
      </c>
      <c r="J285">
        <v>41688</v>
      </c>
      <c r="K285">
        <v>52723</v>
      </c>
      <c r="L285">
        <v>7789</v>
      </c>
      <c r="M285">
        <v>16091</v>
      </c>
      <c r="N285">
        <v>49055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F286">
        <v>37328</v>
      </c>
      <c r="G286">
        <v>32779</v>
      </c>
      <c r="H286">
        <v>33765</v>
      </c>
      <c r="I286">
        <v>33023</v>
      </c>
      <c r="J286">
        <v>29053</v>
      </c>
      <c r="K286">
        <v>40203</v>
      </c>
      <c r="L286">
        <v>5083</v>
      </c>
      <c r="M286">
        <v>28782</v>
      </c>
      <c r="N286">
        <v>34553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F287">
        <v>564618</v>
      </c>
      <c r="G287">
        <v>540210</v>
      </c>
      <c r="H287">
        <v>587283</v>
      </c>
      <c r="I287">
        <v>556667</v>
      </c>
      <c r="J287">
        <v>586277</v>
      </c>
      <c r="K287">
        <v>577834</v>
      </c>
      <c r="L287">
        <v>85690</v>
      </c>
      <c r="M287">
        <v>551631</v>
      </c>
      <c r="N287">
        <v>701697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F288">
        <v>630735</v>
      </c>
      <c r="G288">
        <v>725354</v>
      </c>
      <c r="H288">
        <v>713418</v>
      </c>
      <c r="I288">
        <v>691612</v>
      </c>
      <c r="J288">
        <v>698908</v>
      </c>
      <c r="K288">
        <v>779673</v>
      </c>
      <c r="L288">
        <v>99503</v>
      </c>
      <c r="M288">
        <v>720181</v>
      </c>
      <c r="N288">
        <v>680491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F289">
        <v>25906</v>
      </c>
      <c r="G289">
        <v>35376</v>
      </c>
      <c r="H289">
        <v>26855</v>
      </c>
      <c r="I289">
        <v>43994</v>
      </c>
      <c r="J289">
        <v>21773</v>
      </c>
      <c r="K289">
        <v>36814</v>
      </c>
      <c r="L289">
        <v>0</v>
      </c>
      <c r="M289">
        <v>26839</v>
      </c>
      <c r="N289">
        <v>42706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F290">
        <v>123589</v>
      </c>
      <c r="G290">
        <v>108998</v>
      </c>
      <c r="H290">
        <v>108717</v>
      </c>
      <c r="I290">
        <v>104680</v>
      </c>
      <c r="J290">
        <v>78689</v>
      </c>
      <c r="K290">
        <v>102840</v>
      </c>
      <c r="L290">
        <v>37708</v>
      </c>
      <c r="M290">
        <v>106119</v>
      </c>
      <c r="N290">
        <v>105247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F291">
        <v>353603</v>
      </c>
      <c r="G291">
        <v>338042</v>
      </c>
      <c r="H291">
        <v>349498</v>
      </c>
      <c r="I291">
        <v>330390</v>
      </c>
      <c r="J291">
        <v>336203</v>
      </c>
      <c r="K291">
        <v>320510</v>
      </c>
      <c r="L291">
        <v>78526</v>
      </c>
      <c r="M291">
        <v>314411</v>
      </c>
      <c r="N291">
        <v>400043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F292">
        <v>57031</v>
      </c>
      <c r="G292">
        <v>64070</v>
      </c>
      <c r="H292">
        <v>70363</v>
      </c>
      <c r="I292">
        <v>44972</v>
      </c>
      <c r="J292">
        <v>46715</v>
      </c>
      <c r="K292">
        <v>56066</v>
      </c>
      <c r="L292">
        <v>14993</v>
      </c>
      <c r="M292">
        <v>59894</v>
      </c>
      <c r="N292">
        <v>49326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F293">
        <v>117286</v>
      </c>
      <c r="G293">
        <v>125051</v>
      </c>
      <c r="H293">
        <v>123766</v>
      </c>
      <c r="I293">
        <v>124470</v>
      </c>
      <c r="J293">
        <v>149462</v>
      </c>
      <c r="K293">
        <v>122393</v>
      </c>
      <c r="L293">
        <v>0</v>
      </c>
      <c r="M293">
        <v>110617</v>
      </c>
      <c r="N293">
        <v>117339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F294">
        <v>43726</v>
      </c>
      <c r="G294">
        <v>39566</v>
      </c>
      <c r="H294">
        <v>28514</v>
      </c>
      <c r="I294">
        <v>26884</v>
      </c>
      <c r="J294">
        <v>36681</v>
      </c>
      <c r="K294">
        <v>38872</v>
      </c>
      <c r="L294">
        <v>0</v>
      </c>
      <c r="M294">
        <v>27805</v>
      </c>
      <c r="N294">
        <v>27839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F295">
        <v>100602</v>
      </c>
      <c r="G295">
        <v>96993</v>
      </c>
      <c r="H295">
        <v>135203</v>
      </c>
      <c r="I295">
        <v>146737</v>
      </c>
      <c r="J295">
        <v>147160</v>
      </c>
      <c r="K295">
        <v>140996</v>
      </c>
      <c r="L295">
        <v>56000</v>
      </c>
      <c r="M295">
        <v>142009</v>
      </c>
      <c r="N295">
        <v>179628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F296">
        <v>150074</v>
      </c>
      <c r="G296">
        <v>137577</v>
      </c>
      <c r="H296">
        <v>136310</v>
      </c>
      <c r="I296">
        <v>101634</v>
      </c>
      <c r="J296">
        <v>108090</v>
      </c>
      <c r="K296">
        <v>121628</v>
      </c>
      <c r="L296">
        <v>4800</v>
      </c>
      <c r="M296">
        <v>87441</v>
      </c>
      <c r="N296">
        <v>172646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F297">
        <v>117881</v>
      </c>
      <c r="G297">
        <v>117730</v>
      </c>
      <c r="H297">
        <v>115404</v>
      </c>
      <c r="I297">
        <v>110751</v>
      </c>
      <c r="J297">
        <v>102590</v>
      </c>
      <c r="K297">
        <v>112443</v>
      </c>
      <c r="L297">
        <v>3900</v>
      </c>
      <c r="M297">
        <v>96459</v>
      </c>
      <c r="N297">
        <v>112470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F298">
        <v>131047</v>
      </c>
      <c r="G298">
        <v>0</v>
      </c>
      <c r="H298">
        <v>0</v>
      </c>
      <c r="I298">
        <v>158252</v>
      </c>
      <c r="J298">
        <v>145747</v>
      </c>
      <c r="K298">
        <v>148355</v>
      </c>
      <c r="L298">
        <v>47971</v>
      </c>
      <c r="M298">
        <v>128147</v>
      </c>
      <c r="N298">
        <v>138348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F299">
        <v>37388</v>
      </c>
      <c r="G299">
        <v>29433</v>
      </c>
      <c r="H299">
        <v>35565</v>
      </c>
      <c r="I299">
        <v>29011</v>
      </c>
      <c r="J299">
        <v>27096</v>
      </c>
      <c r="K299">
        <v>26808</v>
      </c>
      <c r="L299">
        <v>0</v>
      </c>
      <c r="M299">
        <v>23419</v>
      </c>
      <c r="N299">
        <v>26201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F300">
        <v>30606</v>
      </c>
      <c r="G300">
        <v>28622</v>
      </c>
      <c r="H300">
        <v>31931</v>
      </c>
      <c r="I300">
        <v>41472</v>
      </c>
      <c r="J300">
        <v>42529</v>
      </c>
      <c r="K300">
        <v>47502</v>
      </c>
      <c r="L300">
        <v>1720</v>
      </c>
      <c r="M300">
        <v>52109</v>
      </c>
      <c r="N300">
        <v>47359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F304">
        <v>226869</v>
      </c>
      <c r="G304">
        <v>180388</v>
      </c>
      <c r="H304">
        <v>214814</v>
      </c>
      <c r="I304">
        <v>257924</v>
      </c>
      <c r="J304">
        <v>352148</v>
      </c>
      <c r="K304">
        <v>262728</v>
      </c>
      <c r="L304">
        <v>37458</v>
      </c>
      <c r="M304">
        <v>282989</v>
      </c>
      <c r="N304">
        <v>290792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F305">
        <v>459901</v>
      </c>
      <c r="G305">
        <v>401149</v>
      </c>
      <c r="H305">
        <v>404751</v>
      </c>
      <c r="I305">
        <v>336262</v>
      </c>
      <c r="J305">
        <v>358147</v>
      </c>
      <c r="K305">
        <v>263092</v>
      </c>
      <c r="L305">
        <v>0</v>
      </c>
      <c r="M305">
        <v>320729</v>
      </c>
      <c r="N305">
        <v>332740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F306">
        <v>192230</v>
      </c>
      <c r="G306">
        <v>169343</v>
      </c>
      <c r="H306">
        <v>187569</v>
      </c>
      <c r="I306">
        <v>122007</v>
      </c>
      <c r="J306">
        <v>125543</v>
      </c>
      <c r="K306">
        <v>109297</v>
      </c>
      <c r="L306">
        <v>0</v>
      </c>
      <c r="M306">
        <v>88116</v>
      </c>
      <c r="N306">
        <v>132572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F308">
        <v>18998</v>
      </c>
      <c r="G308">
        <v>18827</v>
      </c>
      <c r="H308">
        <v>29575</v>
      </c>
      <c r="I308">
        <v>24405</v>
      </c>
      <c r="J308">
        <v>14383</v>
      </c>
      <c r="K308">
        <v>19643</v>
      </c>
      <c r="L308">
        <v>2998</v>
      </c>
      <c r="M308">
        <v>14898</v>
      </c>
      <c r="N308">
        <v>15355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F309">
        <v>90540</v>
      </c>
      <c r="G309">
        <v>58659</v>
      </c>
      <c r="H309">
        <v>67057</v>
      </c>
      <c r="I309">
        <v>49640</v>
      </c>
      <c r="J309">
        <v>71048</v>
      </c>
      <c r="K309">
        <v>100367</v>
      </c>
      <c r="L309">
        <v>26270</v>
      </c>
      <c r="M309">
        <v>79678</v>
      </c>
      <c r="N309">
        <v>66902</v>
      </c>
    </row>
    <row r="310" spans="1:14" x14ac:dyDescent="0.2">
      <c r="A310" t="s">
        <v>569</v>
      </c>
      <c r="B310" t="s">
        <v>569</v>
      </c>
      <c r="C310">
        <v>166513</v>
      </c>
      <c r="D310">
        <v>31700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F316">
        <v>87433</v>
      </c>
      <c r="G316">
        <v>69293</v>
      </c>
      <c r="H316">
        <v>60613</v>
      </c>
      <c r="I316">
        <v>58175</v>
      </c>
      <c r="J316">
        <v>56020</v>
      </c>
      <c r="K316">
        <v>59023</v>
      </c>
      <c r="L316">
        <v>7702</v>
      </c>
      <c r="M316">
        <v>33784</v>
      </c>
      <c r="N316">
        <v>50154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F317">
        <v>94043</v>
      </c>
      <c r="G317">
        <v>116228</v>
      </c>
      <c r="H317">
        <v>110336</v>
      </c>
      <c r="I317">
        <v>104692</v>
      </c>
      <c r="J317">
        <v>100935</v>
      </c>
      <c r="K317">
        <v>119186</v>
      </c>
      <c r="L317">
        <v>4000</v>
      </c>
      <c r="M317">
        <v>134139</v>
      </c>
      <c r="N317">
        <v>132673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F320">
        <v>18983</v>
      </c>
      <c r="G320">
        <v>23742</v>
      </c>
      <c r="H320">
        <v>18440</v>
      </c>
      <c r="I320">
        <v>16380</v>
      </c>
      <c r="J320">
        <v>14430</v>
      </c>
      <c r="K320">
        <v>15569</v>
      </c>
      <c r="L320">
        <v>6000</v>
      </c>
      <c r="M320">
        <v>21039</v>
      </c>
      <c r="N320">
        <v>22364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F321">
        <v>278619</v>
      </c>
      <c r="G321">
        <v>325732</v>
      </c>
      <c r="H321">
        <v>279038</v>
      </c>
      <c r="I321">
        <v>321390</v>
      </c>
      <c r="J321">
        <v>277992</v>
      </c>
      <c r="K321">
        <v>325237</v>
      </c>
      <c r="L321">
        <v>0</v>
      </c>
      <c r="M321">
        <v>310902</v>
      </c>
      <c r="N321">
        <v>312341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F322">
        <v>122803</v>
      </c>
      <c r="G322">
        <v>128172</v>
      </c>
      <c r="H322">
        <v>114814</v>
      </c>
      <c r="I322">
        <v>120650</v>
      </c>
      <c r="J322">
        <v>112302</v>
      </c>
      <c r="K322">
        <v>117655</v>
      </c>
      <c r="L322">
        <v>8339</v>
      </c>
      <c r="M322">
        <v>128268</v>
      </c>
      <c r="N322">
        <v>101724</v>
      </c>
    </row>
    <row r="323" spans="1:14" x14ac:dyDescent="0.2">
      <c r="A323" t="s">
        <v>236</v>
      </c>
      <c r="B323" t="s">
        <v>236</v>
      </c>
      <c r="C323">
        <v>230737</v>
      </c>
      <c r="D323">
        <v>39340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F324">
        <v>170260</v>
      </c>
      <c r="G324">
        <v>116058</v>
      </c>
      <c r="H324">
        <v>161004</v>
      </c>
      <c r="I324">
        <v>97740</v>
      </c>
      <c r="J324">
        <v>84931</v>
      </c>
      <c r="K324">
        <v>102558</v>
      </c>
      <c r="L324">
        <v>17715</v>
      </c>
      <c r="M324">
        <v>100871</v>
      </c>
      <c r="N324">
        <v>114804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F326">
        <v>165458</v>
      </c>
      <c r="G326">
        <v>138048</v>
      </c>
      <c r="H326">
        <v>138226</v>
      </c>
      <c r="I326">
        <v>114104</v>
      </c>
      <c r="J326">
        <v>148257</v>
      </c>
      <c r="K326">
        <v>119424</v>
      </c>
      <c r="L326">
        <v>38973</v>
      </c>
      <c r="M326">
        <v>186500</v>
      </c>
      <c r="N326">
        <v>202420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F327">
        <v>14231</v>
      </c>
      <c r="G327">
        <v>11229</v>
      </c>
      <c r="H327">
        <v>10171</v>
      </c>
      <c r="I327">
        <v>11885</v>
      </c>
      <c r="J327">
        <v>11264</v>
      </c>
      <c r="K327">
        <v>12340</v>
      </c>
      <c r="L327">
        <v>1239</v>
      </c>
      <c r="M327">
        <v>12402</v>
      </c>
      <c r="N327">
        <v>10736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F328">
        <v>274063</v>
      </c>
      <c r="G328">
        <v>192802</v>
      </c>
      <c r="H328">
        <v>187451</v>
      </c>
      <c r="I328">
        <v>219390</v>
      </c>
      <c r="J328">
        <v>196313</v>
      </c>
      <c r="K328">
        <v>184016</v>
      </c>
      <c r="L328">
        <v>6124</v>
      </c>
      <c r="M328">
        <v>164204</v>
      </c>
      <c r="N328">
        <v>175157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F331">
        <v>42880</v>
      </c>
      <c r="G331">
        <v>33835</v>
      </c>
      <c r="H331">
        <v>32826</v>
      </c>
      <c r="I331">
        <v>28244</v>
      </c>
      <c r="J331">
        <v>28303</v>
      </c>
      <c r="K331">
        <v>36020</v>
      </c>
      <c r="L331">
        <v>1344</v>
      </c>
      <c r="M331">
        <v>45593</v>
      </c>
      <c r="N331">
        <v>35391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F332">
        <v>275243</v>
      </c>
      <c r="G332">
        <v>302994</v>
      </c>
      <c r="H332">
        <v>239576</v>
      </c>
      <c r="I332">
        <v>275788</v>
      </c>
      <c r="J332">
        <v>238232</v>
      </c>
      <c r="K332">
        <v>335040</v>
      </c>
      <c r="L332">
        <v>4500</v>
      </c>
      <c r="M332">
        <v>297072</v>
      </c>
      <c r="N332">
        <v>244086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F333">
        <v>428099</v>
      </c>
      <c r="G333">
        <v>364942</v>
      </c>
      <c r="H333">
        <v>378259</v>
      </c>
      <c r="I333">
        <v>379284</v>
      </c>
      <c r="J333">
        <v>417019</v>
      </c>
      <c r="K333">
        <v>408049</v>
      </c>
      <c r="L333">
        <v>4500</v>
      </c>
      <c r="M333">
        <v>411103</v>
      </c>
      <c r="N333">
        <v>321783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F334">
        <v>26314</v>
      </c>
      <c r="G334">
        <v>28668</v>
      </c>
      <c r="H334">
        <v>24765</v>
      </c>
      <c r="I334">
        <v>21623</v>
      </c>
      <c r="J334">
        <v>20556</v>
      </c>
      <c r="K334">
        <v>24127</v>
      </c>
      <c r="L334">
        <v>7250</v>
      </c>
      <c r="M334">
        <v>26086</v>
      </c>
      <c r="N334">
        <v>34313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F335">
        <v>9111</v>
      </c>
      <c r="G335">
        <v>11137</v>
      </c>
      <c r="H335">
        <v>14514</v>
      </c>
      <c r="I335">
        <v>11042</v>
      </c>
      <c r="J335">
        <v>9070</v>
      </c>
      <c r="K335">
        <v>12447</v>
      </c>
      <c r="L335">
        <v>0</v>
      </c>
      <c r="M335">
        <v>9606</v>
      </c>
      <c r="N335">
        <v>7415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F336">
        <v>163260</v>
      </c>
      <c r="G336">
        <v>160043</v>
      </c>
      <c r="H336">
        <v>185192</v>
      </c>
      <c r="I336">
        <v>170614</v>
      </c>
      <c r="J336">
        <v>187892</v>
      </c>
      <c r="K336">
        <v>188996</v>
      </c>
      <c r="L336">
        <v>6447</v>
      </c>
      <c r="M336">
        <v>172326</v>
      </c>
      <c r="N336">
        <v>210371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F337">
        <v>451555</v>
      </c>
      <c r="G337">
        <v>433432</v>
      </c>
      <c r="H337">
        <v>452123</v>
      </c>
      <c r="I337">
        <v>481755</v>
      </c>
      <c r="J337">
        <v>414405</v>
      </c>
      <c r="K337">
        <v>477668</v>
      </c>
      <c r="L337">
        <v>1084</v>
      </c>
      <c r="M337">
        <v>434323</v>
      </c>
      <c r="N337">
        <v>440529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F338">
        <v>184762</v>
      </c>
      <c r="G338">
        <v>176444</v>
      </c>
      <c r="H338">
        <v>221722</v>
      </c>
      <c r="I338">
        <v>223875</v>
      </c>
      <c r="J338">
        <v>210637</v>
      </c>
      <c r="K338">
        <v>171247</v>
      </c>
      <c r="L338">
        <v>0</v>
      </c>
      <c r="M338">
        <v>162522</v>
      </c>
      <c r="N338">
        <v>183294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F339">
        <v>42522</v>
      </c>
      <c r="G339">
        <v>32516</v>
      </c>
      <c r="H339">
        <v>43672</v>
      </c>
      <c r="I339">
        <v>52794</v>
      </c>
      <c r="J339">
        <v>57817</v>
      </c>
      <c r="K339">
        <v>59506</v>
      </c>
      <c r="L339">
        <v>17359</v>
      </c>
      <c r="M339">
        <v>32022</v>
      </c>
      <c r="N339">
        <v>57406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F340">
        <v>340117</v>
      </c>
      <c r="G340">
        <v>383779</v>
      </c>
      <c r="H340">
        <v>403084</v>
      </c>
      <c r="I340">
        <v>335678</v>
      </c>
      <c r="J340">
        <v>348947</v>
      </c>
      <c r="K340">
        <v>335443</v>
      </c>
      <c r="L340">
        <v>34265</v>
      </c>
      <c r="M340">
        <v>309500</v>
      </c>
      <c r="N340">
        <v>285946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F341">
        <v>57150</v>
      </c>
      <c r="G341">
        <v>50593</v>
      </c>
      <c r="H341">
        <v>52323</v>
      </c>
      <c r="I341">
        <v>52735</v>
      </c>
      <c r="J341">
        <v>52900</v>
      </c>
      <c r="K341">
        <v>52814</v>
      </c>
      <c r="L341">
        <v>2280</v>
      </c>
      <c r="M341">
        <v>49120</v>
      </c>
      <c r="N341">
        <v>49379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F342">
        <v>27152</v>
      </c>
      <c r="G342">
        <v>23871</v>
      </c>
      <c r="H342">
        <v>24549</v>
      </c>
      <c r="I342">
        <v>13907</v>
      </c>
      <c r="J342">
        <v>15897</v>
      </c>
      <c r="K342">
        <v>15922</v>
      </c>
      <c r="L342">
        <v>2300</v>
      </c>
      <c r="M342">
        <v>16409</v>
      </c>
      <c r="N342">
        <v>19692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F343">
        <v>97833</v>
      </c>
      <c r="G343">
        <v>107759</v>
      </c>
      <c r="H343">
        <v>123935</v>
      </c>
      <c r="I343">
        <v>94234</v>
      </c>
      <c r="J343">
        <v>71157</v>
      </c>
      <c r="K343">
        <v>91148</v>
      </c>
      <c r="L343">
        <v>20247</v>
      </c>
      <c r="M343">
        <v>98912</v>
      </c>
      <c r="N343">
        <v>92638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F344">
        <v>78124</v>
      </c>
      <c r="G344">
        <v>116646</v>
      </c>
      <c r="H344">
        <v>143025</v>
      </c>
      <c r="I344">
        <v>95314</v>
      </c>
      <c r="J344">
        <v>109756</v>
      </c>
      <c r="K344">
        <v>107619</v>
      </c>
      <c r="L344">
        <v>839</v>
      </c>
      <c r="M344">
        <v>82138</v>
      </c>
      <c r="N344">
        <v>91557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F346">
        <v>53946</v>
      </c>
      <c r="G346">
        <v>53802</v>
      </c>
      <c r="H346">
        <v>50838</v>
      </c>
      <c r="I346">
        <v>41182</v>
      </c>
      <c r="J346">
        <v>36922</v>
      </c>
      <c r="K346">
        <v>51730</v>
      </c>
      <c r="L346">
        <v>2000</v>
      </c>
      <c r="M346">
        <v>37557</v>
      </c>
      <c r="N346">
        <v>57238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F348">
        <v>556642</v>
      </c>
      <c r="G348">
        <v>546099</v>
      </c>
      <c r="H348">
        <v>476144</v>
      </c>
      <c r="I348">
        <v>551766</v>
      </c>
      <c r="J348">
        <v>540072</v>
      </c>
      <c r="K348">
        <v>535301</v>
      </c>
      <c r="L348">
        <v>0</v>
      </c>
      <c r="M348">
        <v>514259</v>
      </c>
      <c r="N348">
        <v>519113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F349">
        <v>38820</v>
      </c>
      <c r="G349">
        <v>42043</v>
      </c>
      <c r="H349">
        <v>40732</v>
      </c>
      <c r="I349">
        <v>38831</v>
      </c>
      <c r="J349">
        <v>34837</v>
      </c>
      <c r="K349">
        <v>25867</v>
      </c>
      <c r="L349">
        <v>3346</v>
      </c>
      <c r="M349">
        <v>23431</v>
      </c>
      <c r="N349">
        <v>20609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F351">
        <v>117593</v>
      </c>
      <c r="G351">
        <v>108361</v>
      </c>
      <c r="H351">
        <v>148860</v>
      </c>
      <c r="I351">
        <v>144299</v>
      </c>
      <c r="J351">
        <v>113277</v>
      </c>
      <c r="K351">
        <v>138042</v>
      </c>
      <c r="L351">
        <v>9210</v>
      </c>
      <c r="M351">
        <v>129748</v>
      </c>
      <c r="N351">
        <v>118244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F353">
        <v>91159</v>
      </c>
      <c r="G353">
        <v>82189</v>
      </c>
      <c r="H353">
        <v>43977</v>
      </c>
      <c r="I353">
        <v>94699</v>
      </c>
      <c r="J353">
        <v>38286</v>
      </c>
      <c r="K353">
        <v>72796</v>
      </c>
      <c r="L353">
        <v>0</v>
      </c>
      <c r="M353">
        <v>66315</v>
      </c>
      <c r="N353">
        <v>31495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F354">
        <v>84669</v>
      </c>
      <c r="G354">
        <v>89125</v>
      </c>
      <c r="H354">
        <v>99508</v>
      </c>
      <c r="I354">
        <v>85220</v>
      </c>
      <c r="J354">
        <v>69322</v>
      </c>
      <c r="K354">
        <v>84150</v>
      </c>
      <c r="L354">
        <v>6188</v>
      </c>
      <c r="M354">
        <v>52562</v>
      </c>
      <c r="N354">
        <v>60388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0B3D-15E1-488B-AA43-73AA8D376F21}">
  <sheetPr>
    <tabColor theme="4"/>
  </sheetPr>
  <dimension ref="A1:O354"/>
  <sheetViews>
    <sheetView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0</v>
      </c>
      <c r="N2">
        <v>0</v>
      </c>
      <c r="O2">
        <v>0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0</v>
      </c>
      <c r="F4">
        <v>35424</v>
      </c>
      <c r="G4">
        <v>36399</v>
      </c>
      <c r="H4">
        <v>37422</v>
      </c>
      <c r="I4">
        <v>36521</v>
      </c>
      <c r="J4">
        <v>36830</v>
      </c>
      <c r="K4">
        <v>38866</v>
      </c>
      <c r="M4">
        <v>31780</v>
      </c>
      <c r="N4">
        <v>31805</v>
      </c>
      <c r="O4">
        <v>43528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0</v>
      </c>
      <c r="F13">
        <v>0</v>
      </c>
      <c r="G13">
        <v>1448</v>
      </c>
      <c r="H13">
        <v>14183</v>
      </c>
      <c r="I13">
        <v>19307</v>
      </c>
      <c r="J13">
        <v>17783</v>
      </c>
      <c r="K13">
        <v>15795</v>
      </c>
      <c r="M13">
        <v>12977</v>
      </c>
      <c r="N13">
        <v>105733</v>
      </c>
      <c r="O13">
        <v>124503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</row>
    <row r="17" spans="1:15" x14ac:dyDescent="0.2">
      <c r="A17" t="s">
        <v>343</v>
      </c>
      <c r="B17" t="s">
        <v>343</v>
      </c>
      <c r="C17">
        <v>500001</v>
      </c>
      <c r="D17">
        <v>35620</v>
      </c>
      <c r="E17">
        <v>0</v>
      </c>
      <c r="F17">
        <v>27157</v>
      </c>
      <c r="G17">
        <v>35312</v>
      </c>
      <c r="H17">
        <v>31972</v>
      </c>
      <c r="I17">
        <v>34869</v>
      </c>
      <c r="J17">
        <v>29812</v>
      </c>
      <c r="K17">
        <v>29975</v>
      </c>
      <c r="M17">
        <v>25380</v>
      </c>
      <c r="N17">
        <v>31381</v>
      </c>
      <c r="O17">
        <v>30175</v>
      </c>
    </row>
    <row r="18" spans="1:15" x14ac:dyDescent="0.2">
      <c r="A18" t="s">
        <v>51</v>
      </c>
      <c r="B18" t="s">
        <v>51</v>
      </c>
      <c r="C18">
        <v>100858</v>
      </c>
      <c r="D18">
        <v>12220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</row>
    <row r="19" spans="1:15" x14ac:dyDescent="0.2">
      <c r="A19" t="s">
        <v>344</v>
      </c>
      <c r="B19" t="s">
        <v>344</v>
      </c>
      <c r="C19">
        <v>219602</v>
      </c>
      <c r="D19">
        <v>17300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</row>
    <row r="20" spans="1:15" x14ac:dyDescent="0.2">
      <c r="A20" t="s">
        <v>345</v>
      </c>
      <c r="B20" t="s">
        <v>345</v>
      </c>
      <c r="C20">
        <v>150136</v>
      </c>
      <c r="D20">
        <v>34620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</row>
    <row r="21" spans="1:15" x14ac:dyDescent="0.2">
      <c r="A21" t="s">
        <v>346</v>
      </c>
      <c r="B21" t="s">
        <v>346</v>
      </c>
      <c r="C21">
        <v>223232</v>
      </c>
      <c r="D21">
        <v>47380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</row>
    <row r="22" spans="1:15" x14ac:dyDescent="0.2">
      <c r="A22" t="s">
        <v>347</v>
      </c>
      <c r="B22" t="s">
        <v>347</v>
      </c>
      <c r="C22">
        <v>219709</v>
      </c>
      <c r="D22">
        <v>34980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</row>
    <row r="23" spans="1:15" x14ac:dyDescent="0.2">
      <c r="A23" t="s">
        <v>348</v>
      </c>
      <c r="B23" t="s">
        <v>348</v>
      </c>
      <c r="C23">
        <v>132602</v>
      </c>
      <c r="D23">
        <v>19660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</row>
    <row r="24" spans="1:15" x14ac:dyDescent="0.2">
      <c r="A24" t="s">
        <v>55</v>
      </c>
      <c r="B24" t="s">
        <v>55</v>
      </c>
      <c r="C24">
        <v>196079</v>
      </c>
      <c r="D24">
        <v>13780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</row>
    <row r="25" spans="1:15" x14ac:dyDescent="0.2">
      <c r="A25" t="s">
        <v>349</v>
      </c>
      <c r="B25" t="s">
        <v>349</v>
      </c>
      <c r="C25">
        <v>142115</v>
      </c>
      <c r="D25">
        <v>14260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</row>
    <row r="26" spans="1:15" x14ac:dyDescent="0.2">
      <c r="A26" t="s">
        <v>350</v>
      </c>
      <c r="B26" t="s">
        <v>350</v>
      </c>
      <c r="C26">
        <v>164924</v>
      </c>
      <c r="D26">
        <v>14460</v>
      </c>
      <c r="E26">
        <v>0</v>
      </c>
      <c r="F26">
        <v>93981</v>
      </c>
      <c r="G26">
        <v>89373</v>
      </c>
      <c r="H26">
        <v>74789</v>
      </c>
      <c r="I26">
        <v>83380</v>
      </c>
      <c r="J26">
        <v>61590</v>
      </c>
      <c r="K26">
        <v>82599</v>
      </c>
      <c r="M26">
        <v>70640</v>
      </c>
      <c r="N26">
        <v>75624</v>
      </c>
      <c r="O26">
        <v>124117</v>
      </c>
    </row>
    <row r="27" spans="1:15" x14ac:dyDescent="0.2">
      <c r="A27" t="s">
        <v>351</v>
      </c>
      <c r="B27" t="s">
        <v>351</v>
      </c>
      <c r="C27">
        <v>164988</v>
      </c>
      <c r="D27">
        <v>14380</v>
      </c>
      <c r="E27">
        <v>0</v>
      </c>
      <c r="F27">
        <v>86168</v>
      </c>
      <c r="G27">
        <v>78480</v>
      </c>
      <c r="H27">
        <v>79768</v>
      </c>
      <c r="I27">
        <v>68406</v>
      </c>
      <c r="J27">
        <v>57457</v>
      </c>
      <c r="K27">
        <v>56322</v>
      </c>
      <c r="M27">
        <v>57669</v>
      </c>
      <c r="N27">
        <v>73590</v>
      </c>
      <c r="O27">
        <v>84569</v>
      </c>
    </row>
    <row r="28" spans="1:15" x14ac:dyDescent="0.2">
      <c r="A28" t="s">
        <v>57</v>
      </c>
      <c r="B28" t="s">
        <v>57</v>
      </c>
      <c r="C28">
        <v>201441</v>
      </c>
      <c r="D28">
        <v>45780</v>
      </c>
      <c r="E28">
        <v>0</v>
      </c>
      <c r="F28">
        <v>45614</v>
      </c>
      <c r="G28">
        <v>56084</v>
      </c>
      <c r="H28">
        <v>46989</v>
      </c>
      <c r="I28">
        <v>46093</v>
      </c>
      <c r="J28">
        <v>50826</v>
      </c>
      <c r="K28">
        <v>44214</v>
      </c>
      <c r="M28">
        <v>39914</v>
      </c>
      <c r="N28">
        <v>57446</v>
      </c>
      <c r="O28">
        <v>46227</v>
      </c>
    </row>
    <row r="29" spans="1:15" x14ac:dyDescent="0.2">
      <c r="A29" t="s">
        <v>352</v>
      </c>
      <c r="B29" t="s">
        <v>352</v>
      </c>
      <c r="C29">
        <v>143358</v>
      </c>
      <c r="D29">
        <v>37900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</row>
    <row r="30" spans="1:15" x14ac:dyDescent="0.2">
      <c r="A30" t="s">
        <v>353</v>
      </c>
      <c r="B30" t="s">
        <v>353</v>
      </c>
      <c r="C30">
        <v>217156</v>
      </c>
      <c r="D30">
        <v>39300</v>
      </c>
      <c r="E30">
        <v>0</v>
      </c>
      <c r="F30">
        <v>13138</v>
      </c>
      <c r="G30">
        <v>14265</v>
      </c>
      <c r="H30">
        <v>12348</v>
      </c>
      <c r="I30">
        <v>12913</v>
      </c>
      <c r="J30">
        <v>11704</v>
      </c>
      <c r="K30">
        <v>9007</v>
      </c>
      <c r="M30">
        <v>5880</v>
      </c>
      <c r="N30">
        <v>10363</v>
      </c>
      <c r="O30">
        <v>12526</v>
      </c>
    </row>
    <row r="31" spans="1:15" x14ac:dyDescent="0.2">
      <c r="A31" t="s">
        <v>354</v>
      </c>
      <c r="B31" t="s">
        <v>354</v>
      </c>
      <c r="C31">
        <v>217165</v>
      </c>
      <c r="D31">
        <v>39300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M31">
        <v>0</v>
      </c>
      <c r="N31">
        <v>0</v>
      </c>
      <c r="O31">
        <v>0</v>
      </c>
    </row>
    <row r="32" spans="1:15" x14ac:dyDescent="0.2">
      <c r="A32" t="s">
        <v>355</v>
      </c>
      <c r="B32" t="s">
        <v>355</v>
      </c>
      <c r="C32">
        <v>211291</v>
      </c>
      <c r="D32">
        <v>30260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M32">
        <v>0</v>
      </c>
      <c r="N32">
        <v>0</v>
      </c>
      <c r="O32">
        <v>0</v>
      </c>
    </row>
    <row r="33" spans="1:15" x14ac:dyDescent="0.2">
      <c r="A33" t="s">
        <v>58</v>
      </c>
      <c r="B33" t="s">
        <v>58</v>
      </c>
      <c r="C33">
        <v>196088</v>
      </c>
      <c r="D33">
        <v>15380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</row>
    <row r="34" spans="1:15" x14ac:dyDescent="0.2">
      <c r="A34" t="s">
        <v>356</v>
      </c>
      <c r="B34" t="s">
        <v>356</v>
      </c>
      <c r="C34">
        <v>150163</v>
      </c>
      <c r="D34">
        <v>26900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</row>
    <row r="35" spans="1:15" x14ac:dyDescent="0.2">
      <c r="A35" t="s">
        <v>357</v>
      </c>
      <c r="B35" t="s">
        <v>357</v>
      </c>
      <c r="C35">
        <v>230038</v>
      </c>
      <c r="D35">
        <v>39340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</row>
    <row r="36" spans="1:15" x14ac:dyDescent="0.2">
      <c r="A36" t="s">
        <v>59</v>
      </c>
      <c r="B36" t="s">
        <v>59</v>
      </c>
      <c r="C36">
        <v>110422</v>
      </c>
      <c r="D36">
        <v>42020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</row>
    <row r="37" spans="1:15" x14ac:dyDescent="0.2">
      <c r="A37" t="s">
        <v>358</v>
      </c>
      <c r="B37" t="s">
        <v>358</v>
      </c>
      <c r="C37">
        <v>110565</v>
      </c>
      <c r="D37">
        <v>31080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M37">
        <v>0</v>
      </c>
      <c r="N37">
        <v>0</v>
      </c>
      <c r="O37">
        <v>0</v>
      </c>
    </row>
    <row r="38" spans="1:15" x14ac:dyDescent="0.2">
      <c r="A38" t="s">
        <v>63</v>
      </c>
      <c r="B38" t="s">
        <v>63</v>
      </c>
      <c r="C38">
        <v>110635</v>
      </c>
      <c r="D38">
        <v>41860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M38">
        <v>0</v>
      </c>
      <c r="N38">
        <v>0</v>
      </c>
      <c r="O38">
        <v>0</v>
      </c>
    </row>
    <row r="39" spans="1:15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M39">
        <v>0</v>
      </c>
      <c r="N39">
        <v>0</v>
      </c>
      <c r="O39">
        <v>0</v>
      </c>
    </row>
    <row r="40" spans="1:15" x14ac:dyDescent="0.2">
      <c r="A40" t="s">
        <v>360</v>
      </c>
      <c r="B40" t="s">
        <v>360</v>
      </c>
      <c r="C40">
        <v>198136</v>
      </c>
      <c r="D40">
        <v>15820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</row>
    <row r="41" spans="1:15" x14ac:dyDescent="0.2">
      <c r="A41" t="s">
        <v>361</v>
      </c>
      <c r="B41" t="s">
        <v>361</v>
      </c>
      <c r="C41">
        <v>189705</v>
      </c>
      <c r="D41">
        <v>15380</v>
      </c>
      <c r="E41">
        <v>0</v>
      </c>
      <c r="F41">
        <v>21744</v>
      </c>
      <c r="G41">
        <v>21835</v>
      </c>
      <c r="H41">
        <v>19544</v>
      </c>
      <c r="I41">
        <v>17008</v>
      </c>
      <c r="J41">
        <v>17565</v>
      </c>
      <c r="K41">
        <v>12625</v>
      </c>
      <c r="M41">
        <v>11060</v>
      </c>
      <c r="N41">
        <v>16126</v>
      </c>
      <c r="O41">
        <v>16084</v>
      </c>
    </row>
    <row r="42" spans="1:15" x14ac:dyDescent="0.2">
      <c r="A42" t="s">
        <v>362</v>
      </c>
      <c r="B42" t="s">
        <v>362</v>
      </c>
      <c r="C42">
        <v>106704</v>
      </c>
      <c r="D42">
        <v>30780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</row>
    <row r="43" spans="1:15" x14ac:dyDescent="0.2">
      <c r="A43" t="s">
        <v>363</v>
      </c>
      <c r="B43" t="s">
        <v>363</v>
      </c>
      <c r="C43">
        <v>128771</v>
      </c>
      <c r="D43">
        <v>25540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</row>
    <row r="44" spans="1:15" x14ac:dyDescent="0.2">
      <c r="A44" t="s">
        <v>364</v>
      </c>
      <c r="B44" t="s">
        <v>364</v>
      </c>
      <c r="C44">
        <v>169248</v>
      </c>
      <c r="D44">
        <v>34380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</row>
    <row r="45" spans="1:15" x14ac:dyDescent="0.2">
      <c r="A45" t="s">
        <v>365</v>
      </c>
      <c r="B45" t="s">
        <v>365</v>
      </c>
      <c r="C45">
        <v>217688</v>
      </c>
      <c r="D45">
        <v>16700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v>0</v>
      </c>
      <c r="N45">
        <v>0</v>
      </c>
      <c r="O45">
        <v>0</v>
      </c>
    </row>
    <row r="46" spans="1:15" x14ac:dyDescent="0.2">
      <c r="A46" t="s">
        <v>67</v>
      </c>
      <c r="B46" t="s">
        <v>67</v>
      </c>
      <c r="C46">
        <v>199139</v>
      </c>
      <c r="D46">
        <v>16740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M46">
        <v>0</v>
      </c>
      <c r="N46">
        <v>0</v>
      </c>
      <c r="O46">
        <v>0</v>
      </c>
    </row>
    <row r="47" spans="1:15" x14ac:dyDescent="0.2">
      <c r="A47" t="s">
        <v>366</v>
      </c>
      <c r="B47" t="s">
        <v>366</v>
      </c>
      <c r="C47">
        <v>221740</v>
      </c>
      <c r="D47">
        <v>16860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</row>
    <row r="48" spans="1:15" x14ac:dyDescent="0.2">
      <c r="A48" t="s">
        <v>367</v>
      </c>
      <c r="B48" t="s">
        <v>367</v>
      </c>
      <c r="C48">
        <v>144005</v>
      </c>
      <c r="D48">
        <v>16980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M48">
        <v>0</v>
      </c>
      <c r="N48">
        <v>0</v>
      </c>
      <c r="O48">
        <v>0</v>
      </c>
    </row>
    <row r="49" spans="1:15" x14ac:dyDescent="0.2">
      <c r="A49" t="s">
        <v>69</v>
      </c>
      <c r="B49" t="s">
        <v>69</v>
      </c>
      <c r="C49">
        <v>201885</v>
      </c>
      <c r="D49">
        <v>17140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M49">
        <v>0</v>
      </c>
      <c r="N49">
        <v>0</v>
      </c>
      <c r="O49">
        <v>0</v>
      </c>
    </row>
    <row r="50" spans="1:15" x14ac:dyDescent="0.2">
      <c r="A50" t="s">
        <v>71</v>
      </c>
      <c r="B50" t="s">
        <v>71</v>
      </c>
      <c r="C50">
        <v>217882</v>
      </c>
      <c r="D50">
        <v>42860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</row>
    <row r="51" spans="1:15" x14ac:dyDescent="0.2">
      <c r="A51" t="s">
        <v>368</v>
      </c>
      <c r="B51" t="s">
        <v>368</v>
      </c>
      <c r="C51">
        <v>202134</v>
      </c>
      <c r="D51">
        <v>17460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</row>
    <row r="52" spans="1:15" x14ac:dyDescent="0.2">
      <c r="A52" t="s">
        <v>369</v>
      </c>
      <c r="B52" t="s">
        <v>73</v>
      </c>
      <c r="C52">
        <v>218724</v>
      </c>
      <c r="D52">
        <v>34820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M52">
        <v>0</v>
      </c>
      <c r="N52">
        <v>0</v>
      </c>
      <c r="O52">
        <v>0</v>
      </c>
    </row>
    <row r="53" spans="1:15" x14ac:dyDescent="0.2">
      <c r="A53" t="s">
        <v>370</v>
      </c>
      <c r="B53" t="s">
        <v>370</v>
      </c>
      <c r="C53">
        <v>217819</v>
      </c>
      <c r="D53">
        <v>16700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M53">
        <v>0</v>
      </c>
      <c r="N53">
        <v>0</v>
      </c>
      <c r="O53">
        <v>0</v>
      </c>
    </row>
    <row r="54" spans="1:15" x14ac:dyDescent="0.2">
      <c r="A54" t="s">
        <v>371</v>
      </c>
      <c r="B54" t="s">
        <v>371</v>
      </c>
      <c r="C54">
        <v>190099</v>
      </c>
      <c r="D54">
        <v>45060</v>
      </c>
      <c r="E54">
        <v>0</v>
      </c>
      <c r="F54">
        <v>25754</v>
      </c>
      <c r="G54">
        <v>20793</v>
      </c>
      <c r="H54">
        <v>29020</v>
      </c>
      <c r="I54">
        <v>25682</v>
      </c>
      <c r="J54">
        <v>20673</v>
      </c>
      <c r="K54">
        <v>20200</v>
      </c>
      <c r="M54">
        <v>15997</v>
      </c>
      <c r="N54">
        <v>17563</v>
      </c>
      <c r="O54">
        <v>19217</v>
      </c>
    </row>
    <row r="55" spans="1:15" x14ac:dyDescent="0.2">
      <c r="A55" t="s">
        <v>75</v>
      </c>
      <c r="B55" t="s">
        <v>75</v>
      </c>
      <c r="C55">
        <v>126614</v>
      </c>
      <c r="D55">
        <v>14500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</row>
    <row r="56" spans="1:15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</row>
    <row r="57" spans="1:15" x14ac:dyDescent="0.2">
      <c r="A57" t="s">
        <v>373</v>
      </c>
      <c r="B57" t="s">
        <v>373</v>
      </c>
      <c r="C57">
        <v>190150</v>
      </c>
      <c r="D57">
        <v>35620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M57">
        <v>0</v>
      </c>
      <c r="N57">
        <v>0</v>
      </c>
      <c r="O57">
        <v>0</v>
      </c>
    </row>
    <row r="58" spans="1:15" x14ac:dyDescent="0.2">
      <c r="A58" t="s">
        <v>374</v>
      </c>
      <c r="B58" t="s">
        <v>374</v>
      </c>
      <c r="C58">
        <v>162283</v>
      </c>
      <c r="D58">
        <v>12580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M58">
        <v>0</v>
      </c>
      <c r="N58">
        <v>0</v>
      </c>
      <c r="O58">
        <v>0</v>
      </c>
    </row>
    <row r="59" spans="1:15" x14ac:dyDescent="0.2">
      <c r="A59" t="s">
        <v>375</v>
      </c>
      <c r="B59" t="s">
        <v>375</v>
      </c>
      <c r="C59">
        <v>190415</v>
      </c>
      <c r="D59">
        <v>27060</v>
      </c>
      <c r="E59">
        <v>0</v>
      </c>
      <c r="F59">
        <v>70125</v>
      </c>
      <c r="G59">
        <v>64359</v>
      </c>
      <c r="H59">
        <v>62530</v>
      </c>
      <c r="I59">
        <v>61066</v>
      </c>
      <c r="J59">
        <v>64689</v>
      </c>
      <c r="K59">
        <v>51733</v>
      </c>
      <c r="M59">
        <v>42954</v>
      </c>
      <c r="N59">
        <v>59679</v>
      </c>
      <c r="O59">
        <v>62676</v>
      </c>
    </row>
    <row r="60" spans="1:15" x14ac:dyDescent="0.2">
      <c r="A60" t="s">
        <v>376</v>
      </c>
      <c r="B60" t="s">
        <v>376</v>
      </c>
      <c r="C60">
        <v>181002</v>
      </c>
      <c r="D60">
        <v>36540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0</v>
      </c>
      <c r="N60">
        <v>0</v>
      </c>
      <c r="O60">
        <v>0</v>
      </c>
    </row>
    <row r="61" spans="1:15" x14ac:dyDescent="0.2">
      <c r="A61" t="s">
        <v>377</v>
      </c>
      <c r="B61" t="s">
        <v>377</v>
      </c>
      <c r="C61">
        <v>110486</v>
      </c>
      <c r="D61">
        <v>12540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M61">
        <v>0</v>
      </c>
      <c r="N61">
        <v>0</v>
      </c>
      <c r="O61">
        <v>0</v>
      </c>
    </row>
    <row r="62" spans="1:15" x14ac:dyDescent="0.2">
      <c r="A62" t="s">
        <v>378</v>
      </c>
      <c r="B62" t="s">
        <v>378</v>
      </c>
      <c r="C62">
        <v>110608</v>
      </c>
      <c r="D62">
        <v>31080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M62">
        <v>0</v>
      </c>
      <c r="N62">
        <v>0</v>
      </c>
      <c r="O62">
        <v>0</v>
      </c>
    </row>
    <row r="63" spans="1:15" x14ac:dyDescent="0.2">
      <c r="A63" t="s">
        <v>379</v>
      </c>
      <c r="B63" t="s">
        <v>379</v>
      </c>
      <c r="C63">
        <v>182670</v>
      </c>
      <c r="D63">
        <v>30100</v>
      </c>
      <c r="E63">
        <v>0</v>
      </c>
      <c r="F63">
        <v>50374</v>
      </c>
      <c r="G63">
        <v>40320</v>
      </c>
      <c r="H63">
        <v>38424</v>
      </c>
      <c r="I63">
        <v>36729</v>
      </c>
      <c r="J63">
        <v>37510</v>
      </c>
      <c r="K63">
        <v>33163</v>
      </c>
      <c r="M63">
        <v>12022</v>
      </c>
      <c r="N63">
        <v>23886</v>
      </c>
      <c r="O63">
        <v>32827</v>
      </c>
    </row>
    <row r="64" spans="1:15" x14ac:dyDescent="0.2">
      <c r="A64" t="s">
        <v>380</v>
      </c>
      <c r="B64" t="s">
        <v>380</v>
      </c>
      <c r="C64">
        <v>198385</v>
      </c>
      <c r="D64">
        <v>16740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M64">
        <v>0</v>
      </c>
      <c r="N64">
        <v>0</v>
      </c>
      <c r="O64">
        <v>0</v>
      </c>
    </row>
    <row r="65" spans="1:15" x14ac:dyDescent="0.2">
      <c r="A65" t="s">
        <v>381</v>
      </c>
      <c r="B65" t="s">
        <v>381</v>
      </c>
      <c r="C65">
        <v>202480</v>
      </c>
      <c r="D65">
        <v>19430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M65">
        <v>0</v>
      </c>
      <c r="N65">
        <v>0</v>
      </c>
      <c r="O65">
        <v>0</v>
      </c>
    </row>
    <row r="66" spans="1:15" x14ac:dyDescent="0.2">
      <c r="A66" t="s">
        <v>382</v>
      </c>
      <c r="B66" t="s">
        <v>382</v>
      </c>
      <c r="C66">
        <v>130943</v>
      </c>
      <c r="D66">
        <v>37980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M66">
        <v>0</v>
      </c>
      <c r="N66">
        <v>0</v>
      </c>
      <c r="O66">
        <v>0</v>
      </c>
    </row>
    <row r="67" spans="1:15" x14ac:dyDescent="0.2">
      <c r="A67" t="s">
        <v>383</v>
      </c>
      <c r="B67" t="s">
        <v>383</v>
      </c>
      <c r="C67">
        <v>130934</v>
      </c>
      <c r="D67">
        <v>20100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</row>
    <row r="68" spans="1:15" x14ac:dyDescent="0.2">
      <c r="A68" t="s">
        <v>384</v>
      </c>
      <c r="B68" t="s">
        <v>384</v>
      </c>
      <c r="C68">
        <v>127060</v>
      </c>
      <c r="D68">
        <v>19740</v>
      </c>
      <c r="E68">
        <v>0</v>
      </c>
      <c r="F68">
        <v>97413</v>
      </c>
      <c r="G68">
        <v>92217</v>
      </c>
      <c r="H68">
        <v>112765</v>
      </c>
      <c r="I68">
        <v>118954</v>
      </c>
      <c r="J68">
        <v>105789</v>
      </c>
      <c r="K68">
        <v>106271</v>
      </c>
      <c r="M68">
        <v>103960</v>
      </c>
      <c r="N68">
        <v>151069</v>
      </c>
      <c r="O68">
        <v>122594</v>
      </c>
    </row>
    <row r="69" spans="1:15" x14ac:dyDescent="0.2">
      <c r="A69" t="s">
        <v>385</v>
      </c>
      <c r="B69" t="s">
        <v>385</v>
      </c>
      <c r="C69">
        <v>144740</v>
      </c>
      <c r="D69">
        <v>16980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M69">
        <v>0</v>
      </c>
      <c r="N69">
        <v>0</v>
      </c>
      <c r="O69">
        <v>0</v>
      </c>
    </row>
    <row r="70" spans="1:15" x14ac:dyDescent="0.2">
      <c r="A70" t="s">
        <v>386</v>
      </c>
      <c r="B70" t="s">
        <v>386</v>
      </c>
      <c r="C70">
        <v>169716</v>
      </c>
      <c r="D70">
        <v>19820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M70">
        <v>0</v>
      </c>
      <c r="N70">
        <v>0</v>
      </c>
      <c r="O70">
        <v>0</v>
      </c>
    </row>
    <row r="71" spans="1:15" x14ac:dyDescent="0.2">
      <c r="A71" t="s">
        <v>387</v>
      </c>
      <c r="B71" t="s">
        <v>387</v>
      </c>
      <c r="C71">
        <v>153269</v>
      </c>
      <c r="D71">
        <v>19780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M71">
        <v>0</v>
      </c>
      <c r="N71">
        <v>0</v>
      </c>
      <c r="O71">
        <v>0</v>
      </c>
    </row>
    <row r="72" spans="1:15" x14ac:dyDescent="0.2">
      <c r="A72" t="s">
        <v>388</v>
      </c>
      <c r="B72" t="s">
        <v>388</v>
      </c>
      <c r="C72">
        <v>212054</v>
      </c>
      <c r="D72">
        <v>37980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M72">
        <v>0</v>
      </c>
      <c r="N72">
        <v>0</v>
      </c>
      <c r="O72">
        <v>0</v>
      </c>
    </row>
    <row r="73" spans="1:15" x14ac:dyDescent="0.2">
      <c r="A73" t="s">
        <v>389</v>
      </c>
      <c r="B73" t="s">
        <v>389</v>
      </c>
      <c r="C73">
        <v>198419</v>
      </c>
      <c r="D73">
        <v>20500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M73">
        <v>0</v>
      </c>
      <c r="N73">
        <v>0</v>
      </c>
      <c r="O73">
        <v>0</v>
      </c>
    </row>
    <row r="74" spans="1:15" x14ac:dyDescent="0.2">
      <c r="A74" t="s">
        <v>390</v>
      </c>
      <c r="B74" t="s">
        <v>390</v>
      </c>
      <c r="C74">
        <v>212106</v>
      </c>
      <c r="D74">
        <v>38300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M74">
        <v>0</v>
      </c>
      <c r="N74">
        <v>0</v>
      </c>
      <c r="O74">
        <v>0</v>
      </c>
    </row>
    <row r="75" spans="1:15" x14ac:dyDescent="0.2">
      <c r="A75" t="s">
        <v>79</v>
      </c>
      <c r="B75" t="s">
        <v>79</v>
      </c>
      <c r="C75">
        <v>198464</v>
      </c>
      <c r="D75">
        <v>24780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M75">
        <v>0</v>
      </c>
      <c r="N75">
        <v>0</v>
      </c>
      <c r="O75">
        <v>0</v>
      </c>
    </row>
    <row r="76" spans="1:15" x14ac:dyDescent="0.2">
      <c r="A76" t="s">
        <v>391</v>
      </c>
      <c r="B76" t="s">
        <v>391</v>
      </c>
      <c r="C76">
        <v>144892</v>
      </c>
      <c r="D76">
        <v>16660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</row>
    <row r="77" spans="1:15" x14ac:dyDescent="0.2">
      <c r="A77" t="s">
        <v>392</v>
      </c>
      <c r="B77" t="s">
        <v>392</v>
      </c>
      <c r="C77">
        <v>156620</v>
      </c>
      <c r="D77">
        <v>40080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</row>
    <row r="78" spans="1:15" x14ac:dyDescent="0.2">
      <c r="A78" t="s">
        <v>393</v>
      </c>
      <c r="B78" t="s">
        <v>393</v>
      </c>
      <c r="C78">
        <v>169798</v>
      </c>
      <c r="D78">
        <v>11460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</row>
    <row r="79" spans="1:15" x14ac:dyDescent="0.2">
      <c r="A79" t="s">
        <v>394</v>
      </c>
      <c r="B79" t="s">
        <v>394</v>
      </c>
      <c r="C79">
        <v>235097</v>
      </c>
      <c r="D79">
        <v>44060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M79">
        <v>0</v>
      </c>
      <c r="N79">
        <v>0</v>
      </c>
      <c r="O79">
        <v>0</v>
      </c>
    </row>
    <row r="80" spans="1:15" x14ac:dyDescent="0.2">
      <c r="A80" t="s">
        <v>395</v>
      </c>
      <c r="B80" t="s">
        <v>395</v>
      </c>
      <c r="C80">
        <v>198516</v>
      </c>
      <c r="D80">
        <v>24660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</row>
    <row r="81" spans="1:15" x14ac:dyDescent="0.2">
      <c r="A81" t="s">
        <v>396</v>
      </c>
      <c r="B81" t="s">
        <v>396</v>
      </c>
      <c r="C81">
        <v>220075</v>
      </c>
      <c r="D81">
        <v>27740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M81">
        <v>0</v>
      </c>
      <c r="N81">
        <v>0</v>
      </c>
      <c r="O81">
        <v>0</v>
      </c>
    </row>
    <row r="82" spans="1:15" x14ac:dyDescent="0.2">
      <c r="A82" t="s">
        <v>397</v>
      </c>
      <c r="B82" t="s">
        <v>397</v>
      </c>
      <c r="C82">
        <v>150534</v>
      </c>
      <c r="D82">
        <v>21780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</row>
    <row r="83" spans="1:15" x14ac:dyDescent="0.2">
      <c r="A83" t="s">
        <v>398</v>
      </c>
      <c r="B83" t="s">
        <v>398</v>
      </c>
      <c r="C83">
        <v>129242</v>
      </c>
      <c r="D83">
        <v>35620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</row>
    <row r="84" spans="1:15" x14ac:dyDescent="0.2">
      <c r="A84" t="s">
        <v>399</v>
      </c>
      <c r="B84" t="s">
        <v>400</v>
      </c>
      <c r="C84">
        <v>184603</v>
      </c>
      <c r="D84">
        <v>35620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M84">
        <v>0</v>
      </c>
      <c r="N84">
        <v>0</v>
      </c>
      <c r="O84">
        <v>0</v>
      </c>
    </row>
    <row r="85" spans="1:15" x14ac:dyDescent="0.2">
      <c r="A85" t="s">
        <v>401</v>
      </c>
      <c r="B85" t="s">
        <v>401</v>
      </c>
      <c r="C85">
        <v>433660</v>
      </c>
      <c r="D85">
        <v>15980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M85">
        <v>0</v>
      </c>
      <c r="N85">
        <v>0</v>
      </c>
      <c r="O85">
        <v>0</v>
      </c>
    </row>
    <row r="86" spans="1:15" x14ac:dyDescent="0.2">
      <c r="A86" t="s">
        <v>402</v>
      </c>
      <c r="B86" t="s">
        <v>402</v>
      </c>
      <c r="C86">
        <v>133951</v>
      </c>
      <c r="D86">
        <v>33100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M86">
        <v>0</v>
      </c>
      <c r="N86">
        <v>0</v>
      </c>
      <c r="O86">
        <v>0</v>
      </c>
    </row>
    <row r="87" spans="1:15" x14ac:dyDescent="0.2">
      <c r="A87" t="s">
        <v>403</v>
      </c>
      <c r="B87" t="s">
        <v>403</v>
      </c>
      <c r="C87">
        <v>133669</v>
      </c>
      <c r="D87">
        <v>33100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M87">
        <v>0</v>
      </c>
      <c r="N87">
        <v>0</v>
      </c>
      <c r="O87">
        <v>0</v>
      </c>
    </row>
    <row r="88" spans="1:15" x14ac:dyDescent="0.2">
      <c r="A88" t="s">
        <v>85</v>
      </c>
      <c r="B88" t="s">
        <v>85</v>
      </c>
      <c r="C88">
        <v>134130</v>
      </c>
      <c r="D88">
        <v>23540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M88">
        <v>0</v>
      </c>
      <c r="N88">
        <v>0</v>
      </c>
      <c r="O88">
        <v>0</v>
      </c>
    </row>
    <row r="89" spans="1:15" x14ac:dyDescent="0.2">
      <c r="A89" t="s">
        <v>404</v>
      </c>
      <c r="B89" t="s">
        <v>404</v>
      </c>
      <c r="C89">
        <v>133650</v>
      </c>
      <c r="D89">
        <v>45220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M89">
        <v>0</v>
      </c>
      <c r="N89">
        <v>0</v>
      </c>
      <c r="O89">
        <v>0</v>
      </c>
    </row>
    <row r="90" spans="1:15" x14ac:dyDescent="0.2">
      <c r="A90" t="s">
        <v>405</v>
      </c>
      <c r="B90" t="s">
        <v>405</v>
      </c>
      <c r="C90">
        <v>134097</v>
      </c>
      <c r="D90">
        <v>45220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</row>
    <row r="91" spans="1:15" x14ac:dyDescent="0.2">
      <c r="A91" t="s">
        <v>406</v>
      </c>
      <c r="B91" t="s">
        <v>406</v>
      </c>
      <c r="C91">
        <v>191241</v>
      </c>
      <c r="D91">
        <v>35620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M91">
        <v>0</v>
      </c>
      <c r="N91">
        <v>0</v>
      </c>
      <c r="O91">
        <v>0</v>
      </c>
    </row>
    <row r="92" spans="1:15" x14ac:dyDescent="0.2">
      <c r="A92" t="s">
        <v>407</v>
      </c>
      <c r="B92" t="s">
        <v>407</v>
      </c>
      <c r="C92">
        <v>110556</v>
      </c>
      <c r="D92">
        <v>23420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M92">
        <v>0</v>
      </c>
      <c r="N92">
        <v>0</v>
      </c>
      <c r="O92">
        <v>0</v>
      </c>
    </row>
    <row r="93" spans="1:15" x14ac:dyDescent="0.2">
      <c r="A93" t="s">
        <v>408</v>
      </c>
      <c r="B93" t="s">
        <v>408</v>
      </c>
      <c r="C93">
        <v>218070</v>
      </c>
      <c r="D93">
        <v>24860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M93">
        <v>0</v>
      </c>
      <c r="N93">
        <v>0</v>
      </c>
      <c r="O93">
        <v>0</v>
      </c>
    </row>
    <row r="94" spans="1:15" x14ac:dyDescent="0.2">
      <c r="A94" t="s">
        <v>409</v>
      </c>
      <c r="B94" t="s">
        <v>409</v>
      </c>
      <c r="C94">
        <v>139931</v>
      </c>
      <c r="D94">
        <v>44340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M94">
        <v>0</v>
      </c>
      <c r="N94">
        <v>0</v>
      </c>
      <c r="O94">
        <v>0</v>
      </c>
    </row>
    <row r="95" spans="1:15" x14ac:dyDescent="0.2">
      <c r="A95" t="s">
        <v>410</v>
      </c>
      <c r="B95" t="s">
        <v>410</v>
      </c>
      <c r="C95">
        <v>198561</v>
      </c>
      <c r="D95">
        <v>23500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M95">
        <v>0</v>
      </c>
      <c r="N95">
        <v>0</v>
      </c>
      <c r="O95">
        <v>0</v>
      </c>
    </row>
    <row r="96" spans="1:15" x14ac:dyDescent="0.2">
      <c r="A96" t="s">
        <v>91</v>
      </c>
      <c r="B96" t="s">
        <v>91</v>
      </c>
      <c r="C96">
        <v>232186</v>
      </c>
      <c r="D96">
        <v>47900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M96">
        <v>0</v>
      </c>
      <c r="N96">
        <v>0</v>
      </c>
      <c r="O96">
        <v>0</v>
      </c>
    </row>
    <row r="97" spans="1:15" x14ac:dyDescent="0.2">
      <c r="A97" t="s">
        <v>411</v>
      </c>
      <c r="B97" t="s">
        <v>411</v>
      </c>
      <c r="C97">
        <v>131469</v>
      </c>
      <c r="D97">
        <v>47900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M97">
        <v>0</v>
      </c>
      <c r="N97">
        <v>0</v>
      </c>
      <c r="O97">
        <v>0</v>
      </c>
    </row>
    <row r="98" spans="1:15" x14ac:dyDescent="0.2">
      <c r="A98" t="s">
        <v>412</v>
      </c>
      <c r="B98" t="s">
        <v>412</v>
      </c>
      <c r="C98">
        <v>131496</v>
      </c>
      <c r="D98">
        <v>47900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M98">
        <v>0</v>
      </c>
      <c r="N98">
        <v>0</v>
      </c>
      <c r="O98">
        <v>0</v>
      </c>
    </row>
    <row r="99" spans="1:15" x14ac:dyDescent="0.2">
      <c r="A99" t="s">
        <v>92</v>
      </c>
      <c r="B99" t="s">
        <v>92</v>
      </c>
      <c r="C99">
        <v>139959</v>
      </c>
      <c r="D99">
        <v>12020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M99">
        <v>0</v>
      </c>
      <c r="N99">
        <v>0</v>
      </c>
      <c r="O99">
        <v>0</v>
      </c>
    </row>
    <row r="100" spans="1:15" x14ac:dyDescent="0.2">
      <c r="A100" t="s">
        <v>413</v>
      </c>
      <c r="B100" t="s">
        <v>413</v>
      </c>
      <c r="C100">
        <v>139940</v>
      </c>
      <c r="D100">
        <v>12060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M100">
        <v>0</v>
      </c>
      <c r="N100">
        <v>0</v>
      </c>
      <c r="O100">
        <v>0</v>
      </c>
    </row>
    <row r="101" spans="1:15" x14ac:dyDescent="0.2">
      <c r="A101" t="s">
        <v>95</v>
      </c>
      <c r="B101" t="s">
        <v>95</v>
      </c>
      <c r="C101">
        <v>139755</v>
      </c>
      <c r="D101">
        <v>12060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M101">
        <v>0</v>
      </c>
      <c r="N101">
        <v>0</v>
      </c>
      <c r="O101">
        <v>0</v>
      </c>
    </row>
    <row r="102" spans="1:15" x14ac:dyDescent="0.2">
      <c r="A102" t="s">
        <v>414</v>
      </c>
      <c r="B102" t="s">
        <v>414</v>
      </c>
      <c r="C102">
        <v>235316</v>
      </c>
      <c r="D102">
        <v>44060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M102">
        <v>0</v>
      </c>
      <c r="N102">
        <v>0</v>
      </c>
      <c r="O102">
        <v>0</v>
      </c>
    </row>
    <row r="103" spans="1:15" x14ac:dyDescent="0.2">
      <c r="A103" t="s">
        <v>415</v>
      </c>
      <c r="B103" t="s">
        <v>415</v>
      </c>
      <c r="C103">
        <v>159009</v>
      </c>
      <c r="D103">
        <v>33740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M103">
        <v>0</v>
      </c>
      <c r="N103">
        <v>0</v>
      </c>
      <c r="O103">
        <v>0</v>
      </c>
    </row>
    <row r="104" spans="1:15" x14ac:dyDescent="0.2">
      <c r="A104" t="s">
        <v>416</v>
      </c>
      <c r="B104" t="s">
        <v>416</v>
      </c>
      <c r="C104">
        <v>104717</v>
      </c>
      <c r="D104">
        <v>38060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M104">
        <v>0</v>
      </c>
      <c r="N104">
        <v>0</v>
      </c>
      <c r="O104">
        <v>0</v>
      </c>
    </row>
    <row r="105" spans="1:15" x14ac:dyDescent="0.2">
      <c r="A105" t="s">
        <v>417</v>
      </c>
      <c r="B105" t="s">
        <v>417</v>
      </c>
      <c r="C105">
        <v>240277</v>
      </c>
      <c r="D105">
        <v>24580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</row>
    <row r="106" spans="1:15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M106">
        <v>0</v>
      </c>
      <c r="N106">
        <v>0</v>
      </c>
      <c r="O106">
        <v>0</v>
      </c>
    </row>
    <row r="107" spans="1:15" x14ac:dyDescent="0.2">
      <c r="A107" t="s">
        <v>419</v>
      </c>
      <c r="B107" t="s">
        <v>419</v>
      </c>
      <c r="C107">
        <v>129525</v>
      </c>
      <c r="D107">
        <v>25540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>
        <v>0</v>
      </c>
      <c r="N107">
        <v>0</v>
      </c>
      <c r="O107">
        <v>0</v>
      </c>
    </row>
    <row r="108" spans="1:15" x14ac:dyDescent="0.2">
      <c r="A108" t="s">
        <v>420</v>
      </c>
      <c r="B108" t="s">
        <v>420</v>
      </c>
      <c r="C108">
        <v>166027</v>
      </c>
      <c r="D108">
        <v>14460</v>
      </c>
      <c r="E108">
        <v>0</v>
      </c>
      <c r="F108">
        <v>29935</v>
      </c>
      <c r="G108">
        <v>31008</v>
      </c>
      <c r="H108">
        <v>36991</v>
      </c>
      <c r="I108">
        <v>30173</v>
      </c>
      <c r="J108">
        <v>31703</v>
      </c>
      <c r="K108">
        <v>25264</v>
      </c>
      <c r="M108">
        <v>20295</v>
      </c>
      <c r="N108">
        <v>33807</v>
      </c>
      <c r="O108">
        <v>33863</v>
      </c>
    </row>
    <row r="109" spans="1:15" x14ac:dyDescent="0.2">
      <c r="A109" t="s">
        <v>97</v>
      </c>
      <c r="B109" t="s">
        <v>97</v>
      </c>
      <c r="C109">
        <v>141574</v>
      </c>
      <c r="D109">
        <v>46520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M109">
        <v>0</v>
      </c>
      <c r="N109">
        <v>0</v>
      </c>
      <c r="O109">
        <v>0</v>
      </c>
    </row>
    <row r="110" spans="1:15" x14ac:dyDescent="0.2">
      <c r="A110" t="s">
        <v>421</v>
      </c>
      <c r="B110" t="s">
        <v>421</v>
      </c>
      <c r="C110">
        <v>198695</v>
      </c>
      <c r="D110">
        <v>24660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M110">
        <v>0</v>
      </c>
      <c r="N110">
        <v>0</v>
      </c>
      <c r="O110">
        <v>0</v>
      </c>
    </row>
    <row r="111" spans="1:15" x14ac:dyDescent="0.2">
      <c r="A111" t="s">
        <v>422</v>
      </c>
      <c r="B111" t="s">
        <v>422</v>
      </c>
      <c r="C111">
        <v>191649</v>
      </c>
      <c r="D111">
        <v>35620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M111">
        <v>0</v>
      </c>
      <c r="N111">
        <v>0</v>
      </c>
      <c r="O111">
        <v>0</v>
      </c>
    </row>
    <row r="112" spans="1:15" x14ac:dyDescent="0.2">
      <c r="A112" t="s">
        <v>423</v>
      </c>
      <c r="B112" t="s">
        <v>423</v>
      </c>
      <c r="C112">
        <v>166124</v>
      </c>
      <c r="D112">
        <v>49340</v>
      </c>
      <c r="E112">
        <v>0</v>
      </c>
      <c r="F112">
        <v>17201</v>
      </c>
      <c r="G112">
        <v>19089</v>
      </c>
      <c r="H112">
        <v>22044</v>
      </c>
      <c r="I112">
        <v>19534</v>
      </c>
      <c r="J112">
        <v>14194</v>
      </c>
      <c r="K112">
        <v>15977</v>
      </c>
      <c r="M112">
        <v>5167</v>
      </c>
      <c r="N112">
        <v>6667</v>
      </c>
      <c r="O112">
        <v>20908</v>
      </c>
    </row>
    <row r="113" spans="1:15" x14ac:dyDescent="0.2">
      <c r="A113" t="s">
        <v>98</v>
      </c>
      <c r="B113" t="s">
        <v>98</v>
      </c>
      <c r="C113">
        <v>225511</v>
      </c>
      <c r="D113">
        <v>26420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M113">
        <v>0</v>
      </c>
      <c r="N113">
        <v>0</v>
      </c>
      <c r="O113">
        <v>0</v>
      </c>
    </row>
    <row r="114" spans="1:15" x14ac:dyDescent="0.2">
      <c r="A114" t="s">
        <v>424</v>
      </c>
      <c r="B114" t="s">
        <v>425</v>
      </c>
      <c r="C114">
        <v>225399</v>
      </c>
      <c r="D114">
        <v>26420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M114">
        <v>0</v>
      </c>
      <c r="N114">
        <v>0</v>
      </c>
      <c r="O114">
        <v>0</v>
      </c>
    </row>
    <row r="115" spans="1:15" x14ac:dyDescent="0.2">
      <c r="A115" t="s">
        <v>426</v>
      </c>
      <c r="B115" t="s">
        <v>426</v>
      </c>
      <c r="C115">
        <v>131520</v>
      </c>
      <c r="D115">
        <v>47900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M115">
        <v>0</v>
      </c>
      <c r="N115">
        <v>0</v>
      </c>
      <c r="O115">
        <v>0</v>
      </c>
    </row>
    <row r="116" spans="1:15" x14ac:dyDescent="0.2">
      <c r="A116" t="s">
        <v>99</v>
      </c>
      <c r="B116" t="s">
        <v>99</v>
      </c>
      <c r="C116">
        <v>142285</v>
      </c>
      <c r="D116">
        <v>34140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M116">
        <v>0</v>
      </c>
      <c r="N116">
        <v>0</v>
      </c>
      <c r="O116">
        <v>0</v>
      </c>
    </row>
    <row r="117" spans="1:15" x14ac:dyDescent="0.2">
      <c r="A117" t="s">
        <v>427</v>
      </c>
      <c r="B117" t="s">
        <v>427</v>
      </c>
      <c r="C117">
        <v>142276</v>
      </c>
      <c r="D117">
        <v>38540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M117">
        <v>0</v>
      </c>
      <c r="N117">
        <v>0</v>
      </c>
      <c r="O117">
        <v>0</v>
      </c>
    </row>
    <row r="118" spans="1:15" x14ac:dyDescent="0.2">
      <c r="A118" t="s">
        <v>101</v>
      </c>
      <c r="B118" t="s">
        <v>101</v>
      </c>
      <c r="C118">
        <v>145637</v>
      </c>
      <c r="D118">
        <v>16580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M118">
        <v>0</v>
      </c>
      <c r="N118">
        <v>0</v>
      </c>
      <c r="O118">
        <v>0</v>
      </c>
    </row>
    <row r="119" spans="1:15" x14ac:dyDescent="0.2">
      <c r="A119" t="s">
        <v>428</v>
      </c>
      <c r="B119" t="s">
        <v>428</v>
      </c>
      <c r="C119">
        <v>145813</v>
      </c>
      <c r="D119">
        <v>14010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M119">
        <v>0</v>
      </c>
      <c r="N119">
        <v>0</v>
      </c>
      <c r="O119">
        <v>0</v>
      </c>
    </row>
    <row r="120" spans="1:15" x14ac:dyDescent="0.2">
      <c r="A120" t="s">
        <v>104</v>
      </c>
      <c r="B120" t="s">
        <v>104</v>
      </c>
      <c r="C120">
        <v>151351</v>
      </c>
      <c r="D120">
        <v>14020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M120">
        <v>0</v>
      </c>
      <c r="N120">
        <v>0</v>
      </c>
      <c r="O120">
        <v>0</v>
      </c>
    </row>
    <row r="121" spans="1:15" x14ac:dyDescent="0.2">
      <c r="A121" t="s">
        <v>429</v>
      </c>
      <c r="B121" t="s">
        <v>429</v>
      </c>
      <c r="C121">
        <v>151324</v>
      </c>
      <c r="D121">
        <v>45460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M121">
        <v>0</v>
      </c>
      <c r="N121">
        <v>0</v>
      </c>
      <c r="O121">
        <v>0</v>
      </c>
    </row>
    <row r="122" spans="1:15" x14ac:dyDescent="0.2">
      <c r="A122" t="s">
        <v>430</v>
      </c>
      <c r="B122" t="s">
        <v>430</v>
      </c>
      <c r="C122">
        <v>191931</v>
      </c>
      <c r="D122">
        <v>35620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M122">
        <v>0</v>
      </c>
      <c r="N122">
        <v>0</v>
      </c>
      <c r="O122">
        <v>0</v>
      </c>
    </row>
    <row r="123" spans="1:15" x14ac:dyDescent="0.2">
      <c r="A123" t="s">
        <v>106</v>
      </c>
      <c r="B123" t="s">
        <v>106</v>
      </c>
      <c r="C123">
        <v>153658</v>
      </c>
      <c r="D123">
        <v>26980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M123">
        <v>0</v>
      </c>
      <c r="N123">
        <v>0</v>
      </c>
      <c r="O123">
        <v>0</v>
      </c>
    </row>
    <row r="124" spans="1:15" x14ac:dyDescent="0.2">
      <c r="A124" t="s">
        <v>431</v>
      </c>
      <c r="B124" t="s">
        <v>431</v>
      </c>
      <c r="C124">
        <v>153603</v>
      </c>
      <c r="D124">
        <v>11180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M124">
        <v>0</v>
      </c>
      <c r="N124">
        <v>0</v>
      </c>
      <c r="O124">
        <v>0</v>
      </c>
    </row>
    <row r="125" spans="1:15" x14ac:dyDescent="0.2">
      <c r="A125" t="s">
        <v>108</v>
      </c>
      <c r="B125" t="s">
        <v>598</v>
      </c>
      <c r="C125">
        <v>151111</v>
      </c>
      <c r="D125">
        <v>26900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M125">
        <v>0</v>
      </c>
      <c r="N125">
        <v>0</v>
      </c>
      <c r="O125">
        <v>0</v>
      </c>
    </row>
    <row r="126" spans="1:15" x14ac:dyDescent="0.2">
      <c r="A126" t="s">
        <v>432</v>
      </c>
      <c r="B126" t="s">
        <v>432</v>
      </c>
      <c r="C126">
        <v>175856</v>
      </c>
      <c r="D126">
        <v>27140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>
        <v>0</v>
      </c>
      <c r="N126">
        <v>0</v>
      </c>
      <c r="O126">
        <v>0</v>
      </c>
    </row>
    <row r="127" spans="1:15" x14ac:dyDescent="0.2">
      <c r="A127" t="s">
        <v>433</v>
      </c>
      <c r="B127" t="s">
        <v>433</v>
      </c>
      <c r="C127">
        <v>134945</v>
      </c>
      <c r="D127">
        <v>27260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M127">
        <v>0</v>
      </c>
      <c r="N127">
        <v>0</v>
      </c>
      <c r="O127">
        <v>0</v>
      </c>
    </row>
    <row r="128" spans="1:15" x14ac:dyDescent="0.2">
      <c r="A128" t="s">
        <v>434</v>
      </c>
      <c r="B128" t="s">
        <v>434</v>
      </c>
      <c r="C128">
        <v>101480</v>
      </c>
      <c r="D128">
        <v>11500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M128">
        <v>0</v>
      </c>
      <c r="N128">
        <v>0</v>
      </c>
      <c r="O128">
        <v>0</v>
      </c>
    </row>
    <row r="129" spans="1:15" x14ac:dyDescent="0.2">
      <c r="A129" t="s">
        <v>110</v>
      </c>
      <c r="B129" t="s">
        <v>110</v>
      </c>
      <c r="C129">
        <v>232423</v>
      </c>
      <c r="D129">
        <v>25500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M129">
        <v>0</v>
      </c>
      <c r="N129">
        <v>0</v>
      </c>
      <c r="O129">
        <v>0</v>
      </c>
    </row>
    <row r="130" spans="1:15" x14ac:dyDescent="0.2">
      <c r="A130" t="s">
        <v>111</v>
      </c>
      <c r="B130" t="s">
        <v>111</v>
      </c>
      <c r="C130">
        <v>155317</v>
      </c>
      <c r="D130">
        <v>29940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M130">
        <v>0</v>
      </c>
      <c r="N130">
        <v>0</v>
      </c>
      <c r="O130">
        <v>0</v>
      </c>
    </row>
    <row r="131" spans="1:15" x14ac:dyDescent="0.2">
      <c r="A131" t="s">
        <v>435</v>
      </c>
      <c r="B131" t="s">
        <v>436</v>
      </c>
      <c r="C131">
        <v>178402</v>
      </c>
      <c r="D131">
        <v>28140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M131">
        <v>0</v>
      </c>
      <c r="N131">
        <v>0</v>
      </c>
      <c r="O131">
        <v>0</v>
      </c>
    </row>
    <row r="132" spans="1:15" x14ac:dyDescent="0.2">
      <c r="A132" t="s">
        <v>437</v>
      </c>
      <c r="B132" t="s">
        <v>437</v>
      </c>
      <c r="C132">
        <v>155399</v>
      </c>
      <c r="D132">
        <v>31740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M132">
        <v>0</v>
      </c>
      <c r="N132">
        <v>0</v>
      </c>
      <c r="O132">
        <v>0</v>
      </c>
    </row>
    <row r="133" spans="1:15" x14ac:dyDescent="0.2">
      <c r="A133" t="s">
        <v>438</v>
      </c>
      <c r="B133" t="s">
        <v>438</v>
      </c>
      <c r="C133">
        <v>486840</v>
      </c>
      <c r="D133">
        <v>12060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M133">
        <v>0</v>
      </c>
      <c r="N133">
        <v>0</v>
      </c>
      <c r="O133">
        <v>0</v>
      </c>
    </row>
    <row r="134" spans="1:15" x14ac:dyDescent="0.2">
      <c r="A134" t="s">
        <v>439</v>
      </c>
      <c r="B134" t="s">
        <v>439</v>
      </c>
      <c r="C134">
        <v>203517</v>
      </c>
      <c r="D134">
        <v>10420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M134">
        <v>0</v>
      </c>
      <c r="N134">
        <v>0</v>
      </c>
      <c r="O134">
        <v>0</v>
      </c>
    </row>
    <row r="135" spans="1:15" x14ac:dyDescent="0.2">
      <c r="A135" t="s">
        <v>115</v>
      </c>
      <c r="B135" t="s">
        <v>115</v>
      </c>
      <c r="C135">
        <v>157085</v>
      </c>
      <c r="D135">
        <v>30460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M135">
        <v>0</v>
      </c>
      <c r="N135">
        <v>0</v>
      </c>
      <c r="O135">
        <v>0</v>
      </c>
    </row>
    <row r="136" spans="1:15" x14ac:dyDescent="0.2">
      <c r="A136" t="s">
        <v>440</v>
      </c>
      <c r="B136" t="s">
        <v>440</v>
      </c>
      <c r="C136">
        <v>213367</v>
      </c>
      <c r="D136">
        <v>37980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M136">
        <v>0</v>
      </c>
      <c r="N136">
        <v>0</v>
      </c>
      <c r="O136">
        <v>0</v>
      </c>
    </row>
    <row r="137" spans="1:15" x14ac:dyDescent="0.2">
      <c r="A137" t="s">
        <v>441</v>
      </c>
      <c r="B137" t="s">
        <v>441</v>
      </c>
      <c r="C137">
        <v>213385</v>
      </c>
      <c r="D137">
        <v>10900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M137">
        <v>0</v>
      </c>
      <c r="N137">
        <v>0</v>
      </c>
      <c r="O137">
        <v>0</v>
      </c>
    </row>
    <row r="138" spans="1:15" x14ac:dyDescent="0.2">
      <c r="A138" t="s">
        <v>442</v>
      </c>
      <c r="B138" t="s">
        <v>442</v>
      </c>
      <c r="C138">
        <v>226091</v>
      </c>
      <c r="D138">
        <v>13140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M138">
        <v>0</v>
      </c>
      <c r="N138">
        <v>0</v>
      </c>
      <c r="O138">
        <v>0</v>
      </c>
    </row>
    <row r="139" spans="1:15" x14ac:dyDescent="0.2">
      <c r="A139" t="s">
        <v>443</v>
      </c>
      <c r="B139" t="s">
        <v>443</v>
      </c>
      <c r="C139">
        <v>213543</v>
      </c>
      <c r="D139">
        <v>10900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M139">
        <v>0</v>
      </c>
      <c r="N139">
        <v>0</v>
      </c>
      <c r="O139">
        <v>0</v>
      </c>
    </row>
    <row r="140" spans="1:15" x14ac:dyDescent="0.2">
      <c r="A140" t="s">
        <v>444</v>
      </c>
      <c r="B140" t="s">
        <v>444</v>
      </c>
      <c r="C140">
        <v>232557</v>
      </c>
      <c r="D140">
        <v>31340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M140">
        <v>0</v>
      </c>
      <c r="N140">
        <v>0</v>
      </c>
      <c r="O140">
        <v>0</v>
      </c>
    </row>
    <row r="141" spans="1:15" x14ac:dyDescent="0.2">
      <c r="A141" t="s">
        <v>445</v>
      </c>
      <c r="B141" t="s">
        <v>445</v>
      </c>
      <c r="C141">
        <v>219976</v>
      </c>
      <c r="D141">
        <v>34980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M141">
        <v>0</v>
      </c>
      <c r="N141">
        <v>0</v>
      </c>
      <c r="O141">
        <v>0</v>
      </c>
    </row>
    <row r="142" spans="1:15" x14ac:dyDescent="0.2">
      <c r="A142" t="s">
        <v>446</v>
      </c>
      <c r="B142" t="s">
        <v>446</v>
      </c>
      <c r="C142">
        <v>106245</v>
      </c>
      <c r="D142">
        <v>30780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M142">
        <v>0</v>
      </c>
      <c r="N142">
        <v>0</v>
      </c>
      <c r="O142">
        <v>0</v>
      </c>
    </row>
    <row r="143" spans="1:15" x14ac:dyDescent="0.2">
      <c r="A143" t="s">
        <v>447</v>
      </c>
      <c r="B143" t="s">
        <v>448</v>
      </c>
      <c r="C143">
        <v>192448</v>
      </c>
      <c r="D143">
        <v>35620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M143">
        <v>2508</v>
      </c>
      <c r="N143">
        <v>8897</v>
      </c>
      <c r="O143">
        <v>6980</v>
      </c>
    </row>
    <row r="144" spans="1:15" x14ac:dyDescent="0.2">
      <c r="A144" t="s">
        <v>449</v>
      </c>
      <c r="B144" t="s">
        <v>450</v>
      </c>
      <c r="C144">
        <v>117946</v>
      </c>
      <c r="D144">
        <v>31080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M144">
        <v>0</v>
      </c>
      <c r="N144">
        <v>0</v>
      </c>
      <c r="O144">
        <v>0</v>
      </c>
    </row>
    <row r="145" spans="1:15" x14ac:dyDescent="0.2">
      <c r="A145" t="s">
        <v>451</v>
      </c>
      <c r="B145" t="s">
        <v>451</v>
      </c>
      <c r="C145">
        <v>110583</v>
      </c>
      <c r="D145">
        <v>31080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M145">
        <v>0</v>
      </c>
      <c r="N145">
        <v>0</v>
      </c>
      <c r="O145">
        <v>0</v>
      </c>
    </row>
    <row r="146" spans="1:15" x14ac:dyDescent="0.2">
      <c r="A146" t="s">
        <v>118</v>
      </c>
      <c r="B146" t="s">
        <v>118</v>
      </c>
      <c r="C146">
        <v>232566</v>
      </c>
      <c r="D146">
        <v>40060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M146">
        <v>0</v>
      </c>
      <c r="N146">
        <v>0</v>
      </c>
      <c r="O146">
        <v>0</v>
      </c>
    </row>
    <row r="147" spans="1:15" x14ac:dyDescent="0.2">
      <c r="A147" t="s">
        <v>452</v>
      </c>
      <c r="B147" t="s">
        <v>452</v>
      </c>
      <c r="C147">
        <v>160658</v>
      </c>
      <c r="D147">
        <v>29180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M147">
        <v>0</v>
      </c>
      <c r="N147">
        <v>0</v>
      </c>
      <c r="O147">
        <v>0</v>
      </c>
    </row>
    <row r="148" spans="1:15" x14ac:dyDescent="0.2">
      <c r="A148" t="s">
        <v>121</v>
      </c>
      <c r="B148" t="s">
        <v>121</v>
      </c>
      <c r="C148">
        <v>159647</v>
      </c>
      <c r="D148">
        <v>40820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M148">
        <v>0</v>
      </c>
      <c r="N148">
        <v>0</v>
      </c>
      <c r="O148">
        <v>0</v>
      </c>
    </row>
    <row r="149" spans="1:15" x14ac:dyDescent="0.2">
      <c r="A149" t="s">
        <v>122</v>
      </c>
      <c r="B149" t="s">
        <v>122</v>
      </c>
      <c r="C149">
        <v>157289</v>
      </c>
      <c r="D149">
        <v>31140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M149">
        <v>0</v>
      </c>
      <c r="N149">
        <v>0</v>
      </c>
      <c r="O149">
        <v>0</v>
      </c>
    </row>
    <row r="150" spans="1:15" x14ac:dyDescent="0.2">
      <c r="A150" t="s">
        <v>453</v>
      </c>
      <c r="B150" t="s">
        <v>453</v>
      </c>
      <c r="C150">
        <v>146719</v>
      </c>
      <c r="D150">
        <v>16980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M150">
        <v>0</v>
      </c>
      <c r="N150">
        <v>0</v>
      </c>
      <c r="O150">
        <v>0</v>
      </c>
    </row>
    <row r="151" spans="1:15" x14ac:dyDescent="0.2">
      <c r="A151" t="s">
        <v>454</v>
      </c>
      <c r="B151" t="s">
        <v>454</v>
      </c>
      <c r="C151">
        <v>163046</v>
      </c>
      <c r="D151">
        <v>12580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M151">
        <v>0</v>
      </c>
      <c r="N151">
        <v>0</v>
      </c>
      <c r="O151">
        <v>0</v>
      </c>
    </row>
    <row r="152" spans="1:15" x14ac:dyDescent="0.2">
      <c r="A152" t="s">
        <v>123</v>
      </c>
      <c r="B152" t="s">
        <v>123</v>
      </c>
      <c r="C152">
        <v>159391</v>
      </c>
      <c r="D152">
        <v>12940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M152">
        <v>0</v>
      </c>
      <c r="N152">
        <v>0</v>
      </c>
      <c r="O152">
        <v>0</v>
      </c>
    </row>
    <row r="153" spans="1:15" x14ac:dyDescent="0.2">
      <c r="A153" t="s">
        <v>124</v>
      </c>
      <c r="B153" t="s">
        <v>124</v>
      </c>
      <c r="C153">
        <v>161253</v>
      </c>
      <c r="D153">
        <v>12620</v>
      </c>
      <c r="E153">
        <v>0</v>
      </c>
      <c r="F153">
        <v>83554</v>
      </c>
      <c r="G153">
        <v>66549</v>
      </c>
      <c r="H153">
        <v>78177</v>
      </c>
      <c r="I153">
        <v>73407</v>
      </c>
      <c r="J153">
        <v>68275</v>
      </c>
      <c r="K153">
        <v>65826</v>
      </c>
      <c r="M153">
        <v>62758</v>
      </c>
      <c r="N153">
        <v>68844</v>
      </c>
      <c r="O153">
        <v>89651</v>
      </c>
    </row>
    <row r="154" spans="1:15" x14ac:dyDescent="0.2">
      <c r="A154" t="s">
        <v>455</v>
      </c>
      <c r="B154" t="s">
        <v>455</v>
      </c>
      <c r="C154">
        <v>192703</v>
      </c>
      <c r="D154">
        <v>35620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M154">
        <v>0</v>
      </c>
      <c r="N154">
        <v>0</v>
      </c>
      <c r="O154">
        <v>0</v>
      </c>
    </row>
    <row r="155" spans="1:15" x14ac:dyDescent="0.2">
      <c r="A155" t="s">
        <v>456</v>
      </c>
      <c r="B155" t="s">
        <v>456</v>
      </c>
      <c r="C155">
        <v>192819</v>
      </c>
      <c r="D155">
        <v>39100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M155">
        <v>0</v>
      </c>
      <c r="N155">
        <v>0</v>
      </c>
      <c r="O155">
        <v>0</v>
      </c>
    </row>
    <row r="156" spans="1:15" x14ac:dyDescent="0.2">
      <c r="A156" t="s">
        <v>457</v>
      </c>
      <c r="B156" t="s">
        <v>457</v>
      </c>
      <c r="C156">
        <v>239105</v>
      </c>
      <c r="D156">
        <v>33340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M156">
        <v>0</v>
      </c>
      <c r="N156">
        <v>0</v>
      </c>
      <c r="O156">
        <v>0</v>
      </c>
    </row>
    <row r="157" spans="1:15" x14ac:dyDescent="0.2">
      <c r="A157" t="s">
        <v>125</v>
      </c>
      <c r="B157" t="s">
        <v>125</v>
      </c>
      <c r="C157">
        <v>237525</v>
      </c>
      <c r="D157">
        <v>26580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M157">
        <v>0</v>
      </c>
      <c r="N157">
        <v>0</v>
      </c>
      <c r="O157">
        <v>0</v>
      </c>
    </row>
    <row r="158" spans="1:15" x14ac:dyDescent="0.2">
      <c r="A158" t="s">
        <v>126</v>
      </c>
      <c r="B158" t="s">
        <v>126</v>
      </c>
      <c r="C158">
        <v>163286</v>
      </c>
      <c r="D158">
        <v>47900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M158">
        <v>0</v>
      </c>
      <c r="N158">
        <v>0</v>
      </c>
      <c r="O158">
        <v>0</v>
      </c>
    </row>
    <row r="159" spans="1:15" x14ac:dyDescent="0.2">
      <c r="A159" t="s">
        <v>129</v>
      </c>
      <c r="B159" t="s">
        <v>129</v>
      </c>
      <c r="C159">
        <v>166629</v>
      </c>
      <c r="D159">
        <v>44140</v>
      </c>
      <c r="E159">
        <v>0</v>
      </c>
      <c r="F159">
        <v>43884</v>
      </c>
      <c r="G159">
        <v>43013</v>
      </c>
      <c r="H159">
        <v>39650</v>
      </c>
      <c r="I159">
        <v>58408</v>
      </c>
      <c r="J159">
        <v>87776</v>
      </c>
      <c r="K159">
        <v>78153</v>
      </c>
      <c r="M159">
        <v>81812</v>
      </c>
      <c r="N159">
        <v>70860</v>
      </c>
      <c r="O159">
        <v>94247</v>
      </c>
    </row>
    <row r="160" spans="1:15" x14ac:dyDescent="0.2">
      <c r="A160" t="s">
        <v>458</v>
      </c>
      <c r="B160" t="s">
        <v>458</v>
      </c>
      <c r="C160">
        <v>159717</v>
      </c>
      <c r="D160">
        <v>29340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M160">
        <v>0</v>
      </c>
      <c r="N160">
        <v>0</v>
      </c>
      <c r="O160">
        <v>0</v>
      </c>
    </row>
    <row r="161" spans="1:15" x14ac:dyDescent="0.2">
      <c r="A161" t="s">
        <v>132</v>
      </c>
      <c r="B161" t="s">
        <v>132</v>
      </c>
      <c r="C161">
        <v>220862</v>
      </c>
      <c r="D161">
        <v>32820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M161">
        <v>0</v>
      </c>
      <c r="N161">
        <v>0</v>
      </c>
      <c r="O161">
        <v>0</v>
      </c>
    </row>
    <row r="162" spans="1:15" x14ac:dyDescent="0.2">
      <c r="A162" t="s">
        <v>459</v>
      </c>
      <c r="B162" t="s">
        <v>459</v>
      </c>
      <c r="C162">
        <v>140447</v>
      </c>
      <c r="D162">
        <v>31420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0</v>
      </c>
    </row>
    <row r="163" spans="1:15" x14ac:dyDescent="0.2">
      <c r="A163" t="s">
        <v>460</v>
      </c>
      <c r="B163" t="s">
        <v>461</v>
      </c>
      <c r="C163">
        <v>135726</v>
      </c>
      <c r="D163">
        <v>33100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M163">
        <v>0</v>
      </c>
      <c r="N163">
        <v>0</v>
      </c>
      <c r="O163">
        <v>0</v>
      </c>
    </row>
    <row r="164" spans="1:15" x14ac:dyDescent="0.2">
      <c r="A164" t="s">
        <v>462</v>
      </c>
      <c r="B164" t="s">
        <v>463</v>
      </c>
      <c r="C164">
        <v>204024</v>
      </c>
      <c r="D164">
        <v>17140</v>
      </c>
      <c r="E164">
        <v>0</v>
      </c>
      <c r="F164">
        <v>51266</v>
      </c>
      <c r="G164">
        <v>45572</v>
      </c>
      <c r="H164">
        <v>43683</v>
      </c>
      <c r="I164">
        <v>44874</v>
      </c>
      <c r="J164">
        <v>43895</v>
      </c>
      <c r="K164">
        <v>37985</v>
      </c>
      <c r="M164">
        <v>33649</v>
      </c>
      <c r="N164">
        <v>35113</v>
      </c>
      <c r="O164">
        <v>38040</v>
      </c>
    </row>
    <row r="165" spans="1:15" x14ac:dyDescent="0.2">
      <c r="A165" t="s">
        <v>134</v>
      </c>
      <c r="B165" t="s">
        <v>134</v>
      </c>
      <c r="C165">
        <v>170976</v>
      </c>
      <c r="D165">
        <v>11460</v>
      </c>
      <c r="E165">
        <v>0</v>
      </c>
      <c r="F165">
        <v>82742</v>
      </c>
      <c r="G165">
        <v>92769</v>
      </c>
      <c r="H165">
        <v>100736</v>
      </c>
      <c r="I165">
        <v>102575</v>
      </c>
      <c r="J165">
        <v>90043</v>
      </c>
      <c r="K165">
        <v>95875</v>
      </c>
      <c r="M165">
        <v>128906</v>
      </c>
      <c r="N165">
        <v>118278</v>
      </c>
      <c r="O165">
        <v>115497</v>
      </c>
    </row>
    <row r="166" spans="1:15" x14ac:dyDescent="0.2">
      <c r="A166" t="s">
        <v>464</v>
      </c>
      <c r="B166" t="s">
        <v>464</v>
      </c>
      <c r="C166">
        <v>171100</v>
      </c>
      <c r="D166">
        <v>29620</v>
      </c>
      <c r="E166">
        <v>0</v>
      </c>
      <c r="F166">
        <v>85997</v>
      </c>
      <c r="G166">
        <v>93315</v>
      </c>
      <c r="H166">
        <v>72571</v>
      </c>
      <c r="I166">
        <v>82511</v>
      </c>
      <c r="J166">
        <v>76453</v>
      </c>
      <c r="K166">
        <v>95022</v>
      </c>
      <c r="M166">
        <v>97777</v>
      </c>
      <c r="N166">
        <v>98033</v>
      </c>
      <c r="O166">
        <v>110187</v>
      </c>
    </row>
    <row r="167" spans="1:15" x14ac:dyDescent="0.2">
      <c r="A167" t="s">
        <v>465</v>
      </c>
      <c r="B167" t="s">
        <v>465</v>
      </c>
      <c r="C167">
        <v>220978</v>
      </c>
      <c r="D167">
        <v>34980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M167">
        <v>0</v>
      </c>
      <c r="N167">
        <v>0</v>
      </c>
      <c r="O167">
        <v>0</v>
      </c>
    </row>
    <row r="168" spans="1:15" x14ac:dyDescent="0.2">
      <c r="A168" t="s">
        <v>466</v>
      </c>
      <c r="B168" t="s">
        <v>466</v>
      </c>
      <c r="C168">
        <v>240453</v>
      </c>
      <c r="D168">
        <v>33340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M168">
        <v>0</v>
      </c>
      <c r="N168">
        <v>0</v>
      </c>
      <c r="O168">
        <v>0</v>
      </c>
    </row>
    <row r="169" spans="1:15" x14ac:dyDescent="0.2">
      <c r="A169" t="s">
        <v>137</v>
      </c>
      <c r="B169" t="s">
        <v>137</v>
      </c>
      <c r="C169">
        <v>174066</v>
      </c>
      <c r="D169">
        <v>33460</v>
      </c>
      <c r="E169">
        <v>0</v>
      </c>
      <c r="F169">
        <v>179678</v>
      </c>
      <c r="G169">
        <v>187140</v>
      </c>
      <c r="H169">
        <v>153513</v>
      </c>
      <c r="I169">
        <v>165785</v>
      </c>
      <c r="J169">
        <v>174766</v>
      </c>
      <c r="K169">
        <v>164027</v>
      </c>
      <c r="M169">
        <v>158268</v>
      </c>
      <c r="N169">
        <v>183122</v>
      </c>
      <c r="O169">
        <v>193727</v>
      </c>
    </row>
    <row r="170" spans="1:15" x14ac:dyDescent="0.2">
      <c r="A170" t="s">
        <v>467</v>
      </c>
      <c r="B170" t="s">
        <v>467</v>
      </c>
      <c r="C170">
        <v>176080</v>
      </c>
      <c r="D170">
        <v>44260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M170">
        <v>0</v>
      </c>
      <c r="N170">
        <v>0</v>
      </c>
      <c r="O170">
        <v>0</v>
      </c>
    </row>
    <row r="171" spans="1:15" x14ac:dyDescent="0.2">
      <c r="A171" t="s">
        <v>468</v>
      </c>
      <c r="B171" t="s">
        <v>468</v>
      </c>
      <c r="C171">
        <v>176044</v>
      </c>
      <c r="D171">
        <v>24900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M171">
        <v>0</v>
      </c>
      <c r="N171">
        <v>0</v>
      </c>
      <c r="O171">
        <v>0</v>
      </c>
    </row>
    <row r="172" spans="1:15" x14ac:dyDescent="0.2">
      <c r="A172" t="s">
        <v>141</v>
      </c>
      <c r="B172" t="s">
        <v>141</v>
      </c>
      <c r="C172">
        <v>178396</v>
      </c>
      <c r="D172">
        <v>17860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M172">
        <v>0</v>
      </c>
      <c r="N172">
        <v>0</v>
      </c>
      <c r="O172">
        <v>0</v>
      </c>
    </row>
    <row r="173" spans="1:15" x14ac:dyDescent="0.2">
      <c r="A173" t="s">
        <v>469</v>
      </c>
      <c r="B173" t="s">
        <v>469</v>
      </c>
      <c r="C173">
        <v>179566</v>
      </c>
      <c r="D173">
        <v>44180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M173">
        <v>0</v>
      </c>
      <c r="N173">
        <v>0</v>
      </c>
      <c r="O173">
        <v>0</v>
      </c>
    </row>
    <row r="174" spans="1:15" x14ac:dyDescent="0.2">
      <c r="A174" t="s">
        <v>470</v>
      </c>
      <c r="B174" t="s">
        <v>470</v>
      </c>
      <c r="C174">
        <v>185572</v>
      </c>
      <c r="D174">
        <v>35620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M174">
        <v>0</v>
      </c>
      <c r="N174">
        <v>0</v>
      </c>
      <c r="O174">
        <v>0</v>
      </c>
    </row>
    <row r="175" spans="1:15" x14ac:dyDescent="0.2">
      <c r="A175" t="s">
        <v>144</v>
      </c>
      <c r="B175" t="s">
        <v>144</v>
      </c>
      <c r="C175">
        <v>180489</v>
      </c>
      <c r="D175">
        <v>33540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M175">
        <v>0</v>
      </c>
      <c r="N175">
        <v>0</v>
      </c>
      <c r="O175">
        <v>0</v>
      </c>
    </row>
    <row r="176" spans="1:15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M176">
        <v>0</v>
      </c>
      <c r="N176">
        <v>0</v>
      </c>
      <c r="O176">
        <v>0</v>
      </c>
    </row>
    <row r="177" spans="1:15" x14ac:dyDescent="0.2">
      <c r="A177" t="s">
        <v>472</v>
      </c>
      <c r="B177" t="s">
        <v>472</v>
      </c>
      <c r="C177">
        <v>157386</v>
      </c>
      <c r="D177">
        <v>30460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M177">
        <v>0</v>
      </c>
      <c r="N177">
        <v>0</v>
      </c>
      <c r="O177">
        <v>0</v>
      </c>
    </row>
    <row r="178" spans="1:15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M178">
        <v>0</v>
      </c>
      <c r="N178">
        <v>0</v>
      </c>
      <c r="O178">
        <v>0</v>
      </c>
    </row>
    <row r="179" spans="1:15" x14ac:dyDescent="0.2">
      <c r="A179" t="s">
        <v>474</v>
      </c>
      <c r="B179" t="s">
        <v>474</v>
      </c>
      <c r="C179">
        <v>163462</v>
      </c>
      <c r="D179">
        <v>23900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M179">
        <v>0</v>
      </c>
      <c r="N179">
        <v>0</v>
      </c>
      <c r="O179">
        <v>0</v>
      </c>
    </row>
    <row r="180" spans="1:15" x14ac:dyDescent="0.2">
      <c r="A180" t="s">
        <v>475</v>
      </c>
      <c r="B180" t="s">
        <v>475</v>
      </c>
      <c r="C180">
        <v>157401</v>
      </c>
      <c r="D180">
        <v>34660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M180">
        <v>0</v>
      </c>
      <c r="N180">
        <v>0</v>
      </c>
      <c r="O180">
        <v>0</v>
      </c>
    </row>
    <row r="181" spans="1:15" x14ac:dyDescent="0.2">
      <c r="A181" t="s">
        <v>476</v>
      </c>
      <c r="B181" t="s">
        <v>476</v>
      </c>
      <c r="C181">
        <v>199102</v>
      </c>
      <c r="D181">
        <v>24660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M181">
        <v>0</v>
      </c>
      <c r="N181">
        <v>0</v>
      </c>
      <c r="O181">
        <v>0</v>
      </c>
    </row>
    <row r="182" spans="1:15" x14ac:dyDescent="0.2">
      <c r="A182" t="s">
        <v>477</v>
      </c>
      <c r="B182" t="s">
        <v>477</v>
      </c>
      <c r="C182">
        <v>199157</v>
      </c>
      <c r="D182">
        <v>20500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M182">
        <v>0</v>
      </c>
      <c r="N182">
        <v>0</v>
      </c>
      <c r="O182">
        <v>0</v>
      </c>
    </row>
    <row r="183" spans="1:15" x14ac:dyDescent="0.2">
      <c r="A183" t="s">
        <v>149</v>
      </c>
      <c r="B183" t="s">
        <v>149</v>
      </c>
      <c r="C183">
        <v>500000</v>
      </c>
      <c r="D183">
        <v>47900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M183">
        <v>0</v>
      </c>
      <c r="N183">
        <v>0</v>
      </c>
      <c r="O183">
        <v>0</v>
      </c>
    </row>
    <row r="184" spans="1:15" x14ac:dyDescent="0.2">
      <c r="A184" t="s">
        <v>478</v>
      </c>
      <c r="B184" t="s">
        <v>478</v>
      </c>
      <c r="C184">
        <v>199193</v>
      </c>
      <c r="D184">
        <v>39580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M184">
        <v>0</v>
      </c>
      <c r="N184">
        <v>0</v>
      </c>
      <c r="O184">
        <v>0</v>
      </c>
    </row>
    <row r="185" spans="1:15" x14ac:dyDescent="0.2">
      <c r="A185" t="s">
        <v>150</v>
      </c>
      <c r="B185" t="s">
        <v>150</v>
      </c>
      <c r="C185">
        <v>181464</v>
      </c>
      <c r="D185">
        <v>30700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M185">
        <v>0</v>
      </c>
      <c r="N185">
        <v>0</v>
      </c>
      <c r="O185">
        <v>0</v>
      </c>
    </row>
    <row r="186" spans="1:15" x14ac:dyDescent="0.2">
      <c r="A186" t="s">
        <v>152</v>
      </c>
      <c r="B186" t="s">
        <v>152</v>
      </c>
      <c r="C186">
        <v>182290</v>
      </c>
      <c r="D186">
        <v>39900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M186">
        <v>0</v>
      </c>
      <c r="N186">
        <v>0</v>
      </c>
      <c r="O186">
        <v>0</v>
      </c>
    </row>
    <row r="187" spans="1:15" x14ac:dyDescent="0.2">
      <c r="A187" t="s">
        <v>153</v>
      </c>
      <c r="B187" t="s">
        <v>153</v>
      </c>
      <c r="C187">
        <v>183044</v>
      </c>
      <c r="D187">
        <v>18180</v>
      </c>
      <c r="E187">
        <v>0</v>
      </c>
      <c r="F187">
        <v>96103</v>
      </c>
      <c r="G187">
        <v>83165</v>
      </c>
      <c r="H187">
        <v>77904</v>
      </c>
      <c r="I187">
        <v>79600</v>
      </c>
      <c r="J187">
        <v>80501</v>
      </c>
      <c r="K187">
        <v>81519</v>
      </c>
      <c r="M187">
        <v>65617</v>
      </c>
      <c r="N187">
        <v>76767</v>
      </c>
      <c r="O187">
        <v>103816</v>
      </c>
    </row>
    <row r="188" spans="1:15" x14ac:dyDescent="0.2">
      <c r="A188" t="s">
        <v>154</v>
      </c>
      <c r="B188" t="s">
        <v>154</v>
      </c>
      <c r="C188">
        <v>187985</v>
      </c>
      <c r="D188">
        <v>10740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M188">
        <v>0</v>
      </c>
      <c r="N188">
        <v>0</v>
      </c>
      <c r="O188">
        <v>0</v>
      </c>
    </row>
    <row r="189" spans="1:15" x14ac:dyDescent="0.2">
      <c r="A189" t="s">
        <v>479</v>
      </c>
      <c r="B189" t="s">
        <v>479</v>
      </c>
      <c r="C189">
        <v>188030</v>
      </c>
      <c r="D189">
        <v>29740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M189">
        <v>0</v>
      </c>
      <c r="N189">
        <v>0</v>
      </c>
      <c r="O189">
        <v>0</v>
      </c>
    </row>
    <row r="190" spans="1:15" x14ac:dyDescent="0.2">
      <c r="A190" t="s">
        <v>156</v>
      </c>
      <c r="B190" t="s">
        <v>156</v>
      </c>
      <c r="C190">
        <v>159939</v>
      </c>
      <c r="D190">
        <v>35380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M190">
        <v>0</v>
      </c>
      <c r="N190">
        <v>0</v>
      </c>
      <c r="O190">
        <v>0</v>
      </c>
    </row>
    <row r="191" spans="1:15" x14ac:dyDescent="0.2">
      <c r="A191" t="s">
        <v>480</v>
      </c>
      <c r="B191" t="s">
        <v>480</v>
      </c>
      <c r="C191">
        <v>193973</v>
      </c>
      <c r="D191">
        <v>15380</v>
      </c>
      <c r="E191">
        <v>0</v>
      </c>
      <c r="F191">
        <v>17035</v>
      </c>
      <c r="G191">
        <v>14276</v>
      </c>
      <c r="H191">
        <v>12218</v>
      </c>
      <c r="I191">
        <v>13191</v>
      </c>
      <c r="J191">
        <v>13251</v>
      </c>
      <c r="K191">
        <v>8929</v>
      </c>
      <c r="M191">
        <v>10687</v>
      </c>
      <c r="N191">
        <v>10045</v>
      </c>
      <c r="O191">
        <v>12775</v>
      </c>
    </row>
    <row r="192" spans="1:15" x14ac:dyDescent="0.2">
      <c r="A192" t="s">
        <v>481</v>
      </c>
      <c r="B192" t="s">
        <v>482</v>
      </c>
      <c r="C192">
        <v>159966</v>
      </c>
      <c r="D192">
        <v>26380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M192">
        <v>0</v>
      </c>
      <c r="N192">
        <v>0</v>
      </c>
      <c r="O192">
        <v>0</v>
      </c>
    </row>
    <row r="193" spans="1:15" x14ac:dyDescent="0.2">
      <c r="A193" t="s">
        <v>483</v>
      </c>
      <c r="B193" t="s">
        <v>484</v>
      </c>
      <c r="C193">
        <v>147703</v>
      </c>
      <c r="D193">
        <v>16980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M193">
        <v>0</v>
      </c>
      <c r="N193">
        <v>0</v>
      </c>
      <c r="O193">
        <v>0</v>
      </c>
    </row>
    <row r="194" spans="1:15" x14ac:dyDescent="0.2">
      <c r="A194" t="s">
        <v>158</v>
      </c>
      <c r="B194" t="s">
        <v>158</v>
      </c>
      <c r="C194">
        <v>185828</v>
      </c>
      <c r="D194">
        <v>35620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M194">
        <v>0</v>
      </c>
      <c r="N194">
        <v>0</v>
      </c>
      <c r="O194">
        <v>0</v>
      </c>
    </row>
    <row r="195" spans="1:15" x14ac:dyDescent="0.2">
      <c r="A195" t="s">
        <v>485</v>
      </c>
      <c r="B195" t="s">
        <v>485</v>
      </c>
      <c r="C195">
        <v>232937</v>
      </c>
      <c r="D195">
        <v>47260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M195">
        <v>0</v>
      </c>
      <c r="N195">
        <v>0</v>
      </c>
      <c r="O195">
        <v>0</v>
      </c>
    </row>
    <row r="196" spans="1:15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M196">
        <v>0</v>
      </c>
      <c r="N196">
        <v>0</v>
      </c>
      <c r="O196">
        <v>0</v>
      </c>
    </row>
    <row r="197" spans="1:15" x14ac:dyDescent="0.2">
      <c r="A197" t="s">
        <v>160</v>
      </c>
      <c r="B197" t="s">
        <v>160</v>
      </c>
      <c r="C197">
        <v>199120</v>
      </c>
      <c r="D197">
        <v>20500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M197">
        <v>0</v>
      </c>
      <c r="N197">
        <v>0</v>
      </c>
      <c r="O197">
        <v>0</v>
      </c>
    </row>
    <row r="198" spans="1:15" x14ac:dyDescent="0.2">
      <c r="A198" t="s">
        <v>167</v>
      </c>
      <c r="B198" t="s">
        <v>167</v>
      </c>
      <c r="C198">
        <v>200280</v>
      </c>
      <c r="D198">
        <v>24220</v>
      </c>
      <c r="E198">
        <v>0</v>
      </c>
      <c r="F198">
        <v>253344</v>
      </c>
      <c r="G198">
        <v>221828</v>
      </c>
      <c r="H198">
        <v>241603</v>
      </c>
      <c r="I198">
        <v>239563</v>
      </c>
      <c r="J198">
        <v>216570</v>
      </c>
      <c r="K198">
        <v>214701</v>
      </c>
      <c r="M198">
        <v>237177</v>
      </c>
      <c r="N198">
        <v>216578</v>
      </c>
      <c r="O198">
        <v>278677</v>
      </c>
    </row>
    <row r="199" spans="1:15" x14ac:dyDescent="0.2">
      <c r="A199" t="s">
        <v>488</v>
      </c>
      <c r="B199" t="s">
        <v>488</v>
      </c>
      <c r="C199">
        <v>200332</v>
      </c>
      <c r="D199">
        <v>22020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M199">
        <v>0</v>
      </c>
      <c r="N199">
        <v>0</v>
      </c>
      <c r="O199">
        <v>0</v>
      </c>
    </row>
    <row r="200" spans="1:15" x14ac:dyDescent="0.2">
      <c r="A200" t="s">
        <v>169</v>
      </c>
      <c r="B200" t="s">
        <v>169</v>
      </c>
      <c r="C200">
        <v>136172</v>
      </c>
      <c r="D200">
        <v>27260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M200">
        <v>0</v>
      </c>
      <c r="N200">
        <v>0</v>
      </c>
      <c r="O200">
        <v>0</v>
      </c>
    </row>
    <row r="201" spans="1:15" x14ac:dyDescent="0.2">
      <c r="A201" t="s">
        <v>170</v>
      </c>
      <c r="B201" t="s">
        <v>170</v>
      </c>
      <c r="C201">
        <v>227216</v>
      </c>
      <c r="D201">
        <v>19100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M201">
        <v>0</v>
      </c>
      <c r="N201">
        <v>0</v>
      </c>
      <c r="O201">
        <v>0</v>
      </c>
    </row>
    <row r="202" spans="1:15" x14ac:dyDescent="0.2">
      <c r="A202" t="s">
        <v>489</v>
      </c>
      <c r="B202" t="s">
        <v>489</v>
      </c>
      <c r="C202">
        <v>167358</v>
      </c>
      <c r="D202">
        <v>14460</v>
      </c>
      <c r="E202">
        <v>0</v>
      </c>
      <c r="F202">
        <v>45189</v>
      </c>
      <c r="G202">
        <v>39343</v>
      </c>
      <c r="H202">
        <v>37424</v>
      </c>
      <c r="I202">
        <v>46706</v>
      </c>
      <c r="J202">
        <v>44276</v>
      </c>
      <c r="K202">
        <v>33887</v>
      </c>
      <c r="M202">
        <v>41800</v>
      </c>
      <c r="N202">
        <v>44546</v>
      </c>
      <c r="O202">
        <v>50790</v>
      </c>
    </row>
    <row r="203" spans="1:15" x14ac:dyDescent="0.2">
      <c r="A203" t="s">
        <v>490</v>
      </c>
      <c r="B203" t="s">
        <v>490</v>
      </c>
      <c r="C203">
        <v>105330</v>
      </c>
      <c r="D203">
        <v>22380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M203">
        <v>0</v>
      </c>
      <c r="N203">
        <v>0</v>
      </c>
      <c r="O203">
        <v>0</v>
      </c>
    </row>
    <row r="204" spans="1:15" x14ac:dyDescent="0.2">
      <c r="A204" t="s">
        <v>491</v>
      </c>
      <c r="B204" t="s">
        <v>491</v>
      </c>
      <c r="C204">
        <v>127741</v>
      </c>
      <c r="D204">
        <v>24540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M204">
        <v>0</v>
      </c>
      <c r="N204">
        <v>0</v>
      </c>
      <c r="O204">
        <v>0</v>
      </c>
    </row>
    <row r="205" spans="1:15" x14ac:dyDescent="0.2">
      <c r="A205" t="s">
        <v>492</v>
      </c>
      <c r="B205" t="s">
        <v>492</v>
      </c>
      <c r="C205">
        <v>157447</v>
      </c>
      <c r="D205">
        <v>17140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M205">
        <v>0</v>
      </c>
      <c r="N205">
        <v>0</v>
      </c>
      <c r="O205">
        <v>0</v>
      </c>
    </row>
    <row r="206" spans="1:15" x14ac:dyDescent="0.2">
      <c r="A206" t="s">
        <v>493</v>
      </c>
      <c r="B206" t="s">
        <v>493</v>
      </c>
      <c r="C206">
        <v>147767</v>
      </c>
      <c r="D206">
        <v>16980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M206">
        <v>0</v>
      </c>
      <c r="N206">
        <v>0</v>
      </c>
      <c r="O206">
        <v>0</v>
      </c>
    </row>
    <row r="207" spans="1:15" x14ac:dyDescent="0.2">
      <c r="A207" t="s">
        <v>494</v>
      </c>
      <c r="B207" t="s">
        <v>494</v>
      </c>
      <c r="C207">
        <v>160038</v>
      </c>
      <c r="D207">
        <v>35060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M207">
        <v>0</v>
      </c>
      <c r="N207">
        <v>0</v>
      </c>
      <c r="O207">
        <v>0</v>
      </c>
    </row>
    <row r="208" spans="1:15" x14ac:dyDescent="0.2">
      <c r="A208" t="s">
        <v>495</v>
      </c>
      <c r="B208" t="s">
        <v>495</v>
      </c>
      <c r="C208">
        <v>152080</v>
      </c>
      <c r="D208">
        <v>43780</v>
      </c>
      <c r="E208">
        <v>0</v>
      </c>
      <c r="F208">
        <v>103008</v>
      </c>
      <c r="G208">
        <v>94987</v>
      </c>
      <c r="H208">
        <v>95476</v>
      </c>
      <c r="I208">
        <v>105988</v>
      </c>
      <c r="J208">
        <v>118105</v>
      </c>
      <c r="K208">
        <v>90358</v>
      </c>
      <c r="M208">
        <v>90887</v>
      </c>
      <c r="N208">
        <v>96290</v>
      </c>
      <c r="O208">
        <v>103345</v>
      </c>
    </row>
    <row r="209" spans="1:15" x14ac:dyDescent="0.2">
      <c r="A209" t="s">
        <v>176</v>
      </c>
      <c r="B209" t="s">
        <v>176</v>
      </c>
      <c r="C209">
        <v>171571</v>
      </c>
      <c r="D209">
        <v>19820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M209">
        <v>0</v>
      </c>
      <c r="N209">
        <v>0</v>
      </c>
      <c r="O209">
        <v>0</v>
      </c>
    </row>
    <row r="210" spans="1:15" x14ac:dyDescent="0.2">
      <c r="A210" t="s">
        <v>177</v>
      </c>
      <c r="B210" t="s">
        <v>177</v>
      </c>
      <c r="C210">
        <v>204857</v>
      </c>
      <c r="D210">
        <v>11900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M210">
        <v>0</v>
      </c>
      <c r="N210">
        <v>0</v>
      </c>
      <c r="O210">
        <v>0</v>
      </c>
    </row>
    <row r="211" spans="1:15" x14ac:dyDescent="0.2">
      <c r="A211" t="s">
        <v>496</v>
      </c>
      <c r="B211" t="s">
        <v>496</v>
      </c>
      <c r="C211">
        <v>204796</v>
      </c>
      <c r="D211">
        <v>18140</v>
      </c>
      <c r="E211">
        <v>0</v>
      </c>
      <c r="F211">
        <v>77374</v>
      </c>
      <c r="G211">
        <v>82410</v>
      </c>
      <c r="H211">
        <v>85354</v>
      </c>
      <c r="I211">
        <v>106737</v>
      </c>
      <c r="J211">
        <v>115862</v>
      </c>
      <c r="K211">
        <v>102918</v>
      </c>
      <c r="M211">
        <v>92022</v>
      </c>
      <c r="N211">
        <v>76507</v>
      </c>
      <c r="O211">
        <v>95770</v>
      </c>
    </row>
    <row r="212" spans="1:15" x14ac:dyDescent="0.2">
      <c r="A212" t="s">
        <v>179</v>
      </c>
      <c r="B212" t="s">
        <v>179</v>
      </c>
      <c r="C212">
        <v>207500</v>
      </c>
      <c r="D212">
        <v>36420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M212">
        <v>0</v>
      </c>
      <c r="N212">
        <v>0</v>
      </c>
      <c r="O212">
        <v>0</v>
      </c>
    </row>
    <row r="213" spans="1:15" x14ac:dyDescent="0.2">
      <c r="A213" t="s">
        <v>497</v>
      </c>
      <c r="B213" t="s">
        <v>497</v>
      </c>
      <c r="C213">
        <v>207388</v>
      </c>
      <c r="D213">
        <v>44660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M213">
        <v>0</v>
      </c>
      <c r="N213">
        <v>0</v>
      </c>
      <c r="O213">
        <v>0</v>
      </c>
    </row>
    <row r="214" spans="1:15" x14ac:dyDescent="0.2">
      <c r="A214" t="s">
        <v>181</v>
      </c>
      <c r="B214" t="s">
        <v>181</v>
      </c>
      <c r="C214">
        <v>232982</v>
      </c>
      <c r="D214">
        <v>47260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M214">
        <v>0</v>
      </c>
      <c r="N214">
        <v>0</v>
      </c>
      <c r="O214">
        <v>0</v>
      </c>
    </row>
    <row r="215" spans="1:15" x14ac:dyDescent="0.2">
      <c r="A215" t="s">
        <v>498</v>
      </c>
      <c r="B215" t="s">
        <v>498</v>
      </c>
      <c r="C215">
        <v>176017</v>
      </c>
      <c r="D215">
        <v>37060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M215">
        <v>0</v>
      </c>
      <c r="N215">
        <v>0</v>
      </c>
      <c r="O215">
        <v>0</v>
      </c>
    </row>
    <row r="216" spans="1:15" x14ac:dyDescent="0.2">
      <c r="A216" t="s">
        <v>499</v>
      </c>
      <c r="B216" t="s">
        <v>499</v>
      </c>
      <c r="C216">
        <v>181394</v>
      </c>
      <c r="D216">
        <v>36540</v>
      </c>
      <c r="E216">
        <v>0</v>
      </c>
      <c r="F216">
        <v>124825</v>
      </c>
      <c r="G216">
        <v>124516</v>
      </c>
      <c r="H216">
        <v>106699</v>
      </c>
      <c r="I216">
        <v>110115</v>
      </c>
      <c r="J216">
        <v>104684</v>
      </c>
      <c r="K216">
        <v>102302</v>
      </c>
      <c r="M216">
        <v>89612</v>
      </c>
      <c r="N216">
        <v>137424</v>
      </c>
      <c r="O216">
        <v>133826</v>
      </c>
    </row>
    <row r="217" spans="1:15" x14ac:dyDescent="0.2">
      <c r="A217" t="s">
        <v>500</v>
      </c>
      <c r="B217" t="s">
        <v>500</v>
      </c>
      <c r="C217">
        <v>207582</v>
      </c>
      <c r="D217">
        <v>46140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M217">
        <v>0</v>
      </c>
      <c r="N217">
        <v>0</v>
      </c>
      <c r="O217">
        <v>0</v>
      </c>
    </row>
    <row r="218" spans="1:15" x14ac:dyDescent="0.2">
      <c r="A218" t="s">
        <v>182</v>
      </c>
      <c r="B218" t="s">
        <v>182</v>
      </c>
      <c r="C218">
        <v>209551</v>
      </c>
      <c r="D218">
        <v>21660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M218">
        <v>0</v>
      </c>
      <c r="N218">
        <v>0</v>
      </c>
      <c r="O218">
        <v>0</v>
      </c>
    </row>
    <row r="219" spans="1:15" x14ac:dyDescent="0.2">
      <c r="A219" t="s">
        <v>501</v>
      </c>
      <c r="B219" t="s">
        <v>501</v>
      </c>
      <c r="C219">
        <v>209542</v>
      </c>
      <c r="D219">
        <v>18700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M219">
        <v>0</v>
      </c>
      <c r="N219">
        <v>0</v>
      </c>
      <c r="O219">
        <v>0</v>
      </c>
    </row>
    <row r="220" spans="1:15" x14ac:dyDescent="0.2">
      <c r="A220" t="s">
        <v>502</v>
      </c>
      <c r="B220" t="s">
        <v>502</v>
      </c>
      <c r="C220">
        <v>120883</v>
      </c>
      <c r="D220">
        <v>44700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M220">
        <v>0</v>
      </c>
      <c r="N220">
        <v>0</v>
      </c>
      <c r="O220">
        <v>0</v>
      </c>
    </row>
    <row r="221" spans="1:15" x14ac:dyDescent="0.2">
      <c r="A221" t="s">
        <v>503</v>
      </c>
      <c r="B221" t="s">
        <v>503</v>
      </c>
      <c r="C221">
        <v>215062</v>
      </c>
      <c r="D221">
        <v>37980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M221">
        <v>0</v>
      </c>
      <c r="N221">
        <v>0</v>
      </c>
      <c r="O221">
        <v>0</v>
      </c>
    </row>
    <row r="222" spans="1:15" x14ac:dyDescent="0.2">
      <c r="A222" t="s">
        <v>504</v>
      </c>
      <c r="B222" t="s">
        <v>504</v>
      </c>
      <c r="C222">
        <v>214777</v>
      </c>
      <c r="D222">
        <v>44300</v>
      </c>
      <c r="E222">
        <v>0</v>
      </c>
      <c r="F222">
        <v>108534</v>
      </c>
      <c r="G222">
        <v>109681</v>
      </c>
      <c r="H222">
        <v>120513</v>
      </c>
      <c r="I222">
        <v>112221</v>
      </c>
      <c r="J222">
        <v>133422</v>
      </c>
      <c r="K222">
        <v>113816</v>
      </c>
      <c r="M222">
        <v>107576</v>
      </c>
      <c r="N222">
        <v>123004</v>
      </c>
      <c r="O222">
        <v>119968</v>
      </c>
    </row>
    <row r="223" spans="1:15" x14ac:dyDescent="0.2">
      <c r="A223" t="s">
        <v>505</v>
      </c>
      <c r="B223" t="s">
        <v>505</v>
      </c>
      <c r="C223">
        <v>121150</v>
      </c>
      <c r="D223">
        <v>31080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M223">
        <v>0</v>
      </c>
      <c r="N223">
        <v>0</v>
      </c>
      <c r="O223">
        <v>0</v>
      </c>
    </row>
    <row r="224" spans="1:15" x14ac:dyDescent="0.2">
      <c r="A224" t="s">
        <v>506</v>
      </c>
      <c r="B224" t="s">
        <v>506</v>
      </c>
      <c r="C224">
        <v>215293</v>
      </c>
      <c r="D224">
        <v>38300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M224">
        <v>0</v>
      </c>
      <c r="N224">
        <v>0</v>
      </c>
      <c r="O224">
        <v>0</v>
      </c>
    </row>
    <row r="225" spans="1:15" x14ac:dyDescent="0.2">
      <c r="A225" t="s">
        <v>507</v>
      </c>
      <c r="B225" t="s">
        <v>507</v>
      </c>
      <c r="C225">
        <v>209825</v>
      </c>
      <c r="D225">
        <v>38900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M225">
        <v>0</v>
      </c>
      <c r="N225">
        <v>0</v>
      </c>
      <c r="O225">
        <v>0</v>
      </c>
    </row>
    <row r="226" spans="1:15" x14ac:dyDescent="0.2">
      <c r="A226" t="s">
        <v>508</v>
      </c>
      <c r="B226" t="s">
        <v>508</v>
      </c>
      <c r="C226">
        <v>209807</v>
      </c>
      <c r="D226">
        <v>38900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M226">
        <v>0</v>
      </c>
      <c r="N226">
        <v>0</v>
      </c>
      <c r="O226">
        <v>0</v>
      </c>
    </row>
    <row r="227" spans="1:15" x14ac:dyDescent="0.2">
      <c r="A227" t="s">
        <v>509</v>
      </c>
      <c r="B227" t="s">
        <v>509</v>
      </c>
      <c r="C227">
        <v>227526</v>
      </c>
      <c r="D227">
        <v>26420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M227">
        <v>0</v>
      </c>
      <c r="N227">
        <v>0</v>
      </c>
      <c r="O227">
        <v>0</v>
      </c>
    </row>
    <row r="228" spans="1:15" x14ac:dyDescent="0.2">
      <c r="A228" t="s">
        <v>510</v>
      </c>
      <c r="B228" t="s">
        <v>510</v>
      </c>
      <c r="C228">
        <v>218539</v>
      </c>
      <c r="D228">
        <v>43900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M228">
        <v>0</v>
      </c>
      <c r="N228">
        <v>0</v>
      </c>
      <c r="O228">
        <v>0</v>
      </c>
    </row>
    <row r="229" spans="1:15" x14ac:dyDescent="0.2">
      <c r="A229" t="s">
        <v>511</v>
      </c>
      <c r="B229" t="s">
        <v>511</v>
      </c>
      <c r="C229">
        <v>186131</v>
      </c>
      <c r="D229">
        <v>45940</v>
      </c>
      <c r="E229">
        <v>0</v>
      </c>
      <c r="F229">
        <v>27057</v>
      </c>
      <c r="G229">
        <v>22209</v>
      </c>
      <c r="H229">
        <v>27799</v>
      </c>
      <c r="I229">
        <v>28822</v>
      </c>
      <c r="J229">
        <v>27879</v>
      </c>
      <c r="K229">
        <v>25279</v>
      </c>
      <c r="M229">
        <v>15882</v>
      </c>
      <c r="N229">
        <v>24081</v>
      </c>
      <c r="O229">
        <v>22439</v>
      </c>
    </row>
    <row r="230" spans="1:15" x14ac:dyDescent="0.2">
      <c r="A230" t="s">
        <v>512</v>
      </c>
      <c r="B230" t="s">
        <v>512</v>
      </c>
      <c r="C230">
        <v>217402</v>
      </c>
      <c r="D230">
        <v>39300</v>
      </c>
      <c r="E230">
        <v>0</v>
      </c>
      <c r="F230">
        <v>44907</v>
      </c>
      <c r="G230">
        <v>53637</v>
      </c>
      <c r="H230">
        <v>47200</v>
      </c>
      <c r="I230">
        <v>39296</v>
      </c>
      <c r="J230">
        <v>41744</v>
      </c>
      <c r="K230">
        <v>38624</v>
      </c>
      <c r="M230">
        <v>44884</v>
      </c>
      <c r="N230">
        <v>42354</v>
      </c>
      <c r="O230">
        <v>45681</v>
      </c>
    </row>
    <row r="231" spans="1:15" x14ac:dyDescent="0.2">
      <c r="A231" t="s">
        <v>187</v>
      </c>
      <c r="B231" t="s">
        <v>187</v>
      </c>
      <c r="C231">
        <v>243780</v>
      </c>
      <c r="D231">
        <v>29200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M231">
        <v>0</v>
      </c>
      <c r="N231">
        <v>0</v>
      </c>
      <c r="O231">
        <v>0</v>
      </c>
    </row>
    <row r="232" spans="1:15" x14ac:dyDescent="0.2">
      <c r="A232" t="s">
        <v>188</v>
      </c>
      <c r="B232" t="s">
        <v>188</v>
      </c>
      <c r="C232">
        <v>151102</v>
      </c>
      <c r="D232">
        <v>23060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M232">
        <v>0</v>
      </c>
      <c r="N232">
        <v>0</v>
      </c>
      <c r="O232">
        <v>0</v>
      </c>
    </row>
    <row r="233" spans="1:15" x14ac:dyDescent="0.2">
      <c r="A233" t="s">
        <v>513</v>
      </c>
      <c r="B233" t="s">
        <v>513</v>
      </c>
      <c r="C233">
        <v>130226</v>
      </c>
      <c r="D233">
        <v>35300</v>
      </c>
      <c r="E233">
        <v>0</v>
      </c>
      <c r="F233">
        <v>65590</v>
      </c>
      <c r="G233">
        <v>68178</v>
      </c>
      <c r="H233">
        <v>56373</v>
      </c>
      <c r="I233">
        <v>49522</v>
      </c>
      <c r="J233">
        <v>56207</v>
      </c>
      <c r="K233">
        <v>48390</v>
      </c>
      <c r="M233">
        <v>50154</v>
      </c>
      <c r="N233">
        <v>47495</v>
      </c>
      <c r="O233">
        <v>58946</v>
      </c>
    </row>
    <row r="234" spans="1:15" x14ac:dyDescent="0.2">
      <c r="A234" t="s">
        <v>189</v>
      </c>
      <c r="B234" t="s">
        <v>189</v>
      </c>
      <c r="C234">
        <v>233277</v>
      </c>
      <c r="D234">
        <v>40220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M234">
        <v>0</v>
      </c>
      <c r="N234">
        <v>0</v>
      </c>
      <c r="O234">
        <v>0</v>
      </c>
    </row>
    <row r="235" spans="1:15" x14ac:dyDescent="0.2">
      <c r="A235" t="s">
        <v>190</v>
      </c>
      <c r="B235" t="s">
        <v>190</v>
      </c>
      <c r="C235">
        <v>217484</v>
      </c>
      <c r="D235">
        <v>39300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M235">
        <v>0</v>
      </c>
      <c r="N235">
        <v>0</v>
      </c>
      <c r="O235">
        <v>0</v>
      </c>
    </row>
    <row r="236" spans="1:15" x14ac:dyDescent="0.2">
      <c r="A236" t="s">
        <v>514</v>
      </c>
      <c r="B236" t="s">
        <v>514</v>
      </c>
      <c r="C236">
        <v>227757</v>
      </c>
      <c r="D236">
        <v>26420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M236">
        <v>0</v>
      </c>
      <c r="N236">
        <v>0</v>
      </c>
      <c r="O236">
        <v>0</v>
      </c>
    </row>
    <row r="237" spans="1:15" x14ac:dyDescent="0.2">
      <c r="A237" t="s">
        <v>515</v>
      </c>
      <c r="B237" t="s">
        <v>515</v>
      </c>
      <c r="C237">
        <v>233374</v>
      </c>
      <c r="D237">
        <v>40060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M237">
        <v>0</v>
      </c>
      <c r="N237">
        <v>0</v>
      </c>
      <c r="O237">
        <v>0</v>
      </c>
    </row>
    <row r="238" spans="1:15" x14ac:dyDescent="0.2">
      <c r="A238" t="s">
        <v>516</v>
      </c>
      <c r="B238" t="s">
        <v>516</v>
      </c>
      <c r="C238">
        <v>186283</v>
      </c>
      <c r="D238">
        <v>45940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M238">
        <v>0</v>
      </c>
      <c r="N238">
        <v>0</v>
      </c>
      <c r="O238">
        <v>0</v>
      </c>
    </row>
    <row r="239" spans="1:15" x14ac:dyDescent="0.2">
      <c r="A239" t="s">
        <v>517</v>
      </c>
      <c r="B239" t="s">
        <v>517</v>
      </c>
      <c r="C239">
        <v>215655</v>
      </c>
      <c r="D239">
        <v>38300</v>
      </c>
      <c r="E239">
        <v>0</v>
      </c>
      <c r="F239">
        <v>16006</v>
      </c>
      <c r="G239">
        <v>14467</v>
      </c>
      <c r="H239">
        <v>15152</v>
      </c>
      <c r="I239">
        <v>18510</v>
      </c>
      <c r="J239">
        <v>13332</v>
      </c>
      <c r="K239">
        <v>15400</v>
      </c>
      <c r="M239">
        <v>0</v>
      </c>
      <c r="N239">
        <v>0</v>
      </c>
      <c r="O239">
        <v>12910</v>
      </c>
    </row>
    <row r="240" spans="1:15" x14ac:dyDescent="0.2">
      <c r="A240" t="s">
        <v>191</v>
      </c>
      <c r="B240" t="s">
        <v>191</v>
      </c>
      <c r="C240">
        <v>186380</v>
      </c>
      <c r="D240">
        <v>35620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M240">
        <v>0</v>
      </c>
      <c r="N240">
        <v>0</v>
      </c>
      <c r="O240">
        <v>0</v>
      </c>
    </row>
    <row r="241" spans="1:15" x14ac:dyDescent="0.2">
      <c r="A241" t="s">
        <v>518</v>
      </c>
      <c r="B241" t="s">
        <v>518</v>
      </c>
      <c r="C241">
        <v>110617</v>
      </c>
      <c r="D241">
        <v>40900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M241">
        <v>0</v>
      </c>
      <c r="N241">
        <v>0</v>
      </c>
      <c r="O241">
        <v>0</v>
      </c>
    </row>
    <row r="242" spans="1:15" x14ac:dyDescent="0.2">
      <c r="A242" t="s">
        <v>519</v>
      </c>
      <c r="B242" t="s">
        <v>519</v>
      </c>
      <c r="C242">
        <v>130253</v>
      </c>
      <c r="D242">
        <v>35300</v>
      </c>
      <c r="E242">
        <v>0</v>
      </c>
      <c r="F242">
        <v>3955</v>
      </c>
      <c r="G242">
        <v>3645</v>
      </c>
      <c r="H242">
        <v>5594</v>
      </c>
      <c r="I242">
        <v>4450</v>
      </c>
      <c r="J242">
        <v>6809</v>
      </c>
      <c r="K242">
        <v>15246</v>
      </c>
      <c r="M242">
        <v>3000</v>
      </c>
      <c r="N242">
        <v>44486</v>
      </c>
      <c r="O242">
        <v>59299</v>
      </c>
    </row>
    <row r="243" spans="1:15" x14ac:dyDescent="0.2">
      <c r="A243" t="s">
        <v>520</v>
      </c>
      <c r="B243" t="s">
        <v>599</v>
      </c>
      <c r="C243">
        <v>215743</v>
      </c>
      <c r="D243">
        <v>11020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M243">
        <v>0</v>
      </c>
      <c r="N243">
        <v>0</v>
      </c>
      <c r="O243">
        <v>0</v>
      </c>
    </row>
    <row r="244" spans="1:15" x14ac:dyDescent="0.2">
      <c r="A244" t="s">
        <v>521</v>
      </c>
      <c r="B244" t="s">
        <v>521</v>
      </c>
      <c r="C244">
        <v>215770</v>
      </c>
      <c r="D244">
        <v>37980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M244">
        <v>0</v>
      </c>
      <c r="N244">
        <v>0</v>
      </c>
      <c r="O244">
        <v>0</v>
      </c>
    </row>
    <row r="245" spans="1:15" x14ac:dyDescent="0.2">
      <c r="A245" t="s">
        <v>522</v>
      </c>
      <c r="B245" t="s">
        <v>522</v>
      </c>
      <c r="C245">
        <v>179159</v>
      </c>
      <c r="D245">
        <v>41180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M245">
        <v>0</v>
      </c>
      <c r="N245">
        <v>0</v>
      </c>
      <c r="O245">
        <v>0</v>
      </c>
    </row>
    <row r="246" spans="1:15" x14ac:dyDescent="0.2">
      <c r="A246" t="s">
        <v>523</v>
      </c>
      <c r="B246" t="s">
        <v>523</v>
      </c>
      <c r="C246">
        <v>123554</v>
      </c>
      <c r="D246">
        <v>41860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M246">
        <v>0</v>
      </c>
      <c r="N246">
        <v>0</v>
      </c>
      <c r="O246">
        <v>0</v>
      </c>
    </row>
    <row r="247" spans="1:15" x14ac:dyDescent="0.2">
      <c r="A247" t="s">
        <v>524</v>
      </c>
      <c r="B247" t="s">
        <v>524</v>
      </c>
      <c r="C247">
        <v>186432</v>
      </c>
      <c r="D247">
        <v>35620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M247">
        <v>0</v>
      </c>
      <c r="N247">
        <v>0</v>
      </c>
      <c r="O247">
        <v>0</v>
      </c>
    </row>
    <row r="248" spans="1:15" x14ac:dyDescent="0.2">
      <c r="A248" t="s">
        <v>525</v>
      </c>
      <c r="B248" t="s">
        <v>526</v>
      </c>
      <c r="C248">
        <v>227881</v>
      </c>
      <c r="D248">
        <v>26660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M248">
        <v>0</v>
      </c>
      <c r="N248">
        <v>0</v>
      </c>
      <c r="O248">
        <v>0</v>
      </c>
    </row>
    <row r="249" spans="1:15" x14ac:dyDescent="0.2">
      <c r="A249" t="s">
        <v>527</v>
      </c>
      <c r="B249" t="s">
        <v>527</v>
      </c>
      <c r="C249">
        <v>102049</v>
      </c>
      <c r="D249">
        <v>13820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M249">
        <v>0</v>
      </c>
      <c r="N249">
        <v>0</v>
      </c>
      <c r="O249">
        <v>0</v>
      </c>
    </row>
    <row r="250" spans="1:15" x14ac:dyDescent="0.2">
      <c r="A250" t="s">
        <v>528</v>
      </c>
      <c r="B250" t="s">
        <v>528</v>
      </c>
      <c r="C250">
        <v>122436</v>
      </c>
      <c r="D250">
        <v>41740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M250">
        <v>0</v>
      </c>
      <c r="N250">
        <v>0</v>
      </c>
      <c r="O250">
        <v>0</v>
      </c>
    </row>
    <row r="251" spans="1:15" x14ac:dyDescent="0.2">
      <c r="A251" t="s">
        <v>529</v>
      </c>
      <c r="B251" t="s">
        <v>529</v>
      </c>
      <c r="C251">
        <v>122409</v>
      </c>
      <c r="D251">
        <v>41740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M251">
        <v>0</v>
      </c>
      <c r="N251">
        <v>0</v>
      </c>
      <c r="O251">
        <v>0</v>
      </c>
    </row>
    <row r="252" spans="1:15" x14ac:dyDescent="0.2">
      <c r="A252" t="s">
        <v>530</v>
      </c>
      <c r="B252" t="s">
        <v>530</v>
      </c>
      <c r="C252">
        <v>122612</v>
      </c>
      <c r="D252">
        <v>41860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M252">
        <v>0</v>
      </c>
      <c r="N252">
        <v>0</v>
      </c>
      <c r="O252">
        <v>0</v>
      </c>
    </row>
    <row r="253" spans="1:15" x14ac:dyDescent="0.2">
      <c r="A253" t="s">
        <v>531</v>
      </c>
      <c r="B253" t="s">
        <v>531</v>
      </c>
      <c r="C253">
        <v>122755</v>
      </c>
      <c r="D253">
        <v>41940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M253">
        <v>0</v>
      </c>
      <c r="N253">
        <v>0</v>
      </c>
      <c r="O253">
        <v>0</v>
      </c>
    </row>
    <row r="254" spans="1:15" x14ac:dyDescent="0.2">
      <c r="A254" t="s">
        <v>532</v>
      </c>
      <c r="B254" t="s">
        <v>532</v>
      </c>
      <c r="C254">
        <v>122931</v>
      </c>
      <c r="D254">
        <v>41940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M254">
        <v>0</v>
      </c>
      <c r="N254">
        <v>0</v>
      </c>
      <c r="O254">
        <v>0</v>
      </c>
    </row>
    <row r="255" spans="1:15" x14ac:dyDescent="0.2">
      <c r="A255" t="s">
        <v>600</v>
      </c>
      <c r="B255" t="s">
        <v>600</v>
      </c>
      <c r="C255">
        <v>140960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M255">
        <v>0</v>
      </c>
      <c r="N255">
        <v>0</v>
      </c>
      <c r="O255">
        <v>0</v>
      </c>
    </row>
    <row r="256" spans="1:15" x14ac:dyDescent="0.2">
      <c r="A256" t="s">
        <v>533</v>
      </c>
      <c r="B256" t="s">
        <v>533</v>
      </c>
      <c r="C256">
        <v>236595</v>
      </c>
      <c r="D256">
        <v>42660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M256">
        <v>0</v>
      </c>
      <c r="N256">
        <v>0</v>
      </c>
      <c r="O256">
        <v>0</v>
      </c>
    </row>
    <row r="257" spans="1:15" x14ac:dyDescent="0.2">
      <c r="A257" t="s">
        <v>534</v>
      </c>
      <c r="B257" t="s">
        <v>534</v>
      </c>
      <c r="C257">
        <v>186584</v>
      </c>
      <c r="D257">
        <v>35620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M257">
        <v>0</v>
      </c>
      <c r="N257">
        <v>0</v>
      </c>
      <c r="O257">
        <v>0</v>
      </c>
    </row>
    <row r="258" spans="1:15" x14ac:dyDescent="0.2">
      <c r="A258" t="s">
        <v>535</v>
      </c>
      <c r="B258" t="s">
        <v>535</v>
      </c>
      <c r="C258">
        <v>228431</v>
      </c>
      <c r="D258">
        <v>34860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M258">
        <v>0</v>
      </c>
      <c r="N258">
        <v>0</v>
      </c>
      <c r="O258">
        <v>0</v>
      </c>
    </row>
    <row r="259" spans="1:15" x14ac:dyDescent="0.2">
      <c r="A259" t="s">
        <v>536</v>
      </c>
      <c r="B259" t="s">
        <v>536</v>
      </c>
      <c r="C259">
        <v>195474</v>
      </c>
      <c r="D259">
        <v>10580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M259">
        <v>0</v>
      </c>
      <c r="N259">
        <v>0</v>
      </c>
      <c r="O259">
        <v>0</v>
      </c>
    </row>
    <row r="260" spans="1:15" x14ac:dyDescent="0.2">
      <c r="A260" t="s">
        <v>537</v>
      </c>
      <c r="B260" t="s">
        <v>537</v>
      </c>
      <c r="C260">
        <v>149231</v>
      </c>
      <c r="D260">
        <v>41180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M260">
        <v>0</v>
      </c>
      <c r="N260">
        <v>0</v>
      </c>
      <c r="O260">
        <v>0</v>
      </c>
    </row>
    <row r="261" spans="1:15" x14ac:dyDescent="0.2">
      <c r="A261" t="s">
        <v>538</v>
      </c>
      <c r="B261" t="s">
        <v>538</v>
      </c>
      <c r="C261">
        <v>228246</v>
      </c>
      <c r="D261">
        <v>19100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M261">
        <v>0</v>
      </c>
      <c r="N261">
        <v>0</v>
      </c>
      <c r="O261">
        <v>0</v>
      </c>
    </row>
    <row r="262" spans="1:15" x14ac:dyDescent="0.2">
      <c r="A262" t="s">
        <v>197</v>
      </c>
      <c r="B262" t="s">
        <v>197</v>
      </c>
      <c r="C262">
        <v>102094</v>
      </c>
      <c r="D262">
        <v>33660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M262">
        <v>0</v>
      </c>
      <c r="N262">
        <v>0</v>
      </c>
      <c r="O262">
        <v>0</v>
      </c>
    </row>
    <row r="263" spans="1:15" x14ac:dyDescent="0.2">
      <c r="A263" t="s">
        <v>198</v>
      </c>
      <c r="B263" t="s">
        <v>198</v>
      </c>
      <c r="C263">
        <v>218663</v>
      </c>
      <c r="D263">
        <v>17900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M263">
        <v>0</v>
      </c>
      <c r="N263">
        <v>0</v>
      </c>
      <c r="O263">
        <v>0</v>
      </c>
    </row>
    <row r="264" spans="1:15" x14ac:dyDescent="0.2">
      <c r="A264" t="s">
        <v>539</v>
      </c>
      <c r="B264" t="s">
        <v>539</v>
      </c>
      <c r="C264">
        <v>218733</v>
      </c>
      <c r="D264">
        <v>36700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M264">
        <v>0</v>
      </c>
      <c r="N264">
        <v>0</v>
      </c>
      <c r="O264">
        <v>0</v>
      </c>
    </row>
    <row r="265" spans="1:15" x14ac:dyDescent="0.2">
      <c r="A265" t="s">
        <v>201</v>
      </c>
      <c r="B265" t="s">
        <v>201</v>
      </c>
      <c r="C265">
        <v>219471</v>
      </c>
      <c r="D265">
        <v>46820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M265">
        <v>0</v>
      </c>
      <c r="N265">
        <v>0</v>
      </c>
      <c r="O265">
        <v>0</v>
      </c>
    </row>
    <row r="266" spans="1:15" x14ac:dyDescent="0.2">
      <c r="A266" t="s">
        <v>540</v>
      </c>
      <c r="B266" t="s">
        <v>540</v>
      </c>
      <c r="C266">
        <v>219356</v>
      </c>
      <c r="D266">
        <v>15100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M266">
        <v>0</v>
      </c>
      <c r="N266">
        <v>0</v>
      </c>
      <c r="O266">
        <v>0</v>
      </c>
    </row>
    <row r="267" spans="1:15" x14ac:dyDescent="0.2">
      <c r="A267" t="s">
        <v>541</v>
      </c>
      <c r="B267" t="s">
        <v>541</v>
      </c>
      <c r="C267">
        <v>137351</v>
      </c>
      <c r="D267">
        <v>45300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M267">
        <v>0</v>
      </c>
      <c r="N267">
        <v>0</v>
      </c>
      <c r="O267">
        <v>0</v>
      </c>
    </row>
    <row r="268" spans="1:15" x14ac:dyDescent="0.2">
      <c r="A268" t="s">
        <v>542</v>
      </c>
      <c r="B268" t="s">
        <v>542</v>
      </c>
      <c r="C268">
        <v>179557</v>
      </c>
      <c r="D268">
        <v>16020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M268">
        <v>0</v>
      </c>
      <c r="N268">
        <v>0</v>
      </c>
      <c r="O268">
        <v>0</v>
      </c>
    </row>
    <row r="269" spans="1:15" x14ac:dyDescent="0.2">
      <c r="A269" t="s">
        <v>543</v>
      </c>
      <c r="B269" t="s">
        <v>543</v>
      </c>
      <c r="C269">
        <v>160612</v>
      </c>
      <c r="D269">
        <v>25220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M269">
        <v>0</v>
      </c>
      <c r="N269">
        <v>0</v>
      </c>
      <c r="O269">
        <v>0</v>
      </c>
    </row>
    <row r="270" spans="1:15" x14ac:dyDescent="0.2">
      <c r="A270" t="s">
        <v>544</v>
      </c>
      <c r="B270" t="s">
        <v>544</v>
      </c>
      <c r="C270">
        <v>123961</v>
      </c>
      <c r="D270">
        <v>31080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M270">
        <v>0</v>
      </c>
      <c r="N270">
        <v>0</v>
      </c>
      <c r="O270">
        <v>0</v>
      </c>
    </row>
    <row r="271" spans="1:15" x14ac:dyDescent="0.2">
      <c r="A271" t="s">
        <v>545</v>
      </c>
      <c r="B271" t="s">
        <v>545</v>
      </c>
      <c r="C271">
        <v>149222</v>
      </c>
      <c r="D271">
        <v>16060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M271">
        <v>0</v>
      </c>
      <c r="N271">
        <v>0</v>
      </c>
      <c r="O271">
        <v>0</v>
      </c>
    </row>
    <row r="272" spans="1:15" x14ac:dyDescent="0.2">
      <c r="A272" t="s">
        <v>546</v>
      </c>
      <c r="B272" t="s">
        <v>546</v>
      </c>
      <c r="C272">
        <v>176372</v>
      </c>
      <c r="D272">
        <v>25620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M272">
        <v>0</v>
      </c>
      <c r="N272">
        <v>0</v>
      </c>
      <c r="O272">
        <v>0</v>
      </c>
    </row>
    <row r="273" spans="1:15" x14ac:dyDescent="0.2">
      <c r="A273" t="s">
        <v>547</v>
      </c>
      <c r="B273" t="s">
        <v>547</v>
      </c>
      <c r="C273">
        <v>160621</v>
      </c>
      <c r="D273">
        <v>12940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M273">
        <v>0</v>
      </c>
      <c r="N273">
        <v>0</v>
      </c>
      <c r="O273">
        <v>0</v>
      </c>
    </row>
    <row r="274" spans="1:15" x14ac:dyDescent="0.2">
      <c r="A274" t="s">
        <v>209</v>
      </c>
      <c r="B274" t="s">
        <v>209</v>
      </c>
      <c r="C274">
        <v>230603</v>
      </c>
      <c r="D274">
        <v>16260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M274">
        <v>0</v>
      </c>
      <c r="N274">
        <v>0</v>
      </c>
      <c r="O274">
        <v>0</v>
      </c>
    </row>
    <row r="275" spans="1:15" x14ac:dyDescent="0.2">
      <c r="A275" t="s">
        <v>548</v>
      </c>
      <c r="B275" t="s">
        <v>548</v>
      </c>
      <c r="C275">
        <v>195164</v>
      </c>
      <c r="D275">
        <v>18500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M275">
        <v>0</v>
      </c>
      <c r="N275">
        <v>0</v>
      </c>
      <c r="O275">
        <v>0</v>
      </c>
    </row>
    <row r="276" spans="1:15" x14ac:dyDescent="0.2">
      <c r="A276" t="s">
        <v>549</v>
      </c>
      <c r="B276" t="s">
        <v>549</v>
      </c>
      <c r="C276">
        <v>195173</v>
      </c>
      <c r="D276">
        <v>15100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M276">
        <v>0</v>
      </c>
      <c r="N276">
        <v>0</v>
      </c>
      <c r="O276">
        <v>0</v>
      </c>
    </row>
    <row r="277" spans="1:15" x14ac:dyDescent="0.2">
      <c r="A277" t="s">
        <v>550</v>
      </c>
      <c r="B277" t="s">
        <v>550</v>
      </c>
      <c r="C277">
        <v>195809</v>
      </c>
      <c r="D277">
        <v>35620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M277">
        <v>0</v>
      </c>
      <c r="N277">
        <v>0</v>
      </c>
      <c r="O277">
        <v>0</v>
      </c>
    </row>
    <row r="278" spans="1:15" x14ac:dyDescent="0.2">
      <c r="A278" t="s">
        <v>551</v>
      </c>
      <c r="B278" t="s">
        <v>551</v>
      </c>
      <c r="C278">
        <v>243744</v>
      </c>
      <c r="D278">
        <v>41940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M278">
        <v>0</v>
      </c>
      <c r="N278">
        <v>0</v>
      </c>
      <c r="O278">
        <v>0</v>
      </c>
    </row>
    <row r="279" spans="1:15" x14ac:dyDescent="0.2">
      <c r="A279" t="s">
        <v>552</v>
      </c>
      <c r="B279" t="s">
        <v>552</v>
      </c>
      <c r="C279">
        <v>137546</v>
      </c>
      <c r="D279">
        <v>36740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M279">
        <v>0</v>
      </c>
      <c r="N279">
        <v>0</v>
      </c>
      <c r="O279">
        <v>0</v>
      </c>
    </row>
    <row r="280" spans="1:15" x14ac:dyDescent="0.2">
      <c r="A280" t="s">
        <v>211</v>
      </c>
      <c r="B280" t="s">
        <v>211</v>
      </c>
      <c r="C280">
        <v>196097</v>
      </c>
      <c r="D280">
        <v>35620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M280">
        <v>0</v>
      </c>
      <c r="N280">
        <v>0</v>
      </c>
      <c r="O280">
        <v>0</v>
      </c>
    </row>
    <row r="281" spans="1:15" x14ac:dyDescent="0.2">
      <c r="A281" t="s">
        <v>553</v>
      </c>
      <c r="B281" t="s">
        <v>553</v>
      </c>
      <c r="C281">
        <v>196413</v>
      </c>
      <c r="D281">
        <v>45060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M281">
        <v>0</v>
      </c>
      <c r="N281">
        <v>0</v>
      </c>
      <c r="O281">
        <v>0</v>
      </c>
    </row>
    <row r="282" spans="1:15" x14ac:dyDescent="0.2">
      <c r="A282" t="s">
        <v>554</v>
      </c>
      <c r="B282" t="s">
        <v>554</v>
      </c>
      <c r="C282">
        <v>228875</v>
      </c>
      <c r="D282">
        <v>19100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M282">
        <v>0</v>
      </c>
      <c r="N282">
        <v>0</v>
      </c>
      <c r="O282">
        <v>0</v>
      </c>
    </row>
    <row r="283" spans="1:15" x14ac:dyDescent="0.2">
      <c r="A283" t="s">
        <v>555</v>
      </c>
      <c r="B283" t="s">
        <v>555</v>
      </c>
      <c r="C283">
        <v>216339</v>
      </c>
      <c r="D283">
        <v>37980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M283">
        <v>0</v>
      </c>
      <c r="N283">
        <v>0</v>
      </c>
      <c r="O283">
        <v>0</v>
      </c>
    </row>
    <row r="284" spans="1:15" x14ac:dyDescent="0.2">
      <c r="A284" t="s">
        <v>212</v>
      </c>
      <c r="B284" t="s">
        <v>212</v>
      </c>
      <c r="C284">
        <v>221759</v>
      </c>
      <c r="D284">
        <v>28940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M284">
        <v>0</v>
      </c>
      <c r="N284">
        <v>0</v>
      </c>
      <c r="O284">
        <v>0</v>
      </c>
    </row>
    <row r="285" spans="1:15" x14ac:dyDescent="0.2">
      <c r="A285" t="s">
        <v>556</v>
      </c>
      <c r="B285" t="s">
        <v>556</v>
      </c>
      <c r="C285">
        <v>221838</v>
      </c>
      <c r="D285">
        <v>34980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M285">
        <v>0</v>
      </c>
      <c r="N285">
        <v>0</v>
      </c>
      <c r="O285">
        <v>0</v>
      </c>
    </row>
    <row r="286" spans="1:15" x14ac:dyDescent="0.2">
      <c r="A286" t="s">
        <v>215</v>
      </c>
      <c r="B286" t="s">
        <v>215</v>
      </c>
      <c r="C286">
        <v>221847</v>
      </c>
      <c r="D286">
        <v>18260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M286">
        <v>0</v>
      </c>
      <c r="N286">
        <v>0</v>
      </c>
      <c r="O286">
        <v>0</v>
      </c>
    </row>
    <row r="287" spans="1:15" x14ac:dyDescent="0.2">
      <c r="A287" t="s">
        <v>216</v>
      </c>
      <c r="B287" t="s">
        <v>216</v>
      </c>
      <c r="C287">
        <v>228778</v>
      </c>
      <c r="D287">
        <v>12420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M287">
        <v>0</v>
      </c>
      <c r="N287">
        <v>0</v>
      </c>
      <c r="O287">
        <v>0</v>
      </c>
    </row>
    <row r="288" spans="1:15" x14ac:dyDescent="0.2">
      <c r="A288" t="s">
        <v>217</v>
      </c>
      <c r="B288" t="s">
        <v>217</v>
      </c>
      <c r="C288">
        <v>228723</v>
      </c>
      <c r="D288">
        <v>17780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M288">
        <v>0</v>
      </c>
      <c r="N288">
        <v>0</v>
      </c>
      <c r="O288">
        <v>0</v>
      </c>
    </row>
    <row r="289" spans="1:15" x14ac:dyDescent="0.2">
      <c r="A289" t="s">
        <v>220</v>
      </c>
      <c r="B289" t="s">
        <v>220</v>
      </c>
      <c r="C289">
        <v>229063</v>
      </c>
      <c r="D289">
        <v>26420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M289">
        <v>0</v>
      </c>
      <c r="N289">
        <v>0</v>
      </c>
      <c r="O289">
        <v>0</v>
      </c>
    </row>
    <row r="290" spans="1:15" x14ac:dyDescent="0.2">
      <c r="A290" t="s">
        <v>557</v>
      </c>
      <c r="B290" t="s">
        <v>557</v>
      </c>
      <c r="C290">
        <v>228459</v>
      </c>
      <c r="D290">
        <v>12420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M290">
        <v>0</v>
      </c>
      <c r="N290">
        <v>0</v>
      </c>
      <c r="O290">
        <v>0</v>
      </c>
    </row>
    <row r="291" spans="1:15" x14ac:dyDescent="0.2">
      <c r="A291" t="s">
        <v>222</v>
      </c>
      <c r="B291" t="s">
        <v>222</v>
      </c>
      <c r="C291">
        <v>229115</v>
      </c>
      <c r="D291">
        <v>31180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M291">
        <v>0</v>
      </c>
      <c r="N291">
        <v>0</v>
      </c>
      <c r="O291">
        <v>0</v>
      </c>
    </row>
    <row r="292" spans="1:15" x14ac:dyDescent="0.2">
      <c r="A292" t="s">
        <v>70</v>
      </c>
      <c r="B292" t="s">
        <v>558</v>
      </c>
      <c r="C292">
        <v>217864</v>
      </c>
      <c r="D292">
        <v>16700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M292">
        <v>0</v>
      </c>
      <c r="N292">
        <v>0</v>
      </c>
      <c r="O292">
        <v>0</v>
      </c>
    </row>
    <row r="293" spans="1:15" x14ac:dyDescent="0.2">
      <c r="A293" t="s">
        <v>223</v>
      </c>
      <c r="B293" t="s">
        <v>223</v>
      </c>
      <c r="C293">
        <v>206084</v>
      </c>
      <c r="D293">
        <v>45780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M293">
        <v>0</v>
      </c>
      <c r="N293">
        <v>0</v>
      </c>
      <c r="O293">
        <v>0</v>
      </c>
    </row>
    <row r="294" spans="1:15" x14ac:dyDescent="0.2">
      <c r="A294" t="s">
        <v>224</v>
      </c>
      <c r="B294" t="s">
        <v>224</v>
      </c>
      <c r="C294">
        <v>164076</v>
      </c>
      <c r="D294">
        <v>12580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M294">
        <v>0</v>
      </c>
      <c r="N294">
        <v>0</v>
      </c>
      <c r="O294">
        <v>0</v>
      </c>
    </row>
    <row r="295" spans="1:15" x14ac:dyDescent="0.2">
      <c r="A295" t="s">
        <v>225</v>
      </c>
      <c r="B295" t="s">
        <v>225</v>
      </c>
      <c r="C295">
        <v>102368</v>
      </c>
      <c r="D295">
        <v>45980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M295">
        <v>0</v>
      </c>
      <c r="N295">
        <v>0</v>
      </c>
      <c r="O295">
        <v>0</v>
      </c>
    </row>
    <row r="296" spans="1:15" x14ac:dyDescent="0.2">
      <c r="A296" t="s">
        <v>559</v>
      </c>
      <c r="B296" t="s">
        <v>559</v>
      </c>
      <c r="C296">
        <v>160755</v>
      </c>
      <c r="D296">
        <v>35380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M296">
        <v>0</v>
      </c>
      <c r="N296">
        <v>0</v>
      </c>
      <c r="O296">
        <v>0</v>
      </c>
    </row>
    <row r="297" spans="1:15" x14ac:dyDescent="0.2">
      <c r="A297" t="s">
        <v>560</v>
      </c>
      <c r="B297" t="s">
        <v>560</v>
      </c>
      <c r="C297">
        <v>207971</v>
      </c>
      <c r="D297">
        <v>46140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M297">
        <v>0</v>
      </c>
      <c r="N297">
        <v>0</v>
      </c>
      <c r="O297">
        <v>0</v>
      </c>
    </row>
    <row r="298" spans="1:15" x14ac:dyDescent="0.2">
      <c r="A298" t="s">
        <v>226</v>
      </c>
      <c r="B298" t="s">
        <v>226</v>
      </c>
      <c r="C298">
        <v>100663</v>
      </c>
      <c r="D298">
        <v>13820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M298">
        <v>0</v>
      </c>
      <c r="N298">
        <v>0</v>
      </c>
      <c r="O298">
        <v>0</v>
      </c>
    </row>
    <row r="299" spans="1:15" x14ac:dyDescent="0.2">
      <c r="A299" t="s">
        <v>561</v>
      </c>
      <c r="B299" t="s">
        <v>562</v>
      </c>
      <c r="C299">
        <v>196060</v>
      </c>
      <c r="D299">
        <v>10580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M299">
        <v>0</v>
      </c>
      <c r="N299">
        <v>0</v>
      </c>
      <c r="O299">
        <v>0</v>
      </c>
    </row>
    <row r="300" spans="1:15" x14ac:dyDescent="0.2">
      <c r="A300" t="s">
        <v>227</v>
      </c>
      <c r="B300" t="s">
        <v>227</v>
      </c>
      <c r="C300">
        <v>110644</v>
      </c>
      <c r="D300">
        <v>40900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M300">
        <v>0</v>
      </c>
      <c r="N300">
        <v>0</v>
      </c>
      <c r="O300">
        <v>0</v>
      </c>
    </row>
    <row r="301" spans="1:15" x14ac:dyDescent="0.2">
      <c r="A301" t="s">
        <v>228</v>
      </c>
      <c r="B301" t="s">
        <v>228</v>
      </c>
      <c r="C301">
        <v>110653</v>
      </c>
      <c r="D301">
        <v>31080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M301">
        <v>0</v>
      </c>
      <c r="N301">
        <v>0</v>
      </c>
      <c r="O301">
        <v>0</v>
      </c>
    </row>
    <row r="302" spans="1:15" x14ac:dyDescent="0.2">
      <c r="A302" t="s">
        <v>229</v>
      </c>
      <c r="B302" t="s">
        <v>229</v>
      </c>
      <c r="C302">
        <v>110671</v>
      </c>
      <c r="D302">
        <v>40140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M302">
        <v>0</v>
      </c>
      <c r="N302">
        <v>0</v>
      </c>
      <c r="O302">
        <v>0</v>
      </c>
    </row>
    <row r="303" spans="1:15" x14ac:dyDescent="0.2">
      <c r="A303" t="s">
        <v>230</v>
      </c>
      <c r="B303" t="s">
        <v>230</v>
      </c>
      <c r="C303">
        <v>110705</v>
      </c>
      <c r="D303">
        <v>42200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M303">
        <v>0</v>
      </c>
      <c r="N303">
        <v>0</v>
      </c>
      <c r="O303">
        <v>0</v>
      </c>
    </row>
    <row r="304" spans="1:15" x14ac:dyDescent="0.2">
      <c r="A304" t="s">
        <v>231</v>
      </c>
      <c r="B304" t="s">
        <v>231</v>
      </c>
      <c r="C304">
        <v>132903</v>
      </c>
      <c r="D304">
        <v>36740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M304">
        <v>0</v>
      </c>
      <c r="N304">
        <v>0</v>
      </c>
      <c r="O304">
        <v>0</v>
      </c>
    </row>
    <row r="305" spans="1:15" x14ac:dyDescent="0.2">
      <c r="A305" t="s">
        <v>232</v>
      </c>
      <c r="B305" t="s">
        <v>232</v>
      </c>
      <c r="C305">
        <v>110662</v>
      </c>
      <c r="D305">
        <v>31080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M305">
        <v>0</v>
      </c>
      <c r="N305">
        <v>0</v>
      </c>
      <c r="O305">
        <v>0</v>
      </c>
    </row>
    <row r="306" spans="1:15" x14ac:dyDescent="0.2">
      <c r="A306" t="s">
        <v>563</v>
      </c>
      <c r="B306" t="s">
        <v>563</v>
      </c>
      <c r="C306">
        <v>129020</v>
      </c>
      <c r="D306">
        <v>25540</v>
      </c>
      <c r="E306">
        <v>0</v>
      </c>
      <c r="F306">
        <v>75539</v>
      </c>
      <c r="G306">
        <v>87189</v>
      </c>
      <c r="H306">
        <v>65679</v>
      </c>
      <c r="I306">
        <v>69128</v>
      </c>
      <c r="J306">
        <v>62086</v>
      </c>
      <c r="K306">
        <v>58207</v>
      </c>
      <c r="M306">
        <v>51905</v>
      </c>
      <c r="N306">
        <v>56592</v>
      </c>
      <c r="O306">
        <v>55905</v>
      </c>
    </row>
    <row r="307" spans="1:15" x14ac:dyDescent="0.2">
      <c r="A307" t="s">
        <v>564</v>
      </c>
      <c r="B307" t="s">
        <v>564</v>
      </c>
      <c r="C307">
        <v>145600</v>
      </c>
      <c r="D307">
        <v>16980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M307">
        <v>0</v>
      </c>
      <c r="N307">
        <v>0</v>
      </c>
      <c r="O307">
        <v>0</v>
      </c>
    </row>
    <row r="308" spans="1:15" x14ac:dyDescent="0.2">
      <c r="A308" t="s">
        <v>565</v>
      </c>
      <c r="B308" t="s">
        <v>566</v>
      </c>
      <c r="C308">
        <v>225627</v>
      </c>
      <c r="D308">
        <v>41700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M308">
        <v>0</v>
      </c>
      <c r="N308">
        <v>0</v>
      </c>
      <c r="O308">
        <v>0</v>
      </c>
    </row>
    <row r="309" spans="1:15" x14ac:dyDescent="0.2">
      <c r="A309" t="s">
        <v>567</v>
      </c>
      <c r="B309" t="s">
        <v>568</v>
      </c>
      <c r="C309">
        <v>159993</v>
      </c>
      <c r="D309">
        <v>33740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M309">
        <v>0</v>
      </c>
      <c r="N309">
        <v>0</v>
      </c>
      <c r="O309">
        <v>0</v>
      </c>
    </row>
    <row r="310" spans="1:15" x14ac:dyDescent="0.2">
      <c r="A310" t="s">
        <v>569</v>
      </c>
      <c r="B310" t="s">
        <v>569</v>
      </c>
      <c r="C310">
        <v>166513</v>
      </c>
      <c r="D310">
        <v>31700</v>
      </c>
      <c r="E310">
        <v>0</v>
      </c>
      <c r="F310">
        <v>102390</v>
      </c>
      <c r="G310">
        <v>106256</v>
      </c>
      <c r="H310">
        <v>99762</v>
      </c>
      <c r="I310">
        <v>87608</v>
      </c>
      <c r="J310">
        <v>87682</v>
      </c>
      <c r="K310">
        <v>79470</v>
      </c>
      <c r="M310">
        <v>81573</v>
      </c>
      <c r="N310">
        <v>76532</v>
      </c>
      <c r="O310">
        <v>82851</v>
      </c>
    </row>
    <row r="311" spans="1:15" x14ac:dyDescent="0.2">
      <c r="A311" t="s">
        <v>570</v>
      </c>
      <c r="B311" t="s">
        <v>570</v>
      </c>
      <c r="C311">
        <v>163268</v>
      </c>
      <c r="D311">
        <v>12580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M311">
        <v>0</v>
      </c>
      <c r="N311">
        <v>0</v>
      </c>
      <c r="O311">
        <v>0</v>
      </c>
    </row>
    <row r="312" spans="1:15" x14ac:dyDescent="0.2">
      <c r="A312" t="s">
        <v>571</v>
      </c>
      <c r="B312" t="s">
        <v>571</v>
      </c>
      <c r="C312">
        <v>163338</v>
      </c>
      <c r="D312">
        <v>41540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M312">
        <v>0</v>
      </c>
      <c r="N312">
        <v>0</v>
      </c>
      <c r="O312">
        <v>0</v>
      </c>
    </row>
    <row r="313" spans="1:15" x14ac:dyDescent="0.2">
      <c r="A313" t="s">
        <v>572</v>
      </c>
      <c r="B313" t="s">
        <v>572</v>
      </c>
      <c r="C313">
        <v>199111</v>
      </c>
      <c r="D313">
        <v>11700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M313">
        <v>0</v>
      </c>
      <c r="N313">
        <v>0</v>
      </c>
      <c r="O313">
        <v>0</v>
      </c>
    </row>
    <row r="314" spans="1:15" x14ac:dyDescent="0.2">
      <c r="A314" t="s">
        <v>573</v>
      </c>
      <c r="B314" t="s">
        <v>573</v>
      </c>
      <c r="C314">
        <v>199148</v>
      </c>
      <c r="D314">
        <v>24660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M314">
        <v>0</v>
      </c>
      <c r="N314">
        <v>0</v>
      </c>
      <c r="O314">
        <v>0</v>
      </c>
    </row>
    <row r="315" spans="1:15" x14ac:dyDescent="0.2">
      <c r="A315" t="s">
        <v>574</v>
      </c>
      <c r="B315" t="s">
        <v>574</v>
      </c>
      <c r="C315">
        <v>199218</v>
      </c>
      <c r="D315">
        <v>48900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M315">
        <v>0</v>
      </c>
      <c r="N315">
        <v>0</v>
      </c>
      <c r="O315">
        <v>0</v>
      </c>
    </row>
    <row r="316" spans="1:15" x14ac:dyDescent="0.2">
      <c r="A316" t="s">
        <v>575</v>
      </c>
      <c r="B316" t="s">
        <v>575</v>
      </c>
      <c r="C316">
        <v>154095</v>
      </c>
      <c r="D316">
        <v>47940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M316">
        <v>0</v>
      </c>
      <c r="N316">
        <v>0</v>
      </c>
      <c r="O316">
        <v>0</v>
      </c>
    </row>
    <row r="317" spans="1:15" x14ac:dyDescent="0.2">
      <c r="A317" t="s">
        <v>233</v>
      </c>
      <c r="B317" t="s">
        <v>233</v>
      </c>
      <c r="C317">
        <v>182281</v>
      </c>
      <c r="D317">
        <v>29820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M317">
        <v>0</v>
      </c>
      <c r="N317">
        <v>0</v>
      </c>
      <c r="O317">
        <v>0</v>
      </c>
    </row>
    <row r="318" spans="1:15" x14ac:dyDescent="0.2">
      <c r="A318" t="s">
        <v>576</v>
      </c>
      <c r="B318" t="s">
        <v>576</v>
      </c>
      <c r="C318">
        <v>218742</v>
      </c>
      <c r="D318">
        <v>43900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M318">
        <v>0</v>
      </c>
      <c r="N318">
        <v>0</v>
      </c>
      <c r="O318">
        <v>0</v>
      </c>
    </row>
    <row r="319" spans="1:15" x14ac:dyDescent="0.2">
      <c r="A319" t="s">
        <v>577</v>
      </c>
      <c r="B319" t="s">
        <v>577</v>
      </c>
      <c r="C319">
        <v>228769</v>
      </c>
      <c r="D319">
        <v>19100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M319">
        <v>0</v>
      </c>
      <c r="N319">
        <v>0</v>
      </c>
      <c r="O319">
        <v>0</v>
      </c>
    </row>
    <row r="320" spans="1:15" x14ac:dyDescent="0.2">
      <c r="A320" t="s">
        <v>578</v>
      </c>
      <c r="B320" t="s">
        <v>578</v>
      </c>
      <c r="C320">
        <v>221768</v>
      </c>
      <c r="D320">
        <v>32280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M320">
        <v>0</v>
      </c>
      <c r="N320">
        <v>0</v>
      </c>
      <c r="O320">
        <v>0</v>
      </c>
    </row>
    <row r="321" spans="1:15" x14ac:dyDescent="0.2">
      <c r="A321" t="s">
        <v>234</v>
      </c>
      <c r="B321" t="s">
        <v>234</v>
      </c>
      <c r="C321">
        <v>230764</v>
      </c>
      <c r="D321">
        <v>41620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M321">
        <v>0</v>
      </c>
      <c r="N321">
        <v>0</v>
      </c>
      <c r="O321">
        <v>0</v>
      </c>
    </row>
    <row r="322" spans="1:15" x14ac:dyDescent="0.2">
      <c r="A322" t="s">
        <v>579</v>
      </c>
      <c r="B322" t="s">
        <v>579</v>
      </c>
      <c r="C322">
        <v>230728</v>
      </c>
      <c r="D322">
        <v>30860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M322">
        <v>0</v>
      </c>
      <c r="N322">
        <v>0</v>
      </c>
      <c r="O322">
        <v>0</v>
      </c>
    </row>
    <row r="323" spans="1:15" x14ac:dyDescent="0.2">
      <c r="A323" t="s">
        <v>236</v>
      </c>
      <c r="B323" t="s">
        <v>236</v>
      </c>
      <c r="C323">
        <v>230737</v>
      </c>
      <c r="D323">
        <v>39340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M323">
        <v>0</v>
      </c>
      <c r="N323">
        <v>0</v>
      </c>
      <c r="O323">
        <v>0</v>
      </c>
    </row>
    <row r="324" spans="1:15" x14ac:dyDescent="0.2">
      <c r="A324" t="s">
        <v>237</v>
      </c>
      <c r="B324" t="s">
        <v>237</v>
      </c>
      <c r="C324">
        <v>228796</v>
      </c>
      <c r="D324">
        <v>21340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M324">
        <v>0</v>
      </c>
      <c r="N324">
        <v>0</v>
      </c>
      <c r="O324">
        <v>0</v>
      </c>
    </row>
    <row r="325" spans="1:15" x14ac:dyDescent="0.2">
      <c r="A325" t="s">
        <v>238</v>
      </c>
      <c r="B325" t="s">
        <v>238</v>
      </c>
      <c r="C325">
        <v>227368</v>
      </c>
      <c r="D325">
        <v>32580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M325">
        <v>0</v>
      </c>
      <c r="N325">
        <v>0</v>
      </c>
      <c r="O325">
        <v>0</v>
      </c>
    </row>
    <row r="326" spans="1:15" x14ac:dyDescent="0.2">
      <c r="A326" t="s">
        <v>239</v>
      </c>
      <c r="B326" t="s">
        <v>239</v>
      </c>
      <c r="C326">
        <v>229027</v>
      </c>
      <c r="D326">
        <v>41700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M326">
        <v>0</v>
      </c>
      <c r="N326">
        <v>0</v>
      </c>
      <c r="O326">
        <v>0</v>
      </c>
    </row>
    <row r="327" spans="1:15" x14ac:dyDescent="0.2">
      <c r="A327" t="s">
        <v>580</v>
      </c>
      <c r="B327" t="s">
        <v>580</v>
      </c>
      <c r="C327">
        <v>152600</v>
      </c>
      <c r="D327">
        <v>16980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M327">
        <v>0</v>
      </c>
      <c r="N327">
        <v>0</v>
      </c>
      <c r="O327">
        <v>0</v>
      </c>
    </row>
    <row r="328" spans="1:15" x14ac:dyDescent="0.2">
      <c r="A328" t="s">
        <v>581</v>
      </c>
      <c r="B328" t="s">
        <v>581</v>
      </c>
      <c r="C328">
        <v>221999</v>
      </c>
      <c r="D328">
        <v>34980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M328">
        <v>0</v>
      </c>
      <c r="N328">
        <v>0</v>
      </c>
      <c r="O328">
        <v>0</v>
      </c>
    </row>
    <row r="329" spans="1:15" x14ac:dyDescent="0.2">
      <c r="A329" t="s">
        <v>240</v>
      </c>
      <c r="B329" t="s">
        <v>240</v>
      </c>
      <c r="C329">
        <v>234030</v>
      </c>
      <c r="D329">
        <v>40060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M329">
        <v>0</v>
      </c>
      <c r="N329">
        <v>0</v>
      </c>
      <c r="O329">
        <v>0</v>
      </c>
    </row>
    <row r="330" spans="1:15" x14ac:dyDescent="0.2">
      <c r="A330" t="s">
        <v>241</v>
      </c>
      <c r="B330" t="s">
        <v>241</v>
      </c>
      <c r="C330">
        <v>231174</v>
      </c>
      <c r="D330">
        <v>15540</v>
      </c>
      <c r="E330">
        <v>0</v>
      </c>
      <c r="F330">
        <v>71765</v>
      </c>
      <c r="G330">
        <v>77197</v>
      </c>
      <c r="H330">
        <v>72756</v>
      </c>
      <c r="I330">
        <v>63783</v>
      </c>
      <c r="J330">
        <v>59546</v>
      </c>
      <c r="K330">
        <v>48513</v>
      </c>
      <c r="M330">
        <v>49375</v>
      </c>
      <c r="N330">
        <v>48881</v>
      </c>
      <c r="O330">
        <v>44780</v>
      </c>
    </row>
    <row r="331" spans="1:15" x14ac:dyDescent="0.2">
      <c r="A331" t="s">
        <v>582</v>
      </c>
      <c r="B331" t="s">
        <v>582</v>
      </c>
      <c r="C331">
        <v>216597</v>
      </c>
      <c r="D331">
        <v>37980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M331">
        <v>0</v>
      </c>
      <c r="N331">
        <v>0</v>
      </c>
      <c r="O331">
        <v>0</v>
      </c>
    </row>
    <row r="332" spans="1:15" x14ac:dyDescent="0.2">
      <c r="A332" t="s">
        <v>242</v>
      </c>
      <c r="B332" t="s">
        <v>242</v>
      </c>
      <c r="C332">
        <v>234076</v>
      </c>
      <c r="D332">
        <v>16820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M332">
        <v>0</v>
      </c>
      <c r="N332">
        <v>0</v>
      </c>
      <c r="O332">
        <v>0</v>
      </c>
    </row>
    <row r="333" spans="1:15" x14ac:dyDescent="0.2">
      <c r="A333" t="s">
        <v>243</v>
      </c>
      <c r="B333" t="s">
        <v>243</v>
      </c>
      <c r="C333">
        <v>233921</v>
      </c>
      <c r="D333">
        <v>13980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M333">
        <v>0</v>
      </c>
      <c r="N333">
        <v>0</v>
      </c>
      <c r="O333">
        <v>0</v>
      </c>
    </row>
    <row r="334" spans="1:15" x14ac:dyDescent="0.2">
      <c r="A334" t="s">
        <v>583</v>
      </c>
      <c r="B334" t="s">
        <v>583</v>
      </c>
      <c r="C334">
        <v>234085</v>
      </c>
      <c r="D334">
        <v>31340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M334">
        <v>0</v>
      </c>
      <c r="N334">
        <v>0</v>
      </c>
      <c r="O334">
        <v>0</v>
      </c>
    </row>
    <row r="335" spans="1:15" x14ac:dyDescent="0.2">
      <c r="A335" t="s">
        <v>584</v>
      </c>
      <c r="B335" t="s">
        <v>584</v>
      </c>
      <c r="C335">
        <v>197197</v>
      </c>
      <c r="D335">
        <v>35620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M335">
        <v>0</v>
      </c>
      <c r="N335">
        <v>0</v>
      </c>
      <c r="O335">
        <v>0</v>
      </c>
    </row>
    <row r="336" spans="1:15" x14ac:dyDescent="0.2">
      <c r="A336" t="s">
        <v>585</v>
      </c>
      <c r="B336" t="s">
        <v>585</v>
      </c>
      <c r="C336">
        <v>199847</v>
      </c>
      <c r="D336">
        <v>49180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M336">
        <v>0</v>
      </c>
      <c r="N336">
        <v>0</v>
      </c>
      <c r="O336">
        <v>0</v>
      </c>
    </row>
    <row r="337" spans="1:15" x14ac:dyDescent="0.2">
      <c r="A337" t="s">
        <v>244</v>
      </c>
      <c r="B337" t="s">
        <v>244</v>
      </c>
      <c r="C337">
        <v>236948</v>
      </c>
      <c r="D337">
        <v>42660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M337">
        <v>0</v>
      </c>
      <c r="N337">
        <v>0</v>
      </c>
      <c r="O337">
        <v>0</v>
      </c>
    </row>
    <row r="338" spans="1:15" x14ac:dyDescent="0.2">
      <c r="A338" t="s">
        <v>586</v>
      </c>
      <c r="B338" t="s">
        <v>586</v>
      </c>
      <c r="C338">
        <v>236939</v>
      </c>
      <c r="D338">
        <v>39420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M338">
        <v>0</v>
      </c>
      <c r="N338">
        <v>0</v>
      </c>
      <c r="O338">
        <v>0</v>
      </c>
    </row>
    <row r="339" spans="1:15" x14ac:dyDescent="0.2">
      <c r="A339" t="s">
        <v>587</v>
      </c>
      <c r="B339" t="s">
        <v>587</v>
      </c>
      <c r="C339">
        <v>230782</v>
      </c>
      <c r="D339">
        <v>36260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M339">
        <v>0</v>
      </c>
      <c r="N339">
        <v>0</v>
      </c>
      <c r="O339">
        <v>0</v>
      </c>
    </row>
    <row r="340" spans="1:15" x14ac:dyDescent="0.2">
      <c r="A340" t="s">
        <v>247</v>
      </c>
      <c r="B340" t="s">
        <v>247</v>
      </c>
      <c r="C340">
        <v>238032</v>
      </c>
      <c r="D340">
        <v>34060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M340">
        <v>0</v>
      </c>
      <c r="N340">
        <v>0</v>
      </c>
      <c r="O340">
        <v>0</v>
      </c>
    </row>
    <row r="341" spans="1:15" x14ac:dyDescent="0.2">
      <c r="A341" t="s">
        <v>588</v>
      </c>
      <c r="B341" t="s">
        <v>588</v>
      </c>
      <c r="C341">
        <v>200004</v>
      </c>
      <c r="D341">
        <v>19000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M341">
        <v>0</v>
      </c>
      <c r="N341">
        <v>0</v>
      </c>
      <c r="O341">
        <v>0</v>
      </c>
    </row>
    <row r="342" spans="1:15" x14ac:dyDescent="0.2">
      <c r="A342" t="s">
        <v>589</v>
      </c>
      <c r="B342" t="s">
        <v>589</v>
      </c>
      <c r="C342">
        <v>149772</v>
      </c>
      <c r="D342">
        <v>31380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M342">
        <v>0</v>
      </c>
      <c r="N342">
        <v>0</v>
      </c>
      <c r="O342">
        <v>0</v>
      </c>
    </row>
    <row r="343" spans="1:15" x14ac:dyDescent="0.2">
      <c r="A343" t="s">
        <v>590</v>
      </c>
      <c r="B343" t="s">
        <v>590</v>
      </c>
      <c r="C343">
        <v>157951</v>
      </c>
      <c r="D343">
        <v>14540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M343">
        <v>0</v>
      </c>
      <c r="N343">
        <v>0</v>
      </c>
      <c r="O343">
        <v>0</v>
      </c>
    </row>
    <row r="344" spans="1:15" x14ac:dyDescent="0.2">
      <c r="A344" t="s">
        <v>591</v>
      </c>
      <c r="B344" t="s">
        <v>591</v>
      </c>
      <c r="C344">
        <v>172699</v>
      </c>
      <c r="D344">
        <v>28020</v>
      </c>
      <c r="E344">
        <v>0</v>
      </c>
      <c r="F344">
        <v>45699</v>
      </c>
      <c r="G344">
        <v>42689</v>
      </c>
      <c r="H344">
        <v>56037</v>
      </c>
      <c r="I344">
        <v>55857</v>
      </c>
      <c r="J344">
        <v>61274</v>
      </c>
      <c r="K344">
        <v>56943</v>
      </c>
      <c r="M344">
        <v>56041</v>
      </c>
      <c r="N344">
        <v>60774</v>
      </c>
      <c r="O344">
        <v>59523</v>
      </c>
    </row>
    <row r="345" spans="1:15" x14ac:dyDescent="0.2">
      <c r="A345" t="s">
        <v>592</v>
      </c>
      <c r="B345" t="s">
        <v>592</v>
      </c>
      <c r="C345">
        <v>156125</v>
      </c>
      <c r="D345">
        <v>48620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M345">
        <v>0</v>
      </c>
      <c r="N345">
        <v>0</v>
      </c>
      <c r="O345">
        <v>0</v>
      </c>
    </row>
    <row r="346" spans="1:15" x14ac:dyDescent="0.2">
      <c r="A346" t="s">
        <v>253</v>
      </c>
      <c r="B346" t="s">
        <v>253</v>
      </c>
      <c r="C346">
        <v>231624</v>
      </c>
      <c r="D346">
        <v>47260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M346">
        <v>0</v>
      </c>
      <c r="N346">
        <v>0</v>
      </c>
      <c r="O346">
        <v>0</v>
      </c>
    </row>
    <row r="347" spans="1:15" x14ac:dyDescent="0.2">
      <c r="A347" t="s">
        <v>254</v>
      </c>
      <c r="B347" t="s">
        <v>254</v>
      </c>
      <c r="C347">
        <v>218964</v>
      </c>
      <c r="D347">
        <v>16740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M347">
        <v>0</v>
      </c>
      <c r="N347">
        <v>0</v>
      </c>
      <c r="O347">
        <v>0</v>
      </c>
    </row>
    <row r="348" spans="1:15" x14ac:dyDescent="0.2">
      <c r="A348" t="s">
        <v>255</v>
      </c>
      <c r="B348" t="s">
        <v>255</v>
      </c>
      <c r="C348">
        <v>240444</v>
      </c>
      <c r="D348">
        <v>31540</v>
      </c>
      <c r="E348">
        <v>0</v>
      </c>
      <c r="F348">
        <v>196761</v>
      </c>
      <c r="G348">
        <v>159284</v>
      </c>
      <c r="H348">
        <v>182839</v>
      </c>
      <c r="I348">
        <v>198283</v>
      </c>
      <c r="J348">
        <v>170751</v>
      </c>
      <c r="K348">
        <v>195552</v>
      </c>
      <c r="M348">
        <v>175241</v>
      </c>
      <c r="N348">
        <v>143991</v>
      </c>
      <c r="O348">
        <v>211233</v>
      </c>
    </row>
    <row r="349" spans="1:15" x14ac:dyDescent="0.2">
      <c r="A349" t="s">
        <v>593</v>
      </c>
      <c r="B349" t="s">
        <v>593</v>
      </c>
      <c r="C349">
        <v>218973</v>
      </c>
      <c r="D349">
        <v>43900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M349">
        <v>0</v>
      </c>
      <c r="N349">
        <v>0</v>
      </c>
      <c r="O349">
        <v>0</v>
      </c>
    </row>
    <row r="350" spans="1:15" x14ac:dyDescent="0.2">
      <c r="A350" t="s">
        <v>594</v>
      </c>
      <c r="B350" t="s">
        <v>594</v>
      </c>
      <c r="C350">
        <v>206604</v>
      </c>
      <c r="D350">
        <v>19430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M350">
        <v>0</v>
      </c>
      <c r="N350">
        <v>0</v>
      </c>
      <c r="O350">
        <v>0</v>
      </c>
    </row>
    <row r="351" spans="1:15" x14ac:dyDescent="0.2">
      <c r="A351" t="s">
        <v>259</v>
      </c>
      <c r="B351" t="s">
        <v>259</v>
      </c>
      <c r="C351">
        <v>240727</v>
      </c>
      <c r="D351">
        <v>29660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M351">
        <v>0</v>
      </c>
      <c r="N351">
        <v>0</v>
      </c>
      <c r="O351">
        <v>0</v>
      </c>
    </row>
    <row r="352" spans="1:15" x14ac:dyDescent="0.2">
      <c r="A352" t="s">
        <v>595</v>
      </c>
      <c r="B352" t="s">
        <v>595</v>
      </c>
      <c r="C352">
        <v>206622</v>
      </c>
      <c r="D352">
        <v>17140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M352">
        <v>0</v>
      </c>
      <c r="N352">
        <v>0</v>
      </c>
      <c r="O352">
        <v>0</v>
      </c>
    </row>
    <row r="353" spans="1:15" x14ac:dyDescent="0.2">
      <c r="A353" t="s">
        <v>596</v>
      </c>
      <c r="B353" t="s">
        <v>596</v>
      </c>
      <c r="C353">
        <v>130794</v>
      </c>
      <c r="D353">
        <v>35300</v>
      </c>
      <c r="E353">
        <v>0</v>
      </c>
      <c r="F353">
        <v>52994</v>
      </c>
      <c r="G353">
        <v>47389</v>
      </c>
      <c r="H353">
        <v>49446</v>
      </c>
      <c r="I353">
        <v>54578</v>
      </c>
      <c r="J353">
        <v>45695</v>
      </c>
      <c r="K353">
        <v>30533</v>
      </c>
      <c r="M353">
        <v>9462</v>
      </c>
      <c r="N353">
        <v>22365</v>
      </c>
      <c r="O353">
        <v>28255</v>
      </c>
    </row>
    <row r="354" spans="1:15" x14ac:dyDescent="0.2">
      <c r="A354" t="s">
        <v>597</v>
      </c>
      <c r="B354" t="s">
        <v>597</v>
      </c>
      <c r="C354">
        <v>206695</v>
      </c>
      <c r="D354">
        <v>49660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M354">
        <v>0</v>
      </c>
      <c r="N354">
        <v>0</v>
      </c>
      <c r="O35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81F2-CFFC-44CB-9738-4AF15BC1BA57}">
  <sheetPr>
    <tabColor theme="4"/>
  </sheetPr>
  <dimension ref="A1:O354"/>
  <sheetViews>
    <sheetView workbookViewId="0"/>
  </sheetViews>
  <sheetFormatPr baseColWidth="10" defaultColWidth="9.1640625" defaultRowHeight="15" x14ac:dyDescent="0.2"/>
  <cols>
    <col min="1" max="2" width="18.5" bestFit="1" customWidth="1"/>
    <col min="3" max="3" width="7" bestFit="1" customWidth="1"/>
    <col min="4" max="4" width="8.1640625" bestFit="1" customWidth="1"/>
    <col min="5" max="11" width="6" bestFit="1" customWidth="1"/>
    <col min="12" max="12" width="5" bestFit="1" customWidth="1"/>
    <col min="13" max="15" width="6" bestFit="1" customWidth="1"/>
  </cols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3128</v>
      </c>
      <c r="F4">
        <v>2285</v>
      </c>
      <c r="G4">
        <v>2390</v>
      </c>
      <c r="H4">
        <v>1582</v>
      </c>
      <c r="I4">
        <v>1581</v>
      </c>
      <c r="J4">
        <v>1447</v>
      </c>
      <c r="K4">
        <v>817</v>
      </c>
      <c r="L4">
        <v>700</v>
      </c>
      <c r="M4">
        <v>1606</v>
      </c>
      <c r="N4">
        <v>2971</v>
      </c>
      <c r="O4">
        <v>1845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343</v>
      </c>
      <c r="B17" t="s">
        <v>343</v>
      </c>
      <c r="C17">
        <v>500001</v>
      </c>
      <c r="D17">
        <v>35620</v>
      </c>
      <c r="E17">
        <v>17512</v>
      </c>
      <c r="F17">
        <v>19189</v>
      </c>
      <c r="G17">
        <v>23781</v>
      </c>
      <c r="H17">
        <v>22150</v>
      </c>
      <c r="I17">
        <v>21263</v>
      </c>
      <c r="J17">
        <v>11264</v>
      </c>
      <c r="K17">
        <v>1827</v>
      </c>
      <c r="L17">
        <v>661</v>
      </c>
      <c r="M17">
        <v>13385</v>
      </c>
      <c r="N17">
        <v>10166</v>
      </c>
      <c r="O17">
        <v>17972</v>
      </c>
    </row>
    <row r="18" spans="1:15" x14ac:dyDescent="0.2">
      <c r="A18" t="s">
        <v>51</v>
      </c>
      <c r="B18" t="s">
        <v>51</v>
      </c>
      <c r="C18">
        <v>100858</v>
      </c>
      <c r="D18">
        <v>12220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344</v>
      </c>
      <c r="B19" t="s">
        <v>344</v>
      </c>
      <c r="C19">
        <v>219602</v>
      </c>
      <c r="D19">
        <v>17300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345</v>
      </c>
      <c r="B20" t="s">
        <v>345</v>
      </c>
      <c r="C20">
        <v>150136</v>
      </c>
      <c r="D20">
        <v>34620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346</v>
      </c>
      <c r="B21" t="s">
        <v>346</v>
      </c>
      <c r="C21">
        <v>223232</v>
      </c>
      <c r="D21">
        <v>47380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347</v>
      </c>
      <c r="B22" t="s">
        <v>347</v>
      </c>
      <c r="C22">
        <v>219709</v>
      </c>
      <c r="D22">
        <v>34980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348</v>
      </c>
      <c r="B23" t="s">
        <v>348</v>
      </c>
      <c r="C23">
        <v>132602</v>
      </c>
      <c r="D23">
        <v>19660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55</v>
      </c>
      <c r="B24" t="s">
        <v>55</v>
      </c>
      <c r="C24">
        <v>196079</v>
      </c>
      <c r="D24">
        <v>13780</v>
      </c>
      <c r="E24">
        <v>2765</v>
      </c>
      <c r="F24">
        <v>1904</v>
      </c>
      <c r="G24">
        <v>1661</v>
      </c>
      <c r="H24">
        <v>1640</v>
      </c>
      <c r="I24">
        <v>2281</v>
      </c>
      <c r="J24">
        <v>2649</v>
      </c>
      <c r="K24">
        <v>708</v>
      </c>
      <c r="L24">
        <v>152</v>
      </c>
      <c r="M24">
        <v>2109</v>
      </c>
      <c r="N24">
        <v>2499</v>
      </c>
      <c r="O24">
        <v>1305</v>
      </c>
    </row>
    <row r="25" spans="1:15" x14ac:dyDescent="0.2">
      <c r="A25" t="s">
        <v>349</v>
      </c>
      <c r="B25" t="s">
        <v>349</v>
      </c>
      <c r="C25">
        <v>142115</v>
      </c>
      <c r="D25">
        <v>14260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350</v>
      </c>
      <c r="B26" t="s">
        <v>350</v>
      </c>
      <c r="C26">
        <v>164924</v>
      </c>
      <c r="D26">
        <v>14460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351</v>
      </c>
      <c r="B27" t="s">
        <v>351</v>
      </c>
      <c r="C27">
        <v>164988</v>
      </c>
      <c r="D27">
        <v>14380</v>
      </c>
      <c r="E27">
        <v>3557</v>
      </c>
      <c r="F27">
        <v>1901</v>
      </c>
      <c r="G27">
        <v>3723</v>
      </c>
      <c r="H27">
        <v>2645</v>
      </c>
      <c r="I27">
        <v>3112</v>
      </c>
      <c r="J27">
        <v>4668</v>
      </c>
      <c r="K27">
        <v>1173</v>
      </c>
      <c r="L27">
        <v>0</v>
      </c>
      <c r="M27">
        <v>6526</v>
      </c>
      <c r="N27">
        <v>4350</v>
      </c>
      <c r="O27">
        <v>4888</v>
      </c>
    </row>
    <row r="28" spans="1:15" x14ac:dyDescent="0.2">
      <c r="A28" t="s">
        <v>57</v>
      </c>
      <c r="B28" t="s">
        <v>57</v>
      </c>
      <c r="C28">
        <v>201441</v>
      </c>
      <c r="D28">
        <v>45780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352</v>
      </c>
      <c r="B29" t="s">
        <v>352</v>
      </c>
      <c r="C29">
        <v>143358</v>
      </c>
      <c r="D29">
        <v>37900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353</v>
      </c>
      <c r="B30" t="s">
        <v>353</v>
      </c>
      <c r="C30">
        <v>217156</v>
      </c>
      <c r="D30">
        <v>39300</v>
      </c>
      <c r="E30">
        <v>3036</v>
      </c>
      <c r="F30">
        <v>6121</v>
      </c>
      <c r="G30">
        <v>25435</v>
      </c>
      <c r="H30">
        <v>6809</v>
      </c>
      <c r="I30">
        <v>6635</v>
      </c>
      <c r="J30">
        <v>5716</v>
      </c>
      <c r="K30">
        <v>3780</v>
      </c>
      <c r="L30">
        <v>0</v>
      </c>
      <c r="M30">
        <v>10370</v>
      </c>
      <c r="N30">
        <v>4350</v>
      </c>
      <c r="O30">
        <v>4941</v>
      </c>
    </row>
    <row r="31" spans="1:15" x14ac:dyDescent="0.2">
      <c r="A31" t="s">
        <v>354</v>
      </c>
      <c r="B31" t="s">
        <v>354</v>
      </c>
      <c r="C31">
        <v>217165</v>
      </c>
      <c r="D31">
        <v>39300</v>
      </c>
      <c r="E31">
        <v>5030</v>
      </c>
      <c r="F31">
        <v>3953</v>
      </c>
      <c r="G31">
        <v>2939</v>
      </c>
      <c r="H31">
        <v>4204</v>
      </c>
      <c r="I31">
        <v>4625</v>
      </c>
      <c r="J31">
        <v>3672</v>
      </c>
      <c r="K31">
        <v>1226</v>
      </c>
      <c r="L31">
        <v>450</v>
      </c>
      <c r="M31">
        <v>3800</v>
      </c>
      <c r="N31">
        <v>2575</v>
      </c>
      <c r="O31">
        <v>2514</v>
      </c>
    </row>
    <row r="32" spans="1:15" x14ac:dyDescent="0.2">
      <c r="A32" t="s">
        <v>355</v>
      </c>
      <c r="B32" t="s">
        <v>355</v>
      </c>
      <c r="C32">
        <v>211291</v>
      </c>
      <c r="D32">
        <v>30260</v>
      </c>
      <c r="E32">
        <v>2876</v>
      </c>
      <c r="F32">
        <v>3758</v>
      </c>
      <c r="G32">
        <v>4610</v>
      </c>
      <c r="H32">
        <v>1970</v>
      </c>
      <c r="I32">
        <v>2658</v>
      </c>
      <c r="J32">
        <v>2362</v>
      </c>
      <c r="K32">
        <v>995</v>
      </c>
      <c r="L32">
        <v>802</v>
      </c>
      <c r="M32">
        <v>2175</v>
      </c>
      <c r="N32">
        <v>2538</v>
      </c>
      <c r="O32">
        <v>2123</v>
      </c>
    </row>
    <row r="33" spans="1:15" x14ac:dyDescent="0.2">
      <c r="A33" t="s">
        <v>58</v>
      </c>
      <c r="B33" t="s">
        <v>58</v>
      </c>
      <c r="C33">
        <v>196088</v>
      </c>
      <c r="D33">
        <v>15380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356</v>
      </c>
      <c r="B34" t="s">
        <v>356</v>
      </c>
      <c r="C34">
        <v>150163</v>
      </c>
      <c r="D34">
        <v>26900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357</v>
      </c>
      <c r="B35" t="s">
        <v>357</v>
      </c>
      <c r="C35">
        <v>230038</v>
      </c>
      <c r="D35">
        <v>39340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59</v>
      </c>
      <c r="B36" t="s">
        <v>59</v>
      </c>
      <c r="C36">
        <v>110422</v>
      </c>
      <c r="D36">
        <v>42020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358</v>
      </c>
      <c r="B37" t="s">
        <v>358</v>
      </c>
      <c r="C37">
        <v>110565</v>
      </c>
      <c r="D37">
        <v>31080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63</v>
      </c>
      <c r="B38" t="s">
        <v>63</v>
      </c>
      <c r="C38">
        <v>110635</v>
      </c>
      <c r="D38">
        <v>41860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360</v>
      </c>
      <c r="B40" t="s">
        <v>360</v>
      </c>
      <c r="C40">
        <v>198136</v>
      </c>
      <c r="D40">
        <v>15820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361</v>
      </c>
      <c r="B41" t="s">
        <v>361</v>
      </c>
      <c r="C41">
        <v>189705</v>
      </c>
      <c r="D41">
        <v>15380</v>
      </c>
      <c r="E41">
        <v>1958</v>
      </c>
      <c r="F41">
        <v>2445</v>
      </c>
      <c r="G41">
        <v>3842</v>
      </c>
      <c r="H41">
        <v>1683</v>
      </c>
      <c r="I41">
        <v>2423</v>
      </c>
      <c r="J41">
        <v>1670</v>
      </c>
      <c r="K41">
        <v>226</v>
      </c>
      <c r="L41">
        <v>698</v>
      </c>
      <c r="M41">
        <v>1000</v>
      </c>
      <c r="N41">
        <v>2309</v>
      </c>
      <c r="O41">
        <v>2011</v>
      </c>
    </row>
    <row r="42" spans="1:15" x14ac:dyDescent="0.2">
      <c r="A42" t="s">
        <v>362</v>
      </c>
      <c r="B42" t="s">
        <v>362</v>
      </c>
      <c r="C42">
        <v>106704</v>
      </c>
      <c r="D42">
        <v>30780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363</v>
      </c>
      <c r="B43" t="s">
        <v>363</v>
      </c>
      <c r="C43">
        <v>128771</v>
      </c>
      <c r="D43">
        <v>25540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364</v>
      </c>
      <c r="B44" t="s">
        <v>364</v>
      </c>
      <c r="C44">
        <v>169248</v>
      </c>
      <c r="D44">
        <v>34380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">
      <c r="A45" t="s">
        <v>365</v>
      </c>
      <c r="B45" t="s">
        <v>365</v>
      </c>
      <c r="C45">
        <v>217688</v>
      </c>
      <c r="D45">
        <v>16700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">
      <c r="A46" t="s">
        <v>67</v>
      </c>
      <c r="B46" t="s">
        <v>67</v>
      </c>
      <c r="C46">
        <v>199139</v>
      </c>
      <c r="D46">
        <v>16740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366</v>
      </c>
      <c r="B47" t="s">
        <v>366</v>
      </c>
      <c r="C47">
        <v>221740</v>
      </c>
      <c r="D47">
        <v>16860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367</v>
      </c>
      <c r="B48" t="s">
        <v>367</v>
      </c>
      <c r="C48">
        <v>144005</v>
      </c>
      <c r="D48">
        <v>16980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69</v>
      </c>
      <c r="B49" t="s">
        <v>69</v>
      </c>
      <c r="C49">
        <v>201885</v>
      </c>
      <c r="D49">
        <v>17140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71</v>
      </c>
      <c r="B50" t="s">
        <v>71</v>
      </c>
      <c r="C50">
        <v>217882</v>
      </c>
      <c r="D50">
        <v>42860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368</v>
      </c>
      <c r="B51" t="s">
        <v>368</v>
      </c>
      <c r="C51">
        <v>202134</v>
      </c>
      <c r="D51">
        <v>17460</v>
      </c>
      <c r="E51">
        <v>0</v>
      </c>
      <c r="F51">
        <v>0</v>
      </c>
      <c r="G51">
        <v>0</v>
      </c>
      <c r="H51">
        <v>4424</v>
      </c>
      <c r="I51">
        <v>5177</v>
      </c>
      <c r="J51">
        <v>4938</v>
      </c>
      <c r="K51">
        <v>1457</v>
      </c>
      <c r="L51">
        <v>0</v>
      </c>
      <c r="M51">
        <v>2441</v>
      </c>
      <c r="N51">
        <v>2357</v>
      </c>
      <c r="O51">
        <v>2204</v>
      </c>
    </row>
    <row r="52" spans="1:15" x14ac:dyDescent="0.2">
      <c r="A52" t="s">
        <v>369</v>
      </c>
      <c r="B52" t="s">
        <v>73</v>
      </c>
      <c r="C52">
        <v>218724</v>
      </c>
      <c r="D52">
        <v>34820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">
      <c r="A53" t="s">
        <v>370</v>
      </c>
      <c r="B53" t="s">
        <v>370</v>
      </c>
      <c r="C53">
        <v>217819</v>
      </c>
      <c r="D53">
        <v>16700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">
      <c r="A54" t="s">
        <v>371</v>
      </c>
      <c r="B54" t="s">
        <v>371</v>
      </c>
      <c r="C54">
        <v>190099</v>
      </c>
      <c r="D54">
        <v>45060</v>
      </c>
      <c r="E54">
        <v>4464</v>
      </c>
      <c r="F54">
        <v>6810</v>
      </c>
      <c r="G54">
        <v>2519</v>
      </c>
      <c r="H54">
        <v>4041</v>
      </c>
      <c r="I54">
        <v>2196</v>
      </c>
      <c r="J54">
        <v>1459</v>
      </c>
      <c r="K54">
        <v>215</v>
      </c>
      <c r="L54">
        <v>0</v>
      </c>
      <c r="M54">
        <v>985</v>
      </c>
      <c r="N54">
        <v>1068</v>
      </c>
      <c r="O54">
        <v>963</v>
      </c>
    </row>
    <row r="55" spans="1:15" x14ac:dyDescent="0.2">
      <c r="A55" t="s">
        <v>75</v>
      </c>
      <c r="B55" t="s">
        <v>75</v>
      </c>
      <c r="C55">
        <v>126614</v>
      </c>
      <c r="D55">
        <v>14500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">
      <c r="A57" t="s">
        <v>373</v>
      </c>
      <c r="B57" t="s">
        <v>373</v>
      </c>
      <c r="C57">
        <v>190150</v>
      </c>
      <c r="D57">
        <v>35620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">
      <c r="A58" t="s">
        <v>374</v>
      </c>
      <c r="B58" t="s">
        <v>374</v>
      </c>
      <c r="C58">
        <v>162283</v>
      </c>
      <c r="D58">
        <v>12580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">
      <c r="A59" t="s">
        <v>375</v>
      </c>
      <c r="B59" t="s">
        <v>375</v>
      </c>
      <c r="C59">
        <v>190415</v>
      </c>
      <c r="D59">
        <v>27060</v>
      </c>
      <c r="E59">
        <v>15758</v>
      </c>
      <c r="F59">
        <v>12990</v>
      </c>
      <c r="G59">
        <v>9010</v>
      </c>
      <c r="H59">
        <v>1798</v>
      </c>
      <c r="I59">
        <v>3609</v>
      </c>
      <c r="J59">
        <v>2944</v>
      </c>
      <c r="K59">
        <v>0</v>
      </c>
      <c r="L59">
        <v>0</v>
      </c>
      <c r="M59">
        <v>5523</v>
      </c>
      <c r="N59">
        <v>8623</v>
      </c>
      <c r="O59">
        <v>8693</v>
      </c>
    </row>
    <row r="60" spans="1:15" x14ac:dyDescent="0.2">
      <c r="A60" t="s">
        <v>376</v>
      </c>
      <c r="B60" t="s">
        <v>376</v>
      </c>
      <c r="C60">
        <v>181002</v>
      </c>
      <c r="D60">
        <v>36540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">
      <c r="A61" t="s">
        <v>377</v>
      </c>
      <c r="B61" t="s">
        <v>377</v>
      </c>
      <c r="C61">
        <v>110486</v>
      </c>
      <c r="D61">
        <v>12540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">
      <c r="A62" t="s">
        <v>378</v>
      </c>
      <c r="B62" t="s">
        <v>378</v>
      </c>
      <c r="C62">
        <v>110608</v>
      </c>
      <c r="D62">
        <v>31080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">
      <c r="A63" t="s">
        <v>379</v>
      </c>
      <c r="B63" t="s">
        <v>379</v>
      </c>
      <c r="C63">
        <v>182670</v>
      </c>
      <c r="D63">
        <v>30100</v>
      </c>
      <c r="E63">
        <v>2948</v>
      </c>
      <c r="F63">
        <v>2627</v>
      </c>
      <c r="G63">
        <v>1578</v>
      </c>
      <c r="H63">
        <v>2394</v>
      </c>
      <c r="I63">
        <v>2229</v>
      </c>
      <c r="J63">
        <v>1995</v>
      </c>
      <c r="K63">
        <v>234</v>
      </c>
      <c r="L63">
        <v>0</v>
      </c>
      <c r="M63">
        <v>2143</v>
      </c>
      <c r="N63">
        <v>1816</v>
      </c>
      <c r="O63">
        <v>2834</v>
      </c>
    </row>
    <row r="64" spans="1:15" x14ac:dyDescent="0.2">
      <c r="A64" t="s">
        <v>380</v>
      </c>
      <c r="B64" t="s">
        <v>380</v>
      </c>
      <c r="C64">
        <v>198385</v>
      </c>
      <c r="D64">
        <v>16740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">
      <c r="A65" t="s">
        <v>381</v>
      </c>
      <c r="B65" t="s">
        <v>381</v>
      </c>
      <c r="C65">
        <v>202480</v>
      </c>
      <c r="D65">
        <v>19430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">
      <c r="A66" t="s">
        <v>382</v>
      </c>
      <c r="B66" t="s">
        <v>382</v>
      </c>
      <c r="C66">
        <v>130943</v>
      </c>
      <c r="D66">
        <v>37980</v>
      </c>
      <c r="E66">
        <v>5163</v>
      </c>
      <c r="F66">
        <v>6112</v>
      </c>
      <c r="G66">
        <v>3660</v>
      </c>
      <c r="H66">
        <v>7868</v>
      </c>
      <c r="I66">
        <v>4175</v>
      </c>
      <c r="J66">
        <v>3422</v>
      </c>
      <c r="K66">
        <v>1240</v>
      </c>
      <c r="L66">
        <v>965</v>
      </c>
      <c r="M66">
        <v>7204</v>
      </c>
      <c r="N66">
        <v>10420</v>
      </c>
      <c r="O66">
        <v>5911</v>
      </c>
    </row>
    <row r="67" spans="1:15" x14ac:dyDescent="0.2">
      <c r="A67" t="s">
        <v>383</v>
      </c>
      <c r="B67" t="s">
        <v>383</v>
      </c>
      <c r="C67">
        <v>130934</v>
      </c>
      <c r="D67">
        <v>20100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">
      <c r="A68" t="s">
        <v>384</v>
      </c>
      <c r="B68" t="s">
        <v>384</v>
      </c>
      <c r="C68">
        <v>127060</v>
      </c>
      <c r="D68">
        <v>19740</v>
      </c>
      <c r="E68">
        <v>17384</v>
      </c>
      <c r="F68">
        <v>15419</v>
      </c>
      <c r="G68">
        <v>19808</v>
      </c>
      <c r="H68">
        <v>24583</v>
      </c>
      <c r="I68">
        <v>12081</v>
      </c>
      <c r="J68">
        <v>14831</v>
      </c>
      <c r="K68">
        <v>9142</v>
      </c>
      <c r="L68">
        <v>1407</v>
      </c>
      <c r="M68">
        <v>14574</v>
      </c>
      <c r="N68">
        <v>10350</v>
      </c>
      <c r="O68">
        <v>18792</v>
      </c>
    </row>
    <row r="69" spans="1:15" x14ac:dyDescent="0.2">
      <c r="A69" t="s">
        <v>385</v>
      </c>
      <c r="B69" t="s">
        <v>385</v>
      </c>
      <c r="C69">
        <v>144740</v>
      </c>
      <c r="D69">
        <v>16980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">
      <c r="A70" t="s">
        <v>386</v>
      </c>
      <c r="B70" t="s">
        <v>386</v>
      </c>
      <c r="C70">
        <v>169716</v>
      </c>
      <c r="D70">
        <v>19820</v>
      </c>
      <c r="E70">
        <v>4135</v>
      </c>
      <c r="F70">
        <v>3306</v>
      </c>
      <c r="G70">
        <v>1732</v>
      </c>
      <c r="H70">
        <v>2986</v>
      </c>
      <c r="I70">
        <v>2025</v>
      </c>
      <c r="J70">
        <v>1281</v>
      </c>
      <c r="K70">
        <v>1827</v>
      </c>
      <c r="L70">
        <v>174</v>
      </c>
      <c r="M70">
        <v>1779</v>
      </c>
      <c r="N70">
        <v>1040</v>
      </c>
      <c r="O70">
        <v>1171</v>
      </c>
    </row>
    <row r="71" spans="1:15" x14ac:dyDescent="0.2">
      <c r="A71" t="s">
        <v>387</v>
      </c>
      <c r="B71" t="s">
        <v>387</v>
      </c>
      <c r="C71">
        <v>153269</v>
      </c>
      <c r="D71">
        <v>19780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">
      <c r="A72" t="s">
        <v>388</v>
      </c>
      <c r="B72" t="s">
        <v>388</v>
      </c>
      <c r="C72">
        <v>212054</v>
      </c>
      <c r="D72">
        <v>37980</v>
      </c>
      <c r="E72">
        <v>5082</v>
      </c>
      <c r="F72">
        <v>3786</v>
      </c>
      <c r="G72">
        <v>4871</v>
      </c>
      <c r="H72">
        <v>3995</v>
      </c>
      <c r="I72">
        <v>4059</v>
      </c>
      <c r="J72">
        <v>3967</v>
      </c>
      <c r="K72">
        <v>1020</v>
      </c>
      <c r="L72">
        <v>360</v>
      </c>
      <c r="M72">
        <v>2592</v>
      </c>
      <c r="N72">
        <v>3143</v>
      </c>
      <c r="O72">
        <v>4498</v>
      </c>
    </row>
    <row r="73" spans="1:15" x14ac:dyDescent="0.2">
      <c r="A73" t="s">
        <v>389</v>
      </c>
      <c r="B73" t="s">
        <v>389</v>
      </c>
      <c r="C73">
        <v>198419</v>
      </c>
      <c r="D73">
        <v>20500</v>
      </c>
      <c r="E73">
        <v>12301</v>
      </c>
      <c r="F73">
        <v>11021</v>
      </c>
      <c r="G73">
        <v>11924</v>
      </c>
      <c r="H73">
        <v>13601</v>
      </c>
      <c r="I73">
        <v>14316</v>
      </c>
      <c r="J73">
        <v>18213</v>
      </c>
      <c r="K73">
        <v>3946</v>
      </c>
      <c r="L73">
        <v>0</v>
      </c>
      <c r="M73">
        <v>16019</v>
      </c>
      <c r="N73">
        <v>13584</v>
      </c>
      <c r="O73">
        <v>15406</v>
      </c>
    </row>
    <row r="74" spans="1:15" x14ac:dyDescent="0.2">
      <c r="A74" t="s">
        <v>390</v>
      </c>
      <c r="B74" t="s">
        <v>390</v>
      </c>
      <c r="C74">
        <v>212106</v>
      </c>
      <c r="D74">
        <v>38300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">
      <c r="A75" t="s">
        <v>79</v>
      </c>
      <c r="B75" t="s">
        <v>79</v>
      </c>
      <c r="C75">
        <v>198464</v>
      </c>
      <c r="D75">
        <v>24780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">
      <c r="A76" t="s">
        <v>391</v>
      </c>
      <c r="B76" t="s">
        <v>391</v>
      </c>
      <c r="C76">
        <v>144892</v>
      </c>
      <c r="D76">
        <v>16660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">
      <c r="A77" t="s">
        <v>392</v>
      </c>
      <c r="B77" t="s">
        <v>392</v>
      </c>
      <c r="C77">
        <v>156620</v>
      </c>
      <c r="D77">
        <v>40080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">
      <c r="A78" t="s">
        <v>393</v>
      </c>
      <c r="B78" t="s">
        <v>393</v>
      </c>
      <c r="C78">
        <v>169798</v>
      </c>
      <c r="D78">
        <v>11460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">
      <c r="A79" t="s">
        <v>394</v>
      </c>
      <c r="B79" t="s">
        <v>394</v>
      </c>
      <c r="C79">
        <v>235097</v>
      </c>
      <c r="D79">
        <v>44060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">
      <c r="A80" t="s">
        <v>395</v>
      </c>
      <c r="B80" t="s">
        <v>395</v>
      </c>
      <c r="C80">
        <v>198516</v>
      </c>
      <c r="D80">
        <v>24660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">
      <c r="A81" t="s">
        <v>396</v>
      </c>
      <c r="B81" t="s">
        <v>396</v>
      </c>
      <c r="C81">
        <v>220075</v>
      </c>
      <c r="D81">
        <v>27740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">
      <c r="A82" t="s">
        <v>397</v>
      </c>
      <c r="B82" t="s">
        <v>397</v>
      </c>
      <c r="C82">
        <v>150534</v>
      </c>
      <c r="D82">
        <v>21780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">
      <c r="A83" t="s">
        <v>398</v>
      </c>
      <c r="B83" t="s">
        <v>398</v>
      </c>
      <c r="C83">
        <v>129242</v>
      </c>
      <c r="D83">
        <v>35620</v>
      </c>
      <c r="E83">
        <v>3821</v>
      </c>
      <c r="F83">
        <v>9800</v>
      </c>
      <c r="G83">
        <v>9517</v>
      </c>
      <c r="H83">
        <v>8207</v>
      </c>
      <c r="I83">
        <v>9370</v>
      </c>
      <c r="J83">
        <v>10671</v>
      </c>
      <c r="K83">
        <v>2855</v>
      </c>
      <c r="L83">
        <v>593</v>
      </c>
      <c r="M83">
        <v>9600</v>
      </c>
      <c r="N83">
        <v>3724</v>
      </c>
      <c r="O83">
        <v>4174</v>
      </c>
    </row>
    <row r="84" spans="1:15" x14ac:dyDescent="0.2">
      <c r="A84" t="s">
        <v>399</v>
      </c>
      <c r="B84" t="s">
        <v>400</v>
      </c>
      <c r="C84">
        <v>184603</v>
      </c>
      <c r="D84">
        <v>35620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">
      <c r="A85" t="s">
        <v>401</v>
      </c>
      <c r="B85" t="s">
        <v>401</v>
      </c>
      <c r="C85">
        <v>433660</v>
      </c>
      <c r="D85">
        <v>15980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">
      <c r="A86" t="s">
        <v>402</v>
      </c>
      <c r="B86" t="s">
        <v>402</v>
      </c>
      <c r="C86">
        <v>133951</v>
      </c>
      <c r="D86">
        <v>33100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">
      <c r="A87" t="s">
        <v>403</v>
      </c>
      <c r="B87" t="s">
        <v>403</v>
      </c>
      <c r="C87">
        <v>133669</v>
      </c>
      <c r="D87">
        <v>33100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">
      <c r="A88" t="s">
        <v>85</v>
      </c>
      <c r="B88" t="s">
        <v>85</v>
      </c>
      <c r="C88">
        <v>134130</v>
      </c>
      <c r="D88">
        <v>23540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">
      <c r="A89" t="s">
        <v>404</v>
      </c>
      <c r="B89" t="s">
        <v>404</v>
      </c>
      <c r="C89">
        <v>133650</v>
      </c>
      <c r="D89">
        <v>45220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">
      <c r="A90" t="s">
        <v>405</v>
      </c>
      <c r="B90" t="s">
        <v>405</v>
      </c>
      <c r="C90">
        <v>134097</v>
      </c>
      <c r="D90">
        <v>45220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">
      <c r="A91" t="s">
        <v>406</v>
      </c>
      <c r="B91" t="s">
        <v>406</v>
      </c>
      <c r="C91">
        <v>191241</v>
      </c>
      <c r="D91">
        <v>35620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">
      <c r="A92" t="s">
        <v>407</v>
      </c>
      <c r="B92" t="s">
        <v>407</v>
      </c>
      <c r="C92">
        <v>110556</v>
      </c>
      <c r="D92">
        <v>23420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">
      <c r="A93" t="s">
        <v>408</v>
      </c>
      <c r="B93" t="s">
        <v>408</v>
      </c>
      <c r="C93">
        <v>218070</v>
      </c>
      <c r="D93">
        <v>24860</v>
      </c>
      <c r="E93">
        <v>4685</v>
      </c>
      <c r="F93">
        <v>1419</v>
      </c>
      <c r="G93">
        <v>2051</v>
      </c>
      <c r="H93">
        <v>2474</v>
      </c>
      <c r="I93">
        <v>1847</v>
      </c>
      <c r="J93">
        <v>2561</v>
      </c>
      <c r="K93">
        <v>786</v>
      </c>
      <c r="L93">
        <v>0</v>
      </c>
      <c r="M93">
        <v>0</v>
      </c>
      <c r="N93">
        <v>0</v>
      </c>
      <c r="O93">
        <v>0</v>
      </c>
    </row>
    <row r="94" spans="1:15" x14ac:dyDescent="0.2">
      <c r="A94" t="s">
        <v>409</v>
      </c>
      <c r="B94" t="s">
        <v>409</v>
      </c>
      <c r="C94">
        <v>139931</v>
      </c>
      <c r="D94">
        <v>44340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">
      <c r="A95" t="s">
        <v>410</v>
      </c>
      <c r="B95" t="s">
        <v>410</v>
      </c>
      <c r="C95">
        <v>198561</v>
      </c>
      <c r="D95">
        <v>23500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">
      <c r="A96" t="s">
        <v>91</v>
      </c>
      <c r="B96" t="s">
        <v>91</v>
      </c>
      <c r="C96">
        <v>232186</v>
      </c>
      <c r="D96">
        <v>47900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">
      <c r="A97" t="s">
        <v>411</v>
      </c>
      <c r="B97" t="s">
        <v>411</v>
      </c>
      <c r="C97">
        <v>131469</v>
      </c>
      <c r="D97">
        <v>47900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">
      <c r="A98" t="s">
        <v>412</v>
      </c>
      <c r="B98" t="s">
        <v>412</v>
      </c>
      <c r="C98">
        <v>131496</v>
      </c>
      <c r="D98">
        <v>47900</v>
      </c>
      <c r="E98">
        <v>5766</v>
      </c>
      <c r="F98">
        <v>7989</v>
      </c>
      <c r="G98">
        <v>9439</v>
      </c>
      <c r="H98">
        <v>5100</v>
      </c>
      <c r="I98">
        <v>5991</v>
      </c>
      <c r="J98">
        <v>5929</v>
      </c>
      <c r="K98">
        <v>1964</v>
      </c>
      <c r="L98">
        <v>0</v>
      </c>
      <c r="M98">
        <v>18044</v>
      </c>
      <c r="N98">
        <v>13348</v>
      </c>
      <c r="O98">
        <v>10533</v>
      </c>
    </row>
    <row r="99" spans="1:15" x14ac:dyDescent="0.2">
      <c r="A99" t="s">
        <v>92</v>
      </c>
      <c r="B99" t="s">
        <v>92</v>
      </c>
      <c r="C99">
        <v>139959</v>
      </c>
      <c r="D99">
        <v>12020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">
      <c r="A100" t="s">
        <v>413</v>
      </c>
      <c r="B100" t="s">
        <v>413</v>
      </c>
      <c r="C100">
        <v>139940</v>
      </c>
      <c r="D100">
        <v>12060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">
      <c r="A101" t="s">
        <v>95</v>
      </c>
      <c r="B101" t="s">
        <v>95</v>
      </c>
      <c r="C101">
        <v>139755</v>
      </c>
      <c r="D101">
        <v>12060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">
      <c r="A102" t="s">
        <v>414</v>
      </c>
      <c r="B102" t="s">
        <v>414</v>
      </c>
      <c r="C102">
        <v>235316</v>
      </c>
      <c r="D102">
        <v>44060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">
      <c r="A103" t="s">
        <v>415</v>
      </c>
      <c r="B103" t="s">
        <v>415</v>
      </c>
      <c r="C103">
        <v>159009</v>
      </c>
      <c r="D103">
        <v>33740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">
      <c r="A104" t="s">
        <v>416</v>
      </c>
      <c r="B104" t="s">
        <v>416</v>
      </c>
      <c r="C104">
        <v>104717</v>
      </c>
      <c r="D104">
        <v>38060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">
      <c r="A105" t="s">
        <v>417</v>
      </c>
      <c r="B105" t="s">
        <v>417</v>
      </c>
      <c r="C105">
        <v>240277</v>
      </c>
      <c r="D105">
        <v>24580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0</v>
      </c>
      <c r="H106">
        <v>593</v>
      </c>
      <c r="I106">
        <v>641</v>
      </c>
      <c r="J106">
        <v>574</v>
      </c>
      <c r="K106">
        <v>0</v>
      </c>
      <c r="L106">
        <v>0</v>
      </c>
      <c r="M106">
        <v>890</v>
      </c>
      <c r="N106">
        <v>615</v>
      </c>
      <c r="O106">
        <v>1062</v>
      </c>
    </row>
    <row r="107" spans="1:15" x14ac:dyDescent="0.2">
      <c r="A107" t="s">
        <v>419</v>
      </c>
      <c r="B107" t="s">
        <v>419</v>
      </c>
      <c r="C107">
        <v>129525</v>
      </c>
      <c r="D107">
        <v>25540</v>
      </c>
      <c r="E107">
        <v>4636</v>
      </c>
      <c r="F107">
        <v>3138</v>
      </c>
      <c r="G107">
        <v>2287</v>
      </c>
      <c r="H107">
        <v>4134</v>
      </c>
      <c r="I107">
        <v>4222</v>
      </c>
      <c r="J107">
        <v>3361</v>
      </c>
      <c r="K107">
        <v>698</v>
      </c>
      <c r="L107">
        <v>368</v>
      </c>
      <c r="M107">
        <v>0</v>
      </c>
      <c r="N107">
        <v>0</v>
      </c>
      <c r="O107">
        <v>0</v>
      </c>
    </row>
    <row r="108" spans="1:15" x14ac:dyDescent="0.2">
      <c r="A108" t="s">
        <v>420</v>
      </c>
      <c r="B108" t="s">
        <v>420</v>
      </c>
      <c r="C108">
        <v>166027</v>
      </c>
      <c r="D108">
        <v>14460</v>
      </c>
      <c r="E108">
        <v>11000</v>
      </c>
      <c r="F108">
        <v>7546</v>
      </c>
      <c r="G108">
        <v>7985</v>
      </c>
      <c r="H108">
        <v>6370</v>
      </c>
      <c r="I108">
        <v>5744</v>
      </c>
      <c r="J108">
        <v>7444</v>
      </c>
      <c r="K108">
        <v>496</v>
      </c>
      <c r="L108">
        <v>0</v>
      </c>
      <c r="M108">
        <v>8193</v>
      </c>
      <c r="N108">
        <v>10321</v>
      </c>
      <c r="O108">
        <v>10740</v>
      </c>
    </row>
    <row r="109" spans="1:15" x14ac:dyDescent="0.2">
      <c r="A109" t="s">
        <v>97</v>
      </c>
      <c r="B109" t="s">
        <v>97</v>
      </c>
      <c r="C109">
        <v>141574</v>
      </c>
      <c r="D109">
        <v>46520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">
      <c r="A110" t="s">
        <v>421</v>
      </c>
      <c r="B110" t="s">
        <v>421</v>
      </c>
      <c r="C110">
        <v>198695</v>
      </c>
      <c r="D110">
        <v>24660</v>
      </c>
      <c r="E110">
        <v>5925</v>
      </c>
      <c r="F110">
        <v>7831</v>
      </c>
      <c r="G110">
        <v>5783</v>
      </c>
      <c r="H110">
        <v>4530</v>
      </c>
      <c r="I110">
        <v>5940</v>
      </c>
      <c r="J110">
        <v>8733</v>
      </c>
      <c r="K110">
        <v>3540</v>
      </c>
      <c r="L110">
        <v>1283</v>
      </c>
      <c r="M110">
        <v>9362</v>
      </c>
      <c r="N110">
        <v>5533</v>
      </c>
      <c r="O110">
        <v>5599</v>
      </c>
    </row>
    <row r="111" spans="1:15" x14ac:dyDescent="0.2">
      <c r="A111" t="s">
        <v>422</v>
      </c>
      <c r="B111" t="s">
        <v>422</v>
      </c>
      <c r="C111">
        <v>191649</v>
      </c>
      <c r="D111">
        <v>35620</v>
      </c>
      <c r="E111">
        <v>13306</v>
      </c>
      <c r="F111">
        <v>7364</v>
      </c>
      <c r="G111">
        <v>12232</v>
      </c>
      <c r="H111">
        <v>11372</v>
      </c>
      <c r="I111">
        <v>9718</v>
      </c>
      <c r="J111">
        <v>8429</v>
      </c>
      <c r="K111">
        <v>4346</v>
      </c>
      <c r="L111">
        <v>1660</v>
      </c>
      <c r="M111">
        <v>8122</v>
      </c>
      <c r="N111">
        <v>6035</v>
      </c>
      <c r="O111">
        <v>6655</v>
      </c>
    </row>
    <row r="112" spans="1:15" x14ac:dyDescent="0.2">
      <c r="A112" t="s">
        <v>423</v>
      </c>
      <c r="B112" t="s">
        <v>423</v>
      </c>
      <c r="C112">
        <v>166124</v>
      </c>
      <c r="D112">
        <v>49340</v>
      </c>
      <c r="E112">
        <v>3735</v>
      </c>
      <c r="F112">
        <v>5558</v>
      </c>
      <c r="G112">
        <v>6366</v>
      </c>
      <c r="H112">
        <v>3648</v>
      </c>
      <c r="I112">
        <v>2493</v>
      </c>
      <c r="J112">
        <v>1835</v>
      </c>
      <c r="K112">
        <v>995</v>
      </c>
      <c r="L112">
        <v>110</v>
      </c>
      <c r="M112">
        <v>2097</v>
      </c>
      <c r="N112">
        <v>2035</v>
      </c>
      <c r="O112">
        <v>2536</v>
      </c>
    </row>
    <row r="113" spans="1:15" x14ac:dyDescent="0.2">
      <c r="A113" t="s">
        <v>98</v>
      </c>
      <c r="B113" t="s">
        <v>98</v>
      </c>
      <c r="C113">
        <v>225511</v>
      </c>
      <c r="D113">
        <v>26420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">
      <c r="A114" t="s">
        <v>424</v>
      </c>
      <c r="B114" t="s">
        <v>425</v>
      </c>
      <c r="C114">
        <v>225399</v>
      </c>
      <c r="D114">
        <v>26420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">
      <c r="A115" t="s">
        <v>426</v>
      </c>
      <c r="B115" t="s">
        <v>426</v>
      </c>
      <c r="C115">
        <v>131520</v>
      </c>
      <c r="D115">
        <v>47900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">
      <c r="A116" t="s">
        <v>99</v>
      </c>
      <c r="B116" t="s">
        <v>99</v>
      </c>
      <c r="C116">
        <v>142285</v>
      </c>
      <c r="D116">
        <v>34140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">
      <c r="A117" t="s">
        <v>427</v>
      </c>
      <c r="B117" t="s">
        <v>427</v>
      </c>
      <c r="C117">
        <v>142276</v>
      </c>
      <c r="D117">
        <v>38540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">
      <c r="A118" t="s">
        <v>101</v>
      </c>
      <c r="B118" t="s">
        <v>101</v>
      </c>
      <c r="C118">
        <v>145637</v>
      </c>
      <c r="D118">
        <v>16580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">
      <c r="A119" t="s">
        <v>428</v>
      </c>
      <c r="B119" t="s">
        <v>428</v>
      </c>
      <c r="C119">
        <v>145813</v>
      </c>
      <c r="D119">
        <v>14010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">
      <c r="A120" t="s">
        <v>104</v>
      </c>
      <c r="B120" t="s">
        <v>104</v>
      </c>
      <c r="C120">
        <v>151351</v>
      </c>
      <c r="D120">
        <v>14020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">
      <c r="A121" t="s">
        <v>429</v>
      </c>
      <c r="B121" t="s">
        <v>429</v>
      </c>
      <c r="C121">
        <v>151324</v>
      </c>
      <c r="D121">
        <v>45460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">
      <c r="A122" t="s">
        <v>430</v>
      </c>
      <c r="B122" t="s">
        <v>430</v>
      </c>
      <c r="C122">
        <v>191931</v>
      </c>
      <c r="D122">
        <v>35620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">
      <c r="A123" t="s">
        <v>106</v>
      </c>
      <c r="B123" t="s">
        <v>106</v>
      </c>
      <c r="C123">
        <v>153658</v>
      </c>
      <c r="D123">
        <v>26980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">
      <c r="A124" t="s">
        <v>431</v>
      </c>
      <c r="B124" t="s">
        <v>431</v>
      </c>
      <c r="C124">
        <v>153603</v>
      </c>
      <c r="D124">
        <v>11180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">
      <c r="A125" t="s">
        <v>108</v>
      </c>
      <c r="B125" t="s">
        <v>598</v>
      </c>
      <c r="C125">
        <v>151111</v>
      </c>
      <c r="D125">
        <v>26900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">
      <c r="A126" t="s">
        <v>432</v>
      </c>
      <c r="B126" t="s">
        <v>432</v>
      </c>
      <c r="C126">
        <v>175856</v>
      </c>
      <c r="D126">
        <v>27140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">
      <c r="A127" t="s">
        <v>433</v>
      </c>
      <c r="B127" t="s">
        <v>433</v>
      </c>
      <c r="C127">
        <v>134945</v>
      </c>
      <c r="D127">
        <v>27260</v>
      </c>
      <c r="E127">
        <v>4369</v>
      </c>
      <c r="F127">
        <v>4498</v>
      </c>
      <c r="G127">
        <v>2085</v>
      </c>
      <c r="H127">
        <v>2854</v>
      </c>
      <c r="I127">
        <v>7576</v>
      </c>
      <c r="J127">
        <v>6619</v>
      </c>
      <c r="K127">
        <v>4192</v>
      </c>
      <c r="L127">
        <v>2176</v>
      </c>
      <c r="M127">
        <v>3271</v>
      </c>
      <c r="N127">
        <v>4879</v>
      </c>
      <c r="O127">
        <v>4477</v>
      </c>
    </row>
    <row r="128" spans="1:15" x14ac:dyDescent="0.2">
      <c r="A128" t="s">
        <v>434</v>
      </c>
      <c r="B128" t="s">
        <v>434</v>
      </c>
      <c r="C128">
        <v>101480</v>
      </c>
      <c r="D128">
        <v>11500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">
      <c r="A129" t="s">
        <v>110</v>
      </c>
      <c r="B129" t="s">
        <v>110</v>
      </c>
      <c r="C129">
        <v>232423</v>
      </c>
      <c r="D129">
        <v>25500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">
      <c r="A130" t="s">
        <v>111</v>
      </c>
      <c r="B130" t="s">
        <v>111</v>
      </c>
      <c r="C130">
        <v>155317</v>
      </c>
      <c r="D130">
        <v>29940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">
      <c r="A131" t="s">
        <v>435</v>
      </c>
      <c r="B131" t="s">
        <v>436</v>
      </c>
      <c r="C131">
        <v>178402</v>
      </c>
      <c r="D131">
        <v>28140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">
      <c r="A132" t="s">
        <v>437</v>
      </c>
      <c r="B132" t="s">
        <v>437</v>
      </c>
      <c r="C132">
        <v>155399</v>
      </c>
      <c r="D132">
        <v>31740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">
      <c r="A133" t="s">
        <v>438</v>
      </c>
      <c r="B133" t="s">
        <v>438</v>
      </c>
      <c r="C133">
        <v>486840</v>
      </c>
      <c r="D133">
        <v>12060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">
      <c r="A134" t="s">
        <v>439</v>
      </c>
      <c r="B134" t="s">
        <v>439</v>
      </c>
      <c r="C134">
        <v>203517</v>
      </c>
      <c r="D134">
        <v>10420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">
      <c r="A135" t="s">
        <v>115</v>
      </c>
      <c r="B135" t="s">
        <v>115</v>
      </c>
      <c r="C135">
        <v>157085</v>
      </c>
      <c r="D135">
        <v>30460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">
      <c r="A136" t="s">
        <v>440</v>
      </c>
      <c r="B136" t="s">
        <v>440</v>
      </c>
      <c r="C136">
        <v>213367</v>
      </c>
      <c r="D136">
        <v>37980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">
      <c r="A137" t="s">
        <v>441</v>
      </c>
      <c r="B137" t="s">
        <v>441</v>
      </c>
      <c r="C137">
        <v>213385</v>
      </c>
      <c r="D137">
        <v>10900</v>
      </c>
      <c r="E137">
        <v>2639</v>
      </c>
      <c r="F137">
        <v>1674</v>
      </c>
      <c r="G137">
        <v>2288</v>
      </c>
      <c r="H137">
        <v>1616</v>
      </c>
      <c r="I137">
        <v>2122</v>
      </c>
      <c r="J137">
        <v>2296</v>
      </c>
      <c r="K137">
        <v>690</v>
      </c>
      <c r="L137">
        <v>270</v>
      </c>
      <c r="M137">
        <v>3128</v>
      </c>
      <c r="N137">
        <v>2891</v>
      </c>
      <c r="O137">
        <v>2962</v>
      </c>
    </row>
    <row r="138" spans="1:15" x14ac:dyDescent="0.2">
      <c r="A138" t="s">
        <v>442</v>
      </c>
      <c r="B138" t="s">
        <v>442</v>
      </c>
      <c r="C138">
        <v>226091</v>
      </c>
      <c r="D138">
        <v>13140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">
      <c r="A139" t="s">
        <v>443</v>
      </c>
      <c r="B139" t="s">
        <v>443</v>
      </c>
      <c r="C139">
        <v>213543</v>
      </c>
      <c r="D139">
        <v>10900</v>
      </c>
      <c r="E139">
        <v>4463</v>
      </c>
      <c r="F139">
        <v>4239</v>
      </c>
      <c r="G139">
        <v>4867</v>
      </c>
      <c r="H139">
        <v>3809</v>
      </c>
      <c r="I139">
        <v>5329</v>
      </c>
      <c r="J139">
        <v>4249</v>
      </c>
      <c r="K139">
        <v>1506</v>
      </c>
      <c r="L139">
        <v>1388</v>
      </c>
      <c r="M139">
        <v>5120</v>
      </c>
      <c r="N139">
        <v>5057</v>
      </c>
      <c r="O139">
        <v>2446</v>
      </c>
    </row>
    <row r="140" spans="1:15" x14ac:dyDescent="0.2">
      <c r="A140" t="s">
        <v>444</v>
      </c>
      <c r="B140" t="s">
        <v>444</v>
      </c>
      <c r="C140">
        <v>232557</v>
      </c>
      <c r="D140">
        <v>31340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">
      <c r="A141" t="s">
        <v>445</v>
      </c>
      <c r="B141" t="s">
        <v>445</v>
      </c>
      <c r="C141">
        <v>219976</v>
      </c>
      <c r="D141">
        <v>34980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">
      <c r="A142" t="s">
        <v>446</v>
      </c>
      <c r="B142" t="s">
        <v>446</v>
      </c>
      <c r="C142">
        <v>106245</v>
      </c>
      <c r="D142">
        <v>30780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">
      <c r="A143" t="s">
        <v>447</v>
      </c>
      <c r="B143" t="s">
        <v>448</v>
      </c>
      <c r="C143">
        <v>192448</v>
      </c>
      <c r="D143">
        <v>35620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880</v>
      </c>
      <c r="L143">
        <v>195</v>
      </c>
      <c r="M143">
        <v>1478</v>
      </c>
      <c r="N143">
        <v>2118</v>
      </c>
      <c r="O143">
        <v>1804</v>
      </c>
    </row>
    <row r="144" spans="1:15" x14ac:dyDescent="0.2">
      <c r="A144" t="s">
        <v>449</v>
      </c>
      <c r="B144" t="s">
        <v>450</v>
      </c>
      <c r="C144">
        <v>117946</v>
      </c>
      <c r="D144">
        <v>31080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">
      <c r="A145" t="s">
        <v>451</v>
      </c>
      <c r="B145" t="s">
        <v>451</v>
      </c>
      <c r="C145">
        <v>110583</v>
      </c>
      <c r="D145">
        <v>31080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">
      <c r="A146" t="s">
        <v>118</v>
      </c>
      <c r="B146" t="s">
        <v>118</v>
      </c>
      <c r="C146">
        <v>232566</v>
      </c>
      <c r="D146">
        <v>40060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">
      <c r="A147" t="s">
        <v>452</v>
      </c>
      <c r="B147" t="s">
        <v>452</v>
      </c>
      <c r="C147">
        <v>160658</v>
      </c>
      <c r="D147">
        <v>29180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">
      <c r="A148" t="s">
        <v>121</v>
      </c>
      <c r="B148" t="s">
        <v>121</v>
      </c>
      <c r="C148">
        <v>159647</v>
      </c>
      <c r="D148">
        <v>40820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">
      <c r="A149" t="s">
        <v>122</v>
      </c>
      <c r="B149" t="s">
        <v>122</v>
      </c>
      <c r="C149">
        <v>157289</v>
      </c>
      <c r="D149">
        <v>31140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">
      <c r="A150" t="s">
        <v>453</v>
      </c>
      <c r="B150" t="s">
        <v>453</v>
      </c>
      <c r="C150">
        <v>146719</v>
      </c>
      <c r="D150">
        <v>16980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">
      <c r="A151" t="s">
        <v>454</v>
      </c>
      <c r="B151" t="s">
        <v>454</v>
      </c>
      <c r="C151">
        <v>163046</v>
      </c>
      <c r="D151">
        <v>12580</v>
      </c>
      <c r="E151">
        <v>22816</v>
      </c>
      <c r="F151">
        <v>11088</v>
      </c>
      <c r="G151">
        <v>16425</v>
      </c>
      <c r="H151">
        <v>13807</v>
      </c>
      <c r="I151">
        <v>16887</v>
      </c>
      <c r="J151">
        <v>13262</v>
      </c>
      <c r="K151">
        <v>6866</v>
      </c>
      <c r="L151">
        <v>850</v>
      </c>
      <c r="M151">
        <v>7880</v>
      </c>
      <c r="N151">
        <v>13989</v>
      </c>
      <c r="O151">
        <v>10062</v>
      </c>
    </row>
    <row r="152" spans="1:15" x14ac:dyDescent="0.2">
      <c r="A152" t="s">
        <v>123</v>
      </c>
      <c r="B152" t="s">
        <v>123</v>
      </c>
      <c r="C152">
        <v>159391</v>
      </c>
      <c r="D152">
        <v>12940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">
      <c r="A153" t="s">
        <v>124</v>
      </c>
      <c r="B153" t="s">
        <v>124</v>
      </c>
      <c r="C153">
        <v>161253</v>
      </c>
      <c r="D153">
        <v>12620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">
      <c r="A154" t="s">
        <v>455</v>
      </c>
      <c r="B154" t="s">
        <v>455</v>
      </c>
      <c r="C154">
        <v>192703</v>
      </c>
      <c r="D154">
        <v>35620</v>
      </c>
      <c r="E154">
        <v>2402</v>
      </c>
      <c r="F154">
        <v>1271</v>
      </c>
      <c r="G154">
        <v>2203</v>
      </c>
      <c r="H154">
        <v>3926</v>
      </c>
      <c r="I154">
        <v>1686</v>
      </c>
      <c r="J154">
        <v>2632</v>
      </c>
      <c r="K154">
        <v>647</v>
      </c>
      <c r="L154">
        <v>462</v>
      </c>
      <c r="M154">
        <v>1153</v>
      </c>
      <c r="N154">
        <v>3910</v>
      </c>
      <c r="O154">
        <v>3597</v>
      </c>
    </row>
    <row r="155" spans="1:15" x14ac:dyDescent="0.2">
      <c r="A155" t="s">
        <v>456</v>
      </c>
      <c r="B155" t="s">
        <v>456</v>
      </c>
      <c r="C155">
        <v>192819</v>
      </c>
      <c r="D155">
        <v>39100</v>
      </c>
      <c r="E155">
        <v>3851</v>
      </c>
      <c r="F155">
        <v>4949</v>
      </c>
      <c r="G155">
        <v>2271</v>
      </c>
      <c r="H155">
        <v>4179</v>
      </c>
      <c r="I155">
        <v>3651</v>
      </c>
      <c r="J155">
        <v>6056</v>
      </c>
      <c r="K155">
        <v>1258</v>
      </c>
      <c r="L155">
        <v>0</v>
      </c>
      <c r="M155">
        <v>3061</v>
      </c>
      <c r="N155">
        <v>2603</v>
      </c>
      <c r="O155">
        <v>3290</v>
      </c>
    </row>
    <row r="156" spans="1:15" x14ac:dyDescent="0.2">
      <c r="A156" t="s">
        <v>457</v>
      </c>
      <c r="B156" t="s">
        <v>457</v>
      </c>
      <c r="C156">
        <v>239105</v>
      </c>
      <c r="D156">
        <v>33340</v>
      </c>
      <c r="E156">
        <v>3698</v>
      </c>
      <c r="F156">
        <v>7134</v>
      </c>
      <c r="G156">
        <v>6326</v>
      </c>
      <c r="H156">
        <v>5965</v>
      </c>
      <c r="I156">
        <v>3506</v>
      </c>
      <c r="J156">
        <v>3640</v>
      </c>
      <c r="K156">
        <v>1477</v>
      </c>
      <c r="L156">
        <v>253</v>
      </c>
      <c r="M156">
        <v>3191</v>
      </c>
      <c r="N156">
        <v>2764</v>
      </c>
      <c r="O156">
        <v>3321</v>
      </c>
    </row>
    <row r="157" spans="1:15" x14ac:dyDescent="0.2">
      <c r="A157" t="s">
        <v>125</v>
      </c>
      <c r="B157" t="s">
        <v>125</v>
      </c>
      <c r="C157">
        <v>237525</v>
      </c>
      <c r="D157">
        <v>26580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">
      <c r="A158" t="s">
        <v>126</v>
      </c>
      <c r="B158" t="s">
        <v>126</v>
      </c>
      <c r="C158">
        <v>163286</v>
      </c>
      <c r="D158">
        <v>47900</v>
      </c>
      <c r="E158">
        <v>20359</v>
      </c>
      <c r="F158">
        <v>26244</v>
      </c>
      <c r="G158">
        <v>21708</v>
      </c>
      <c r="H158">
        <v>33030</v>
      </c>
      <c r="I158">
        <v>25344</v>
      </c>
      <c r="J158">
        <v>35226</v>
      </c>
      <c r="K158">
        <v>9180</v>
      </c>
      <c r="L158">
        <v>6833</v>
      </c>
      <c r="M158">
        <v>24038</v>
      </c>
      <c r="N158">
        <v>27644</v>
      </c>
      <c r="O158">
        <v>27562</v>
      </c>
    </row>
    <row r="159" spans="1:15" x14ac:dyDescent="0.2">
      <c r="A159" t="s">
        <v>129</v>
      </c>
      <c r="B159" t="s">
        <v>129</v>
      </c>
      <c r="C159">
        <v>166629</v>
      </c>
      <c r="D159">
        <v>44140</v>
      </c>
      <c r="E159">
        <v>5719</v>
      </c>
      <c r="F159">
        <v>3402</v>
      </c>
      <c r="G159">
        <v>6074</v>
      </c>
      <c r="H159">
        <v>3005</v>
      </c>
      <c r="I159">
        <v>7248</v>
      </c>
      <c r="J159">
        <v>4329</v>
      </c>
      <c r="K159">
        <v>2340</v>
      </c>
      <c r="L159">
        <v>500</v>
      </c>
      <c r="M159">
        <v>2969</v>
      </c>
      <c r="N159">
        <v>3994</v>
      </c>
      <c r="O159">
        <v>5063</v>
      </c>
    </row>
    <row r="160" spans="1:15" x14ac:dyDescent="0.2">
      <c r="A160" t="s">
        <v>458</v>
      </c>
      <c r="B160" t="s">
        <v>458</v>
      </c>
      <c r="C160">
        <v>159717</v>
      </c>
      <c r="D160">
        <v>29340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">
      <c r="A161" t="s">
        <v>132</v>
      </c>
      <c r="B161" t="s">
        <v>132</v>
      </c>
      <c r="C161">
        <v>220862</v>
      </c>
      <c r="D161">
        <v>32820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 t="s">
        <v>459</v>
      </c>
      <c r="B162" t="s">
        <v>459</v>
      </c>
      <c r="C162">
        <v>140447</v>
      </c>
      <c r="D162">
        <v>31420</v>
      </c>
      <c r="E162">
        <v>2697</v>
      </c>
      <c r="F162">
        <v>2785</v>
      </c>
      <c r="G162">
        <v>1313</v>
      </c>
      <c r="H162">
        <v>1703</v>
      </c>
      <c r="I162">
        <v>1362</v>
      </c>
      <c r="J162">
        <v>1285</v>
      </c>
      <c r="K162">
        <v>535</v>
      </c>
      <c r="L162">
        <v>1384</v>
      </c>
      <c r="M162">
        <v>970</v>
      </c>
      <c r="N162">
        <v>1740</v>
      </c>
      <c r="O162">
        <v>2242</v>
      </c>
    </row>
    <row r="163" spans="1:15" x14ac:dyDescent="0.2">
      <c r="A163" t="s">
        <v>460</v>
      </c>
      <c r="B163" t="s">
        <v>461</v>
      </c>
      <c r="C163">
        <v>135726</v>
      </c>
      <c r="D163">
        <v>33100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">
      <c r="A164" t="s">
        <v>462</v>
      </c>
      <c r="B164" t="s">
        <v>463</v>
      </c>
      <c r="C164">
        <v>204024</v>
      </c>
      <c r="D164">
        <v>17140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">
      <c r="A165" t="s">
        <v>134</v>
      </c>
      <c r="B165" t="s">
        <v>134</v>
      </c>
      <c r="C165">
        <v>170976</v>
      </c>
      <c r="D165">
        <v>11460</v>
      </c>
      <c r="E165">
        <v>8326</v>
      </c>
      <c r="F165">
        <v>8801</v>
      </c>
      <c r="G165">
        <v>6673</v>
      </c>
      <c r="H165">
        <v>22031</v>
      </c>
      <c r="I165">
        <v>4648</v>
      </c>
      <c r="J165">
        <v>9569</v>
      </c>
      <c r="K165">
        <v>1584</v>
      </c>
      <c r="L165">
        <v>621</v>
      </c>
      <c r="M165">
        <v>5811</v>
      </c>
      <c r="N165">
        <v>9316</v>
      </c>
      <c r="O165">
        <v>8506</v>
      </c>
    </row>
    <row r="166" spans="1:15" x14ac:dyDescent="0.2">
      <c r="A166" t="s">
        <v>464</v>
      </c>
      <c r="B166" t="s">
        <v>464</v>
      </c>
      <c r="C166">
        <v>171100</v>
      </c>
      <c r="D166">
        <v>29620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">
      <c r="A167" t="s">
        <v>465</v>
      </c>
      <c r="B167" t="s">
        <v>465</v>
      </c>
      <c r="C167">
        <v>220978</v>
      </c>
      <c r="D167">
        <v>34980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">
      <c r="A168" t="s">
        <v>466</v>
      </c>
      <c r="B168" t="s">
        <v>466</v>
      </c>
      <c r="C168">
        <v>240453</v>
      </c>
      <c r="D168">
        <v>33340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">
      <c r="A169" t="s">
        <v>137</v>
      </c>
      <c r="B169" t="s">
        <v>137</v>
      </c>
      <c r="C169">
        <v>174066</v>
      </c>
      <c r="D169">
        <v>33460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">
      <c r="A170" t="s">
        <v>467</v>
      </c>
      <c r="B170" t="s">
        <v>467</v>
      </c>
      <c r="C170">
        <v>176080</v>
      </c>
      <c r="D170">
        <v>44260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">
      <c r="A171" t="s">
        <v>468</v>
      </c>
      <c r="B171" t="s">
        <v>468</v>
      </c>
      <c r="C171">
        <v>176044</v>
      </c>
      <c r="D171">
        <v>24900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">
      <c r="A172" t="s">
        <v>141</v>
      </c>
      <c r="B172" t="s">
        <v>141</v>
      </c>
      <c r="C172">
        <v>178396</v>
      </c>
      <c r="D172">
        <v>17860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">
      <c r="A173" t="s">
        <v>469</v>
      </c>
      <c r="B173" t="s">
        <v>469</v>
      </c>
      <c r="C173">
        <v>179566</v>
      </c>
      <c r="D173">
        <v>44180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">
      <c r="A174" t="s">
        <v>470</v>
      </c>
      <c r="B174" t="s">
        <v>470</v>
      </c>
      <c r="C174">
        <v>185572</v>
      </c>
      <c r="D174">
        <v>35620</v>
      </c>
      <c r="E174">
        <v>3204</v>
      </c>
      <c r="F174">
        <v>2410</v>
      </c>
      <c r="G174">
        <v>3261</v>
      </c>
      <c r="H174">
        <v>2344</v>
      </c>
      <c r="I174">
        <v>3249</v>
      </c>
      <c r="J174">
        <v>2901</v>
      </c>
      <c r="K174">
        <v>1609</v>
      </c>
      <c r="L174">
        <v>1082</v>
      </c>
      <c r="M174">
        <v>2024</v>
      </c>
      <c r="N174">
        <v>2885</v>
      </c>
      <c r="O174">
        <v>3314</v>
      </c>
    </row>
    <row r="175" spans="1:15" x14ac:dyDescent="0.2">
      <c r="A175" t="s">
        <v>144</v>
      </c>
      <c r="B175" t="s">
        <v>144</v>
      </c>
      <c r="C175">
        <v>180489</v>
      </c>
      <c r="D175">
        <v>33540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">
      <c r="A177" t="s">
        <v>472</v>
      </c>
      <c r="B177" t="s">
        <v>472</v>
      </c>
      <c r="C177">
        <v>157386</v>
      </c>
      <c r="D177">
        <v>30460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">
      <c r="A179" t="s">
        <v>474</v>
      </c>
      <c r="B179" t="s">
        <v>474</v>
      </c>
      <c r="C179">
        <v>163462</v>
      </c>
      <c r="D179">
        <v>23900</v>
      </c>
      <c r="E179">
        <v>2155</v>
      </c>
      <c r="F179">
        <v>2499</v>
      </c>
      <c r="G179">
        <v>2471</v>
      </c>
      <c r="H179">
        <v>3273</v>
      </c>
      <c r="I179">
        <v>2119</v>
      </c>
      <c r="J179">
        <v>4032</v>
      </c>
      <c r="K179">
        <v>1296</v>
      </c>
      <c r="L179">
        <v>540</v>
      </c>
      <c r="M179">
        <v>1941</v>
      </c>
      <c r="N179">
        <v>2549</v>
      </c>
      <c r="O179">
        <v>2644</v>
      </c>
    </row>
    <row r="180" spans="1:15" x14ac:dyDescent="0.2">
      <c r="A180" t="s">
        <v>475</v>
      </c>
      <c r="B180" t="s">
        <v>475</v>
      </c>
      <c r="C180">
        <v>157401</v>
      </c>
      <c r="D180">
        <v>34660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">
      <c r="A181" t="s">
        <v>476</v>
      </c>
      <c r="B181" t="s">
        <v>476</v>
      </c>
      <c r="C181">
        <v>199102</v>
      </c>
      <c r="D181">
        <v>24660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">
      <c r="A182" t="s">
        <v>477</v>
      </c>
      <c r="B182" t="s">
        <v>477</v>
      </c>
      <c r="C182">
        <v>199157</v>
      </c>
      <c r="D182">
        <v>20500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">
      <c r="A183" t="s">
        <v>149</v>
      </c>
      <c r="B183" t="s">
        <v>149</v>
      </c>
      <c r="C183">
        <v>500000</v>
      </c>
      <c r="D183">
        <v>47900</v>
      </c>
      <c r="E183">
        <v>17275</v>
      </c>
      <c r="F183">
        <v>15839</v>
      </c>
      <c r="G183">
        <v>14758</v>
      </c>
      <c r="H183">
        <v>21003</v>
      </c>
      <c r="I183">
        <v>6613</v>
      </c>
      <c r="J183">
        <v>19089</v>
      </c>
      <c r="K183">
        <v>2169</v>
      </c>
      <c r="L183">
        <v>7707</v>
      </c>
      <c r="M183">
        <v>9170</v>
      </c>
      <c r="N183">
        <v>14791</v>
      </c>
      <c r="O183">
        <v>12525</v>
      </c>
    </row>
    <row r="184" spans="1:15" x14ac:dyDescent="0.2">
      <c r="A184" t="s">
        <v>478</v>
      </c>
      <c r="B184" t="s">
        <v>478</v>
      </c>
      <c r="C184">
        <v>199193</v>
      </c>
      <c r="D184">
        <v>39580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">
      <c r="A185" t="s">
        <v>150</v>
      </c>
      <c r="B185" t="s">
        <v>150</v>
      </c>
      <c r="C185">
        <v>181464</v>
      </c>
      <c r="D185">
        <v>30700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">
      <c r="A186" t="s">
        <v>152</v>
      </c>
      <c r="B186" t="s">
        <v>152</v>
      </c>
      <c r="C186">
        <v>182290</v>
      </c>
      <c r="D186">
        <v>39900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">
      <c r="A187" t="s">
        <v>153</v>
      </c>
      <c r="B187" t="s">
        <v>153</v>
      </c>
      <c r="C187">
        <v>183044</v>
      </c>
      <c r="D187">
        <v>18180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">
      <c r="A188" t="s">
        <v>154</v>
      </c>
      <c r="B188" t="s">
        <v>154</v>
      </c>
      <c r="C188">
        <v>187985</v>
      </c>
      <c r="D188">
        <v>10740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">
      <c r="A189" t="s">
        <v>479</v>
      </c>
      <c r="B189" t="s">
        <v>479</v>
      </c>
      <c r="C189">
        <v>188030</v>
      </c>
      <c r="D189">
        <v>29740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">
      <c r="A190" t="s">
        <v>156</v>
      </c>
      <c r="B190" t="s">
        <v>156</v>
      </c>
      <c r="C190">
        <v>159939</v>
      </c>
      <c r="D190">
        <v>35380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">
      <c r="A191" t="s">
        <v>480</v>
      </c>
      <c r="B191" t="s">
        <v>480</v>
      </c>
      <c r="C191">
        <v>193973</v>
      </c>
      <c r="D191">
        <v>15380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">
      <c r="A192" t="s">
        <v>481</v>
      </c>
      <c r="B192" t="s">
        <v>482</v>
      </c>
      <c r="C192">
        <v>159966</v>
      </c>
      <c r="D192">
        <v>26380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">
      <c r="A193" t="s">
        <v>483</v>
      </c>
      <c r="B193" t="s">
        <v>484</v>
      </c>
      <c r="C193">
        <v>147703</v>
      </c>
      <c r="D193">
        <v>16980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">
      <c r="A194" t="s">
        <v>158</v>
      </c>
      <c r="B194" t="s">
        <v>158</v>
      </c>
      <c r="C194">
        <v>185828</v>
      </c>
      <c r="D194">
        <v>35620</v>
      </c>
      <c r="E194">
        <v>0</v>
      </c>
      <c r="F194">
        <v>1893</v>
      </c>
      <c r="G194">
        <v>1469</v>
      </c>
      <c r="H194">
        <v>2114</v>
      </c>
      <c r="I194">
        <v>1811</v>
      </c>
      <c r="J194">
        <v>1302</v>
      </c>
      <c r="K194">
        <v>1686</v>
      </c>
      <c r="L194">
        <v>0</v>
      </c>
      <c r="M194">
        <v>1017</v>
      </c>
      <c r="N194">
        <v>1632</v>
      </c>
      <c r="O194">
        <v>3647</v>
      </c>
    </row>
    <row r="195" spans="1:15" x14ac:dyDescent="0.2">
      <c r="A195" t="s">
        <v>485</v>
      </c>
      <c r="B195" t="s">
        <v>485</v>
      </c>
      <c r="C195">
        <v>232937</v>
      </c>
      <c r="D195">
        <v>47260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">
      <c r="A197" t="s">
        <v>160</v>
      </c>
      <c r="B197" t="s">
        <v>160</v>
      </c>
      <c r="C197">
        <v>199120</v>
      </c>
      <c r="D197">
        <v>20500</v>
      </c>
      <c r="E197">
        <v>16173</v>
      </c>
      <c r="F197">
        <v>20948</v>
      </c>
      <c r="G197">
        <v>14389</v>
      </c>
      <c r="H197">
        <v>18658</v>
      </c>
      <c r="I197">
        <v>7954</v>
      </c>
      <c r="J197">
        <v>12686</v>
      </c>
      <c r="K197">
        <v>2384</v>
      </c>
      <c r="L197">
        <v>9867</v>
      </c>
      <c r="M197">
        <v>19062</v>
      </c>
      <c r="N197">
        <v>13046</v>
      </c>
      <c r="O197">
        <v>16170</v>
      </c>
    </row>
    <row r="198" spans="1:15" x14ac:dyDescent="0.2">
      <c r="A198" t="s">
        <v>167</v>
      </c>
      <c r="B198" t="s">
        <v>167</v>
      </c>
      <c r="C198">
        <v>200280</v>
      </c>
      <c r="D198">
        <v>24220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">
      <c r="A199" t="s">
        <v>488</v>
      </c>
      <c r="B199" t="s">
        <v>488</v>
      </c>
      <c r="C199">
        <v>200332</v>
      </c>
      <c r="D199">
        <v>22020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">
      <c r="A200" t="s">
        <v>169</v>
      </c>
      <c r="B200" t="s">
        <v>169</v>
      </c>
      <c r="C200">
        <v>136172</v>
      </c>
      <c r="D200">
        <v>27260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">
      <c r="A201" t="s">
        <v>170</v>
      </c>
      <c r="B201" t="s">
        <v>170</v>
      </c>
      <c r="C201">
        <v>227216</v>
      </c>
      <c r="D201">
        <v>19100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">
      <c r="A202" t="s">
        <v>489</v>
      </c>
      <c r="B202" t="s">
        <v>489</v>
      </c>
      <c r="C202">
        <v>167358</v>
      </c>
      <c r="D202">
        <v>14460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">
      <c r="A203" t="s">
        <v>490</v>
      </c>
      <c r="B203" t="s">
        <v>490</v>
      </c>
      <c r="C203">
        <v>105330</v>
      </c>
      <c r="D203">
        <v>22380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">
      <c r="A204" t="s">
        <v>491</v>
      </c>
      <c r="B204" t="s">
        <v>491</v>
      </c>
      <c r="C204">
        <v>127741</v>
      </c>
      <c r="D204">
        <v>24540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">
      <c r="A205" t="s">
        <v>492</v>
      </c>
      <c r="B205" t="s">
        <v>492</v>
      </c>
      <c r="C205">
        <v>157447</v>
      </c>
      <c r="D205">
        <v>17140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">
      <c r="A206" t="s">
        <v>493</v>
      </c>
      <c r="B206" t="s">
        <v>493</v>
      </c>
      <c r="C206">
        <v>147767</v>
      </c>
      <c r="D206">
        <v>16980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">
      <c r="A207" t="s">
        <v>494</v>
      </c>
      <c r="B207" t="s">
        <v>494</v>
      </c>
      <c r="C207">
        <v>160038</v>
      </c>
      <c r="D207">
        <v>35060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">
      <c r="A208" t="s">
        <v>495</v>
      </c>
      <c r="B208" t="s">
        <v>495</v>
      </c>
      <c r="C208">
        <v>152080</v>
      </c>
      <c r="D208">
        <v>43780</v>
      </c>
      <c r="E208">
        <v>13755</v>
      </c>
      <c r="F208">
        <v>13832</v>
      </c>
      <c r="G208">
        <v>18410</v>
      </c>
      <c r="H208">
        <v>18467</v>
      </c>
      <c r="I208">
        <v>17293</v>
      </c>
      <c r="J208">
        <v>9490</v>
      </c>
      <c r="K208">
        <v>2674</v>
      </c>
      <c r="L208">
        <v>3346</v>
      </c>
      <c r="M208">
        <v>7894</v>
      </c>
      <c r="N208">
        <v>15522</v>
      </c>
      <c r="O208">
        <v>22049</v>
      </c>
    </row>
    <row r="209" spans="1:15" x14ac:dyDescent="0.2">
      <c r="A209" t="s">
        <v>176</v>
      </c>
      <c r="B209" t="s">
        <v>176</v>
      </c>
      <c r="C209">
        <v>171571</v>
      </c>
      <c r="D209">
        <v>19820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">
      <c r="A210" t="s">
        <v>177</v>
      </c>
      <c r="B210" t="s">
        <v>177</v>
      </c>
      <c r="C210">
        <v>204857</v>
      </c>
      <c r="D210">
        <v>11900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">
      <c r="A211" t="s">
        <v>496</v>
      </c>
      <c r="B211" t="s">
        <v>496</v>
      </c>
      <c r="C211">
        <v>204796</v>
      </c>
      <c r="D211">
        <v>18140</v>
      </c>
      <c r="E211">
        <v>25231</v>
      </c>
      <c r="F211">
        <v>27386</v>
      </c>
      <c r="G211">
        <v>34374</v>
      </c>
      <c r="H211">
        <v>17020</v>
      </c>
      <c r="I211">
        <v>13396</v>
      </c>
      <c r="J211">
        <v>7591</v>
      </c>
      <c r="K211">
        <v>5156</v>
      </c>
      <c r="L211">
        <v>2132</v>
      </c>
      <c r="M211">
        <v>14974</v>
      </c>
      <c r="N211">
        <v>12701</v>
      </c>
      <c r="O211">
        <v>16280</v>
      </c>
    </row>
    <row r="212" spans="1:15" x14ac:dyDescent="0.2">
      <c r="A212" t="s">
        <v>179</v>
      </c>
      <c r="B212" t="s">
        <v>179</v>
      </c>
      <c r="C212">
        <v>207500</v>
      </c>
      <c r="D212">
        <v>36420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">
      <c r="A213" t="s">
        <v>497</v>
      </c>
      <c r="B213" t="s">
        <v>497</v>
      </c>
      <c r="C213">
        <v>207388</v>
      </c>
      <c r="D213">
        <v>44660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">
      <c r="A214" t="s">
        <v>181</v>
      </c>
      <c r="B214" t="s">
        <v>181</v>
      </c>
      <c r="C214">
        <v>232982</v>
      </c>
      <c r="D214">
        <v>47260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">
      <c r="A215" t="s">
        <v>498</v>
      </c>
      <c r="B215" t="s">
        <v>498</v>
      </c>
      <c r="C215">
        <v>176017</v>
      </c>
      <c r="D215">
        <v>37060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">
      <c r="A216" t="s">
        <v>499</v>
      </c>
      <c r="B216" t="s">
        <v>499</v>
      </c>
      <c r="C216">
        <v>181394</v>
      </c>
      <c r="D216">
        <v>36540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">
      <c r="A217" t="s">
        <v>500</v>
      </c>
      <c r="B217" t="s">
        <v>500</v>
      </c>
      <c r="C217">
        <v>207582</v>
      </c>
      <c r="D217">
        <v>46140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">
      <c r="A218" t="s">
        <v>182</v>
      </c>
      <c r="B218" t="s">
        <v>182</v>
      </c>
      <c r="C218">
        <v>209551</v>
      </c>
      <c r="D218">
        <v>21660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">
      <c r="A219" t="s">
        <v>501</v>
      </c>
      <c r="B219" t="s">
        <v>501</v>
      </c>
      <c r="C219">
        <v>209542</v>
      </c>
      <c r="D219">
        <v>18700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">
      <c r="A220" t="s">
        <v>502</v>
      </c>
      <c r="B220" t="s">
        <v>502</v>
      </c>
      <c r="C220">
        <v>120883</v>
      </c>
      <c r="D220">
        <v>44700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">
      <c r="A221" t="s">
        <v>503</v>
      </c>
      <c r="B221" t="s">
        <v>503</v>
      </c>
      <c r="C221">
        <v>215062</v>
      </c>
      <c r="D221">
        <v>37980</v>
      </c>
      <c r="E221">
        <v>7496</v>
      </c>
      <c r="F221">
        <v>2255</v>
      </c>
      <c r="G221">
        <v>5028</v>
      </c>
      <c r="H221">
        <v>4216</v>
      </c>
      <c r="I221">
        <v>5028</v>
      </c>
      <c r="J221">
        <v>8659</v>
      </c>
      <c r="K221">
        <v>2731</v>
      </c>
      <c r="L221">
        <v>0</v>
      </c>
      <c r="M221">
        <v>8000</v>
      </c>
      <c r="N221">
        <v>7372</v>
      </c>
      <c r="O221">
        <v>7406</v>
      </c>
    </row>
    <row r="222" spans="1:15" x14ac:dyDescent="0.2">
      <c r="A222" t="s">
        <v>504</v>
      </c>
      <c r="B222" t="s">
        <v>504</v>
      </c>
      <c r="C222">
        <v>214777</v>
      </c>
      <c r="D222">
        <v>44300</v>
      </c>
      <c r="E222">
        <v>7873</v>
      </c>
      <c r="F222">
        <v>4571</v>
      </c>
      <c r="G222">
        <v>8360</v>
      </c>
      <c r="H222">
        <v>13262</v>
      </c>
      <c r="I222">
        <v>9482</v>
      </c>
      <c r="J222">
        <v>10434</v>
      </c>
      <c r="K222">
        <v>4863</v>
      </c>
      <c r="L222">
        <v>1463</v>
      </c>
      <c r="M222">
        <v>4907</v>
      </c>
      <c r="N222">
        <v>9210</v>
      </c>
      <c r="O222">
        <v>8577</v>
      </c>
    </row>
    <row r="223" spans="1:15" x14ac:dyDescent="0.2">
      <c r="A223" t="s">
        <v>505</v>
      </c>
      <c r="B223" t="s">
        <v>505</v>
      </c>
      <c r="C223">
        <v>121150</v>
      </c>
      <c r="D223">
        <v>31080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">
      <c r="A224" t="s">
        <v>506</v>
      </c>
      <c r="B224" t="s">
        <v>506</v>
      </c>
      <c r="C224">
        <v>215293</v>
      </c>
      <c r="D224">
        <v>38300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">
      <c r="A225" t="s">
        <v>507</v>
      </c>
      <c r="B225" t="s">
        <v>507</v>
      </c>
      <c r="C225">
        <v>209825</v>
      </c>
      <c r="D225">
        <v>38900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">
      <c r="A226" t="s">
        <v>508</v>
      </c>
      <c r="B226" t="s">
        <v>508</v>
      </c>
      <c r="C226">
        <v>209807</v>
      </c>
      <c r="D226">
        <v>38900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">
      <c r="A227" t="s">
        <v>509</v>
      </c>
      <c r="B227" t="s">
        <v>509</v>
      </c>
      <c r="C227">
        <v>227526</v>
      </c>
      <c r="D227">
        <v>26420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">
      <c r="A228" t="s">
        <v>510</v>
      </c>
      <c r="B228" t="s">
        <v>510</v>
      </c>
      <c r="C228">
        <v>218539</v>
      </c>
      <c r="D228">
        <v>43900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">
      <c r="A229" t="s">
        <v>511</v>
      </c>
      <c r="B229" t="s">
        <v>511</v>
      </c>
      <c r="C229">
        <v>186131</v>
      </c>
      <c r="D229">
        <v>45940</v>
      </c>
      <c r="E229">
        <v>11860</v>
      </c>
      <c r="F229">
        <v>6558</v>
      </c>
      <c r="G229">
        <v>9383</v>
      </c>
      <c r="H229">
        <v>9991</v>
      </c>
      <c r="I229">
        <v>7221</v>
      </c>
      <c r="J229">
        <v>9897</v>
      </c>
      <c r="K229">
        <v>4576</v>
      </c>
      <c r="L229">
        <v>0</v>
      </c>
      <c r="M229">
        <v>10556</v>
      </c>
      <c r="N229">
        <v>10910</v>
      </c>
      <c r="O229">
        <v>8077</v>
      </c>
    </row>
    <row r="230" spans="1:15" x14ac:dyDescent="0.2">
      <c r="A230" t="s">
        <v>512</v>
      </c>
      <c r="B230" t="s">
        <v>512</v>
      </c>
      <c r="C230">
        <v>217402</v>
      </c>
      <c r="D230">
        <v>39300</v>
      </c>
      <c r="E230">
        <v>1893</v>
      </c>
      <c r="F230">
        <v>2694</v>
      </c>
      <c r="G230">
        <v>2929</v>
      </c>
      <c r="H230">
        <v>9485</v>
      </c>
      <c r="I230">
        <v>5988</v>
      </c>
      <c r="J230">
        <v>3404</v>
      </c>
      <c r="K230">
        <v>536</v>
      </c>
      <c r="L230">
        <v>722</v>
      </c>
      <c r="M230">
        <v>3298</v>
      </c>
      <c r="N230">
        <v>2819</v>
      </c>
      <c r="O230">
        <v>3759</v>
      </c>
    </row>
    <row r="231" spans="1:15" x14ac:dyDescent="0.2">
      <c r="A231" t="s">
        <v>187</v>
      </c>
      <c r="B231" t="s">
        <v>187</v>
      </c>
      <c r="C231">
        <v>243780</v>
      </c>
      <c r="D231">
        <v>29200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">
      <c r="A232" t="s">
        <v>188</v>
      </c>
      <c r="B232" t="s">
        <v>188</v>
      </c>
      <c r="C232">
        <v>151102</v>
      </c>
      <c r="D232">
        <v>23060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">
      <c r="A233" t="s">
        <v>513</v>
      </c>
      <c r="B233" t="s">
        <v>513</v>
      </c>
      <c r="C233">
        <v>130226</v>
      </c>
      <c r="D233">
        <v>35300</v>
      </c>
      <c r="E233">
        <v>2558</v>
      </c>
      <c r="F233">
        <v>1925</v>
      </c>
      <c r="G233">
        <v>5381</v>
      </c>
      <c r="H233">
        <v>1304</v>
      </c>
      <c r="I233">
        <v>3520</v>
      </c>
      <c r="J233">
        <v>1989</v>
      </c>
      <c r="K233">
        <v>0</v>
      </c>
      <c r="L233">
        <v>534</v>
      </c>
      <c r="M233">
        <v>1046</v>
      </c>
      <c r="N233">
        <v>2233</v>
      </c>
      <c r="O233">
        <v>1868</v>
      </c>
    </row>
    <row r="234" spans="1:15" x14ac:dyDescent="0.2">
      <c r="A234" t="s">
        <v>189</v>
      </c>
      <c r="B234" t="s">
        <v>189</v>
      </c>
      <c r="C234">
        <v>233277</v>
      </c>
      <c r="D234">
        <v>40220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">
      <c r="A235" t="s">
        <v>190</v>
      </c>
      <c r="B235" t="s">
        <v>190</v>
      </c>
      <c r="C235">
        <v>217484</v>
      </c>
      <c r="D235">
        <v>39300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">
      <c r="A236" t="s">
        <v>514</v>
      </c>
      <c r="B236" t="s">
        <v>514</v>
      </c>
      <c r="C236">
        <v>227757</v>
      </c>
      <c r="D236">
        <v>26420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">
      <c r="A237" t="s">
        <v>515</v>
      </c>
      <c r="B237" t="s">
        <v>515</v>
      </c>
      <c r="C237">
        <v>233374</v>
      </c>
      <c r="D237">
        <v>40060</v>
      </c>
      <c r="E237">
        <v>6438</v>
      </c>
      <c r="F237">
        <v>4777</v>
      </c>
      <c r="G237">
        <v>8077</v>
      </c>
      <c r="H237">
        <v>12780</v>
      </c>
      <c r="I237">
        <v>3948</v>
      </c>
      <c r="J237">
        <v>5850</v>
      </c>
      <c r="K237">
        <v>3714</v>
      </c>
      <c r="L237">
        <v>6000</v>
      </c>
      <c r="M237">
        <v>7158</v>
      </c>
      <c r="N237">
        <v>5871</v>
      </c>
      <c r="O237">
        <v>16238</v>
      </c>
    </row>
    <row r="238" spans="1:15" x14ac:dyDescent="0.2">
      <c r="A238" t="s">
        <v>516</v>
      </c>
      <c r="B238" t="s">
        <v>516</v>
      </c>
      <c r="C238">
        <v>186283</v>
      </c>
      <c r="D238">
        <v>45940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">
      <c r="A239" t="s">
        <v>517</v>
      </c>
      <c r="B239" t="s">
        <v>517</v>
      </c>
      <c r="C239">
        <v>215655</v>
      </c>
      <c r="D239">
        <v>38300</v>
      </c>
      <c r="E239">
        <v>1645</v>
      </c>
      <c r="F239">
        <v>1913</v>
      </c>
      <c r="G239">
        <v>1164</v>
      </c>
      <c r="H239">
        <v>1430</v>
      </c>
      <c r="I239">
        <v>1445</v>
      </c>
      <c r="J239">
        <v>2069</v>
      </c>
      <c r="K239">
        <v>310</v>
      </c>
      <c r="L239">
        <v>145</v>
      </c>
      <c r="M239">
        <v>1481</v>
      </c>
      <c r="N239">
        <v>2811</v>
      </c>
      <c r="O239">
        <v>1165</v>
      </c>
    </row>
    <row r="240" spans="1:15" x14ac:dyDescent="0.2">
      <c r="A240" t="s">
        <v>191</v>
      </c>
      <c r="B240" t="s">
        <v>191</v>
      </c>
      <c r="C240">
        <v>186380</v>
      </c>
      <c r="D240">
        <v>35620</v>
      </c>
      <c r="E240">
        <v>8432</v>
      </c>
      <c r="F240">
        <v>6943</v>
      </c>
      <c r="G240">
        <v>10503</v>
      </c>
      <c r="H240">
        <v>12602</v>
      </c>
      <c r="I240">
        <v>18159</v>
      </c>
      <c r="J240">
        <v>12711</v>
      </c>
      <c r="K240">
        <v>2424</v>
      </c>
      <c r="L240">
        <v>3600</v>
      </c>
      <c r="M240">
        <v>20232</v>
      </c>
      <c r="N240">
        <v>15664</v>
      </c>
      <c r="O240">
        <v>14987</v>
      </c>
    </row>
    <row r="241" spans="1:15" x14ac:dyDescent="0.2">
      <c r="A241" t="s">
        <v>518</v>
      </c>
      <c r="B241" t="s">
        <v>518</v>
      </c>
      <c r="C241">
        <v>110617</v>
      </c>
      <c r="D241">
        <v>40900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">
      <c r="A242" t="s">
        <v>519</v>
      </c>
      <c r="B242" t="s">
        <v>519</v>
      </c>
      <c r="C242">
        <v>130253</v>
      </c>
      <c r="D242">
        <v>35300</v>
      </c>
      <c r="E242">
        <v>1842</v>
      </c>
      <c r="F242">
        <v>1220</v>
      </c>
      <c r="G242">
        <v>1567</v>
      </c>
      <c r="H242">
        <v>2007</v>
      </c>
      <c r="I242">
        <v>1807</v>
      </c>
      <c r="J242">
        <v>1750</v>
      </c>
      <c r="K242">
        <v>681</v>
      </c>
      <c r="L242">
        <v>118</v>
      </c>
      <c r="M242">
        <v>3711</v>
      </c>
      <c r="N242">
        <v>2111</v>
      </c>
      <c r="O242">
        <v>3399</v>
      </c>
    </row>
    <row r="243" spans="1:15" x14ac:dyDescent="0.2">
      <c r="A243" t="s">
        <v>520</v>
      </c>
      <c r="B243" t="s">
        <v>599</v>
      </c>
      <c r="C243">
        <v>215743</v>
      </c>
      <c r="D243">
        <v>11020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">
      <c r="A244" t="s">
        <v>521</v>
      </c>
      <c r="B244" t="s">
        <v>521</v>
      </c>
      <c r="C244">
        <v>215770</v>
      </c>
      <c r="D244">
        <v>37980</v>
      </c>
      <c r="E244">
        <v>4713</v>
      </c>
      <c r="F244">
        <v>10452</v>
      </c>
      <c r="G244">
        <v>10120</v>
      </c>
      <c r="H244">
        <v>12159</v>
      </c>
      <c r="I244">
        <v>18391</v>
      </c>
      <c r="J244">
        <v>9229</v>
      </c>
      <c r="K244">
        <v>5114</v>
      </c>
      <c r="L244">
        <v>8987</v>
      </c>
      <c r="M244">
        <v>10350</v>
      </c>
      <c r="N244">
        <v>9856</v>
      </c>
      <c r="O244">
        <v>7054</v>
      </c>
    </row>
    <row r="245" spans="1:15" x14ac:dyDescent="0.2">
      <c r="A245" t="s">
        <v>522</v>
      </c>
      <c r="B245" t="s">
        <v>522</v>
      </c>
      <c r="C245">
        <v>179159</v>
      </c>
      <c r="D245">
        <v>41180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">
      <c r="A246" t="s">
        <v>523</v>
      </c>
      <c r="B246" t="s">
        <v>523</v>
      </c>
      <c r="C246">
        <v>123554</v>
      </c>
      <c r="D246">
        <v>41860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">
      <c r="A247" t="s">
        <v>524</v>
      </c>
      <c r="B247" t="s">
        <v>524</v>
      </c>
      <c r="C247">
        <v>186432</v>
      </c>
      <c r="D247">
        <v>35620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">
      <c r="A248" t="s">
        <v>525</v>
      </c>
      <c r="B248" t="s">
        <v>526</v>
      </c>
      <c r="C248">
        <v>227881</v>
      </c>
      <c r="D248">
        <v>26660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">
      <c r="A249" t="s">
        <v>527</v>
      </c>
      <c r="B249" t="s">
        <v>527</v>
      </c>
      <c r="C249">
        <v>102049</v>
      </c>
      <c r="D249">
        <v>13820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">
      <c r="A250" t="s">
        <v>528</v>
      </c>
      <c r="B250" t="s">
        <v>528</v>
      </c>
      <c r="C250">
        <v>122436</v>
      </c>
      <c r="D250">
        <v>41740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">
      <c r="A251" t="s">
        <v>529</v>
      </c>
      <c r="B251" t="s">
        <v>529</v>
      </c>
      <c r="C251">
        <v>122409</v>
      </c>
      <c r="D251">
        <v>41740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">
      <c r="A252" t="s">
        <v>530</v>
      </c>
      <c r="B252" t="s">
        <v>530</v>
      </c>
      <c r="C252">
        <v>122612</v>
      </c>
      <c r="D252">
        <v>41860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">
      <c r="A253" t="s">
        <v>531</v>
      </c>
      <c r="B253" t="s">
        <v>531</v>
      </c>
      <c r="C253">
        <v>122755</v>
      </c>
      <c r="D253">
        <v>41940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">
      <c r="A254" t="s">
        <v>532</v>
      </c>
      <c r="B254" t="s">
        <v>532</v>
      </c>
      <c r="C254">
        <v>122931</v>
      </c>
      <c r="D254">
        <v>41940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">
      <c r="A255" t="s">
        <v>600</v>
      </c>
      <c r="B255" t="s">
        <v>600</v>
      </c>
      <c r="C255">
        <v>140960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">
      <c r="A256" t="s">
        <v>533</v>
      </c>
      <c r="B256" t="s">
        <v>533</v>
      </c>
      <c r="C256">
        <v>236595</v>
      </c>
      <c r="D256">
        <v>42660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">
      <c r="A257" t="s">
        <v>534</v>
      </c>
      <c r="B257" t="s">
        <v>534</v>
      </c>
      <c r="C257">
        <v>186584</v>
      </c>
      <c r="D257">
        <v>35620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">
      <c r="A258" t="s">
        <v>535</v>
      </c>
      <c r="B258" t="s">
        <v>535</v>
      </c>
      <c r="C258">
        <v>228431</v>
      </c>
      <c r="D258">
        <v>34860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">
      <c r="A259" t="s">
        <v>536</v>
      </c>
      <c r="B259" t="s">
        <v>536</v>
      </c>
      <c r="C259">
        <v>195474</v>
      </c>
      <c r="D259">
        <v>10580</v>
      </c>
      <c r="E259">
        <v>2136</v>
      </c>
      <c r="F259">
        <v>3352</v>
      </c>
      <c r="G259">
        <v>2888</v>
      </c>
      <c r="H259">
        <v>1762</v>
      </c>
      <c r="I259">
        <v>2112</v>
      </c>
      <c r="J259">
        <v>3045</v>
      </c>
      <c r="K259">
        <v>1086</v>
      </c>
      <c r="L259">
        <v>0</v>
      </c>
      <c r="M259">
        <v>2054</v>
      </c>
      <c r="N259">
        <v>3222</v>
      </c>
      <c r="O259">
        <v>1956</v>
      </c>
    </row>
    <row r="260" spans="1:15" x14ac:dyDescent="0.2">
      <c r="A260" t="s">
        <v>537</v>
      </c>
      <c r="B260" t="s">
        <v>537</v>
      </c>
      <c r="C260">
        <v>149231</v>
      </c>
      <c r="D260">
        <v>41180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">
      <c r="A261" t="s">
        <v>538</v>
      </c>
      <c r="B261" t="s">
        <v>538</v>
      </c>
      <c r="C261">
        <v>228246</v>
      </c>
      <c r="D261">
        <v>19100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">
      <c r="A262" t="s">
        <v>197</v>
      </c>
      <c r="B262" t="s">
        <v>197</v>
      </c>
      <c r="C262">
        <v>102094</v>
      </c>
      <c r="D262">
        <v>33660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">
      <c r="A263" t="s">
        <v>198</v>
      </c>
      <c r="B263" t="s">
        <v>198</v>
      </c>
      <c r="C263">
        <v>218663</v>
      </c>
      <c r="D263">
        <v>17900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">
      <c r="A264" t="s">
        <v>539</v>
      </c>
      <c r="B264" t="s">
        <v>539</v>
      </c>
      <c r="C264">
        <v>218733</v>
      </c>
      <c r="D264">
        <v>36700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">
      <c r="A265" t="s">
        <v>201</v>
      </c>
      <c r="B265" t="s">
        <v>201</v>
      </c>
      <c r="C265">
        <v>219471</v>
      </c>
      <c r="D265">
        <v>46820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">
      <c r="A266" t="s">
        <v>540</v>
      </c>
      <c r="B266" t="s">
        <v>540</v>
      </c>
      <c r="C266">
        <v>219356</v>
      </c>
      <c r="D266">
        <v>15100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">
      <c r="A267" t="s">
        <v>541</v>
      </c>
      <c r="B267" t="s">
        <v>541</v>
      </c>
      <c r="C267">
        <v>137351</v>
      </c>
      <c r="D267">
        <v>45300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">
      <c r="A268" t="s">
        <v>542</v>
      </c>
      <c r="B268" t="s">
        <v>542</v>
      </c>
      <c r="C268">
        <v>179557</v>
      </c>
      <c r="D268">
        <v>16020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">
      <c r="A269" t="s">
        <v>543</v>
      </c>
      <c r="B269" t="s">
        <v>543</v>
      </c>
      <c r="C269">
        <v>160612</v>
      </c>
      <c r="D269">
        <v>25220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">
      <c r="A270" t="s">
        <v>544</v>
      </c>
      <c r="B270" t="s">
        <v>544</v>
      </c>
      <c r="C270">
        <v>123961</v>
      </c>
      <c r="D270">
        <v>31080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">
      <c r="A271" t="s">
        <v>545</v>
      </c>
      <c r="B271" t="s">
        <v>545</v>
      </c>
      <c r="C271">
        <v>149222</v>
      </c>
      <c r="D271">
        <v>16060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">
      <c r="A272" t="s">
        <v>546</v>
      </c>
      <c r="B272" t="s">
        <v>546</v>
      </c>
      <c r="C272">
        <v>176372</v>
      </c>
      <c r="D272">
        <v>25620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">
      <c r="A273" t="s">
        <v>547</v>
      </c>
      <c r="B273" t="s">
        <v>547</v>
      </c>
      <c r="C273">
        <v>160621</v>
      </c>
      <c r="D273">
        <v>12940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">
      <c r="A274" t="s">
        <v>209</v>
      </c>
      <c r="B274" t="s">
        <v>209</v>
      </c>
      <c r="C274">
        <v>230603</v>
      </c>
      <c r="D274">
        <v>16260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">
      <c r="A275" t="s">
        <v>548</v>
      </c>
      <c r="B275" t="s">
        <v>548</v>
      </c>
      <c r="C275">
        <v>195164</v>
      </c>
      <c r="D275">
        <v>18500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1483</v>
      </c>
      <c r="K275">
        <v>435</v>
      </c>
      <c r="L275">
        <v>346</v>
      </c>
      <c r="M275">
        <v>2085</v>
      </c>
      <c r="N275">
        <v>2073</v>
      </c>
      <c r="O275">
        <v>2408</v>
      </c>
    </row>
    <row r="276" spans="1:15" x14ac:dyDescent="0.2">
      <c r="A276" t="s">
        <v>549</v>
      </c>
      <c r="B276" t="s">
        <v>549</v>
      </c>
      <c r="C276">
        <v>195173</v>
      </c>
      <c r="D276">
        <v>15100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">
      <c r="A277" t="s">
        <v>550</v>
      </c>
      <c r="B277" t="s">
        <v>550</v>
      </c>
      <c r="C277">
        <v>195809</v>
      </c>
      <c r="D277">
        <v>35620</v>
      </c>
      <c r="E277">
        <v>4582</v>
      </c>
      <c r="F277">
        <v>2243</v>
      </c>
      <c r="G277">
        <v>4317</v>
      </c>
      <c r="H277">
        <v>5033</v>
      </c>
      <c r="I277">
        <v>5109</v>
      </c>
      <c r="J277">
        <v>3341</v>
      </c>
      <c r="K277">
        <v>1245</v>
      </c>
      <c r="L277">
        <v>204</v>
      </c>
      <c r="M277">
        <v>1937</v>
      </c>
      <c r="N277">
        <v>2216</v>
      </c>
      <c r="O277">
        <v>2741</v>
      </c>
    </row>
    <row r="278" spans="1:15" x14ac:dyDescent="0.2">
      <c r="A278" t="s">
        <v>551</v>
      </c>
      <c r="B278" t="s">
        <v>551</v>
      </c>
      <c r="C278">
        <v>243744</v>
      </c>
      <c r="D278">
        <v>41940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">
      <c r="A279" t="s">
        <v>552</v>
      </c>
      <c r="B279" t="s">
        <v>552</v>
      </c>
      <c r="C279">
        <v>137546</v>
      </c>
      <c r="D279">
        <v>36740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">
      <c r="A280" t="s">
        <v>211</v>
      </c>
      <c r="B280" t="s">
        <v>211</v>
      </c>
      <c r="C280">
        <v>196097</v>
      </c>
      <c r="D280">
        <v>35620</v>
      </c>
      <c r="E280">
        <v>11418</v>
      </c>
      <c r="F280">
        <v>11783</v>
      </c>
      <c r="G280">
        <v>7942</v>
      </c>
      <c r="H280">
        <v>6619</v>
      </c>
      <c r="I280">
        <v>8322</v>
      </c>
      <c r="J280">
        <v>8529</v>
      </c>
      <c r="K280">
        <v>2547</v>
      </c>
      <c r="L280">
        <v>440</v>
      </c>
      <c r="M280">
        <v>8214</v>
      </c>
      <c r="N280">
        <v>5201</v>
      </c>
      <c r="O280">
        <v>9635</v>
      </c>
    </row>
    <row r="281" spans="1:15" x14ac:dyDescent="0.2">
      <c r="A281" t="s">
        <v>553</v>
      </c>
      <c r="B281" t="s">
        <v>553</v>
      </c>
      <c r="C281">
        <v>196413</v>
      </c>
      <c r="D281">
        <v>45060</v>
      </c>
      <c r="E281">
        <v>33121</v>
      </c>
      <c r="F281">
        <v>43214</v>
      </c>
      <c r="G281">
        <v>36120</v>
      </c>
      <c r="H281">
        <v>34271</v>
      </c>
      <c r="I281">
        <v>41947</v>
      </c>
      <c r="J281">
        <v>29736</v>
      </c>
      <c r="K281">
        <v>14811</v>
      </c>
      <c r="L281">
        <v>2081</v>
      </c>
      <c r="M281">
        <v>31277</v>
      </c>
      <c r="N281">
        <v>38089</v>
      </c>
      <c r="O281">
        <v>45767</v>
      </c>
    </row>
    <row r="282" spans="1:15" x14ac:dyDescent="0.2">
      <c r="A282" t="s">
        <v>554</v>
      </c>
      <c r="B282" t="s">
        <v>554</v>
      </c>
      <c r="C282">
        <v>228875</v>
      </c>
      <c r="D282">
        <v>19100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">
      <c r="A283" t="s">
        <v>555</v>
      </c>
      <c r="B283" t="s">
        <v>555</v>
      </c>
      <c r="C283">
        <v>216339</v>
      </c>
      <c r="D283">
        <v>37980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">
      <c r="A284" t="s">
        <v>212</v>
      </c>
      <c r="B284" t="s">
        <v>212</v>
      </c>
      <c r="C284">
        <v>221759</v>
      </c>
      <c r="D284">
        <v>28940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">
      <c r="A285" t="s">
        <v>556</v>
      </c>
      <c r="B285" t="s">
        <v>556</v>
      </c>
      <c r="C285">
        <v>221838</v>
      </c>
      <c r="D285">
        <v>34980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">
      <c r="A286" t="s">
        <v>215</v>
      </c>
      <c r="B286" t="s">
        <v>215</v>
      </c>
      <c r="C286">
        <v>221847</v>
      </c>
      <c r="D286">
        <v>18260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">
      <c r="A287" t="s">
        <v>216</v>
      </c>
      <c r="B287" t="s">
        <v>216</v>
      </c>
      <c r="C287">
        <v>228778</v>
      </c>
      <c r="D287">
        <v>12420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">
      <c r="A288" t="s">
        <v>217</v>
      </c>
      <c r="B288" t="s">
        <v>217</v>
      </c>
      <c r="C288">
        <v>228723</v>
      </c>
      <c r="D288">
        <v>17780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">
      <c r="A289" t="s">
        <v>220</v>
      </c>
      <c r="B289" t="s">
        <v>220</v>
      </c>
      <c r="C289">
        <v>229063</v>
      </c>
      <c r="D289">
        <v>26420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">
      <c r="A290" t="s">
        <v>557</v>
      </c>
      <c r="B290" t="s">
        <v>557</v>
      </c>
      <c r="C290">
        <v>228459</v>
      </c>
      <c r="D290">
        <v>12420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">
      <c r="A291" t="s">
        <v>222</v>
      </c>
      <c r="B291" t="s">
        <v>222</v>
      </c>
      <c r="C291">
        <v>229115</v>
      </c>
      <c r="D291">
        <v>31180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">
      <c r="A292" t="s">
        <v>70</v>
      </c>
      <c r="B292" t="s">
        <v>558</v>
      </c>
      <c r="C292">
        <v>217864</v>
      </c>
      <c r="D292">
        <v>16700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">
      <c r="A293" t="s">
        <v>223</v>
      </c>
      <c r="B293" t="s">
        <v>223</v>
      </c>
      <c r="C293">
        <v>206084</v>
      </c>
      <c r="D293">
        <v>45780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">
      <c r="A294" t="s">
        <v>224</v>
      </c>
      <c r="B294" t="s">
        <v>224</v>
      </c>
      <c r="C294">
        <v>164076</v>
      </c>
      <c r="D294">
        <v>12580</v>
      </c>
      <c r="E294">
        <v>8188</v>
      </c>
      <c r="F294">
        <v>6603</v>
      </c>
      <c r="G294">
        <v>12164</v>
      </c>
      <c r="H294">
        <v>10847</v>
      </c>
      <c r="I294">
        <v>5786</v>
      </c>
      <c r="J294">
        <v>12352</v>
      </c>
      <c r="K294">
        <v>1908</v>
      </c>
      <c r="L294">
        <v>2599</v>
      </c>
      <c r="M294">
        <v>10120</v>
      </c>
      <c r="N294">
        <v>6589</v>
      </c>
      <c r="O294">
        <v>8401</v>
      </c>
    </row>
    <row r="295" spans="1:15" x14ac:dyDescent="0.2">
      <c r="A295" t="s">
        <v>225</v>
      </c>
      <c r="B295" t="s">
        <v>225</v>
      </c>
      <c r="C295">
        <v>102368</v>
      </c>
      <c r="D295">
        <v>45980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">
      <c r="A296" t="s">
        <v>559</v>
      </c>
      <c r="B296" t="s">
        <v>559</v>
      </c>
      <c r="C296">
        <v>160755</v>
      </c>
      <c r="D296">
        <v>35380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">
      <c r="A297" t="s">
        <v>560</v>
      </c>
      <c r="B297" t="s">
        <v>560</v>
      </c>
      <c r="C297">
        <v>207971</v>
      </c>
      <c r="D297">
        <v>46140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">
      <c r="A298" t="s">
        <v>226</v>
      </c>
      <c r="B298" t="s">
        <v>226</v>
      </c>
      <c r="C298">
        <v>100663</v>
      </c>
      <c r="D298">
        <v>13820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">
      <c r="A299" t="s">
        <v>561</v>
      </c>
      <c r="B299" t="s">
        <v>562</v>
      </c>
      <c r="C299">
        <v>196060</v>
      </c>
      <c r="D299">
        <v>10580</v>
      </c>
      <c r="E299">
        <v>10169</v>
      </c>
      <c r="F299">
        <v>16670</v>
      </c>
      <c r="G299">
        <v>9125</v>
      </c>
      <c r="H299">
        <v>19981</v>
      </c>
      <c r="I299">
        <v>26840</v>
      </c>
      <c r="J299">
        <v>12742</v>
      </c>
      <c r="K299">
        <v>4851</v>
      </c>
      <c r="L299">
        <v>600</v>
      </c>
      <c r="M299">
        <v>12328</v>
      </c>
      <c r="N299">
        <v>14164</v>
      </c>
      <c r="O299">
        <v>11369</v>
      </c>
    </row>
    <row r="300" spans="1:15" x14ac:dyDescent="0.2">
      <c r="A300" t="s">
        <v>227</v>
      </c>
      <c r="B300" t="s">
        <v>227</v>
      </c>
      <c r="C300">
        <v>110644</v>
      </c>
      <c r="D300">
        <v>40900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">
      <c r="A301" t="s">
        <v>228</v>
      </c>
      <c r="B301" t="s">
        <v>228</v>
      </c>
      <c r="C301">
        <v>110653</v>
      </c>
      <c r="D301">
        <v>31080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">
      <c r="A302" t="s">
        <v>229</v>
      </c>
      <c r="B302" t="s">
        <v>229</v>
      </c>
      <c r="C302">
        <v>110671</v>
      </c>
      <c r="D302">
        <v>40140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">
      <c r="A303" t="s">
        <v>230</v>
      </c>
      <c r="B303" t="s">
        <v>230</v>
      </c>
      <c r="C303">
        <v>110705</v>
      </c>
      <c r="D303">
        <v>42200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">
      <c r="A304" t="s">
        <v>231</v>
      </c>
      <c r="B304" t="s">
        <v>231</v>
      </c>
      <c r="C304">
        <v>132903</v>
      </c>
      <c r="D304">
        <v>36740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">
      <c r="A305" t="s">
        <v>232</v>
      </c>
      <c r="B305" t="s">
        <v>232</v>
      </c>
      <c r="C305">
        <v>110662</v>
      </c>
      <c r="D305">
        <v>31080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">
      <c r="A306" t="s">
        <v>563</v>
      </c>
      <c r="B306" t="s">
        <v>563</v>
      </c>
      <c r="C306">
        <v>129020</v>
      </c>
      <c r="D306">
        <v>25540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">
      <c r="A307" t="s">
        <v>564</v>
      </c>
      <c r="B307" t="s">
        <v>564</v>
      </c>
      <c r="C307">
        <v>145600</v>
      </c>
      <c r="D307">
        <v>16980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">
      <c r="A308" t="s">
        <v>565</v>
      </c>
      <c r="B308" t="s">
        <v>566</v>
      </c>
      <c r="C308">
        <v>225627</v>
      </c>
      <c r="D308">
        <v>41700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">
      <c r="A309" t="s">
        <v>567</v>
      </c>
      <c r="B309" t="s">
        <v>568</v>
      </c>
      <c r="C309">
        <v>159993</v>
      </c>
      <c r="D309">
        <v>33740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">
      <c r="A310" t="s">
        <v>569</v>
      </c>
      <c r="B310" t="s">
        <v>569</v>
      </c>
      <c r="C310">
        <v>166513</v>
      </c>
      <c r="D310">
        <v>31700</v>
      </c>
      <c r="E310">
        <v>0</v>
      </c>
      <c r="F310">
        <v>1388</v>
      </c>
      <c r="G310">
        <v>1749</v>
      </c>
      <c r="H310">
        <v>1994</v>
      </c>
      <c r="I310">
        <v>3666</v>
      </c>
      <c r="J310">
        <v>1572</v>
      </c>
      <c r="K310">
        <v>1077</v>
      </c>
      <c r="L310">
        <v>124</v>
      </c>
      <c r="M310">
        <v>2125</v>
      </c>
      <c r="N310">
        <v>1665</v>
      </c>
      <c r="O310">
        <v>946</v>
      </c>
    </row>
    <row r="311" spans="1:15" x14ac:dyDescent="0.2">
      <c r="A311" t="s">
        <v>570</v>
      </c>
      <c r="B311" t="s">
        <v>570</v>
      </c>
      <c r="C311">
        <v>163268</v>
      </c>
      <c r="D311">
        <v>12580</v>
      </c>
      <c r="E311">
        <v>6377</v>
      </c>
      <c r="F311">
        <v>3910</v>
      </c>
      <c r="G311">
        <v>4981</v>
      </c>
      <c r="H311">
        <v>3400</v>
      </c>
      <c r="I311">
        <v>4136</v>
      </c>
      <c r="J311">
        <v>4848</v>
      </c>
      <c r="K311">
        <v>3428</v>
      </c>
      <c r="L311">
        <v>451</v>
      </c>
      <c r="M311">
        <v>4077</v>
      </c>
      <c r="N311">
        <v>5782</v>
      </c>
      <c r="O311">
        <v>5043</v>
      </c>
    </row>
    <row r="312" spans="1:15" x14ac:dyDescent="0.2">
      <c r="A312" t="s">
        <v>571</v>
      </c>
      <c r="B312" t="s">
        <v>571</v>
      </c>
      <c r="C312">
        <v>163338</v>
      </c>
      <c r="D312">
        <v>41540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">
      <c r="A313" t="s">
        <v>572</v>
      </c>
      <c r="B313" t="s">
        <v>572</v>
      </c>
      <c r="C313">
        <v>199111</v>
      </c>
      <c r="D313">
        <v>11700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">
      <c r="A314" t="s">
        <v>573</v>
      </c>
      <c r="B314" t="s">
        <v>573</v>
      </c>
      <c r="C314">
        <v>199148</v>
      </c>
      <c r="D314">
        <v>24660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">
      <c r="A315" t="s">
        <v>574</v>
      </c>
      <c r="B315" t="s">
        <v>574</v>
      </c>
      <c r="C315">
        <v>199218</v>
      </c>
      <c r="D315">
        <v>48900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">
      <c r="A316" t="s">
        <v>575</v>
      </c>
      <c r="B316" t="s">
        <v>575</v>
      </c>
      <c r="C316">
        <v>154095</v>
      </c>
      <c r="D316">
        <v>47940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">
      <c r="A317" t="s">
        <v>233</v>
      </c>
      <c r="B317" t="s">
        <v>233</v>
      </c>
      <c r="C317">
        <v>182281</v>
      </c>
      <c r="D317">
        <v>29820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">
      <c r="A318" t="s">
        <v>576</v>
      </c>
      <c r="B318" t="s">
        <v>576</v>
      </c>
      <c r="C318">
        <v>218742</v>
      </c>
      <c r="D318">
        <v>43900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">
      <c r="A319" t="s">
        <v>577</v>
      </c>
      <c r="B319" t="s">
        <v>577</v>
      </c>
      <c r="C319">
        <v>228769</v>
      </c>
      <c r="D319">
        <v>19100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">
      <c r="A320" t="s">
        <v>578</v>
      </c>
      <c r="B320" t="s">
        <v>578</v>
      </c>
      <c r="C320">
        <v>221768</v>
      </c>
      <c r="D320">
        <v>32280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">
      <c r="A321" t="s">
        <v>234</v>
      </c>
      <c r="B321" t="s">
        <v>234</v>
      </c>
      <c r="C321">
        <v>230764</v>
      </c>
      <c r="D321">
        <v>41620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10271</v>
      </c>
      <c r="K321">
        <v>7350</v>
      </c>
      <c r="L321">
        <v>350</v>
      </c>
      <c r="M321">
        <v>5811</v>
      </c>
      <c r="N321">
        <v>7749</v>
      </c>
      <c r="O321">
        <v>7703</v>
      </c>
    </row>
    <row r="322" spans="1:15" x14ac:dyDescent="0.2">
      <c r="A322" t="s">
        <v>579</v>
      </c>
      <c r="B322" t="s">
        <v>579</v>
      </c>
      <c r="C322">
        <v>230728</v>
      </c>
      <c r="D322">
        <v>30860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">
      <c r="A323" t="s">
        <v>236</v>
      </c>
      <c r="B323" t="s">
        <v>236</v>
      </c>
      <c r="C323">
        <v>230737</v>
      </c>
      <c r="D323">
        <v>39340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">
      <c r="A324" t="s">
        <v>237</v>
      </c>
      <c r="B324" t="s">
        <v>237</v>
      </c>
      <c r="C324">
        <v>228796</v>
      </c>
      <c r="D324">
        <v>21340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">
      <c r="A325" t="s">
        <v>238</v>
      </c>
      <c r="B325" t="s">
        <v>238</v>
      </c>
      <c r="C325">
        <v>227368</v>
      </c>
      <c r="D325">
        <v>32580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">
      <c r="A326" t="s">
        <v>239</v>
      </c>
      <c r="B326" t="s">
        <v>239</v>
      </c>
      <c r="C326">
        <v>229027</v>
      </c>
      <c r="D326">
        <v>41700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">
      <c r="A327" t="s">
        <v>580</v>
      </c>
      <c r="B327" t="s">
        <v>580</v>
      </c>
      <c r="C327">
        <v>152600</v>
      </c>
      <c r="D327">
        <v>16980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">
      <c r="A328" t="s">
        <v>581</v>
      </c>
      <c r="B328" t="s">
        <v>581</v>
      </c>
      <c r="C328">
        <v>221999</v>
      </c>
      <c r="D328">
        <v>34980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">
      <c r="A329" t="s">
        <v>240</v>
      </c>
      <c r="B329" t="s">
        <v>240</v>
      </c>
      <c r="C329">
        <v>234030</v>
      </c>
      <c r="D329">
        <v>40060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">
      <c r="A330" t="s">
        <v>241</v>
      </c>
      <c r="B330" t="s">
        <v>241</v>
      </c>
      <c r="C330">
        <v>231174</v>
      </c>
      <c r="D330">
        <v>15540</v>
      </c>
      <c r="E330">
        <v>1322</v>
      </c>
      <c r="F330">
        <v>1818</v>
      </c>
      <c r="G330">
        <v>1965</v>
      </c>
      <c r="H330">
        <v>1841</v>
      </c>
      <c r="I330">
        <v>1902</v>
      </c>
      <c r="J330">
        <v>2967</v>
      </c>
      <c r="K330">
        <v>770</v>
      </c>
      <c r="L330">
        <v>381</v>
      </c>
      <c r="M330">
        <v>6655</v>
      </c>
      <c r="N330">
        <v>3892</v>
      </c>
      <c r="O330">
        <v>2282</v>
      </c>
    </row>
    <row r="331" spans="1:15" x14ac:dyDescent="0.2">
      <c r="A331" t="s">
        <v>582</v>
      </c>
      <c r="B331" t="s">
        <v>582</v>
      </c>
      <c r="C331">
        <v>216597</v>
      </c>
      <c r="D331">
        <v>37980</v>
      </c>
      <c r="E331">
        <v>6038</v>
      </c>
      <c r="F331">
        <v>5632</v>
      </c>
      <c r="G331">
        <v>5353</v>
      </c>
      <c r="H331">
        <v>4923</v>
      </c>
      <c r="I331">
        <v>6708</v>
      </c>
      <c r="J331">
        <v>3625</v>
      </c>
      <c r="K331">
        <v>7012</v>
      </c>
      <c r="L331">
        <v>922</v>
      </c>
      <c r="M331">
        <v>5401</v>
      </c>
      <c r="N331">
        <v>5315</v>
      </c>
      <c r="O331">
        <v>6907</v>
      </c>
    </row>
    <row r="332" spans="1:15" x14ac:dyDescent="0.2">
      <c r="A332" t="s">
        <v>242</v>
      </c>
      <c r="B332" t="s">
        <v>242</v>
      </c>
      <c r="C332">
        <v>234076</v>
      </c>
      <c r="D332">
        <v>16820</v>
      </c>
      <c r="E332">
        <v>23231</v>
      </c>
      <c r="F332">
        <v>16670</v>
      </c>
      <c r="G332">
        <v>13339</v>
      </c>
      <c r="H332">
        <v>13918</v>
      </c>
      <c r="I332">
        <v>23296</v>
      </c>
      <c r="J332">
        <v>23484</v>
      </c>
      <c r="K332">
        <v>9316</v>
      </c>
      <c r="L332">
        <v>3974</v>
      </c>
      <c r="M332">
        <v>20263</v>
      </c>
      <c r="N332">
        <v>31265</v>
      </c>
      <c r="O332">
        <v>30721</v>
      </c>
    </row>
    <row r="333" spans="1:15" x14ac:dyDescent="0.2">
      <c r="A333" t="s">
        <v>243</v>
      </c>
      <c r="B333" t="s">
        <v>243</v>
      </c>
      <c r="C333">
        <v>233921</v>
      </c>
      <c r="D333">
        <v>13980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">
      <c r="A334" t="s">
        <v>583</v>
      </c>
      <c r="B334" t="s">
        <v>583</v>
      </c>
      <c r="C334">
        <v>234085</v>
      </c>
      <c r="D334">
        <v>31340</v>
      </c>
      <c r="E334">
        <v>2123</v>
      </c>
      <c r="F334">
        <v>1248</v>
      </c>
      <c r="G334">
        <v>950</v>
      </c>
      <c r="H334">
        <v>1075</v>
      </c>
      <c r="I334">
        <v>825</v>
      </c>
      <c r="J334">
        <v>1524</v>
      </c>
      <c r="K334">
        <v>378</v>
      </c>
      <c r="L334">
        <v>731</v>
      </c>
      <c r="M334">
        <v>1466</v>
      </c>
      <c r="N334">
        <v>1848</v>
      </c>
      <c r="O334">
        <v>1804</v>
      </c>
    </row>
    <row r="335" spans="1:15" x14ac:dyDescent="0.2">
      <c r="A335" t="s">
        <v>584</v>
      </c>
      <c r="B335" t="s">
        <v>584</v>
      </c>
      <c r="C335">
        <v>197197</v>
      </c>
      <c r="D335">
        <v>35620</v>
      </c>
      <c r="E335">
        <v>1959</v>
      </c>
      <c r="F335">
        <v>1935</v>
      </c>
      <c r="G335">
        <v>2482</v>
      </c>
      <c r="H335">
        <v>3310</v>
      </c>
      <c r="I335">
        <v>2383</v>
      </c>
      <c r="J335">
        <v>2235</v>
      </c>
      <c r="K335">
        <v>881</v>
      </c>
      <c r="L335">
        <v>0</v>
      </c>
      <c r="M335">
        <v>1356</v>
      </c>
      <c r="N335">
        <v>2626</v>
      </c>
      <c r="O335">
        <v>2809</v>
      </c>
    </row>
    <row r="336" spans="1:15" x14ac:dyDescent="0.2">
      <c r="A336" t="s">
        <v>585</v>
      </c>
      <c r="B336" t="s">
        <v>585</v>
      </c>
      <c r="C336">
        <v>199847</v>
      </c>
      <c r="D336">
        <v>49180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">
      <c r="A337" t="s">
        <v>244</v>
      </c>
      <c r="B337" t="s">
        <v>244</v>
      </c>
      <c r="C337">
        <v>236948</v>
      </c>
      <c r="D337">
        <v>42660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">
      <c r="A338" t="s">
        <v>586</v>
      </c>
      <c r="B338" t="s">
        <v>586</v>
      </c>
      <c r="C338">
        <v>236939</v>
      </c>
      <c r="D338">
        <v>39420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">
      <c r="A339" t="s">
        <v>587</v>
      </c>
      <c r="B339" t="s">
        <v>587</v>
      </c>
      <c r="C339">
        <v>230782</v>
      </c>
      <c r="D339">
        <v>36260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">
      <c r="A340" t="s">
        <v>247</v>
      </c>
      <c r="B340" t="s">
        <v>247</v>
      </c>
      <c r="C340">
        <v>238032</v>
      </c>
      <c r="D340">
        <v>34060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">
      <c r="A341" t="s">
        <v>588</v>
      </c>
      <c r="B341" t="s">
        <v>588</v>
      </c>
      <c r="C341">
        <v>200004</v>
      </c>
      <c r="D341">
        <v>19000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">
      <c r="A342" t="s">
        <v>589</v>
      </c>
      <c r="B342" t="s">
        <v>589</v>
      </c>
      <c r="C342">
        <v>149772</v>
      </c>
      <c r="D342">
        <v>31380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">
      <c r="A343" t="s">
        <v>590</v>
      </c>
      <c r="B343" t="s">
        <v>590</v>
      </c>
      <c r="C343">
        <v>157951</v>
      </c>
      <c r="D343">
        <v>14540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">
      <c r="A344" t="s">
        <v>591</v>
      </c>
      <c r="B344" t="s">
        <v>591</v>
      </c>
      <c r="C344">
        <v>172699</v>
      </c>
      <c r="D344">
        <v>28020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">
      <c r="A345" t="s">
        <v>592</v>
      </c>
      <c r="B345" t="s">
        <v>592</v>
      </c>
      <c r="C345">
        <v>156125</v>
      </c>
      <c r="D345">
        <v>48620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">
      <c r="A346" t="s">
        <v>253</v>
      </c>
      <c r="B346" t="s">
        <v>253</v>
      </c>
      <c r="C346">
        <v>231624</v>
      </c>
      <c r="D346">
        <v>47260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">
      <c r="A347" t="s">
        <v>254</v>
      </c>
      <c r="B347" t="s">
        <v>254</v>
      </c>
      <c r="C347">
        <v>218964</v>
      </c>
      <c r="D347">
        <v>16740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">
      <c r="A348" t="s">
        <v>255</v>
      </c>
      <c r="B348" t="s">
        <v>255</v>
      </c>
      <c r="C348">
        <v>240444</v>
      </c>
      <c r="D348">
        <v>31540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">
      <c r="A349" t="s">
        <v>593</v>
      </c>
      <c r="B349" t="s">
        <v>593</v>
      </c>
      <c r="C349">
        <v>218973</v>
      </c>
      <c r="D349">
        <v>43900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">
      <c r="A350" t="s">
        <v>594</v>
      </c>
      <c r="B350" t="s">
        <v>594</v>
      </c>
      <c r="C350">
        <v>206604</v>
      </c>
      <c r="D350">
        <v>19430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">
      <c r="A351" t="s">
        <v>259</v>
      </c>
      <c r="B351" t="s">
        <v>259</v>
      </c>
      <c r="C351">
        <v>240727</v>
      </c>
      <c r="D351">
        <v>29660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">
      <c r="A352" t="s">
        <v>595</v>
      </c>
      <c r="B352" t="s">
        <v>595</v>
      </c>
      <c r="C352">
        <v>206622</v>
      </c>
      <c r="D352">
        <v>17140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">
      <c r="A353" t="s">
        <v>596</v>
      </c>
      <c r="B353" t="s">
        <v>596</v>
      </c>
      <c r="C353">
        <v>130794</v>
      </c>
      <c r="D353">
        <v>35300</v>
      </c>
      <c r="E353">
        <v>7373</v>
      </c>
      <c r="F353">
        <v>7252</v>
      </c>
      <c r="G353">
        <v>16676</v>
      </c>
      <c r="H353">
        <v>9050</v>
      </c>
      <c r="I353">
        <v>13484</v>
      </c>
      <c r="J353">
        <v>15590</v>
      </c>
      <c r="K353">
        <v>0</v>
      </c>
      <c r="L353">
        <v>0</v>
      </c>
      <c r="M353">
        <v>10464</v>
      </c>
      <c r="N353">
        <v>6266</v>
      </c>
      <c r="O353">
        <v>7125</v>
      </c>
    </row>
    <row r="354" spans="1:15" x14ac:dyDescent="0.2">
      <c r="A354" t="s">
        <v>597</v>
      </c>
      <c r="B354" t="s">
        <v>597</v>
      </c>
      <c r="C354">
        <v>206695</v>
      </c>
      <c r="D354">
        <v>49660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2F6B-6915-4A33-9CF3-BF1A1FEF9B8D}">
  <sheetPr>
    <tabColor theme="4"/>
  </sheetPr>
  <dimension ref="A1:O354"/>
  <sheetViews>
    <sheetView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3769</v>
      </c>
      <c r="F4">
        <v>3131</v>
      </c>
      <c r="G4">
        <v>5651</v>
      </c>
      <c r="H4">
        <v>1831</v>
      </c>
      <c r="I4">
        <v>3961</v>
      </c>
      <c r="J4">
        <v>4184</v>
      </c>
      <c r="K4">
        <v>0</v>
      </c>
      <c r="L4">
        <v>244</v>
      </c>
      <c r="M4">
        <v>2036</v>
      </c>
      <c r="N4">
        <v>1390</v>
      </c>
      <c r="O4">
        <v>1553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24734</v>
      </c>
      <c r="F5">
        <v>20080</v>
      </c>
      <c r="G5">
        <v>30617</v>
      </c>
      <c r="H5">
        <v>25765</v>
      </c>
      <c r="I5">
        <v>21833</v>
      </c>
      <c r="J5">
        <v>12775</v>
      </c>
      <c r="K5">
        <v>0</v>
      </c>
      <c r="L5">
        <v>460</v>
      </c>
      <c r="M5">
        <v>18776</v>
      </c>
      <c r="N5">
        <v>15476</v>
      </c>
      <c r="O5">
        <v>18689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3390</v>
      </c>
      <c r="F10">
        <v>4583</v>
      </c>
      <c r="G10">
        <v>2715</v>
      </c>
      <c r="H10">
        <v>3499</v>
      </c>
      <c r="I10">
        <v>2744</v>
      </c>
      <c r="J10">
        <v>1907</v>
      </c>
      <c r="K10">
        <v>0</v>
      </c>
      <c r="L10">
        <v>0</v>
      </c>
      <c r="M10">
        <v>3435</v>
      </c>
      <c r="N10">
        <v>3380</v>
      </c>
      <c r="O10">
        <v>1448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4031</v>
      </c>
      <c r="F11">
        <v>2769</v>
      </c>
      <c r="G11">
        <v>4568</v>
      </c>
      <c r="H11">
        <v>3231</v>
      </c>
      <c r="I11">
        <v>3516</v>
      </c>
      <c r="J11">
        <v>1885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343</v>
      </c>
      <c r="B17" t="s">
        <v>343</v>
      </c>
      <c r="C17">
        <v>500001</v>
      </c>
      <c r="D17">
        <v>35620</v>
      </c>
      <c r="E17">
        <v>4752</v>
      </c>
      <c r="F17">
        <v>6752</v>
      </c>
      <c r="G17">
        <v>4493</v>
      </c>
      <c r="H17">
        <v>3720</v>
      </c>
      <c r="I17">
        <v>4589</v>
      </c>
      <c r="J17">
        <v>5094</v>
      </c>
      <c r="K17">
        <v>0</v>
      </c>
      <c r="L17">
        <v>101</v>
      </c>
      <c r="M17">
        <v>1163</v>
      </c>
      <c r="N17">
        <v>1567</v>
      </c>
      <c r="O17">
        <v>3470</v>
      </c>
    </row>
    <row r="18" spans="1:15" x14ac:dyDescent="0.2">
      <c r="A18" t="s">
        <v>51</v>
      </c>
      <c r="B18" t="s">
        <v>51</v>
      </c>
      <c r="C18">
        <v>100858</v>
      </c>
      <c r="D18">
        <v>12220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344</v>
      </c>
      <c r="B19" t="s">
        <v>344</v>
      </c>
      <c r="C19">
        <v>219602</v>
      </c>
      <c r="D19">
        <v>17300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345</v>
      </c>
      <c r="B20" t="s">
        <v>345</v>
      </c>
      <c r="C20">
        <v>150136</v>
      </c>
      <c r="D20">
        <v>34620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346</v>
      </c>
      <c r="B21" t="s">
        <v>346</v>
      </c>
      <c r="C21">
        <v>223232</v>
      </c>
      <c r="D21">
        <v>47380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347</v>
      </c>
      <c r="B22" t="s">
        <v>347</v>
      </c>
      <c r="C22">
        <v>219709</v>
      </c>
      <c r="D22">
        <v>34980</v>
      </c>
      <c r="E22">
        <v>880</v>
      </c>
      <c r="F22">
        <v>2090</v>
      </c>
      <c r="G22">
        <v>3027</v>
      </c>
      <c r="H22">
        <v>3173</v>
      </c>
      <c r="I22">
        <v>2903</v>
      </c>
      <c r="J22">
        <v>1491</v>
      </c>
      <c r="K22">
        <v>0</v>
      </c>
      <c r="L22">
        <v>186</v>
      </c>
      <c r="M22">
        <v>1178</v>
      </c>
      <c r="N22">
        <v>2976</v>
      </c>
      <c r="O22">
        <v>1508</v>
      </c>
    </row>
    <row r="23" spans="1:15" x14ac:dyDescent="0.2">
      <c r="A23" t="s">
        <v>348</v>
      </c>
      <c r="B23" t="s">
        <v>348</v>
      </c>
      <c r="C23">
        <v>132602</v>
      </c>
      <c r="D23">
        <v>19660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55</v>
      </c>
      <c r="B24" t="s">
        <v>55</v>
      </c>
      <c r="C24">
        <v>196079</v>
      </c>
      <c r="D24">
        <v>13780</v>
      </c>
      <c r="E24">
        <v>5471</v>
      </c>
      <c r="F24">
        <v>9268</v>
      </c>
      <c r="G24">
        <v>6411</v>
      </c>
      <c r="H24">
        <v>5802</v>
      </c>
      <c r="I24">
        <v>5244</v>
      </c>
      <c r="J24">
        <v>6773</v>
      </c>
      <c r="K24">
        <v>0</v>
      </c>
      <c r="L24">
        <v>0</v>
      </c>
      <c r="M24">
        <v>6051</v>
      </c>
      <c r="N24">
        <v>3957</v>
      </c>
      <c r="O24">
        <v>1169</v>
      </c>
    </row>
    <row r="25" spans="1:15" x14ac:dyDescent="0.2">
      <c r="A25" t="s">
        <v>349</v>
      </c>
      <c r="B25" t="s">
        <v>349</v>
      </c>
      <c r="C25">
        <v>142115</v>
      </c>
      <c r="D25">
        <v>14260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350</v>
      </c>
      <c r="B26" t="s">
        <v>350</v>
      </c>
      <c r="C26">
        <v>164924</v>
      </c>
      <c r="D26">
        <v>14460</v>
      </c>
      <c r="E26">
        <v>6014</v>
      </c>
      <c r="F26">
        <v>5589</v>
      </c>
      <c r="G26">
        <v>5691</v>
      </c>
      <c r="H26">
        <v>6741</v>
      </c>
      <c r="I26">
        <v>4783</v>
      </c>
      <c r="J26">
        <v>3538</v>
      </c>
      <c r="K26">
        <v>0</v>
      </c>
      <c r="L26">
        <v>125</v>
      </c>
      <c r="M26">
        <v>6269</v>
      </c>
      <c r="N26">
        <v>4936</v>
      </c>
      <c r="O26">
        <v>4560</v>
      </c>
    </row>
    <row r="27" spans="1:15" x14ac:dyDescent="0.2">
      <c r="A27" t="s">
        <v>351</v>
      </c>
      <c r="B27" t="s">
        <v>351</v>
      </c>
      <c r="C27">
        <v>164988</v>
      </c>
      <c r="D27">
        <v>14380</v>
      </c>
      <c r="E27">
        <v>3048</v>
      </c>
      <c r="F27">
        <v>4595</v>
      </c>
      <c r="G27">
        <v>9293</v>
      </c>
      <c r="H27">
        <v>2341</v>
      </c>
      <c r="I27">
        <v>1975</v>
      </c>
      <c r="J27">
        <v>2038</v>
      </c>
      <c r="K27">
        <v>0</v>
      </c>
      <c r="L27">
        <v>0</v>
      </c>
      <c r="M27">
        <v>1863</v>
      </c>
      <c r="N27">
        <v>2586</v>
      </c>
      <c r="O27">
        <v>6050</v>
      </c>
    </row>
    <row r="28" spans="1:15" x14ac:dyDescent="0.2">
      <c r="A28" t="s">
        <v>57</v>
      </c>
      <c r="B28" t="s">
        <v>57</v>
      </c>
      <c r="C28">
        <v>201441</v>
      </c>
      <c r="D28">
        <v>45780</v>
      </c>
      <c r="E28">
        <v>8559</v>
      </c>
      <c r="F28">
        <v>5534</v>
      </c>
      <c r="G28">
        <v>4444</v>
      </c>
      <c r="H28">
        <v>9183</v>
      </c>
      <c r="I28">
        <v>6670</v>
      </c>
      <c r="J28">
        <v>3728</v>
      </c>
      <c r="K28">
        <v>0</v>
      </c>
      <c r="L28">
        <v>800</v>
      </c>
      <c r="M28">
        <v>4083</v>
      </c>
      <c r="N28">
        <v>7061</v>
      </c>
      <c r="O28">
        <v>7554</v>
      </c>
    </row>
    <row r="29" spans="1:15" x14ac:dyDescent="0.2">
      <c r="A29" t="s">
        <v>352</v>
      </c>
      <c r="B29" t="s">
        <v>352</v>
      </c>
      <c r="C29">
        <v>143358</v>
      </c>
      <c r="D29">
        <v>37900</v>
      </c>
      <c r="E29">
        <v>7502</v>
      </c>
      <c r="F29">
        <v>6632</v>
      </c>
      <c r="G29">
        <v>5309</v>
      </c>
      <c r="H29">
        <v>5829</v>
      </c>
      <c r="I29">
        <v>5878</v>
      </c>
      <c r="J29">
        <v>4902</v>
      </c>
      <c r="K29">
        <v>0</v>
      </c>
      <c r="L29">
        <v>767</v>
      </c>
      <c r="M29">
        <v>3559</v>
      </c>
      <c r="N29">
        <v>3976</v>
      </c>
      <c r="O29">
        <v>4127</v>
      </c>
    </row>
    <row r="30" spans="1:15" x14ac:dyDescent="0.2">
      <c r="A30" t="s">
        <v>353</v>
      </c>
      <c r="B30" t="s">
        <v>353</v>
      </c>
      <c r="C30">
        <v>217156</v>
      </c>
      <c r="D30">
        <v>39300</v>
      </c>
      <c r="E30">
        <v>6706</v>
      </c>
      <c r="F30">
        <v>6118</v>
      </c>
      <c r="G30">
        <v>6101</v>
      </c>
      <c r="H30">
        <v>6260</v>
      </c>
      <c r="I30">
        <v>3818</v>
      </c>
      <c r="J30">
        <v>4926</v>
      </c>
      <c r="K30">
        <v>0</v>
      </c>
      <c r="L30">
        <v>0</v>
      </c>
      <c r="M30">
        <v>2267</v>
      </c>
      <c r="N30">
        <v>3210</v>
      </c>
      <c r="O30">
        <v>4662</v>
      </c>
    </row>
    <row r="31" spans="1:15" x14ac:dyDescent="0.2">
      <c r="A31" t="s">
        <v>354</v>
      </c>
      <c r="B31" t="s">
        <v>354</v>
      </c>
      <c r="C31">
        <v>217165</v>
      </c>
      <c r="D31">
        <v>39300</v>
      </c>
      <c r="E31">
        <v>1379</v>
      </c>
      <c r="F31">
        <v>1446</v>
      </c>
      <c r="G31">
        <v>841</v>
      </c>
      <c r="H31">
        <v>808</v>
      </c>
      <c r="I31">
        <v>1364</v>
      </c>
      <c r="J31">
        <v>1490</v>
      </c>
      <c r="K31">
        <v>0</v>
      </c>
      <c r="L31">
        <v>70</v>
      </c>
      <c r="M31">
        <v>1140</v>
      </c>
      <c r="N31">
        <v>1055</v>
      </c>
      <c r="O31">
        <v>5871</v>
      </c>
    </row>
    <row r="32" spans="1:15" x14ac:dyDescent="0.2">
      <c r="A32" t="s">
        <v>355</v>
      </c>
      <c r="B32" t="s">
        <v>355</v>
      </c>
      <c r="C32">
        <v>211291</v>
      </c>
      <c r="D32">
        <v>30260</v>
      </c>
      <c r="E32">
        <v>6815</v>
      </c>
      <c r="F32">
        <v>5620</v>
      </c>
      <c r="G32">
        <v>4802</v>
      </c>
      <c r="H32">
        <v>3635</v>
      </c>
      <c r="I32">
        <v>3243</v>
      </c>
      <c r="J32">
        <v>2785</v>
      </c>
      <c r="K32">
        <v>0</v>
      </c>
      <c r="L32">
        <v>302</v>
      </c>
      <c r="M32">
        <v>1455</v>
      </c>
      <c r="N32">
        <v>2905</v>
      </c>
      <c r="O32">
        <v>2375</v>
      </c>
    </row>
    <row r="33" spans="1:15" x14ac:dyDescent="0.2">
      <c r="A33" t="s">
        <v>58</v>
      </c>
      <c r="B33" t="s">
        <v>58</v>
      </c>
      <c r="C33">
        <v>196088</v>
      </c>
      <c r="D33">
        <v>15380</v>
      </c>
      <c r="E33">
        <v>1858</v>
      </c>
      <c r="F33">
        <v>1418</v>
      </c>
      <c r="G33">
        <v>3756</v>
      </c>
      <c r="H33">
        <v>2454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356</v>
      </c>
      <c r="B34" t="s">
        <v>356</v>
      </c>
      <c r="C34">
        <v>150163</v>
      </c>
      <c r="D34">
        <v>26900</v>
      </c>
      <c r="E34">
        <v>8930</v>
      </c>
      <c r="F34">
        <v>3778</v>
      </c>
      <c r="G34">
        <v>8396</v>
      </c>
      <c r="H34">
        <v>8041</v>
      </c>
      <c r="I34">
        <v>11458</v>
      </c>
      <c r="J34">
        <v>3687</v>
      </c>
      <c r="K34">
        <v>0</v>
      </c>
      <c r="L34">
        <v>802</v>
      </c>
      <c r="M34">
        <v>3829</v>
      </c>
      <c r="N34">
        <v>9831</v>
      </c>
      <c r="O34">
        <v>4039</v>
      </c>
    </row>
    <row r="35" spans="1:15" x14ac:dyDescent="0.2">
      <c r="A35" t="s">
        <v>357</v>
      </c>
      <c r="B35" t="s">
        <v>357</v>
      </c>
      <c r="C35">
        <v>230038</v>
      </c>
      <c r="D35">
        <v>39340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59</v>
      </c>
      <c r="B36" t="s">
        <v>59</v>
      </c>
      <c r="C36">
        <v>110422</v>
      </c>
      <c r="D36">
        <v>42020</v>
      </c>
      <c r="E36">
        <v>28156</v>
      </c>
      <c r="F36">
        <v>26367</v>
      </c>
      <c r="G36">
        <v>22399</v>
      </c>
      <c r="H36">
        <v>22762</v>
      </c>
      <c r="I36">
        <v>19697</v>
      </c>
      <c r="J36">
        <v>18916</v>
      </c>
      <c r="K36">
        <v>0</v>
      </c>
      <c r="L36">
        <v>0</v>
      </c>
      <c r="M36">
        <v>16896</v>
      </c>
      <c r="N36">
        <v>17557</v>
      </c>
      <c r="O36">
        <v>15619</v>
      </c>
    </row>
    <row r="37" spans="1:15" x14ac:dyDescent="0.2">
      <c r="A37" t="s">
        <v>358</v>
      </c>
      <c r="B37" t="s">
        <v>358</v>
      </c>
      <c r="C37">
        <v>110565</v>
      </c>
      <c r="D37">
        <v>31080</v>
      </c>
      <c r="E37">
        <v>4083</v>
      </c>
      <c r="F37">
        <v>6014</v>
      </c>
      <c r="G37">
        <v>6974</v>
      </c>
      <c r="H37">
        <v>4408</v>
      </c>
      <c r="I37">
        <v>4764</v>
      </c>
      <c r="J37">
        <v>4636</v>
      </c>
      <c r="K37">
        <v>0</v>
      </c>
      <c r="L37">
        <v>0</v>
      </c>
      <c r="M37">
        <v>4967</v>
      </c>
      <c r="N37">
        <v>3609</v>
      </c>
      <c r="O37">
        <v>8137</v>
      </c>
    </row>
    <row r="38" spans="1:15" x14ac:dyDescent="0.2">
      <c r="A38" t="s">
        <v>63</v>
      </c>
      <c r="B38" t="s">
        <v>63</v>
      </c>
      <c r="C38">
        <v>110635</v>
      </c>
      <c r="D38">
        <v>41860</v>
      </c>
      <c r="E38">
        <v>13350</v>
      </c>
      <c r="F38">
        <v>5953</v>
      </c>
      <c r="G38">
        <v>6860</v>
      </c>
      <c r="H38">
        <v>3993</v>
      </c>
      <c r="I38">
        <v>4613</v>
      </c>
      <c r="J38">
        <v>3209</v>
      </c>
      <c r="K38">
        <v>0</v>
      </c>
      <c r="L38">
        <v>30</v>
      </c>
      <c r="M38">
        <v>6307</v>
      </c>
      <c r="N38">
        <v>4637</v>
      </c>
      <c r="O38">
        <v>4639</v>
      </c>
    </row>
    <row r="39" spans="1:15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1606</v>
      </c>
      <c r="K39">
        <v>0</v>
      </c>
      <c r="L39">
        <v>0</v>
      </c>
      <c r="M39">
        <v>1477</v>
      </c>
      <c r="N39">
        <v>9343</v>
      </c>
      <c r="O39">
        <v>8113</v>
      </c>
    </row>
    <row r="40" spans="1:15" x14ac:dyDescent="0.2">
      <c r="A40" t="s">
        <v>360</v>
      </c>
      <c r="B40" t="s">
        <v>360</v>
      </c>
      <c r="C40">
        <v>198136</v>
      </c>
      <c r="D40">
        <v>15820</v>
      </c>
      <c r="E40">
        <v>3201</v>
      </c>
      <c r="F40">
        <v>2781</v>
      </c>
      <c r="G40">
        <v>2010</v>
      </c>
      <c r="H40">
        <v>2183</v>
      </c>
      <c r="I40">
        <v>2557</v>
      </c>
      <c r="J40">
        <v>2584</v>
      </c>
      <c r="K40">
        <v>0</v>
      </c>
      <c r="L40">
        <v>405</v>
      </c>
      <c r="M40">
        <v>2838</v>
      </c>
      <c r="N40">
        <v>3443</v>
      </c>
      <c r="O40">
        <v>1646</v>
      </c>
    </row>
    <row r="41" spans="1:15" x14ac:dyDescent="0.2">
      <c r="A41" t="s">
        <v>361</v>
      </c>
      <c r="B41" t="s">
        <v>361</v>
      </c>
      <c r="C41">
        <v>189705</v>
      </c>
      <c r="D41">
        <v>15380</v>
      </c>
      <c r="E41">
        <v>1842</v>
      </c>
      <c r="F41">
        <v>2892</v>
      </c>
      <c r="G41">
        <v>2193</v>
      </c>
      <c r="H41">
        <v>2615</v>
      </c>
      <c r="I41">
        <v>2751</v>
      </c>
      <c r="J41">
        <v>1419</v>
      </c>
      <c r="K41">
        <v>0</v>
      </c>
      <c r="L41">
        <v>220</v>
      </c>
      <c r="M41">
        <v>1687</v>
      </c>
      <c r="N41">
        <v>1958</v>
      </c>
      <c r="O41">
        <v>2513</v>
      </c>
    </row>
    <row r="42" spans="1:15" x14ac:dyDescent="0.2">
      <c r="A42" t="s">
        <v>362</v>
      </c>
      <c r="B42" t="s">
        <v>362</v>
      </c>
      <c r="C42">
        <v>106704</v>
      </c>
      <c r="D42">
        <v>30780</v>
      </c>
      <c r="E42">
        <v>1597</v>
      </c>
      <c r="F42">
        <v>2010</v>
      </c>
      <c r="G42">
        <v>2701</v>
      </c>
      <c r="H42">
        <v>2730</v>
      </c>
      <c r="I42">
        <v>2296</v>
      </c>
      <c r="J42">
        <v>1780</v>
      </c>
      <c r="K42">
        <v>0</v>
      </c>
      <c r="L42">
        <v>617</v>
      </c>
      <c r="M42">
        <v>1228</v>
      </c>
      <c r="N42">
        <v>1820</v>
      </c>
      <c r="O42">
        <v>1289</v>
      </c>
    </row>
    <row r="43" spans="1:15" x14ac:dyDescent="0.2">
      <c r="A43" t="s">
        <v>363</v>
      </c>
      <c r="B43" t="s">
        <v>363</v>
      </c>
      <c r="C43">
        <v>128771</v>
      </c>
      <c r="D43">
        <v>25540</v>
      </c>
      <c r="E43">
        <v>5183</v>
      </c>
      <c r="F43">
        <v>2981</v>
      </c>
      <c r="G43">
        <v>2740</v>
      </c>
      <c r="H43">
        <v>3009</v>
      </c>
      <c r="I43">
        <v>2731</v>
      </c>
      <c r="J43">
        <v>2083</v>
      </c>
      <c r="K43">
        <v>0</v>
      </c>
      <c r="L43">
        <v>0</v>
      </c>
      <c r="M43">
        <v>3787</v>
      </c>
      <c r="N43">
        <v>1970</v>
      </c>
      <c r="O43">
        <v>1297</v>
      </c>
    </row>
    <row r="44" spans="1:15" x14ac:dyDescent="0.2">
      <c r="A44" t="s">
        <v>364</v>
      </c>
      <c r="B44" t="s">
        <v>364</v>
      </c>
      <c r="C44">
        <v>169248</v>
      </c>
      <c r="D44">
        <v>34380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">
      <c r="A45" t="s">
        <v>365</v>
      </c>
      <c r="B45" t="s">
        <v>365</v>
      </c>
      <c r="C45">
        <v>217688</v>
      </c>
      <c r="D45">
        <v>16700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">
      <c r="A46" t="s">
        <v>67</v>
      </c>
      <c r="B46" t="s">
        <v>67</v>
      </c>
      <c r="C46">
        <v>199139</v>
      </c>
      <c r="D46">
        <v>16740</v>
      </c>
      <c r="E46">
        <v>18726</v>
      </c>
      <c r="F46">
        <v>10793</v>
      </c>
      <c r="G46">
        <v>10171</v>
      </c>
      <c r="H46">
        <v>10223</v>
      </c>
      <c r="I46">
        <v>9999</v>
      </c>
      <c r="J46">
        <v>11840</v>
      </c>
      <c r="K46">
        <v>0</v>
      </c>
      <c r="L46">
        <v>651</v>
      </c>
      <c r="M46">
        <v>8672</v>
      </c>
      <c r="N46">
        <v>7148</v>
      </c>
      <c r="O46">
        <v>8333</v>
      </c>
    </row>
    <row r="47" spans="1:15" x14ac:dyDescent="0.2">
      <c r="A47" t="s">
        <v>366</v>
      </c>
      <c r="B47" t="s">
        <v>366</v>
      </c>
      <c r="C47">
        <v>221740</v>
      </c>
      <c r="D47">
        <v>16860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367</v>
      </c>
      <c r="B48" t="s">
        <v>367</v>
      </c>
      <c r="C48">
        <v>144005</v>
      </c>
      <c r="D48">
        <v>16980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749</v>
      </c>
      <c r="N48">
        <v>407</v>
      </c>
      <c r="O48">
        <v>350</v>
      </c>
    </row>
    <row r="49" spans="1:15" x14ac:dyDescent="0.2">
      <c r="A49" t="s">
        <v>69</v>
      </c>
      <c r="B49" t="s">
        <v>69</v>
      </c>
      <c r="C49">
        <v>201885</v>
      </c>
      <c r="D49">
        <v>17140</v>
      </c>
      <c r="E49">
        <v>6992</v>
      </c>
      <c r="F49">
        <v>5426</v>
      </c>
      <c r="G49">
        <v>8723</v>
      </c>
      <c r="H49">
        <v>5986</v>
      </c>
      <c r="I49">
        <v>7378</v>
      </c>
      <c r="J49">
        <v>7153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71</v>
      </c>
      <c r="B50" t="s">
        <v>71</v>
      </c>
      <c r="C50">
        <v>217882</v>
      </c>
      <c r="D50">
        <v>42860</v>
      </c>
      <c r="E50">
        <v>34342</v>
      </c>
      <c r="F50">
        <v>22743</v>
      </c>
      <c r="G50">
        <v>39730</v>
      </c>
      <c r="H50">
        <v>36903</v>
      </c>
      <c r="I50">
        <v>29121</v>
      </c>
      <c r="J50">
        <v>14373</v>
      </c>
      <c r="K50">
        <v>0</v>
      </c>
      <c r="L50">
        <v>7314</v>
      </c>
      <c r="M50">
        <v>31853</v>
      </c>
      <c r="N50">
        <v>31639</v>
      </c>
      <c r="O50">
        <v>38909</v>
      </c>
    </row>
    <row r="51" spans="1:15" x14ac:dyDescent="0.2">
      <c r="A51" t="s">
        <v>368</v>
      </c>
      <c r="B51" t="s">
        <v>368</v>
      </c>
      <c r="C51">
        <v>202134</v>
      </c>
      <c r="D51">
        <v>17460</v>
      </c>
      <c r="E51">
        <v>2525</v>
      </c>
      <c r="F51">
        <v>1272</v>
      </c>
      <c r="G51">
        <v>1978</v>
      </c>
      <c r="H51">
        <v>2386</v>
      </c>
      <c r="I51">
        <v>1370</v>
      </c>
      <c r="J51">
        <v>1537</v>
      </c>
      <c r="K51">
        <v>0</v>
      </c>
      <c r="L51">
        <v>0</v>
      </c>
      <c r="M51">
        <v>1430</v>
      </c>
      <c r="N51">
        <v>4621</v>
      </c>
      <c r="O51">
        <v>2015</v>
      </c>
    </row>
    <row r="52" spans="1:15" x14ac:dyDescent="0.2">
      <c r="A52" t="s">
        <v>369</v>
      </c>
      <c r="B52" t="s">
        <v>73</v>
      </c>
      <c r="C52">
        <v>218724</v>
      </c>
      <c r="D52">
        <v>34820</v>
      </c>
      <c r="E52">
        <v>5623</v>
      </c>
      <c r="F52">
        <v>3712</v>
      </c>
      <c r="G52">
        <v>3514</v>
      </c>
      <c r="H52">
        <v>3226</v>
      </c>
      <c r="I52">
        <v>2664</v>
      </c>
      <c r="J52">
        <v>1140</v>
      </c>
      <c r="K52">
        <v>0</v>
      </c>
      <c r="L52">
        <v>963</v>
      </c>
      <c r="M52">
        <v>3691</v>
      </c>
      <c r="N52">
        <v>2434</v>
      </c>
      <c r="O52">
        <v>1597</v>
      </c>
    </row>
    <row r="53" spans="1:15" x14ac:dyDescent="0.2">
      <c r="A53" t="s">
        <v>370</v>
      </c>
      <c r="B53" t="s">
        <v>370</v>
      </c>
      <c r="C53">
        <v>217819</v>
      </c>
      <c r="D53">
        <v>16700</v>
      </c>
      <c r="E53">
        <v>4295</v>
      </c>
      <c r="F53">
        <v>3236</v>
      </c>
      <c r="G53">
        <v>3654</v>
      </c>
      <c r="H53">
        <v>4314</v>
      </c>
      <c r="I53">
        <v>3836</v>
      </c>
      <c r="J53">
        <v>4224</v>
      </c>
      <c r="K53">
        <v>0</v>
      </c>
      <c r="L53">
        <v>574</v>
      </c>
      <c r="M53">
        <v>2089</v>
      </c>
      <c r="N53">
        <v>1590</v>
      </c>
      <c r="O53">
        <v>1950</v>
      </c>
    </row>
    <row r="54" spans="1:15" x14ac:dyDescent="0.2">
      <c r="A54" t="s">
        <v>371</v>
      </c>
      <c r="B54" t="s">
        <v>371</v>
      </c>
      <c r="C54">
        <v>190099</v>
      </c>
      <c r="D54">
        <v>45060</v>
      </c>
      <c r="E54">
        <v>3155</v>
      </c>
      <c r="F54">
        <v>4125</v>
      </c>
      <c r="G54">
        <v>4125</v>
      </c>
      <c r="H54">
        <v>4804</v>
      </c>
      <c r="I54">
        <v>4694</v>
      </c>
      <c r="J54">
        <v>4189</v>
      </c>
      <c r="K54">
        <v>0</v>
      </c>
      <c r="L54">
        <v>0</v>
      </c>
      <c r="M54">
        <v>3263</v>
      </c>
      <c r="N54">
        <v>4328</v>
      </c>
      <c r="O54">
        <v>3528</v>
      </c>
    </row>
    <row r="55" spans="1:15" x14ac:dyDescent="0.2">
      <c r="A55" t="s">
        <v>75</v>
      </c>
      <c r="B55" t="s">
        <v>75</v>
      </c>
      <c r="C55">
        <v>126614</v>
      </c>
      <c r="D55">
        <v>14500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">
      <c r="A57" t="s">
        <v>373</v>
      </c>
      <c r="B57" t="s">
        <v>373</v>
      </c>
      <c r="C57">
        <v>190150</v>
      </c>
      <c r="D57">
        <v>35620</v>
      </c>
      <c r="E57">
        <v>2002</v>
      </c>
      <c r="F57">
        <v>4166</v>
      </c>
      <c r="G57">
        <v>2610</v>
      </c>
      <c r="H57">
        <v>2032</v>
      </c>
      <c r="I57">
        <v>2048</v>
      </c>
      <c r="J57">
        <v>2398</v>
      </c>
      <c r="K57">
        <v>0</v>
      </c>
      <c r="L57">
        <v>0</v>
      </c>
      <c r="M57">
        <v>1368</v>
      </c>
      <c r="N57">
        <v>1471</v>
      </c>
      <c r="O57">
        <v>2042</v>
      </c>
    </row>
    <row r="58" spans="1:15" x14ac:dyDescent="0.2">
      <c r="A58" t="s">
        <v>374</v>
      </c>
      <c r="B58" t="s">
        <v>374</v>
      </c>
      <c r="C58">
        <v>162283</v>
      </c>
      <c r="D58">
        <v>12580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">
      <c r="A59" t="s">
        <v>375</v>
      </c>
      <c r="B59" t="s">
        <v>375</v>
      </c>
      <c r="C59">
        <v>190415</v>
      </c>
      <c r="D59">
        <v>27060</v>
      </c>
      <c r="E59">
        <v>5661</v>
      </c>
      <c r="F59">
        <v>2961</v>
      </c>
      <c r="G59">
        <v>2276</v>
      </c>
      <c r="H59">
        <v>1786</v>
      </c>
      <c r="I59">
        <v>2201</v>
      </c>
      <c r="J59">
        <v>1841</v>
      </c>
      <c r="K59">
        <v>0</v>
      </c>
      <c r="L59">
        <v>0</v>
      </c>
      <c r="M59">
        <v>1577</v>
      </c>
      <c r="N59">
        <v>2274</v>
      </c>
      <c r="O59">
        <v>3565</v>
      </c>
    </row>
    <row r="60" spans="1:15" x14ac:dyDescent="0.2">
      <c r="A60" t="s">
        <v>376</v>
      </c>
      <c r="B60" t="s">
        <v>376</v>
      </c>
      <c r="C60">
        <v>181002</v>
      </c>
      <c r="D60">
        <v>36540</v>
      </c>
      <c r="E60">
        <v>27156</v>
      </c>
      <c r="F60">
        <v>32549</v>
      </c>
      <c r="G60">
        <v>46171</v>
      </c>
      <c r="H60">
        <v>33836</v>
      </c>
      <c r="I60">
        <v>18053</v>
      </c>
      <c r="J60">
        <v>29901</v>
      </c>
      <c r="K60">
        <v>0</v>
      </c>
      <c r="L60">
        <v>1549</v>
      </c>
      <c r="M60">
        <v>17861</v>
      </c>
      <c r="N60">
        <v>17650</v>
      </c>
      <c r="O60">
        <v>19663</v>
      </c>
    </row>
    <row r="61" spans="1:15" x14ac:dyDescent="0.2">
      <c r="A61" t="s">
        <v>377</v>
      </c>
      <c r="B61" t="s">
        <v>377</v>
      </c>
      <c r="C61">
        <v>110486</v>
      </c>
      <c r="D61">
        <v>12540</v>
      </c>
      <c r="E61">
        <v>2389</v>
      </c>
      <c r="F61">
        <v>4766</v>
      </c>
      <c r="G61">
        <v>5604</v>
      </c>
      <c r="H61">
        <v>6109</v>
      </c>
      <c r="I61">
        <v>3190</v>
      </c>
      <c r="J61">
        <v>7328</v>
      </c>
      <c r="K61">
        <v>0</v>
      </c>
      <c r="L61">
        <v>0</v>
      </c>
      <c r="M61">
        <v>5667</v>
      </c>
      <c r="N61">
        <v>5643</v>
      </c>
      <c r="O61">
        <v>6384</v>
      </c>
    </row>
    <row r="62" spans="1:15" x14ac:dyDescent="0.2">
      <c r="A62" t="s">
        <v>378</v>
      </c>
      <c r="B62" t="s">
        <v>378</v>
      </c>
      <c r="C62">
        <v>110608</v>
      </c>
      <c r="D62">
        <v>31080</v>
      </c>
      <c r="E62">
        <v>9885</v>
      </c>
      <c r="F62">
        <v>4838</v>
      </c>
      <c r="G62">
        <v>4952</v>
      </c>
      <c r="H62">
        <v>8038</v>
      </c>
      <c r="I62">
        <v>3854</v>
      </c>
      <c r="J62">
        <v>3713</v>
      </c>
      <c r="K62">
        <v>0</v>
      </c>
      <c r="L62">
        <v>0</v>
      </c>
      <c r="M62">
        <v>3796</v>
      </c>
      <c r="N62">
        <v>4109</v>
      </c>
      <c r="O62">
        <v>2646</v>
      </c>
    </row>
    <row r="63" spans="1:15" x14ac:dyDescent="0.2">
      <c r="A63" t="s">
        <v>379</v>
      </c>
      <c r="B63" t="s">
        <v>379</v>
      </c>
      <c r="C63">
        <v>182670</v>
      </c>
      <c r="D63">
        <v>30100</v>
      </c>
      <c r="E63">
        <v>8647</v>
      </c>
      <c r="F63">
        <v>9855</v>
      </c>
      <c r="G63">
        <v>8048</v>
      </c>
      <c r="H63">
        <v>7137</v>
      </c>
      <c r="I63">
        <v>4067</v>
      </c>
      <c r="J63">
        <v>4385</v>
      </c>
      <c r="K63">
        <v>0</v>
      </c>
      <c r="L63">
        <v>0</v>
      </c>
      <c r="M63">
        <v>1976</v>
      </c>
      <c r="N63">
        <v>2986</v>
      </c>
      <c r="O63">
        <v>4602</v>
      </c>
    </row>
    <row r="64" spans="1:15" x14ac:dyDescent="0.2">
      <c r="A64" t="s">
        <v>380</v>
      </c>
      <c r="B64" t="s">
        <v>380</v>
      </c>
      <c r="C64">
        <v>198385</v>
      </c>
      <c r="D64">
        <v>16740</v>
      </c>
      <c r="E64">
        <v>5839</v>
      </c>
      <c r="F64">
        <v>5676</v>
      </c>
      <c r="G64">
        <v>5837</v>
      </c>
      <c r="H64">
        <v>4683</v>
      </c>
      <c r="I64">
        <v>6029</v>
      </c>
      <c r="J64">
        <v>5005</v>
      </c>
      <c r="K64">
        <v>0</v>
      </c>
      <c r="L64">
        <v>0</v>
      </c>
      <c r="M64">
        <v>5939</v>
      </c>
      <c r="N64">
        <v>3088</v>
      </c>
      <c r="O64">
        <v>4842</v>
      </c>
    </row>
    <row r="65" spans="1:15" x14ac:dyDescent="0.2">
      <c r="A65" t="s">
        <v>381</v>
      </c>
      <c r="B65" t="s">
        <v>381</v>
      </c>
      <c r="C65">
        <v>202480</v>
      </c>
      <c r="D65">
        <v>19430</v>
      </c>
      <c r="E65">
        <v>9030</v>
      </c>
      <c r="F65">
        <v>9013</v>
      </c>
      <c r="G65">
        <v>6992</v>
      </c>
      <c r="H65">
        <v>5614</v>
      </c>
      <c r="I65">
        <v>4407</v>
      </c>
      <c r="J65">
        <v>4074</v>
      </c>
      <c r="K65">
        <v>0</v>
      </c>
      <c r="L65">
        <v>355</v>
      </c>
      <c r="M65">
        <v>2264</v>
      </c>
      <c r="N65">
        <v>3699</v>
      </c>
      <c r="O65">
        <v>3379</v>
      </c>
    </row>
    <row r="66" spans="1:15" x14ac:dyDescent="0.2">
      <c r="A66" t="s">
        <v>382</v>
      </c>
      <c r="B66" t="s">
        <v>382</v>
      </c>
      <c r="C66">
        <v>130943</v>
      </c>
      <c r="D66">
        <v>37980</v>
      </c>
      <c r="E66">
        <v>7849</v>
      </c>
      <c r="F66">
        <v>8229</v>
      </c>
      <c r="G66">
        <v>7008</v>
      </c>
      <c r="H66">
        <v>5184</v>
      </c>
      <c r="I66">
        <v>4846</v>
      </c>
      <c r="J66">
        <v>2984</v>
      </c>
      <c r="K66">
        <v>0</v>
      </c>
      <c r="L66">
        <v>150</v>
      </c>
      <c r="M66">
        <v>2227</v>
      </c>
      <c r="N66">
        <v>3250</v>
      </c>
      <c r="O66">
        <v>1917</v>
      </c>
    </row>
    <row r="67" spans="1:15" x14ac:dyDescent="0.2">
      <c r="A67" t="s">
        <v>383</v>
      </c>
      <c r="B67" t="s">
        <v>383</v>
      </c>
      <c r="C67">
        <v>130934</v>
      </c>
      <c r="D67">
        <v>20100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">
      <c r="A68" t="s">
        <v>384</v>
      </c>
      <c r="B68" t="s">
        <v>384</v>
      </c>
      <c r="C68">
        <v>127060</v>
      </c>
      <c r="D68">
        <v>19740</v>
      </c>
      <c r="E68">
        <v>5927</v>
      </c>
      <c r="F68">
        <v>7929</v>
      </c>
      <c r="G68">
        <v>6188</v>
      </c>
      <c r="H68">
        <v>9536</v>
      </c>
      <c r="I68">
        <v>5277</v>
      </c>
      <c r="J68">
        <v>8572</v>
      </c>
      <c r="K68">
        <v>0</v>
      </c>
      <c r="L68">
        <v>116</v>
      </c>
      <c r="M68">
        <v>4724</v>
      </c>
      <c r="N68">
        <v>5935</v>
      </c>
      <c r="O68">
        <v>6677</v>
      </c>
    </row>
    <row r="69" spans="1:15" x14ac:dyDescent="0.2">
      <c r="A69" t="s">
        <v>385</v>
      </c>
      <c r="B69" t="s">
        <v>385</v>
      </c>
      <c r="C69">
        <v>144740</v>
      </c>
      <c r="D69">
        <v>16980</v>
      </c>
      <c r="E69">
        <v>5348</v>
      </c>
      <c r="F69">
        <v>3138</v>
      </c>
      <c r="G69">
        <v>3637</v>
      </c>
      <c r="H69">
        <v>3622</v>
      </c>
      <c r="I69">
        <v>2917</v>
      </c>
      <c r="J69">
        <v>2567</v>
      </c>
      <c r="K69">
        <v>0</v>
      </c>
      <c r="L69">
        <v>75</v>
      </c>
      <c r="M69">
        <v>3345</v>
      </c>
      <c r="N69">
        <v>4105</v>
      </c>
      <c r="O69">
        <v>4105</v>
      </c>
    </row>
    <row r="70" spans="1:15" x14ac:dyDescent="0.2">
      <c r="A70" t="s">
        <v>386</v>
      </c>
      <c r="B70" t="s">
        <v>386</v>
      </c>
      <c r="C70">
        <v>169716</v>
      </c>
      <c r="D70">
        <v>19820</v>
      </c>
      <c r="E70">
        <v>1118</v>
      </c>
      <c r="F70">
        <v>873</v>
      </c>
      <c r="G70">
        <v>1233</v>
      </c>
      <c r="H70">
        <v>1193</v>
      </c>
      <c r="I70">
        <v>1199</v>
      </c>
      <c r="J70">
        <v>1316</v>
      </c>
      <c r="K70">
        <v>0</v>
      </c>
      <c r="L70">
        <v>55</v>
      </c>
      <c r="M70">
        <v>1072</v>
      </c>
      <c r="N70">
        <v>843</v>
      </c>
      <c r="O70">
        <v>2105</v>
      </c>
    </row>
    <row r="71" spans="1:15" x14ac:dyDescent="0.2">
      <c r="A71" t="s">
        <v>387</v>
      </c>
      <c r="B71" t="s">
        <v>387</v>
      </c>
      <c r="C71">
        <v>153269</v>
      </c>
      <c r="D71">
        <v>19780</v>
      </c>
      <c r="E71">
        <v>2807</v>
      </c>
      <c r="F71">
        <v>2730</v>
      </c>
      <c r="G71">
        <v>1943</v>
      </c>
      <c r="H71">
        <v>1093</v>
      </c>
      <c r="I71">
        <v>858</v>
      </c>
      <c r="J71">
        <v>1113</v>
      </c>
      <c r="K71">
        <v>0</v>
      </c>
      <c r="L71">
        <v>419</v>
      </c>
      <c r="M71">
        <v>759</v>
      </c>
      <c r="N71">
        <v>1291</v>
      </c>
      <c r="O71">
        <v>2521</v>
      </c>
    </row>
    <row r="72" spans="1:15" x14ac:dyDescent="0.2">
      <c r="A72" t="s">
        <v>388</v>
      </c>
      <c r="B72" t="s">
        <v>388</v>
      </c>
      <c r="C72">
        <v>212054</v>
      </c>
      <c r="D72">
        <v>37980</v>
      </c>
      <c r="E72">
        <v>4996</v>
      </c>
      <c r="F72">
        <v>1300</v>
      </c>
      <c r="G72">
        <v>3206</v>
      </c>
      <c r="H72">
        <v>3168</v>
      </c>
      <c r="I72">
        <v>2667</v>
      </c>
      <c r="J72">
        <v>3432</v>
      </c>
      <c r="K72">
        <v>0</v>
      </c>
      <c r="L72">
        <v>120</v>
      </c>
      <c r="M72">
        <v>1949</v>
      </c>
      <c r="N72">
        <v>2639</v>
      </c>
      <c r="O72">
        <v>1019</v>
      </c>
    </row>
    <row r="73" spans="1:15" x14ac:dyDescent="0.2">
      <c r="A73" t="s">
        <v>389</v>
      </c>
      <c r="B73" t="s">
        <v>389</v>
      </c>
      <c r="C73">
        <v>198419</v>
      </c>
      <c r="D73">
        <v>20500</v>
      </c>
      <c r="E73">
        <v>6028</v>
      </c>
      <c r="F73">
        <v>9414</v>
      </c>
      <c r="G73">
        <v>6479</v>
      </c>
      <c r="H73">
        <v>7935</v>
      </c>
      <c r="I73">
        <v>10009</v>
      </c>
      <c r="J73">
        <v>8273</v>
      </c>
      <c r="K73">
        <v>0</v>
      </c>
      <c r="L73">
        <v>0</v>
      </c>
      <c r="M73">
        <v>9478</v>
      </c>
      <c r="N73">
        <v>13871</v>
      </c>
      <c r="O73">
        <v>11862</v>
      </c>
    </row>
    <row r="74" spans="1:15" x14ac:dyDescent="0.2">
      <c r="A74" t="s">
        <v>390</v>
      </c>
      <c r="B74" t="s">
        <v>390</v>
      </c>
      <c r="C74">
        <v>212106</v>
      </c>
      <c r="D74">
        <v>38300</v>
      </c>
      <c r="E74">
        <v>1605</v>
      </c>
      <c r="F74">
        <v>2988</v>
      </c>
      <c r="G74">
        <v>2122</v>
      </c>
      <c r="H74">
        <v>2614</v>
      </c>
      <c r="I74">
        <v>1777</v>
      </c>
      <c r="J74">
        <v>2004</v>
      </c>
      <c r="K74">
        <v>0</v>
      </c>
      <c r="L74">
        <v>600</v>
      </c>
      <c r="M74">
        <v>2073</v>
      </c>
      <c r="N74">
        <v>4648</v>
      </c>
      <c r="O74">
        <v>3393</v>
      </c>
    </row>
    <row r="75" spans="1:15" x14ac:dyDescent="0.2">
      <c r="A75" t="s">
        <v>79</v>
      </c>
      <c r="B75" t="s">
        <v>79</v>
      </c>
      <c r="C75">
        <v>198464</v>
      </c>
      <c r="D75">
        <v>24780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">
      <c r="A76" t="s">
        <v>391</v>
      </c>
      <c r="B76" t="s">
        <v>391</v>
      </c>
      <c r="C76">
        <v>144892</v>
      </c>
      <c r="D76">
        <v>16660</v>
      </c>
      <c r="E76">
        <v>2173</v>
      </c>
      <c r="F76">
        <v>1431</v>
      </c>
      <c r="G76">
        <v>1155</v>
      </c>
      <c r="H76">
        <v>500</v>
      </c>
      <c r="I76">
        <v>705</v>
      </c>
      <c r="J76">
        <v>920</v>
      </c>
      <c r="K76">
        <v>0</v>
      </c>
      <c r="L76">
        <v>316</v>
      </c>
      <c r="M76">
        <v>530</v>
      </c>
      <c r="N76">
        <v>530</v>
      </c>
      <c r="O76">
        <v>1250</v>
      </c>
    </row>
    <row r="77" spans="1:15" x14ac:dyDescent="0.2">
      <c r="A77" t="s">
        <v>392</v>
      </c>
      <c r="B77" t="s">
        <v>392</v>
      </c>
      <c r="C77">
        <v>156620</v>
      </c>
      <c r="D77">
        <v>40080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">
      <c r="A78" t="s">
        <v>393</v>
      </c>
      <c r="B78" t="s">
        <v>393</v>
      </c>
      <c r="C78">
        <v>169798</v>
      </c>
      <c r="D78">
        <v>11460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">
      <c r="A79" t="s">
        <v>394</v>
      </c>
      <c r="B79" t="s">
        <v>394</v>
      </c>
      <c r="C79">
        <v>235097</v>
      </c>
      <c r="D79">
        <v>44060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">
      <c r="A80" t="s">
        <v>395</v>
      </c>
      <c r="B80" t="s">
        <v>395</v>
      </c>
      <c r="C80">
        <v>198516</v>
      </c>
      <c r="D80">
        <v>24660</v>
      </c>
      <c r="E80">
        <v>10903</v>
      </c>
      <c r="F80">
        <v>4843</v>
      </c>
      <c r="G80">
        <v>9243</v>
      </c>
      <c r="H80">
        <v>6188</v>
      </c>
      <c r="I80">
        <v>5776</v>
      </c>
      <c r="J80">
        <v>1885</v>
      </c>
      <c r="K80">
        <v>0</v>
      </c>
      <c r="L80">
        <v>183</v>
      </c>
      <c r="M80">
        <v>3472</v>
      </c>
      <c r="N80">
        <v>9255</v>
      </c>
      <c r="O80">
        <v>4075</v>
      </c>
    </row>
    <row r="81" spans="1:15" x14ac:dyDescent="0.2">
      <c r="A81" t="s">
        <v>396</v>
      </c>
      <c r="B81" t="s">
        <v>396</v>
      </c>
      <c r="C81">
        <v>220075</v>
      </c>
      <c r="D81">
        <v>27740</v>
      </c>
      <c r="E81">
        <v>4442</v>
      </c>
      <c r="F81">
        <v>2542</v>
      </c>
      <c r="G81">
        <v>4883</v>
      </c>
      <c r="H81">
        <v>4112</v>
      </c>
      <c r="I81">
        <v>2669</v>
      </c>
      <c r="J81">
        <v>3736</v>
      </c>
      <c r="K81">
        <v>0</v>
      </c>
      <c r="L81">
        <v>1205</v>
      </c>
      <c r="M81">
        <v>2819</v>
      </c>
      <c r="N81">
        <v>3285</v>
      </c>
      <c r="O81">
        <v>6132</v>
      </c>
    </row>
    <row r="82" spans="1:15" x14ac:dyDescent="0.2">
      <c r="A82" t="s">
        <v>397</v>
      </c>
      <c r="B82" t="s">
        <v>397</v>
      </c>
      <c r="C82">
        <v>150534</v>
      </c>
      <c r="D82">
        <v>21780</v>
      </c>
      <c r="E82">
        <v>4553</v>
      </c>
      <c r="F82">
        <v>6060</v>
      </c>
      <c r="G82">
        <v>2529</v>
      </c>
      <c r="H82">
        <v>2760</v>
      </c>
      <c r="I82">
        <v>3565</v>
      </c>
      <c r="J82">
        <v>5004</v>
      </c>
      <c r="K82">
        <v>0</v>
      </c>
      <c r="L82">
        <v>0</v>
      </c>
      <c r="M82">
        <v>2480</v>
      </c>
      <c r="N82">
        <v>6775</v>
      </c>
      <c r="O82">
        <v>3120</v>
      </c>
    </row>
    <row r="83" spans="1:15" x14ac:dyDescent="0.2">
      <c r="A83" t="s">
        <v>398</v>
      </c>
      <c r="B83" t="s">
        <v>398</v>
      </c>
      <c r="C83">
        <v>129242</v>
      </c>
      <c r="D83">
        <v>35620</v>
      </c>
      <c r="E83">
        <v>1846</v>
      </c>
      <c r="F83">
        <v>2832</v>
      </c>
      <c r="G83">
        <v>1911</v>
      </c>
      <c r="H83">
        <v>2179</v>
      </c>
      <c r="I83">
        <v>7384</v>
      </c>
      <c r="J83">
        <v>3623</v>
      </c>
      <c r="K83">
        <v>0</v>
      </c>
      <c r="L83">
        <v>26</v>
      </c>
      <c r="M83">
        <v>3617</v>
      </c>
      <c r="N83">
        <v>4299</v>
      </c>
      <c r="O83">
        <v>4587</v>
      </c>
    </row>
    <row r="84" spans="1:15" x14ac:dyDescent="0.2">
      <c r="A84" t="s">
        <v>399</v>
      </c>
      <c r="B84" t="s">
        <v>400</v>
      </c>
      <c r="C84">
        <v>184603</v>
      </c>
      <c r="D84">
        <v>35620</v>
      </c>
      <c r="E84">
        <v>1843</v>
      </c>
      <c r="F84">
        <v>3019</v>
      </c>
      <c r="G84">
        <v>2800</v>
      </c>
      <c r="H84">
        <v>3692</v>
      </c>
      <c r="I84">
        <v>1691</v>
      </c>
      <c r="J84">
        <v>1711</v>
      </c>
      <c r="K84">
        <v>0</v>
      </c>
      <c r="L84">
        <v>0</v>
      </c>
      <c r="M84">
        <v>2850</v>
      </c>
      <c r="N84">
        <v>4506</v>
      </c>
      <c r="O84">
        <v>1778</v>
      </c>
    </row>
    <row r="85" spans="1:15" x14ac:dyDescent="0.2">
      <c r="A85" t="s">
        <v>401</v>
      </c>
      <c r="B85" t="s">
        <v>401</v>
      </c>
      <c r="C85">
        <v>433660</v>
      </c>
      <c r="D85">
        <v>15980</v>
      </c>
      <c r="E85">
        <v>2948</v>
      </c>
      <c r="F85">
        <v>7251</v>
      </c>
      <c r="G85">
        <v>4068</v>
      </c>
      <c r="H85">
        <v>7147</v>
      </c>
      <c r="I85">
        <v>3655</v>
      </c>
      <c r="J85">
        <v>4659</v>
      </c>
      <c r="K85">
        <v>0</v>
      </c>
      <c r="L85">
        <v>972</v>
      </c>
      <c r="M85">
        <v>2172</v>
      </c>
      <c r="N85">
        <v>2143</v>
      </c>
      <c r="O85">
        <v>2429</v>
      </c>
    </row>
    <row r="86" spans="1:15" x14ac:dyDescent="0.2">
      <c r="A86" t="s">
        <v>402</v>
      </c>
      <c r="B86" t="s">
        <v>402</v>
      </c>
      <c r="C86">
        <v>133951</v>
      </c>
      <c r="D86">
        <v>33100</v>
      </c>
      <c r="E86">
        <v>1795</v>
      </c>
      <c r="F86">
        <v>3523</v>
      </c>
      <c r="G86">
        <v>3772</v>
      </c>
      <c r="H86">
        <v>3036</v>
      </c>
      <c r="I86">
        <v>3761</v>
      </c>
      <c r="J86">
        <v>3640</v>
      </c>
      <c r="K86">
        <v>0</v>
      </c>
      <c r="L86">
        <v>956</v>
      </c>
      <c r="M86">
        <v>5199</v>
      </c>
      <c r="N86">
        <v>7110</v>
      </c>
      <c r="O86">
        <v>5537</v>
      </c>
    </row>
    <row r="87" spans="1:15" x14ac:dyDescent="0.2">
      <c r="A87" t="s">
        <v>403</v>
      </c>
      <c r="B87" t="s">
        <v>403</v>
      </c>
      <c r="C87">
        <v>133669</v>
      </c>
      <c r="D87">
        <v>33100</v>
      </c>
      <c r="E87">
        <v>2146</v>
      </c>
      <c r="F87">
        <v>2064</v>
      </c>
      <c r="G87">
        <v>1491</v>
      </c>
      <c r="H87">
        <v>1793</v>
      </c>
      <c r="I87">
        <v>1718</v>
      </c>
      <c r="J87">
        <v>1564</v>
      </c>
      <c r="K87">
        <v>0</v>
      </c>
      <c r="L87">
        <v>804</v>
      </c>
      <c r="M87">
        <v>2328</v>
      </c>
      <c r="N87">
        <v>2859</v>
      </c>
      <c r="O87">
        <v>1864</v>
      </c>
    </row>
    <row r="88" spans="1:15" x14ac:dyDescent="0.2">
      <c r="A88" t="s">
        <v>85</v>
      </c>
      <c r="B88" t="s">
        <v>85</v>
      </c>
      <c r="C88">
        <v>134130</v>
      </c>
      <c r="D88">
        <v>23540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">
      <c r="A89" t="s">
        <v>404</v>
      </c>
      <c r="B89" t="s">
        <v>404</v>
      </c>
      <c r="C89">
        <v>133650</v>
      </c>
      <c r="D89">
        <v>45220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">
      <c r="A90" t="s">
        <v>405</v>
      </c>
      <c r="B90" t="s">
        <v>405</v>
      </c>
      <c r="C90">
        <v>134097</v>
      </c>
      <c r="D90">
        <v>45220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">
      <c r="A91" t="s">
        <v>406</v>
      </c>
      <c r="B91" t="s">
        <v>406</v>
      </c>
      <c r="C91">
        <v>191241</v>
      </c>
      <c r="D91">
        <v>35620</v>
      </c>
      <c r="E91">
        <v>1854</v>
      </c>
      <c r="F91">
        <v>1278</v>
      </c>
      <c r="G91">
        <v>1496</v>
      </c>
      <c r="H91">
        <v>2006</v>
      </c>
      <c r="I91">
        <v>2733</v>
      </c>
      <c r="J91">
        <v>1662</v>
      </c>
      <c r="K91">
        <v>0</v>
      </c>
      <c r="L91">
        <v>0</v>
      </c>
      <c r="M91">
        <v>2667</v>
      </c>
      <c r="N91">
        <v>2519</v>
      </c>
      <c r="O91">
        <v>2704</v>
      </c>
    </row>
    <row r="92" spans="1:15" x14ac:dyDescent="0.2">
      <c r="A92" t="s">
        <v>407</v>
      </c>
      <c r="B92" t="s">
        <v>407</v>
      </c>
      <c r="C92">
        <v>110556</v>
      </c>
      <c r="D92">
        <v>23420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">
      <c r="A93" t="s">
        <v>408</v>
      </c>
      <c r="B93" t="s">
        <v>408</v>
      </c>
      <c r="C93">
        <v>218070</v>
      </c>
      <c r="D93">
        <v>24860</v>
      </c>
      <c r="E93">
        <v>11049</v>
      </c>
      <c r="F93">
        <v>7585</v>
      </c>
      <c r="G93">
        <v>7008</v>
      </c>
      <c r="H93">
        <v>9303</v>
      </c>
      <c r="I93">
        <v>7025</v>
      </c>
      <c r="J93">
        <v>4143</v>
      </c>
      <c r="K93">
        <v>0</v>
      </c>
      <c r="L93">
        <v>1227</v>
      </c>
      <c r="M93">
        <v>3677</v>
      </c>
      <c r="N93">
        <v>3136</v>
      </c>
      <c r="O93">
        <v>5374</v>
      </c>
    </row>
    <row r="94" spans="1:15" x14ac:dyDescent="0.2">
      <c r="A94" t="s">
        <v>409</v>
      </c>
      <c r="B94" t="s">
        <v>409</v>
      </c>
      <c r="C94">
        <v>139931</v>
      </c>
      <c r="D94">
        <v>44340</v>
      </c>
      <c r="E94">
        <v>4154</v>
      </c>
      <c r="F94">
        <v>3953</v>
      </c>
      <c r="G94">
        <v>2183</v>
      </c>
      <c r="H94">
        <v>2244</v>
      </c>
      <c r="I94">
        <v>3746</v>
      </c>
      <c r="J94">
        <v>3986</v>
      </c>
      <c r="K94">
        <v>0</v>
      </c>
      <c r="L94">
        <v>1063</v>
      </c>
      <c r="M94">
        <v>1786</v>
      </c>
      <c r="N94">
        <v>1295</v>
      </c>
      <c r="O94">
        <v>2363</v>
      </c>
    </row>
    <row r="95" spans="1:15" x14ac:dyDescent="0.2">
      <c r="A95" t="s">
        <v>410</v>
      </c>
      <c r="B95" t="s">
        <v>410</v>
      </c>
      <c r="C95">
        <v>198561</v>
      </c>
      <c r="D95">
        <v>23500</v>
      </c>
      <c r="E95">
        <v>2538</v>
      </c>
      <c r="F95">
        <v>2973</v>
      </c>
      <c r="G95">
        <v>3064</v>
      </c>
      <c r="H95">
        <v>3317</v>
      </c>
      <c r="I95">
        <v>1087</v>
      </c>
      <c r="J95">
        <v>1035</v>
      </c>
      <c r="K95">
        <v>0</v>
      </c>
      <c r="L95">
        <v>15</v>
      </c>
      <c r="M95">
        <v>440</v>
      </c>
      <c r="N95">
        <v>941</v>
      </c>
      <c r="O95">
        <v>1438</v>
      </c>
    </row>
    <row r="96" spans="1:15" x14ac:dyDescent="0.2">
      <c r="A96" t="s">
        <v>91</v>
      </c>
      <c r="B96" t="s">
        <v>91</v>
      </c>
      <c r="C96">
        <v>232186</v>
      </c>
      <c r="D96">
        <v>47900</v>
      </c>
      <c r="E96">
        <v>4833</v>
      </c>
      <c r="F96">
        <v>7452</v>
      </c>
      <c r="G96">
        <v>5953</v>
      </c>
      <c r="H96">
        <v>4330</v>
      </c>
      <c r="I96">
        <v>4783</v>
      </c>
      <c r="J96">
        <v>3509</v>
      </c>
      <c r="K96">
        <v>0</v>
      </c>
      <c r="L96">
        <v>519</v>
      </c>
      <c r="M96">
        <v>1728</v>
      </c>
      <c r="N96">
        <v>1989</v>
      </c>
      <c r="O96">
        <v>4622</v>
      </c>
    </row>
    <row r="97" spans="1:15" x14ac:dyDescent="0.2">
      <c r="A97" t="s">
        <v>411</v>
      </c>
      <c r="B97" t="s">
        <v>411</v>
      </c>
      <c r="C97">
        <v>131469</v>
      </c>
      <c r="D97">
        <v>47900</v>
      </c>
      <c r="E97">
        <v>1264</v>
      </c>
      <c r="F97">
        <v>1259</v>
      </c>
      <c r="G97">
        <v>1179</v>
      </c>
      <c r="H97">
        <v>1496</v>
      </c>
      <c r="I97">
        <v>2773</v>
      </c>
      <c r="J97">
        <v>2311</v>
      </c>
      <c r="K97">
        <v>0</v>
      </c>
      <c r="L97">
        <v>0</v>
      </c>
      <c r="M97">
        <v>2145</v>
      </c>
      <c r="N97">
        <v>1925</v>
      </c>
      <c r="O97">
        <v>1977</v>
      </c>
    </row>
    <row r="98" spans="1:15" x14ac:dyDescent="0.2">
      <c r="A98" t="s">
        <v>412</v>
      </c>
      <c r="B98" t="s">
        <v>412</v>
      </c>
      <c r="C98">
        <v>131496</v>
      </c>
      <c r="D98">
        <v>47900</v>
      </c>
      <c r="E98">
        <v>9128</v>
      </c>
      <c r="F98">
        <v>13399</v>
      </c>
      <c r="G98">
        <v>12464</v>
      </c>
      <c r="H98">
        <v>5530</v>
      </c>
      <c r="I98">
        <v>9030</v>
      </c>
      <c r="J98">
        <v>12407</v>
      </c>
      <c r="K98">
        <v>0</v>
      </c>
      <c r="L98">
        <v>0</v>
      </c>
      <c r="M98">
        <v>19161</v>
      </c>
      <c r="N98">
        <v>9318</v>
      </c>
      <c r="O98">
        <v>8784</v>
      </c>
    </row>
    <row r="99" spans="1:15" x14ac:dyDescent="0.2">
      <c r="A99" t="s">
        <v>92</v>
      </c>
      <c r="B99" t="s">
        <v>92</v>
      </c>
      <c r="C99">
        <v>139959</v>
      </c>
      <c r="D99">
        <v>12020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">
      <c r="A100" t="s">
        <v>413</v>
      </c>
      <c r="B100" t="s">
        <v>413</v>
      </c>
      <c r="C100">
        <v>139940</v>
      </c>
      <c r="D100">
        <v>12060</v>
      </c>
      <c r="E100">
        <v>2006</v>
      </c>
      <c r="F100">
        <v>1806</v>
      </c>
      <c r="G100">
        <v>1173</v>
      </c>
      <c r="H100">
        <v>3626</v>
      </c>
      <c r="I100">
        <v>1901</v>
      </c>
      <c r="J100">
        <v>1213</v>
      </c>
      <c r="K100">
        <v>0</v>
      </c>
      <c r="L100">
        <v>2046</v>
      </c>
      <c r="M100">
        <v>1835</v>
      </c>
      <c r="N100">
        <v>4088</v>
      </c>
      <c r="O100">
        <v>1780</v>
      </c>
    </row>
    <row r="101" spans="1:15" x14ac:dyDescent="0.2">
      <c r="A101" t="s">
        <v>95</v>
      </c>
      <c r="B101" t="s">
        <v>95</v>
      </c>
      <c r="C101">
        <v>139755</v>
      </c>
      <c r="D101">
        <v>12060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">
      <c r="A102" t="s">
        <v>414</v>
      </c>
      <c r="B102" t="s">
        <v>414</v>
      </c>
      <c r="C102">
        <v>235316</v>
      </c>
      <c r="D102">
        <v>44060</v>
      </c>
      <c r="E102">
        <v>5582</v>
      </c>
      <c r="F102">
        <v>3443</v>
      </c>
      <c r="G102">
        <v>4565</v>
      </c>
      <c r="H102">
        <v>4943</v>
      </c>
      <c r="I102">
        <v>4232</v>
      </c>
      <c r="J102">
        <v>5397</v>
      </c>
      <c r="K102">
        <v>0</v>
      </c>
      <c r="L102">
        <v>331</v>
      </c>
      <c r="M102">
        <v>4542</v>
      </c>
      <c r="N102">
        <v>2396</v>
      </c>
      <c r="O102">
        <v>5500</v>
      </c>
    </row>
    <row r="103" spans="1:15" x14ac:dyDescent="0.2">
      <c r="A103" t="s">
        <v>415</v>
      </c>
      <c r="B103" t="s">
        <v>415</v>
      </c>
      <c r="C103">
        <v>159009</v>
      </c>
      <c r="D103">
        <v>33740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">
      <c r="A104" t="s">
        <v>416</v>
      </c>
      <c r="B104" t="s">
        <v>416</v>
      </c>
      <c r="C104">
        <v>104717</v>
      </c>
      <c r="D104">
        <v>38060</v>
      </c>
      <c r="E104">
        <v>1538</v>
      </c>
      <c r="F104">
        <v>2521</v>
      </c>
      <c r="G104">
        <v>7270</v>
      </c>
      <c r="H104">
        <v>22568</v>
      </c>
      <c r="I104">
        <v>14416</v>
      </c>
      <c r="J104">
        <v>20375</v>
      </c>
      <c r="K104">
        <v>0</v>
      </c>
      <c r="L104">
        <v>479</v>
      </c>
      <c r="M104">
        <v>17110</v>
      </c>
      <c r="N104">
        <v>12508</v>
      </c>
      <c r="O104">
        <v>7920</v>
      </c>
    </row>
    <row r="105" spans="1:15" x14ac:dyDescent="0.2">
      <c r="A105" t="s">
        <v>417</v>
      </c>
      <c r="B105" t="s">
        <v>417</v>
      </c>
      <c r="C105">
        <v>240277</v>
      </c>
      <c r="D105">
        <v>24580</v>
      </c>
      <c r="E105">
        <v>1278</v>
      </c>
      <c r="F105">
        <v>1873</v>
      </c>
      <c r="G105">
        <v>1531</v>
      </c>
      <c r="H105">
        <v>1301</v>
      </c>
      <c r="I105">
        <v>1788</v>
      </c>
      <c r="J105">
        <v>3138</v>
      </c>
      <c r="K105">
        <v>0</v>
      </c>
      <c r="L105">
        <v>0</v>
      </c>
      <c r="M105">
        <v>1686</v>
      </c>
      <c r="N105">
        <v>1611</v>
      </c>
      <c r="O105">
        <v>1630</v>
      </c>
    </row>
    <row r="106" spans="1:15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">
      <c r="A107" t="s">
        <v>419</v>
      </c>
      <c r="B107" t="s">
        <v>419</v>
      </c>
      <c r="C107">
        <v>129525</v>
      </c>
      <c r="D107">
        <v>25540</v>
      </c>
      <c r="E107">
        <v>9536</v>
      </c>
      <c r="F107">
        <v>8145</v>
      </c>
      <c r="G107">
        <v>4413</v>
      </c>
      <c r="H107">
        <v>5804</v>
      </c>
      <c r="I107">
        <v>5709</v>
      </c>
      <c r="J107">
        <v>3477</v>
      </c>
      <c r="K107">
        <v>0</v>
      </c>
      <c r="L107">
        <v>115</v>
      </c>
      <c r="M107">
        <v>3680</v>
      </c>
      <c r="N107">
        <v>576</v>
      </c>
      <c r="O107">
        <v>0</v>
      </c>
    </row>
    <row r="108" spans="1:15" x14ac:dyDescent="0.2">
      <c r="A108" t="s">
        <v>420</v>
      </c>
      <c r="B108" t="s">
        <v>420</v>
      </c>
      <c r="C108">
        <v>166027</v>
      </c>
      <c r="D108">
        <v>14460</v>
      </c>
      <c r="E108">
        <v>3766</v>
      </c>
      <c r="F108">
        <v>4356</v>
      </c>
      <c r="G108">
        <v>2648</v>
      </c>
      <c r="H108">
        <v>2287</v>
      </c>
      <c r="I108">
        <v>1947</v>
      </c>
      <c r="J108">
        <v>2859</v>
      </c>
      <c r="K108">
        <v>0</v>
      </c>
      <c r="L108">
        <v>0</v>
      </c>
      <c r="M108">
        <v>2053</v>
      </c>
      <c r="N108">
        <v>2856</v>
      </c>
      <c r="O108">
        <v>3362</v>
      </c>
    </row>
    <row r="109" spans="1:15" x14ac:dyDescent="0.2">
      <c r="A109" t="s">
        <v>97</v>
      </c>
      <c r="B109" t="s">
        <v>97</v>
      </c>
      <c r="C109">
        <v>141574</v>
      </c>
      <c r="D109">
        <v>46520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">
      <c r="A110" t="s">
        <v>421</v>
      </c>
      <c r="B110" t="s">
        <v>421</v>
      </c>
      <c r="C110">
        <v>198695</v>
      </c>
      <c r="D110">
        <v>24660</v>
      </c>
      <c r="E110">
        <v>4856</v>
      </c>
      <c r="F110">
        <v>8440</v>
      </c>
      <c r="G110">
        <v>5750</v>
      </c>
      <c r="H110">
        <v>7206</v>
      </c>
      <c r="I110">
        <v>6499</v>
      </c>
      <c r="J110">
        <v>6931</v>
      </c>
      <c r="K110">
        <v>0</v>
      </c>
      <c r="L110">
        <v>980</v>
      </c>
      <c r="M110">
        <v>5142</v>
      </c>
      <c r="N110">
        <v>5558</v>
      </c>
      <c r="O110">
        <v>7270</v>
      </c>
    </row>
    <row r="111" spans="1:15" x14ac:dyDescent="0.2">
      <c r="A111" t="s">
        <v>422</v>
      </c>
      <c r="B111" t="s">
        <v>422</v>
      </c>
      <c r="C111">
        <v>191649</v>
      </c>
      <c r="D111">
        <v>35620</v>
      </c>
      <c r="E111">
        <v>2806</v>
      </c>
      <c r="F111">
        <v>2237</v>
      </c>
      <c r="G111">
        <v>5377</v>
      </c>
      <c r="H111">
        <v>2973</v>
      </c>
      <c r="I111">
        <v>3003</v>
      </c>
      <c r="J111">
        <v>1945</v>
      </c>
      <c r="K111">
        <v>0</v>
      </c>
      <c r="L111">
        <v>0</v>
      </c>
      <c r="M111">
        <v>6005</v>
      </c>
      <c r="N111">
        <v>5074</v>
      </c>
      <c r="O111">
        <v>8209</v>
      </c>
    </row>
    <row r="112" spans="1:15" x14ac:dyDescent="0.2">
      <c r="A112" t="s">
        <v>423</v>
      </c>
      <c r="B112" t="s">
        <v>423</v>
      </c>
      <c r="C112">
        <v>166124</v>
      </c>
      <c r="D112">
        <v>49340</v>
      </c>
      <c r="E112">
        <v>2994</v>
      </c>
      <c r="F112">
        <v>2288</v>
      </c>
      <c r="G112">
        <v>3702</v>
      </c>
      <c r="H112">
        <v>3316</v>
      </c>
      <c r="I112">
        <v>1432</v>
      </c>
      <c r="J112">
        <v>2918</v>
      </c>
      <c r="K112">
        <v>0</v>
      </c>
      <c r="L112">
        <v>117</v>
      </c>
      <c r="M112">
        <v>2019</v>
      </c>
      <c r="N112">
        <v>2513</v>
      </c>
      <c r="O112">
        <v>2656</v>
      </c>
    </row>
    <row r="113" spans="1:15" x14ac:dyDescent="0.2">
      <c r="A113" t="s">
        <v>98</v>
      </c>
      <c r="B113" t="s">
        <v>98</v>
      </c>
      <c r="C113">
        <v>225511</v>
      </c>
      <c r="D113">
        <v>26420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">
      <c r="A114" t="s">
        <v>424</v>
      </c>
      <c r="B114" t="s">
        <v>425</v>
      </c>
      <c r="C114">
        <v>225399</v>
      </c>
      <c r="D114">
        <v>26420</v>
      </c>
      <c r="E114">
        <v>1918</v>
      </c>
      <c r="F114">
        <v>2279</v>
      </c>
      <c r="G114">
        <v>2352</v>
      </c>
      <c r="H114">
        <v>1777</v>
      </c>
      <c r="I114">
        <v>1362</v>
      </c>
      <c r="J114">
        <v>1220</v>
      </c>
      <c r="K114">
        <v>0</v>
      </c>
      <c r="L114">
        <v>678</v>
      </c>
      <c r="M114">
        <v>1516</v>
      </c>
      <c r="N114">
        <v>841</v>
      </c>
      <c r="O114">
        <v>1100</v>
      </c>
    </row>
    <row r="115" spans="1:15" x14ac:dyDescent="0.2">
      <c r="A115" t="s">
        <v>426</v>
      </c>
      <c r="B115" t="s">
        <v>426</v>
      </c>
      <c r="C115">
        <v>131520</v>
      </c>
      <c r="D115">
        <v>47900</v>
      </c>
      <c r="E115">
        <v>385</v>
      </c>
      <c r="F115">
        <v>375</v>
      </c>
      <c r="G115">
        <v>421</v>
      </c>
      <c r="H115">
        <v>936</v>
      </c>
      <c r="I115">
        <v>739</v>
      </c>
      <c r="J115">
        <v>628</v>
      </c>
      <c r="K115">
        <v>0</v>
      </c>
      <c r="L115">
        <v>0</v>
      </c>
      <c r="M115">
        <v>3270</v>
      </c>
      <c r="N115">
        <v>1194</v>
      </c>
      <c r="O115">
        <v>876</v>
      </c>
    </row>
    <row r="116" spans="1:15" x14ac:dyDescent="0.2">
      <c r="A116" t="s">
        <v>99</v>
      </c>
      <c r="B116" t="s">
        <v>99</v>
      </c>
      <c r="C116">
        <v>142285</v>
      </c>
      <c r="D116">
        <v>34140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">
      <c r="A117" t="s">
        <v>427</v>
      </c>
      <c r="B117" t="s">
        <v>427</v>
      </c>
      <c r="C117">
        <v>142276</v>
      </c>
      <c r="D117">
        <v>38540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">
      <c r="A118" t="s">
        <v>101</v>
      </c>
      <c r="B118" t="s">
        <v>101</v>
      </c>
      <c r="C118">
        <v>145637</v>
      </c>
      <c r="D118">
        <v>16580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">
      <c r="A119" t="s">
        <v>428</v>
      </c>
      <c r="B119" t="s">
        <v>428</v>
      </c>
      <c r="C119">
        <v>145813</v>
      </c>
      <c r="D119">
        <v>14010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">
      <c r="A120" t="s">
        <v>104</v>
      </c>
      <c r="B120" t="s">
        <v>104</v>
      </c>
      <c r="C120">
        <v>151351</v>
      </c>
      <c r="D120">
        <v>14020</v>
      </c>
      <c r="E120">
        <v>25275</v>
      </c>
      <c r="F120">
        <v>26174</v>
      </c>
      <c r="G120">
        <v>21935</v>
      </c>
      <c r="H120">
        <v>26677</v>
      </c>
      <c r="I120">
        <v>33680</v>
      </c>
      <c r="J120">
        <v>29191</v>
      </c>
      <c r="K120">
        <v>0</v>
      </c>
      <c r="L120">
        <v>0</v>
      </c>
      <c r="M120">
        <v>26836</v>
      </c>
      <c r="N120">
        <v>26735</v>
      </c>
      <c r="O120">
        <v>33973</v>
      </c>
    </row>
    <row r="121" spans="1:15" x14ac:dyDescent="0.2">
      <c r="A121" t="s">
        <v>429</v>
      </c>
      <c r="B121" t="s">
        <v>429</v>
      </c>
      <c r="C121">
        <v>151324</v>
      </c>
      <c r="D121">
        <v>45460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">
      <c r="A122" t="s">
        <v>430</v>
      </c>
      <c r="B122" t="s">
        <v>430</v>
      </c>
      <c r="C122">
        <v>191931</v>
      </c>
      <c r="D122">
        <v>35620</v>
      </c>
      <c r="E122">
        <v>2195</v>
      </c>
      <c r="F122">
        <v>1746</v>
      </c>
      <c r="G122">
        <v>1013</v>
      </c>
      <c r="H122">
        <v>2113</v>
      </c>
      <c r="I122">
        <v>1411</v>
      </c>
      <c r="J122">
        <v>2944</v>
      </c>
      <c r="K122">
        <v>0</v>
      </c>
      <c r="L122">
        <v>106</v>
      </c>
      <c r="M122">
        <v>2216</v>
      </c>
      <c r="N122">
        <v>1648</v>
      </c>
      <c r="O122">
        <v>1986</v>
      </c>
    </row>
    <row r="123" spans="1:15" x14ac:dyDescent="0.2">
      <c r="A123" t="s">
        <v>106</v>
      </c>
      <c r="B123" t="s">
        <v>106</v>
      </c>
      <c r="C123">
        <v>153658</v>
      </c>
      <c r="D123">
        <v>26980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">
      <c r="A124" t="s">
        <v>431</v>
      </c>
      <c r="B124" t="s">
        <v>431</v>
      </c>
      <c r="C124">
        <v>153603</v>
      </c>
      <c r="D124">
        <v>11180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">
      <c r="A125" t="s">
        <v>108</v>
      </c>
      <c r="B125" t="s">
        <v>598</v>
      </c>
      <c r="C125">
        <v>151111</v>
      </c>
      <c r="D125">
        <v>26900</v>
      </c>
      <c r="E125">
        <v>3926</v>
      </c>
      <c r="F125">
        <v>3051</v>
      </c>
      <c r="G125">
        <v>3425</v>
      </c>
      <c r="H125">
        <v>1888</v>
      </c>
      <c r="I125">
        <v>2376</v>
      </c>
      <c r="J125">
        <v>1809</v>
      </c>
      <c r="K125">
        <v>0</v>
      </c>
      <c r="L125">
        <v>153</v>
      </c>
      <c r="M125">
        <v>1642</v>
      </c>
      <c r="N125">
        <v>3081</v>
      </c>
      <c r="O125">
        <v>2193</v>
      </c>
    </row>
    <row r="126" spans="1:15" x14ac:dyDescent="0.2">
      <c r="A126" t="s">
        <v>432</v>
      </c>
      <c r="B126" t="s">
        <v>432</v>
      </c>
      <c r="C126">
        <v>175856</v>
      </c>
      <c r="D126">
        <v>27140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">
      <c r="A127" t="s">
        <v>433</v>
      </c>
      <c r="B127" t="s">
        <v>433</v>
      </c>
      <c r="C127">
        <v>134945</v>
      </c>
      <c r="D127">
        <v>27260</v>
      </c>
      <c r="E127">
        <v>1846</v>
      </c>
      <c r="F127">
        <v>1168</v>
      </c>
      <c r="G127">
        <v>1362</v>
      </c>
      <c r="H127">
        <v>990</v>
      </c>
      <c r="I127">
        <v>2554</v>
      </c>
      <c r="J127">
        <v>2017</v>
      </c>
      <c r="K127">
        <v>0</v>
      </c>
      <c r="L127">
        <v>874</v>
      </c>
      <c r="M127">
        <v>565</v>
      </c>
      <c r="N127">
        <v>1942</v>
      </c>
      <c r="O127">
        <v>2171</v>
      </c>
    </row>
    <row r="128" spans="1:15" x14ac:dyDescent="0.2">
      <c r="A128" t="s">
        <v>434</v>
      </c>
      <c r="B128" t="s">
        <v>434</v>
      </c>
      <c r="C128">
        <v>101480</v>
      </c>
      <c r="D128">
        <v>11500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">
      <c r="A129" t="s">
        <v>110</v>
      </c>
      <c r="B129" t="s">
        <v>110</v>
      </c>
      <c r="C129">
        <v>232423</v>
      </c>
      <c r="D129">
        <v>25500</v>
      </c>
      <c r="E129">
        <v>3784</v>
      </c>
      <c r="F129">
        <v>4350</v>
      </c>
      <c r="G129">
        <v>3119</v>
      </c>
      <c r="H129">
        <v>5527</v>
      </c>
      <c r="I129">
        <v>3881</v>
      </c>
      <c r="J129">
        <v>4539</v>
      </c>
      <c r="K129">
        <v>0</v>
      </c>
      <c r="L129">
        <v>639</v>
      </c>
      <c r="M129">
        <v>3385</v>
      </c>
      <c r="N129">
        <v>3203</v>
      </c>
      <c r="O129">
        <v>5814</v>
      </c>
    </row>
    <row r="130" spans="1:15" x14ac:dyDescent="0.2">
      <c r="A130" t="s">
        <v>111</v>
      </c>
      <c r="B130" t="s">
        <v>111</v>
      </c>
      <c r="C130">
        <v>155317</v>
      </c>
      <c r="D130">
        <v>29940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">
      <c r="A131" t="s">
        <v>435</v>
      </c>
      <c r="B131" t="s">
        <v>436</v>
      </c>
      <c r="C131">
        <v>178402</v>
      </c>
      <c r="D131">
        <v>28140</v>
      </c>
      <c r="E131">
        <v>2162</v>
      </c>
      <c r="F131">
        <v>2606</v>
      </c>
      <c r="G131">
        <v>2168</v>
      </c>
      <c r="H131">
        <v>1850</v>
      </c>
      <c r="I131">
        <v>1728</v>
      </c>
      <c r="J131">
        <v>2748</v>
      </c>
      <c r="K131">
        <v>0</v>
      </c>
      <c r="L131">
        <v>215</v>
      </c>
      <c r="M131">
        <v>708</v>
      </c>
      <c r="N131">
        <v>2660</v>
      </c>
      <c r="O131">
        <v>2440</v>
      </c>
    </row>
    <row r="132" spans="1:15" x14ac:dyDescent="0.2">
      <c r="A132" t="s">
        <v>437</v>
      </c>
      <c r="B132" t="s">
        <v>437</v>
      </c>
      <c r="C132">
        <v>155399</v>
      </c>
      <c r="D132">
        <v>31740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">
      <c r="A133" t="s">
        <v>438</v>
      </c>
      <c r="B133" t="s">
        <v>438</v>
      </c>
      <c r="C133">
        <v>486840</v>
      </c>
      <c r="D133">
        <v>12060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">
      <c r="A134" t="s">
        <v>439</v>
      </c>
      <c r="B134" t="s">
        <v>439</v>
      </c>
      <c r="C134">
        <v>203517</v>
      </c>
      <c r="D134">
        <v>10420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">
      <c r="A135" t="s">
        <v>115</v>
      </c>
      <c r="B135" t="s">
        <v>115</v>
      </c>
      <c r="C135">
        <v>157085</v>
      </c>
      <c r="D135">
        <v>30460</v>
      </c>
      <c r="E135">
        <v>3471</v>
      </c>
      <c r="F135">
        <v>11671</v>
      </c>
      <c r="G135">
        <v>17871</v>
      </c>
      <c r="H135">
        <v>16602</v>
      </c>
      <c r="I135">
        <v>12659</v>
      </c>
      <c r="J135">
        <v>22998</v>
      </c>
      <c r="K135">
        <v>0</v>
      </c>
      <c r="L135">
        <v>1201</v>
      </c>
      <c r="M135">
        <v>9729</v>
      </c>
      <c r="N135">
        <v>21430</v>
      </c>
      <c r="O135">
        <v>11700</v>
      </c>
    </row>
    <row r="136" spans="1:15" x14ac:dyDescent="0.2">
      <c r="A136" t="s">
        <v>440</v>
      </c>
      <c r="B136" t="s">
        <v>440</v>
      </c>
      <c r="C136">
        <v>213367</v>
      </c>
      <c r="D136">
        <v>37980</v>
      </c>
      <c r="E136">
        <v>2347</v>
      </c>
      <c r="F136">
        <v>1767</v>
      </c>
      <c r="G136">
        <v>1392</v>
      </c>
      <c r="H136">
        <v>2089</v>
      </c>
      <c r="I136">
        <v>2775</v>
      </c>
      <c r="J136">
        <v>785</v>
      </c>
      <c r="K136">
        <v>0</v>
      </c>
      <c r="L136">
        <v>50</v>
      </c>
      <c r="M136">
        <v>1547</v>
      </c>
      <c r="N136">
        <v>2111</v>
      </c>
      <c r="O136">
        <v>2163</v>
      </c>
    </row>
    <row r="137" spans="1:15" x14ac:dyDescent="0.2">
      <c r="A137" t="s">
        <v>441</v>
      </c>
      <c r="B137" t="s">
        <v>441</v>
      </c>
      <c r="C137">
        <v>213385</v>
      </c>
      <c r="D137">
        <v>10900</v>
      </c>
      <c r="E137">
        <v>3033</v>
      </c>
      <c r="F137">
        <v>3658</v>
      </c>
      <c r="G137">
        <v>3866</v>
      </c>
      <c r="H137">
        <v>3473</v>
      </c>
      <c r="I137">
        <v>3360</v>
      </c>
      <c r="J137">
        <v>2923</v>
      </c>
      <c r="K137">
        <v>0</v>
      </c>
      <c r="L137">
        <v>532</v>
      </c>
      <c r="M137">
        <v>1342</v>
      </c>
      <c r="N137">
        <v>1600</v>
      </c>
      <c r="O137">
        <v>3016</v>
      </c>
    </row>
    <row r="138" spans="1:15" x14ac:dyDescent="0.2">
      <c r="A138" t="s">
        <v>442</v>
      </c>
      <c r="B138" t="s">
        <v>442</v>
      </c>
      <c r="C138">
        <v>226091</v>
      </c>
      <c r="D138">
        <v>13140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">
      <c r="A139" t="s">
        <v>443</v>
      </c>
      <c r="B139" t="s">
        <v>443</v>
      </c>
      <c r="C139">
        <v>213543</v>
      </c>
      <c r="D139">
        <v>10900</v>
      </c>
      <c r="E139">
        <v>2748</v>
      </c>
      <c r="F139">
        <v>2870</v>
      </c>
      <c r="G139">
        <v>2721</v>
      </c>
      <c r="H139">
        <v>2332</v>
      </c>
      <c r="I139">
        <v>2920</v>
      </c>
      <c r="J139">
        <v>2568</v>
      </c>
      <c r="K139">
        <v>0</v>
      </c>
      <c r="L139">
        <v>360</v>
      </c>
      <c r="M139">
        <v>2867</v>
      </c>
      <c r="N139">
        <v>1643</v>
      </c>
      <c r="O139">
        <v>1901</v>
      </c>
    </row>
    <row r="140" spans="1:15" x14ac:dyDescent="0.2">
      <c r="A140" t="s">
        <v>444</v>
      </c>
      <c r="B140" t="s">
        <v>444</v>
      </c>
      <c r="C140">
        <v>232557</v>
      </c>
      <c r="D140">
        <v>31340</v>
      </c>
      <c r="E140">
        <v>3575</v>
      </c>
      <c r="F140">
        <v>2619</v>
      </c>
      <c r="G140">
        <v>3760</v>
      </c>
      <c r="H140">
        <v>6654</v>
      </c>
      <c r="I140">
        <v>3684</v>
      </c>
      <c r="J140">
        <v>3307</v>
      </c>
      <c r="K140">
        <v>0</v>
      </c>
      <c r="L140">
        <v>1326</v>
      </c>
      <c r="M140">
        <v>2033</v>
      </c>
      <c r="N140">
        <v>3709</v>
      </c>
      <c r="O140">
        <v>5071</v>
      </c>
    </row>
    <row r="141" spans="1:15" x14ac:dyDescent="0.2">
      <c r="A141" t="s">
        <v>445</v>
      </c>
      <c r="B141" t="s">
        <v>445</v>
      </c>
      <c r="C141">
        <v>219976</v>
      </c>
      <c r="D141">
        <v>34980</v>
      </c>
      <c r="E141">
        <v>3035</v>
      </c>
      <c r="F141">
        <v>3233</v>
      </c>
      <c r="G141">
        <v>3903</v>
      </c>
      <c r="H141">
        <v>4011</v>
      </c>
      <c r="I141">
        <v>1520</v>
      </c>
      <c r="J141">
        <v>4923</v>
      </c>
      <c r="K141">
        <v>0</v>
      </c>
      <c r="L141">
        <v>1093</v>
      </c>
      <c r="M141">
        <v>2944</v>
      </c>
      <c r="N141">
        <v>4972</v>
      </c>
      <c r="O141">
        <v>4475</v>
      </c>
    </row>
    <row r="142" spans="1:15" x14ac:dyDescent="0.2">
      <c r="A142" t="s">
        <v>446</v>
      </c>
      <c r="B142" t="s">
        <v>446</v>
      </c>
      <c r="C142">
        <v>106245</v>
      </c>
      <c r="D142">
        <v>30780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">
      <c r="A143" t="s">
        <v>447</v>
      </c>
      <c r="B143" t="s">
        <v>448</v>
      </c>
      <c r="C143">
        <v>192448</v>
      </c>
      <c r="D143">
        <v>35620</v>
      </c>
      <c r="E143">
        <v>1601</v>
      </c>
      <c r="F143">
        <v>2141</v>
      </c>
      <c r="G143">
        <v>2939</v>
      </c>
      <c r="H143">
        <v>1169</v>
      </c>
      <c r="I143">
        <v>2340</v>
      </c>
      <c r="J143">
        <v>2155</v>
      </c>
      <c r="K143">
        <v>0</v>
      </c>
      <c r="L143">
        <v>0</v>
      </c>
      <c r="M143">
        <v>1258</v>
      </c>
      <c r="N143">
        <v>1430</v>
      </c>
      <c r="O143">
        <v>3015</v>
      </c>
    </row>
    <row r="144" spans="1:15" x14ac:dyDescent="0.2">
      <c r="A144" t="s">
        <v>449</v>
      </c>
      <c r="B144" t="s">
        <v>450</v>
      </c>
      <c r="C144">
        <v>117946</v>
      </c>
      <c r="D144">
        <v>31080</v>
      </c>
      <c r="E144">
        <v>4069</v>
      </c>
      <c r="F144">
        <v>6372</v>
      </c>
      <c r="G144">
        <v>4439</v>
      </c>
      <c r="H144">
        <v>3484</v>
      </c>
      <c r="I144">
        <v>2374</v>
      </c>
      <c r="J144">
        <v>3413</v>
      </c>
      <c r="K144">
        <v>0</v>
      </c>
      <c r="L144">
        <v>27</v>
      </c>
      <c r="M144">
        <v>3928</v>
      </c>
      <c r="N144">
        <v>4352</v>
      </c>
      <c r="O144">
        <v>6149</v>
      </c>
    </row>
    <row r="145" spans="1:15" x14ac:dyDescent="0.2">
      <c r="A145" t="s">
        <v>451</v>
      </c>
      <c r="B145" t="s">
        <v>451</v>
      </c>
      <c r="C145">
        <v>110583</v>
      </c>
      <c r="D145">
        <v>31080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">
      <c r="A146" t="s">
        <v>118</v>
      </c>
      <c r="B146" t="s">
        <v>118</v>
      </c>
      <c r="C146">
        <v>232566</v>
      </c>
      <c r="D146">
        <v>40060</v>
      </c>
      <c r="E146">
        <v>2955</v>
      </c>
      <c r="F146">
        <v>3212</v>
      </c>
      <c r="G146">
        <v>2676</v>
      </c>
      <c r="H146">
        <v>1630</v>
      </c>
      <c r="I146">
        <v>3051</v>
      </c>
      <c r="J146">
        <v>2041</v>
      </c>
      <c r="K146">
        <v>0</v>
      </c>
      <c r="L146">
        <v>31</v>
      </c>
      <c r="M146">
        <v>1602</v>
      </c>
      <c r="N146">
        <v>1617</v>
      </c>
      <c r="O146">
        <v>3566</v>
      </c>
    </row>
    <row r="147" spans="1:15" x14ac:dyDescent="0.2">
      <c r="A147" t="s">
        <v>452</v>
      </c>
      <c r="B147" t="s">
        <v>452</v>
      </c>
      <c r="C147">
        <v>160658</v>
      </c>
      <c r="D147">
        <v>29180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">
      <c r="A148" t="s">
        <v>121</v>
      </c>
      <c r="B148" t="s">
        <v>121</v>
      </c>
      <c r="C148">
        <v>159647</v>
      </c>
      <c r="D148">
        <v>40820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">
      <c r="A149" t="s">
        <v>122</v>
      </c>
      <c r="B149" t="s">
        <v>122</v>
      </c>
      <c r="C149">
        <v>157289</v>
      </c>
      <c r="D149">
        <v>31140</v>
      </c>
      <c r="E149">
        <v>17427</v>
      </c>
      <c r="F149">
        <v>46433</v>
      </c>
      <c r="G149">
        <v>29298</v>
      </c>
      <c r="H149">
        <v>32463</v>
      </c>
      <c r="I149">
        <v>26368</v>
      </c>
      <c r="J149">
        <v>14265</v>
      </c>
      <c r="K149">
        <v>0</v>
      </c>
      <c r="L149">
        <v>1163</v>
      </c>
      <c r="M149">
        <v>10082</v>
      </c>
      <c r="N149">
        <v>8564</v>
      </c>
      <c r="O149">
        <v>10326</v>
      </c>
    </row>
    <row r="150" spans="1:15" x14ac:dyDescent="0.2">
      <c r="A150" t="s">
        <v>453</v>
      </c>
      <c r="B150" t="s">
        <v>453</v>
      </c>
      <c r="C150">
        <v>146719</v>
      </c>
      <c r="D150">
        <v>16980</v>
      </c>
      <c r="E150">
        <v>2289</v>
      </c>
      <c r="F150">
        <v>3855</v>
      </c>
      <c r="G150">
        <v>2452</v>
      </c>
      <c r="H150">
        <v>4253</v>
      </c>
      <c r="I150">
        <v>3208</v>
      </c>
      <c r="J150">
        <v>3590</v>
      </c>
      <c r="K150">
        <v>0</v>
      </c>
      <c r="L150">
        <v>124</v>
      </c>
      <c r="M150">
        <v>3506</v>
      </c>
      <c r="N150">
        <v>4143</v>
      </c>
      <c r="O150">
        <v>3585</v>
      </c>
    </row>
    <row r="151" spans="1:15" x14ac:dyDescent="0.2">
      <c r="A151" t="s">
        <v>454</v>
      </c>
      <c r="B151" t="s">
        <v>454</v>
      </c>
      <c r="C151">
        <v>163046</v>
      </c>
      <c r="D151">
        <v>12580</v>
      </c>
      <c r="E151">
        <v>5966</v>
      </c>
      <c r="F151">
        <v>3217</v>
      </c>
      <c r="G151">
        <v>5015</v>
      </c>
      <c r="H151">
        <v>3861</v>
      </c>
      <c r="I151">
        <v>5979</v>
      </c>
      <c r="J151">
        <v>3333</v>
      </c>
      <c r="K151">
        <v>0</v>
      </c>
      <c r="L151">
        <v>325</v>
      </c>
      <c r="M151">
        <v>4274</v>
      </c>
      <c r="N151">
        <v>2360</v>
      </c>
      <c r="O151">
        <v>3154</v>
      </c>
    </row>
    <row r="152" spans="1:15" x14ac:dyDescent="0.2">
      <c r="A152" t="s">
        <v>123</v>
      </c>
      <c r="B152" t="s">
        <v>123</v>
      </c>
      <c r="C152">
        <v>159391</v>
      </c>
      <c r="D152">
        <v>12940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">
      <c r="A153" t="s">
        <v>124</v>
      </c>
      <c r="B153" t="s">
        <v>124</v>
      </c>
      <c r="C153">
        <v>161253</v>
      </c>
      <c r="D153">
        <v>12620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">
      <c r="A154" t="s">
        <v>455</v>
      </c>
      <c r="B154" t="s">
        <v>455</v>
      </c>
      <c r="C154">
        <v>192703</v>
      </c>
      <c r="D154">
        <v>35620</v>
      </c>
      <c r="E154">
        <v>1102</v>
      </c>
      <c r="F154">
        <v>1598</v>
      </c>
      <c r="G154">
        <v>2194</v>
      </c>
      <c r="H154">
        <v>2052</v>
      </c>
      <c r="I154">
        <v>2475</v>
      </c>
      <c r="J154">
        <v>2208</v>
      </c>
      <c r="K154">
        <v>0</v>
      </c>
      <c r="L154">
        <v>0</v>
      </c>
      <c r="M154">
        <v>1186</v>
      </c>
      <c r="N154">
        <v>2164</v>
      </c>
      <c r="O154">
        <v>2598</v>
      </c>
    </row>
    <row r="155" spans="1:15" x14ac:dyDescent="0.2">
      <c r="A155" t="s">
        <v>456</v>
      </c>
      <c r="B155" t="s">
        <v>456</v>
      </c>
      <c r="C155">
        <v>192819</v>
      </c>
      <c r="D155">
        <v>39100</v>
      </c>
      <c r="E155">
        <v>2325</v>
      </c>
      <c r="F155">
        <v>3457</v>
      </c>
      <c r="G155">
        <v>2436</v>
      </c>
      <c r="H155">
        <v>7401</v>
      </c>
      <c r="I155">
        <v>2421</v>
      </c>
      <c r="J155">
        <v>4120</v>
      </c>
      <c r="K155">
        <v>0</v>
      </c>
      <c r="L155">
        <v>0</v>
      </c>
      <c r="M155">
        <v>5938</v>
      </c>
      <c r="N155">
        <v>3134</v>
      </c>
      <c r="O155">
        <v>6137</v>
      </c>
    </row>
    <row r="156" spans="1:15" x14ac:dyDescent="0.2">
      <c r="A156" t="s">
        <v>457</v>
      </c>
      <c r="B156" t="s">
        <v>457</v>
      </c>
      <c r="C156">
        <v>239105</v>
      </c>
      <c r="D156">
        <v>33340</v>
      </c>
      <c r="E156">
        <v>5316</v>
      </c>
      <c r="F156">
        <v>8109</v>
      </c>
      <c r="G156">
        <v>4784</v>
      </c>
      <c r="H156">
        <v>8195</v>
      </c>
      <c r="I156">
        <v>5012</v>
      </c>
      <c r="J156">
        <v>5678</v>
      </c>
      <c r="K156">
        <v>0</v>
      </c>
      <c r="L156">
        <v>0</v>
      </c>
      <c r="M156">
        <v>4142</v>
      </c>
      <c r="N156">
        <v>4314</v>
      </c>
      <c r="O156">
        <v>4026</v>
      </c>
    </row>
    <row r="157" spans="1:15" x14ac:dyDescent="0.2">
      <c r="A157" t="s">
        <v>125</v>
      </c>
      <c r="B157" t="s">
        <v>125</v>
      </c>
      <c r="C157">
        <v>237525</v>
      </c>
      <c r="D157">
        <v>26580</v>
      </c>
      <c r="E157">
        <v>5036</v>
      </c>
      <c r="F157">
        <v>4207</v>
      </c>
      <c r="G157">
        <v>2776</v>
      </c>
      <c r="H157">
        <v>2872</v>
      </c>
      <c r="I157">
        <v>2559</v>
      </c>
      <c r="J157">
        <v>4106</v>
      </c>
      <c r="K157">
        <v>0</v>
      </c>
      <c r="L157">
        <v>1701</v>
      </c>
      <c r="M157">
        <v>13015</v>
      </c>
      <c r="N157">
        <v>13941</v>
      </c>
      <c r="O157">
        <v>32963</v>
      </c>
    </row>
    <row r="158" spans="1:15" x14ac:dyDescent="0.2">
      <c r="A158" t="s">
        <v>126</v>
      </c>
      <c r="B158" t="s">
        <v>126</v>
      </c>
      <c r="C158">
        <v>163286</v>
      </c>
      <c r="D158">
        <v>47900</v>
      </c>
      <c r="E158">
        <v>33826</v>
      </c>
      <c r="F158">
        <v>43008</v>
      </c>
      <c r="G158">
        <v>38443</v>
      </c>
      <c r="H158">
        <v>52189</v>
      </c>
      <c r="I158">
        <v>36436</v>
      </c>
      <c r="J158">
        <v>31154</v>
      </c>
      <c r="K158">
        <v>0</v>
      </c>
      <c r="L158">
        <v>500</v>
      </c>
      <c r="M158">
        <v>25526</v>
      </c>
      <c r="N158">
        <v>25762</v>
      </c>
      <c r="O158">
        <v>24797</v>
      </c>
    </row>
    <row r="159" spans="1:15" x14ac:dyDescent="0.2">
      <c r="A159" t="s">
        <v>129</v>
      </c>
      <c r="B159" t="s">
        <v>129</v>
      </c>
      <c r="C159">
        <v>166629</v>
      </c>
      <c r="D159">
        <v>44140</v>
      </c>
      <c r="E159">
        <v>1968</v>
      </c>
      <c r="F159">
        <v>1987</v>
      </c>
      <c r="G159">
        <v>2284</v>
      </c>
      <c r="H159">
        <v>2323</v>
      </c>
      <c r="I159">
        <v>5820</v>
      </c>
      <c r="J159">
        <v>2841</v>
      </c>
      <c r="K159">
        <v>0</v>
      </c>
      <c r="L159">
        <v>0</v>
      </c>
      <c r="M159">
        <v>1600</v>
      </c>
      <c r="N159">
        <v>4846</v>
      </c>
      <c r="O159">
        <v>4951</v>
      </c>
    </row>
    <row r="160" spans="1:15" x14ac:dyDescent="0.2">
      <c r="A160" t="s">
        <v>458</v>
      </c>
      <c r="B160" t="s">
        <v>458</v>
      </c>
      <c r="C160">
        <v>159717</v>
      </c>
      <c r="D160">
        <v>29340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">
      <c r="A161" t="s">
        <v>132</v>
      </c>
      <c r="B161" t="s">
        <v>132</v>
      </c>
      <c r="C161">
        <v>220862</v>
      </c>
      <c r="D161">
        <v>32820</v>
      </c>
      <c r="E161">
        <v>6582</v>
      </c>
      <c r="F161">
        <v>2709</v>
      </c>
      <c r="G161">
        <v>3210</v>
      </c>
      <c r="H161">
        <v>3230</v>
      </c>
      <c r="I161">
        <v>1926</v>
      </c>
      <c r="J161">
        <v>1191</v>
      </c>
      <c r="K161">
        <v>0</v>
      </c>
      <c r="L161">
        <v>360</v>
      </c>
      <c r="M161">
        <v>1097</v>
      </c>
      <c r="N161">
        <v>2383</v>
      </c>
      <c r="O161">
        <v>2832</v>
      </c>
    </row>
    <row r="162" spans="1:15" x14ac:dyDescent="0.2">
      <c r="A162" t="s">
        <v>459</v>
      </c>
      <c r="B162" t="s">
        <v>459</v>
      </c>
      <c r="C162">
        <v>140447</v>
      </c>
      <c r="D162">
        <v>31420</v>
      </c>
      <c r="E162">
        <v>2769</v>
      </c>
      <c r="F162">
        <v>3196</v>
      </c>
      <c r="G162">
        <v>3023</v>
      </c>
      <c r="H162">
        <v>4005</v>
      </c>
      <c r="I162">
        <v>2537</v>
      </c>
      <c r="J162">
        <v>1374</v>
      </c>
      <c r="K162">
        <v>0</v>
      </c>
      <c r="L162">
        <v>765</v>
      </c>
      <c r="M162">
        <v>1977</v>
      </c>
      <c r="N162">
        <v>3294</v>
      </c>
      <c r="O162">
        <v>2150</v>
      </c>
    </row>
    <row r="163" spans="1:15" x14ac:dyDescent="0.2">
      <c r="A163" t="s">
        <v>460</v>
      </c>
      <c r="B163" t="s">
        <v>461</v>
      </c>
      <c r="C163">
        <v>135726</v>
      </c>
      <c r="D163">
        <v>33100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">
      <c r="A164" t="s">
        <v>462</v>
      </c>
      <c r="B164" t="s">
        <v>463</v>
      </c>
      <c r="C164">
        <v>204024</v>
      </c>
      <c r="D164">
        <v>17140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">
      <c r="A165" t="s">
        <v>134</v>
      </c>
      <c r="B165" t="s">
        <v>134</v>
      </c>
      <c r="C165">
        <v>170976</v>
      </c>
      <c r="D165">
        <v>11460</v>
      </c>
      <c r="E165">
        <v>12848</v>
      </c>
      <c r="F165">
        <v>12477</v>
      </c>
      <c r="G165">
        <v>9517</v>
      </c>
      <c r="H165">
        <v>12434</v>
      </c>
      <c r="I165">
        <v>14596</v>
      </c>
      <c r="J165">
        <v>13792</v>
      </c>
      <c r="K165">
        <v>0</v>
      </c>
      <c r="L165">
        <v>300</v>
      </c>
      <c r="M165">
        <v>11345</v>
      </c>
      <c r="N165">
        <v>11643</v>
      </c>
      <c r="O165">
        <v>11329</v>
      </c>
    </row>
    <row r="166" spans="1:15" x14ac:dyDescent="0.2">
      <c r="A166" t="s">
        <v>464</v>
      </c>
      <c r="B166" t="s">
        <v>464</v>
      </c>
      <c r="C166">
        <v>171100</v>
      </c>
      <c r="D166">
        <v>29620</v>
      </c>
      <c r="E166">
        <v>13714</v>
      </c>
      <c r="F166">
        <v>13506</v>
      </c>
      <c r="G166">
        <v>9426</v>
      </c>
      <c r="H166">
        <v>11993</v>
      </c>
      <c r="I166">
        <v>18101</v>
      </c>
      <c r="J166">
        <v>14600</v>
      </c>
      <c r="K166">
        <v>0</v>
      </c>
      <c r="L166">
        <v>379</v>
      </c>
      <c r="M166">
        <v>14219</v>
      </c>
      <c r="N166">
        <v>21274</v>
      </c>
      <c r="O166">
        <v>20617</v>
      </c>
    </row>
    <row r="167" spans="1:15" x14ac:dyDescent="0.2">
      <c r="A167" t="s">
        <v>465</v>
      </c>
      <c r="B167" t="s">
        <v>465</v>
      </c>
      <c r="C167">
        <v>220978</v>
      </c>
      <c r="D167">
        <v>34980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">
      <c r="A168" t="s">
        <v>466</v>
      </c>
      <c r="B168" t="s">
        <v>466</v>
      </c>
      <c r="C168">
        <v>240453</v>
      </c>
      <c r="D168">
        <v>33340</v>
      </c>
      <c r="E168">
        <v>7791</v>
      </c>
      <c r="F168">
        <v>5496</v>
      </c>
      <c r="G168">
        <v>8266</v>
      </c>
      <c r="H168">
        <v>4286</v>
      </c>
      <c r="I168">
        <v>4435</v>
      </c>
      <c r="J168">
        <v>2428</v>
      </c>
      <c r="K168">
        <v>0</v>
      </c>
      <c r="L168">
        <v>332</v>
      </c>
      <c r="M168">
        <v>2951</v>
      </c>
      <c r="N168">
        <v>3549</v>
      </c>
      <c r="O168">
        <v>4300</v>
      </c>
    </row>
    <row r="169" spans="1:15" x14ac:dyDescent="0.2">
      <c r="A169" t="s">
        <v>137</v>
      </c>
      <c r="B169" t="s">
        <v>137</v>
      </c>
      <c r="C169">
        <v>174066</v>
      </c>
      <c r="D169">
        <v>33460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">
      <c r="A170" t="s">
        <v>467</v>
      </c>
      <c r="B170" t="s">
        <v>467</v>
      </c>
      <c r="C170">
        <v>176080</v>
      </c>
      <c r="D170">
        <v>44260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">
      <c r="A171" t="s">
        <v>468</v>
      </c>
      <c r="B171" t="s">
        <v>468</v>
      </c>
      <c r="C171">
        <v>176044</v>
      </c>
      <c r="D171">
        <v>24900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">
      <c r="A172" t="s">
        <v>141</v>
      </c>
      <c r="B172" t="s">
        <v>141</v>
      </c>
      <c r="C172">
        <v>178396</v>
      </c>
      <c r="D172">
        <v>17860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">
      <c r="A173" t="s">
        <v>469</v>
      </c>
      <c r="B173" t="s">
        <v>469</v>
      </c>
      <c r="C173">
        <v>179566</v>
      </c>
      <c r="D173">
        <v>44180</v>
      </c>
      <c r="E173">
        <v>5313</v>
      </c>
      <c r="F173">
        <v>5477</v>
      </c>
      <c r="G173">
        <v>3108</v>
      </c>
      <c r="H173">
        <v>5426</v>
      </c>
      <c r="I173">
        <v>1961</v>
      </c>
      <c r="J173">
        <v>3546</v>
      </c>
      <c r="K173">
        <v>0</v>
      </c>
      <c r="L173">
        <v>1884</v>
      </c>
      <c r="M173">
        <v>3180</v>
      </c>
      <c r="N173">
        <v>4708</v>
      </c>
      <c r="O173">
        <v>3251</v>
      </c>
    </row>
    <row r="174" spans="1:15" x14ac:dyDescent="0.2">
      <c r="A174" t="s">
        <v>470</v>
      </c>
      <c r="B174" t="s">
        <v>470</v>
      </c>
      <c r="C174">
        <v>185572</v>
      </c>
      <c r="D174">
        <v>35620</v>
      </c>
      <c r="E174">
        <v>6831</v>
      </c>
      <c r="F174">
        <v>4940</v>
      </c>
      <c r="G174">
        <v>6001</v>
      </c>
      <c r="H174">
        <v>5170</v>
      </c>
      <c r="I174">
        <v>2787</v>
      </c>
      <c r="J174">
        <v>3242</v>
      </c>
      <c r="K174">
        <v>0</v>
      </c>
      <c r="L174">
        <v>109</v>
      </c>
      <c r="M174">
        <v>2861</v>
      </c>
      <c r="N174">
        <v>2929</v>
      </c>
      <c r="O174">
        <v>2818</v>
      </c>
    </row>
    <row r="175" spans="1:15" x14ac:dyDescent="0.2">
      <c r="A175" t="s">
        <v>144</v>
      </c>
      <c r="B175" t="s">
        <v>144</v>
      </c>
      <c r="C175">
        <v>180489</v>
      </c>
      <c r="D175">
        <v>33540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">
      <c r="A177" t="s">
        <v>472</v>
      </c>
      <c r="B177" t="s">
        <v>472</v>
      </c>
      <c r="C177">
        <v>157386</v>
      </c>
      <c r="D177">
        <v>30460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">
      <c r="A179" t="s">
        <v>474</v>
      </c>
      <c r="B179" t="s">
        <v>474</v>
      </c>
      <c r="C179">
        <v>163462</v>
      </c>
      <c r="D179">
        <v>23900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4516</v>
      </c>
      <c r="K179">
        <v>0</v>
      </c>
      <c r="L179">
        <v>83</v>
      </c>
      <c r="M179">
        <v>2542</v>
      </c>
      <c r="N179">
        <v>2231</v>
      </c>
      <c r="O179">
        <v>2154</v>
      </c>
    </row>
    <row r="180" spans="1:15" x14ac:dyDescent="0.2">
      <c r="A180" t="s">
        <v>475</v>
      </c>
      <c r="B180" t="s">
        <v>475</v>
      </c>
      <c r="C180">
        <v>157401</v>
      </c>
      <c r="D180">
        <v>34660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">
      <c r="A181" t="s">
        <v>476</v>
      </c>
      <c r="B181" t="s">
        <v>476</v>
      </c>
      <c r="C181">
        <v>199102</v>
      </c>
      <c r="D181">
        <v>24660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">
      <c r="A182" t="s">
        <v>477</v>
      </c>
      <c r="B182" t="s">
        <v>477</v>
      </c>
      <c r="C182">
        <v>199157</v>
      </c>
      <c r="D182">
        <v>20500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">
      <c r="A183" t="s">
        <v>149</v>
      </c>
      <c r="B183" t="s">
        <v>149</v>
      </c>
      <c r="C183">
        <v>500000</v>
      </c>
      <c r="D183">
        <v>47900</v>
      </c>
      <c r="E183">
        <v>4787</v>
      </c>
      <c r="F183">
        <v>6409</v>
      </c>
      <c r="G183">
        <v>5871</v>
      </c>
      <c r="H183">
        <v>2949</v>
      </c>
      <c r="I183">
        <v>2415</v>
      </c>
      <c r="J183">
        <v>6962</v>
      </c>
      <c r="K183">
        <v>0</v>
      </c>
      <c r="L183">
        <v>363</v>
      </c>
      <c r="M183">
        <v>3514</v>
      </c>
      <c r="N183">
        <v>7793</v>
      </c>
      <c r="O183">
        <v>4516</v>
      </c>
    </row>
    <row r="184" spans="1:15" x14ac:dyDescent="0.2">
      <c r="A184" t="s">
        <v>478</v>
      </c>
      <c r="B184" t="s">
        <v>478</v>
      </c>
      <c r="C184">
        <v>199193</v>
      </c>
      <c r="D184">
        <v>39580</v>
      </c>
      <c r="E184">
        <v>8294</v>
      </c>
      <c r="F184">
        <v>10169</v>
      </c>
      <c r="G184">
        <v>7219</v>
      </c>
      <c r="H184">
        <v>7324</v>
      </c>
      <c r="I184">
        <v>9617</v>
      </c>
      <c r="J184">
        <v>12401</v>
      </c>
      <c r="K184">
        <v>0</v>
      </c>
      <c r="L184">
        <v>695</v>
      </c>
      <c r="M184">
        <v>10835</v>
      </c>
      <c r="N184">
        <v>9087</v>
      </c>
      <c r="O184">
        <v>12555</v>
      </c>
    </row>
    <row r="185" spans="1:15" x14ac:dyDescent="0.2">
      <c r="A185" t="s">
        <v>150</v>
      </c>
      <c r="B185" t="s">
        <v>150</v>
      </c>
      <c r="C185">
        <v>181464</v>
      </c>
      <c r="D185">
        <v>30700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">
      <c r="A186" t="s">
        <v>152</v>
      </c>
      <c r="B186" t="s">
        <v>152</v>
      </c>
      <c r="C186">
        <v>182290</v>
      </c>
      <c r="D186">
        <v>39900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">
      <c r="A187" t="s">
        <v>153</v>
      </c>
      <c r="B187" t="s">
        <v>153</v>
      </c>
      <c r="C187">
        <v>183044</v>
      </c>
      <c r="D187">
        <v>18180</v>
      </c>
      <c r="E187">
        <v>1902</v>
      </c>
      <c r="F187">
        <v>1300</v>
      </c>
      <c r="G187">
        <v>2833</v>
      </c>
      <c r="H187">
        <v>10987</v>
      </c>
      <c r="I187">
        <v>13846</v>
      </c>
      <c r="J187">
        <v>16568</v>
      </c>
      <c r="K187">
        <v>0</v>
      </c>
      <c r="L187">
        <v>680</v>
      </c>
      <c r="M187">
        <v>24909</v>
      </c>
      <c r="N187">
        <v>18054</v>
      </c>
      <c r="O187">
        <v>20647</v>
      </c>
    </row>
    <row r="188" spans="1:15" x14ac:dyDescent="0.2">
      <c r="A188" t="s">
        <v>154</v>
      </c>
      <c r="B188" t="s">
        <v>154</v>
      </c>
      <c r="C188">
        <v>187985</v>
      </c>
      <c r="D188">
        <v>10740</v>
      </c>
      <c r="E188">
        <v>25453</v>
      </c>
      <c r="F188">
        <v>25038</v>
      </c>
      <c r="G188">
        <v>16918</v>
      </c>
      <c r="H188">
        <v>13611</v>
      </c>
      <c r="I188">
        <v>10175</v>
      </c>
      <c r="J188">
        <v>9729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">
      <c r="A189" t="s">
        <v>479</v>
      </c>
      <c r="B189" t="s">
        <v>479</v>
      </c>
      <c r="C189">
        <v>188030</v>
      </c>
      <c r="D189">
        <v>29740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">
      <c r="A190" t="s">
        <v>156</v>
      </c>
      <c r="B190" t="s">
        <v>156</v>
      </c>
      <c r="C190">
        <v>159939</v>
      </c>
      <c r="D190">
        <v>35380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">
      <c r="A191" t="s">
        <v>480</v>
      </c>
      <c r="B191" t="s">
        <v>480</v>
      </c>
      <c r="C191">
        <v>193973</v>
      </c>
      <c r="D191">
        <v>15380</v>
      </c>
      <c r="E191">
        <v>1565</v>
      </c>
      <c r="F191">
        <v>1552</v>
      </c>
      <c r="G191">
        <v>1176</v>
      </c>
      <c r="H191">
        <v>2043</v>
      </c>
      <c r="I191">
        <v>1197</v>
      </c>
      <c r="J191">
        <v>995</v>
      </c>
      <c r="K191">
        <v>0</v>
      </c>
      <c r="L191">
        <v>263</v>
      </c>
      <c r="M191">
        <v>1147</v>
      </c>
      <c r="N191">
        <v>2250</v>
      </c>
      <c r="O191">
        <v>1889</v>
      </c>
    </row>
    <row r="192" spans="1:15" x14ac:dyDescent="0.2">
      <c r="A192" t="s">
        <v>481</v>
      </c>
      <c r="B192" t="s">
        <v>482</v>
      </c>
      <c r="C192">
        <v>159966</v>
      </c>
      <c r="D192">
        <v>26380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">
      <c r="A193" t="s">
        <v>483</v>
      </c>
      <c r="B193" t="s">
        <v>484</v>
      </c>
      <c r="C193">
        <v>147703</v>
      </c>
      <c r="D193">
        <v>16980</v>
      </c>
      <c r="E193">
        <v>1968</v>
      </c>
      <c r="F193">
        <v>2559</v>
      </c>
      <c r="G193">
        <v>2392</v>
      </c>
      <c r="H193">
        <v>1937</v>
      </c>
      <c r="I193">
        <v>1633</v>
      </c>
      <c r="J193">
        <v>1341</v>
      </c>
      <c r="K193">
        <v>0</v>
      </c>
      <c r="L193">
        <v>393</v>
      </c>
      <c r="M193">
        <v>4081</v>
      </c>
      <c r="N193">
        <v>2092</v>
      </c>
      <c r="O193">
        <v>2166</v>
      </c>
    </row>
    <row r="194" spans="1:15" x14ac:dyDescent="0.2">
      <c r="A194" t="s">
        <v>158</v>
      </c>
      <c r="B194" t="s">
        <v>158</v>
      </c>
      <c r="C194">
        <v>185828</v>
      </c>
      <c r="D194">
        <v>35620</v>
      </c>
      <c r="E194">
        <v>2536</v>
      </c>
      <c r="F194">
        <v>5840</v>
      </c>
      <c r="G194">
        <v>3743</v>
      </c>
      <c r="H194">
        <v>1541</v>
      </c>
      <c r="I194">
        <v>1962</v>
      </c>
      <c r="J194">
        <v>2237</v>
      </c>
      <c r="K194">
        <v>0</v>
      </c>
      <c r="L194">
        <v>0</v>
      </c>
      <c r="M194">
        <v>4118</v>
      </c>
      <c r="N194">
        <v>1395</v>
      </c>
      <c r="O194">
        <v>2902</v>
      </c>
    </row>
    <row r="195" spans="1:15" x14ac:dyDescent="0.2">
      <c r="A195" t="s">
        <v>485</v>
      </c>
      <c r="B195" t="s">
        <v>485</v>
      </c>
      <c r="C195">
        <v>232937</v>
      </c>
      <c r="D195">
        <v>47260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">
      <c r="A197" t="s">
        <v>160</v>
      </c>
      <c r="B197" t="s">
        <v>160</v>
      </c>
      <c r="C197">
        <v>199120</v>
      </c>
      <c r="D197">
        <v>20500</v>
      </c>
      <c r="E197">
        <v>22620</v>
      </c>
      <c r="F197">
        <v>20163</v>
      </c>
      <c r="G197">
        <v>17623</v>
      </c>
      <c r="H197">
        <v>20365</v>
      </c>
      <c r="I197">
        <v>16341</v>
      </c>
      <c r="J197">
        <v>11196</v>
      </c>
      <c r="K197">
        <v>0</v>
      </c>
      <c r="L197">
        <v>1354</v>
      </c>
      <c r="M197">
        <v>13374</v>
      </c>
      <c r="N197">
        <v>13932</v>
      </c>
      <c r="O197">
        <v>27151</v>
      </c>
    </row>
    <row r="198" spans="1:15" x14ac:dyDescent="0.2">
      <c r="A198" t="s">
        <v>167</v>
      </c>
      <c r="B198" t="s">
        <v>167</v>
      </c>
      <c r="C198">
        <v>200280</v>
      </c>
      <c r="D198">
        <v>24220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">
      <c r="A199" t="s">
        <v>488</v>
      </c>
      <c r="B199" t="s">
        <v>488</v>
      </c>
      <c r="C199">
        <v>200332</v>
      </c>
      <c r="D199">
        <v>22020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">
      <c r="A200" t="s">
        <v>169</v>
      </c>
      <c r="B200" t="s">
        <v>169</v>
      </c>
      <c r="C200">
        <v>136172</v>
      </c>
      <c r="D200">
        <v>27260</v>
      </c>
      <c r="E200">
        <v>2331</v>
      </c>
      <c r="F200">
        <v>3522</v>
      </c>
      <c r="G200">
        <v>5529</v>
      </c>
      <c r="H200">
        <v>4462</v>
      </c>
      <c r="I200">
        <v>2393</v>
      </c>
      <c r="J200">
        <v>2040</v>
      </c>
      <c r="K200">
        <v>0</v>
      </c>
      <c r="L200">
        <v>509</v>
      </c>
      <c r="M200">
        <v>2759</v>
      </c>
      <c r="N200">
        <v>3203</v>
      </c>
      <c r="O200">
        <v>2049</v>
      </c>
    </row>
    <row r="201" spans="1:15" x14ac:dyDescent="0.2">
      <c r="A201" t="s">
        <v>170</v>
      </c>
      <c r="B201" t="s">
        <v>170</v>
      </c>
      <c r="C201">
        <v>227216</v>
      </c>
      <c r="D201">
        <v>19100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">
      <c r="A202" t="s">
        <v>489</v>
      </c>
      <c r="B202" t="s">
        <v>489</v>
      </c>
      <c r="C202">
        <v>167358</v>
      </c>
      <c r="D202">
        <v>14460</v>
      </c>
      <c r="E202">
        <v>1866</v>
      </c>
      <c r="F202">
        <v>2881</v>
      </c>
      <c r="G202">
        <v>2690</v>
      </c>
      <c r="H202">
        <v>1260</v>
      </c>
      <c r="I202">
        <v>3273</v>
      </c>
      <c r="J202">
        <v>1684</v>
      </c>
      <c r="K202">
        <v>0</v>
      </c>
      <c r="L202">
        <v>0</v>
      </c>
      <c r="M202">
        <v>1483</v>
      </c>
      <c r="N202">
        <v>1492</v>
      </c>
      <c r="O202">
        <v>1903</v>
      </c>
    </row>
    <row r="203" spans="1:15" x14ac:dyDescent="0.2">
      <c r="A203" t="s">
        <v>490</v>
      </c>
      <c r="B203" t="s">
        <v>490</v>
      </c>
      <c r="C203">
        <v>105330</v>
      </c>
      <c r="D203">
        <v>22380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">
      <c r="A204" t="s">
        <v>491</v>
      </c>
      <c r="B204" t="s">
        <v>491</v>
      </c>
      <c r="C204">
        <v>127741</v>
      </c>
      <c r="D204">
        <v>24540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">
      <c r="A205" t="s">
        <v>492</v>
      </c>
      <c r="B205" t="s">
        <v>492</v>
      </c>
      <c r="C205">
        <v>157447</v>
      </c>
      <c r="D205">
        <v>17140</v>
      </c>
      <c r="E205">
        <v>1474</v>
      </c>
      <c r="F205">
        <v>3103</v>
      </c>
      <c r="G205">
        <v>1752</v>
      </c>
      <c r="H205">
        <v>1602</v>
      </c>
      <c r="I205">
        <v>2078</v>
      </c>
      <c r="J205">
        <v>1382</v>
      </c>
      <c r="K205">
        <v>0</v>
      </c>
      <c r="L205">
        <v>140</v>
      </c>
      <c r="M205">
        <v>1956</v>
      </c>
      <c r="N205">
        <v>2476</v>
      </c>
      <c r="O205">
        <v>1697</v>
      </c>
    </row>
    <row r="206" spans="1:15" x14ac:dyDescent="0.2">
      <c r="A206" t="s">
        <v>493</v>
      </c>
      <c r="B206" t="s">
        <v>493</v>
      </c>
      <c r="C206">
        <v>147767</v>
      </c>
      <c r="D206">
        <v>16980</v>
      </c>
      <c r="E206">
        <v>7864</v>
      </c>
      <c r="F206">
        <v>7652</v>
      </c>
      <c r="G206">
        <v>2768</v>
      </c>
      <c r="H206">
        <v>6606</v>
      </c>
      <c r="I206">
        <v>4311</v>
      </c>
      <c r="J206">
        <v>3553</v>
      </c>
      <c r="K206">
        <v>0</v>
      </c>
      <c r="L206">
        <v>22</v>
      </c>
      <c r="M206">
        <v>4076</v>
      </c>
      <c r="N206">
        <v>4207</v>
      </c>
      <c r="O206">
        <v>6247</v>
      </c>
    </row>
    <row r="207" spans="1:15" x14ac:dyDescent="0.2">
      <c r="A207" t="s">
        <v>494</v>
      </c>
      <c r="B207" t="s">
        <v>494</v>
      </c>
      <c r="C207">
        <v>160038</v>
      </c>
      <c r="D207">
        <v>35060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">
      <c r="A208" t="s">
        <v>495</v>
      </c>
      <c r="B208" t="s">
        <v>495</v>
      </c>
      <c r="C208">
        <v>152080</v>
      </c>
      <c r="D208">
        <v>43780</v>
      </c>
      <c r="E208">
        <v>15850</v>
      </c>
      <c r="F208">
        <v>14904</v>
      </c>
      <c r="G208">
        <v>14207</v>
      </c>
      <c r="H208">
        <v>15110</v>
      </c>
      <c r="I208">
        <v>9531</v>
      </c>
      <c r="J208">
        <v>9303</v>
      </c>
      <c r="K208">
        <v>0</v>
      </c>
      <c r="L208">
        <v>1128</v>
      </c>
      <c r="M208">
        <v>10619</v>
      </c>
      <c r="N208">
        <v>4943</v>
      </c>
      <c r="O208">
        <v>18871</v>
      </c>
    </row>
    <row r="209" spans="1:15" x14ac:dyDescent="0.2">
      <c r="A209" t="s">
        <v>176</v>
      </c>
      <c r="B209" t="s">
        <v>176</v>
      </c>
      <c r="C209">
        <v>171571</v>
      </c>
      <c r="D209">
        <v>19820</v>
      </c>
      <c r="E209">
        <v>4187</v>
      </c>
      <c r="F209">
        <v>7470</v>
      </c>
      <c r="G209">
        <v>4622</v>
      </c>
      <c r="H209">
        <v>4999</v>
      </c>
      <c r="I209">
        <v>3007</v>
      </c>
      <c r="J209">
        <v>5048</v>
      </c>
      <c r="K209">
        <v>0</v>
      </c>
      <c r="L209">
        <v>0</v>
      </c>
      <c r="M209">
        <v>2988</v>
      </c>
      <c r="N209">
        <v>1860</v>
      </c>
      <c r="O209">
        <v>2322</v>
      </c>
    </row>
    <row r="210" spans="1:15" x14ac:dyDescent="0.2">
      <c r="A210" t="s">
        <v>177</v>
      </c>
      <c r="B210" t="s">
        <v>177</v>
      </c>
      <c r="C210">
        <v>204857</v>
      </c>
      <c r="D210">
        <v>11900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">
      <c r="A211" t="s">
        <v>496</v>
      </c>
      <c r="B211" t="s">
        <v>496</v>
      </c>
      <c r="C211">
        <v>204796</v>
      </c>
      <c r="D211">
        <v>18140</v>
      </c>
      <c r="E211">
        <v>6556</v>
      </c>
      <c r="F211">
        <v>7209</v>
      </c>
      <c r="G211">
        <v>14378</v>
      </c>
      <c r="H211">
        <v>9269</v>
      </c>
      <c r="I211">
        <v>8963</v>
      </c>
      <c r="J211">
        <v>6993</v>
      </c>
      <c r="K211">
        <v>0</v>
      </c>
      <c r="L211">
        <v>268</v>
      </c>
      <c r="M211">
        <v>9080</v>
      </c>
      <c r="N211">
        <v>13078</v>
      </c>
      <c r="O211">
        <v>11695</v>
      </c>
    </row>
    <row r="212" spans="1:15" x14ac:dyDescent="0.2">
      <c r="A212" t="s">
        <v>179</v>
      </c>
      <c r="B212" t="s">
        <v>179</v>
      </c>
      <c r="C212">
        <v>207500</v>
      </c>
      <c r="D212">
        <v>36420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">
      <c r="A213" t="s">
        <v>497</v>
      </c>
      <c r="B213" t="s">
        <v>497</v>
      </c>
      <c r="C213">
        <v>207388</v>
      </c>
      <c r="D213">
        <v>44660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">
      <c r="A214" t="s">
        <v>181</v>
      </c>
      <c r="B214" t="s">
        <v>181</v>
      </c>
      <c r="C214">
        <v>232982</v>
      </c>
      <c r="D214">
        <v>47260</v>
      </c>
      <c r="E214">
        <v>8823</v>
      </c>
      <c r="F214">
        <v>11182</v>
      </c>
      <c r="G214">
        <v>4654</v>
      </c>
      <c r="H214">
        <v>5680</v>
      </c>
      <c r="I214">
        <v>8126</v>
      </c>
      <c r="J214">
        <v>4754</v>
      </c>
      <c r="K214">
        <v>0</v>
      </c>
      <c r="L214">
        <v>1676</v>
      </c>
      <c r="M214">
        <v>2398</v>
      </c>
      <c r="N214">
        <v>3010</v>
      </c>
      <c r="O214">
        <v>2960</v>
      </c>
    </row>
    <row r="215" spans="1:15" x14ac:dyDescent="0.2">
      <c r="A215" t="s">
        <v>498</v>
      </c>
      <c r="B215" t="s">
        <v>498</v>
      </c>
      <c r="C215">
        <v>176017</v>
      </c>
      <c r="D215">
        <v>37060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">
      <c r="A216" t="s">
        <v>499</v>
      </c>
      <c r="B216" t="s">
        <v>499</v>
      </c>
      <c r="C216">
        <v>181394</v>
      </c>
      <c r="D216">
        <v>36540</v>
      </c>
      <c r="E216">
        <v>5004</v>
      </c>
      <c r="F216">
        <v>5253</v>
      </c>
      <c r="G216">
        <v>4929</v>
      </c>
      <c r="H216">
        <v>5872</v>
      </c>
      <c r="I216">
        <v>10695</v>
      </c>
      <c r="J216">
        <v>4850</v>
      </c>
      <c r="K216">
        <v>0</v>
      </c>
      <c r="L216">
        <v>1172</v>
      </c>
      <c r="M216">
        <v>1818</v>
      </c>
      <c r="N216">
        <v>5045</v>
      </c>
      <c r="O216">
        <v>3681</v>
      </c>
    </row>
    <row r="217" spans="1:15" x14ac:dyDescent="0.2">
      <c r="A217" t="s">
        <v>500</v>
      </c>
      <c r="B217" t="s">
        <v>500</v>
      </c>
      <c r="C217">
        <v>207582</v>
      </c>
      <c r="D217">
        <v>46140</v>
      </c>
      <c r="E217">
        <v>2757</v>
      </c>
      <c r="F217">
        <v>3214</v>
      </c>
      <c r="G217">
        <v>3325</v>
      </c>
      <c r="H217">
        <v>3679</v>
      </c>
      <c r="I217">
        <v>4072</v>
      </c>
      <c r="J217">
        <v>2469</v>
      </c>
      <c r="K217">
        <v>0</v>
      </c>
      <c r="L217">
        <v>1952</v>
      </c>
      <c r="M217">
        <v>4379</v>
      </c>
      <c r="N217">
        <v>4527</v>
      </c>
      <c r="O217">
        <v>6591</v>
      </c>
    </row>
    <row r="218" spans="1:15" x14ac:dyDescent="0.2">
      <c r="A218" t="s">
        <v>182</v>
      </c>
      <c r="B218" t="s">
        <v>182</v>
      </c>
      <c r="C218">
        <v>209551</v>
      </c>
      <c r="D218">
        <v>21660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">
      <c r="A219" t="s">
        <v>501</v>
      </c>
      <c r="B219" t="s">
        <v>501</v>
      </c>
      <c r="C219">
        <v>209542</v>
      </c>
      <c r="D219">
        <v>18700</v>
      </c>
      <c r="E219">
        <v>4743</v>
      </c>
      <c r="F219">
        <v>6162</v>
      </c>
      <c r="G219">
        <v>4492</v>
      </c>
      <c r="H219">
        <v>4284</v>
      </c>
      <c r="I219">
        <v>2623</v>
      </c>
      <c r="J219">
        <v>5479</v>
      </c>
      <c r="K219">
        <v>0</v>
      </c>
      <c r="L219">
        <v>224</v>
      </c>
      <c r="M219">
        <v>9951</v>
      </c>
      <c r="N219">
        <v>8155</v>
      </c>
      <c r="O219">
        <v>7816</v>
      </c>
    </row>
    <row r="220" spans="1:15" x14ac:dyDescent="0.2">
      <c r="A220" t="s">
        <v>502</v>
      </c>
      <c r="B220" t="s">
        <v>502</v>
      </c>
      <c r="C220">
        <v>120883</v>
      </c>
      <c r="D220">
        <v>44700</v>
      </c>
      <c r="E220">
        <v>0</v>
      </c>
      <c r="F220">
        <v>5140</v>
      </c>
      <c r="G220">
        <v>3295</v>
      </c>
      <c r="H220">
        <v>4190</v>
      </c>
      <c r="I220">
        <v>3403</v>
      </c>
      <c r="J220">
        <v>6834</v>
      </c>
      <c r="K220">
        <v>0</v>
      </c>
      <c r="L220">
        <v>0</v>
      </c>
      <c r="M220">
        <v>2826</v>
      </c>
      <c r="N220">
        <v>3440</v>
      </c>
      <c r="O220">
        <v>3895</v>
      </c>
    </row>
    <row r="221" spans="1:15" x14ac:dyDescent="0.2">
      <c r="A221" t="s">
        <v>503</v>
      </c>
      <c r="B221" t="s">
        <v>503</v>
      </c>
      <c r="C221">
        <v>215062</v>
      </c>
      <c r="D221">
        <v>37980</v>
      </c>
      <c r="E221">
        <v>5381</v>
      </c>
      <c r="F221">
        <v>2646</v>
      </c>
      <c r="G221">
        <v>3386</v>
      </c>
      <c r="H221">
        <v>1809</v>
      </c>
      <c r="I221">
        <v>2657</v>
      </c>
      <c r="J221">
        <v>1996</v>
      </c>
      <c r="K221">
        <v>0</v>
      </c>
      <c r="L221">
        <v>0</v>
      </c>
      <c r="M221">
        <v>3481</v>
      </c>
      <c r="N221">
        <v>2264</v>
      </c>
      <c r="O221">
        <v>1618</v>
      </c>
    </row>
    <row r="222" spans="1:15" x14ac:dyDescent="0.2">
      <c r="A222" t="s">
        <v>504</v>
      </c>
      <c r="B222" t="s">
        <v>504</v>
      </c>
      <c r="C222">
        <v>214777</v>
      </c>
      <c r="D222">
        <v>44300</v>
      </c>
      <c r="E222">
        <v>10727</v>
      </c>
      <c r="F222">
        <v>22172</v>
      </c>
      <c r="G222">
        <v>12372</v>
      </c>
      <c r="H222">
        <v>10950</v>
      </c>
      <c r="I222">
        <v>7781</v>
      </c>
      <c r="J222">
        <v>9775</v>
      </c>
      <c r="K222">
        <v>0</v>
      </c>
      <c r="L222">
        <v>1371</v>
      </c>
      <c r="M222">
        <v>15889</v>
      </c>
      <c r="N222">
        <v>10440</v>
      </c>
      <c r="O222">
        <v>15043</v>
      </c>
    </row>
    <row r="223" spans="1:15" x14ac:dyDescent="0.2">
      <c r="A223" t="s">
        <v>505</v>
      </c>
      <c r="B223" t="s">
        <v>505</v>
      </c>
      <c r="C223">
        <v>121150</v>
      </c>
      <c r="D223">
        <v>31080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">
      <c r="A224" t="s">
        <v>506</v>
      </c>
      <c r="B224" t="s">
        <v>506</v>
      </c>
      <c r="C224">
        <v>215293</v>
      </c>
      <c r="D224">
        <v>38300</v>
      </c>
      <c r="E224">
        <v>4634</v>
      </c>
      <c r="F224">
        <v>3150</v>
      </c>
      <c r="G224">
        <v>4603</v>
      </c>
      <c r="H224">
        <v>3169</v>
      </c>
      <c r="I224">
        <v>5752</v>
      </c>
      <c r="J224">
        <v>4682</v>
      </c>
      <c r="K224">
        <v>0</v>
      </c>
      <c r="L224">
        <v>55</v>
      </c>
      <c r="M224">
        <v>13063</v>
      </c>
      <c r="N224">
        <v>14500</v>
      </c>
      <c r="O224">
        <v>11210</v>
      </c>
    </row>
    <row r="225" spans="1:15" x14ac:dyDescent="0.2">
      <c r="A225" t="s">
        <v>507</v>
      </c>
      <c r="B225" t="s">
        <v>507</v>
      </c>
      <c r="C225">
        <v>209825</v>
      </c>
      <c r="D225">
        <v>38900</v>
      </c>
      <c r="E225">
        <v>14997</v>
      </c>
      <c r="F225">
        <v>11479</v>
      </c>
      <c r="G225">
        <v>15489</v>
      </c>
      <c r="H225">
        <v>18382</v>
      </c>
      <c r="I225">
        <v>20003</v>
      </c>
      <c r="J225">
        <v>26343</v>
      </c>
      <c r="K225">
        <v>0</v>
      </c>
      <c r="L225">
        <v>634</v>
      </c>
      <c r="M225">
        <v>14993</v>
      </c>
      <c r="N225">
        <v>17101</v>
      </c>
      <c r="O225">
        <v>19412</v>
      </c>
    </row>
    <row r="226" spans="1:15" x14ac:dyDescent="0.2">
      <c r="A226" t="s">
        <v>508</v>
      </c>
      <c r="B226" t="s">
        <v>508</v>
      </c>
      <c r="C226">
        <v>209807</v>
      </c>
      <c r="D226">
        <v>38900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">
      <c r="A227" t="s">
        <v>509</v>
      </c>
      <c r="B227" t="s">
        <v>509</v>
      </c>
      <c r="C227">
        <v>227526</v>
      </c>
      <c r="D227">
        <v>26420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">
      <c r="A228" t="s">
        <v>510</v>
      </c>
      <c r="B228" t="s">
        <v>510</v>
      </c>
      <c r="C228">
        <v>218539</v>
      </c>
      <c r="D228">
        <v>43900</v>
      </c>
      <c r="E228">
        <v>1572</v>
      </c>
      <c r="F228">
        <v>1642</v>
      </c>
      <c r="G228">
        <v>1393</v>
      </c>
      <c r="H228">
        <v>1715</v>
      </c>
      <c r="I228">
        <v>1893</v>
      </c>
      <c r="J228">
        <v>1628</v>
      </c>
      <c r="K228">
        <v>0</v>
      </c>
      <c r="L228">
        <v>254</v>
      </c>
      <c r="M228">
        <v>1230</v>
      </c>
      <c r="N228">
        <v>1656</v>
      </c>
      <c r="O228">
        <v>1264</v>
      </c>
    </row>
    <row r="229" spans="1:15" x14ac:dyDescent="0.2">
      <c r="A229" t="s">
        <v>511</v>
      </c>
      <c r="B229" t="s">
        <v>511</v>
      </c>
      <c r="C229">
        <v>186131</v>
      </c>
      <c r="D229">
        <v>45940</v>
      </c>
      <c r="E229">
        <v>3766</v>
      </c>
      <c r="F229">
        <v>5588</v>
      </c>
      <c r="G229">
        <v>5369</v>
      </c>
      <c r="H229">
        <v>4151</v>
      </c>
      <c r="I229">
        <v>4523</v>
      </c>
      <c r="J229">
        <v>3643</v>
      </c>
      <c r="K229">
        <v>0</v>
      </c>
      <c r="L229">
        <v>0</v>
      </c>
      <c r="M229">
        <v>5464</v>
      </c>
      <c r="N229">
        <v>3698</v>
      </c>
      <c r="O229">
        <v>5541</v>
      </c>
    </row>
    <row r="230" spans="1:15" x14ac:dyDescent="0.2">
      <c r="A230" t="s">
        <v>512</v>
      </c>
      <c r="B230" t="s">
        <v>512</v>
      </c>
      <c r="C230">
        <v>217402</v>
      </c>
      <c r="D230">
        <v>39300</v>
      </c>
      <c r="E230">
        <v>3650</v>
      </c>
      <c r="F230">
        <v>12257</v>
      </c>
      <c r="G230">
        <v>5305</v>
      </c>
      <c r="H230">
        <v>11463</v>
      </c>
      <c r="I230">
        <v>10590</v>
      </c>
      <c r="J230">
        <v>11310</v>
      </c>
      <c r="K230">
        <v>0</v>
      </c>
      <c r="L230">
        <v>650</v>
      </c>
      <c r="M230">
        <v>6227</v>
      </c>
      <c r="N230">
        <v>8458</v>
      </c>
      <c r="O230">
        <v>5881</v>
      </c>
    </row>
    <row r="231" spans="1:15" x14ac:dyDescent="0.2">
      <c r="A231" t="s">
        <v>187</v>
      </c>
      <c r="B231" t="s">
        <v>187</v>
      </c>
      <c r="C231">
        <v>243780</v>
      </c>
      <c r="D231">
        <v>29200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">
      <c r="A232" t="s">
        <v>188</v>
      </c>
      <c r="B232" t="s">
        <v>188</v>
      </c>
      <c r="C232">
        <v>151102</v>
      </c>
      <c r="D232">
        <v>23060</v>
      </c>
      <c r="E232">
        <v>1811</v>
      </c>
      <c r="F232">
        <v>1695</v>
      </c>
      <c r="G232">
        <v>1615</v>
      </c>
      <c r="H232">
        <v>1212</v>
      </c>
      <c r="I232">
        <v>1184</v>
      </c>
      <c r="J232">
        <v>1796</v>
      </c>
      <c r="K232">
        <v>0</v>
      </c>
      <c r="L232">
        <v>279</v>
      </c>
      <c r="M232">
        <v>924</v>
      </c>
      <c r="N232">
        <v>1346</v>
      </c>
      <c r="O232">
        <v>944</v>
      </c>
    </row>
    <row r="233" spans="1:15" x14ac:dyDescent="0.2">
      <c r="A233" t="s">
        <v>513</v>
      </c>
      <c r="B233" t="s">
        <v>513</v>
      </c>
      <c r="C233">
        <v>130226</v>
      </c>
      <c r="D233">
        <v>35300</v>
      </c>
      <c r="E233">
        <v>2221</v>
      </c>
      <c r="F233">
        <v>2806</v>
      </c>
      <c r="G233">
        <v>2683</v>
      </c>
      <c r="H233">
        <v>4800</v>
      </c>
      <c r="I233">
        <v>4935</v>
      </c>
      <c r="J233">
        <v>5617</v>
      </c>
      <c r="K233">
        <v>0</v>
      </c>
      <c r="L233">
        <v>1554</v>
      </c>
      <c r="M233">
        <v>2509</v>
      </c>
      <c r="N233">
        <v>3747</v>
      </c>
      <c r="O233">
        <v>2513</v>
      </c>
    </row>
    <row r="234" spans="1:15" x14ac:dyDescent="0.2">
      <c r="A234" t="s">
        <v>189</v>
      </c>
      <c r="B234" t="s">
        <v>189</v>
      </c>
      <c r="C234">
        <v>233277</v>
      </c>
      <c r="D234">
        <v>40220</v>
      </c>
      <c r="E234">
        <v>3195</v>
      </c>
      <c r="F234">
        <v>4851</v>
      </c>
      <c r="G234">
        <v>4452</v>
      </c>
      <c r="H234">
        <v>4458</v>
      </c>
      <c r="I234">
        <v>2515</v>
      </c>
      <c r="J234">
        <v>2165</v>
      </c>
      <c r="K234">
        <v>0</v>
      </c>
      <c r="L234">
        <v>888</v>
      </c>
      <c r="M234">
        <v>1166</v>
      </c>
      <c r="N234">
        <v>1300</v>
      </c>
      <c r="O234">
        <v>1610</v>
      </c>
    </row>
    <row r="235" spans="1:15" x14ac:dyDescent="0.2">
      <c r="A235" t="s">
        <v>190</v>
      </c>
      <c r="B235" t="s">
        <v>190</v>
      </c>
      <c r="C235">
        <v>217484</v>
      </c>
      <c r="D235">
        <v>39300</v>
      </c>
      <c r="E235">
        <v>2525</v>
      </c>
      <c r="F235">
        <v>3015</v>
      </c>
      <c r="G235">
        <v>6810</v>
      </c>
      <c r="H235">
        <v>3577</v>
      </c>
      <c r="I235">
        <v>6485</v>
      </c>
      <c r="J235">
        <v>9951</v>
      </c>
      <c r="K235">
        <v>0</v>
      </c>
      <c r="L235">
        <v>70</v>
      </c>
      <c r="M235">
        <v>13299</v>
      </c>
      <c r="N235">
        <v>9694</v>
      </c>
      <c r="O235">
        <v>5507</v>
      </c>
    </row>
    <row r="236" spans="1:15" x14ac:dyDescent="0.2">
      <c r="A236" t="s">
        <v>514</v>
      </c>
      <c r="B236" t="s">
        <v>514</v>
      </c>
      <c r="C236">
        <v>227757</v>
      </c>
      <c r="D236">
        <v>26420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">
      <c r="A237" t="s">
        <v>515</v>
      </c>
      <c r="B237" t="s">
        <v>515</v>
      </c>
      <c r="C237">
        <v>233374</v>
      </c>
      <c r="D237">
        <v>40060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">
      <c r="A238" t="s">
        <v>516</v>
      </c>
      <c r="B238" t="s">
        <v>516</v>
      </c>
      <c r="C238">
        <v>186283</v>
      </c>
      <c r="D238">
        <v>45940</v>
      </c>
      <c r="E238">
        <v>2118</v>
      </c>
      <c r="F238">
        <v>2040</v>
      </c>
      <c r="G238">
        <v>2632</v>
      </c>
      <c r="H238">
        <v>4650</v>
      </c>
      <c r="I238">
        <v>5698</v>
      </c>
      <c r="J238">
        <v>3068</v>
      </c>
      <c r="K238">
        <v>0</v>
      </c>
      <c r="L238">
        <v>130</v>
      </c>
      <c r="M238">
        <v>1595</v>
      </c>
      <c r="N238">
        <v>1272</v>
      </c>
      <c r="O238">
        <v>1692</v>
      </c>
    </row>
    <row r="239" spans="1:15" x14ac:dyDescent="0.2">
      <c r="A239" t="s">
        <v>517</v>
      </c>
      <c r="B239" t="s">
        <v>517</v>
      </c>
      <c r="C239">
        <v>215655</v>
      </c>
      <c r="D239">
        <v>38300</v>
      </c>
      <c r="E239">
        <v>2054</v>
      </c>
      <c r="F239">
        <v>2651</v>
      </c>
      <c r="G239">
        <v>2828</v>
      </c>
      <c r="H239">
        <v>1676</v>
      </c>
      <c r="I239">
        <v>1966</v>
      </c>
      <c r="J239">
        <v>2062</v>
      </c>
      <c r="K239">
        <v>0</v>
      </c>
      <c r="L239">
        <v>19</v>
      </c>
      <c r="M239">
        <v>515</v>
      </c>
      <c r="N239">
        <v>619</v>
      </c>
      <c r="O239">
        <v>891</v>
      </c>
    </row>
    <row r="240" spans="1:15" x14ac:dyDescent="0.2">
      <c r="A240" t="s">
        <v>191</v>
      </c>
      <c r="B240" t="s">
        <v>191</v>
      </c>
      <c r="C240">
        <v>186380</v>
      </c>
      <c r="D240">
        <v>35620</v>
      </c>
      <c r="E240">
        <v>7590</v>
      </c>
      <c r="F240">
        <v>8442</v>
      </c>
      <c r="G240">
        <v>6764</v>
      </c>
      <c r="H240">
        <v>5761</v>
      </c>
      <c r="I240">
        <v>4161</v>
      </c>
      <c r="J240">
        <v>3892</v>
      </c>
      <c r="K240">
        <v>0</v>
      </c>
      <c r="L240">
        <v>464</v>
      </c>
      <c r="M240">
        <v>5283</v>
      </c>
      <c r="N240">
        <v>13008</v>
      </c>
      <c r="O240">
        <v>4851</v>
      </c>
    </row>
    <row r="241" spans="1:15" x14ac:dyDescent="0.2">
      <c r="A241" t="s">
        <v>518</v>
      </c>
      <c r="B241" t="s">
        <v>518</v>
      </c>
      <c r="C241">
        <v>110617</v>
      </c>
      <c r="D241">
        <v>40900</v>
      </c>
      <c r="E241">
        <v>3683</v>
      </c>
      <c r="F241">
        <v>4697</v>
      </c>
      <c r="G241">
        <v>3040</v>
      </c>
      <c r="H241">
        <v>3783</v>
      </c>
      <c r="I241">
        <v>2981</v>
      </c>
      <c r="J241">
        <v>2447</v>
      </c>
      <c r="K241">
        <v>0</v>
      </c>
      <c r="L241">
        <v>0</v>
      </c>
      <c r="M241">
        <v>1829</v>
      </c>
      <c r="N241">
        <v>2673</v>
      </c>
      <c r="O241">
        <v>2180</v>
      </c>
    </row>
    <row r="242" spans="1:15" x14ac:dyDescent="0.2">
      <c r="A242" t="s">
        <v>519</v>
      </c>
      <c r="B242" t="s">
        <v>519</v>
      </c>
      <c r="C242">
        <v>130253</v>
      </c>
      <c r="D242">
        <v>35300</v>
      </c>
      <c r="E242">
        <v>1229</v>
      </c>
      <c r="F242">
        <v>1279</v>
      </c>
      <c r="G242">
        <v>975</v>
      </c>
      <c r="H242">
        <v>1153</v>
      </c>
      <c r="I242">
        <v>1330</v>
      </c>
      <c r="J242">
        <v>1071</v>
      </c>
      <c r="K242">
        <v>0</v>
      </c>
      <c r="L242">
        <v>0</v>
      </c>
      <c r="M242">
        <v>490</v>
      </c>
      <c r="N242">
        <v>975</v>
      </c>
      <c r="O242">
        <v>1321</v>
      </c>
    </row>
    <row r="243" spans="1:15" x14ac:dyDescent="0.2">
      <c r="A243" t="s">
        <v>520</v>
      </c>
      <c r="B243" t="s">
        <v>599</v>
      </c>
      <c r="C243">
        <v>215743</v>
      </c>
      <c r="D243">
        <v>11020</v>
      </c>
      <c r="E243">
        <v>1359</v>
      </c>
      <c r="F243">
        <v>2427</v>
      </c>
      <c r="G243">
        <v>1368</v>
      </c>
      <c r="H243">
        <v>949</v>
      </c>
      <c r="I243">
        <v>1266</v>
      </c>
      <c r="J243">
        <v>707</v>
      </c>
      <c r="K243">
        <v>0</v>
      </c>
      <c r="L243">
        <v>0</v>
      </c>
      <c r="M243">
        <v>676</v>
      </c>
      <c r="N243">
        <v>1006</v>
      </c>
      <c r="O243">
        <v>1112</v>
      </c>
    </row>
    <row r="244" spans="1:15" x14ac:dyDescent="0.2">
      <c r="A244" t="s">
        <v>521</v>
      </c>
      <c r="B244" t="s">
        <v>521</v>
      </c>
      <c r="C244">
        <v>215770</v>
      </c>
      <c r="D244">
        <v>37980</v>
      </c>
      <c r="E244">
        <v>4327</v>
      </c>
      <c r="F244">
        <v>7307</v>
      </c>
      <c r="G244">
        <v>4055</v>
      </c>
      <c r="H244">
        <v>10571</v>
      </c>
      <c r="I244">
        <v>8842</v>
      </c>
      <c r="J244">
        <v>3540</v>
      </c>
      <c r="K244">
        <v>0</v>
      </c>
      <c r="L244">
        <v>1247</v>
      </c>
      <c r="M244">
        <v>2786</v>
      </c>
      <c r="N244">
        <v>2055</v>
      </c>
      <c r="O244">
        <v>2925</v>
      </c>
    </row>
    <row r="245" spans="1:15" x14ac:dyDescent="0.2">
      <c r="A245" t="s">
        <v>522</v>
      </c>
      <c r="B245" t="s">
        <v>522</v>
      </c>
      <c r="C245">
        <v>179159</v>
      </c>
      <c r="D245">
        <v>41180</v>
      </c>
      <c r="E245">
        <v>11145</v>
      </c>
      <c r="F245">
        <v>12765</v>
      </c>
      <c r="G245">
        <v>17241</v>
      </c>
      <c r="H245">
        <v>10083</v>
      </c>
      <c r="I245">
        <v>10267</v>
      </c>
      <c r="J245">
        <v>9460</v>
      </c>
      <c r="K245">
        <v>0</v>
      </c>
      <c r="L245">
        <v>250</v>
      </c>
      <c r="M245">
        <v>39787</v>
      </c>
      <c r="N245">
        <v>15397</v>
      </c>
      <c r="O245">
        <v>13490</v>
      </c>
    </row>
    <row r="246" spans="1:15" x14ac:dyDescent="0.2">
      <c r="A246" t="s">
        <v>523</v>
      </c>
      <c r="B246" t="s">
        <v>523</v>
      </c>
      <c r="C246">
        <v>123554</v>
      </c>
      <c r="D246">
        <v>41860</v>
      </c>
      <c r="E246">
        <v>3114</v>
      </c>
      <c r="F246">
        <v>1866</v>
      </c>
      <c r="G246">
        <v>4115</v>
      </c>
      <c r="H246">
        <v>2286</v>
      </c>
      <c r="I246">
        <v>1560</v>
      </c>
      <c r="J246">
        <v>7625</v>
      </c>
      <c r="K246">
        <v>0</v>
      </c>
      <c r="L246">
        <v>105</v>
      </c>
      <c r="M246">
        <v>2512</v>
      </c>
      <c r="N246">
        <v>2640</v>
      </c>
      <c r="O246">
        <v>2889</v>
      </c>
    </row>
    <row r="247" spans="1:15" x14ac:dyDescent="0.2">
      <c r="A247" t="s">
        <v>524</v>
      </c>
      <c r="B247" t="s">
        <v>524</v>
      </c>
      <c r="C247">
        <v>186432</v>
      </c>
      <c r="D247">
        <v>35620</v>
      </c>
      <c r="E247">
        <v>1026</v>
      </c>
      <c r="F247">
        <v>808</v>
      </c>
      <c r="G247">
        <v>616</v>
      </c>
      <c r="H247">
        <v>765</v>
      </c>
      <c r="I247">
        <v>1040</v>
      </c>
      <c r="J247">
        <v>1368</v>
      </c>
      <c r="K247">
        <v>0</v>
      </c>
      <c r="L247">
        <v>220</v>
      </c>
      <c r="M247">
        <v>1330</v>
      </c>
      <c r="N247">
        <v>721</v>
      </c>
      <c r="O247">
        <v>260</v>
      </c>
    </row>
    <row r="248" spans="1:15" x14ac:dyDescent="0.2">
      <c r="A248" t="s">
        <v>525</v>
      </c>
      <c r="B248" t="s">
        <v>526</v>
      </c>
      <c r="C248">
        <v>227881</v>
      </c>
      <c r="D248">
        <v>26660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">
      <c r="A249" t="s">
        <v>527</v>
      </c>
      <c r="B249" t="s">
        <v>527</v>
      </c>
      <c r="C249">
        <v>102049</v>
      </c>
      <c r="D249">
        <v>13820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">
      <c r="A250" t="s">
        <v>528</v>
      </c>
      <c r="B250" t="s">
        <v>528</v>
      </c>
      <c r="C250">
        <v>122436</v>
      </c>
      <c r="D250">
        <v>41740</v>
      </c>
      <c r="E250">
        <v>4418</v>
      </c>
      <c r="F250">
        <v>11310</v>
      </c>
      <c r="G250">
        <v>7487</v>
      </c>
      <c r="H250">
        <v>2571</v>
      </c>
      <c r="I250">
        <v>5043</v>
      </c>
      <c r="J250">
        <v>5124</v>
      </c>
      <c r="K250">
        <v>0</v>
      </c>
      <c r="L250">
        <v>40</v>
      </c>
      <c r="M250">
        <v>4613</v>
      </c>
      <c r="N250">
        <v>3685</v>
      </c>
      <c r="O250">
        <v>6734</v>
      </c>
    </row>
    <row r="251" spans="1:15" x14ac:dyDescent="0.2">
      <c r="A251" t="s">
        <v>529</v>
      </c>
      <c r="B251" t="s">
        <v>529</v>
      </c>
      <c r="C251">
        <v>122409</v>
      </c>
      <c r="D251">
        <v>41740</v>
      </c>
      <c r="E251">
        <v>7073</v>
      </c>
      <c r="F251">
        <v>5430</v>
      </c>
      <c r="G251">
        <v>5893</v>
      </c>
      <c r="H251">
        <v>7991</v>
      </c>
      <c r="I251">
        <v>4136</v>
      </c>
      <c r="J251">
        <v>4624</v>
      </c>
      <c r="K251">
        <v>0</v>
      </c>
      <c r="L251">
        <v>45</v>
      </c>
      <c r="M251">
        <v>5332</v>
      </c>
      <c r="N251">
        <v>6169</v>
      </c>
      <c r="O251">
        <v>7680</v>
      </c>
    </row>
    <row r="252" spans="1:15" x14ac:dyDescent="0.2">
      <c r="A252" t="s">
        <v>530</v>
      </c>
      <c r="B252" t="s">
        <v>530</v>
      </c>
      <c r="C252">
        <v>122612</v>
      </c>
      <c r="D252">
        <v>41860</v>
      </c>
      <c r="E252">
        <v>4697</v>
      </c>
      <c r="F252">
        <v>4410</v>
      </c>
      <c r="G252">
        <v>3273</v>
      </c>
      <c r="H252">
        <v>4822</v>
      </c>
      <c r="I252">
        <v>3295</v>
      </c>
      <c r="J252">
        <v>3948</v>
      </c>
      <c r="K252">
        <v>0</v>
      </c>
      <c r="L252">
        <v>0</v>
      </c>
      <c r="M252">
        <v>3374</v>
      </c>
      <c r="N252">
        <v>3766</v>
      </c>
      <c r="O252">
        <v>4598</v>
      </c>
    </row>
    <row r="253" spans="1:15" x14ac:dyDescent="0.2">
      <c r="A253" t="s">
        <v>531</v>
      </c>
      <c r="B253" t="s">
        <v>531</v>
      </c>
      <c r="C253">
        <v>122755</v>
      </c>
      <c r="D253">
        <v>41940</v>
      </c>
      <c r="E253">
        <v>2982</v>
      </c>
      <c r="F253">
        <v>2502</v>
      </c>
      <c r="G253">
        <v>2142</v>
      </c>
      <c r="H253">
        <v>2745</v>
      </c>
      <c r="I253">
        <v>3040</v>
      </c>
      <c r="J253">
        <v>1735</v>
      </c>
      <c r="K253">
        <v>0</v>
      </c>
      <c r="L253">
        <v>4</v>
      </c>
      <c r="M253">
        <v>4546</v>
      </c>
      <c r="N253">
        <v>3286</v>
      </c>
      <c r="O253">
        <v>5376</v>
      </c>
    </row>
    <row r="254" spans="1:15" x14ac:dyDescent="0.2">
      <c r="A254" t="s">
        <v>532</v>
      </c>
      <c r="B254" t="s">
        <v>532</v>
      </c>
      <c r="C254">
        <v>122931</v>
      </c>
      <c r="D254">
        <v>41940</v>
      </c>
      <c r="E254">
        <v>5501</v>
      </c>
      <c r="F254">
        <v>2983</v>
      </c>
      <c r="G254">
        <v>4888</v>
      </c>
      <c r="H254">
        <v>2053</v>
      </c>
      <c r="I254">
        <v>4404</v>
      </c>
      <c r="J254">
        <v>4346</v>
      </c>
      <c r="K254">
        <v>0</v>
      </c>
      <c r="L254">
        <v>0</v>
      </c>
      <c r="M254">
        <v>4733</v>
      </c>
      <c r="N254">
        <v>4542</v>
      </c>
      <c r="O254">
        <v>4577</v>
      </c>
    </row>
    <row r="255" spans="1:15" x14ac:dyDescent="0.2">
      <c r="A255" t="s">
        <v>600</v>
      </c>
      <c r="B255" t="s">
        <v>600</v>
      </c>
      <c r="C255">
        <v>140960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">
      <c r="A256" t="s">
        <v>533</v>
      </c>
      <c r="B256" t="s">
        <v>533</v>
      </c>
      <c r="C256">
        <v>236595</v>
      </c>
      <c r="D256">
        <v>42660</v>
      </c>
      <c r="E256">
        <v>2758</v>
      </c>
      <c r="F256">
        <v>4882</v>
      </c>
      <c r="G256">
        <v>8317</v>
      </c>
      <c r="H256">
        <v>3330</v>
      </c>
      <c r="I256">
        <v>5363</v>
      </c>
      <c r="J256">
        <v>5550</v>
      </c>
      <c r="K256">
        <v>0</v>
      </c>
      <c r="L256">
        <v>50</v>
      </c>
      <c r="M256">
        <v>4332</v>
      </c>
      <c r="N256">
        <v>3413</v>
      </c>
      <c r="O256">
        <v>5637</v>
      </c>
    </row>
    <row r="257" spans="1:15" x14ac:dyDescent="0.2">
      <c r="A257" t="s">
        <v>534</v>
      </c>
      <c r="B257" t="s">
        <v>534</v>
      </c>
      <c r="C257">
        <v>186584</v>
      </c>
      <c r="D257">
        <v>35620</v>
      </c>
      <c r="E257">
        <v>5633</v>
      </c>
      <c r="F257">
        <v>2975</v>
      </c>
      <c r="G257">
        <v>3752</v>
      </c>
      <c r="H257">
        <v>3976</v>
      </c>
      <c r="I257">
        <v>4451</v>
      </c>
      <c r="J257">
        <v>1852</v>
      </c>
      <c r="K257">
        <v>0</v>
      </c>
      <c r="L257">
        <v>184</v>
      </c>
      <c r="M257">
        <v>7668</v>
      </c>
      <c r="N257">
        <v>3997</v>
      </c>
      <c r="O257">
        <v>5561</v>
      </c>
    </row>
    <row r="258" spans="1:15" x14ac:dyDescent="0.2">
      <c r="A258" t="s">
        <v>535</v>
      </c>
      <c r="B258" t="s">
        <v>535</v>
      </c>
      <c r="C258">
        <v>228431</v>
      </c>
      <c r="D258">
        <v>34860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">
      <c r="A259" t="s">
        <v>536</v>
      </c>
      <c r="B259" t="s">
        <v>536</v>
      </c>
      <c r="C259">
        <v>195474</v>
      </c>
      <c r="D259">
        <v>10580</v>
      </c>
      <c r="E259">
        <v>3880</v>
      </c>
      <c r="F259">
        <v>3558</v>
      </c>
      <c r="G259">
        <v>3284</v>
      </c>
      <c r="H259">
        <v>4370</v>
      </c>
      <c r="I259">
        <v>1809</v>
      </c>
      <c r="J259">
        <v>2245</v>
      </c>
      <c r="K259">
        <v>0</v>
      </c>
      <c r="L259">
        <v>2</v>
      </c>
      <c r="M259">
        <v>1965</v>
      </c>
      <c r="N259">
        <v>1932</v>
      </c>
      <c r="O259">
        <v>1328</v>
      </c>
    </row>
    <row r="260" spans="1:15" x14ac:dyDescent="0.2">
      <c r="A260" t="s">
        <v>537</v>
      </c>
      <c r="B260" t="s">
        <v>537</v>
      </c>
      <c r="C260">
        <v>149231</v>
      </c>
      <c r="D260">
        <v>41180</v>
      </c>
      <c r="E260">
        <v>4923</v>
      </c>
      <c r="F260">
        <v>8815</v>
      </c>
      <c r="G260">
        <v>9262</v>
      </c>
      <c r="H260">
        <v>7613</v>
      </c>
      <c r="I260">
        <v>6841</v>
      </c>
      <c r="J260">
        <v>6351</v>
      </c>
      <c r="K260">
        <v>0</v>
      </c>
      <c r="L260">
        <v>425</v>
      </c>
      <c r="M260">
        <v>3901</v>
      </c>
      <c r="N260">
        <v>6251</v>
      </c>
      <c r="O260">
        <v>7048</v>
      </c>
    </row>
    <row r="261" spans="1:15" x14ac:dyDescent="0.2">
      <c r="A261" t="s">
        <v>538</v>
      </c>
      <c r="B261" t="s">
        <v>538</v>
      </c>
      <c r="C261">
        <v>228246</v>
      </c>
      <c r="D261">
        <v>19100</v>
      </c>
      <c r="E261">
        <v>2341</v>
      </c>
      <c r="F261">
        <v>6772</v>
      </c>
      <c r="G261">
        <v>7062</v>
      </c>
      <c r="H261">
        <v>7563</v>
      </c>
      <c r="I261">
        <v>8711</v>
      </c>
      <c r="J261">
        <v>5307</v>
      </c>
      <c r="K261">
        <v>0</v>
      </c>
      <c r="L261">
        <v>601</v>
      </c>
      <c r="M261">
        <v>7096</v>
      </c>
      <c r="N261">
        <v>8875</v>
      </c>
      <c r="O261">
        <v>14125</v>
      </c>
    </row>
    <row r="262" spans="1:15" x14ac:dyDescent="0.2">
      <c r="A262" t="s">
        <v>197</v>
      </c>
      <c r="B262" t="s">
        <v>197</v>
      </c>
      <c r="C262">
        <v>102094</v>
      </c>
      <c r="D262">
        <v>33660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">
      <c r="A263" t="s">
        <v>198</v>
      </c>
      <c r="B263" t="s">
        <v>198</v>
      </c>
      <c r="C263">
        <v>218663</v>
      </c>
      <c r="D263">
        <v>17900</v>
      </c>
      <c r="E263">
        <v>12709</v>
      </c>
      <c r="F263">
        <v>28619</v>
      </c>
      <c r="G263">
        <v>22453</v>
      </c>
      <c r="H263">
        <v>29493</v>
      </c>
      <c r="I263">
        <v>29002</v>
      </c>
      <c r="J263">
        <v>26176</v>
      </c>
      <c r="K263">
        <v>0</v>
      </c>
      <c r="L263">
        <v>3122</v>
      </c>
      <c r="M263">
        <v>17843</v>
      </c>
      <c r="N263">
        <v>25554</v>
      </c>
      <c r="O263">
        <v>43055</v>
      </c>
    </row>
    <row r="264" spans="1:15" x14ac:dyDescent="0.2">
      <c r="A264" t="s">
        <v>539</v>
      </c>
      <c r="B264" t="s">
        <v>539</v>
      </c>
      <c r="C264">
        <v>218733</v>
      </c>
      <c r="D264">
        <v>36700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">
      <c r="A265" t="s">
        <v>201</v>
      </c>
      <c r="B265" t="s">
        <v>201</v>
      </c>
      <c r="C265">
        <v>219471</v>
      </c>
      <c r="D265">
        <v>46820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">
      <c r="A266" t="s">
        <v>540</v>
      </c>
      <c r="B266" t="s">
        <v>540</v>
      </c>
      <c r="C266">
        <v>219356</v>
      </c>
      <c r="D266">
        <v>15100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">
      <c r="A267" t="s">
        <v>541</v>
      </c>
      <c r="B267" t="s">
        <v>541</v>
      </c>
      <c r="C267">
        <v>137351</v>
      </c>
      <c r="D267">
        <v>45300</v>
      </c>
      <c r="E267">
        <v>10366</v>
      </c>
      <c r="F267">
        <v>9114</v>
      </c>
      <c r="G267">
        <v>11330</v>
      </c>
      <c r="H267">
        <v>10635</v>
      </c>
      <c r="I267">
        <v>7604</v>
      </c>
      <c r="J267">
        <v>4498</v>
      </c>
      <c r="K267">
        <v>0</v>
      </c>
      <c r="L267">
        <v>3</v>
      </c>
      <c r="M267">
        <v>4620</v>
      </c>
      <c r="N267">
        <v>5543</v>
      </c>
      <c r="O267">
        <v>6205</v>
      </c>
    </row>
    <row r="268" spans="1:15" x14ac:dyDescent="0.2">
      <c r="A268" t="s">
        <v>542</v>
      </c>
      <c r="B268" t="s">
        <v>542</v>
      </c>
      <c r="C268">
        <v>179557</v>
      </c>
      <c r="D268">
        <v>16020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">
      <c r="A269" t="s">
        <v>543</v>
      </c>
      <c r="B269" t="s">
        <v>543</v>
      </c>
      <c r="C269">
        <v>160612</v>
      </c>
      <c r="D269">
        <v>25220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">
      <c r="A270" t="s">
        <v>544</v>
      </c>
      <c r="B270" t="s">
        <v>544</v>
      </c>
      <c r="C270">
        <v>123961</v>
      </c>
      <c r="D270">
        <v>31080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">
      <c r="A271" t="s">
        <v>545</v>
      </c>
      <c r="B271" t="s">
        <v>545</v>
      </c>
      <c r="C271">
        <v>149222</v>
      </c>
      <c r="D271">
        <v>16060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">
      <c r="A272" t="s">
        <v>546</v>
      </c>
      <c r="B272" t="s">
        <v>546</v>
      </c>
      <c r="C272">
        <v>176372</v>
      </c>
      <c r="D272">
        <v>25620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">
      <c r="A273" t="s">
        <v>547</v>
      </c>
      <c r="B273" t="s">
        <v>547</v>
      </c>
      <c r="C273">
        <v>160621</v>
      </c>
      <c r="D273">
        <v>12940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">
      <c r="A274" t="s">
        <v>209</v>
      </c>
      <c r="B274" t="s">
        <v>209</v>
      </c>
      <c r="C274">
        <v>230603</v>
      </c>
      <c r="D274">
        <v>16260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">
      <c r="A275" t="s">
        <v>548</v>
      </c>
      <c r="B275" t="s">
        <v>548</v>
      </c>
      <c r="C275">
        <v>195164</v>
      </c>
      <c r="D275">
        <v>18500</v>
      </c>
      <c r="E275">
        <v>989</v>
      </c>
      <c r="F275">
        <v>1683</v>
      </c>
      <c r="G275">
        <v>1457</v>
      </c>
      <c r="H275">
        <v>1586</v>
      </c>
      <c r="I275">
        <v>1340</v>
      </c>
      <c r="J275">
        <v>2214</v>
      </c>
      <c r="K275">
        <v>0</v>
      </c>
      <c r="L275">
        <v>297</v>
      </c>
      <c r="M275">
        <v>810</v>
      </c>
      <c r="N275">
        <v>1332</v>
      </c>
      <c r="O275">
        <v>1390</v>
      </c>
    </row>
    <row r="276" spans="1:15" x14ac:dyDescent="0.2">
      <c r="A276" t="s">
        <v>549</v>
      </c>
      <c r="B276" t="s">
        <v>549</v>
      </c>
      <c r="C276">
        <v>195173</v>
      </c>
      <c r="D276">
        <v>15100</v>
      </c>
      <c r="E276">
        <v>1281</v>
      </c>
      <c r="F276">
        <v>1471</v>
      </c>
      <c r="G276">
        <v>2099</v>
      </c>
      <c r="H276">
        <v>2243</v>
      </c>
      <c r="I276">
        <v>2440</v>
      </c>
      <c r="J276">
        <v>2443</v>
      </c>
      <c r="K276">
        <v>0</v>
      </c>
      <c r="L276">
        <v>0</v>
      </c>
      <c r="M276">
        <v>1030</v>
      </c>
      <c r="N276">
        <v>889</v>
      </c>
      <c r="O276">
        <v>0</v>
      </c>
    </row>
    <row r="277" spans="1:15" x14ac:dyDescent="0.2">
      <c r="A277" t="s">
        <v>550</v>
      </c>
      <c r="B277" t="s">
        <v>550</v>
      </c>
      <c r="C277">
        <v>195809</v>
      </c>
      <c r="D277">
        <v>35620</v>
      </c>
      <c r="E277">
        <v>12292</v>
      </c>
      <c r="F277">
        <v>10415</v>
      </c>
      <c r="G277">
        <v>8923</v>
      </c>
      <c r="H277">
        <v>8270</v>
      </c>
      <c r="I277">
        <v>8036</v>
      </c>
      <c r="J277">
        <v>7654</v>
      </c>
      <c r="K277">
        <v>0</v>
      </c>
      <c r="L277">
        <v>0</v>
      </c>
      <c r="M277">
        <v>11354</v>
      </c>
      <c r="N277">
        <v>8371</v>
      </c>
      <c r="O277">
        <v>5583</v>
      </c>
    </row>
    <row r="278" spans="1:15" x14ac:dyDescent="0.2">
      <c r="A278" t="s">
        <v>551</v>
      </c>
      <c r="B278" t="s">
        <v>551</v>
      </c>
      <c r="C278">
        <v>243744</v>
      </c>
      <c r="D278">
        <v>41940</v>
      </c>
      <c r="E278">
        <v>12627</v>
      </c>
      <c r="F278">
        <v>12095</v>
      </c>
      <c r="G278">
        <v>14095</v>
      </c>
      <c r="H278">
        <v>13105</v>
      </c>
      <c r="I278">
        <v>15377</v>
      </c>
      <c r="J278">
        <v>15046</v>
      </c>
      <c r="K278">
        <v>0</v>
      </c>
      <c r="L278">
        <v>236</v>
      </c>
      <c r="M278">
        <v>7747</v>
      </c>
      <c r="N278">
        <v>14054</v>
      </c>
      <c r="O278">
        <v>16340</v>
      </c>
    </row>
    <row r="279" spans="1:15" x14ac:dyDescent="0.2">
      <c r="A279" t="s">
        <v>552</v>
      </c>
      <c r="B279" t="s">
        <v>552</v>
      </c>
      <c r="C279">
        <v>137546</v>
      </c>
      <c r="D279">
        <v>36740</v>
      </c>
      <c r="E279">
        <v>1424</v>
      </c>
      <c r="F279">
        <v>3021</v>
      </c>
      <c r="G279">
        <v>2492</v>
      </c>
      <c r="H279">
        <v>2557</v>
      </c>
      <c r="I279">
        <v>1649</v>
      </c>
      <c r="J279">
        <v>1265</v>
      </c>
      <c r="K279">
        <v>0</v>
      </c>
      <c r="L279">
        <v>150</v>
      </c>
      <c r="M279">
        <v>1446</v>
      </c>
      <c r="N279">
        <v>1376</v>
      </c>
      <c r="O279">
        <v>1791</v>
      </c>
    </row>
    <row r="280" spans="1:15" x14ac:dyDescent="0.2">
      <c r="A280" t="s">
        <v>211</v>
      </c>
      <c r="B280" t="s">
        <v>211</v>
      </c>
      <c r="C280">
        <v>196097</v>
      </c>
      <c r="D280">
        <v>35620</v>
      </c>
      <c r="E280">
        <v>4797</v>
      </c>
      <c r="F280">
        <v>2180</v>
      </c>
      <c r="G280">
        <v>4102</v>
      </c>
      <c r="H280">
        <v>3435</v>
      </c>
      <c r="I280">
        <v>6682</v>
      </c>
      <c r="J280">
        <v>3411</v>
      </c>
      <c r="K280">
        <v>0</v>
      </c>
      <c r="L280">
        <v>20</v>
      </c>
      <c r="M280">
        <v>4481</v>
      </c>
      <c r="N280">
        <v>3193</v>
      </c>
      <c r="O280">
        <v>3034</v>
      </c>
    </row>
    <row r="281" spans="1:15" x14ac:dyDescent="0.2">
      <c r="A281" t="s">
        <v>553</v>
      </c>
      <c r="B281" t="s">
        <v>553</v>
      </c>
      <c r="C281">
        <v>196413</v>
      </c>
      <c r="D281">
        <v>45060</v>
      </c>
      <c r="E281">
        <v>11073</v>
      </c>
      <c r="F281">
        <v>15659</v>
      </c>
      <c r="G281">
        <v>18430</v>
      </c>
      <c r="H281">
        <v>15828</v>
      </c>
      <c r="I281">
        <v>12668</v>
      </c>
      <c r="J281">
        <v>11749</v>
      </c>
      <c r="K281">
        <v>0</v>
      </c>
      <c r="L281">
        <v>2</v>
      </c>
      <c r="M281">
        <v>10705</v>
      </c>
      <c r="N281">
        <v>16015</v>
      </c>
      <c r="O281">
        <v>14649</v>
      </c>
    </row>
    <row r="282" spans="1:15" x14ac:dyDescent="0.2">
      <c r="A282" t="s">
        <v>554</v>
      </c>
      <c r="B282" t="s">
        <v>554</v>
      </c>
      <c r="C282">
        <v>228875</v>
      </c>
      <c r="D282">
        <v>19100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">
      <c r="A283" t="s">
        <v>555</v>
      </c>
      <c r="B283" t="s">
        <v>555</v>
      </c>
      <c r="C283">
        <v>216339</v>
      </c>
      <c r="D283">
        <v>37980</v>
      </c>
      <c r="E283">
        <v>1954</v>
      </c>
      <c r="F283">
        <v>1580</v>
      </c>
      <c r="G283">
        <v>1797</v>
      </c>
      <c r="H283">
        <v>5928</v>
      </c>
      <c r="I283">
        <v>3694</v>
      </c>
      <c r="J283">
        <v>3256</v>
      </c>
      <c r="K283">
        <v>0</v>
      </c>
      <c r="L283">
        <v>39</v>
      </c>
      <c r="M283">
        <v>1793</v>
      </c>
      <c r="N283">
        <v>3783</v>
      </c>
      <c r="O283">
        <v>1264</v>
      </c>
    </row>
    <row r="284" spans="1:15" x14ac:dyDescent="0.2">
      <c r="A284" t="s">
        <v>212</v>
      </c>
      <c r="B284" t="s">
        <v>212</v>
      </c>
      <c r="C284">
        <v>221759</v>
      </c>
      <c r="D284">
        <v>28940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">
      <c r="A285" t="s">
        <v>556</v>
      </c>
      <c r="B285" t="s">
        <v>556</v>
      </c>
      <c r="C285">
        <v>221838</v>
      </c>
      <c r="D285">
        <v>34980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">
      <c r="A286" t="s">
        <v>215</v>
      </c>
      <c r="B286" t="s">
        <v>215</v>
      </c>
      <c r="C286">
        <v>221847</v>
      </c>
      <c r="D286">
        <v>18260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">
      <c r="A287" t="s">
        <v>216</v>
      </c>
      <c r="B287" t="s">
        <v>216</v>
      </c>
      <c r="C287">
        <v>228778</v>
      </c>
      <c r="D287">
        <v>12420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">
      <c r="A288" t="s">
        <v>217</v>
      </c>
      <c r="B288" t="s">
        <v>217</v>
      </c>
      <c r="C288">
        <v>228723</v>
      </c>
      <c r="D288">
        <v>17780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">
      <c r="A289" t="s">
        <v>220</v>
      </c>
      <c r="B289" t="s">
        <v>220</v>
      </c>
      <c r="C289">
        <v>229063</v>
      </c>
      <c r="D289">
        <v>26420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">
      <c r="A290" t="s">
        <v>557</v>
      </c>
      <c r="B290" t="s">
        <v>557</v>
      </c>
      <c r="C290">
        <v>228459</v>
      </c>
      <c r="D290">
        <v>12420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">
      <c r="A291" t="s">
        <v>222</v>
      </c>
      <c r="B291" t="s">
        <v>222</v>
      </c>
      <c r="C291">
        <v>229115</v>
      </c>
      <c r="D291">
        <v>31180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">
      <c r="A292" t="s">
        <v>70</v>
      </c>
      <c r="B292" t="s">
        <v>558</v>
      </c>
      <c r="C292">
        <v>217864</v>
      </c>
      <c r="D292">
        <v>16700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">
      <c r="A293" t="s">
        <v>223</v>
      </c>
      <c r="B293" t="s">
        <v>223</v>
      </c>
      <c r="C293">
        <v>206084</v>
      </c>
      <c r="D293">
        <v>45780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">
      <c r="A294" t="s">
        <v>224</v>
      </c>
      <c r="B294" t="s">
        <v>224</v>
      </c>
      <c r="C294">
        <v>164076</v>
      </c>
      <c r="D294">
        <v>12580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">
      <c r="A295" t="s">
        <v>225</v>
      </c>
      <c r="B295" t="s">
        <v>225</v>
      </c>
      <c r="C295">
        <v>102368</v>
      </c>
      <c r="D295">
        <v>45980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">
      <c r="A296" t="s">
        <v>559</v>
      </c>
      <c r="B296" t="s">
        <v>559</v>
      </c>
      <c r="C296">
        <v>160755</v>
      </c>
      <c r="D296">
        <v>35380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">
      <c r="A297" t="s">
        <v>560</v>
      </c>
      <c r="B297" t="s">
        <v>560</v>
      </c>
      <c r="C297">
        <v>207971</v>
      </c>
      <c r="D297">
        <v>46140</v>
      </c>
      <c r="E297">
        <v>3274</v>
      </c>
      <c r="F297">
        <v>11284</v>
      </c>
      <c r="G297">
        <v>4726</v>
      </c>
      <c r="H297">
        <v>2865</v>
      </c>
      <c r="I297">
        <v>2314</v>
      </c>
      <c r="J297">
        <v>2734</v>
      </c>
      <c r="K297">
        <v>0</v>
      </c>
      <c r="L297">
        <v>500</v>
      </c>
      <c r="M297">
        <v>8055</v>
      </c>
      <c r="N297">
        <v>5600</v>
      </c>
      <c r="O297">
        <v>2801</v>
      </c>
    </row>
    <row r="298" spans="1:15" x14ac:dyDescent="0.2">
      <c r="A298" t="s">
        <v>226</v>
      </c>
      <c r="B298" t="s">
        <v>226</v>
      </c>
      <c r="C298">
        <v>100663</v>
      </c>
      <c r="D298">
        <v>13820</v>
      </c>
      <c r="E298">
        <v>8709</v>
      </c>
      <c r="F298">
        <v>8279</v>
      </c>
      <c r="G298">
        <v>7707</v>
      </c>
      <c r="H298">
        <v>5345</v>
      </c>
      <c r="I298">
        <v>5924</v>
      </c>
      <c r="J298">
        <v>5702</v>
      </c>
      <c r="K298">
        <v>0</v>
      </c>
      <c r="L298">
        <v>935</v>
      </c>
      <c r="M298">
        <v>1852</v>
      </c>
      <c r="N298">
        <v>3013</v>
      </c>
      <c r="O298">
        <v>1148</v>
      </c>
    </row>
    <row r="299" spans="1:15" x14ac:dyDescent="0.2">
      <c r="A299" t="s">
        <v>561</v>
      </c>
      <c r="B299" t="s">
        <v>562</v>
      </c>
      <c r="C299">
        <v>196060</v>
      </c>
      <c r="D299">
        <v>10580</v>
      </c>
      <c r="E299">
        <v>7379</v>
      </c>
      <c r="F299">
        <v>7640</v>
      </c>
      <c r="G299">
        <v>7275</v>
      </c>
      <c r="H299">
        <v>8171</v>
      </c>
      <c r="I299">
        <v>7801</v>
      </c>
      <c r="J299">
        <v>5936</v>
      </c>
      <c r="K299">
        <v>0</v>
      </c>
      <c r="L299">
        <v>10</v>
      </c>
      <c r="M299">
        <v>3715</v>
      </c>
      <c r="N299">
        <v>4300</v>
      </c>
      <c r="O299">
        <v>4854</v>
      </c>
    </row>
    <row r="300" spans="1:15" x14ac:dyDescent="0.2">
      <c r="A300" t="s">
        <v>227</v>
      </c>
      <c r="B300" t="s">
        <v>227</v>
      </c>
      <c r="C300">
        <v>110644</v>
      </c>
      <c r="D300">
        <v>40900</v>
      </c>
      <c r="E300">
        <v>5965</v>
      </c>
      <c r="F300">
        <v>7512</v>
      </c>
      <c r="G300">
        <v>5275</v>
      </c>
      <c r="H300">
        <v>3850</v>
      </c>
      <c r="I300">
        <v>5612</v>
      </c>
      <c r="J300">
        <v>3421</v>
      </c>
      <c r="K300">
        <v>0</v>
      </c>
      <c r="L300">
        <v>0</v>
      </c>
      <c r="M300">
        <v>3628</v>
      </c>
      <c r="N300">
        <v>2821</v>
      </c>
      <c r="O300">
        <v>5677</v>
      </c>
    </row>
    <row r="301" spans="1:15" x14ac:dyDescent="0.2">
      <c r="A301" t="s">
        <v>228</v>
      </c>
      <c r="B301" t="s">
        <v>228</v>
      </c>
      <c r="C301">
        <v>110653</v>
      </c>
      <c r="D301">
        <v>31080</v>
      </c>
      <c r="E301">
        <v>8486</v>
      </c>
      <c r="F301">
        <v>6417</v>
      </c>
      <c r="G301">
        <v>4540</v>
      </c>
      <c r="H301">
        <v>3478</v>
      </c>
      <c r="I301">
        <v>5396</v>
      </c>
      <c r="J301">
        <v>4948</v>
      </c>
      <c r="K301">
        <v>0</v>
      </c>
      <c r="L301">
        <v>0</v>
      </c>
      <c r="M301">
        <v>4421</v>
      </c>
      <c r="N301">
        <v>5077</v>
      </c>
      <c r="O301">
        <v>10735</v>
      </c>
    </row>
    <row r="302" spans="1:15" x14ac:dyDescent="0.2">
      <c r="A302" t="s">
        <v>229</v>
      </c>
      <c r="B302" t="s">
        <v>229</v>
      </c>
      <c r="C302">
        <v>110671</v>
      </c>
      <c r="D302">
        <v>40140</v>
      </c>
      <c r="E302">
        <v>4566</v>
      </c>
      <c r="F302">
        <v>5802</v>
      </c>
      <c r="G302">
        <v>4287</v>
      </c>
      <c r="H302">
        <v>3538</v>
      </c>
      <c r="I302">
        <v>2629</v>
      </c>
      <c r="J302">
        <v>4059</v>
      </c>
      <c r="K302">
        <v>0</v>
      </c>
      <c r="L302">
        <v>0</v>
      </c>
      <c r="M302">
        <v>2843</v>
      </c>
      <c r="N302">
        <v>3957</v>
      </c>
      <c r="O302">
        <v>2974</v>
      </c>
    </row>
    <row r="303" spans="1:15" x14ac:dyDescent="0.2">
      <c r="A303" t="s">
        <v>230</v>
      </c>
      <c r="B303" t="s">
        <v>230</v>
      </c>
      <c r="C303">
        <v>110705</v>
      </c>
      <c r="D303">
        <v>42200</v>
      </c>
      <c r="E303">
        <v>48191</v>
      </c>
      <c r="F303">
        <v>42284</v>
      </c>
      <c r="G303">
        <v>46132</v>
      </c>
      <c r="H303">
        <v>38093</v>
      </c>
      <c r="I303">
        <v>26042</v>
      </c>
      <c r="J303">
        <v>22549</v>
      </c>
      <c r="K303">
        <v>0</v>
      </c>
      <c r="L303">
        <v>0</v>
      </c>
      <c r="M303">
        <v>20380</v>
      </c>
      <c r="N303">
        <v>17984</v>
      </c>
      <c r="O303">
        <v>15583</v>
      </c>
    </row>
    <row r="304" spans="1:15" x14ac:dyDescent="0.2">
      <c r="A304" t="s">
        <v>231</v>
      </c>
      <c r="B304" t="s">
        <v>231</v>
      </c>
      <c r="C304">
        <v>132903</v>
      </c>
      <c r="D304">
        <v>36740</v>
      </c>
      <c r="E304">
        <v>3955</v>
      </c>
      <c r="F304">
        <v>3225</v>
      </c>
      <c r="G304">
        <v>3663</v>
      </c>
      <c r="H304">
        <v>3136</v>
      </c>
      <c r="I304">
        <v>1411</v>
      </c>
      <c r="J304">
        <v>5958</v>
      </c>
      <c r="K304">
        <v>0</v>
      </c>
      <c r="L304">
        <v>2416</v>
      </c>
      <c r="M304">
        <v>4375</v>
      </c>
      <c r="N304">
        <v>2873</v>
      </c>
      <c r="O304">
        <v>7769</v>
      </c>
    </row>
    <row r="305" spans="1:15" x14ac:dyDescent="0.2">
      <c r="A305" t="s">
        <v>232</v>
      </c>
      <c r="B305" t="s">
        <v>232</v>
      </c>
      <c r="C305">
        <v>110662</v>
      </c>
      <c r="D305">
        <v>31080</v>
      </c>
      <c r="E305">
        <v>12847</v>
      </c>
      <c r="F305">
        <v>17762</v>
      </c>
      <c r="G305">
        <v>22304</v>
      </c>
      <c r="H305">
        <v>17949</v>
      </c>
      <c r="I305">
        <v>16071</v>
      </c>
      <c r="J305">
        <v>12397</v>
      </c>
      <c r="K305">
        <v>0</v>
      </c>
      <c r="L305">
        <v>161</v>
      </c>
      <c r="M305">
        <v>10585</v>
      </c>
      <c r="N305">
        <v>9906</v>
      </c>
      <c r="O305">
        <v>11010</v>
      </c>
    </row>
    <row r="306" spans="1:15" x14ac:dyDescent="0.2">
      <c r="A306" t="s">
        <v>563</v>
      </c>
      <c r="B306" t="s">
        <v>563</v>
      </c>
      <c r="C306">
        <v>129020</v>
      </c>
      <c r="D306">
        <v>25540</v>
      </c>
      <c r="E306">
        <v>43323</v>
      </c>
      <c r="F306">
        <v>38952</v>
      </c>
      <c r="G306">
        <v>42054</v>
      </c>
      <c r="H306">
        <v>38225</v>
      </c>
      <c r="I306">
        <v>42029</v>
      </c>
      <c r="J306">
        <v>38555</v>
      </c>
      <c r="K306">
        <v>0</v>
      </c>
      <c r="L306">
        <v>0</v>
      </c>
      <c r="M306">
        <v>30038</v>
      </c>
      <c r="N306">
        <v>22203</v>
      </c>
      <c r="O306">
        <v>25895</v>
      </c>
    </row>
    <row r="307" spans="1:15" x14ac:dyDescent="0.2">
      <c r="A307" t="s">
        <v>564</v>
      </c>
      <c r="B307" t="s">
        <v>564</v>
      </c>
      <c r="C307">
        <v>145600</v>
      </c>
      <c r="D307">
        <v>16980</v>
      </c>
      <c r="E307">
        <v>4324</v>
      </c>
      <c r="F307">
        <v>3477</v>
      </c>
      <c r="G307">
        <v>3519</v>
      </c>
      <c r="H307">
        <v>2668</v>
      </c>
      <c r="I307">
        <v>3724</v>
      </c>
      <c r="J307">
        <v>1969</v>
      </c>
      <c r="K307">
        <v>0</v>
      </c>
      <c r="L307">
        <v>272</v>
      </c>
      <c r="M307">
        <v>3123</v>
      </c>
      <c r="N307">
        <v>4463</v>
      </c>
      <c r="O307">
        <v>6612</v>
      </c>
    </row>
    <row r="308" spans="1:15" x14ac:dyDescent="0.2">
      <c r="A308" t="s">
        <v>565</v>
      </c>
      <c r="B308" t="s">
        <v>566</v>
      </c>
      <c r="C308">
        <v>225627</v>
      </c>
      <c r="D308">
        <v>41700</v>
      </c>
      <c r="E308">
        <v>0</v>
      </c>
      <c r="F308">
        <v>1815</v>
      </c>
      <c r="G308">
        <v>1469</v>
      </c>
      <c r="H308">
        <v>1906</v>
      </c>
      <c r="I308">
        <v>852</v>
      </c>
      <c r="J308">
        <v>945</v>
      </c>
      <c r="K308">
        <v>0</v>
      </c>
      <c r="L308">
        <v>355</v>
      </c>
      <c r="M308">
        <v>885</v>
      </c>
      <c r="N308">
        <v>285</v>
      </c>
      <c r="O308">
        <v>1524</v>
      </c>
    </row>
    <row r="309" spans="1:15" x14ac:dyDescent="0.2">
      <c r="A309" t="s">
        <v>567</v>
      </c>
      <c r="B309" t="s">
        <v>568</v>
      </c>
      <c r="C309">
        <v>159993</v>
      </c>
      <c r="D309">
        <v>33740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">
      <c r="A310" t="s">
        <v>569</v>
      </c>
      <c r="B310" t="s">
        <v>569</v>
      </c>
      <c r="C310">
        <v>166513</v>
      </c>
      <c r="D310">
        <v>31700</v>
      </c>
      <c r="E310">
        <v>1000</v>
      </c>
      <c r="F310">
        <v>1902</v>
      </c>
      <c r="G310">
        <v>2210</v>
      </c>
      <c r="H310">
        <v>3846</v>
      </c>
      <c r="I310">
        <v>6565</v>
      </c>
      <c r="J310">
        <v>3921</v>
      </c>
      <c r="K310">
        <v>0</v>
      </c>
      <c r="L310">
        <v>0</v>
      </c>
      <c r="M310">
        <v>1273</v>
      </c>
      <c r="N310">
        <v>1448</v>
      </c>
      <c r="O310">
        <v>1736</v>
      </c>
    </row>
    <row r="311" spans="1:15" x14ac:dyDescent="0.2">
      <c r="A311" t="s">
        <v>570</v>
      </c>
      <c r="B311" t="s">
        <v>570</v>
      </c>
      <c r="C311">
        <v>163268</v>
      </c>
      <c r="D311">
        <v>12580</v>
      </c>
      <c r="E311">
        <v>16822</v>
      </c>
      <c r="F311">
        <v>11644</v>
      </c>
      <c r="G311">
        <v>20064</v>
      </c>
      <c r="H311">
        <v>10468</v>
      </c>
      <c r="I311">
        <v>16155</v>
      </c>
      <c r="J311">
        <v>14806</v>
      </c>
      <c r="K311">
        <v>0</v>
      </c>
      <c r="L311">
        <v>157</v>
      </c>
      <c r="M311">
        <v>12559</v>
      </c>
      <c r="N311">
        <v>12582</v>
      </c>
      <c r="O311">
        <v>13272</v>
      </c>
    </row>
    <row r="312" spans="1:15" x14ac:dyDescent="0.2">
      <c r="A312" t="s">
        <v>571</v>
      </c>
      <c r="B312" t="s">
        <v>571</v>
      </c>
      <c r="C312">
        <v>163338</v>
      </c>
      <c r="D312">
        <v>41540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">
      <c r="A313" t="s">
        <v>572</v>
      </c>
      <c r="B313" t="s">
        <v>572</v>
      </c>
      <c r="C313">
        <v>199111</v>
      </c>
      <c r="D313">
        <v>11700</v>
      </c>
      <c r="E313">
        <v>2825</v>
      </c>
      <c r="F313">
        <v>2438</v>
      </c>
      <c r="G313">
        <v>2059</v>
      </c>
      <c r="H313">
        <v>2745</v>
      </c>
      <c r="I313">
        <v>2504</v>
      </c>
      <c r="J313">
        <v>3866</v>
      </c>
      <c r="K313">
        <v>0</v>
      </c>
      <c r="L313">
        <v>82</v>
      </c>
      <c r="M313">
        <v>687</v>
      </c>
      <c r="N313">
        <v>1105</v>
      </c>
      <c r="O313">
        <v>2412</v>
      </c>
    </row>
    <row r="314" spans="1:15" x14ac:dyDescent="0.2">
      <c r="A314" t="s">
        <v>573</v>
      </c>
      <c r="B314" t="s">
        <v>573</v>
      </c>
      <c r="C314">
        <v>199148</v>
      </c>
      <c r="D314">
        <v>24660</v>
      </c>
      <c r="E314">
        <v>7890</v>
      </c>
      <c r="F314">
        <v>9528</v>
      </c>
      <c r="G314">
        <v>10308</v>
      </c>
      <c r="H314">
        <v>9946</v>
      </c>
      <c r="I314">
        <v>14555</v>
      </c>
      <c r="J314">
        <v>5065</v>
      </c>
      <c r="K314">
        <v>0</v>
      </c>
      <c r="L314">
        <v>1910</v>
      </c>
      <c r="M314">
        <v>7314</v>
      </c>
      <c r="N314">
        <v>15009</v>
      </c>
      <c r="O314">
        <v>7546</v>
      </c>
    </row>
    <row r="315" spans="1:15" x14ac:dyDescent="0.2">
      <c r="A315" t="s">
        <v>574</v>
      </c>
      <c r="B315" t="s">
        <v>574</v>
      </c>
      <c r="C315">
        <v>199218</v>
      </c>
      <c r="D315">
        <v>48900</v>
      </c>
      <c r="E315">
        <v>3734</v>
      </c>
      <c r="F315">
        <v>10640</v>
      </c>
      <c r="G315">
        <v>9019</v>
      </c>
      <c r="H315">
        <v>5411</v>
      </c>
      <c r="I315">
        <v>7948</v>
      </c>
      <c r="J315">
        <v>7775</v>
      </c>
      <c r="K315">
        <v>0</v>
      </c>
      <c r="L315">
        <v>450</v>
      </c>
      <c r="M315">
        <v>5798</v>
      </c>
      <c r="N315">
        <v>7067</v>
      </c>
      <c r="O315">
        <v>7270</v>
      </c>
    </row>
    <row r="316" spans="1:15" x14ac:dyDescent="0.2">
      <c r="A316" t="s">
        <v>575</v>
      </c>
      <c r="B316" t="s">
        <v>575</v>
      </c>
      <c r="C316">
        <v>154095</v>
      </c>
      <c r="D316">
        <v>47940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">
      <c r="A317" t="s">
        <v>233</v>
      </c>
      <c r="B317" t="s">
        <v>233</v>
      </c>
      <c r="C317">
        <v>182281</v>
      </c>
      <c r="D317">
        <v>29820</v>
      </c>
      <c r="E317">
        <v>4473</v>
      </c>
      <c r="F317">
        <v>6055</v>
      </c>
      <c r="G317">
        <v>6037</v>
      </c>
      <c r="H317">
        <v>8519</v>
      </c>
      <c r="I317">
        <v>9352</v>
      </c>
      <c r="J317">
        <v>7034</v>
      </c>
      <c r="K317">
        <v>0</v>
      </c>
      <c r="L317">
        <v>281</v>
      </c>
      <c r="M317">
        <v>2028</v>
      </c>
      <c r="N317">
        <v>3496</v>
      </c>
      <c r="O317">
        <v>3943</v>
      </c>
    </row>
    <row r="318" spans="1:15" x14ac:dyDescent="0.2">
      <c r="A318" t="s">
        <v>576</v>
      </c>
      <c r="B318" t="s">
        <v>576</v>
      </c>
      <c r="C318">
        <v>218742</v>
      </c>
      <c r="D318">
        <v>43900</v>
      </c>
      <c r="E318">
        <v>939</v>
      </c>
      <c r="F318">
        <v>1514</v>
      </c>
      <c r="G318">
        <v>1547</v>
      </c>
      <c r="H318">
        <v>729</v>
      </c>
      <c r="I318">
        <v>1020</v>
      </c>
      <c r="J318">
        <v>980</v>
      </c>
      <c r="K318">
        <v>0</v>
      </c>
      <c r="L318">
        <v>745</v>
      </c>
      <c r="M318">
        <v>1420</v>
      </c>
      <c r="N318">
        <v>1599</v>
      </c>
      <c r="O318">
        <v>1369</v>
      </c>
    </row>
    <row r="319" spans="1:15" x14ac:dyDescent="0.2">
      <c r="A319" t="s">
        <v>577</v>
      </c>
      <c r="B319" t="s">
        <v>577</v>
      </c>
      <c r="C319">
        <v>228769</v>
      </c>
      <c r="D319">
        <v>19100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">
      <c r="A320" t="s">
        <v>578</v>
      </c>
      <c r="B320" t="s">
        <v>578</v>
      </c>
      <c r="C320">
        <v>221768</v>
      </c>
      <c r="D320">
        <v>32280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">
      <c r="A321" t="s">
        <v>234</v>
      </c>
      <c r="B321" t="s">
        <v>234</v>
      </c>
      <c r="C321">
        <v>230764</v>
      </c>
      <c r="D321">
        <v>41620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">
      <c r="A322" t="s">
        <v>579</v>
      </c>
      <c r="B322" t="s">
        <v>579</v>
      </c>
      <c r="C322">
        <v>230728</v>
      </c>
      <c r="D322">
        <v>30860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">
      <c r="A323" t="s">
        <v>236</v>
      </c>
      <c r="B323" t="s">
        <v>236</v>
      </c>
      <c r="C323">
        <v>230737</v>
      </c>
      <c r="D323">
        <v>39340</v>
      </c>
      <c r="E323">
        <v>0</v>
      </c>
      <c r="F323">
        <v>14002</v>
      </c>
      <c r="G323">
        <v>12727</v>
      </c>
      <c r="H323">
        <v>16167</v>
      </c>
      <c r="I323">
        <v>15596</v>
      </c>
      <c r="J323">
        <v>15125</v>
      </c>
      <c r="K323">
        <v>0</v>
      </c>
      <c r="L323">
        <v>1067</v>
      </c>
      <c r="M323">
        <v>8182</v>
      </c>
      <c r="N323">
        <v>5653</v>
      </c>
      <c r="O323">
        <v>9208</v>
      </c>
    </row>
    <row r="324" spans="1:15" x14ac:dyDescent="0.2">
      <c r="A324" t="s">
        <v>237</v>
      </c>
      <c r="B324" t="s">
        <v>237</v>
      </c>
      <c r="C324">
        <v>228796</v>
      </c>
      <c r="D324">
        <v>21340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">
      <c r="A325" t="s">
        <v>238</v>
      </c>
      <c r="B325" t="s">
        <v>238</v>
      </c>
      <c r="C325">
        <v>227368</v>
      </c>
      <c r="D325">
        <v>32580</v>
      </c>
      <c r="E325">
        <v>0</v>
      </c>
      <c r="F325">
        <v>0</v>
      </c>
      <c r="G325">
        <v>4564</v>
      </c>
      <c r="H325">
        <v>4157</v>
      </c>
      <c r="I325">
        <v>2456</v>
      </c>
      <c r="J325">
        <v>2110</v>
      </c>
      <c r="K325">
        <v>0</v>
      </c>
      <c r="L325">
        <v>434</v>
      </c>
      <c r="M325">
        <v>865</v>
      </c>
      <c r="N325">
        <v>2299</v>
      </c>
      <c r="O325">
        <v>1535</v>
      </c>
    </row>
    <row r="326" spans="1:15" x14ac:dyDescent="0.2">
      <c r="A326" t="s">
        <v>239</v>
      </c>
      <c r="B326" t="s">
        <v>239</v>
      </c>
      <c r="C326">
        <v>229027</v>
      </c>
      <c r="D326">
        <v>41700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">
      <c r="A327" t="s">
        <v>580</v>
      </c>
      <c r="B327" t="s">
        <v>580</v>
      </c>
      <c r="C327">
        <v>152600</v>
      </c>
      <c r="D327">
        <v>16980</v>
      </c>
      <c r="E327">
        <v>2776</v>
      </c>
      <c r="F327">
        <v>3482</v>
      </c>
      <c r="G327">
        <v>1821</v>
      </c>
      <c r="H327">
        <v>2286</v>
      </c>
      <c r="I327">
        <v>1630</v>
      </c>
      <c r="J327">
        <v>1670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">
      <c r="A328" t="s">
        <v>581</v>
      </c>
      <c r="B328" t="s">
        <v>581</v>
      </c>
      <c r="C328">
        <v>221999</v>
      </c>
      <c r="D328">
        <v>34980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">
      <c r="A329" t="s">
        <v>240</v>
      </c>
      <c r="B329" t="s">
        <v>240</v>
      </c>
      <c r="C329">
        <v>234030</v>
      </c>
      <c r="D329">
        <v>40060</v>
      </c>
      <c r="E329">
        <v>7883</v>
      </c>
      <c r="F329">
        <v>8022</v>
      </c>
      <c r="G329">
        <v>7554</v>
      </c>
      <c r="H329">
        <v>5075</v>
      </c>
      <c r="I329">
        <v>4775</v>
      </c>
      <c r="J329">
        <v>6565</v>
      </c>
      <c r="K329">
        <v>0</v>
      </c>
      <c r="L329">
        <v>442</v>
      </c>
      <c r="M329">
        <v>2734</v>
      </c>
      <c r="N329">
        <v>3270</v>
      </c>
      <c r="O329">
        <v>5604</v>
      </c>
    </row>
    <row r="330" spans="1:15" x14ac:dyDescent="0.2">
      <c r="A330" t="s">
        <v>241</v>
      </c>
      <c r="B330" t="s">
        <v>241</v>
      </c>
      <c r="C330">
        <v>231174</v>
      </c>
      <c r="D330">
        <v>15540</v>
      </c>
      <c r="E330">
        <v>4621</v>
      </c>
      <c r="F330">
        <v>3699</v>
      </c>
      <c r="G330">
        <v>6604</v>
      </c>
      <c r="H330">
        <v>11078</v>
      </c>
      <c r="I330">
        <v>6027</v>
      </c>
      <c r="J330">
        <v>6578</v>
      </c>
      <c r="K330">
        <v>0</v>
      </c>
      <c r="L330">
        <v>342</v>
      </c>
      <c r="M330">
        <v>5176</v>
      </c>
      <c r="N330">
        <v>11778</v>
      </c>
      <c r="O330">
        <v>11334</v>
      </c>
    </row>
    <row r="331" spans="1:15" x14ac:dyDescent="0.2">
      <c r="A331" t="s">
        <v>582</v>
      </c>
      <c r="B331" t="s">
        <v>582</v>
      </c>
      <c r="C331">
        <v>216597</v>
      </c>
      <c r="D331">
        <v>37980</v>
      </c>
      <c r="E331">
        <v>3670</v>
      </c>
      <c r="F331">
        <v>3905</v>
      </c>
      <c r="G331">
        <v>3109</v>
      </c>
      <c r="H331">
        <v>4904</v>
      </c>
      <c r="I331">
        <v>4320</v>
      </c>
      <c r="J331">
        <v>4022</v>
      </c>
      <c r="K331">
        <v>0</v>
      </c>
      <c r="L331">
        <v>48</v>
      </c>
      <c r="M331">
        <v>3413</v>
      </c>
      <c r="N331">
        <v>5195</v>
      </c>
      <c r="O331">
        <v>2876</v>
      </c>
    </row>
    <row r="332" spans="1:15" x14ac:dyDescent="0.2">
      <c r="A332" t="s">
        <v>242</v>
      </c>
      <c r="B332" t="s">
        <v>242</v>
      </c>
      <c r="C332">
        <v>234076</v>
      </c>
      <c r="D332">
        <v>16820</v>
      </c>
      <c r="E332">
        <v>22709</v>
      </c>
      <c r="F332">
        <v>23998</v>
      </c>
      <c r="G332">
        <v>19911</v>
      </c>
      <c r="H332">
        <v>22216</v>
      </c>
      <c r="I332">
        <v>27697</v>
      </c>
      <c r="J332">
        <v>19665</v>
      </c>
      <c r="K332">
        <v>0</v>
      </c>
      <c r="L332">
        <v>1810</v>
      </c>
      <c r="M332">
        <v>13077</v>
      </c>
      <c r="N332">
        <v>22800</v>
      </c>
      <c r="O332">
        <v>25965</v>
      </c>
    </row>
    <row r="333" spans="1:15" x14ac:dyDescent="0.2">
      <c r="A333" t="s">
        <v>243</v>
      </c>
      <c r="B333" t="s">
        <v>243</v>
      </c>
      <c r="C333">
        <v>233921</v>
      </c>
      <c r="D333">
        <v>13980</v>
      </c>
      <c r="E333">
        <v>12262</v>
      </c>
      <c r="F333">
        <v>6715</v>
      </c>
      <c r="G333">
        <v>8327</v>
      </c>
      <c r="H333">
        <v>6054</v>
      </c>
      <c r="I333">
        <v>6271</v>
      </c>
      <c r="J333">
        <v>5579</v>
      </c>
      <c r="K333">
        <v>0</v>
      </c>
      <c r="L333">
        <v>1931</v>
      </c>
      <c r="M333">
        <v>9429</v>
      </c>
      <c r="N333">
        <v>6802</v>
      </c>
      <c r="O333">
        <v>11226</v>
      </c>
    </row>
    <row r="334" spans="1:15" x14ac:dyDescent="0.2">
      <c r="A334" t="s">
        <v>583</v>
      </c>
      <c r="B334" t="s">
        <v>583</v>
      </c>
      <c r="C334">
        <v>234085</v>
      </c>
      <c r="D334">
        <v>31340</v>
      </c>
      <c r="E334">
        <v>1203</v>
      </c>
      <c r="F334">
        <v>1626</v>
      </c>
      <c r="G334">
        <v>833</v>
      </c>
      <c r="H334">
        <v>804</v>
      </c>
      <c r="I334">
        <v>850</v>
      </c>
      <c r="J334">
        <v>1034</v>
      </c>
      <c r="K334">
        <v>0</v>
      </c>
      <c r="L334">
        <v>292</v>
      </c>
      <c r="M334">
        <v>581</v>
      </c>
      <c r="N334">
        <v>658</v>
      </c>
      <c r="O334">
        <v>2214</v>
      </c>
    </row>
    <row r="335" spans="1:15" x14ac:dyDescent="0.2">
      <c r="A335" t="s">
        <v>584</v>
      </c>
      <c r="B335" t="s">
        <v>584</v>
      </c>
      <c r="C335">
        <v>197197</v>
      </c>
      <c r="D335">
        <v>35620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">
      <c r="A336" t="s">
        <v>585</v>
      </c>
      <c r="B336" t="s">
        <v>585</v>
      </c>
      <c r="C336">
        <v>199847</v>
      </c>
      <c r="D336">
        <v>49180</v>
      </c>
      <c r="E336">
        <v>22162</v>
      </c>
      <c r="F336">
        <v>19629</v>
      </c>
      <c r="G336">
        <v>46248</v>
      </c>
      <c r="H336">
        <v>36512</v>
      </c>
      <c r="I336">
        <v>40884</v>
      </c>
      <c r="J336">
        <v>34188</v>
      </c>
      <c r="K336">
        <v>0</v>
      </c>
      <c r="L336">
        <v>1409</v>
      </c>
      <c r="M336">
        <v>21352</v>
      </c>
      <c r="N336">
        <v>23794</v>
      </c>
      <c r="O336">
        <v>21836</v>
      </c>
    </row>
    <row r="337" spans="1:15" x14ac:dyDescent="0.2">
      <c r="A337" t="s">
        <v>244</v>
      </c>
      <c r="B337" t="s">
        <v>244</v>
      </c>
      <c r="C337">
        <v>236948</v>
      </c>
      <c r="D337">
        <v>42660</v>
      </c>
      <c r="E337">
        <v>17758</v>
      </c>
      <c r="F337">
        <v>12199</v>
      </c>
      <c r="G337">
        <v>8163</v>
      </c>
      <c r="H337">
        <v>11056</v>
      </c>
      <c r="I337">
        <v>10021</v>
      </c>
      <c r="J337">
        <v>11679</v>
      </c>
      <c r="K337">
        <v>0</v>
      </c>
      <c r="L337">
        <v>0</v>
      </c>
      <c r="M337">
        <v>15900</v>
      </c>
      <c r="N337">
        <v>23351</v>
      </c>
      <c r="O337">
        <v>14921</v>
      </c>
    </row>
    <row r="338" spans="1:15" x14ac:dyDescent="0.2">
      <c r="A338" t="s">
        <v>586</v>
      </c>
      <c r="B338" t="s">
        <v>586</v>
      </c>
      <c r="C338">
        <v>236939</v>
      </c>
      <c r="D338">
        <v>39420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">
      <c r="A339" t="s">
        <v>587</v>
      </c>
      <c r="B339" t="s">
        <v>587</v>
      </c>
      <c r="C339">
        <v>230782</v>
      </c>
      <c r="D339">
        <v>36260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">
      <c r="A340" t="s">
        <v>247</v>
      </c>
      <c r="B340" t="s">
        <v>247</v>
      </c>
      <c r="C340">
        <v>238032</v>
      </c>
      <c r="D340">
        <v>34060</v>
      </c>
      <c r="E340">
        <v>8687</v>
      </c>
      <c r="F340">
        <v>7194</v>
      </c>
      <c r="G340">
        <v>6993</v>
      </c>
      <c r="H340">
        <v>7860</v>
      </c>
      <c r="I340">
        <v>6970</v>
      </c>
      <c r="J340">
        <v>6102</v>
      </c>
      <c r="K340">
        <v>0</v>
      </c>
      <c r="L340">
        <v>968</v>
      </c>
      <c r="M340">
        <v>12308</v>
      </c>
      <c r="N340">
        <v>8184</v>
      </c>
      <c r="O340">
        <v>19139</v>
      </c>
    </row>
    <row r="341" spans="1:15" x14ac:dyDescent="0.2">
      <c r="A341" t="s">
        <v>588</v>
      </c>
      <c r="B341" t="s">
        <v>588</v>
      </c>
      <c r="C341">
        <v>200004</v>
      </c>
      <c r="D341">
        <v>19000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">
      <c r="A342" t="s">
        <v>589</v>
      </c>
      <c r="B342" t="s">
        <v>589</v>
      </c>
      <c r="C342">
        <v>149772</v>
      </c>
      <c r="D342">
        <v>31380</v>
      </c>
      <c r="E342">
        <v>1720</v>
      </c>
      <c r="F342">
        <v>975</v>
      </c>
      <c r="G342">
        <v>1519</v>
      </c>
      <c r="H342">
        <v>923</v>
      </c>
      <c r="I342">
        <v>1001</v>
      </c>
      <c r="J342">
        <v>726</v>
      </c>
      <c r="K342">
        <v>0</v>
      </c>
      <c r="L342">
        <v>184</v>
      </c>
      <c r="M342">
        <v>660</v>
      </c>
      <c r="N342">
        <v>1124</v>
      </c>
      <c r="O342">
        <v>651</v>
      </c>
    </row>
    <row r="343" spans="1:15" x14ac:dyDescent="0.2">
      <c r="A343" t="s">
        <v>590</v>
      </c>
      <c r="B343" t="s">
        <v>590</v>
      </c>
      <c r="C343">
        <v>157951</v>
      </c>
      <c r="D343">
        <v>14540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">
      <c r="A344" t="s">
        <v>591</v>
      </c>
      <c r="B344" t="s">
        <v>591</v>
      </c>
      <c r="C344">
        <v>172699</v>
      </c>
      <c r="D344">
        <v>28020</v>
      </c>
      <c r="E344">
        <v>2918</v>
      </c>
      <c r="F344">
        <v>3020</v>
      </c>
      <c r="G344">
        <v>5178</v>
      </c>
      <c r="H344">
        <v>3676</v>
      </c>
      <c r="I344">
        <v>12622</v>
      </c>
      <c r="J344">
        <v>5510</v>
      </c>
      <c r="K344">
        <v>0</v>
      </c>
      <c r="L344">
        <v>561</v>
      </c>
      <c r="M344">
        <v>5503</v>
      </c>
      <c r="N344">
        <v>3737</v>
      </c>
      <c r="O344">
        <v>4267</v>
      </c>
    </row>
    <row r="345" spans="1:15" x14ac:dyDescent="0.2">
      <c r="A345" t="s">
        <v>592</v>
      </c>
      <c r="B345" t="s">
        <v>592</v>
      </c>
      <c r="C345">
        <v>156125</v>
      </c>
      <c r="D345">
        <v>48620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">
      <c r="A346" t="s">
        <v>253</v>
      </c>
      <c r="B346" t="s">
        <v>253</v>
      </c>
      <c r="C346">
        <v>231624</v>
      </c>
      <c r="D346">
        <v>47260</v>
      </c>
      <c r="E346">
        <v>4813</v>
      </c>
      <c r="F346">
        <v>3527</v>
      </c>
      <c r="G346">
        <v>1502</v>
      </c>
      <c r="H346">
        <v>3732</v>
      </c>
      <c r="I346">
        <v>3948</v>
      </c>
      <c r="J346">
        <v>3168</v>
      </c>
      <c r="K346">
        <v>0</v>
      </c>
      <c r="L346">
        <v>0</v>
      </c>
      <c r="M346">
        <v>2709</v>
      </c>
      <c r="N346">
        <v>3229</v>
      </c>
      <c r="O346">
        <v>3750</v>
      </c>
    </row>
    <row r="347" spans="1:15" x14ac:dyDescent="0.2">
      <c r="A347" t="s">
        <v>254</v>
      </c>
      <c r="B347" t="s">
        <v>254</v>
      </c>
      <c r="C347">
        <v>218964</v>
      </c>
      <c r="D347">
        <v>16740</v>
      </c>
      <c r="E347">
        <v>2220</v>
      </c>
      <c r="F347">
        <v>2450</v>
      </c>
      <c r="G347">
        <v>2129</v>
      </c>
      <c r="H347">
        <v>1394</v>
      </c>
      <c r="I347">
        <v>1558</v>
      </c>
      <c r="J347">
        <v>1444</v>
      </c>
      <c r="K347">
        <v>0</v>
      </c>
      <c r="L347">
        <v>388</v>
      </c>
      <c r="M347">
        <v>1050</v>
      </c>
      <c r="N347">
        <v>1019</v>
      </c>
      <c r="O347">
        <v>651</v>
      </c>
    </row>
    <row r="348" spans="1:15" x14ac:dyDescent="0.2">
      <c r="A348" t="s">
        <v>255</v>
      </c>
      <c r="B348" t="s">
        <v>255</v>
      </c>
      <c r="C348">
        <v>240444</v>
      </c>
      <c r="D348">
        <v>31540</v>
      </c>
      <c r="E348">
        <v>8048</v>
      </c>
      <c r="F348">
        <v>7777</v>
      </c>
      <c r="G348">
        <v>6828</v>
      </c>
      <c r="H348">
        <v>8465</v>
      </c>
      <c r="I348">
        <v>9273</v>
      </c>
      <c r="J348">
        <v>5245</v>
      </c>
      <c r="K348">
        <v>0</v>
      </c>
      <c r="L348">
        <v>198</v>
      </c>
      <c r="M348">
        <v>6109</v>
      </c>
      <c r="N348">
        <v>4974</v>
      </c>
      <c r="O348">
        <v>5711</v>
      </c>
    </row>
    <row r="349" spans="1:15" x14ac:dyDescent="0.2">
      <c r="A349" t="s">
        <v>593</v>
      </c>
      <c r="B349" t="s">
        <v>593</v>
      </c>
      <c r="C349">
        <v>218973</v>
      </c>
      <c r="D349">
        <v>43900</v>
      </c>
      <c r="E349">
        <v>2241</v>
      </c>
      <c r="F349">
        <v>3073</v>
      </c>
      <c r="G349">
        <v>3345</v>
      </c>
      <c r="H349">
        <v>2922</v>
      </c>
      <c r="I349">
        <v>1768</v>
      </c>
      <c r="J349">
        <v>1670</v>
      </c>
      <c r="K349">
        <v>0</v>
      </c>
      <c r="L349">
        <v>422</v>
      </c>
      <c r="M349">
        <v>1598</v>
      </c>
      <c r="N349">
        <v>1577</v>
      </c>
      <c r="O349">
        <v>1713</v>
      </c>
    </row>
    <row r="350" spans="1:15" x14ac:dyDescent="0.2">
      <c r="A350" t="s">
        <v>594</v>
      </c>
      <c r="B350" t="s">
        <v>594</v>
      </c>
      <c r="C350">
        <v>206604</v>
      </c>
      <c r="D350">
        <v>19430</v>
      </c>
      <c r="E350">
        <v>4575</v>
      </c>
      <c r="F350">
        <v>5809</v>
      </c>
      <c r="G350">
        <v>6110</v>
      </c>
      <c r="H350">
        <v>4974</v>
      </c>
      <c r="I350">
        <v>4619</v>
      </c>
      <c r="J350">
        <v>4375</v>
      </c>
      <c r="K350">
        <v>0</v>
      </c>
      <c r="L350">
        <v>300</v>
      </c>
      <c r="M350">
        <v>1842</v>
      </c>
      <c r="N350">
        <v>2172</v>
      </c>
      <c r="O350">
        <v>2052</v>
      </c>
    </row>
    <row r="351" spans="1:15" x14ac:dyDescent="0.2">
      <c r="A351" t="s">
        <v>259</v>
      </c>
      <c r="B351" t="s">
        <v>259</v>
      </c>
      <c r="C351">
        <v>240727</v>
      </c>
      <c r="D351">
        <v>29660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">
      <c r="A352" t="s">
        <v>595</v>
      </c>
      <c r="B352" t="s">
        <v>595</v>
      </c>
      <c r="C352">
        <v>206622</v>
      </c>
      <c r="D352">
        <v>17140</v>
      </c>
      <c r="E352">
        <v>5952</v>
      </c>
      <c r="F352">
        <v>8557</v>
      </c>
      <c r="G352">
        <v>7037</v>
      </c>
      <c r="H352">
        <v>7302</v>
      </c>
      <c r="I352">
        <v>8140</v>
      </c>
      <c r="J352">
        <v>5552</v>
      </c>
      <c r="K352">
        <v>0</v>
      </c>
      <c r="L352">
        <v>658</v>
      </c>
      <c r="M352">
        <v>5030</v>
      </c>
      <c r="N352">
        <v>5657</v>
      </c>
      <c r="O352">
        <v>3961</v>
      </c>
    </row>
    <row r="353" spans="1:15" x14ac:dyDescent="0.2">
      <c r="A353" t="s">
        <v>596</v>
      </c>
      <c r="B353" t="s">
        <v>596</v>
      </c>
      <c r="C353">
        <v>130794</v>
      </c>
      <c r="D353">
        <v>35300</v>
      </c>
      <c r="E353">
        <v>5467</v>
      </c>
      <c r="F353">
        <v>3494</v>
      </c>
      <c r="G353">
        <v>6039</v>
      </c>
      <c r="H353">
        <v>4986</v>
      </c>
      <c r="I353">
        <v>3349</v>
      </c>
      <c r="J353">
        <v>3963</v>
      </c>
      <c r="K353">
        <v>0</v>
      </c>
      <c r="L353">
        <v>0</v>
      </c>
      <c r="M353">
        <v>3793</v>
      </c>
      <c r="N353">
        <v>3337</v>
      </c>
      <c r="O353">
        <v>3558</v>
      </c>
    </row>
    <row r="354" spans="1:15" x14ac:dyDescent="0.2">
      <c r="A354" t="s">
        <v>597</v>
      </c>
      <c r="B354" t="s">
        <v>597</v>
      </c>
      <c r="C354">
        <v>206695</v>
      </c>
      <c r="D354">
        <v>49660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09C6-D1D0-4F68-8051-35766B0FDFC1}">
  <sheetPr>
    <tabColor theme="4"/>
  </sheetPr>
  <dimension ref="A1:O354"/>
  <sheetViews>
    <sheetView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v>12349</v>
      </c>
      <c r="F20">
        <v>11337</v>
      </c>
      <c r="G20">
        <v>9973</v>
      </c>
      <c r="H20">
        <v>14653</v>
      </c>
      <c r="I20">
        <v>12928</v>
      </c>
      <c r="J20">
        <v>7465</v>
      </c>
      <c r="K20">
        <v>3291</v>
      </c>
      <c r="L20">
        <v>243</v>
      </c>
      <c r="M20">
        <v>16571</v>
      </c>
      <c r="N20">
        <v>23353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v>48435</v>
      </c>
      <c r="F35">
        <v>46597</v>
      </c>
      <c r="G35">
        <v>59694</v>
      </c>
      <c r="H35">
        <v>57567</v>
      </c>
      <c r="I35">
        <v>47949</v>
      </c>
      <c r="J35">
        <v>42319</v>
      </c>
      <c r="K35">
        <v>35534</v>
      </c>
      <c r="L35">
        <v>3457</v>
      </c>
      <c r="M35">
        <v>43578</v>
      </c>
      <c r="N35">
        <v>54453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5609</v>
      </c>
      <c r="F39">
        <v>5511</v>
      </c>
      <c r="G39">
        <v>5338</v>
      </c>
      <c r="H39">
        <v>4444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v>5940</v>
      </c>
      <c r="F62">
        <v>4955</v>
      </c>
      <c r="G62">
        <v>3678</v>
      </c>
      <c r="H62">
        <v>4804</v>
      </c>
      <c r="I62">
        <v>5625</v>
      </c>
      <c r="J62">
        <v>5430</v>
      </c>
      <c r="K62">
        <v>2676</v>
      </c>
      <c r="L62">
        <v>0</v>
      </c>
      <c r="M62">
        <v>2524</v>
      </c>
      <c r="N62">
        <v>5081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842</v>
      </c>
      <c r="N84">
        <v>1163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v>4182</v>
      </c>
      <c r="F96">
        <v>4043</v>
      </c>
      <c r="G96">
        <v>3871</v>
      </c>
      <c r="H96">
        <v>4200</v>
      </c>
      <c r="I96">
        <v>5996</v>
      </c>
      <c r="J96">
        <v>4419</v>
      </c>
      <c r="K96">
        <v>4641</v>
      </c>
      <c r="L96">
        <v>669</v>
      </c>
      <c r="M96">
        <v>3647</v>
      </c>
      <c r="N96">
        <v>6437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v>4279</v>
      </c>
      <c r="F104">
        <v>8419</v>
      </c>
      <c r="G104">
        <v>7507</v>
      </c>
      <c r="H104">
        <v>10802</v>
      </c>
      <c r="I104">
        <v>15409</v>
      </c>
      <c r="J104">
        <v>14715</v>
      </c>
      <c r="K104">
        <v>12876</v>
      </c>
      <c r="L104">
        <v>1748</v>
      </c>
      <c r="M104">
        <v>9638</v>
      </c>
      <c r="N104">
        <v>17182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v>1978</v>
      </c>
      <c r="F108">
        <v>2145</v>
      </c>
      <c r="G108">
        <v>1928</v>
      </c>
      <c r="H108">
        <v>2208</v>
      </c>
      <c r="I108">
        <v>1586</v>
      </c>
      <c r="J108">
        <v>1426</v>
      </c>
      <c r="K108">
        <v>632</v>
      </c>
      <c r="L108">
        <v>0</v>
      </c>
      <c r="M108">
        <v>2378</v>
      </c>
      <c r="N108">
        <v>2728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v>44342</v>
      </c>
      <c r="F109">
        <v>61414</v>
      </c>
      <c r="G109">
        <v>61180</v>
      </c>
      <c r="H109">
        <v>68283</v>
      </c>
      <c r="I109">
        <v>65546</v>
      </c>
      <c r="J109">
        <v>83362</v>
      </c>
      <c r="K109">
        <v>52333</v>
      </c>
      <c r="L109">
        <v>7</v>
      </c>
      <c r="M109">
        <v>72901</v>
      </c>
      <c r="N109">
        <v>126385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481</v>
      </c>
      <c r="N143">
        <v>1263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v>13352</v>
      </c>
      <c r="F145">
        <v>11181</v>
      </c>
      <c r="G145">
        <v>16838</v>
      </c>
      <c r="H145">
        <v>18698</v>
      </c>
      <c r="I145">
        <v>19620</v>
      </c>
      <c r="J145">
        <v>35624</v>
      </c>
      <c r="K145">
        <v>8922</v>
      </c>
      <c r="L145">
        <v>447</v>
      </c>
      <c r="M145">
        <v>24875</v>
      </c>
      <c r="N145">
        <v>21766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v>20644</v>
      </c>
      <c r="F150">
        <v>13318</v>
      </c>
      <c r="G150">
        <v>11299</v>
      </c>
      <c r="H150">
        <v>10083</v>
      </c>
      <c r="I150">
        <v>10528</v>
      </c>
      <c r="J150">
        <v>11658</v>
      </c>
      <c r="K150">
        <v>6949</v>
      </c>
      <c r="L150">
        <v>0</v>
      </c>
      <c r="M150">
        <v>7960</v>
      </c>
      <c r="N150">
        <v>10087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v>2302</v>
      </c>
      <c r="F194">
        <v>2283</v>
      </c>
      <c r="G194">
        <v>2854</v>
      </c>
      <c r="H194">
        <v>3022</v>
      </c>
      <c r="I194">
        <v>2701</v>
      </c>
      <c r="J194">
        <v>1412</v>
      </c>
      <c r="K194">
        <v>1864</v>
      </c>
      <c r="L194">
        <v>0</v>
      </c>
      <c r="M194">
        <v>2446</v>
      </c>
      <c r="N194">
        <v>3500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v>6992</v>
      </c>
      <c r="F211">
        <v>7875</v>
      </c>
      <c r="G211">
        <v>10349</v>
      </c>
      <c r="H211">
        <v>31639</v>
      </c>
      <c r="I211">
        <v>15360</v>
      </c>
      <c r="J211">
        <v>11724</v>
      </c>
      <c r="K211">
        <v>8859</v>
      </c>
      <c r="L211">
        <v>534</v>
      </c>
      <c r="M211">
        <v>8240</v>
      </c>
      <c r="N211">
        <v>12275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v>3582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v>10144</v>
      </c>
      <c r="F222">
        <v>10621</v>
      </c>
      <c r="G222">
        <v>15277</v>
      </c>
      <c r="H222">
        <v>11877</v>
      </c>
      <c r="I222">
        <v>7110</v>
      </c>
      <c r="J222">
        <v>7317</v>
      </c>
      <c r="K222">
        <v>4200</v>
      </c>
      <c r="L222">
        <v>2144</v>
      </c>
      <c r="M222">
        <v>7437</v>
      </c>
      <c r="N222">
        <v>12020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v>13539</v>
      </c>
      <c r="F223">
        <v>13375</v>
      </c>
      <c r="G223">
        <v>11417</v>
      </c>
      <c r="H223">
        <v>7589</v>
      </c>
      <c r="I223">
        <v>10831</v>
      </c>
      <c r="J223">
        <v>11583</v>
      </c>
      <c r="K223">
        <v>2493</v>
      </c>
      <c r="L223">
        <v>0</v>
      </c>
      <c r="M223">
        <v>7521</v>
      </c>
      <c r="N223">
        <v>7164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v>3593</v>
      </c>
      <c r="F229">
        <v>3429</v>
      </c>
      <c r="G229">
        <v>3121</v>
      </c>
      <c r="H229">
        <v>2774</v>
      </c>
      <c r="I229">
        <v>2080</v>
      </c>
      <c r="J229">
        <v>2866</v>
      </c>
      <c r="K229">
        <v>777</v>
      </c>
      <c r="L229">
        <v>0</v>
      </c>
      <c r="M229">
        <v>195</v>
      </c>
      <c r="N229">
        <v>0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v>7866</v>
      </c>
      <c r="F232">
        <v>10182</v>
      </c>
      <c r="G232">
        <v>8290</v>
      </c>
      <c r="H232">
        <v>6471</v>
      </c>
      <c r="I232">
        <v>7015</v>
      </c>
      <c r="J232">
        <v>7112</v>
      </c>
      <c r="K232">
        <v>4033</v>
      </c>
      <c r="L232">
        <v>7</v>
      </c>
      <c r="M232">
        <v>3993</v>
      </c>
      <c r="N232">
        <v>8119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v>1993</v>
      </c>
      <c r="F242">
        <v>1391</v>
      </c>
      <c r="G242">
        <v>1197</v>
      </c>
      <c r="H242">
        <v>2787</v>
      </c>
      <c r="I242">
        <v>1433</v>
      </c>
      <c r="J242">
        <v>1511</v>
      </c>
      <c r="K242">
        <v>693</v>
      </c>
      <c r="L242">
        <v>0</v>
      </c>
      <c r="M242">
        <v>1921</v>
      </c>
      <c r="N242">
        <v>1697</v>
      </c>
    </row>
    <row r="243" spans="1:14" x14ac:dyDescent="0.2">
      <c r="A243" t="s">
        <v>520</v>
      </c>
      <c r="B243" t="s">
        <v>599</v>
      </c>
      <c r="C243">
        <v>215743</v>
      </c>
      <c r="D243">
        <v>11020</v>
      </c>
      <c r="E243">
        <v>3001</v>
      </c>
      <c r="F243">
        <v>6180</v>
      </c>
      <c r="G243">
        <v>5138</v>
      </c>
      <c r="H243">
        <v>3992</v>
      </c>
      <c r="I243">
        <v>2306</v>
      </c>
      <c r="J243">
        <v>2809</v>
      </c>
      <c r="K243">
        <v>2596</v>
      </c>
      <c r="L243">
        <v>221</v>
      </c>
      <c r="M243">
        <v>309</v>
      </c>
      <c r="N243">
        <v>2053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600</v>
      </c>
      <c r="B255" t="s">
        <v>600</v>
      </c>
      <c r="C255">
        <v>140960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201</v>
      </c>
      <c r="B265" t="s">
        <v>201</v>
      </c>
      <c r="C265">
        <v>219471</v>
      </c>
      <c r="D265">
        <v>46820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E270">
        <v>9025</v>
      </c>
      <c r="F270">
        <v>13350</v>
      </c>
      <c r="G270">
        <v>5350</v>
      </c>
      <c r="H270">
        <v>6150</v>
      </c>
      <c r="I270">
        <v>3950</v>
      </c>
      <c r="J270">
        <v>4850</v>
      </c>
      <c r="K270">
        <v>1600</v>
      </c>
      <c r="L270">
        <v>0</v>
      </c>
      <c r="M270">
        <v>4860</v>
      </c>
      <c r="N270">
        <v>6909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406</v>
      </c>
      <c r="L276">
        <v>0</v>
      </c>
      <c r="M276">
        <v>697</v>
      </c>
      <c r="N276">
        <v>815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E278">
        <v>10136</v>
      </c>
      <c r="F278">
        <v>9150</v>
      </c>
      <c r="G278">
        <v>9581</v>
      </c>
      <c r="H278">
        <v>7118</v>
      </c>
      <c r="I278">
        <v>3540</v>
      </c>
      <c r="J278">
        <v>8204</v>
      </c>
      <c r="K278">
        <v>6087</v>
      </c>
      <c r="L278">
        <v>0</v>
      </c>
      <c r="M278">
        <v>5144</v>
      </c>
      <c r="N278">
        <v>14394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E301">
        <v>11031</v>
      </c>
      <c r="F301">
        <v>20049</v>
      </c>
      <c r="G301">
        <v>11821</v>
      </c>
      <c r="H301">
        <v>12483</v>
      </c>
      <c r="I301">
        <v>12660</v>
      </c>
      <c r="J301">
        <v>8748</v>
      </c>
      <c r="K301">
        <v>7301</v>
      </c>
      <c r="L301">
        <v>7</v>
      </c>
      <c r="M301">
        <v>9277</v>
      </c>
      <c r="N301">
        <v>21851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E303">
        <v>8740</v>
      </c>
      <c r="F303">
        <v>5655</v>
      </c>
      <c r="G303">
        <v>4773</v>
      </c>
      <c r="H303">
        <v>5641</v>
      </c>
      <c r="I303">
        <v>4098</v>
      </c>
      <c r="J303">
        <v>5024</v>
      </c>
      <c r="K303">
        <v>2435</v>
      </c>
      <c r="L303">
        <v>11</v>
      </c>
      <c r="M303">
        <v>1752</v>
      </c>
      <c r="N303">
        <v>4282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E305">
        <v>8521</v>
      </c>
      <c r="F305">
        <v>10369</v>
      </c>
      <c r="G305">
        <v>15384</v>
      </c>
      <c r="H305">
        <v>12645</v>
      </c>
      <c r="I305">
        <v>32101</v>
      </c>
      <c r="J305">
        <v>13441</v>
      </c>
      <c r="K305">
        <v>5882</v>
      </c>
      <c r="L305">
        <v>4</v>
      </c>
      <c r="M305">
        <v>15265</v>
      </c>
      <c r="N305">
        <v>15804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569</v>
      </c>
      <c r="B310" t="s">
        <v>569</v>
      </c>
      <c r="C310">
        <v>166513</v>
      </c>
      <c r="D310">
        <v>31700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 t="s">
        <v>236</v>
      </c>
      <c r="B323" t="s">
        <v>236</v>
      </c>
      <c r="C323">
        <v>230737</v>
      </c>
      <c r="D323">
        <v>39340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C917-99B8-48BD-B0E8-67E54F2B0B71}">
  <sheetPr>
    <tabColor theme="4"/>
  </sheetPr>
  <dimension ref="A1:O354"/>
  <sheetViews>
    <sheetView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14279</v>
      </c>
      <c r="F2">
        <v>10807</v>
      </c>
      <c r="G2">
        <v>8528</v>
      </c>
      <c r="H2">
        <v>9845</v>
      </c>
      <c r="I2">
        <v>9497</v>
      </c>
      <c r="J2">
        <v>10690</v>
      </c>
      <c r="K2">
        <v>15976</v>
      </c>
      <c r="L2">
        <v>2437</v>
      </c>
      <c r="M2">
        <v>11178</v>
      </c>
      <c r="N2">
        <v>15276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10547</v>
      </c>
      <c r="F3">
        <v>13570</v>
      </c>
      <c r="G3">
        <v>14503</v>
      </c>
      <c r="H3">
        <v>15772</v>
      </c>
      <c r="I3">
        <v>16481</v>
      </c>
      <c r="J3">
        <v>18183</v>
      </c>
      <c r="K3">
        <v>24809</v>
      </c>
      <c r="L3">
        <v>2378</v>
      </c>
      <c r="M3">
        <v>8158</v>
      </c>
      <c r="N3">
        <v>11356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4197</v>
      </c>
      <c r="F4">
        <v>3371</v>
      </c>
      <c r="G4">
        <v>3762</v>
      </c>
      <c r="H4">
        <v>5238</v>
      </c>
      <c r="I4">
        <v>6723</v>
      </c>
      <c r="J4">
        <v>8048</v>
      </c>
      <c r="K4">
        <v>7420</v>
      </c>
      <c r="L4">
        <v>650</v>
      </c>
      <c r="M4">
        <v>4497</v>
      </c>
      <c r="N4">
        <v>7072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9510</v>
      </c>
      <c r="F5">
        <v>11559</v>
      </c>
      <c r="G5">
        <v>12673</v>
      </c>
      <c r="H5">
        <v>10587</v>
      </c>
      <c r="I5">
        <v>9963</v>
      </c>
      <c r="J5">
        <v>9726</v>
      </c>
      <c r="K5">
        <v>15323</v>
      </c>
      <c r="L5">
        <v>268</v>
      </c>
      <c r="M5">
        <v>6040</v>
      </c>
      <c r="N5">
        <v>7656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27888</v>
      </c>
      <c r="F6">
        <v>48444</v>
      </c>
      <c r="G6">
        <v>45066</v>
      </c>
      <c r="H6">
        <v>46116</v>
      </c>
      <c r="I6">
        <v>38991</v>
      </c>
      <c r="J6">
        <v>35268</v>
      </c>
      <c r="K6">
        <v>35223</v>
      </c>
      <c r="L6">
        <v>7886</v>
      </c>
      <c r="M6">
        <v>32552</v>
      </c>
      <c r="N6">
        <v>42044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12147</v>
      </c>
      <c r="F7">
        <v>8489</v>
      </c>
      <c r="G7">
        <v>8515</v>
      </c>
      <c r="H7">
        <v>15005</v>
      </c>
      <c r="I7">
        <v>8872</v>
      </c>
      <c r="J7">
        <v>7767</v>
      </c>
      <c r="K7">
        <v>8986</v>
      </c>
      <c r="L7">
        <v>802</v>
      </c>
      <c r="M7">
        <v>7888</v>
      </c>
      <c r="N7">
        <v>18636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8938</v>
      </c>
      <c r="F8">
        <v>13095</v>
      </c>
      <c r="G8">
        <v>8343</v>
      </c>
      <c r="H8">
        <v>13363</v>
      </c>
      <c r="I8">
        <v>6364</v>
      </c>
      <c r="J8">
        <v>17708</v>
      </c>
      <c r="K8">
        <v>10211</v>
      </c>
      <c r="L8">
        <v>3919</v>
      </c>
      <c r="M8">
        <v>3336</v>
      </c>
      <c r="N8">
        <v>7343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8440</v>
      </c>
      <c r="F9">
        <v>13154</v>
      </c>
      <c r="G9">
        <v>10174</v>
      </c>
      <c r="H9">
        <v>8169</v>
      </c>
      <c r="I9">
        <v>4275</v>
      </c>
      <c r="J9">
        <v>4688</v>
      </c>
      <c r="K9">
        <v>2690</v>
      </c>
      <c r="L9">
        <v>1206</v>
      </c>
      <c r="M9">
        <v>4559</v>
      </c>
      <c r="N9">
        <v>13979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5256</v>
      </c>
      <c r="F10">
        <v>8292</v>
      </c>
      <c r="G10">
        <v>3832</v>
      </c>
      <c r="H10">
        <v>5588</v>
      </c>
      <c r="I10">
        <v>7116</v>
      </c>
      <c r="J10">
        <v>6463</v>
      </c>
      <c r="K10">
        <v>5932</v>
      </c>
      <c r="L10">
        <v>0</v>
      </c>
      <c r="M10">
        <v>6199</v>
      </c>
      <c r="N10">
        <v>4708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4470</v>
      </c>
      <c r="F11">
        <v>6179</v>
      </c>
      <c r="G11">
        <v>6005</v>
      </c>
      <c r="H11">
        <v>4205</v>
      </c>
      <c r="I11">
        <v>5386</v>
      </c>
      <c r="J11">
        <v>10122</v>
      </c>
      <c r="K11">
        <v>7029</v>
      </c>
      <c r="L11">
        <v>523</v>
      </c>
      <c r="M11">
        <v>4976</v>
      </c>
      <c r="N11">
        <v>7092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19240</v>
      </c>
      <c r="F12">
        <v>23583</v>
      </c>
      <c r="G12">
        <v>20787</v>
      </c>
      <c r="H12">
        <v>29422</v>
      </c>
      <c r="I12">
        <v>28988</v>
      </c>
      <c r="J12">
        <v>80850</v>
      </c>
      <c r="K12">
        <v>95098</v>
      </c>
      <c r="L12">
        <v>0</v>
      </c>
      <c r="M12">
        <v>117330</v>
      </c>
      <c r="N12">
        <v>115183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30612</v>
      </c>
      <c r="F13">
        <v>55148</v>
      </c>
      <c r="G13">
        <v>41676</v>
      </c>
      <c r="H13">
        <v>34447</v>
      </c>
      <c r="I13">
        <v>45813</v>
      </c>
      <c r="J13">
        <v>45928</v>
      </c>
      <c r="K13">
        <v>49519</v>
      </c>
      <c r="L13">
        <v>267</v>
      </c>
      <c r="M13">
        <v>37600</v>
      </c>
      <c r="N13">
        <v>35629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19616</v>
      </c>
      <c r="F14">
        <v>6390</v>
      </c>
      <c r="G14">
        <v>5988</v>
      </c>
      <c r="H14">
        <v>7368</v>
      </c>
      <c r="I14">
        <v>13807</v>
      </c>
      <c r="J14">
        <v>7744</v>
      </c>
      <c r="K14">
        <v>10823</v>
      </c>
      <c r="L14">
        <v>570</v>
      </c>
      <c r="M14">
        <v>8954</v>
      </c>
      <c r="N14">
        <v>15698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28850</v>
      </c>
      <c r="F15">
        <v>35192</v>
      </c>
      <c r="G15">
        <v>35602</v>
      </c>
      <c r="H15">
        <v>28083</v>
      </c>
      <c r="I15">
        <v>26824</v>
      </c>
      <c r="J15">
        <v>41469</v>
      </c>
      <c r="K15">
        <v>58449</v>
      </c>
      <c r="L15">
        <v>28766</v>
      </c>
      <c r="M15">
        <v>59740</v>
      </c>
      <c r="N15">
        <v>67811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16351</v>
      </c>
      <c r="F16">
        <v>22140</v>
      </c>
      <c r="G16">
        <v>19154</v>
      </c>
      <c r="H16">
        <v>18212</v>
      </c>
      <c r="I16">
        <v>22400</v>
      </c>
      <c r="J16">
        <v>15236</v>
      </c>
      <c r="K16">
        <v>8771</v>
      </c>
      <c r="L16">
        <v>4943</v>
      </c>
      <c r="M16">
        <v>10913</v>
      </c>
      <c r="N16">
        <v>18308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v>16529</v>
      </c>
      <c r="F17">
        <v>14286</v>
      </c>
      <c r="G17">
        <v>13239</v>
      </c>
      <c r="H17">
        <v>14795</v>
      </c>
      <c r="I17">
        <v>14105</v>
      </c>
      <c r="J17">
        <v>14171</v>
      </c>
      <c r="K17">
        <v>14925</v>
      </c>
      <c r="L17">
        <v>345</v>
      </c>
      <c r="M17">
        <v>10735</v>
      </c>
      <c r="N17">
        <v>13377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v>35994</v>
      </c>
      <c r="F18">
        <v>30825</v>
      </c>
      <c r="G18">
        <v>33312</v>
      </c>
      <c r="H18">
        <v>29861</v>
      </c>
      <c r="I18">
        <v>29939</v>
      </c>
      <c r="J18">
        <v>27259</v>
      </c>
      <c r="K18">
        <v>23954</v>
      </c>
      <c r="L18">
        <v>7873</v>
      </c>
      <c r="M18">
        <v>32910</v>
      </c>
      <c r="N18">
        <v>42034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v>10183</v>
      </c>
      <c r="F19">
        <v>7654</v>
      </c>
      <c r="G19">
        <v>10404</v>
      </c>
      <c r="H19">
        <v>25251</v>
      </c>
      <c r="I19">
        <v>7142</v>
      </c>
      <c r="J19">
        <v>6642</v>
      </c>
      <c r="K19">
        <v>8145</v>
      </c>
      <c r="L19">
        <v>2362</v>
      </c>
      <c r="M19">
        <v>7026</v>
      </c>
      <c r="N19">
        <v>8841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v>10162</v>
      </c>
      <c r="F20">
        <v>24901</v>
      </c>
      <c r="G20">
        <v>14007</v>
      </c>
      <c r="H20">
        <v>22762</v>
      </c>
      <c r="I20">
        <v>28948</v>
      </c>
      <c r="J20">
        <v>27433</v>
      </c>
      <c r="K20">
        <v>29026</v>
      </c>
      <c r="L20">
        <v>831</v>
      </c>
      <c r="M20">
        <v>14818</v>
      </c>
      <c r="N20">
        <v>26698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v>151384</v>
      </c>
      <c r="F21">
        <v>120484</v>
      </c>
      <c r="G21">
        <v>125666</v>
      </c>
      <c r="H21">
        <v>106812</v>
      </c>
      <c r="I21">
        <v>105277</v>
      </c>
      <c r="J21">
        <v>104234</v>
      </c>
      <c r="K21">
        <v>134791</v>
      </c>
      <c r="L21">
        <v>26262</v>
      </c>
      <c r="M21">
        <v>77081</v>
      </c>
      <c r="N21">
        <v>74688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v>6984</v>
      </c>
      <c r="F22">
        <v>7433</v>
      </c>
      <c r="G22">
        <v>9055</v>
      </c>
      <c r="H22">
        <v>12507</v>
      </c>
      <c r="I22">
        <v>15689</v>
      </c>
      <c r="J22">
        <v>17550</v>
      </c>
      <c r="K22">
        <v>15743</v>
      </c>
      <c r="L22">
        <v>1357</v>
      </c>
      <c r="M22">
        <v>12679</v>
      </c>
      <c r="N22">
        <v>13058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v>7727</v>
      </c>
      <c r="F23">
        <v>6690</v>
      </c>
      <c r="G23">
        <v>5747</v>
      </c>
      <c r="H23">
        <v>5582</v>
      </c>
      <c r="I23">
        <v>8597</v>
      </c>
      <c r="J23">
        <v>6203</v>
      </c>
      <c r="K23">
        <v>4859</v>
      </c>
      <c r="L23">
        <v>0</v>
      </c>
      <c r="M23">
        <v>2570</v>
      </c>
      <c r="N23">
        <v>6177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v>17994</v>
      </c>
      <c r="F24">
        <v>18126</v>
      </c>
      <c r="G24">
        <v>24847</v>
      </c>
      <c r="H24">
        <v>25953</v>
      </c>
      <c r="I24">
        <v>21414</v>
      </c>
      <c r="J24">
        <v>23371</v>
      </c>
      <c r="K24">
        <v>23192</v>
      </c>
      <c r="L24">
        <v>0</v>
      </c>
      <c r="M24">
        <v>19123</v>
      </c>
      <c r="N24">
        <v>18678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v>33655</v>
      </c>
      <c r="F25">
        <v>18530</v>
      </c>
      <c r="G25">
        <v>12154</v>
      </c>
      <c r="H25">
        <v>12649</v>
      </c>
      <c r="I25">
        <v>12620</v>
      </c>
      <c r="J25">
        <v>19874</v>
      </c>
      <c r="K25">
        <v>23043</v>
      </c>
      <c r="L25">
        <v>845</v>
      </c>
      <c r="M25">
        <v>9549</v>
      </c>
      <c r="N25">
        <v>14389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v>12684</v>
      </c>
      <c r="F26">
        <v>12188</v>
      </c>
      <c r="G26">
        <v>11480</v>
      </c>
      <c r="H26">
        <v>13939</v>
      </c>
      <c r="I26">
        <v>18983</v>
      </c>
      <c r="J26">
        <v>22230</v>
      </c>
      <c r="K26">
        <v>20732</v>
      </c>
      <c r="L26">
        <v>0</v>
      </c>
      <c r="M26">
        <v>15467</v>
      </c>
      <c r="N26">
        <v>18725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v>3997</v>
      </c>
      <c r="F27">
        <v>3252</v>
      </c>
      <c r="G27">
        <v>5064</v>
      </c>
      <c r="H27">
        <v>3539</v>
      </c>
      <c r="I27">
        <v>5165</v>
      </c>
      <c r="J27">
        <v>7111</v>
      </c>
      <c r="K27">
        <v>7044</v>
      </c>
      <c r="L27">
        <v>0</v>
      </c>
      <c r="M27">
        <v>5526</v>
      </c>
      <c r="N27">
        <v>8959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v>30554</v>
      </c>
      <c r="F28">
        <v>23107</v>
      </c>
      <c r="G28">
        <v>24801</v>
      </c>
      <c r="H28">
        <v>23495</v>
      </c>
      <c r="I28">
        <v>24761</v>
      </c>
      <c r="J28">
        <v>24754</v>
      </c>
      <c r="K28">
        <v>17039</v>
      </c>
      <c r="L28">
        <v>3600</v>
      </c>
      <c r="M28">
        <v>17645</v>
      </c>
      <c r="N28">
        <v>31538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v>19912</v>
      </c>
      <c r="F29">
        <v>9964</v>
      </c>
      <c r="G29">
        <v>9823</v>
      </c>
      <c r="H29">
        <v>9780</v>
      </c>
      <c r="I29">
        <v>12881</v>
      </c>
      <c r="J29">
        <v>12341</v>
      </c>
      <c r="K29">
        <v>13965</v>
      </c>
      <c r="L29">
        <v>100</v>
      </c>
      <c r="M29">
        <v>4704</v>
      </c>
      <c r="N29">
        <v>11779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v>4937</v>
      </c>
      <c r="F30">
        <v>3950</v>
      </c>
      <c r="G30">
        <v>7208</v>
      </c>
      <c r="H30">
        <v>9184</v>
      </c>
      <c r="I30">
        <v>5397</v>
      </c>
      <c r="J30">
        <v>6535</v>
      </c>
      <c r="K30">
        <v>3664</v>
      </c>
      <c r="L30">
        <v>0</v>
      </c>
      <c r="M30">
        <v>2775</v>
      </c>
      <c r="N30">
        <v>4413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v>6411</v>
      </c>
      <c r="F31">
        <v>5454</v>
      </c>
      <c r="G31">
        <v>5342</v>
      </c>
      <c r="H31">
        <v>4226</v>
      </c>
      <c r="I31">
        <v>4501</v>
      </c>
      <c r="J31">
        <v>3707</v>
      </c>
      <c r="K31">
        <v>7723</v>
      </c>
      <c r="L31">
        <v>0</v>
      </c>
      <c r="M31">
        <v>2663</v>
      </c>
      <c r="N31">
        <v>2588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v>7151</v>
      </c>
      <c r="F32">
        <v>6842</v>
      </c>
      <c r="G32">
        <v>7444</v>
      </c>
      <c r="H32">
        <v>10382</v>
      </c>
      <c r="I32">
        <v>12304</v>
      </c>
      <c r="J32">
        <v>16912</v>
      </c>
      <c r="K32">
        <v>12862</v>
      </c>
      <c r="L32">
        <v>0</v>
      </c>
      <c r="M32">
        <v>8941</v>
      </c>
      <c r="N32">
        <v>7233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v>13950</v>
      </c>
      <c r="F33">
        <v>15552</v>
      </c>
      <c r="G33">
        <v>13637</v>
      </c>
      <c r="H33">
        <v>21359</v>
      </c>
      <c r="I33">
        <v>17829</v>
      </c>
      <c r="J33">
        <v>26977</v>
      </c>
      <c r="K33">
        <v>24905</v>
      </c>
      <c r="L33">
        <v>1</v>
      </c>
      <c r="M33">
        <v>20571</v>
      </c>
      <c r="N33">
        <v>18632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v>6939</v>
      </c>
      <c r="F34">
        <v>8046</v>
      </c>
      <c r="G34">
        <v>8006</v>
      </c>
      <c r="H34">
        <v>9299</v>
      </c>
      <c r="I34">
        <v>10085</v>
      </c>
      <c r="J34">
        <v>16219</v>
      </c>
      <c r="K34">
        <v>13391</v>
      </c>
      <c r="L34">
        <v>3212</v>
      </c>
      <c r="M34">
        <v>13336</v>
      </c>
      <c r="N34">
        <v>13078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v>10689</v>
      </c>
      <c r="F35">
        <v>9780</v>
      </c>
      <c r="G35">
        <v>15484</v>
      </c>
      <c r="H35">
        <v>16217</v>
      </c>
      <c r="I35">
        <v>15739</v>
      </c>
      <c r="J35">
        <v>15852</v>
      </c>
      <c r="K35">
        <v>19218</v>
      </c>
      <c r="L35">
        <v>1219</v>
      </c>
      <c r="M35">
        <v>24852</v>
      </c>
      <c r="N35">
        <v>29211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v>10992</v>
      </c>
      <c r="F36">
        <v>9512</v>
      </c>
      <c r="G36">
        <v>9111</v>
      </c>
      <c r="H36">
        <v>8378</v>
      </c>
      <c r="I36">
        <v>10749</v>
      </c>
      <c r="J36">
        <v>10906</v>
      </c>
      <c r="K36">
        <v>8965</v>
      </c>
      <c r="L36">
        <v>0</v>
      </c>
      <c r="M36">
        <v>7295</v>
      </c>
      <c r="N36">
        <v>14695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v>3623</v>
      </c>
      <c r="F37">
        <v>4064</v>
      </c>
      <c r="G37">
        <v>2593</v>
      </c>
      <c r="H37">
        <v>2969</v>
      </c>
      <c r="I37">
        <v>2700</v>
      </c>
      <c r="J37">
        <v>4182</v>
      </c>
      <c r="K37">
        <v>4085</v>
      </c>
      <c r="L37">
        <v>44</v>
      </c>
      <c r="M37">
        <v>2322</v>
      </c>
      <c r="N37">
        <v>2753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v>41677</v>
      </c>
      <c r="F38">
        <v>45078</v>
      </c>
      <c r="G38">
        <v>34075</v>
      </c>
      <c r="H38">
        <v>40666</v>
      </c>
      <c r="I38">
        <v>34950</v>
      </c>
      <c r="J38">
        <v>41998</v>
      </c>
      <c r="K38">
        <v>37141</v>
      </c>
      <c r="L38">
        <v>0</v>
      </c>
      <c r="M38">
        <v>19807</v>
      </c>
      <c r="N38">
        <v>19714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10348</v>
      </c>
      <c r="K39">
        <v>12390</v>
      </c>
      <c r="L39">
        <v>0</v>
      </c>
      <c r="M39">
        <v>7493</v>
      </c>
      <c r="N39">
        <v>11127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v>8305</v>
      </c>
      <c r="F40">
        <v>10153</v>
      </c>
      <c r="G40">
        <v>11716</v>
      </c>
      <c r="H40">
        <v>16700</v>
      </c>
      <c r="I40">
        <v>17221</v>
      </c>
      <c r="J40">
        <v>19888</v>
      </c>
      <c r="K40">
        <v>17454</v>
      </c>
      <c r="L40">
        <v>400</v>
      </c>
      <c r="M40">
        <v>10204</v>
      </c>
      <c r="N40">
        <v>16273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v>14889</v>
      </c>
      <c r="F41">
        <v>14466</v>
      </c>
      <c r="G41">
        <v>12848</v>
      </c>
      <c r="H41">
        <v>13608</v>
      </c>
      <c r="I41">
        <v>12454</v>
      </c>
      <c r="J41">
        <v>13399</v>
      </c>
      <c r="K41">
        <v>10888</v>
      </c>
      <c r="L41">
        <v>0</v>
      </c>
      <c r="M41">
        <v>5443</v>
      </c>
      <c r="N41">
        <v>10453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v>13504</v>
      </c>
      <c r="F42">
        <v>10308</v>
      </c>
      <c r="G42">
        <v>10338</v>
      </c>
      <c r="H42">
        <v>7716</v>
      </c>
      <c r="I42">
        <v>15459</v>
      </c>
      <c r="J42">
        <v>6843</v>
      </c>
      <c r="K42">
        <v>5073</v>
      </c>
      <c r="L42">
        <v>2070</v>
      </c>
      <c r="M42">
        <v>4625</v>
      </c>
      <c r="N42">
        <v>4579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v>6996</v>
      </c>
      <c r="F43">
        <v>6473</v>
      </c>
      <c r="G43">
        <v>10290</v>
      </c>
      <c r="H43">
        <v>10610</v>
      </c>
      <c r="I43">
        <v>11202</v>
      </c>
      <c r="J43">
        <v>8026</v>
      </c>
      <c r="K43">
        <v>9251</v>
      </c>
      <c r="L43">
        <v>0</v>
      </c>
      <c r="M43">
        <v>5116</v>
      </c>
      <c r="N43">
        <v>3021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v>18767</v>
      </c>
      <c r="F44">
        <v>20780</v>
      </c>
      <c r="G44">
        <v>23522</v>
      </c>
      <c r="H44">
        <v>24757</v>
      </c>
      <c r="I44">
        <v>26457</v>
      </c>
      <c r="J44">
        <v>29511</v>
      </c>
      <c r="K44">
        <v>28688</v>
      </c>
      <c r="L44">
        <v>45</v>
      </c>
      <c r="M44">
        <v>20736</v>
      </c>
      <c r="N44">
        <v>18974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v>1616</v>
      </c>
      <c r="F45">
        <v>3398</v>
      </c>
      <c r="G45">
        <v>3880</v>
      </c>
      <c r="H45">
        <v>4902</v>
      </c>
      <c r="I45">
        <v>3414</v>
      </c>
      <c r="J45">
        <v>5223</v>
      </c>
      <c r="K45">
        <v>2641</v>
      </c>
      <c r="L45">
        <v>370</v>
      </c>
      <c r="M45">
        <v>2523</v>
      </c>
      <c r="N45">
        <v>2877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v>23780</v>
      </c>
      <c r="F46">
        <v>16270</v>
      </c>
      <c r="G46">
        <v>21166</v>
      </c>
      <c r="H46">
        <v>21029</v>
      </c>
      <c r="I46">
        <v>25977</v>
      </c>
      <c r="J46">
        <v>20745</v>
      </c>
      <c r="K46">
        <v>18206</v>
      </c>
      <c r="L46">
        <v>807</v>
      </c>
      <c r="M46">
        <v>10868</v>
      </c>
      <c r="N46">
        <v>11714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v>28288</v>
      </c>
      <c r="F47">
        <v>30476</v>
      </c>
      <c r="G47">
        <v>31310</v>
      </c>
      <c r="H47">
        <v>35624</v>
      </c>
      <c r="I47">
        <v>39356</v>
      </c>
      <c r="J47">
        <v>33775</v>
      </c>
      <c r="K47">
        <v>18902</v>
      </c>
      <c r="L47">
        <v>1657</v>
      </c>
      <c r="M47">
        <v>14514</v>
      </c>
      <c r="N47">
        <v>16540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v>3778</v>
      </c>
      <c r="F48">
        <v>3524</v>
      </c>
      <c r="G48">
        <v>3144</v>
      </c>
      <c r="H48">
        <v>2838</v>
      </c>
      <c r="I48">
        <v>2336</v>
      </c>
      <c r="J48">
        <v>3074</v>
      </c>
      <c r="K48">
        <v>2354</v>
      </c>
      <c r="L48">
        <v>0</v>
      </c>
      <c r="M48">
        <v>1288</v>
      </c>
      <c r="N48">
        <v>1140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v>10059</v>
      </c>
      <c r="F49">
        <v>8178</v>
      </c>
      <c r="G49">
        <v>9771</v>
      </c>
      <c r="H49">
        <v>14062</v>
      </c>
      <c r="I49">
        <v>8229</v>
      </c>
      <c r="J49">
        <v>26076</v>
      </c>
      <c r="K49">
        <v>24659</v>
      </c>
      <c r="L49">
        <v>2687</v>
      </c>
      <c r="M49">
        <v>13826</v>
      </c>
      <c r="N49">
        <v>13174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v>11563</v>
      </c>
      <c r="F50">
        <v>12600</v>
      </c>
      <c r="G50">
        <v>8946</v>
      </c>
      <c r="H50">
        <v>8544</v>
      </c>
      <c r="I50">
        <v>11670</v>
      </c>
      <c r="J50">
        <v>19608</v>
      </c>
      <c r="K50">
        <v>23886</v>
      </c>
      <c r="L50">
        <v>5032</v>
      </c>
      <c r="M50">
        <v>10835</v>
      </c>
      <c r="N50">
        <v>23350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v>3579</v>
      </c>
      <c r="F51">
        <v>4546</v>
      </c>
      <c r="G51">
        <v>5306</v>
      </c>
      <c r="H51">
        <v>3849</v>
      </c>
      <c r="I51">
        <v>4841</v>
      </c>
      <c r="J51">
        <v>5995</v>
      </c>
      <c r="K51">
        <v>5949</v>
      </c>
      <c r="L51">
        <v>0</v>
      </c>
      <c r="M51">
        <v>4660</v>
      </c>
      <c r="N51">
        <v>8041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v>9007</v>
      </c>
      <c r="F52">
        <v>6021</v>
      </c>
      <c r="G52">
        <v>5106</v>
      </c>
      <c r="H52">
        <v>4219</v>
      </c>
      <c r="I52">
        <v>4759</v>
      </c>
      <c r="J52">
        <v>4601</v>
      </c>
      <c r="K52">
        <v>5285</v>
      </c>
      <c r="L52">
        <v>847</v>
      </c>
      <c r="M52">
        <v>5624</v>
      </c>
      <c r="N52">
        <v>6680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v>7021</v>
      </c>
      <c r="F53">
        <v>4573</v>
      </c>
      <c r="G53">
        <v>5589</v>
      </c>
      <c r="H53">
        <v>6189</v>
      </c>
      <c r="I53">
        <v>7730</v>
      </c>
      <c r="J53">
        <v>7690</v>
      </c>
      <c r="K53">
        <v>6846</v>
      </c>
      <c r="L53">
        <v>1716</v>
      </c>
      <c r="M53">
        <v>3835</v>
      </c>
      <c r="N53">
        <v>3775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v>5471</v>
      </c>
      <c r="F54">
        <v>6927</v>
      </c>
      <c r="G54">
        <v>10644</v>
      </c>
      <c r="H54">
        <v>8989</v>
      </c>
      <c r="I54">
        <v>5191</v>
      </c>
      <c r="J54">
        <v>4570</v>
      </c>
      <c r="K54">
        <v>7177</v>
      </c>
      <c r="L54">
        <v>0</v>
      </c>
      <c r="M54">
        <v>2817</v>
      </c>
      <c r="N54">
        <v>6368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v>45124</v>
      </c>
      <c r="F55">
        <v>36345</v>
      </c>
      <c r="G55">
        <v>33395</v>
      </c>
      <c r="H55">
        <v>32285</v>
      </c>
      <c r="I55">
        <v>29134</v>
      </c>
      <c r="J55">
        <v>32323</v>
      </c>
      <c r="K55">
        <v>31015</v>
      </c>
      <c r="L55">
        <v>51</v>
      </c>
      <c r="M55">
        <v>24447</v>
      </c>
      <c r="N55">
        <v>23243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v>23411</v>
      </c>
      <c r="F56">
        <v>21910</v>
      </c>
      <c r="G56">
        <v>23869</v>
      </c>
      <c r="H56">
        <v>26498</v>
      </c>
      <c r="I56">
        <v>24387</v>
      </c>
      <c r="J56">
        <v>21540</v>
      </c>
      <c r="K56">
        <v>22835</v>
      </c>
      <c r="L56">
        <v>0</v>
      </c>
      <c r="M56">
        <v>19318</v>
      </c>
      <c r="N56">
        <v>27216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v>7685</v>
      </c>
      <c r="F57">
        <v>8819</v>
      </c>
      <c r="G57">
        <v>7955</v>
      </c>
      <c r="H57">
        <v>7525</v>
      </c>
      <c r="I57">
        <v>7433</v>
      </c>
      <c r="J57">
        <v>9421</v>
      </c>
      <c r="K57">
        <v>10872</v>
      </c>
      <c r="L57">
        <v>0</v>
      </c>
      <c r="M57">
        <v>10683</v>
      </c>
      <c r="N57">
        <v>19616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v>6988</v>
      </c>
      <c r="F58">
        <v>7128</v>
      </c>
      <c r="G58">
        <v>6116</v>
      </c>
      <c r="H58">
        <v>5461</v>
      </c>
      <c r="I58">
        <v>6432</v>
      </c>
      <c r="J58">
        <v>4258</v>
      </c>
      <c r="K58">
        <v>6780</v>
      </c>
      <c r="L58">
        <v>0</v>
      </c>
      <c r="M58">
        <v>4245</v>
      </c>
      <c r="N58">
        <v>6740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v>6243</v>
      </c>
      <c r="F59">
        <v>4682</v>
      </c>
      <c r="G59">
        <v>8917</v>
      </c>
      <c r="H59">
        <v>6378</v>
      </c>
      <c r="I59">
        <v>6501</v>
      </c>
      <c r="J59">
        <v>5874</v>
      </c>
      <c r="K59">
        <v>3125</v>
      </c>
      <c r="L59">
        <v>0</v>
      </c>
      <c r="M59">
        <v>1750</v>
      </c>
      <c r="N59">
        <v>4305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v>16075</v>
      </c>
      <c r="F60">
        <v>14983</v>
      </c>
      <c r="G60">
        <v>13493</v>
      </c>
      <c r="H60">
        <v>14021</v>
      </c>
      <c r="I60">
        <v>12686</v>
      </c>
      <c r="J60">
        <v>14156</v>
      </c>
      <c r="K60">
        <v>13046</v>
      </c>
      <c r="L60">
        <v>1440</v>
      </c>
      <c r="M60">
        <v>15163</v>
      </c>
      <c r="N60">
        <v>18665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v>3755</v>
      </c>
      <c r="F61">
        <v>10142</v>
      </c>
      <c r="G61">
        <v>8158</v>
      </c>
      <c r="H61">
        <v>12090</v>
      </c>
      <c r="I61">
        <v>8911</v>
      </c>
      <c r="J61">
        <v>6939</v>
      </c>
      <c r="K61">
        <v>8475</v>
      </c>
      <c r="L61">
        <v>0</v>
      </c>
      <c r="M61">
        <v>3908</v>
      </c>
      <c r="N61">
        <v>7356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v>4565</v>
      </c>
      <c r="F62">
        <v>6519</v>
      </c>
      <c r="G62">
        <v>4915</v>
      </c>
      <c r="H62">
        <v>5193</v>
      </c>
      <c r="I62">
        <v>6392</v>
      </c>
      <c r="J62">
        <v>6459</v>
      </c>
      <c r="K62">
        <v>6845</v>
      </c>
      <c r="L62">
        <v>0</v>
      </c>
      <c r="M62">
        <v>2147</v>
      </c>
      <c r="N62">
        <v>3289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v>7744</v>
      </c>
      <c r="F63">
        <v>8254</v>
      </c>
      <c r="G63">
        <v>9802</v>
      </c>
      <c r="H63">
        <v>7803</v>
      </c>
      <c r="I63">
        <v>9187</v>
      </c>
      <c r="J63">
        <v>9036</v>
      </c>
      <c r="K63">
        <v>7945</v>
      </c>
      <c r="L63">
        <v>0</v>
      </c>
      <c r="M63">
        <v>1529</v>
      </c>
      <c r="N63">
        <v>7379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v>6258</v>
      </c>
      <c r="F64">
        <v>6462</v>
      </c>
      <c r="G64">
        <v>10271</v>
      </c>
      <c r="H64">
        <v>6107</v>
      </c>
      <c r="I64">
        <v>7286</v>
      </c>
      <c r="J64">
        <v>10384</v>
      </c>
      <c r="K64">
        <v>8388</v>
      </c>
      <c r="L64">
        <v>351</v>
      </c>
      <c r="M64">
        <v>7268</v>
      </c>
      <c r="N64">
        <v>5995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v>30017</v>
      </c>
      <c r="F65">
        <v>32990</v>
      </c>
      <c r="G65">
        <v>37566</v>
      </c>
      <c r="H65">
        <v>29414</v>
      </c>
      <c r="I65">
        <v>33866</v>
      </c>
      <c r="J65">
        <v>33216</v>
      </c>
      <c r="K65">
        <v>43199</v>
      </c>
      <c r="L65">
        <v>0</v>
      </c>
      <c r="M65">
        <v>20392</v>
      </c>
      <c r="N65">
        <v>33458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v>25518</v>
      </c>
      <c r="F66">
        <v>25142</v>
      </c>
      <c r="G66">
        <v>19450</v>
      </c>
      <c r="H66">
        <v>23351</v>
      </c>
      <c r="I66">
        <v>19104</v>
      </c>
      <c r="J66">
        <v>18707</v>
      </c>
      <c r="K66">
        <v>16111</v>
      </c>
      <c r="L66">
        <v>0</v>
      </c>
      <c r="M66">
        <v>11002</v>
      </c>
      <c r="N66">
        <v>20439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v>4538</v>
      </c>
      <c r="F67">
        <v>5888</v>
      </c>
      <c r="G67">
        <v>7259</v>
      </c>
      <c r="H67">
        <v>4819</v>
      </c>
      <c r="I67">
        <v>3699</v>
      </c>
      <c r="J67">
        <v>4170</v>
      </c>
      <c r="K67">
        <v>6672</v>
      </c>
      <c r="L67">
        <v>0</v>
      </c>
      <c r="M67">
        <v>2232</v>
      </c>
      <c r="N67">
        <v>2758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v>6097</v>
      </c>
      <c r="F68">
        <v>8927</v>
      </c>
      <c r="G68">
        <v>7042</v>
      </c>
      <c r="H68">
        <v>5562</v>
      </c>
      <c r="I68">
        <v>5778</v>
      </c>
      <c r="J68">
        <v>6767</v>
      </c>
      <c r="K68">
        <v>8510</v>
      </c>
      <c r="L68">
        <v>66</v>
      </c>
      <c r="M68">
        <v>4058</v>
      </c>
      <c r="N68">
        <v>5532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v>40112</v>
      </c>
      <c r="F69">
        <v>47192</v>
      </c>
      <c r="G69">
        <v>45019</v>
      </c>
      <c r="H69">
        <v>34796</v>
      </c>
      <c r="I69">
        <v>45513</v>
      </c>
      <c r="J69">
        <v>34501</v>
      </c>
      <c r="K69">
        <v>44881</v>
      </c>
      <c r="L69">
        <v>0</v>
      </c>
      <c r="M69">
        <v>19417</v>
      </c>
      <c r="N69">
        <v>27639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v>9748</v>
      </c>
      <c r="F70">
        <v>3587</v>
      </c>
      <c r="G70">
        <v>10865</v>
      </c>
      <c r="H70">
        <v>10914</v>
      </c>
      <c r="I70">
        <v>8263</v>
      </c>
      <c r="J70">
        <v>7668</v>
      </c>
      <c r="K70">
        <v>8430</v>
      </c>
      <c r="L70">
        <v>0</v>
      </c>
      <c r="M70">
        <v>3088</v>
      </c>
      <c r="N70">
        <v>3525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v>34379</v>
      </c>
      <c r="F71">
        <v>39344</v>
      </c>
      <c r="G71">
        <v>38356</v>
      </c>
      <c r="H71">
        <v>38849</v>
      </c>
      <c r="I71">
        <v>46572</v>
      </c>
      <c r="J71">
        <v>49239</v>
      </c>
      <c r="K71">
        <v>49326</v>
      </c>
      <c r="L71">
        <v>2777</v>
      </c>
      <c r="M71">
        <v>35016</v>
      </c>
      <c r="N71">
        <v>37872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v>9400</v>
      </c>
      <c r="F72">
        <v>9335</v>
      </c>
      <c r="G72">
        <v>10967</v>
      </c>
      <c r="H72">
        <v>10897</v>
      </c>
      <c r="I72">
        <v>12117</v>
      </c>
      <c r="J72">
        <v>11861</v>
      </c>
      <c r="K72">
        <v>10629</v>
      </c>
      <c r="L72">
        <v>0</v>
      </c>
      <c r="M72">
        <v>16989</v>
      </c>
      <c r="N72">
        <v>9071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v>81842</v>
      </c>
      <c r="F73">
        <v>82615</v>
      </c>
      <c r="G73">
        <v>71944</v>
      </c>
      <c r="H73">
        <v>66378</v>
      </c>
      <c r="I73">
        <v>68993</v>
      </c>
      <c r="J73">
        <v>50476</v>
      </c>
      <c r="K73">
        <v>51258</v>
      </c>
      <c r="L73">
        <v>0</v>
      </c>
      <c r="M73">
        <v>45263</v>
      </c>
      <c r="N73">
        <v>36037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v>11319</v>
      </c>
      <c r="F74">
        <v>10407</v>
      </c>
      <c r="G74">
        <v>8178</v>
      </c>
      <c r="H74">
        <v>10721</v>
      </c>
      <c r="I74">
        <v>11125</v>
      </c>
      <c r="J74">
        <v>13731</v>
      </c>
      <c r="K74">
        <v>12521</v>
      </c>
      <c r="L74">
        <v>80</v>
      </c>
      <c r="M74">
        <v>10915</v>
      </c>
      <c r="N74">
        <v>12211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v>12962</v>
      </c>
      <c r="F75">
        <v>26333</v>
      </c>
      <c r="G75">
        <v>21440</v>
      </c>
      <c r="H75">
        <v>21725</v>
      </c>
      <c r="I75">
        <v>19474</v>
      </c>
      <c r="J75">
        <v>18817</v>
      </c>
      <c r="K75">
        <v>19884</v>
      </c>
      <c r="L75">
        <v>399</v>
      </c>
      <c r="M75">
        <v>11126</v>
      </c>
      <c r="N75">
        <v>20620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v>8580</v>
      </c>
      <c r="F76">
        <v>5849</v>
      </c>
      <c r="G76">
        <v>6914</v>
      </c>
      <c r="H76">
        <v>4178</v>
      </c>
      <c r="I76">
        <v>8207</v>
      </c>
      <c r="J76">
        <v>8626</v>
      </c>
      <c r="K76">
        <v>10755</v>
      </c>
      <c r="L76">
        <v>130</v>
      </c>
      <c r="M76">
        <v>8584</v>
      </c>
      <c r="N76">
        <v>11387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v>5285</v>
      </c>
      <c r="F77">
        <v>4125</v>
      </c>
      <c r="G77">
        <v>4360</v>
      </c>
      <c r="H77">
        <v>5218</v>
      </c>
      <c r="I77">
        <v>7410</v>
      </c>
      <c r="J77">
        <v>4532</v>
      </c>
      <c r="K77">
        <v>8649</v>
      </c>
      <c r="L77">
        <v>2057</v>
      </c>
      <c r="M77">
        <v>6603</v>
      </c>
      <c r="N77">
        <v>7861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v>8814</v>
      </c>
      <c r="F78">
        <v>9040</v>
      </c>
      <c r="G78">
        <v>15664</v>
      </c>
      <c r="H78">
        <v>13165</v>
      </c>
      <c r="I78">
        <v>18820</v>
      </c>
      <c r="J78">
        <v>22883</v>
      </c>
      <c r="K78">
        <v>21433</v>
      </c>
      <c r="L78">
        <v>233</v>
      </c>
      <c r="M78">
        <v>12359</v>
      </c>
      <c r="N78">
        <v>28617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v>8653</v>
      </c>
      <c r="F79">
        <v>9286</v>
      </c>
      <c r="G79">
        <v>7778</v>
      </c>
      <c r="H79">
        <v>11910</v>
      </c>
      <c r="I79">
        <v>9464</v>
      </c>
      <c r="J79">
        <v>9826</v>
      </c>
      <c r="K79">
        <v>8029</v>
      </c>
      <c r="L79">
        <v>35</v>
      </c>
      <c r="M79">
        <v>5685</v>
      </c>
      <c r="N79">
        <v>9777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v>6449</v>
      </c>
      <c r="F80">
        <v>6775</v>
      </c>
      <c r="G80">
        <v>6534</v>
      </c>
      <c r="H80">
        <v>9486</v>
      </c>
      <c r="I80">
        <v>11381</v>
      </c>
      <c r="J80">
        <v>7893</v>
      </c>
      <c r="K80">
        <v>7219</v>
      </c>
      <c r="L80">
        <v>200</v>
      </c>
      <c r="M80">
        <v>12231</v>
      </c>
      <c r="N80">
        <v>12804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v>6050</v>
      </c>
      <c r="F81">
        <v>9805</v>
      </c>
      <c r="G81">
        <v>10338</v>
      </c>
      <c r="H81">
        <v>18127</v>
      </c>
      <c r="I81">
        <v>11995</v>
      </c>
      <c r="J81">
        <v>12474</v>
      </c>
      <c r="K81">
        <v>16598</v>
      </c>
      <c r="L81">
        <v>1591</v>
      </c>
      <c r="M81">
        <v>6571</v>
      </c>
      <c r="N81">
        <v>13155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v>9815</v>
      </c>
      <c r="F82">
        <v>11108</v>
      </c>
      <c r="G82">
        <v>6599</v>
      </c>
      <c r="H82">
        <v>11648</v>
      </c>
      <c r="I82">
        <v>4952</v>
      </c>
      <c r="J82">
        <v>4177</v>
      </c>
      <c r="K82">
        <v>5272</v>
      </c>
      <c r="L82">
        <v>0</v>
      </c>
      <c r="M82">
        <v>4172</v>
      </c>
      <c r="N82">
        <v>8067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v>7537</v>
      </c>
      <c r="F83">
        <v>9971</v>
      </c>
      <c r="G83">
        <v>6265</v>
      </c>
      <c r="H83">
        <v>6435</v>
      </c>
      <c r="I83">
        <v>6078</v>
      </c>
      <c r="J83">
        <v>8348</v>
      </c>
      <c r="K83">
        <v>7526</v>
      </c>
      <c r="L83">
        <v>0</v>
      </c>
      <c r="M83">
        <v>8537</v>
      </c>
      <c r="N83">
        <v>13143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v>3533</v>
      </c>
      <c r="F84">
        <v>3483</v>
      </c>
      <c r="G84">
        <v>3823</v>
      </c>
      <c r="H84">
        <v>7981</v>
      </c>
      <c r="I84">
        <v>3941</v>
      </c>
      <c r="J84">
        <v>2505</v>
      </c>
      <c r="K84">
        <v>4669</v>
      </c>
      <c r="L84">
        <v>0</v>
      </c>
      <c r="M84">
        <v>3244</v>
      </c>
      <c r="N84">
        <v>5210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v>30756</v>
      </c>
      <c r="F85">
        <v>32564</v>
      </c>
      <c r="G85">
        <v>42375</v>
      </c>
      <c r="H85">
        <v>27697</v>
      </c>
      <c r="I85">
        <v>40195</v>
      </c>
      <c r="J85">
        <v>37828</v>
      </c>
      <c r="K85">
        <v>39980</v>
      </c>
      <c r="L85">
        <v>8671</v>
      </c>
      <c r="M85">
        <v>25065</v>
      </c>
      <c r="N85">
        <v>30914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v>6467</v>
      </c>
      <c r="F86">
        <v>4970</v>
      </c>
      <c r="G86">
        <v>5854</v>
      </c>
      <c r="H86">
        <v>7202</v>
      </c>
      <c r="I86">
        <v>7856</v>
      </c>
      <c r="J86">
        <v>7006</v>
      </c>
      <c r="K86">
        <v>6470</v>
      </c>
      <c r="L86">
        <v>788</v>
      </c>
      <c r="M86">
        <v>2097</v>
      </c>
      <c r="N86">
        <v>8824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v>6917</v>
      </c>
      <c r="F87">
        <v>9010</v>
      </c>
      <c r="G87">
        <v>8956</v>
      </c>
      <c r="H87">
        <v>7681</v>
      </c>
      <c r="I87">
        <v>8918</v>
      </c>
      <c r="J87">
        <v>7371</v>
      </c>
      <c r="K87">
        <v>7037</v>
      </c>
      <c r="L87">
        <v>1825</v>
      </c>
      <c r="M87">
        <v>6654</v>
      </c>
      <c r="N87">
        <v>10471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v>27542</v>
      </c>
      <c r="F88">
        <v>26089</v>
      </c>
      <c r="G88">
        <v>24919</v>
      </c>
      <c r="H88">
        <v>18303</v>
      </c>
      <c r="I88">
        <v>25991</v>
      </c>
      <c r="J88">
        <v>23675</v>
      </c>
      <c r="K88">
        <v>22300</v>
      </c>
      <c r="L88">
        <v>9636</v>
      </c>
      <c r="M88">
        <v>22251</v>
      </c>
      <c r="N88">
        <v>22618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v>8764</v>
      </c>
      <c r="F89">
        <v>6245</v>
      </c>
      <c r="G89">
        <v>10677</v>
      </c>
      <c r="H89">
        <v>8408</v>
      </c>
      <c r="I89">
        <v>9042</v>
      </c>
      <c r="J89">
        <v>8635</v>
      </c>
      <c r="K89">
        <v>6953</v>
      </c>
      <c r="L89">
        <v>0</v>
      </c>
      <c r="M89">
        <v>3979</v>
      </c>
      <c r="N89">
        <v>9856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v>32215</v>
      </c>
      <c r="F90">
        <v>50478</v>
      </c>
      <c r="G90">
        <v>50258</v>
      </c>
      <c r="H90">
        <v>66589</v>
      </c>
      <c r="I90">
        <v>59345</v>
      </c>
      <c r="J90">
        <v>47712</v>
      </c>
      <c r="K90">
        <v>44694</v>
      </c>
      <c r="L90">
        <v>10221</v>
      </c>
      <c r="M90">
        <v>33138</v>
      </c>
      <c r="N90">
        <v>36081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v>7825</v>
      </c>
      <c r="F91">
        <v>9536</v>
      </c>
      <c r="G91">
        <v>13956</v>
      </c>
      <c r="H91">
        <v>16056</v>
      </c>
      <c r="I91">
        <v>20776</v>
      </c>
      <c r="J91">
        <v>18522</v>
      </c>
      <c r="K91">
        <v>19950</v>
      </c>
      <c r="L91">
        <v>0</v>
      </c>
      <c r="M91">
        <v>4080</v>
      </c>
      <c r="N91">
        <v>7788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v>44513</v>
      </c>
      <c r="F92">
        <v>38844</v>
      </c>
      <c r="G92">
        <v>33236</v>
      </c>
      <c r="H92">
        <v>33820</v>
      </c>
      <c r="I92">
        <v>32676</v>
      </c>
      <c r="J92">
        <v>32042</v>
      </c>
      <c r="K92">
        <v>35656</v>
      </c>
      <c r="L92">
        <v>0</v>
      </c>
      <c r="M92">
        <v>14299</v>
      </c>
      <c r="N92">
        <v>31856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v>5989</v>
      </c>
      <c r="F93">
        <v>8422</v>
      </c>
      <c r="G93">
        <v>8536</v>
      </c>
      <c r="H93">
        <v>6117</v>
      </c>
      <c r="I93">
        <v>7522</v>
      </c>
      <c r="J93">
        <v>6228</v>
      </c>
      <c r="K93">
        <v>9858</v>
      </c>
      <c r="L93">
        <v>2500</v>
      </c>
      <c r="M93">
        <v>4447</v>
      </c>
      <c r="N93">
        <v>14233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v>5002</v>
      </c>
      <c r="F94">
        <v>25514</v>
      </c>
      <c r="G94">
        <v>7254</v>
      </c>
      <c r="H94">
        <v>6984</v>
      </c>
      <c r="I94">
        <v>6315</v>
      </c>
      <c r="J94">
        <v>6311</v>
      </c>
      <c r="K94">
        <v>8181</v>
      </c>
      <c r="L94">
        <v>2350</v>
      </c>
      <c r="M94">
        <v>8785</v>
      </c>
      <c r="N94">
        <v>10623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v>12792</v>
      </c>
      <c r="F95">
        <v>7261</v>
      </c>
      <c r="G95">
        <v>6828</v>
      </c>
      <c r="H95">
        <v>4990</v>
      </c>
      <c r="I95">
        <v>8678</v>
      </c>
      <c r="J95">
        <v>9570</v>
      </c>
      <c r="K95">
        <v>5557</v>
      </c>
      <c r="L95">
        <v>50</v>
      </c>
      <c r="M95">
        <v>2396</v>
      </c>
      <c r="N95">
        <v>6130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v>9396</v>
      </c>
      <c r="F96">
        <v>9591</v>
      </c>
      <c r="G96">
        <v>7907</v>
      </c>
      <c r="H96">
        <v>8826</v>
      </c>
      <c r="I96">
        <v>16517</v>
      </c>
      <c r="J96">
        <v>14023</v>
      </c>
      <c r="K96">
        <v>14191</v>
      </c>
      <c r="L96">
        <v>1540</v>
      </c>
      <c r="M96">
        <v>10306</v>
      </c>
      <c r="N96">
        <v>15761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v>8174</v>
      </c>
      <c r="F97">
        <v>13200</v>
      </c>
      <c r="G97">
        <v>14892</v>
      </c>
      <c r="H97">
        <v>12699</v>
      </c>
      <c r="I97">
        <v>13166</v>
      </c>
      <c r="J97">
        <v>14758</v>
      </c>
      <c r="K97">
        <v>11173</v>
      </c>
      <c r="L97">
        <v>0</v>
      </c>
      <c r="M97">
        <v>2955</v>
      </c>
      <c r="N97">
        <v>5010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v>10270</v>
      </c>
      <c r="F98">
        <v>7992</v>
      </c>
      <c r="G98">
        <v>7434</v>
      </c>
      <c r="H98">
        <v>11130</v>
      </c>
      <c r="I98">
        <v>9686</v>
      </c>
      <c r="J98">
        <v>8652</v>
      </c>
      <c r="K98">
        <v>5932</v>
      </c>
      <c r="L98">
        <v>0</v>
      </c>
      <c r="M98">
        <v>3589</v>
      </c>
      <c r="N98">
        <v>12276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v>55399</v>
      </c>
      <c r="F99">
        <v>51785</v>
      </c>
      <c r="G99">
        <v>49844</v>
      </c>
      <c r="H99">
        <v>46952</v>
      </c>
      <c r="I99">
        <v>65096</v>
      </c>
      <c r="J99">
        <v>61282</v>
      </c>
      <c r="K99">
        <v>61405</v>
      </c>
      <c r="L99">
        <v>9604</v>
      </c>
      <c r="M99">
        <v>45773</v>
      </c>
      <c r="N99">
        <v>48395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v>16489</v>
      </c>
      <c r="F100">
        <v>10517</v>
      </c>
      <c r="G100">
        <v>6273</v>
      </c>
      <c r="H100">
        <v>6020</v>
      </c>
      <c r="I100">
        <v>5913</v>
      </c>
      <c r="J100">
        <v>6716</v>
      </c>
      <c r="K100">
        <v>8354</v>
      </c>
      <c r="L100">
        <v>5034</v>
      </c>
      <c r="M100">
        <v>6286</v>
      </c>
      <c r="N100">
        <v>7625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v>16787</v>
      </c>
      <c r="F101">
        <v>18203</v>
      </c>
      <c r="G101">
        <v>18722</v>
      </c>
      <c r="H101">
        <v>20391</v>
      </c>
      <c r="I101">
        <v>21157</v>
      </c>
      <c r="J101">
        <v>20935</v>
      </c>
      <c r="K101">
        <v>19927</v>
      </c>
      <c r="L101">
        <v>14400</v>
      </c>
      <c r="M101">
        <v>31963</v>
      </c>
      <c r="N101">
        <v>23399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v>86817</v>
      </c>
      <c r="F102">
        <v>75127</v>
      </c>
      <c r="G102">
        <v>99577</v>
      </c>
      <c r="H102">
        <v>84266</v>
      </c>
      <c r="I102">
        <v>77850</v>
      </c>
      <c r="J102">
        <v>84368</v>
      </c>
      <c r="K102">
        <v>79688</v>
      </c>
      <c r="L102">
        <v>400</v>
      </c>
      <c r="M102">
        <v>76804</v>
      </c>
      <c r="N102">
        <v>75234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v>12644</v>
      </c>
      <c r="F103">
        <v>3035</v>
      </c>
      <c r="G103">
        <v>4322</v>
      </c>
      <c r="H103">
        <v>5158</v>
      </c>
      <c r="I103">
        <v>13091</v>
      </c>
      <c r="J103">
        <v>9277</v>
      </c>
      <c r="K103">
        <v>9861</v>
      </c>
      <c r="L103">
        <v>2196</v>
      </c>
      <c r="M103">
        <v>12672</v>
      </c>
      <c r="N103">
        <v>6393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v>6716</v>
      </c>
      <c r="F104">
        <v>9021</v>
      </c>
      <c r="G104">
        <v>6745</v>
      </c>
      <c r="H104">
        <v>8667</v>
      </c>
      <c r="I104">
        <v>7800</v>
      </c>
      <c r="J104">
        <v>8246</v>
      </c>
      <c r="K104">
        <v>6811</v>
      </c>
      <c r="L104">
        <v>1458</v>
      </c>
      <c r="M104">
        <v>10177</v>
      </c>
      <c r="N104">
        <v>15113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v>31943</v>
      </c>
      <c r="F105">
        <v>38411</v>
      </c>
      <c r="G105">
        <v>42137</v>
      </c>
      <c r="H105">
        <v>34267</v>
      </c>
      <c r="I105">
        <v>32540</v>
      </c>
      <c r="J105">
        <v>31891</v>
      </c>
      <c r="K105">
        <v>28227</v>
      </c>
      <c r="L105">
        <v>0</v>
      </c>
      <c r="M105">
        <v>18834</v>
      </c>
      <c r="N105">
        <v>30927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v>30750</v>
      </c>
      <c r="F106">
        <v>31791</v>
      </c>
      <c r="G106">
        <v>16631</v>
      </c>
      <c r="H106">
        <v>21673</v>
      </c>
      <c r="I106">
        <v>29234</v>
      </c>
      <c r="J106">
        <v>36811</v>
      </c>
      <c r="K106">
        <v>30195</v>
      </c>
      <c r="L106">
        <v>0</v>
      </c>
      <c r="M106">
        <v>6257</v>
      </c>
      <c r="N106">
        <v>2668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v>20347</v>
      </c>
      <c r="F107">
        <v>19753</v>
      </c>
      <c r="G107">
        <v>14943</v>
      </c>
      <c r="H107">
        <v>14043</v>
      </c>
      <c r="I107">
        <v>12673</v>
      </c>
      <c r="J107">
        <v>10631</v>
      </c>
      <c r="K107">
        <v>8253</v>
      </c>
      <c r="L107">
        <v>0</v>
      </c>
      <c r="M107">
        <v>2398</v>
      </c>
      <c r="N107">
        <v>1524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v>9187</v>
      </c>
      <c r="F108">
        <v>8865</v>
      </c>
      <c r="G108">
        <v>7754</v>
      </c>
      <c r="H108">
        <v>7934</v>
      </c>
      <c r="I108">
        <v>8305</v>
      </c>
      <c r="J108">
        <v>10142</v>
      </c>
      <c r="K108">
        <v>8452</v>
      </c>
      <c r="L108">
        <v>0</v>
      </c>
      <c r="M108">
        <v>5552</v>
      </c>
      <c r="N108">
        <v>11404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v>23456</v>
      </c>
      <c r="F109">
        <v>34766</v>
      </c>
      <c r="G109">
        <v>25360</v>
      </c>
      <c r="H109">
        <v>59879</v>
      </c>
      <c r="I109">
        <v>39384</v>
      </c>
      <c r="J109">
        <v>15820</v>
      </c>
      <c r="K109">
        <v>52068</v>
      </c>
      <c r="L109">
        <v>0</v>
      </c>
      <c r="M109">
        <v>15454</v>
      </c>
      <c r="N109">
        <v>24407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v>8544</v>
      </c>
      <c r="F110">
        <v>9962</v>
      </c>
      <c r="G110">
        <v>8227</v>
      </c>
      <c r="H110">
        <v>8658</v>
      </c>
      <c r="I110">
        <v>7112</v>
      </c>
      <c r="J110">
        <v>11053</v>
      </c>
      <c r="K110">
        <v>8075</v>
      </c>
      <c r="L110">
        <v>250</v>
      </c>
      <c r="M110">
        <v>11684</v>
      </c>
      <c r="N110">
        <v>12023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v>5868</v>
      </c>
      <c r="F111">
        <v>7446</v>
      </c>
      <c r="G111">
        <v>7874</v>
      </c>
      <c r="H111">
        <v>9184</v>
      </c>
      <c r="I111">
        <v>7557</v>
      </c>
      <c r="J111">
        <v>11566</v>
      </c>
      <c r="K111">
        <v>8567</v>
      </c>
      <c r="L111">
        <v>0</v>
      </c>
      <c r="M111">
        <v>5078</v>
      </c>
      <c r="N111">
        <v>5776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v>11260</v>
      </c>
      <c r="F112">
        <v>12326</v>
      </c>
      <c r="G112">
        <v>16275</v>
      </c>
      <c r="H112">
        <v>14894</v>
      </c>
      <c r="I112">
        <v>14890</v>
      </c>
      <c r="J112">
        <v>12259</v>
      </c>
      <c r="K112">
        <v>12469</v>
      </c>
      <c r="L112">
        <v>0</v>
      </c>
      <c r="M112">
        <v>4038</v>
      </c>
      <c r="N112">
        <v>9078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v>10640</v>
      </c>
      <c r="F113">
        <v>4993</v>
      </c>
      <c r="G113">
        <v>8355</v>
      </c>
      <c r="H113">
        <v>10039</v>
      </c>
      <c r="I113">
        <v>11057</v>
      </c>
      <c r="J113">
        <v>16889</v>
      </c>
      <c r="K113">
        <v>18564</v>
      </c>
      <c r="L113">
        <v>2677</v>
      </c>
      <c r="M113">
        <v>5152</v>
      </c>
      <c r="N113">
        <v>10848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v>5552</v>
      </c>
      <c r="F114">
        <v>7076</v>
      </c>
      <c r="G114">
        <v>6006</v>
      </c>
      <c r="H114">
        <v>4542</v>
      </c>
      <c r="I114">
        <v>5681</v>
      </c>
      <c r="J114">
        <v>5352</v>
      </c>
      <c r="K114">
        <v>3094</v>
      </c>
      <c r="L114">
        <v>912</v>
      </c>
      <c r="M114">
        <v>2444</v>
      </c>
      <c r="N114">
        <v>3335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v>5314</v>
      </c>
      <c r="F115">
        <v>5193</v>
      </c>
      <c r="G115">
        <v>7563</v>
      </c>
      <c r="H115">
        <v>4027</v>
      </c>
      <c r="I115">
        <v>11418</v>
      </c>
      <c r="J115">
        <v>11546</v>
      </c>
      <c r="K115">
        <v>9152</v>
      </c>
      <c r="L115">
        <v>0</v>
      </c>
      <c r="M115">
        <v>6499</v>
      </c>
      <c r="N115">
        <v>15042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v>7364</v>
      </c>
      <c r="F116">
        <v>6653</v>
      </c>
      <c r="G116">
        <v>7894</v>
      </c>
      <c r="H116">
        <v>7660</v>
      </c>
      <c r="I116">
        <v>8815</v>
      </c>
      <c r="J116">
        <v>7324</v>
      </c>
      <c r="K116">
        <v>9457</v>
      </c>
      <c r="L116">
        <v>0</v>
      </c>
      <c r="M116">
        <v>10436</v>
      </c>
      <c r="N116">
        <v>13994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v>10973</v>
      </c>
      <c r="F117">
        <v>12660</v>
      </c>
      <c r="G117">
        <v>12369</v>
      </c>
      <c r="H117">
        <v>11705</v>
      </c>
      <c r="I117">
        <v>12544</v>
      </c>
      <c r="J117">
        <v>13781</v>
      </c>
      <c r="K117">
        <v>13076</v>
      </c>
      <c r="L117">
        <v>100</v>
      </c>
      <c r="M117">
        <v>12293</v>
      </c>
      <c r="N117">
        <v>10796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v>26276</v>
      </c>
      <c r="F118">
        <v>28679</v>
      </c>
      <c r="G118">
        <v>28531</v>
      </c>
      <c r="H118">
        <v>25146</v>
      </c>
      <c r="I118">
        <v>22175</v>
      </c>
      <c r="J118">
        <v>25684</v>
      </c>
      <c r="K118">
        <v>28337</v>
      </c>
      <c r="L118">
        <v>209</v>
      </c>
      <c r="M118">
        <v>18549</v>
      </c>
      <c r="N118">
        <v>52295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v>12117</v>
      </c>
      <c r="F119">
        <v>15663</v>
      </c>
      <c r="G119">
        <v>10384</v>
      </c>
      <c r="H119">
        <v>10652</v>
      </c>
      <c r="I119">
        <v>11532</v>
      </c>
      <c r="J119">
        <v>12610</v>
      </c>
      <c r="K119">
        <v>15912</v>
      </c>
      <c r="L119">
        <v>0</v>
      </c>
      <c r="M119">
        <v>9724</v>
      </c>
      <c r="N119">
        <v>24948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v>49021</v>
      </c>
      <c r="F120">
        <v>44481</v>
      </c>
      <c r="G120">
        <v>40522</v>
      </c>
      <c r="H120">
        <v>53184</v>
      </c>
      <c r="I120">
        <v>86149</v>
      </c>
      <c r="J120">
        <v>58803</v>
      </c>
      <c r="K120">
        <v>60370</v>
      </c>
      <c r="L120">
        <v>150</v>
      </c>
      <c r="M120">
        <v>75611</v>
      </c>
      <c r="N120">
        <v>145868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v>31588</v>
      </c>
      <c r="F121">
        <v>30440</v>
      </c>
      <c r="G121">
        <v>24742</v>
      </c>
      <c r="H121">
        <v>19769</v>
      </c>
      <c r="I121">
        <v>22004</v>
      </c>
      <c r="J121">
        <v>18216</v>
      </c>
      <c r="K121">
        <v>18138</v>
      </c>
      <c r="L121">
        <v>690</v>
      </c>
      <c r="M121">
        <v>15423</v>
      </c>
      <c r="N121">
        <v>23489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v>10984</v>
      </c>
      <c r="F122">
        <v>12419</v>
      </c>
      <c r="G122">
        <v>9721</v>
      </c>
      <c r="H122">
        <v>12864</v>
      </c>
      <c r="I122">
        <v>8955</v>
      </c>
      <c r="J122">
        <v>10740</v>
      </c>
      <c r="K122">
        <v>7932</v>
      </c>
      <c r="L122">
        <v>0</v>
      </c>
      <c r="M122">
        <v>7335</v>
      </c>
      <c r="N122">
        <v>15964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v>79108</v>
      </c>
      <c r="F123">
        <v>95417</v>
      </c>
      <c r="G123">
        <v>75013</v>
      </c>
      <c r="H123">
        <v>92289</v>
      </c>
      <c r="I123">
        <v>87224</v>
      </c>
      <c r="J123">
        <v>115546</v>
      </c>
      <c r="K123">
        <v>106533</v>
      </c>
      <c r="L123">
        <v>4039</v>
      </c>
      <c r="M123">
        <v>139813</v>
      </c>
      <c r="N123">
        <v>200569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v>168576</v>
      </c>
      <c r="F124">
        <v>157916</v>
      </c>
      <c r="G124">
        <v>147493</v>
      </c>
      <c r="H124">
        <v>173018</v>
      </c>
      <c r="I124">
        <v>148043</v>
      </c>
      <c r="J124">
        <v>191462</v>
      </c>
      <c r="K124">
        <v>164730</v>
      </c>
      <c r="L124">
        <v>9775</v>
      </c>
      <c r="M124">
        <v>172200</v>
      </c>
      <c r="N124">
        <v>144525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E125">
        <v>6026</v>
      </c>
      <c r="F125">
        <v>8810</v>
      </c>
      <c r="G125">
        <v>5706</v>
      </c>
      <c r="H125">
        <v>6890</v>
      </c>
      <c r="I125">
        <v>6806</v>
      </c>
      <c r="J125">
        <v>5657</v>
      </c>
      <c r="K125">
        <v>5750</v>
      </c>
      <c r="L125">
        <v>0</v>
      </c>
      <c r="M125">
        <v>8390</v>
      </c>
      <c r="N125">
        <v>7476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v>4862</v>
      </c>
      <c r="F126">
        <v>4386</v>
      </c>
      <c r="G126">
        <v>10647</v>
      </c>
      <c r="H126">
        <v>8605</v>
      </c>
      <c r="I126">
        <v>15270</v>
      </c>
      <c r="J126">
        <v>7864</v>
      </c>
      <c r="K126">
        <v>8818</v>
      </c>
      <c r="L126">
        <v>2894</v>
      </c>
      <c r="M126">
        <v>6068</v>
      </c>
      <c r="N126">
        <v>9645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v>5055</v>
      </c>
      <c r="F127">
        <v>5688</v>
      </c>
      <c r="G127">
        <v>5871</v>
      </c>
      <c r="H127">
        <v>8328</v>
      </c>
      <c r="I127">
        <v>7474</v>
      </c>
      <c r="J127">
        <v>4052</v>
      </c>
      <c r="K127">
        <v>4971</v>
      </c>
      <c r="L127">
        <v>1083</v>
      </c>
      <c r="M127">
        <v>3065</v>
      </c>
      <c r="N127">
        <v>4173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v>7115</v>
      </c>
      <c r="F128">
        <v>9370</v>
      </c>
      <c r="G128">
        <v>6104</v>
      </c>
      <c r="H128">
        <v>7042</v>
      </c>
      <c r="I128">
        <v>11425</v>
      </c>
      <c r="J128">
        <v>8113</v>
      </c>
      <c r="K128">
        <v>7166</v>
      </c>
      <c r="L128">
        <v>4205</v>
      </c>
      <c r="M128">
        <v>11369</v>
      </c>
      <c r="N128">
        <v>12600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v>39934</v>
      </c>
      <c r="F129">
        <v>40658</v>
      </c>
      <c r="G129">
        <v>37121</v>
      </c>
      <c r="H129">
        <v>51168</v>
      </c>
      <c r="I129">
        <v>38866</v>
      </c>
      <c r="J129">
        <v>40308</v>
      </c>
      <c r="K129">
        <v>34978</v>
      </c>
      <c r="L129">
        <v>285</v>
      </c>
      <c r="M129">
        <v>37660</v>
      </c>
      <c r="N129">
        <v>31017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v>35751</v>
      </c>
      <c r="F130">
        <v>47103</v>
      </c>
      <c r="G130">
        <v>42919</v>
      </c>
      <c r="H130">
        <v>39031</v>
      </c>
      <c r="I130">
        <v>36603</v>
      </c>
      <c r="J130">
        <v>39210</v>
      </c>
      <c r="K130">
        <v>27354</v>
      </c>
      <c r="L130">
        <v>3509</v>
      </c>
      <c r="M130">
        <v>25034</v>
      </c>
      <c r="N130">
        <v>76583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v>6842</v>
      </c>
      <c r="F131">
        <v>7079</v>
      </c>
      <c r="G131">
        <v>3535</v>
      </c>
      <c r="H131">
        <v>4319</v>
      </c>
      <c r="I131">
        <v>5496</v>
      </c>
      <c r="J131">
        <v>7318</v>
      </c>
      <c r="K131">
        <v>12449</v>
      </c>
      <c r="L131">
        <v>366</v>
      </c>
      <c r="M131">
        <v>8385</v>
      </c>
      <c r="N131">
        <v>7692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v>62775</v>
      </c>
      <c r="F132">
        <v>80783</v>
      </c>
      <c r="G132">
        <v>76634</v>
      </c>
      <c r="H132">
        <v>92454</v>
      </c>
      <c r="I132">
        <v>64804</v>
      </c>
      <c r="J132">
        <v>54925</v>
      </c>
      <c r="K132">
        <v>49958</v>
      </c>
      <c r="L132">
        <v>7095</v>
      </c>
      <c r="M132">
        <v>58693</v>
      </c>
      <c r="N132">
        <v>61896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v>7799</v>
      </c>
      <c r="F133">
        <v>7952</v>
      </c>
      <c r="G133">
        <v>6317</v>
      </c>
      <c r="H133">
        <v>7911</v>
      </c>
      <c r="I133">
        <v>6533</v>
      </c>
      <c r="J133">
        <v>6661</v>
      </c>
      <c r="K133">
        <v>11263</v>
      </c>
      <c r="L133">
        <v>2431</v>
      </c>
      <c r="M133">
        <v>8800</v>
      </c>
      <c r="N133">
        <v>8324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v>8190</v>
      </c>
      <c r="F134">
        <v>7504</v>
      </c>
      <c r="G134">
        <v>8973</v>
      </c>
      <c r="H134">
        <v>7036</v>
      </c>
      <c r="I134">
        <v>17069</v>
      </c>
      <c r="J134">
        <v>15853</v>
      </c>
      <c r="K134">
        <v>23757</v>
      </c>
      <c r="L134">
        <v>134</v>
      </c>
      <c r="M134">
        <v>12358</v>
      </c>
      <c r="N134">
        <v>24297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v>121089</v>
      </c>
      <c r="F135">
        <v>108436</v>
      </c>
      <c r="G135">
        <v>116164</v>
      </c>
      <c r="H135">
        <v>104252</v>
      </c>
      <c r="I135">
        <v>82984</v>
      </c>
      <c r="J135">
        <v>85807</v>
      </c>
      <c r="K135">
        <v>80853</v>
      </c>
      <c r="L135">
        <v>16416</v>
      </c>
      <c r="M135">
        <v>61869</v>
      </c>
      <c r="N135">
        <v>62813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v>5206</v>
      </c>
      <c r="F136">
        <v>4343</v>
      </c>
      <c r="G136">
        <v>5305</v>
      </c>
      <c r="H136">
        <v>4941</v>
      </c>
      <c r="I136">
        <v>5950</v>
      </c>
      <c r="J136">
        <v>5515</v>
      </c>
      <c r="K136">
        <v>6544</v>
      </c>
      <c r="L136">
        <v>28</v>
      </c>
      <c r="M136">
        <v>4581</v>
      </c>
      <c r="N136">
        <v>4360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v>9054</v>
      </c>
      <c r="F137">
        <v>7155</v>
      </c>
      <c r="G137">
        <v>6001</v>
      </c>
      <c r="H137">
        <v>5024</v>
      </c>
      <c r="I137">
        <v>7628</v>
      </c>
      <c r="J137">
        <v>6942</v>
      </c>
      <c r="K137">
        <v>7314</v>
      </c>
      <c r="L137">
        <v>0</v>
      </c>
      <c r="M137">
        <v>3935</v>
      </c>
      <c r="N137">
        <v>7149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v>9936</v>
      </c>
      <c r="F138">
        <v>10315</v>
      </c>
      <c r="G138">
        <v>9719</v>
      </c>
      <c r="H138">
        <v>10480</v>
      </c>
      <c r="I138">
        <v>9366</v>
      </c>
      <c r="J138">
        <v>29880</v>
      </c>
      <c r="K138">
        <v>15988</v>
      </c>
      <c r="L138">
        <v>4574</v>
      </c>
      <c r="M138">
        <v>13225</v>
      </c>
      <c r="N138">
        <v>15250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v>14657</v>
      </c>
      <c r="F139">
        <v>12263</v>
      </c>
      <c r="G139">
        <v>13925</v>
      </c>
      <c r="H139">
        <v>14124</v>
      </c>
      <c r="I139">
        <v>12006</v>
      </c>
      <c r="J139">
        <v>16689</v>
      </c>
      <c r="K139">
        <v>12014</v>
      </c>
      <c r="L139">
        <v>0</v>
      </c>
      <c r="M139">
        <v>9271</v>
      </c>
      <c r="N139">
        <v>8463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v>12389</v>
      </c>
      <c r="F140">
        <v>14739</v>
      </c>
      <c r="G140">
        <v>23301</v>
      </c>
      <c r="H140">
        <v>15503</v>
      </c>
      <c r="I140">
        <v>18494</v>
      </c>
      <c r="J140">
        <v>17047</v>
      </c>
      <c r="K140">
        <v>18303</v>
      </c>
      <c r="L140">
        <v>3000</v>
      </c>
      <c r="M140">
        <v>15002</v>
      </c>
      <c r="N140">
        <v>11946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v>4544</v>
      </c>
      <c r="F141">
        <v>7549</v>
      </c>
      <c r="G141">
        <v>3853</v>
      </c>
      <c r="H141">
        <v>6151</v>
      </c>
      <c r="I141">
        <v>4669</v>
      </c>
      <c r="J141">
        <v>8696</v>
      </c>
      <c r="K141">
        <v>9803</v>
      </c>
      <c r="L141">
        <v>1721</v>
      </c>
      <c r="M141">
        <v>7698</v>
      </c>
      <c r="N141">
        <v>9171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v>28900</v>
      </c>
      <c r="F142">
        <v>20125</v>
      </c>
      <c r="G142">
        <v>50576</v>
      </c>
      <c r="H142">
        <v>28043</v>
      </c>
      <c r="I142">
        <v>28960</v>
      </c>
      <c r="J142">
        <v>17859</v>
      </c>
      <c r="K142">
        <v>14913</v>
      </c>
      <c r="L142">
        <v>5724</v>
      </c>
      <c r="M142">
        <v>15133</v>
      </c>
      <c r="N142">
        <v>38900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v>6230</v>
      </c>
      <c r="F143">
        <v>7506</v>
      </c>
      <c r="G143">
        <v>3795</v>
      </c>
      <c r="H143">
        <v>3862</v>
      </c>
      <c r="I143">
        <v>5572</v>
      </c>
      <c r="J143">
        <v>3906</v>
      </c>
      <c r="K143">
        <v>3265</v>
      </c>
      <c r="L143">
        <v>0</v>
      </c>
      <c r="M143">
        <v>1050</v>
      </c>
      <c r="N143">
        <v>1754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v>6354</v>
      </c>
      <c r="F144">
        <v>5904</v>
      </c>
      <c r="G144">
        <v>5309</v>
      </c>
      <c r="H144">
        <v>7037</v>
      </c>
      <c r="I144">
        <v>8437</v>
      </c>
      <c r="J144">
        <v>6202</v>
      </c>
      <c r="K144">
        <v>5084</v>
      </c>
      <c r="L144">
        <v>0</v>
      </c>
      <c r="M144">
        <v>2531</v>
      </c>
      <c r="N144">
        <v>4745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v>12704</v>
      </c>
      <c r="F145">
        <v>13897</v>
      </c>
      <c r="G145">
        <v>9857</v>
      </c>
      <c r="H145">
        <v>10197</v>
      </c>
      <c r="I145">
        <v>11100</v>
      </c>
      <c r="J145">
        <v>9234</v>
      </c>
      <c r="K145">
        <v>9419</v>
      </c>
      <c r="L145">
        <v>0</v>
      </c>
      <c r="M145">
        <v>5791</v>
      </c>
      <c r="N145">
        <v>8686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v>7737</v>
      </c>
      <c r="F146">
        <v>6234</v>
      </c>
      <c r="G146">
        <v>5673</v>
      </c>
      <c r="H146">
        <v>3334</v>
      </c>
      <c r="I146">
        <v>7896</v>
      </c>
      <c r="J146">
        <v>4002</v>
      </c>
      <c r="K146">
        <v>9303</v>
      </c>
      <c r="L146">
        <v>0</v>
      </c>
      <c r="M146">
        <v>4206</v>
      </c>
      <c r="N146">
        <v>6446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v>6262</v>
      </c>
      <c r="F147">
        <v>15744</v>
      </c>
      <c r="G147">
        <v>17888</v>
      </c>
      <c r="H147">
        <v>12201</v>
      </c>
      <c r="I147">
        <v>14602</v>
      </c>
      <c r="J147">
        <v>16868</v>
      </c>
      <c r="K147">
        <v>14927</v>
      </c>
      <c r="L147">
        <v>1953</v>
      </c>
      <c r="M147">
        <v>6767</v>
      </c>
      <c r="N147">
        <v>9919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v>27746</v>
      </c>
      <c r="F148">
        <v>22672</v>
      </c>
      <c r="G148">
        <v>29380</v>
      </c>
      <c r="H148">
        <v>29845</v>
      </c>
      <c r="I148">
        <v>39398</v>
      </c>
      <c r="J148">
        <v>21528</v>
      </c>
      <c r="K148">
        <v>28616</v>
      </c>
      <c r="L148">
        <v>14400</v>
      </c>
      <c r="M148">
        <v>23715</v>
      </c>
      <c r="N148">
        <v>22733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v>189385</v>
      </c>
      <c r="F149">
        <v>161754</v>
      </c>
      <c r="G149">
        <v>152049</v>
      </c>
      <c r="H149">
        <v>165115</v>
      </c>
      <c r="I149">
        <v>148887</v>
      </c>
      <c r="J149">
        <v>162021</v>
      </c>
      <c r="K149">
        <v>128223</v>
      </c>
      <c r="L149">
        <v>35796</v>
      </c>
      <c r="M149">
        <v>133776</v>
      </c>
      <c r="N149">
        <v>122905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v>6049</v>
      </c>
      <c r="F150">
        <v>6410</v>
      </c>
      <c r="G150">
        <v>5065</v>
      </c>
      <c r="H150">
        <v>6638</v>
      </c>
      <c r="I150">
        <v>3964</v>
      </c>
      <c r="J150">
        <v>9296</v>
      </c>
      <c r="K150">
        <v>9239</v>
      </c>
      <c r="L150">
        <v>0</v>
      </c>
      <c r="M150">
        <v>4041</v>
      </c>
      <c r="N150">
        <v>9217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v>5357</v>
      </c>
      <c r="F151">
        <v>5739</v>
      </c>
      <c r="G151">
        <v>5899</v>
      </c>
      <c r="H151">
        <v>7606</v>
      </c>
      <c r="I151">
        <v>5270</v>
      </c>
      <c r="J151">
        <v>6219</v>
      </c>
      <c r="K151">
        <v>3937</v>
      </c>
      <c r="L151">
        <v>0</v>
      </c>
      <c r="M151">
        <v>4452</v>
      </c>
      <c r="N151">
        <v>5909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v>46021</v>
      </c>
      <c r="F152">
        <v>42592</v>
      </c>
      <c r="G152">
        <v>37152</v>
      </c>
      <c r="H152">
        <v>36757</v>
      </c>
      <c r="I152">
        <v>27101</v>
      </c>
      <c r="J152">
        <v>36872</v>
      </c>
      <c r="K152">
        <v>28505</v>
      </c>
      <c r="L152">
        <v>7619</v>
      </c>
      <c r="M152">
        <v>129008</v>
      </c>
      <c r="N152">
        <v>148468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v>22715</v>
      </c>
      <c r="F153">
        <v>28080</v>
      </c>
      <c r="G153">
        <v>24091</v>
      </c>
      <c r="H153">
        <v>20758</v>
      </c>
      <c r="I153">
        <v>22566</v>
      </c>
      <c r="J153">
        <v>24935</v>
      </c>
      <c r="K153">
        <v>21579</v>
      </c>
      <c r="L153">
        <v>0</v>
      </c>
      <c r="M153">
        <v>17548</v>
      </c>
      <c r="N153">
        <v>14742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v>4252</v>
      </c>
      <c r="F154">
        <v>3717</v>
      </c>
      <c r="G154">
        <v>4602</v>
      </c>
      <c r="H154">
        <v>6036</v>
      </c>
      <c r="I154">
        <v>3739</v>
      </c>
      <c r="J154">
        <v>5357</v>
      </c>
      <c r="K154">
        <v>9031</v>
      </c>
      <c r="L154">
        <v>0</v>
      </c>
      <c r="M154">
        <v>1641</v>
      </c>
      <c r="N154">
        <v>5475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v>25145</v>
      </c>
      <c r="F155">
        <v>25148</v>
      </c>
      <c r="G155">
        <v>21450</v>
      </c>
      <c r="H155">
        <v>18826</v>
      </c>
      <c r="I155">
        <v>20856</v>
      </c>
      <c r="J155">
        <v>19188</v>
      </c>
      <c r="K155">
        <v>21315</v>
      </c>
      <c r="L155">
        <v>147</v>
      </c>
      <c r="M155">
        <v>17016</v>
      </c>
      <c r="N155">
        <v>14301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v>24508</v>
      </c>
      <c r="F156">
        <v>18963</v>
      </c>
      <c r="G156">
        <v>20409</v>
      </c>
      <c r="H156">
        <v>31470</v>
      </c>
      <c r="I156">
        <v>24242</v>
      </c>
      <c r="J156">
        <v>32032</v>
      </c>
      <c r="K156">
        <v>25416</v>
      </c>
      <c r="L156">
        <v>0</v>
      </c>
      <c r="M156">
        <v>22593</v>
      </c>
      <c r="N156">
        <v>27501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v>10171</v>
      </c>
      <c r="F157">
        <v>7011</v>
      </c>
      <c r="G157">
        <v>18245</v>
      </c>
      <c r="H157">
        <v>9614</v>
      </c>
      <c r="I157">
        <v>11274</v>
      </c>
      <c r="J157">
        <v>18454</v>
      </c>
      <c r="K157">
        <v>15706</v>
      </c>
      <c r="L157">
        <v>4041</v>
      </c>
      <c r="M157">
        <v>7303</v>
      </c>
      <c r="N157">
        <v>11756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v>92739</v>
      </c>
      <c r="F158">
        <v>89016</v>
      </c>
      <c r="G158">
        <v>94113</v>
      </c>
      <c r="H158">
        <v>97497</v>
      </c>
      <c r="I158">
        <v>83058</v>
      </c>
      <c r="J158">
        <v>94776</v>
      </c>
      <c r="K158">
        <v>84373</v>
      </c>
      <c r="L158">
        <v>0</v>
      </c>
      <c r="M158">
        <v>86416</v>
      </c>
      <c r="N158">
        <v>106985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v>5101</v>
      </c>
      <c r="F159">
        <v>6387</v>
      </c>
      <c r="G159">
        <v>5349</v>
      </c>
      <c r="H159">
        <v>8579</v>
      </c>
      <c r="I159">
        <v>9248</v>
      </c>
      <c r="J159">
        <v>12096</v>
      </c>
      <c r="K159">
        <v>14519</v>
      </c>
      <c r="L159">
        <v>0</v>
      </c>
      <c r="M159">
        <v>11265</v>
      </c>
      <c r="N159">
        <v>21793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v>9788</v>
      </c>
      <c r="F160">
        <v>14040</v>
      </c>
      <c r="G160">
        <v>8511</v>
      </c>
      <c r="H160">
        <v>8918</v>
      </c>
      <c r="I160">
        <v>11683</v>
      </c>
      <c r="J160">
        <v>23291</v>
      </c>
      <c r="K160">
        <v>34749</v>
      </c>
      <c r="L160">
        <v>1431</v>
      </c>
      <c r="M160">
        <v>12211</v>
      </c>
      <c r="N160">
        <v>25779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v>21622</v>
      </c>
      <c r="F161">
        <v>15205</v>
      </c>
      <c r="G161">
        <v>15570</v>
      </c>
      <c r="H161">
        <v>11170</v>
      </c>
      <c r="I161">
        <v>9673</v>
      </c>
      <c r="J161">
        <v>8623</v>
      </c>
      <c r="K161">
        <v>7513</v>
      </c>
      <c r="L161">
        <v>1764</v>
      </c>
      <c r="M161">
        <v>10969</v>
      </c>
      <c r="N161">
        <v>15210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v>10783</v>
      </c>
      <c r="F162">
        <v>19428</v>
      </c>
      <c r="G162">
        <v>11801</v>
      </c>
      <c r="H162">
        <v>17369</v>
      </c>
      <c r="I162">
        <v>20406</v>
      </c>
      <c r="J162">
        <v>16716</v>
      </c>
      <c r="K162">
        <v>20608</v>
      </c>
      <c r="L162">
        <v>4925</v>
      </c>
      <c r="M162">
        <v>12228</v>
      </c>
      <c r="N162">
        <v>10471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v>17635</v>
      </c>
      <c r="F163">
        <v>22565</v>
      </c>
      <c r="G163">
        <v>18686</v>
      </c>
      <c r="H163">
        <v>24580</v>
      </c>
      <c r="I163">
        <v>20440</v>
      </c>
      <c r="J163">
        <v>28193</v>
      </c>
      <c r="K163">
        <v>22369</v>
      </c>
      <c r="L163">
        <v>0</v>
      </c>
      <c r="M163">
        <v>22044</v>
      </c>
      <c r="N163">
        <v>38143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v>7316</v>
      </c>
      <c r="F164">
        <v>4574</v>
      </c>
      <c r="G164">
        <v>7224</v>
      </c>
      <c r="H164">
        <v>6076</v>
      </c>
      <c r="I164">
        <v>9393</v>
      </c>
      <c r="J164">
        <v>9265</v>
      </c>
      <c r="K164">
        <v>6224</v>
      </c>
      <c r="L164">
        <v>0</v>
      </c>
      <c r="M164">
        <v>5094</v>
      </c>
      <c r="N164">
        <v>9617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v>30943</v>
      </c>
      <c r="F165">
        <v>42044</v>
      </c>
      <c r="G165">
        <v>42900</v>
      </c>
      <c r="H165">
        <v>53434</v>
      </c>
      <c r="I165">
        <v>50933</v>
      </c>
      <c r="J165">
        <v>49815</v>
      </c>
      <c r="K165">
        <v>53640</v>
      </c>
      <c r="L165">
        <v>304</v>
      </c>
      <c r="M165">
        <v>58821</v>
      </c>
      <c r="N165">
        <v>58024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v>107177</v>
      </c>
      <c r="F166">
        <v>97906</v>
      </c>
      <c r="G166">
        <v>98418</v>
      </c>
      <c r="H166">
        <v>84152</v>
      </c>
      <c r="I166">
        <v>91026</v>
      </c>
      <c r="J166">
        <v>87941</v>
      </c>
      <c r="K166">
        <v>74768</v>
      </c>
      <c r="L166">
        <v>137</v>
      </c>
      <c r="M166">
        <v>56332</v>
      </c>
      <c r="N166">
        <v>62749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v>62735</v>
      </c>
      <c r="F167">
        <v>75105</v>
      </c>
      <c r="G167">
        <v>70649</v>
      </c>
      <c r="H167">
        <v>65262</v>
      </c>
      <c r="I167">
        <v>63397</v>
      </c>
      <c r="J167">
        <v>60943</v>
      </c>
      <c r="K167">
        <v>53562</v>
      </c>
      <c r="L167">
        <v>5409</v>
      </c>
      <c r="M167">
        <v>52575</v>
      </c>
      <c r="N167">
        <v>49824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v>11763</v>
      </c>
      <c r="F168">
        <v>10635</v>
      </c>
      <c r="G168">
        <v>11417</v>
      </c>
      <c r="H168">
        <v>10590</v>
      </c>
      <c r="I168">
        <v>10342</v>
      </c>
      <c r="J168">
        <v>12810</v>
      </c>
      <c r="K168">
        <v>12680</v>
      </c>
      <c r="L168">
        <v>0</v>
      </c>
      <c r="M168">
        <v>10510</v>
      </c>
      <c r="N168">
        <v>11905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v>55563</v>
      </c>
      <c r="F169">
        <v>57696</v>
      </c>
      <c r="G169">
        <v>63496</v>
      </c>
      <c r="H169">
        <v>51364</v>
      </c>
      <c r="I169">
        <v>46956</v>
      </c>
      <c r="J169">
        <v>105838</v>
      </c>
      <c r="K169">
        <v>66289</v>
      </c>
      <c r="L169">
        <v>0</v>
      </c>
      <c r="M169">
        <v>50649</v>
      </c>
      <c r="N169">
        <v>57003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v>48733</v>
      </c>
      <c r="F170">
        <v>67598</v>
      </c>
      <c r="G170">
        <v>92914</v>
      </c>
      <c r="H170">
        <v>86328</v>
      </c>
      <c r="I170">
        <v>133906</v>
      </c>
      <c r="J170">
        <v>143578</v>
      </c>
      <c r="K170">
        <v>107533</v>
      </c>
      <c r="L170">
        <v>10782</v>
      </c>
      <c r="M170">
        <v>75056</v>
      </c>
      <c r="N170">
        <v>81542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v>11808</v>
      </c>
      <c r="F171">
        <v>7742</v>
      </c>
      <c r="G171">
        <v>10245</v>
      </c>
      <c r="H171">
        <v>21793</v>
      </c>
      <c r="I171">
        <v>20416</v>
      </c>
      <c r="J171">
        <v>22579</v>
      </c>
      <c r="K171">
        <v>20675</v>
      </c>
      <c r="L171">
        <v>621</v>
      </c>
      <c r="M171">
        <v>13578</v>
      </c>
      <c r="N171">
        <v>12523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v>23700</v>
      </c>
      <c r="F172">
        <v>30549</v>
      </c>
      <c r="G172">
        <v>63847</v>
      </c>
      <c r="H172">
        <v>52008</v>
      </c>
      <c r="I172">
        <v>61126</v>
      </c>
      <c r="J172">
        <v>70028</v>
      </c>
      <c r="K172">
        <v>57484</v>
      </c>
      <c r="L172">
        <v>20500</v>
      </c>
      <c r="M172">
        <v>48805</v>
      </c>
      <c r="N172">
        <v>52237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v>41671</v>
      </c>
      <c r="F173">
        <v>35273</v>
      </c>
      <c r="G173">
        <v>47594</v>
      </c>
      <c r="H173">
        <v>33768</v>
      </c>
      <c r="I173">
        <v>32348</v>
      </c>
      <c r="J173">
        <v>30332</v>
      </c>
      <c r="K173">
        <v>42708</v>
      </c>
      <c r="L173">
        <v>11915</v>
      </c>
      <c r="M173">
        <v>32012</v>
      </c>
      <c r="N173">
        <v>31385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v>6352</v>
      </c>
      <c r="F174">
        <v>9893</v>
      </c>
      <c r="G174">
        <v>8121</v>
      </c>
      <c r="H174">
        <v>9358</v>
      </c>
      <c r="I174">
        <v>12121</v>
      </c>
      <c r="J174">
        <v>8261</v>
      </c>
      <c r="K174">
        <v>7799</v>
      </c>
      <c r="L174">
        <v>0</v>
      </c>
      <c r="M174">
        <v>8159</v>
      </c>
      <c r="N174">
        <v>7448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v>50855</v>
      </c>
      <c r="F175">
        <v>51435</v>
      </c>
      <c r="G175">
        <v>44927</v>
      </c>
      <c r="H175">
        <v>40309</v>
      </c>
      <c r="I175">
        <v>50649</v>
      </c>
      <c r="J175">
        <v>44520</v>
      </c>
      <c r="K175">
        <v>45925</v>
      </c>
      <c r="L175">
        <v>0</v>
      </c>
      <c r="M175">
        <v>37282</v>
      </c>
      <c r="N175">
        <v>38438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v>18187</v>
      </c>
      <c r="F176">
        <v>14904</v>
      </c>
      <c r="G176">
        <v>20559</v>
      </c>
      <c r="H176">
        <v>22463</v>
      </c>
      <c r="I176">
        <v>31167</v>
      </c>
      <c r="J176">
        <v>28244</v>
      </c>
      <c r="K176">
        <v>32501</v>
      </c>
      <c r="L176">
        <v>35</v>
      </c>
      <c r="M176">
        <v>21854</v>
      </c>
      <c r="N176">
        <v>30746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v>13554</v>
      </c>
      <c r="F177">
        <v>16454</v>
      </c>
      <c r="G177">
        <v>14905</v>
      </c>
      <c r="H177">
        <v>14772</v>
      </c>
      <c r="I177">
        <v>17829</v>
      </c>
      <c r="J177">
        <v>16424</v>
      </c>
      <c r="K177">
        <v>17404</v>
      </c>
      <c r="L177">
        <v>3160</v>
      </c>
      <c r="M177">
        <v>7273</v>
      </c>
      <c r="N177">
        <v>9468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v>6143</v>
      </c>
      <c r="F178">
        <v>7993</v>
      </c>
      <c r="G178">
        <v>5857</v>
      </c>
      <c r="H178">
        <v>7498</v>
      </c>
      <c r="I178">
        <v>9423</v>
      </c>
      <c r="J178">
        <v>8432</v>
      </c>
      <c r="K178">
        <v>8002</v>
      </c>
      <c r="L178">
        <v>20</v>
      </c>
      <c r="M178">
        <v>5163</v>
      </c>
      <c r="N178">
        <v>8961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v>7136</v>
      </c>
      <c r="F179">
        <v>3239</v>
      </c>
      <c r="G179">
        <v>3846</v>
      </c>
      <c r="H179">
        <v>3924</v>
      </c>
      <c r="I179">
        <v>4365</v>
      </c>
      <c r="J179">
        <v>4547</v>
      </c>
      <c r="K179">
        <v>6620</v>
      </c>
      <c r="L179">
        <v>0</v>
      </c>
      <c r="M179">
        <v>11852</v>
      </c>
      <c r="N179">
        <v>7239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v>6609</v>
      </c>
      <c r="F180">
        <v>7139</v>
      </c>
      <c r="G180">
        <v>6304</v>
      </c>
      <c r="H180">
        <v>5972</v>
      </c>
      <c r="I180">
        <v>8730</v>
      </c>
      <c r="J180">
        <v>24543</v>
      </c>
      <c r="K180">
        <v>17797</v>
      </c>
      <c r="L180">
        <v>2414</v>
      </c>
      <c r="M180">
        <v>11952</v>
      </c>
      <c r="N180">
        <v>16773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v>9793</v>
      </c>
      <c r="F181">
        <v>9698</v>
      </c>
      <c r="G181">
        <v>9498</v>
      </c>
      <c r="H181">
        <v>10857</v>
      </c>
      <c r="I181">
        <v>16591</v>
      </c>
      <c r="J181">
        <v>14475</v>
      </c>
      <c r="K181">
        <v>13570</v>
      </c>
      <c r="L181">
        <v>18</v>
      </c>
      <c r="M181">
        <v>7248</v>
      </c>
      <c r="N181">
        <v>12372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v>12554</v>
      </c>
      <c r="F182">
        <v>9639</v>
      </c>
      <c r="G182">
        <v>9375</v>
      </c>
      <c r="H182">
        <v>9765</v>
      </c>
      <c r="I182">
        <v>9986</v>
      </c>
      <c r="J182">
        <v>9511</v>
      </c>
      <c r="K182">
        <v>8381</v>
      </c>
      <c r="L182">
        <v>70</v>
      </c>
      <c r="M182">
        <v>7345</v>
      </c>
      <c r="N182">
        <v>14601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v>20903</v>
      </c>
      <c r="F183">
        <v>16676</v>
      </c>
      <c r="G183">
        <v>16315</v>
      </c>
      <c r="H183">
        <v>13731</v>
      </c>
      <c r="I183">
        <v>17484</v>
      </c>
      <c r="J183">
        <v>14404</v>
      </c>
      <c r="K183">
        <v>11914</v>
      </c>
      <c r="L183">
        <v>0</v>
      </c>
      <c r="M183">
        <v>7276</v>
      </c>
      <c r="N183">
        <v>11437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v>36036</v>
      </c>
      <c r="F184">
        <v>31881</v>
      </c>
      <c r="G184">
        <v>24281</v>
      </c>
      <c r="H184">
        <v>46587</v>
      </c>
      <c r="I184">
        <v>45405</v>
      </c>
      <c r="J184">
        <v>60963</v>
      </c>
      <c r="K184">
        <v>67179</v>
      </c>
      <c r="L184">
        <v>250</v>
      </c>
      <c r="M184">
        <v>89382</v>
      </c>
      <c r="N184">
        <v>75585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v>110892</v>
      </c>
      <c r="F185">
        <v>93707</v>
      </c>
      <c r="G185">
        <v>102682</v>
      </c>
      <c r="H185">
        <v>75397</v>
      </c>
      <c r="I185">
        <v>70087</v>
      </c>
      <c r="J185">
        <v>57418</v>
      </c>
      <c r="K185">
        <v>74750</v>
      </c>
      <c r="L185">
        <v>40</v>
      </c>
      <c r="M185">
        <v>76317</v>
      </c>
      <c r="N185">
        <v>97938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v>19507</v>
      </c>
      <c r="F186">
        <v>17593</v>
      </c>
      <c r="G186">
        <v>18947</v>
      </c>
      <c r="H186">
        <v>22953</v>
      </c>
      <c r="I186">
        <v>33785</v>
      </c>
      <c r="J186">
        <v>21514</v>
      </c>
      <c r="K186">
        <v>17405</v>
      </c>
      <c r="L186">
        <v>491</v>
      </c>
      <c r="M186">
        <v>14169</v>
      </c>
      <c r="N186">
        <v>19231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v>6182</v>
      </c>
      <c r="F187">
        <v>5241</v>
      </c>
      <c r="G187">
        <v>5790</v>
      </c>
      <c r="H187">
        <v>6560</v>
      </c>
      <c r="I187">
        <v>5077</v>
      </c>
      <c r="J187">
        <v>5413</v>
      </c>
      <c r="K187">
        <v>6108</v>
      </c>
      <c r="L187">
        <v>0</v>
      </c>
      <c r="M187">
        <v>4058</v>
      </c>
      <c r="N187">
        <v>4393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v>94631</v>
      </c>
      <c r="F188">
        <v>87849</v>
      </c>
      <c r="G188">
        <v>93683</v>
      </c>
      <c r="H188">
        <v>80230</v>
      </c>
      <c r="I188">
        <v>106026</v>
      </c>
      <c r="J188">
        <v>94249</v>
      </c>
      <c r="K188">
        <v>82854</v>
      </c>
      <c r="L188">
        <v>0</v>
      </c>
      <c r="M188">
        <v>75444</v>
      </c>
      <c r="N188">
        <v>80328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v>5788</v>
      </c>
      <c r="F189">
        <v>17767</v>
      </c>
      <c r="G189">
        <v>19017</v>
      </c>
      <c r="H189">
        <v>13264</v>
      </c>
      <c r="I189">
        <v>13777</v>
      </c>
      <c r="J189">
        <v>10459</v>
      </c>
      <c r="K189">
        <v>12109</v>
      </c>
      <c r="L189">
        <v>226</v>
      </c>
      <c r="M189">
        <v>9083</v>
      </c>
      <c r="N189">
        <v>10806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v>7215</v>
      </c>
      <c r="F190">
        <v>4640</v>
      </c>
      <c r="G190">
        <v>6856</v>
      </c>
      <c r="H190">
        <v>1502</v>
      </c>
      <c r="I190">
        <v>3741</v>
      </c>
      <c r="J190">
        <v>3136</v>
      </c>
      <c r="K190">
        <v>4799</v>
      </c>
      <c r="L190">
        <v>3174</v>
      </c>
      <c r="M190">
        <v>5543</v>
      </c>
      <c r="N190">
        <v>3664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v>4243</v>
      </c>
      <c r="F191">
        <v>3178</v>
      </c>
      <c r="G191">
        <v>5950</v>
      </c>
      <c r="H191">
        <v>8489</v>
      </c>
      <c r="I191">
        <v>5154</v>
      </c>
      <c r="J191">
        <v>6564</v>
      </c>
      <c r="K191">
        <v>5962</v>
      </c>
      <c r="L191">
        <v>0</v>
      </c>
      <c r="M191">
        <v>4626</v>
      </c>
      <c r="N191">
        <v>5798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v>3593</v>
      </c>
      <c r="F192">
        <v>5573</v>
      </c>
      <c r="G192">
        <v>9283</v>
      </c>
      <c r="H192">
        <v>5488</v>
      </c>
      <c r="I192">
        <v>5695</v>
      </c>
      <c r="J192">
        <v>3918</v>
      </c>
      <c r="K192">
        <v>4093</v>
      </c>
      <c r="L192">
        <v>1155</v>
      </c>
      <c r="M192">
        <v>2861</v>
      </c>
      <c r="N192">
        <v>4121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v>5216</v>
      </c>
      <c r="F193">
        <v>7439</v>
      </c>
      <c r="G193">
        <v>10931</v>
      </c>
      <c r="H193">
        <v>15881</v>
      </c>
      <c r="I193">
        <v>7564</v>
      </c>
      <c r="J193">
        <v>8630</v>
      </c>
      <c r="K193">
        <v>7976</v>
      </c>
      <c r="L193">
        <v>199</v>
      </c>
      <c r="M193">
        <v>3960</v>
      </c>
      <c r="N193">
        <v>6807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v>7161</v>
      </c>
      <c r="F194">
        <v>6805</v>
      </c>
      <c r="G194">
        <v>5192</v>
      </c>
      <c r="H194">
        <v>5721</v>
      </c>
      <c r="I194">
        <v>5056</v>
      </c>
      <c r="J194">
        <v>5920</v>
      </c>
      <c r="K194">
        <v>3084</v>
      </c>
      <c r="L194">
        <v>0</v>
      </c>
      <c r="M194">
        <v>3714</v>
      </c>
      <c r="N194">
        <v>5313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v>11359</v>
      </c>
      <c r="F195">
        <v>9922</v>
      </c>
      <c r="G195">
        <v>15109</v>
      </c>
      <c r="H195">
        <v>9139</v>
      </c>
      <c r="I195">
        <v>10428</v>
      </c>
      <c r="J195">
        <v>11629</v>
      </c>
      <c r="K195">
        <v>14078</v>
      </c>
      <c r="L195">
        <v>615</v>
      </c>
      <c r="M195">
        <v>7222</v>
      </c>
      <c r="N195">
        <v>12479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13063</v>
      </c>
      <c r="K196">
        <v>11317</v>
      </c>
      <c r="L196">
        <v>2055</v>
      </c>
      <c r="M196">
        <v>8269</v>
      </c>
      <c r="N196">
        <v>13839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v>53892</v>
      </c>
      <c r="F197">
        <v>56268</v>
      </c>
      <c r="G197">
        <v>42236</v>
      </c>
      <c r="H197">
        <v>37191</v>
      </c>
      <c r="I197">
        <v>49870</v>
      </c>
      <c r="J197">
        <v>38810</v>
      </c>
      <c r="K197">
        <v>35655</v>
      </c>
      <c r="L197">
        <v>0</v>
      </c>
      <c r="M197">
        <v>29903</v>
      </c>
      <c r="N197">
        <v>46079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v>25103</v>
      </c>
      <c r="F198">
        <v>22589</v>
      </c>
      <c r="G198">
        <v>24775</v>
      </c>
      <c r="H198">
        <v>25706</v>
      </c>
      <c r="I198">
        <v>23623</v>
      </c>
      <c r="J198">
        <v>15557</v>
      </c>
      <c r="K198">
        <v>19348</v>
      </c>
      <c r="L198">
        <v>4322</v>
      </c>
      <c r="M198">
        <v>15221</v>
      </c>
      <c r="N198">
        <v>18790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v>8652</v>
      </c>
      <c r="F199">
        <v>9217</v>
      </c>
      <c r="G199">
        <v>8898</v>
      </c>
      <c r="H199">
        <v>9745</v>
      </c>
      <c r="I199">
        <v>10755</v>
      </c>
      <c r="J199">
        <v>7855</v>
      </c>
      <c r="K199">
        <v>10399</v>
      </c>
      <c r="L199">
        <v>7976</v>
      </c>
      <c r="M199">
        <v>6921</v>
      </c>
      <c r="N199">
        <v>10072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v>7921</v>
      </c>
      <c r="F200">
        <v>9421</v>
      </c>
      <c r="G200">
        <v>7880</v>
      </c>
      <c r="H200">
        <v>6615</v>
      </c>
      <c r="I200">
        <v>6479</v>
      </c>
      <c r="J200">
        <v>8775</v>
      </c>
      <c r="K200">
        <v>7072</v>
      </c>
      <c r="L200">
        <v>2192</v>
      </c>
      <c r="M200">
        <v>5521</v>
      </c>
      <c r="N200">
        <v>3391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v>10463</v>
      </c>
      <c r="F201">
        <v>13797</v>
      </c>
      <c r="G201">
        <v>11178</v>
      </c>
      <c r="H201">
        <v>13154</v>
      </c>
      <c r="I201">
        <v>18169</v>
      </c>
      <c r="J201">
        <v>15374</v>
      </c>
      <c r="K201">
        <v>19572</v>
      </c>
      <c r="L201">
        <v>7852</v>
      </c>
      <c r="M201">
        <v>21985</v>
      </c>
      <c r="N201">
        <v>20583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v>4667</v>
      </c>
      <c r="F202">
        <v>4687</v>
      </c>
      <c r="G202">
        <v>7444</v>
      </c>
      <c r="H202">
        <v>4712</v>
      </c>
      <c r="I202">
        <v>6684</v>
      </c>
      <c r="J202">
        <v>5761</v>
      </c>
      <c r="K202">
        <v>5692</v>
      </c>
      <c r="L202">
        <v>0</v>
      </c>
      <c r="M202">
        <v>3078</v>
      </c>
      <c r="N202">
        <v>3866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v>5996</v>
      </c>
      <c r="F203">
        <v>6123</v>
      </c>
      <c r="G203">
        <v>5744</v>
      </c>
      <c r="H203">
        <v>5722</v>
      </c>
      <c r="I203">
        <v>5920</v>
      </c>
      <c r="J203">
        <v>5068</v>
      </c>
      <c r="K203">
        <v>3796</v>
      </c>
      <c r="L203">
        <v>0</v>
      </c>
      <c r="M203">
        <v>3933</v>
      </c>
      <c r="N203">
        <v>4601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v>8245</v>
      </c>
      <c r="F204">
        <v>7090</v>
      </c>
      <c r="G204">
        <v>9926</v>
      </c>
      <c r="H204">
        <v>15105</v>
      </c>
      <c r="I204">
        <v>15761</v>
      </c>
      <c r="J204">
        <v>16479</v>
      </c>
      <c r="K204">
        <v>15431</v>
      </c>
      <c r="L204">
        <v>500</v>
      </c>
      <c r="M204">
        <v>10325</v>
      </c>
      <c r="N204">
        <v>12280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v>14425</v>
      </c>
      <c r="F205">
        <v>15808</v>
      </c>
      <c r="G205">
        <v>24115</v>
      </c>
      <c r="H205">
        <v>22876</v>
      </c>
      <c r="I205">
        <v>19360</v>
      </c>
      <c r="J205">
        <v>16183</v>
      </c>
      <c r="K205">
        <v>19356</v>
      </c>
      <c r="L205">
        <v>0</v>
      </c>
      <c r="M205">
        <v>8973</v>
      </c>
      <c r="N205">
        <v>17518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v>23094</v>
      </c>
      <c r="F206">
        <v>18839</v>
      </c>
      <c r="G206">
        <v>21962</v>
      </c>
      <c r="H206">
        <v>22516</v>
      </c>
      <c r="I206">
        <v>15287</v>
      </c>
      <c r="J206">
        <v>20853</v>
      </c>
      <c r="K206">
        <v>23768</v>
      </c>
      <c r="L206">
        <v>21</v>
      </c>
      <c r="M206">
        <v>14497</v>
      </c>
      <c r="N206">
        <v>22432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v>12933</v>
      </c>
      <c r="F207">
        <v>11443</v>
      </c>
      <c r="G207">
        <v>15764</v>
      </c>
      <c r="H207">
        <v>13721</v>
      </c>
      <c r="I207">
        <v>12013</v>
      </c>
      <c r="J207">
        <v>10585</v>
      </c>
      <c r="K207">
        <v>10072</v>
      </c>
      <c r="L207">
        <v>3671</v>
      </c>
      <c r="M207">
        <v>5399</v>
      </c>
      <c r="N207">
        <v>9220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v>147799</v>
      </c>
      <c r="F208">
        <v>170882</v>
      </c>
      <c r="G208">
        <v>134991</v>
      </c>
      <c r="H208">
        <v>137764</v>
      </c>
      <c r="I208">
        <v>114561</v>
      </c>
      <c r="J208">
        <v>143382</v>
      </c>
      <c r="K208">
        <v>115217</v>
      </c>
      <c r="L208">
        <v>1334</v>
      </c>
      <c r="M208">
        <v>70069</v>
      </c>
      <c r="N208">
        <v>87115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v>7458</v>
      </c>
      <c r="F209">
        <v>8351</v>
      </c>
      <c r="G209">
        <v>12396</v>
      </c>
      <c r="H209">
        <v>10850</v>
      </c>
      <c r="I209">
        <v>9291</v>
      </c>
      <c r="J209">
        <v>11275</v>
      </c>
      <c r="K209">
        <v>7885</v>
      </c>
      <c r="L209">
        <v>0</v>
      </c>
      <c r="M209">
        <v>6621</v>
      </c>
      <c r="N209">
        <v>5296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v>10163</v>
      </c>
      <c r="F210">
        <v>16297</v>
      </c>
      <c r="G210">
        <v>20516</v>
      </c>
      <c r="H210">
        <v>31986</v>
      </c>
      <c r="I210">
        <v>26528</v>
      </c>
      <c r="J210">
        <v>12855</v>
      </c>
      <c r="K210">
        <v>8513</v>
      </c>
      <c r="L210">
        <v>0</v>
      </c>
      <c r="M210">
        <v>7764</v>
      </c>
      <c r="N210">
        <v>12145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v>103163</v>
      </c>
      <c r="F211">
        <v>81250</v>
      </c>
      <c r="G211">
        <v>89066</v>
      </c>
      <c r="H211">
        <v>93921</v>
      </c>
      <c r="I211">
        <v>91758</v>
      </c>
      <c r="J211">
        <v>65047</v>
      </c>
      <c r="K211">
        <v>64319</v>
      </c>
      <c r="L211">
        <v>164</v>
      </c>
      <c r="M211">
        <v>52385</v>
      </c>
      <c r="N211">
        <v>101233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v>107015</v>
      </c>
      <c r="F212">
        <v>69852</v>
      </c>
      <c r="G212">
        <v>66769</v>
      </c>
      <c r="H212">
        <v>67200</v>
      </c>
      <c r="I212">
        <v>53550</v>
      </c>
      <c r="J212">
        <v>50651</v>
      </c>
      <c r="K212">
        <v>38321</v>
      </c>
      <c r="L212">
        <v>8087</v>
      </c>
      <c r="M212">
        <v>42344</v>
      </c>
      <c r="N212">
        <v>66232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v>48261</v>
      </c>
      <c r="F213">
        <v>44168</v>
      </c>
      <c r="G213">
        <v>48141</v>
      </c>
      <c r="H213">
        <v>37424</v>
      </c>
      <c r="I213">
        <v>34163</v>
      </c>
      <c r="J213">
        <v>35378</v>
      </c>
      <c r="K213">
        <v>31360</v>
      </c>
      <c r="L213">
        <v>14826</v>
      </c>
      <c r="M213">
        <v>24594</v>
      </c>
      <c r="N213">
        <v>50428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v>40898</v>
      </c>
      <c r="F214">
        <v>41970</v>
      </c>
      <c r="G214">
        <v>33385</v>
      </c>
      <c r="H214">
        <v>35484</v>
      </c>
      <c r="I214">
        <v>30959</v>
      </c>
      <c r="J214">
        <v>32368</v>
      </c>
      <c r="K214">
        <v>34011</v>
      </c>
      <c r="L214">
        <v>3000</v>
      </c>
      <c r="M214">
        <v>23612</v>
      </c>
      <c r="N214">
        <v>36641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v>25734</v>
      </c>
      <c r="F215">
        <v>29769</v>
      </c>
      <c r="G215">
        <v>29735</v>
      </c>
      <c r="H215">
        <v>31863</v>
      </c>
      <c r="I215">
        <v>47527</v>
      </c>
      <c r="J215">
        <v>33117</v>
      </c>
      <c r="K215">
        <v>28494</v>
      </c>
      <c r="L215">
        <v>9296</v>
      </c>
      <c r="M215">
        <v>33972</v>
      </c>
      <c r="N215">
        <v>48004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v>6523</v>
      </c>
      <c r="F216">
        <v>2851</v>
      </c>
      <c r="G216">
        <v>9428</v>
      </c>
      <c r="H216">
        <v>5850</v>
      </c>
      <c r="I216">
        <v>15859</v>
      </c>
      <c r="J216">
        <v>6686</v>
      </c>
      <c r="K216">
        <v>6026</v>
      </c>
      <c r="L216">
        <v>1054</v>
      </c>
      <c r="M216">
        <v>6372</v>
      </c>
      <c r="N216">
        <v>6904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v>13442</v>
      </c>
      <c r="F217">
        <v>12252</v>
      </c>
      <c r="G217">
        <v>11310</v>
      </c>
      <c r="H217">
        <v>8236</v>
      </c>
      <c r="I217">
        <v>13429</v>
      </c>
      <c r="J217">
        <v>16799</v>
      </c>
      <c r="K217">
        <v>17207</v>
      </c>
      <c r="L217">
        <v>7485</v>
      </c>
      <c r="M217">
        <v>21808</v>
      </c>
      <c r="N217">
        <v>23682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v>20751</v>
      </c>
      <c r="F218">
        <v>25511</v>
      </c>
      <c r="G218">
        <v>35835</v>
      </c>
      <c r="H218">
        <v>38928</v>
      </c>
      <c r="I218">
        <v>80842</v>
      </c>
      <c r="J218">
        <v>121511</v>
      </c>
      <c r="K218">
        <v>162781</v>
      </c>
      <c r="L218">
        <v>1</v>
      </c>
      <c r="M218">
        <v>116271</v>
      </c>
      <c r="N218">
        <v>101852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v>30737</v>
      </c>
      <c r="F219">
        <v>67109</v>
      </c>
      <c r="G219">
        <v>69749</v>
      </c>
      <c r="H219">
        <v>78357</v>
      </c>
      <c r="I219">
        <v>79664</v>
      </c>
      <c r="J219">
        <v>97875</v>
      </c>
      <c r="K219">
        <v>100337</v>
      </c>
      <c r="L219">
        <v>0</v>
      </c>
      <c r="M219">
        <v>58493</v>
      </c>
      <c r="N219">
        <v>68748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v>13186</v>
      </c>
      <c r="F220">
        <v>10033</v>
      </c>
      <c r="G220">
        <v>9756</v>
      </c>
      <c r="H220">
        <v>8815</v>
      </c>
      <c r="I220">
        <v>13083</v>
      </c>
      <c r="J220">
        <v>16619</v>
      </c>
      <c r="K220">
        <v>9772</v>
      </c>
      <c r="L220">
        <v>0</v>
      </c>
      <c r="M220">
        <v>5028</v>
      </c>
      <c r="N220">
        <v>10617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v>9865</v>
      </c>
      <c r="F221">
        <v>13743</v>
      </c>
      <c r="G221">
        <v>15119</v>
      </c>
      <c r="H221">
        <v>23930</v>
      </c>
      <c r="I221">
        <v>22215</v>
      </c>
      <c r="J221">
        <v>14658</v>
      </c>
      <c r="K221">
        <v>10297</v>
      </c>
      <c r="L221">
        <v>0</v>
      </c>
      <c r="M221">
        <v>3407</v>
      </c>
      <c r="N221">
        <v>9461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v>97511</v>
      </c>
      <c r="F222">
        <v>77727</v>
      </c>
      <c r="G222">
        <v>52580</v>
      </c>
      <c r="H222">
        <v>50761</v>
      </c>
      <c r="I222">
        <v>46775</v>
      </c>
      <c r="J222">
        <v>42775</v>
      </c>
      <c r="K222">
        <v>32754</v>
      </c>
      <c r="L222">
        <v>2410</v>
      </c>
      <c r="M222">
        <v>26828</v>
      </c>
      <c r="N222">
        <v>38694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v>3919</v>
      </c>
      <c r="F223">
        <v>2616</v>
      </c>
      <c r="G223">
        <v>2844</v>
      </c>
      <c r="H223">
        <v>3595</v>
      </c>
      <c r="I223">
        <v>2888</v>
      </c>
      <c r="J223">
        <v>3588</v>
      </c>
      <c r="K223">
        <v>2662</v>
      </c>
      <c r="L223">
        <v>0</v>
      </c>
      <c r="M223">
        <v>2452</v>
      </c>
      <c r="N223">
        <v>2538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v>29295</v>
      </c>
      <c r="F224">
        <v>23727</v>
      </c>
      <c r="G224">
        <v>26739</v>
      </c>
      <c r="H224">
        <v>29282</v>
      </c>
      <c r="I224">
        <v>26900</v>
      </c>
      <c r="J224">
        <v>23782</v>
      </c>
      <c r="K224">
        <v>25489</v>
      </c>
      <c r="L224">
        <v>4000</v>
      </c>
      <c r="M224">
        <v>21008</v>
      </c>
      <c r="N224">
        <v>14658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v>5384</v>
      </c>
      <c r="F225">
        <v>4520</v>
      </c>
      <c r="G225">
        <v>5200</v>
      </c>
      <c r="H225">
        <v>3945</v>
      </c>
      <c r="I225">
        <v>6217</v>
      </c>
      <c r="J225">
        <v>5465</v>
      </c>
      <c r="K225">
        <v>11341</v>
      </c>
      <c r="L225">
        <v>0</v>
      </c>
      <c r="M225">
        <v>8110</v>
      </c>
      <c r="N225">
        <v>10795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v>8736</v>
      </c>
      <c r="F226">
        <v>4322</v>
      </c>
      <c r="G226">
        <v>4540</v>
      </c>
      <c r="H226">
        <v>3815</v>
      </c>
      <c r="I226">
        <v>3157</v>
      </c>
      <c r="J226">
        <v>8202</v>
      </c>
      <c r="K226">
        <v>7808</v>
      </c>
      <c r="L226">
        <v>134</v>
      </c>
      <c r="M226">
        <v>5823</v>
      </c>
      <c r="N226">
        <v>6231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v>12592</v>
      </c>
      <c r="F227">
        <v>6044</v>
      </c>
      <c r="G227">
        <v>6824</v>
      </c>
      <c r="H227">
        <v>4759</v>
      </c>
      <c r="I227">
        <v>5406</v>
      </c>
      <c r="J227">
        <v>5209</v>
      </c>
      <c r="K227">
        <v>7920</v>
      </c>
      <c r="L227">
        <v>1543</v>
      </c>
      <c r="M227">
        <v>5929</v>
      </c>
      <c r="N227">
        <v>5133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v>5409</v>
      </c>
      <c r="F228">
        <v>4662</v>
      </c>
      <c r="G228">
        <v>6291</v>
      </c>
      <c r="H228">
        <v>3246</v>
      </c>
      <c r="I228">
        <v>3292</v>
      </c>
      <c r="J228">
        <v>3703</v>
      </c>
      <c r="K228">
        <v>3786</v>
      </c>
      <c r="L228">
        <v>52</v>
      </c>
      <c r="M228">
        <v>3164</v>
      </c>
      <c r="N228">
        <v>4733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v>12100</v>
      </c>
      <c r="F229">
        <v>12446</v>
      </c>
      <c r="G229">
        <v>16209</v>
      </c>
      <c r="H229">
        <v>11841</v>
      </c>
      <c r="I229">
        <v>9910</v>
      </c>
      <c r="J229">
        <v>9123</v>
      </c>
      <c r="K229">
        <v>13171</v>
      </c>
      <c r="L229">
        <v>0</v>
      </c>
      <c r="M229">
        <v>7586</v>
      </c>
      <c r="N229">
        <v>14690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v>6662</v>
      </c>
      <c r="F230">
        <v>6294</v>
      </c>
      <c r="G230">
        <v>4980</v>
      </c>
      <c r="H230">
        <v>6831</v>
      </c>
      <c r="I230">
        <v>7188</v>
      </c>
      <c r="J230">
        <v>6979</v>
      </c>
      <c r="K230">
        <v>6784</v>
      </c>
      <c r="L230">
        <v>0</v>
      </c>
      <c r="M230">
        <v>6223</v>
      </c>
      <c r="N230">
        <v>8064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v>110825</v>
      </c>
      <c r="F231">
        <v>100458</v>
      </c>
      <c r="G231">
        <v>100047</v>
      </c>
      <c r="H231">
        <v>89099</v>
      </c>
      <c r="I231">
        <v>96574</v>
      </c>
      <c r="J231">
        <v>110747</v>
      </c>
      <c r="K231">
        <v>94736</v>
      </c>
      <c r="L231">
        <v>2176</v>
      </c>
      <c r="M231">
        <v>53465</v>
      </c>
      <c r="N231">
        <v>55730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v>7003</v>
      </c>
      <c r="F232">
        <v>10524</v>
      </c>
      <c r="G232">
        <v>9399</v>
      </c>
      <c r="H232">
        <v>10632</v>
      </c>
      <c r="I232">
        <v>8359</v>
      </c>
      <c r="J232">
        <v>7040</v>
      </c>
      <c r="K232">
        <v>8250</v>
      </c>
      <c r="L232">
        <v>0</v>
      </c>
      <c r="M232">
        <v>5078</v>
      </c>
      <c r="N232">
        <v>7503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v>9206</v>
      </c>
      <c r="F233">
        <v>10306</v>
      </c>
      <c r="G233">
        <v>8801</v>
      </c>
      <c r="H233">
        <v>8590</v>
      </c>
      <c r="I233">
        <v>12795</v>
      </c>
      <c r="J233">
        <v>11180</v>
      </c>
      <c r="K233">
        <v>11018</v>
      </c>
      <c r="L233">
        <v>0</v>
      </c>
      <c r="M233">
        <v>6679</v>
      </c>
      <c r="N233">
        <v>10336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v>6465</v>
      </c>
      <c r="F234">
        <v>11092</v>
      </c>
      <c r="G234">
        <v>8563</v>
      </c>
      <c r="H234">
        <v>9929</v>
      </c>
      <c r="I234">
        <v>10650</v>
      </c>
      <c r="J234">
        <v>12437</v>
      </c>
      <c r="K234">
        <v>10693</v>
      </c>
      <c r="L234">
        <v>2500</v>
      </c>
      <c r="M234">
        <v>7751</v>
      </c>
      <c r="N234">
        <v>10342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v>14093</v>
      </c>
      <c r="F235">
        <v>7047</v>
      </c>
      <c r="G235">
        <v>7104</v>
      </c>
      <c r="H235">
        <v>5850</v>
      </c>
      <c r="I235">
        <v>11297</v>
      </c>
      <c r="J235">
        <v>6437</v>
      </c>
      <c r="K235">
        <v>8265</v>
      </c>
      <c r="L235">
        <v>0</v>
      </c>
      <c r="M235">
        <v>15679</v>
      </c>
      <c r="N235">
        <v>22355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v>6012</v>
      </c>
      <c r="F236">
        <v>5156</v>
      </c>
      <c r="G236">
        <v>8124</v>
      </c>
      <c r="H236">
        <v>9510</v>
      </c>
      <c r="I236">
        <v>12189</v>
      </c>
      <c r="J236">
        <v>12433</v>
      </c>
      <c r="K236">
        <v>13878</v>
      </c>
      <c r="L236">
        <v>0</v>
      </c>
      <c r="M236">
        <v>8504</v>
      </c>
      <c r="N236">
        <v>10401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v>15489</v>
      </c>
      <c r="F237">
        <v>7644</v>
      </c>
      <c r="G237">
        <v>12146</v>
      </c>
      <c r="H237">
        <v>8670</v>
      </c>
      <c r="I237">
        <v>8637</v>
      </c>
      <c r="J237">
        <v>9632</v>
      </c>
      <c r="K237">
        <v>14198</v>
      </c>
      <c r="L237">
        <v>0</v>
      </c>
      <c r="M237">
        <v>10163</v>
      </c>
      <c r="N237">
        <v>9096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v>7704</v>
      </c>
      <c r="F238">
        <v>6265</v>
      </c>
      <c r="G238">
        <v>6295</v>
      </c>
      <c r="H238">
        <v>8568</v>
      </c>
      <c r="I238">
        <v>10851</v>
      </c>
      <c r="J238">
        <v>10776</v>
      </c>
      <c r="K238">
        <v>10741</v>
      </c>
      <c r="L238">
        <v>2</v>
      </c>
      <c r="M238">
        <v>7909</v>
      </c>
      <c r="N238">
        <v>9796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v>7308</v>
      </c>
      <c r="F239">
        <v>4645</v>
      </c>
      <c r="G239">
        <v>6387</v>
      </c>
      <c r="H239">
        <v>8695</v>
      </c>
      <c r="I239">
        <v>6707</v>
      </c>
      <c r="J239">
        <v>9023</v>
      </c>
      <c r="K239">
        <v>7052</v>
      </c>
      <c r="L239">
        <v>0</v>
      </c>
      <c r="M239">
        <v>4219</v>
      </c>
      <c r="N239">
        <v>5868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v>29675</v>
      </c>
      <c r="F240">
        <v>36138</v>
      </c>
      <c r="G240">
        <v>34986</v>
      </c>
      <c r="H240">
        <v>29747</v>
      </c>
      <c r="I240">
        <v>28751</v>
      </c>
      <c r="J240">
        <v>32967</v>
      </c>
      <c r="K240">
        <v>33035</v>
      </c>
      <c r="L240">
        <v>168</v>
      </c>
      <c r="M240">
        <v>24876</v>
      </c>
      <c r="N240">
        <v>29794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v>7171</v>
      </c>
      <c r="F241">
        <v>5992</v>
      </c>
      <c r="G241">
        <v>5550</v>
      </c>
      <c r="H241">
        <v>6348</v>
      </c>
      <c r="I241">
        <v>2718</v>
      </c>
      <c r="J241">
        <v>4755</v>
      </c>
      <c r="K241">
        <v>4101</v>
      </c>
      <c r="L241">
        <v>105</v>
      </c>
      <c r="M241">
        <v>4372</v>
      </c>
      <c r="N241">
        <v>6749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v>3289</v>
      </c>
      <c r="F242">
        <v>3798</v>
      </c>
      <c r="G242">
        <v>4765</v>
      </c>
      <c r="H242">
        <v>4258</v>
      </c>
      <c r="I242">
        <v>3657</v>
      </c>
      <c r="J242">
        <v>5116</v>
      </c>
      <c r="K242">
        <v>4613</v>
      </c>
      <c r="L242">
        <v>0</v>
      </c>
      <c r="M242">
        <v>5444</v>
      </c>
      <c r="N242">
        <v>6962</v>
      </c>
    </row>
    <row r="243" spans="1:14" x14ac:dyDescent="0.2">
      <c r="A243" t="s">
        <v>520</v>
      </c>
      <c r="B243" t="s">
        <v>599</v>
      </c>
      <c r="C243">
        <v>215743</v>
      </c>
      <c r="D243">
        <v>11020</v>
      </c>
      <c r="E243">
        <v>8378</v>
      </c>
      <c r="F243">
        <v>6984</v>
      </c>
      <c r="G243">
        <v>7098</v>
      </c>
      <c r="H243">
        <v>7007</v>
      </c>
      <c r="I243">
        <v>9593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v>16427</v>
      </c>
      <c r="F244">
        <v>13060</v>
      </c>
      <c r="G244">
        <v>21622</v>
      </c>
      <c r="H244">
        <v>16167</v>
      </c>
      <c r="I244">
        <v>11424</v>
      </c>
      <c r="J244">
        <v>12780</v>
      </c>
      <c r="K244">
        <v>8491</v>
      </c>
      <c r="L244">
        <v>0</v>
      </c>
      <c r="M244">
        <v>4863</v>
      </c>
      <c r="N244">
        <v>7586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v>6516</v>
      </c>
      <c r="F245">
        <v>17145</v>
      </c>
      <c r="G245">
        <v>29208</v>
      </c>
      <c r="H245">
        <v>27186</v>
      </c>
      <c r="I245">
        <v>24204</v>
      </c>
      <c r="J245">
        <v>28840</v>
      </c>
      <c r="K245">
        <v>25842</v>
      </c>
      <c r="L245">
        <v>0</v>
      </c>
      <c r="M245">
        <v>6497</v>
      </c>
      <c r="N245">
        <v>16290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v>5867</v>
      </c>
      <c r="F246">
        <v>6867</v>
      </c>
      <c r="G246">
        <v>6264</v>
      </c>
      <c r="H246">
        <v>4771</v>
      </c>
      <c r="I246">
        <v>4691</v>
      </c>
      <c r="J246">
        <v>7020</v>
      </c>
      <c r="K246">
        <v>4698</v>
      </c>
      <c r="L246">
        <v>0</v>
      </c>
      <c r="M246">
        <v>4588</v>
      </c>
      <c r="N246">
        <v>7322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v>1661</v>
      </c>
      <c r="F247">
        <v>3118</v>
      </c>
      <c r="G247">
        <v>3569</v>
      </c>
      <c r="H247">
        <v>1576</v>
      </c>
      <c r="I247">
        <v>3586</v>
      </c>
      <c r="J247">
        <v>5012</v>
      </c>
      <c r="K247">
        <v>4304</v>
      </c>
      <c r="L247">
        <v>0</v>
      </c>
      <c r="M247">
        <v>3480</v>
      </c>
      <c r="N247">
        <v>3501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v>9659</v>
      </c>
      <c r="F248">
        <v>10750</v>
      </c>
      <c r="G248">
        <v>9475</v>
      </c>
      <c r="H248">
        <v>9939</v>
      </c>
      <c r="I248">
        <v>10469</v>
      </c>
      <c r="J248">
        <v>8759</v>
      </c>
      <c r="K248">
        <v>9291</v>
      </c>
      <c r="L248">
        <v>5486</v>
      </c>
      <c r="M248">
        <v>3785</v>
      </c>
      <c r="N248">
        <v>7356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v>6638</v>
      </c>
      <c r="F249">
        <v>5709</v>
      </c>
      <c r="G249">
        <v>5088</v>
      </c>
      <c r="H249">
        <v>6731</v>
      </c>
      <c r="I249">
        <v>4950</v>
      </c>
      <c r="J249">
        <v>3494</v>
      </c>
      <c r="K249">
        <v>3066</v>
      </c>
      <c r="L249">
        <v>2313</v>
      </c>
      <c r="M249">
        <v>3559</v>
      </c>
      <c r="N249">
        <v>4638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v>7987</v>
      </c>
      <c r="F250">
        <v>9184</v>
      </c>
      <c r="G250">
        <v>8554</v>
      </c>
      <c r="H250">
        <v>6010</v>
      </c>
      <c r="I250">
        <v>6029</v>
      </c>
      <c r="J250">
        <v>5824</v>
      </c>
      <c r="K250">
        <v>5831</v>
      </c>
      <c r="L250">
        <v>0</v>
      </c>
      <c r="M250">
        <v>2009</v>
      </c>
      <c r="N250">
        <v>9202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v>8907</v>
      </c>
      <c r="F251">
        <v>8462</v>
      </c>
      <c r="G251">
        <v>7789</v>
      </c>
      <c r="H251">
        <v>11976</v>
      </c>
      <c r="I251">
        <v>22069</v>
      </c>
      <c r="J251">
        <v>19113</v>
      </c>
      <c r="K251">
        <v>23458</v>
      </c>
      <c r="L251">
        <v>0</v>
      </c>
      <c r="M251">
        <v>9152</v>
      </c>
      <c r="N251">
        <v>19938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v>5228</v>
      </c>
      <c r="F252">
        <v>5182</v>
      </c>
      <c r="G252">
        <v>4842</v>
      </c>
      <c r="H252">
        <v>4368</v>
      </c>
      <c r="I252">
        <v>4969</v>
      </c>
      <c r="J252">
        <v>4684</v>
      </c>
      <c r="K252">
        <v>6544</v>
      </c>
      <c r="L252">
        <v>0</v>
      </c>
      <c r="M252">
        <v>3333</v>
      </c>
      <c r="N252">
        <v>8112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v>8410</v>
      </c>
      <c r="F253">
        <v>7097</v>
      </c>
      <c r="G253">
        <v>6756</v>
      </c>
      <c r="H253">
        <v>10677</v>
      </c>
      <c r="I253">
        <v>11745</v>
      </c>
      <c r="J253">
        <v>8136</v>
      </c>
      <c r="K253">
        <v>14414</v>
      </c>
      <c r="L253">
        <v>0</v>
      </c>
      <c r="M253">
        <v>5382</v>
      </c>
      <c r="N253">
        <v>6871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v>5471</v>
      </c>
      <c r="F254">
        <v>2306</v>
      </c>
      <c r="G254">
        <v>3978</v>
      </c>
      <c r="H254">
        <v>4083</v>
      </c>
      <c r="I254">
        <v>6614</v>
      </c>
      <c r="J254">
        <v>6143</v>
      </c>
      <c r="K254">
        <v>4601</v>
      </c>
      <c r="L254">
        <v>0</v>
      </c>
      <c r="M254">
        <v>3083</v>
      </c>
      <c r="N254">
        <v>5530</v>
      </c>
    </row>
    <row r="255" spans="1:14" x14ac:dyDescent="0.2">
      <c r="A255" t="s">
        <v>600</v>
      </c>
      <c r="B255" t="s">
        <v>600</v>
      </c>
      <c r="C255">
        <v>140960</v>
      </c>
      <c r="E255">
        <v>5356</v>
      </c>
      <c r="F255">
        <v>13779</v>
      </c>
      <c r="G255">
        <v>15108</v>
      </c>
      <c r="H255">
        <v>9637</v>
      </c>
      <c r="I255">
        <v>7924</v>
      </c>
      <c r="J255">
        <v>9143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E256">
        <v>5138</v>
      </c>
      <c r="F256">
        <v>5317</v>
      </c>
      <c r="G256">
        <v>6934</v>
      </c>
      <c r="H256">
        <v>4375</v>
      </c>
      <c r="I256">
        <v>6186</v>
      </c>
      <c r="J256">
        <v>5266</v>
      </c>
      <c r="K256">
        <v>5387</v>
      </c>
      <c r="L256">
        <v>0</v>
      </c>
      <c r="M256">
        <v>3807</v>
      </c>
      <c r="N256">
        <v>5014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E257">
        <v>10773</v>
      </c>
      <c r="F257">
        <v>13024</v>
      </c>
      <c r="G257">
        <v>15190</v>
      </c>
      <c r="H257">
        <v>14655</v>
      </c>
      <c r="I257">
        <v>16644</v>
      </c>
      <c r="J257">
        <v>13099</v>
      </c>
      <c r="K257">
        <v>14958</v>
      </c>
      <c r="L257">
        <v>0</v>
      </c>
      <c r="M257">
        <v>11789</v>
      </c>
      <c r="N257">
        <v>13957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E258">
        <v>22443</v>
      </c>
      <c r="F258">
        <v>19391</v>
      </c>
      <c r="G258">
        <v>20701</v>
      </c>
      <c r="H258">
        <v>19141</v>
      </c>
      <c r="I258">
        <v>27130</v>
      </c>
      <c r="J258">
        <v>29013</v>
      </c>
      <c r="K258">
        <v>20824</v>
      </c>
      <c r="L258">
        <v>5834</v>
      </c>
      <c r="M258">
        <v>16923</v>
      </c>
      <c r="N258">
        <v>23142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E259">
        <v>9324</v>
      </c>
      <c r="F259">
        <v>16122</v>
      </c>
      <c r="G259">
        <v>12002</v>
      </c>
      <c r="H259">
        <v>7439</v>
      </c>
      <c r="I259">
        <v>13624</v>
      </c>
      <c r="J259">
        <v>13667</v>
      </c>
      <c r="K259">
        <v>13403</v>
      </c>
      <c r="L259">
        <v>0</v>
      </c>
      <c r="M259">
        <v>4745</v>
      </c>
      <c r="N259">
        <v>10763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E260">
        <v>13535</v>
      </c>
      <c r="F260">
        <v>13265</v>
      </c>
      <c r="G260">
        <v>14531</v>
      </c>
      <c r="H260">
        <v>11911</v>
      </c>
      <c r="I260">
        <v>13334</v>
      </c>
      <c r="J260">
        <v>11608</v>
      </c>
      <c r="K260">
        <v>13283</v>
      </c>
      <c r="L260">
        <v>200</v>
      </c>
      <c r="M260">
        <v>4959</v>
      </c>
      <c r="N260">
        <v>6390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E261">
        <v>25688</v>
      </c>
      <c r="F261">
        <v>19319</v>
      </c>
      <c r="G261">
        <v>14173</v>
      </c>
      <c r="H261">
        <v>31571</v>
      </c>
      <c r="I261">
        <v>19474</v>
      </c>
      <c r="J261">
        <v>12411</v>
      </c>
      <c r="K261">
        <v>12464</v>
      </c>
      <c r="L261">
        <v>675</v>
      </c>
      <c r="M261">
        <v>7858</v>
      </c>
      <c r="N261">
        <v>10251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E262">
        <v>19401</v>
      </c>
      <c r="F262">
        <v>21500</v>
      </c>
      <c r="G262">
        <v>25654</v>
      </c>
      <c r="H262">
        <v>18166</v>
      </c>
      <c r="I262">
        <v>25582</v>
      </c>
      <c r="J262">
        <v>12161</v>
      </c>
      <c r="K262">
        <v>16140</v>
      </c>
      <c r="L262">
        <v>4238</v>
      </c>
      <c r="M262">
        <v>2537</v>
      </c>
      <c r="N262">
        <v>6675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E263">
        <v>101935</v>
      </c>
      <c r="F263">
        <v>196684</v>
      </c>
      <c r="G263">
        <v>244196</v>
      </c>
      <c r="H263">
        <v>196431</v>
      </c>
      <c r="I263">
        <v>225064</v>
      </c>
      <c r="J263">
        <v>176904</v>
      </c>
      <c r="K263">
        <v>183272</v>
      </c>
      <c r="L263">
        <v>38500</v>
      </c>
      <c r="M263">
        <v>196286</v>
      </c>
      <c r="N263">
        <v>220010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E264">
        <v>2260</v>
      </c>
      <c r="F264">
        <v>3351</v>
      </c>
      <c r="G264">
        <v>2543</v>
      </c>
      <c r="H264">
        <v>2466</v>
      </c>
      <c r="I264">
        <v>591</v>
      </c>
      <c r="J264">
        <v>860</v>
      </c>
      <c r="K264">
        <v>2179</v>
      </c>
      <c r="L264">
        <v>175</v>
      </c>
      <c r="M264">
        <v>2182</v>
      </c>
      <c r="N264">
        <v>4013</v>
      </c>
    </row>
    <row r="265" spans="1:14" x14ac:dyDescent="0.2">
      <c r="A265" t="s">
        <v>201</v>
      </c>
      <c r="B265" t="s">
        <v>201</v>
      </c>
      <c r="C265">
        <v>219471</v>
      </c>
      <c r="D265">
        <v>46820</v>
      </c>
      <c r="E265">
        <v>18171</v>
      </c>
      <c r="F265">
        <v>23526</v>
      </c>
      <c r="G265">
        <v>41991</v>
      </c>
      <c r="H265">
        <v>25636</v>
      </c>
      <c r="I265">
        <v>41854</v>
      </c>
      <c r="J265">
        <v>31746</v>
      </c>
      <c r="K265">
        <v>35085</v>
      </c>
      <c r="L265">
        <v>4960</v>
      </c>
      <c r="M265">
        <v>27756</v>
      </c>
      <c r="N265">
        <v>26624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E266">
        <v>36464</v>
      </c>
      <c r="F266">
        <v>29413</v>
      </c>
      <c r="G266">
        <v>35716</v>
      </c>
      <c r="H266">
        <v>28622</v>
      </c>
      <c r="I266">
        <v>30395</v>
      </c>
      <c r="J266">
        <v>29481</v>
      </c>
      <c r="K266">
        <v>25469</v>
      </c>
      <c r="L266">
        <v>7707</v>
      </c>
      <c r="M266">
        <v>45028</v>
      </c>
      <c r="N266">
        <v>23931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E267">
        <v>33423</v>
      </c>
      <c r="F267">
        <v>38583</v>
      </c>
      <c r="G267">
        <v>38839</v>
      </c>
      <c r="H267">
        <v>31691</v>
      </c>
      <c r="I267">
        <v>37549</v>
      </c>
      <c r="J267">
        <v>49389</v>
      </c>
      <c r="K267">
        <v>48028</v>
      </c>
      <c r="L267">
        <v>2281</v>
      </c>
      <c r="M267">
        <v>24258</v>
      </c>
      <c r="N267">
        <v>45151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E268">
        <v>6846</v>
      </c>
      <c r="F268">
        <v>11136</v>
      </c>
      <c r="G268">
        <v>12109</v>
      </c>
      <c r="H268">
        <v>15127</v>
      </c>
      <c r="I268">
        <v>9915</v>
      </c>
      <c r="J268">
        <v>8634</v>
      </c>
      <c r="K268">
        <v>10307</v>
      </c>
      <c r="L268">
        <v>5214</v>
      </c>
      <c r="M268">
        <v>5112</v>
      </c>
      <c r="N268">
        <v>9182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E269">
        <v>3995</v>
      </c>
      <c r="F269">
        <v>6269</v>
      </c>
      <c r="G269">
        <v>7081</v>
      </c>
      <c r="H269">
        <v>7916</v>
      </c>
      <c r="I269">
        <v>6498</v>
      </c>
      <c r="J269">
        <v>7290</v>
      </c>
      <c r="K269">
        <v>6632</v>
      </c>
      <c r="L269">
        <v>2789</v>
      </c>
      <c r="M269">
        <v>4956</v>
      </c>
      <c r="N269">
        <v>5280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E270">
        <v>14137</v>
      </c>
      <c r="F270">
        <v>11644</v>
      </c>
      <c r="G270">
        <v>15088</v>
      </c>
      <c r="H270">
        <v>13840</v>
      </c>
      <c r="I270">
        <v>11284</v>
      </c>
      <c r="J270">
        <v>10499</v>
      </c>
      <c r="K270">
        <v>15759</v>
      </c>
      <c r="L270">
        <v>0</v>
      </c>
      <c r="M270">
        <v>11095</v>
      </c>
      <c r="N270">
        <v>17622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E271">
        <v>6715</v>
      </c>
      <c r="F271">
        <v>11199</v>
      </c>
      <c r="G271">
        <v>9921</v>
      </c>
      <c r="H271">
        <v>9093</v>
      </c>
      <c r="I271">
        <v>10403</v>
      </c>
      <c r="J271">
        <v>8427</v>
      </c>
      <c r="K271">
        <v>9354</v>
      </c>
      <c r="L271">
        <v>50</v>
      </c>
      <c r="M271">
        <v>4694</v>
      </c>
      <c r="N271">
        <v>10275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E272">
        <v>22359</v>
      </c>
      <c r="F272">
        <v>34113</v>
      </c>
      <c r="G272">
        <v>23156</v>
      </c>
      <c r="H272">
        <v>24108</v>
      </c>
      <c r="I272">
        <v>21477</v>
      </c>
      <c r="J272">
        <v>30814</v>
      </c>
      <c r="K272">
        <v>24457</v>
      </c>
      <c r="L272">
        <v>8400</v>
      </c>
      <c r="M272">
        <v>21308</v>
      </c>
      <c r="N272">
        <v>26997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E273">
        <v>8331</v>
      </c>
      <c r="F273">
        <v>6044</v>
      </c>
      <c r="G273">
        <v>10326</v>
      </c>
      <c r="H273">
        <v>5952</v>
      </c>
      <c r="I273">
        <v>8152</v>
      </c>
      <c r="J273">
        <v>11927</v>
      </c>
      <c r="K273">
        <v>29862</v>
      </c>
      <c r="L273">
        <v>5376</v>
      </c>
      <c r="M273">
        <v>21857</v>
      </c>
      <c r="N273">
        <v>28031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E274">
        <v>8728</v>
      </c>
      <c r="F274">
        <v>9265</v>
      </c>
      <c r="G274">
        <v>7502</v>
      </c>
      <c r="H274">
        <v>8744</v>
      </c>
      <c r="I274">
        <v>10255</v>
      </c>
      <c r="J274">
        <v>10228</v>
      </c>
      <c r="K274">
        <v>13441</v>
      </c>
      <c r="L274">
        <v>1728</v>
      </c>
      <c r="M274">
        <v>6494</v>
      </c>
      <c r="N274">
        <v>8200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E275">
        <v>9072</v>
      </c>
      <c r="F275">
        <v>8907</v>
      </c>
      <c r="G275">
        <v>14581</v>
      </c>
      <c r="H275">
        <v>10224</v>
      </c>
      <c r="I275">
        <v>13301</v>
      </c>
      <c r="J275">
        <v>7776</v>
      </c>
      <c r="K275">
        <v>6980</v>
      </c>
      <c r="L275">
        <v>4</v>
      </c>
      <c r="M275">
        <v>3147</v>
      </c>
      <c r="N275">
        <v>2750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E276">
        <v>2668</v>
      </c>
      <c r="F276">
        <v>2580</v>
      </c>
      <c r="G276">
        <v>3060</v>
      </c>
      <c r="H276">
        <v>4112</v>
      </c>
      <c r="I276">
        <v>2644</v>
      </c>
      <c r="J276">
        <v>4209</v>
      </c>
      <c r="K276">
        <v>3617</v>
      </c>
      <c r="L276">
        <v>0</v>
      </c>
      <c r="M276">
        <v>2452</v>
      </c>
      <c r="N276">
        <v>1981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E277">
        <v>16987</v>
      </c>
      <c r="F277">
        <v>17952</v>
      </c>
      <c r="G277">
        <v>25895</v>
      </c>
      <c r="H277">
        <v>25249</v>
      </c>
      <c r="I277">
        <v>20329</v>
      </c>
      <c r="J277">
        <v>33093</v>
      </c>
      <c r="K277">
        <v>17215</v>
      </c>
      <c r="L277">
        <v>0</v>
      </c>
      <c r="M277">
        <v>4284</v>
      </c>
      <c r="N277">
        <v>9900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E278">
        <v>55409</v>
      </c>
      <c r="F278">
        <v>60763</v>
      </c>
      <c r="G278">
        <v>54521</v>
      </c>
      <c r="H278">
        <v>47400</v>
      </c>
      <c r="I278">
        <v>45837</v>
      </c>
      <c r="J278">
        <v>49009</v>
      </c>
      <c r="K278">
        <v>56258</v>
      </c>
      <c r="L278">
        <v>5</v>
      </c>
      <c r="M278">
        <v>43267</v>
      </c>
      <c r="N278">
        <v>78007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E279">
        <v>9403</v>
      </c>
      <c r="F279">
        <v>10473</v>
      </c>
      <c r="G279">
        <v>8988</v>
      </c>
      <c r="H279">
        <v>12248</v>
      </c>
      <c r="I279">
        <v>7098</v>
      </c>
      <c r="J279">
        <v>5417</v>
      </c>
      <c r="K279">
        <v>4294</v>
      </c>
      <c r="L279">
        <v>400</v>
      </c>
      <c r="M279">
        <v>3230</v>
      </c>
      <c r="N279">
        <v>5008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E280">
        <v>7365</v>
      </c>
      <c r="F280">
        <v>11593</v>
      </c>
      <c r="G280">
        <v>11490</v>
      </c>
      <c r="H280">
        <v>13401</v>
      </c>
      <c r="I280">
        <v>8712</v>
      </c>
      <c r="J280">
        <v>12336</v>
      </c>
      <c r="K280">
        <v>14184</v>
      </c>
      <c r="L280">
        <v>0</v>
      </c>
      <c r="M280">
        <v>9639</v>
      </c>
      <c r="N280">
        <v>10193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E281">
        <v>8979</v>
      </c>
      <c r="F281">
        <v>10644</v>
      </c>
      <c r="G281">
        <v>18318</v>
      </c>
      <c r="H281">
        <v>29398</v>
      </c>
      <c r="I281">
        <v>35262</v>
      </c>
      <c r="J281">
        <v>39099</v>
      </c>
      <c r="K281">
        <v>29653</v>
      </c>
      <c r="L281">
        <v>0</v>
      </c>
      <c r="M281">
        <v>17807</v>
      </c>
      <c r="N281">
        <v>43234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E282">
        <v>37233</v>
      </c>
      <c r="F282">
        <v>25476</v>
      </c>
      <c r="G282">
        <v>38142</v>
      </c>
      <c r="H282">
        <v>38204</v>
      </c>
      <c r="I282">
        <v>37578</v>
      </c>
      <c r="J282">
        <v>43240</v>
      </c>
      <c r="K282">
        <v>38543</v>
      </c>
      <c r="L282">
        <v>12823</v>
      </c>
      <c r="M282">
        <v>25791</v>
      </c>
      <c r="N282">
        <v>30828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E283">
        <v>14372</v>
      </c>
      <c r="F283">
        <v>22052</v>
      </c>
      <c r="G283">
        <v>23494</v>
      </c>
      <c r="H283">
        <v>19582</v>
      </c>
      <c r="I283">
        <v>27493</v>
      </c>
      <c r="J283">
        <v>16185</v>
      </c>
      <c r="K283">
        <v>23217</v>
      </c>
      <c r="L283">
        <v>0</v>
      </c>
      <c r="M283">
        <v>18870</v>
      </c>
      <c r="N283">
        <v>27505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E284">
        <v>198692</v>
      </c>
      <c r="F284">
        <v>186754</v>
      </c>
      <c r="G284">
        <v>177004</v>
      </c>
      <c r="H284">
        <v>146948</v>
      </c>
      <c r="I284">
        <v>149232</v>
      </c>
      <c r="J284">
        <v>136471</v>
      </c>
      <c r="K284">
        <v>138324</v>
      </c>
      <c r="L284">
        <v>31425</v>
      </c>
      <c r="M284">
        <v>134587</v>
      </c>
      <c r="N284">
        <v>163003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E285">
        <v>15404</v>
      </c>
      <c r="F285">
        <v>10161</v>
      </c>
      <c r="G285">
        <v>10474</v>
      </c>
      <c r="H285">
        <v>12282</v>
      </c>
      <c r="I285">
        <v>13791</v>
      </c>
      <c r="J285">
        <v>9275</v>
      </c>
      <c r="K285">
        <v>12718</v>
      </c>
      <c r="L285">
        <v>2001</v>
      </c>
      <c r="M285">
        <v>4121</v>
      </c>
      <c r="N285">
        <v>14561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E286">
        <v>14943</v>
      </c>
      <c r="F286">
        <v>14081</v>
      </c>
      <c r="G286">
        <v>18369</v>
      </c>
      <c r="H286">
        <v>14110</v>
      </c>
      <c r="I286">
        <v>20766</v>
      </c>
      <c r="J286">
        <v>27260</v>
      </c>
      <c r="K286">
        <v>19932</v>
      </c>
      <c r="L286">
        <v>6211</v>
      </c>
      <c r="M286">
        <v>16670</v>
      </c>
      <c r="N286">
        <v>17665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E287">
        <v>54119</v>
      </c>
      <c r="F287">
        <v>57549</v>
      </c>
      <c r="G287">
        <v>66605</v>
      </c>
      <c r="H287">
        <v>68635</v>
      </c>
      <c r="I287">
        <v>83444</v>
      </c>
      <c r="J287">
        <v>64567</v>
      </c>
      <c r="K287">
        <v>58213</v>
      </c>
      <c r="L287">
        <v>9995</v>
      </c>
      <c r="M287">
        <v>61488</v>
      </c>
      <c r="N287">
        <v>104288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E288">
        <v>93716</v>
      </c>
      <c r="F288">
        <v>75511</v>
      </c>
      <c r="G288">
        <v>82734</v>
      </c>
      <c r="H288">
        <v>63930</v>
      </c>
      <c r="I288">
        <v>79203</v>
      </c>
      <c r="J288">
        <v>72388</v>
      </c>
      <c r="K288">
        <v>60774</v>
      </c>
      <c r="L288">
        <v>10858</v>
      </c>
      <c r="M288">
        <v>62601</v>
      </c>
      <c r="N288">
        <v>50921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E289">
        <v>12305</v>
      </c>
      <c r="F289">
        <v>13065</v>
      </c>
      <c r="G289">
        <v>11873</v>
      </c>
      <c r="H289">
        <v>11754</v>
      </c>
      <c r="I289">
        <v>12590</v>
      </c>
      <c r="J289">
        <v>7675</v>
      </c>
      <c r="K289">
        <v>12038</v>
      </c>
      <c r="L289">
        <v>1893</v>
      </c>
      <c r="M289">
        <v>14671</v>
      </c>
      <c r="N289">
        <v>11996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E290">
        <v>12949</v>
      </c>
      <c r="F290">
        <v>23091</v>
      </c>
      <c r="G290">
        <v>27010</v>
      </c>
      <c r="H290">
        <v>26106</v>
      </c>
      <c r="I290">
        <v>24913</v>
      </c>
      <c r="J290">
        <v>18056</v>
      </c>
      <c r="K290">
        <v>21884</v>
      </c>
      <c r="L290">
        <v>3792</v>
      </c>
      <c r="M290">
        <v>12252</v>
      </c>
      <c r="N290">
        <v>15530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E291">
        <v>66047</v>
      </c>
      <c r="F291">
        <v>72268</v>
      </c>
      <c r="G291">
        <v>61833</v>
      </c>
      <c r="H291">
        <v>71183</v>
      </c>
      <c r="I291">
        <v>71711</v>
      </c>
      <c r="J291">
        <v>64136</v>
      </c>
      <c r="K291">
        <v>77721</v>
      </c>
      <c r="L291">
        <v>35544</v>
      </c>
      <c r="M291">
        <v>64283</v>
      </c>
      <c r="N291">
        <v>103389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E293">
        <v>62910</v>
      </c>
      <c r="F293">
        <v>58182</v>
      </c>
      <c r="G293">
        <v>52653</v>
      </c>
      <c r="H293">
        <v>59899</v>
      </c>
      <c r="I293">
        <v>54722</v>
      </c>
      <c r="J293">
        <v>63377</v>
      </c>
      <c r="K293">
        <v>53819</v>
      </c>
      <c r="L293">
        <v>0</v>
      </c>
      <c r="M293">
        <v>53618</v>
      </c>
      <c r="N293">
        <v>62664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E294">
        <v>8658</v>
      </c>
      <c r="F294">
        <v>5919</v>
      </c>
      <c r="G294">
        <v>9428</v>
      </c>
      <c r="H294">
        <v>5953</v>
      </c>
      <c r="I294">
        <v>7829</v>
      </c>
      <c r="J294">
        <v>9822</v>
      </c>
      <c r="K294">
        <v>7628</v>
      </c>
      <c r="L294">
        <v>0</v>
      </c>
      <c r="M294">
        <v>8286</v>
      </c>
      <c r="N294">
        <v>12728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E295">
        <v>10014</v>
      </c>
      <c r="F295">
        <v>9228</v>
      </c>
      <c r="G295">
        <v>9701</v>
      </c>
      <c r="H295">
        <v>9654</v>
      </c>
      <c r="I295">
        <v>12913</v>
      </c>
      <c r="J295">
        <v>21529</v>
      </c>
      <c r="K295">
        <v>21604</v>
      </c>
      <c r="L295">
        <v>10187</v>
      </c>
      <c r="M295">
        <v>23352</v>
      </c>
      <c r="N295">
        <v>26857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E296">
        <v>15013</v>
      </c>
      <c r="F296">
        <v>16841</v>
      </c>
      <c r="G296">
        <v>20016</v>
      </c>
      <c r="H296">
        <v>16737</v>
      </c>
      <c r="I296">
        <v>12103</v>
      </c>
      <c r="J296">
        <v>13737</v>
      </c>
      <c r="K296">
        <v>11173</v>
      </c>
      <c r="L296">
        <v>310</v>
      </c>
      <c r="M296">
        <v>9308</v>
      </c>
      <c r="N296">
        <v>10493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E297">
        <v>9318</v>
      </c>
      <c r="F297">
        <v>15645</v>
      </c>
      <c r="G297">
        <v>9950</v>
      </c>
      <c r="H297">
        <v>5808</v>
      </c>
      <c r="I297">
        <v>4833</v>
      </c>
      <c r="J297">
        <v>15114</v>
      </c>
      <c r="K297">
        <v>13765</v>
      </c>
      <c r="L297">
        <v>700</v>
      </c>
      <c r="M297">
        <v>15561</v>
      </c>
      <c r="N297">
        <v>19386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E298">
        <v>5484</v>
      </c>
      <c r="F298">
        <v>6940</v>
      </c>
      <c r="G298">
        <v>5418</v>
      </c>
      <c r="H298">
        <v>5296</v>
      </c>
      <c r="I298">
        <v>8350</v>
      </c>
      <c r="J298">
        <v>7236</v>
      </c>
      <c r="K298">
        <v>9073</v>
      </c>
      <c r="L298">
        <v>2526</v>
      </c>
      <c r="M298">
        <v>4053</v>
      </c>
      <c r="N298">
        <v>6095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E299">
        <v>19662</v>
      </c>
      <c r="F299">
        <v>15561</v>
      </c>
      <c r="G299">
        <v>16777</v>
      </c>
      <c r="H299">
        <v>20330</v>
      </c>
      <c r="I299">
        <v>14826</v>
      </c>
      <c r="J299">
        <v>14896</v>
      </c>
      <c r="K299">
        <v>16993</v>
      </c>
      <c r="L299">
        <v>0</v>
      </c>
      <c r="M299">
        <v>15385</v>
      </c>
      <c r="N299">
        <v>10410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E300">
        <v>9324</v>
      </c>
      <c r="F300">
        <v>14683</v>
      </c>
      <c r="G300">
        <v>13118</v>
      </c>
      <c r="H300">
        <v>19236</v>
      </c>
      <c r="I300">
        <v>18010</v>
      </c>
      <c r="J300">
        <v>13356</v>
      </c>
      <c r="K300">
        <v>12252</v>
      </c>
      <c r="L300">
        <v>0</v>
      </c>
      <c r="M300">
        <v>6775</v>
      </c>
      <c r="N300">
        <v>7017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E301">
        <v>7383</v>
      </c>
      <c r="F301">
        <v>3226</v>
      </c>
      <c r="G301">
        <v>3236</v>
      </c>
      <c r="H301">
        <v>4241</v>
      </c>
      <c r="I301">
        <v>5487</v>
      </c>
      <c r="J301">
        <v>5559</v>
      </c>
      <c r="K301">
        <v>4791</v>
      </c>
      <c r="L301">
        <v>0</v>
      </c>
      <c r="M301">
        <v>5031</v>
      </c>
      <c r="N301">
        <v>8950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E302">
        <v>2789</v>
      </c>
      <c r="F302">
        <v>3781</v>
      </c>
      <c r="G302">
        <v>4150</v>
      </c>
      <c r="H302">
        <v>3181</v>
      </c>
      <c r="I302">
        <v>4979</v>
      </c>
      <c r="J302">
        <v>2185</v>
      </c>
      <c r="K302">
        <v>3834</v>
      </c>
      <c r="L302">
        <v>0</v>
      </c>
      <c r="M302">
        <v>1057</v>
      </c>
      <c r="N302">
        <v>2132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E303">
        <v>6404</v>
      </c>
      <c r="F303">
        <v>5155</v>
      </c>
      <c r="G303">
        <v>6221</v>
      </c>
      <c r="H303">
        <v>8744</v>
      </c>
      <c r="I303">
        <v>6448</v>
      </c>
      <c r="J303">
        <v>4754</v>
      </c>
      <c r="K303">
        <v>4685</v>
      </c>
      <c r="L303">
        <v>0</v>
      </c>
      <c r="M303">
        <v>2911</v>
      </c>
      <c r="N303">
        <v>5983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E304">
        <v>11518</v>
      </c>
      <c r="F304">
        <v>19734</v>
      </c>
      <c r="G304">
        <v>10085</v>
      </c>
      <c r="H304">
        <v>40790</v>
      </c>
      <c r="I304">
        <v>46753</v>
      </c>
      <c r="J304">
        <v>31686</v>
      </c>
      <c r="K304">
        <v>56639</v>
      </c>
      <c r="L304">
        <v>8675</v>
      </c>
      <c r="M304">
        <v>30497</v>
      </c>
      <c r="N304">
        <v>32706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E305">
        <v>27550</v>
      </c>
      <c r="F305">
        <v>31921</v>
      </c>
      <c r="G305">
        <v>37201</v>
      </c>
      <c r="H305">
        <v>36213</v>
      </c>
      <c r="I305">
        <v>55238</v>
      </c>
      <c r="J305">
        <v>45417</v>
      </c>
      <c r="K305">
        <v>44098</v>
      </c>
      <c r="L305">
        <v>0</v>
      </c>
      <c r="M305">
        <v>15441</v>
      </c>
      <c r="N305">
        <v>67551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E306">
        <v>149625</v>
      </c>
      <c r="F306">
        <v>123247</v>
      </c>
      <c r="G306">
        <v>133806</v>
      </c>
      <c r="H306">
        <v>142213</v>
      </c>
      <c r="I306">
        <v>140368</v>
      </c>
      <c r="J306">
        <v>124177</v>
      </c>
      <c r="K306">
        <v>133371</v>
      </c>
      <c r="L306">
        <v>0</v>
      </c>
      <c r="M306">
        <v>124494</v>
      </c>
      <c r="N306">
        <v>174333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E307">
        <v>8812</v>
      </c>
      <c r="F307">
        <v>6642</v>
      </c>
      <c r="G307">
        <v>5239</v>
      </c>
      <c r="H307">
        <v>6211</v>
      </c>
      <c r="I307">
        <v>5153</v>
      </c>
      <c r="J307">
        <v>6144</v>
      </c>
      <c r="K307">
        <v>9490</v>
      </c>
      <c r="L307">
        <v>0</v>
      </c>
      <c r="M307">
        <v>5265</v>
      </c>
      <c r="N307">
        <v>13635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E308">
        <v>3798</v>
      </c>
      <c r="F308">
        <v>5986</v>
      </c>
      <c r="G308">
        <v>6619</v>
      </c>
      <c r="H308">
        <v>10772</v>
      </c>
      <c r="I308">
        <v>9777</v>
      </c>
      <c r="J308">
        <v>5846</v>
      </c>
      <c r="K308">
        <v>5440</v>
      </c>
      <c r="L308">
        <v>1063</v>
      </c>
      <c r="M308">
        <v>1894</v>
      </c>
      <c r="N308">
        <v>3993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E309">
        <v>14264</v>
      </c>
      <c r="F309">
        <v>24290</v>
      </c>
      <c r="G309">
        <v>32436</v>
      </c>
      <c r="H309">
        <v>15451</v>
      </c>
      <c r="I309">
        <v>19865</v>
      </c>
      <c r="J309">
        <v>14125</v>
      </c>
      <c r="K309">
        <v>13342</v>
      </c>
      <c r="L309">
        <v>8067</v>
      </c>
      <c r="M309">
        <v>10642</v>
      </c>
      <c r="N309">
        <v>18404</v>
      </c>
    </row>
    <row r="310" spans="1:14" x14ac:dyDescent="0.2">
      <c r="A310" t="s">
        <v>569</v>
      </c>
      <c r="B310" t="s">
        <v>569</v>
      </c>
      <c r="C310">
        <v>166513</v>
      </c>
      <c r="D310">
        <v>31700</v>
      </c>
      <c r="E310">
        <v>7968</v>
      </c>
      <c r="F310">
        <v>10578</v>
      </c>
      <c r="G310">
        <v>9624</v>
      </c>
      <c r="H310">
        <v>11292</v>
      </c>
      <c r="I310">
        <v>12452</v>
      </c>
      <c r="J310">
        <v>15202</v>
      </c>
      <c r="K310">
        <v>9761</v>
      </c>
      <c r="L310">
        <v>0</v>
      </c>
      <c r="M310">
        <v>5208</v>
      </c>
      <c r="N310">
        <v>8436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E311">
        <v>9526</v>
      </c>
      <c r="F311">
        <v>5387</v>
      </c>
      <c r="G311">
        <v>9032</v>
      </c>
      <c r="H311">
        <v>8557</v>
      </c>
      <c r="I311">
        <v>6402</v>
      </c>
      <c r="J311">
        <v>8465</v>
      </c>
      <c r="K311">
        <v>5415</v>
      </c>
      <c r="L311">
        <v>0</v>
      </c>
      <c r="M311">
        <v>4495</v>
      </c>
      <c r="N311">
        <v>8625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E312">
        <v>17041</v>
      </c>
      <c r="F312">
        <v>12649</v>
      </c>
      <c r="G312">
        <v>10454</v>
      </c>
      <c r="H312">
        <v>10977</v>
      </c>
      <c r="I312">
        <v>9768</v>
      </c>
      <c r="J312">
        <v>10558</v>
      </c>
      <c r="K312">
        <v>5955</v>
      </c>
      <c r="L312">
        <v>0</v>
      </c>
      <c r="M312">
        <v>4406</v>
      </c>
      <c r="N312">
        <v>4246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E313">
        <v>8346</v>
      </c>
      <c r="F313">
        <v>9357</v>
      </c>
      <c r="G313">
        <v>20813</v>
      </c>
      <c r="H313">
        <v>15524</v>
      </c>
      <c r="I313">
        <v>20465</v>
      </c>
      <c r="J313">
        <v>22529</v>
      </c>
      <c r="K313">
        <v>19162</v>
      </c>
      <c r="L313">
        <v>22</v>
      </c>
      <c r="M313">
        <v>3571</v>
      </c>
      <c r="N313">
        <v>7778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E314">
        <v>5782</v>
      </c>
      <c r="F314">
        <v>3237</v>
      </c>
      <c r="G314">
        <v>5547</v>
      </c>
      <c r="H314">
        <v>8212</v>
      </c>
      <c r="I314">
        <v>7109</v>
      </c>
      <c r="J314">
        <v>6140</v>
      </c>
      <c r="K314">
        <v>6487</v>
      </c>
      <c r="L314">
        <v>540</v>
      </c>
      <c r="M314">
        <v>3409</v>
      </c>
      <c r="N314">
        <v>5537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E315">
        <v>10660</v>
      </c>
      <c r="F315">
        <v>16065</v>
      </c>
      <c r="G315">
        <v>13815</v>
      </c>
      <c r="H315">
        <v>14354</v>
      </c>
      <c r="I315">
        <v>11304</v>
      </c>
      <c r="J315">
        <v>14801</v>
      </c>
      <c r="K315">
        <v>13794</v>
      </c>
      <c r="L315">
        <v>425</v>
      </c>
      <c r="M315">
        <v>6098</v>
      </c>
      <c r="N315">
        <v>11032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E316">
        <v>31243</v>
      </c>
      <c r="F316">
        <v>30183</v>
      </c>
      <c r="G316">
        <v>22504</v>
      </c>
      <c r="H316">
        <v>20562</v>
      </c>
      <c r="I316">
        <v>22265</v>
      </c>
      <c r="J316">
        <v>18142</v>
      </c>
      <c r="K316">
        <v>21287</v>
      </c>
      <c r="L316">
        <v>4833</v>
      </c>
      <c r="M316">
        <v>14741</v>
      </c>
      <c r="N316">
        <v>32496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E317">
        <v>19299</v>
      </c>
      <c r="F317">
        <v>14782</v>
      </c>
      <c r="G317">
        <v>22033</v>
      </c>
      <c r="H317">
        <v>20394</v>
      </c>
      <c r="I317">
        <v>15747</v>
      </c>
      <c r="J317">
        <v>20308</v>
      </c>
      <c r="K317">
        <v>16174</v>
      </c>
      <c r="L317">
        <v>223</v>
      </c>
      <c r="M317">
        <v>31078</v>
      </c>
      <c r="N317">
        <v>85528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E318">
        <v>4239</v>
      </c>
      <c r="F318">
        <v>3825</v>
      </c>
      <c r="G318">
        <v>3348</v>
      </c>
      <c r="H318">
        <v>4633</v>
      </c>
      <c r="I318">
        <v>3659</v>
      </c>
      <c r="J318">
        <v>3947</v>
      </c>
      <c r="K318">
        <v>6167</v>
      </c>
      <c r="L318">
        <v>1143</v>
      </c>
      <c r="M318">
        <v>4747</v>
      </c>
      <c r="N318">
        <v>3991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E319">
        <v>17940</v>
      </c>
      <c r="F319">
        <v>15462</v>
      </c>
      <c r="G319">
        <v>33221</v>
      </c>
      <c r="H319">
        <v>23191</v>
      </c>
      <c r="I319">
        <v>30491</v>
      </c>
      <c r="J319">
        <v>20190</v>
      </c>
      <c r="K319">
        <v>22403</v>
      </c>
      <c r="L319">
        <v>5616</v>
      </c>
      <c r="M319">
        <v>14451</v>
      </c>
      <c r="N319">
        <v>12354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E320">
        <v>29682</v>
      </c>
      <c r="F320">
        <v>27012</v>
      </c>
      <c r="G320">
        <v>21951</v>
      </c>
      <c r="H320">
        <v>27585</v>
      </c>
      <c r="I320">
        <v>24986</v>
      </c>
      <c r="J320">
        <v>24828</v>
      </c>
      <c r="K320">
        <v>24743</v>
      </c>
      <c r="L320">
        <v>3135</v>
      </c>
      <c r="M320">
        <v>13063</v>
      </c>
      <c r="N320">
        <v>15802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E321">
        <v>13289</v>
      </c>
      <c r="F321">
        <v>11885</v>
      </c>
      <c r="G321">
        <v>17730</v>
      </c>
      <c r="H321">
        <v>26171</v>
      </c>
      <c r="I321">
        <v>28989</v>
      </c>
      <c r="J321">
        <v>45618</v>
      </c>
      <c r="K321">
        <v>40698</v>
      </c>
      <c r="L321">
        <v>0</v>
      </c>
      <c r="M321">
        <v>29728</v>
      </c>
      <c r="N321">
        <v>58042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E322">
        <v>9651</v>
      </c>
      <c r="F322">
        <v>6444</v>
      </c>
      <c r="G322">
        <v>8613</v>
      </c>
      <c r="H322">
        <v>10745</v>
      </c>
      <c r="I322">
        <v>8249</v>
      </c>
      <c r="J322">
        <v>9475</v>
      </c>
      <c r="K322">
        <v>7951</v>
      </c>
      <c r="L322">
        <v>3398</v>
      </c>
      <c r="M322">
        <v>8923</v>
      </c>
      <c r="N322">
        <v>7009</v>
      </c>
    </row>
    <row r="323" spans="1:14" x14ac:dyDescent="0.2">
      <c r="A323" t="s">
        <v>236</v>
      </c>
      <c r="B323" t="s">
        <v>236</v>
      </c>
      <c r="C323">
        <v>230737</v>
      </c>
      <c r="D323">
        <v>39340</v>
      </c>
      <c r="E323">
        <v>3306</v>
      </c>
      <c r="F323">
        <v>4353</v>
      </c>
      <c r="G323">
        <v>4787</v>
      </c>
      <c r="H323">
        <v>5305</v>
      </c>
      <c r="I323">
        <v>7852</v>
      </c>
      <c r="J323">
        <v>9364</v>
      </c>
      <c r="K323">
        <v>7040</v>
      </c>
      <c r="L323">
        <v>720</v>
      </c>
      <c r="M323">
        <v>8774</v>
      </c>
      <c r="N323">
        <v>4826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E324">
        <v>94832</v>
      </c>
      <c r="F324">
        <v>27347</v>
      </c>
      <c r="G324">
        <v>53929</v>
      </c>
      <c r="H324">
        <v>22628</v>
      </c>
      <c r="I324">
        <v>10375</v>
      </c>
      <c r="J324">
        <v>7512</v>
      </c>
      <c r="K324">
        <v>15749</v>
      </c>
      <c r="L324">
        <v>2213</v>
      </c>
      <c r="M324">
        <v>12600</v>
      </c>
      <c r="N324">
        <v>13971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E325">
        <v>6243</v>
      </c>
      <c r="F325">
        <v>7262</v>
      </c>
      <c r="G325">
        <v>8744</v>
      </c>
      <c r="H325">
        <v>12080</v>
      </c>
      <c r="I325">
        <v>6894</v>
      </c>
      <c r="J325">
        <v>9275</v>
      </c>
      <c r="K325">
        <v>10772</v>
      </c>
      <c r="L325">
        <v>883</v>
      </c>
      <c r="M325">
        <v>8169</v>
      </c>
      <c r="N325">
        <v>11096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E326">
        <v>7812</v>
      </c>
      <c r="F326">
        <v>7799</v>
      </c>
      <c r="G326">
        <v>6379</v>
      </c>
      <c r="H326">
        <v>7131</v>
      </c>
      <c r="I326">
        <v>6369</v>
      </c>
      <c r="J326">
        <v>7950</v>
      </c>
      <c r="K326">
        <v>6429</v>
      </c>
      <c r="L326">
        <v>1609</v>
      </c>
      <c r="M326">
        <v>5892</v>
      </c>
      <c r="N326">
        <v>9551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E327">
        <v>4911</v>
      </c>
      <c r="F327">
        <v>6700</v>
      </c>
      <c r="G327">
        <v>7096</v>
      </c>
      <c r="H327">
        <v>5441</v>
      </c>
      <c r="I327">
        <v>5137</v>
      </c>
      <c r="J327">
        <v>6576</v>
      </c>
      <c r="K327">
        <v>5377</v>
      </c>
      <c r="L327">
        <v>847</v>
      </c>
      <c r="M327">
        <v>5094</v>
      </c>
      <c r="N327">
        <v>5300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E328">
        <v>66338</v>
      </c>
      <c r="F328">
        <v>53280</v>
      </c>
      <c r="G328">
        <v>46496</v>
      </c>
      <c r="H328">
        <v>42685</v>
      </c>
      <c r="I328">
        <v>42705</v>
      </c>
      <c r="J328">
        <v>33129</v>
      </c>
      <c r="K328">
        <v>37901</v>
      </c>
      <c r="L328">
        <v>209</v>
      </c>
      <c r="M328">
        <v>31211</v>
      </c>
      <c r="N328">
        <v>38640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E329">
        <v>10309</v>
      </c>
      <c r="F329">
        <v>10948</v>
      </c>
      <c r="G329">
        <v>13072</v>
      </c>
      <c r="H329">
        <v>14815</v>
      </c>
      <c r="I329">
        <v>11251</v>
      </c>
      <c r="J329">
        <v>13854</v>
      </c>
      <c r="K329">
        <v>16025</v>
      </c>
      <c r="L329">
        <v>1648</v>
      </c>
      <c r="M329">
        <v>7853</v>
      </c>
      <c r="N329">
        <v>10738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E330">
        <v>8437</v>
      </c>
      <c r="F330">
        <v>8435</v>
      </c>
      <c r="G330">
        <v>7608</v>
      </c>
      <c r="H330">
        <v>7915</v>
      </c>
      <c r="I330">
        <v>9714</v>
      </c>
      <c r="J330">
        <v>9446</v>
      </c>
      <c r="K330">
        <v>9624</v>
      </c>
      <c r="L330">
        <v>0</v>
      </c>
      <c r="M330">
        <v>7943</v>
      </c>
      <c r="N330">
        <v>16128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E331">
        <v>9576</v>
      </c>
      <c r="F331">
        <v>11446</v>
      </c>
      <c r="G331">
        <v>10446</v>
      </c>
      <c r="H331">
        <v>11553</v>
      </c>
      <c r="I331">
        <v>11006</v>
      </c>
      <c r="J331">
        <v>11897</v>
      </c>
      <c r="K331">
        <v>15496</v>
      </c>
      <c r="L331">
        <v>92</v>
      </c>
      <c r="M331">
        <v>14069</v>
      </c>
      <c r="N331">
        <v>38111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E332">
        <v>52558</v>
      </c>
      <c r="F332">
        <v>56671</v>
      </c>
      <c r="G332">
        <v>61093</v>
      </c>
      <c r="H332">
        <v>48749</v>
      </c>
      <c r="I332">
        <v>49597</v>
      </c>
      <c r="J332">
        <v>53344</v>
      </c>
      <c r="K332">
        <v>36901</v>
      </c>
      <c r="L332">
        <v>750</v>
      </c>
      <c r="M332">
        <v>23007</v>
      </c>
      <c r="N332">
        <v>55820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E333">
        <v>21247</v>
      </c>
      <c r="F333">
        <v>26961</v>
      </c>
      <c r="G333">
        <v>27059</v>
      </c>
      <c r="H333">
        <v>42260</v>
      </c>
      <c r="I333">
        <v>38098</v>
      </c>
      <c r="J333">
        <v>28939</v>
      </c>
      <c r="K333">
        <v>23534</v>
      </c>
      <c r="L333">
        <v>3500</v>
      </c>
      <c r="M333">
        <v>24346</v>
      </c>
      <c r="N333">
        <v>61845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E335">
        <v>8226</v>
      </c>
      <c r="F335">
        <v>8325</v>
      </c>
      <c r="G335">
        <v>6272</v>
      </c>
      <c r="H335">
        <v>6221</v>
      </c>
      <c r="I335">
        <v>4812</v>
      </c>
      <c r="J335">
        <v>5735</v>
      </c>
      <c r="K335">
        <v>6420</v>
      </c>
      <c r="L335">
        <v>0</v>
      </c>
      <c r="M335">
        <v>5056</v>
      </c>
      <c r="N335">
        <v>3245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E336">
        <v>12183</v>
      </c>
      <c r="F336">
        <v>15575</v>
      </c>
      <c r="G336">
        <v>18515</v>
      </c>
      <c r="H336">
        <v>15943</v>
      </c>
      <c r="I336">
        <v>17767</v>
      </c>
      <c r="J336">
        <v>20592</v>
      </c>
      <c r="K336">
        <v>20995</v>
      </c>
      <c r="L336">
        <v>0</v>
      </c>
      <c r="M336">
        <v>16716</v>
      </c>
      <c r="N336">
        <v>17205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E337">
        <v>28727</v>
      </c>
      <c r="F337">
        <v>29762</v>
      </c>
      <c r="G337">
        <v>30079</v>
      </c>
      <c r="H337">
        <v>77511</v>
      </c>
      <c r="I337">
        <v>27333</v>
      </c>
      <c r="J337">
        <v>29187</v>
      </c>
      <c r="K337">
        <v>27940</v>
      </c>
      <c r="L337">
        <v>0</v>
      </c>
      <c r="M337">
        <v>18843</v>
      </c>
      <c r="N337">
        <v>49314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E338">
        <v>14646</v>
      </c>
      <c r="F338">
        <v>14779</v>
      </c>
      <c r="G338">
        <v>11997</v>
      </c>
      <c r="H338">
        <v>12774</v>
      </c>
      <c r="I338">
        <v>10458</v>
      </c>
      <c r="J338">
        <v>10525</v>
      </c>
      <c r="K338">
        <v>11332</v>
      </c>
      <c r="L338">
        <v>200</v>
      </c>
      <c r="M338">
        <v>10874</v>
      </c>
      <c r="N338">
        <v>12626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E339">
        <v>11260</v>
      </c>
      <c r="F339">
        <v>13823</v>
      </c>
      <c r="G339">
        <v>13434</v>
      </c>
      <c r="H339">
        <v>13600</v>
      </c>
      <c r="I339">
        <v>14444</v>
      </c>
      <c r="J339">
        <v>9257</v>
      </c>
      <c r="K339">
        <v>7362</v>
      </c>
      <c r="L339">
        <v>396</v>
      </c>
      <c r="M339">
        <v>4046</v>
      </c>
      <c r="N339">
        <v>5944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E340">
        <v>41706</v>
      </c>
      <c r="F340">
        <v>51557</v>
      </c>
      <c r="G340">
        <v>38473</v>
      </c>
      <c r="H340">
        <v>38774</v>
      </c>
      <c r="I340">
        <v>46790</v>
      </c>
      <c r="J340">
        <v>50966</v>
      </c>
      <c r="K340">
        <v>38513</v>
      </c>
      <c r="L340">
        <v>4600</v>
      </c>
      <c r="M340">
        <v>21031</v>
      </c>
      <c r="N340">
        <v>32637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E341">
        <v>5973</v>
      </c>
      <c r="F341">
        <v>7254</v>
      </c>
      <c r="G341">
        <v>9641</v>
      </c>
      <c r="H341">
        <v>8720</v>
      </c>
      <c r="I341">
        <v>9996</v>
      </c>
      <c r="J341">
        <v>9170</v>
      </c>
      <c r="K341">
        <v>6880</v>
      </c>
      <c r="L341">
        <v>0</v>
      </c>
      <c r="M341">
        <v>5873</v>
      </c>
      <c r="N341">
        <v>8636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E342">
        <v>10212</v>
      </c>
      <c r="F342">
        <v>10216</v>
      </c>
      <c r="G342">
        <v>10591</v>
      </c>
      <c r="H342">
        <v>10721</v>
      </c>
      <c r="I342">
        <v>8926</v>
      </c>
      <c r="J342">
        <v>8209</v>
      </c>
      <c r="K342">
        <v>9835</v>
      </c>
      <c r="L342">
        <v>0</v>
      </c>
      <c r="M342">
        <v>3758</v>
      </c>
      <c r="N342">
        <v>8249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E343">
        <v>22210</v>
      </c>
      <c r="F343">
        <v>28974</v>
      </c>
      <c r="G343">
        <v>23669</v>
      </c>
      <c r="H343">
        <v>25360</v>
      </c>
      <c r="I343">
        <v>27934</v>
      </c>
      <c r="J343">
        <v>26962</v>
      </c>
      <c r="K343">
        <v>19299</v>
      </c>
      <c r="L343">
        <v>5441</v>
      </c>
      <c r="M343">
        <v>11407</v>
      </c>
      <c r="N343">
        <v>14163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E344">
        <v>10754</v>
      </c>
      <c r="F344">
        <v>11209</v>
      </c>
      <c r="G344">
        <v>10405</v>
      </c>
      <c r="H344">
        <v>11416</v>
      </c>
      <c r="I344">
        <v>9512</v>
      </c>
      <c r="J344">
        <v>10073</v>
      </c>
      <c r="K344">
        <v>10224</v>
      </c>
      <c r="L344">
        <v>500</v>
      </c>
      <c r="M344">
        <v>10417</v>
      </c>
      <c r="N344">
        <v>10469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E345">
        <v>38816</v>
      </c>
      <c r="F345">
        <v>41472</v>
      </c>
      <c r="G345">
        <v>31229</v>
      </c>
      <c r="H345">
        <v>31282</v>
      </c>
      <c r="I345">
        <v>27967</v>
      </c>
      <c r="J345">
        <v>39212</v>
      </c>
      <c r="K345">
        <v>25386</v>
      </c>
      <c r="L345">
        <v>3827</v>
      </c>
      <c r="M345">
        <v>20125</v>
      </c>
      <c r="N345">
        <v>20573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E346">
        <v>5617</v>
      </c>
      <c r="F346">
        <v>5946</v>
      </c>
      <c r="G346">
        <v>6201</v>
      </c>
      <c r="H346">
        <v>6971</v>
      </c>
      <c r="I346">
        <v>11255</v>
      </c>
      <c r="J346">
        <v>9401</v>
      </c>
      <c r="K346">
        <v>12034</v>
      </c>
      <c r="L346">
        <v>0</v>
      </c>
      <c r="M346">
        <v>4200</v>
      </c>
      <c r="N346">
        <v>10214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E347">
        <v>6904</v>
      </c>
      <c r="F347">
        <v>5744</v>
      </c>
      <c r="G347">
        <v>3053</v>
      </c>
      <c r="H347">
        <v>4411</v>
      </c>
      <c r="I347">
        <v>2687</v>
      </c>
      <c r="J347">
        <v>2062</v>
      </c>
      <c r="K347">
        <v>3416</v>
      </c>
      <c r="L347">
        <v>107</v>
      </c>
      <c r="M347">
        <v>2067</v>
      </c>
      <c r="N347">
        <v>1931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E348">
        <v>58739</v>
      </c>
      <c r="F348">
        <v>53637</v>
      </c>
      <c r="G348">
        <v>56368</v>
      </c>
      <c r="H348">
        <v>56904</v>
      </c>
      <c r="I348">
        <v>55538</v>
      </c>
      <c r="J348">
        <v>62302</v>
      </c>
      <c r="K348">
        <v>58291</v>
      </c>
      <c r="L348">
        <v>0</v>
      </c>
      <c r="M348">
        <v>43003</v>
      </c>
      <c r="N348">
        <v>51396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E349">
        <v>4281</v>
      </c>
      <c r="F349">
        <v>5179</v>
      </c>
      <c r="G349">
        <v>5123</v>
      </c>
      <c r="H349">
        <v>6014</v>
      </c>
      <c r="I349">
        <v>6371</v>
      </c>
      <c r="J349">
        <v>6404</v>
      </c>
      <c r="K349">
        <v>14174</v>
      </c>
      <c r="L349">
        <v>0</v>
      </c>
      <c r="M349">
        <v>4892</v>
      </c>
      <c r="N349">
        <v>7714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E350">
        <v>7886</v>
      </c>
      <c r="F350">
        <v>10608</v>
      </c>
      <c r="G350">
        <v>12269</v>
      </c>
      <c r="H350">
        <v>8819</v>
      </c>
      <c r="I350">
        <v>8098</v>
      </c>
      <c r="J350">
        <v>6338</v>
      </c>
      <c r="K350">
        <v>5318</v>
      </c>
      <c r="L350">
        <v>50</v>
      </c>
      <c r="M350">
        <v>7790</v>
      </c>
      <c r="N350">
        <v>11377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E351">
        <v>47253</v>
      </c>
      <c r="F351">
        <v>45186</v>
      </c>
      <c r="G351">
        <v>39785</v>
      </c>
      <c r="H351">
        <v>42859</v>
      </c>
      <c r="I351">
        <v>44113</v>
      </c>
      <c r="J351">
        <v>49706</v>
      </c>
      <c r="K351">
        <v>38097</v>
      </c>
      <c r="L351">
        <v>5375</v>
      </c>
      <c r="M351">
        <v>37173</v>
      </c>
      <c r="N351">
        <v>41589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E352">
        <v>16485</v>
      </c>
      <c r="F352">
        <v>20125</v>
      </c>
      <c r="G352">
        <v>24979</v>
      </c>
      <c r="H352">
        <v>21339</v>
      </c>
      <c r="I352">
        <v>20411</v>
      </c>
      <c r="J352">
        <v>17306</v>
      </c>
      <c r="K352">
        <v>19560</v>
      </c>
      <c r="L352">
        <v>3127</v>
      </c>
      <c r="M352">
        <v>13468</v>
      </c>
      <c r="N352">
        <v>12806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E353">
        <v>5886</v>
      </c>
      <c r="F353">
        <v>2557</v>
      </c>
      <c r="G353">
        <v>3552</v>
      </c>
      <c r="H353">
        <v>6643</v>
      </c>
      <c r="I353">
        <v>7921</v>
      </c>
      <c r="J353">
        <v>6869</v>
      </c>
      <c r="K353">
        <v>6101</v>
      </c>
      <c r="L353">
        <v>0</v>
      </c>
      <c r="M353">
        <v>1172</v>
      </c>
      <c r="N353">
        <v>5085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E354">
        <v>22466</v>
      </c>
      <c r="F354">
        <v>22775</v>
      </c>
      <c r="G354">
        <v>25998</v>
      </c>
      <c r="H354">
        <v>25290</v>
      </c>
      <c r="I354">
        <v>23298</v>
      </c>
      <c r="J354">
        <v>25718</v>
      </c>
      <c r="K354">
        <v>19147</v>
      </c>
      <c r="L354">
        <v>0</v>
      </c>
      <c r="M354">
        <v>23168</v>
      </c>
      <c r="N354">
        <v>27609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CEC2-F736-46EB-B139-C36406C00992}">
  <sheetPr>
    <tabColor theme="4"/>
  </sheetPr>
  <dimension ref="A1:O354"/>
  <sheetViews>
    <sheetView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0</v>
      </c>
      <c r="F10">
        <v>1925</v>
      </c>
      <c r="G10">
        <v>1972</v>
      </c>
      <c r="H10">
        <v>2756</v>
      </c>
      <c r="I10">
        <v>1833</v>
      </c>
      <c r="J10">
        <v>1579</v>
      </c>
      <c r="K10">
        <v>2643</v>
      </c>
      <c r="L10">
        <v>0</v>
      </c>
      <c r="M10">
        <v>2201</v>
      </c>
      <c r="N10">
        <v>2260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733</v>
      </c>
      <c r="F11">
        <v>1169</v>
      </c>
      <c r="G11">
        <v>650</v>
      </c>
      <c r="H11">
        <v>701</v>
      </c>
      <c r="I11">
        <v>828</v>
      </c>
      <c r="J11">
        <v>2780</v>
      </c>
      <c r="K11">
        <v>1309</v>
      </c>
      <c r="L11">
        <v>228</v>
      </c>
      <c r="M11">
        <v>550</v>
      </c>
      <c r="N11">
        <v>1705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v>1347</v>
      </c>
      <c r="F20">
        <v>867</v>
      </c>
      <c r="G20">
        <v>1584</v>
      </c>
      <c r="H20">
        <v>981</v>
      </c>
      <c r="I20">
        <v>536</v>
      </c>
      <c r="J20">
        <v>589</v>
      </c>
      <c r="K20">
        <v>645</v>
      </c>
      <c r="L20">
        <v>527</v>
      </c>
      <c r="M20">
        <v>811</v>
      </c>
      <c r="N20">
        <v>699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v>2415</v>
      </c>
      <c r="F26">
        <v>2250</v>
      </c>
      <c r="G26">
        <v>1641</v>
      </c>
      <c r="H26">
        <v>1738</v>
      </c>
      <c r="I26">
        <v>1934</v>
      </c>
      <c r="J26">
        <v>2377</v>
      </c>
      <c r="K26">
        <v>3122</v>
      </c>
      <c r="L26">
        <v>132</v>
      </c>
      <c r="M26">
        <v>3005</v>
      </c>
      <c r="N26">
        <v>3520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v>2623</v>
      </c>
      <c r="F27">
        <v>1617</v>
      </c>
      <c r="G27">
        <v>2472</v>
      </c>
      <c r="H27">
        <v>2624</v>
      </c>
      <c r="I27">
        <v>2187</v>
      </c>
      <c r="J27">
        <v>2263</v>
      </c>
      <c r="K27">
        <v>1563</v>
      </c>
      <c r="L27">
        <v>0</v>
      </c>
      <c r="M27">
        <v>1951</v>
      </c>
      <c r="N27">
        <v>1452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v>1075</v>
      </c>
      <c r="F30">
        <v>2652</v>
      </c>
      <c r="G30">
        <v>1978</v>
      </c>
      <c r="H30">
        <v>2684</v>
      </c>
      <c r="I30">
        <v>2062</v>
      </c>
      <c r="J30">
        <v>2307</v>
      </c>
      <c r="K30">
        <v>2276</v>
      </c>
      <c r="L30">
        <v>0</v>
      </c>
      <c r="M30">
        <v>1455</v>
      </c>
      <c r="N30">
        <v>2026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v>917</v>
      </c>
      <c r="F31">
        <v>725</v>
      </c>
      <c r="G31">
        <v>532</v>
      </c>
      <c r="H31">
        <v>624</v>
      </c>
      <c r="I31">
        <v>859</v>
      </c>
      <c r="J31">
        <v>388</v>
      </c>
      <c r="K31">
        <v>802</v>
      </c>
      <c r="L31">
        <v>170</v>
      </c>
      <c r="M31">
        <v>0</v>
      </c>
      <c r="N31">
        <v>700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v>2010</v>
      </c>
      <c r="F32">
        <v>3346</v>
      </c>
      <c r="G32">
        <v>2785</v>
      </c>
      <c r="H32">
        <v>1974</v>
      </c>
      <c r="I32">
        <v>1803</v>
      </c>
      <c r="J32">
        <v>1956</v>
      </c>
      <c r="K32">
        <v>1280</v>
      </c>
      <c r="L32">
        <v>250</v>
      </c>
      <c r="M32">
        <v>1799</v>
      </c>
      <c r="N32">
        <v>2182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v>778</v>
      </c>
      <c r="F38">
        <v>0</v>
      </c>
      <c r="G38">
        <v>180</v>
      </c>
      <c r="H38">
        <v>1194</v>
      </c>
      <c r="I38">
        <v>1409</v>
      </c>
      <c r="J38">
        <v>1425</v>
      </c>
      <c r="K38">
        <v>1400</v>
      </c>
      <c r="L38">
        <v>0</v>
      </c>
      <c r="M38">
        <v>1037</v>
      </c>
      <c r="N38">
        <v>1200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v>965</v>
      </c>
      <c r="F44">
        <v>979</v>
      </c>
      <c r="G44">
        <v>1494</v>
      </c>
      <c r="H44">
        <v>693</v>
      </c>
      <c r="I44">
        <v>868</v>
      </c>
      <c r="J44">
        <v>668</v>
      </c>
      <c r="K44">
        <v>869</v>
      </c>
      <c r="L44">
        <v>125</v>
      </c>
      <c r="M44">
        <v>800</v>
      </c>
      <c r="N44">
        <v>863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v>1402</v>
      </c>
      <c r="F54">
        <v>1279</v>
      </c>
      <c r="G54">
        <v>912</v>
      </c>
      <c r="H54">
        <v>1397</v>
      </c>
      <c r="I54">
        <v>2717</v>
      </c>
      <c r="J54">
        <v>2602</v>
      </c>
      <c r="K54">
        <v>1356</v>
      </c>
      <c r="L54">
        <v>0</v>
      </c>
      <c r="M54">
        <v>904</v>
      </c>
      <c r="N54">
        <v>1517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v>1771</v>
      </c>
      <c r="F57">
        <v>2316</v>
      </c>
      <c r="G57">
        <v>3467</v>
      </c>
      <c r="H57">
        <v>1887</v>
      </c>
      <c r="I57">
        <v>2461</v>
      </c>
      <c r="J57">
        <v>1927</v>
      </c>
      <c r="K57">
        <v>5072</v>
      </c>
      <c r="L57">
        <v>0</v>
      </c>
      <c r="M57">
        <v>1190</v>
      </c>
      <c r="N57">
        <v>1355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v>1500</v>
      </c>
      <c r="F59">
        <v>1449</v>
      </c>
      <c r="G59">
        <v>910</v>
      </c>
      <c r="H59">
        <v>1411</v>
      </c>
      <c r="I59">
        <v>1454</v>
      </c>
      <c r="J59">
        <v>1034</v>
      </c>
      <c r="K59">
        <v>753</v>
      </c>
      <c r="L59">
        <v>0</v>
      </c>
      <c r="M59">
        <v>786</v>
      </c>
      <c r="N59">
        <v>1153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v>2019</v>
      </c>
      <c r="F63">
        <v>1611</v>
      </c>
      <c r="G63">
        <v>2117</v>
      </c>
      <c r="H63">
        <v>1619</v>
      </c>
      <c r="I63">
        <v>1803</v>
      </c>
      <c r="J63">
        <v>1545</v>
      </c>
      <c r="K63">
        <v>2211</v>
      </c>
      <c r="L63">
        <v>0</v>
      </c>
      <c r="M63">
        <v>1335</v>
      </c>
      <c r="N63">
        <v>1334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v>1474</v>
      </c>
      <c r="F64">
        <v>1896</v>
      </c>
      <c r="G64">
        <v>1733</v>
      </c>
      <c r="H64">
        <v>2155</v>
      </c>
      <c r="I64">
        <v>1161</v>
      </c>
      <c r="J64">
        <v>1577</v>
      </c>
      <c r="K64">
        <v>1351</v>
      </c>
      <c r="L64">
        <v>312</v>
      </c>
      <c r="M64">
        <v>1141</v>
      </c>
      <c r="N64">
        <v>1801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v>4493</v>
      </c>
      <c r="F66">
        <v>2840</v>
      </c>
      <c r="G66">
        <v>3127</v>
      </c>
      <c r="H66">
        <v>4570</v>
      </c>
      <c r="I66">
        <v>4777</v>
      </c>
      <c r="J66">
        <v>3655</v>
      </c>
      <c r="K66">
        <v>3424</v>
      </c>
      <c r="L66">
        <v>0</v>
      </c>
      <c r="M66">
        <v>4461</v>
      </c>
      <c r="N66">
        <v>3142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v>2556</v>
      </c>
      <c r="F72">
        <v>1921</v>
      </c>
      <c r="G72">
        <v>2522</v>
      </c>
      <c r="H72">
        <v>2386</v>
      </c>
      <c r="I72">
        <v>2011</v>
      </c>
      <c r="J72">
        <v>2086</v>
      </c>
      <c r="K72">
        <v>1853</v>
      </c>
      <c r="L72">
        <v>0</v>
      </c>
      <c r="M72">
        <v>1841</v>
      </c>
      <c r="N72">
        <v>2025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v>5285</v>
      </c>
      <c r="F73">
        <v>3210</v>
      </c>
      <c r="G73">
        <v>1687</v>
      </c>
      <c r="H73">
        <v>3065</v>
      </c>
      <c r="I73">
        <v>3046</v>
      </c>
      <c r="J73">
        <v>2890</v>
      </c>
      <c r="K73">
        <v>2825</v>
      </c>
      <c r="L73">
        <v>0</v>
      </c>
      <c r="M73">
        <v>1905</v>
      </c>
      <c r="N73">
        <v>2110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v>1008</v>
      </c>
      <c r="F83">
        <v>1148</v>
      </c>
      <c r="G83">
        <v>1062</v>
      </c>
      <c r="H83">
        <v>1255</v>
      </c>
      <c r="I83">
        <v>981</v>
      </c>
      <c r="J83">
        <v>1164</v>
      </c>
      <c r="K83">
        <v>1315</v>
      </c>
      <c r="L83">
        <v>0</v>
      </c>
      <c r="M83">
        <v>957</v>
      </c>
      <c r="N83">
        <v>2035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v>0</v>
      </c>
      <c r="F98">
        <v>3603</v>
      </c>
      <c r="G98">
        <v>2790</v>
      </c>
      <c r="H98">
        <v>1939</v>
      </c>
      <c r="I98">
        <v>2285</v>
      </c>
      <c r="J98">
        <v>1151</v>
      </c>
      <c r="K98">
        <v>793</v>
      </c>
      <c r="L98">
        <v>0</v>
      </c>
      <c r="M98">
        <v>1492</v>
      </c>
      <c r="N98">
        <v>2285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v>2241</v>
      </c>
      <c r="F108">
        <v>1616</v>
      </c>
      <c r="G108">
        <v>1247</v>
      </c>
      <c r="H108">
        <v>1443</v>
      </c>
      <c r="I108">
        <v>1935</v>
      </c>
      <c r="J108">
        <v>1814</v>
      </c>
      <c r="K108">
        <v>2686</v>
      </c>
      <c r="L108">
        <v>0</v>
      </c>
      <c r="M108">
        <v>1571</v>
      </c>
      <c r="N108">
        <v>2792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v>1659</v>
      </c>
      <c r="F111">
        <v>876</v>
      </c>
      <c r="G111">
        <v>1744</v>
      </c>
      <c r="H111">
        <v>1080</v>
      </c>
      <c r="I111">
        <v>1815</v>
      </c>
      <c r="J111">
        <v>1259</v>
      </c>
      <c r="K111">
        <v>1826</v>
      </c>
      <c r="L111">
        <v>55</v>
      </c>
      <c r="M111">
        <v>1196</v>
      </c>
      <c r="N111">
        <v>1582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v>3057</v>
      </c>
      <c r="F112">
        <v>2508</v>
      </c>
      <c r="G112">
        <v>2554</v>
      </c>
      <c r="H112">
        <v>2911</v>
      </c>
      <c r="I112">
        <v>1776</v>
      </c>
      <c r="J112">
        <v>1180</v>
      </c>
      <c r="K112">
        <v>1414</v>
      </c>
      <c r="L112">
        <v>40</v>
      </c>
      <c r="M112">
        <v>1221</v>
      </c>
      <c r="N112">
        <v>902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v>3811</v>
      </c>
      <c r="F120">
        <v>1949</v>
      </c>
      <c r="G120">
        <v>2822</v>
      </c>
      <c r="H120">
        <v>2000</v>
      </c>
      <c r="I120">
        <v>2093</v>
      </c>
      <c r="J120">
        <v>1505</v>
      </c>
      <c r="K120">
        <v>2319</v>
      </c>
      <c r="L120">
        <v>0</v>
      </c>
      <c r="M120">
        <v>1333</v>
      </c>
      <c r="N120">
        <v>1818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v>2423</v>
      </c>
      <c r="F123">
        <v>1873</v>
      </c>
      <c r="G123">
        <v>1003</v>
      </c>
      <c r="H123">
        <v>1556</v>
      </c>
      <c r="I123">
        <v>1275</v>
      </c>
      <c r="J123">
        <v>2165</v>
      </c>
      <c r="K123">
        <v>2129</v>
      </c>
      <c r="L123">
        <v>643</v>
      </c>
      <c r="M123">
        <v>4702</v>
      </c>
      <c r="N123">
        <v>1737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v>1855</v>
      </c>
      <c r="F129">
        <v>1721</v>
      </c>
      <c r="G129">
        <v>2771</v>
      </c>
      <c r="H129">
        <v>2364</v>
      </c>
      <c r="I129">
        <v>2039</v>
      </c>
      <c r="J129">
        <v>2215</v>
      </c>
      <c r="K129">
        <v>1765</v>
      </c>
      <c r="L129">
        <v>366</v>
      </c>
      <c r="M129">
        <v>1155</v>
      </c>
      <c r="N129">
        <v>1687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v>841</v>
      </c>
      <c r="F134">
        <v>1334</v>
      </c>
      <c r="G134">
        <v>1001</v>
      </c>
      <c r="H134">
        <v>2025</v>
      </c>
      <c r="I134">
        <v>1438</v>
      </c>
      <c r="J134">
        <v>642</v>
      </c>
      <c r="K134">
        <v>737</v>
      </c>
      <c r="L134">
        <v>295</v>
      </c>
      <c r="M134">
        <v>844</v>
      </c>
      <c r="N134">
        <v>1102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v>1264</v>
      </c>
      <c r="F136">
        <v>1241</v>
      </c>
      <c r="G136">
        <v>1485</v>
      </c>
      <c r="H136">
        <v>1308</v>
      </c>
      <c r="I136">
        <v>847</v>
      </c>
      <c r="J136">
        <v>1663</v>
      </c>
      <c r="K136">
        <v>1198</v>
      </c>
      <c r="L136">
        <v>110</v>
      </c>
      <c r="M136">
        <v>1038</v>
      </c>
      <c r="N136">
        <v>862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v>1758</v>
      </c>
      <c r="F137">
        <v>1735</v>
      </c>
      <c r="G137">
        <v>1880</v>
      </c>
      <c r="H137">
        <v>1832</v>
      </c>
      <c r="I137">
        <v>2228</v>
      </c>
      <c r="J137">
        <v>3905</v>
      </c>
      <c r="K137">
        <v>3387</v>
      </c>
      <c r="L137">
        <v>221</v>
      </c>
      <c r="M137">
        <v>1683</v>
      </c>
      <c r="N137">
        <v>2119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v>0</v>
      </c>
      <c r="F139">
        <v>1914</v>
      </c>
      <c r="G139">
        <v>2045</v>
      </c>
      <c r="H139">
        <v>2042</v>
      </c>
      <c r="I139">
        <v>2593</v>
      </c>
      <c r="J139">
        <v>1750</v>
      </c>
      <c r="K139">
        <v>1542</v>
      </c>
      <c r="L139">
        <v>212</v>
      </c>
      <c r="M139">
        <v>2104</v>
      </c>
      <c r="N139">
        <v>1906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v>3306</v>
      </c>
      <c r="F140">
        <v>2405</v>
      </c>
      <c r="G140">
        <v>2602</v>
      </c>
      <c r="H140">
        <v>2458</v>
      </c>
      <c r="I140">
        <v>3323</v>
      </c>
      <c r="J140">
        <v>3006</v>
      </c>
      <c r="K140">
        <v>3055</v>
      </c>
      <c r="L140">
        <v>581</v>
      </c>
      <c r="M140">
        <v>2380</v>
      </c>
      <c r="N140">
        <v>1905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v>0</v>
      </c>
      <c r="F143">
        <v>0</v>
      </c>
      <c r="G143">
        <v>0</v>
      </c>
      <c r="H143">
        <v>428</v>
      </c>
      <c r="I143">
        <v>1093</v>
      </c>
      <c r="J143">
        <v>569</v>
      </c>
      <c r="K143">
        <v>610</v>
      </c>
      <c r="L143">
        <v>10</v>
      </c>
      <c r="M143">
        <v>342</v>
      </c>
      <c r="N143">
        <v>476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v>1370</v>
      </c>
      <c r="F146">
        <v>1971</v>
      </c>
      <c r="G146">
        <v>1223</v>
      </c>
      <c r="H146">
        <v>1022</v>
      </c>
      <c r="I146">
        <v>2060</v>
      </c>
      <c r="J146">
        <v>2857</v>
      </c>
      <c r="K146">
        <v>895</v>
      </c>
      <c r="L146">
        <v>85</v>
      </c>
      <c r="M146">
        <v>533</v>
      </c>
      <c r="N146">
        <v>1074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v>0</v>
      </c>
      <c r="F149">
        <v>3294</v>
      </c>
      <c r="G149">
        <v>3433</v>
      </c>
      <c r="H149">
        <v>3591</v>
      </c>
      <c r="I149">
        <v>5777</v>
      </c>
      <c r="J149">
        <v>2761</v>
      </c>
      <c r="K149">
        <v>4027</v>
      </c>
      <c r="L149">
        <v>1672</v>
      </c>
      <c r="M149">
        <v>3201</v>
      </c>
      <c r="N149">
        <v>2782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v>1421</v>
      </c>
      <c r="F153">
        <v>1596</v>
      </c>
      <c r="G153">
        <v>1313</v>
      </c>
      <c r="H153">
        <v>1893</v>
      </c>
      <c r="I153">
        <v>1315</v>
      </c>
      <c r="J153">
        <v>2025</v>
      </c>
      <c r="K153">
        <v>1678</v>
      </c>
      <c r="L153">
        <v>0</v>
      </c>
      <c r="M153">
        <v>2664</v>
      </c>
      <c r="N153">
        <v>2795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v>8176</v>
      </c>
      <c r="F158">
        <v>8707</v>
      </c>
      <c r="G158">
        <v>4499</v>
      </c>
      <c r="H158">
        <v>7406</v>
      </c>
      <c r="I158">
        <v>5061</v>
      </c>
      <c r="J158">
        <v>5604</v>
      </c>
      <c r="K158">
        <v>5988</v>
      </c>
      <c r="L158">
        <v>350</v>
      </c>
      <c r="M158">
        <v>6588</v>
      </c>
      <c r="N158">
        <v>5560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v>4546</v>
      </c>
      <c r="F159">
        <v>2936</v>
      </c>
      <c r="G159">
        <v>2735</v>
      </c>
      <c r="H159">
        <v>2288</v>
      </c>
      <c r="I159">
        <v>3520</v>
      </c>
      <c r="J159">
        <v>5795</v>
      </c>
      <c r="K159">
        <v>4844</v>
      </c>
      <c r="L159">
        <v>125</v>
      </c>
      <c r="M159">
        <v>1938</v>
      </c>
      <c r="N159">
        <v>2738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v>1326</v>
      </c>
      <c r="F164">
        <v>780</v>
      </c>
      <c r="G164">
        <v>1632</v>
      </c>
      <c r="H164">
        <v>1363</v>
      </c>
      <c r="I164">
        <v>868</v>
      </c>
      <c r="J164">
        <v>1163</v>
      </c>
      <c r="K164">
        <v>1281</v>
      </c>
      <c r="L164">
        <v>280</v>
      </c>
      <c r="M164">
        <v>1020</v>
      </c>
      <c r="N164">
        <v>1192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v>2864</v>
      </c>
      <c r="F165">
        <v>5994</v>
      </c>
      <c r="G165">
        <v>5443</v>
      </c>
      <c r="H165">
        <v>3166</v>
      </c>
      <c r="I165">
        <v>7268</v>
      </c>
      <c r="J165">
        <v>4297</v>
      </c>
      <c r="K165">
        <v>5216</v>
      </c>
      <c r="L165">
        <v>623</v>
      </c>
      <c r="M165">
        <v>5524</v>
      </c>
      <c r="N165">
        <v>4370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v>1579</v>
      </c>
      <c r="F166">
        <v>2298</v>
      </c>
      <c r="G166">
        <v>2254</v>
      </c>
      <c r="H166">
        <v>2387</v>
      </c>
      <c r="I166">
        <v>2104</v>
      </c>
      <c r="J166">
        <v>1131</v>
      </c>
      <c r="K166">
        <v>2412</v>
      </c>
      <c r="L166">
        <v>292</v>
      </c>
      <c r="M166">
        <v>1024</v>
      </c>
      <c r="N166">
        <v>2710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v>864</v>
      </c>
      <c r="F173">
        <v>1264</v>
      </c>
      <c r="G173">
        <v>612</v>
      </c>
      <c r="H173">
        <v>874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v>1853</v>
      </c>
      <c r="F174">
        <v>3945</v>
      </c>
      <c r="G174">
        <v>2360</v>
      </c>
      <c r="H174">
        <v>2766</v>
      </c>
      <c r="I174">
        <v>2542</v>
      </c>
      <c r="J174">
        <v>2479</v>
      </c>
      <c r="K174">
        <v>2780</v>
      </c>
      <c r="L174">
        <v>671</v>
      </c>
      <c r="M174">
        <v>1891</v>
      </c>
      <c r="N174">
        <v>2209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v>0</v>
      </c>
      <c r="F187">
        <v>1401</v>
      </c>
      <c r="G187">
        <v>1534</v>
      </c>
      <c r="H187">
        <v>2068</v>
      </c>
      <c r="I187">
        <v>1492</v>
      </c>
      <c r="J187">
        <v>2296</v>
      </c>
      <c r="K187">
        <v>1589</v>
      </c>
      <c r="L187">
        <v>13</v>
      </c>
      <c r="M187">
        <v>1540</v>
      </c>
      <c r="N187">
        <v>1890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v>4376</v>
      </c>
      <c r="F197">
        <v>4018</v>
      </c>
      <c r="G197">
        <v>4531</v>
      </c>
      <c r="H197">
        <v>3962</v>
      </c>
      <c r="I197">
        <v>1968</v>
      </c>
      <c r="J197">
        <v>5627</v>
      </c>
      <c r="K197">
        <v>5155</v>
      </c>
      <c r="L197">
        <v>1844</v>
      </c>
      <c r="M197">
        <v>4019</v>
      </c>
      <c r="N197">
        <v>5414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v>2557</v>
      </c>
      <c r="F202">
        <v>1499</v>
      </c>
      <c r="G202">
        <v>1696</v>
      </c>
      <c r="H202">
        <v>1773</v>
      </c>
      <c r="I202">
        <v>1472</v>
      </c>
      <c r="J202">
        <v>1814</v>
      </c>
      <c r="K202">
        <v>1543</v>
      </c>
      <c r="L202">
        <v>550</v>
      </c>
      <c r="M202">
        <v>1285</v>
      </c>
      <c r="N202">
        <v>1766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v>1143</v>
      </c>
      <c r="F206">
        <v>1476</v>
      </c>
      <c r="G206">
        <v>2101</v>
      </c>
      <c r="H206">
        <v>1525</v>
      </c>
      <c r="I206">
        <v>2117</v>
      </c>
      <c r="J206">
        <v>2505</v>
      </c>
      <c r="K206">
        <v>2039</v>
      </c>
      <c r="L206">
        <v>400</v>
      </c>
      <c r="M206">
        <v>2111</v>
      </c>
      <c r="N206">
        <v>2204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v>527</v>
      </c>
      <c r="F210">
        <v>1885</v>
      </c>
      <c r="G210">
        <v>1651</v>
      </c>
      <c r="H210">
        <v>1615</v>
      </c>
      <c r="I210">
        <v>744</v>
      </c>
      <c r="J210">
        <v>1063</v>
      </c>
      <c r="K210">
        <v>1937</v>
      </c>
      <c r="L210">
        <v>0</v>
      </c>
      <c r="M210">
        <v>947</v>
      </c>
      <c r="N210">
        <v>1379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v>3294</v>
      </c>
      <c r="F211">
        <v>2677</v>
      </c>
      <c r="G211">
        <v>3166</v>
      </c>
      <c r="H211">
        <v>2506</v>
      </c>
      <c r="I211">
        <v>2103</v>
      </c>
      <c r="J211">
        <v>2974</v>
      </c>
      <c r="K211">
        <v>3046</v>
      </c>
      <c r="L211">
        <v>603</v>
      </c>
      <c r="M211">
        <v>3390</v>
      </c>
      <c r="N211">
        <v>4194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v>2553</v>
      </c>
      <c r="F214">
        <v>1708</v>
      </c>
      <c r="G214">
        <v>1573</v>
      </c>
      <c r="H214">
        <v>2045</v>
      </c>
      <c r="I214">
        <v>2173</v>
      </c>
      <c r="J214">
        <v>2058</v>
      </c>
      <c r="K214">
        <v>919</v>
      </c>
      <c r="L214">
        <v>949</v>
      </c>
      <c r="M214">
        <v>2057</v>
      </c>
      <c r="N214">
        <v>2040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v>400</v>
      </c>
      <c r="F220">
        <v>1665</v>
      </c>
      <c r="G220">
        <v>1644</v>
      </c>
      <c r="H220">
        <v>1592</v>
      </c>
      <c r="I220">
        <v>776</v>
      </c>
      <c r="J220">
        <v>719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v>2638</v>
      </c>
      <c r="F221">
        <v>1784</v>
      </c>
      <c r="G221">
        <v>1849</v>
      </c>
      <c r="H221">
        <v>2090</v>
      </c>
      <c r="I221">
        <v>3832</v>
      </c>
      <c r="J221">
        <v>2236</v>
      </c>
      <c r="K221">
        <v>1615</v>
      </c>
      <c r="L221">
        <v>0</v>
      </c>
      <c r="M221">
        <v>2520</v>
      </c>
      <c r="N221">
        <v>1344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v>0</v>
      </c>
      <c r="F222">
        <v>4321</v>
      </c>
      <c r="G222">
        <v>4167</v>
      </c>
      <c r="H222">
        <v>6395</v>
      </c>
      <c r="I222">
        <v>4468</v>
      </c>
      <c r="J222">
        <v>5590</v>
      </c>
      <c r="K222">
        <v>4148</v>
      </c>
      <c r="L222">
        <v>1266</v>
      </c>
      <c r="M222">
        <v>3406</v>
      </c>
      <c r="N222">
        <v>4313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v>2341</v>
      </c>
      <c r="F229">
        <v>3065</v>
      </c>
      <c r="G229">
        <v>2453</v>
      </c>
      <c r="H229">
        <v>3066</v>
      </c>
      <c r="I229">
        <v>1587</v>
      </c>
      <c r="J229">
        <v>3075</v>
      </c>
      <c r="K229">
        <v>1815</v>
      </c>
      <c r="L229">
        <v>0</v>
      </c>
      <c r="M229">
        <v>3205</v>
      </c>
      <c r="N229">
        <v>5414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v>2275</v>
      </c>
      <c r="F230">
        <v>3033</v>
      </c>
      <c r="G230">
        <v>2060</v>
      </c>
      <c r="H230">
        <v>1891</v>
      </c>
      <c r="I230">
        <v>2639</v>
      </c>
      <c r="J230">
        <v>1258</v>
      </c>
      <c r="K230">
        <v>2414</v>
      </c>
      <c r="L230">
        <v>1</v>
      </c>
      <c r="M230">
        <v>2919</v>
      </c>
      <c r="N230">
        <v>1132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v>2420</v>
      </c>
      <c r="F233">
        <v>1652</v>
      </c>
      <c r="G233">
        <v>3202</v>
      </c>
      <c r="H233">
        <v>1600</v>
      </c>
      <c r="I233">
        <v>3583</v>
      </c>
      <c r="J233">
        <v>2011</v>
      </c>
      <c r="K233">
        <v>2671</v>
      </c>
      <c r="L233">
        <v>210</v>
      </c>
      <c r="M233">
        <v>1772</v>
      </c>
      <c r="N233">
        <v>1998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v>1008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v>0</v>
      </c>
      <c r="F237">
        <v>4121</v>
      </c>
      <c r="G237">
        <v>2526</v>
      </c>
      <c r="H237">
        <v>1656</v>
      </c>
      <c r="I237">
        <v>1810</v>
      </c>
      <c r="J237">
        <v>2399</v>
      </c>
      <c r="K237">
        <v>3433</v>
      </c>
      <c r="L237">
        <v>0</v>
      </c>
      <c r="M237">
        <v>2735</v>
      </c>
      <c r="N237">
        <v>2405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v>1790</v>
      </c>
      <c r="F238">
        <v>2185</v>
      </c>
      <c r="G238">
        <v>2305</v>
      </c>
      <c r="H238">
        <v>1407</v>
      </c>
      <c r="I238">
        <v>1735</v>
      </c>
      <c r="J238">
        <v>1196</v>
      </c>
      <c r="K238">
        <v>2691</v>
      </c>
      <c r="L238">
        <v>154</v>
      </c>
      <c r="M238">
        <v>1574</v>
      </c>
      <c r="N238">
        <v>1464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v>349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v>0</v>
      </c>
      <c r="F240">
        <v>1612</v>
      </c>
      <c r="G240">
        <v>1810</v>
      </c>
      <c r="H240">
        <v>1848</v>
      </c>
      <c r="I240">
        <v>2084</v>
      </c>
      <c r="J240">
        <v>3248</v>
      </c>
      <c r="K240">
        <v>1820</v>
      </c>
      <c r="L240">
        <v>403</v>
      </c>
      <c r="M240">
        <v>4411</v>
      </c>
      <c r="N240">
        <v>4057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v>857</v>
      </c>
      <c r="F242">
        <v>563</v>
      </c>
      <c r="G242">
        <v>494</v>
      </c>
      <c r="H242">
        <v>824</v>
      </c>
      <c r="I242">
        <v>791</v>
      </c>
      <c r="J242">
        <v>586</v>
      </c>
      <c r="K242">
        <v>888</v>
      </c>
      <c r="L242">
        <v>46</v>
      </c>
      <c r="M242">
        <v>286</v>
      </c>
      <c r="N242">
        <v>765</v>
      </c>
    </row>
    <row r="243" spans="1:14" x14ac:dyDescent="0.2">
      <c r="A243" t="s">
        <v>520</v>
      </c>
      <c r="B243" t="s">
        <v>599</v>
      </c>
      <c r="C243">
        <v>215743</v>
      </c>
      <c r="D243">
        <v>11020</v>
      </c>
      <c r="E243">
        <v>798</v>
      </c>
      <c r="F243">
        <v>1484</v>
      </c>
      <c r="G243">
        <v>940</v>
      </c>
      <c r="H243">
        <v>1645</v>
      </c>
      <c r="I243">
        <v>965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v>2348</v>
      </c>
      <c r="F244">
        <v>2065</v>
      </c>
      <c r="G244">
        <v>2477</v>
      </c>
      <c r="H244">
        <v>3353</v>
      </c>
      <c r="I244">
        <v>2489</v>
      </c>
      <c r="J244">
        <v>3601</v>
      </c>
      <c r="K244">
        <v>3816</v>
      </c>
      <c r="L244">
        <v>1157</v>
      </c>
      <c r="M244">
        <v>3953</v>
      </c>
      <c r="N244">
        <v>2502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v>572</v>
      </c>
      <c r="F245">
        <v>1090</v>
      </c>
      <c r="G245">
        <v>547</v>
      </c>
      <c r="H245">
        <v>1515</v>
      </c>
      <c r="I245">
        <v>1131</v>
      </c>
      <c r="J245">
        <v>745</v>
      </c>
      <c r="K245">
        <v>990</v>
      </c>
      <c r="L245">
        <v>275</v>
      </c>
      <c r="M245">
        <v>802</v>
      </c>
      <c r="N245">
        <v>960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600</v>
      </c>
      <c r="B255" t="s">
        <v>600</v>
      </c>
      <c r="C255">
        <v>140960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E259">
        <v>863</v>
      </c>
      <c r="F259">
        <v>651</v>
      </c>
      <c r="G259">
        <v>1381</v>
      </c>
      <c r="H259">
        <v>644</v>
      </c>
      <c r="I259">
        <v>561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201</v>
      </c>
      <c r="B265" t="s">
        <v>201</v>
      </c>
      <c r="C265">
        <v>219471</v>
      </c>
      <c r="D265">
        <v>46820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E278">
        <v>2076</v>
      </c>
      <c r="F278">
        <v>3450</v>
      </c>
      <c r="G278">
        <v>2387</v>
      </c>
      <c r="H278">
        <v>1057</v>
      </c>
      <c r="I278">
        <v>1648</v>
      </c>
      <c r="J278">
        <v>1802</v>
      </c>
      <c r="K278">
        <v>1461</v>
      </c>
      <c r="L278">
        <v>100</v>
      </c>
      <c r="M278">
        <v>1017</v>
      </c>
      <c r="N278">
        <v>1320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E281">
        <v>2987</v>
      </c>
      <c r="F281">
        <v>3135</v>
      </c>
      <c r="G281">
        <v>4928</v>
      </c>
      <c r="H281">
        <v>3673</v>
      </c>
      <c r="I281">
        <v>2882</v>
      </c>
      <c r="J281">
        <v>3463</v>
      </c>
      <c r="K281">
        <v>1524</v>
      </c>
      <c r="L281">
        <v>13</v>
      </c>
      <c r="M281">
        <v>1529</v>
      </c>
      <c r="N281">
        <v>1892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E283">
        <v>4687</v>
      </c>
      <c r="F283">
        <v>3332</v>
      </c>
      <c r="G283">
        <v>5233</v>
      </c>
      <c r="H283">
        <v>5579</v>
      </c>
      <c r="I283">
        <v>4819</v>
      </c>
      <c r="J283">
        <v>4125</v>
      </c>
      <c r="K283">
        <v>3101</v>
      </c>
      <c r="L283">
        <v>257</v>
      </c>
      <c r="M283">
        <v>1737</v>
      </c>
      <c r="N283">
        <v>3552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E294">
        <v>1040</v>
      </c>
      <c r="F294">
        <v>1020</v>
      </c>
      <c r="G294">
        <v>1032</v>
      </c>
      <c r="H294">
        <v>642</v>
      </c>
      <c r="I294">
        <v>859</v>
      </c>
      <c r="J294">
        <v>873</v>
      </c>
      <c r="K294">
        <v>2268</v>
      </c>
      <c r="L294">
        <v>0</v>
      </c>
      <c r="M294">
        <v>2025</v>
      </c>
      <c r="N294">
        <v>1105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E299">
        <v>3363</v>
      </c>
      <c r="F299">
        <v>3397</v>
      </c>
      <c r="G299">
        <v>2541</v>
      </c>
      <c r="H299">
        <v>1342</v>
      </c>
      <c r="I299">
        <v>589</v>
      </c>
      <c r="J299">
        <v>1446</v>
      </c>
      <c r="K299">
        <v>1133</v>
      </c>
      <c r="L299">
        <v>160</v>
      </c>
      <c r="M299">
        <v>1258</v>
      </c>
      <c r="N299">
        <v>1069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E300">
        <v>1279</v>
      </c>
      <c r="F300">
        <v>830</v>
      </c>
      <c r="G300">
        <v>1729</v>
      </c>
      <c r="H300">
        <v>1031</v>
      </c>
      <c r="I300">
        <v>720</v>
      </c>
      <c r="J300">
        <v>678</v>
      </c>
      <c r="K300">
        <v>580</v>
      </c>
      <c r="L300">
        <v>54</v>
      </c>
      <c r="M300">
        <v>492</v>
      </c>
      <c r="N300">
        <v>585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E306">
        <v>3067</v>
      </c>
      <c r="F306">
        <v>2468</v>
      </c>
      <c r="G306">
        <v>2757</v>
      </c>
      <c r="H306">
        <v>1628</v>
      </c>
      <c r="I306">
        <v>3579</v>
      </c>
      <c r="J306">
        <v>3006</v>
      </c>
      <c r="K306">
        <v>3725</v>
      </c>
      <c r="L306">
        <v>268</v>
      </c>
      <c r="M306">
        <v>3211</v>
      </c>
      <c r="N306">
        <v>2851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569</v>
      </c>
      <c r="B310" t="s">
        <v>569</v>
      </c>
      <c r="C310">
        <v>166513</v>
      </c>
      <c r="D310">
        <v>31700</v>
      </c>
      <c r="E310">
        <v>1754</v>
      </c>
      <c r="F310">
        <v>2650</v>
      </c>
      <c r="G310">
        <v>1543</v>
      </c>
      <c r="H310">
        <v>2031</v>
      </c>
      <c r="I310">
        <v>2867</v>
      </c>
      <c r="J310">
        <v>1731</v>
      </c>
      <c r="K310">
        <v>1449</v>
      </c>
      <c r="L310">
        <v>96</v>
      </c>
      <c r="M310">
        <v>2132</v>
      </c>
      <c r="N310">
        <v>2044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 t="s">
        <v>236</v>
      </c>
      <c r="B323" t="s">
        <v>236</v>
      </c>
      <c r="C323">
        <v>230737</v>
      </c>
      <c r="D323">
        <v>39340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E329">
        <v>2482</v>
      </c>
      <c r="F329">
        <v>1093</v>
      </c>
      <c r="G329">
        <v>3026</v>
      </c>
      <c r="H329">
        <v>2021</v>
      </c>
      <c r="I329">
        <v>3218</v>
      </c>
      <c r="J329">
        <v>1820</v>
      </c>
      <c r="K329">
        <v>2602</v>
      </c>
      <c r="L329">
        <v>250</v>
      </c>
      <c r="M329">
        <v>1806</v>
      </c>
      <c r="N329">
        <v>1531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E330">
        <v>1118</v>
      </c>
      <c r="F330">
        <v>1259</v>
      </c>
      <c r="G330">
        <v>1000</v>
      </c>
      <c r="H330">
        <v>2064</v>
      </c>
      <c r="I330">
        <v>1248</v>
      </c>
      <c r="J330">
        <v>1190</v>
      </c>
      <c r="K330">
        <v>1292</v>
      </c>
      <c r="L330">
        <v>216</v>
      </c>
      <c r="M330">
        <v>876</v>
      </c>
      <c r="N330">
        <v>1328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E331">
        <v>1516</v>
      </c>
      <c r="F331">
        <v>2086</v>
      </c>
      <c r="G331">
        <v>2539</v>
      </c>
      <c r="H331">
        <v>2836</v>
      </c>
      <c r="I331">
        <v>2968</v>
      </c>
      <c r="J331">
        <v>1856</v>
      </c>
      <c r="K331">
        <v>3095</v>
      </c>
      <c r="L331">
        <v>275</v>
      </c>
      <c r="M331">
        <v>2159</v>
      </c>
      <c r="N331">
        <v>2506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E332">
        <v>2765</v>
      </c>
      <c r="F332">
        <v>3013</v>
      </c>
      <c r="G332">
        <v>3169</v>
      </c>
      <c r="H332">
        <v>3792</v>
      </c>
      <c r="I332">
        <v>5842</v>
      </c>
      <c r="J332">
        <v>3797</v>
      </c>
      <c r="K332">
        <v>5574</v>
      </c>
      <c r="L332">
        <v>1364</v>
      </c>
      <c r="M332">
        <v>3637</v>
      </c>
      <c r="N332">
        <v>2073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400</v>
      </c>
      <c r="L335">
        <v>0</v>
      </c>
      <c r="M335">
        <v>518</v>
      </c>
      <c r="N335">
        <v>1292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E336">
        <v>4818</v>
      </c>
      <c r="F336">
        <v>2532</v>
      </c>
      <c r="G336">
        <v>3882</v>
      </c>
      <c r="H336">
        <v>4153</v>
      </c>
      <c r="I336">
        <v>2361</v>
      </c>
      <c r="J336">
        <v>1626</v>
      </c>
      <c r="K336">
        <v>3135</v>
      </c>
      <c r="L336">
        <v>613</v>
      </c>
      <c r="M336">
        <v>2375</v>
      </c>
      <c r="N336">
        <v>2758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E346">
        <v>2187</v>
      </c>
      <c r="F346">
        <v>2998</v>
      </c>
      <c r="G346">
        <v>2585</v>
      </c>
      <c r="H346">
        <v>3489</v>
      </c>
      <c r="I346">
        <v>3837</v>
      </c>
      <c r="J346">
        <v>3733</v>
      </c>
      <c r="K346">
        <v>3137</v>
      </c>
      <c r="L346">
        <v>530</v>
      </c>
      <c r="M346">
        <v>1874</v>
      </c>
      <c r="N346">
        <v>2248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E353">
        <v>1831</v>
      </c>
      <c r="F353">
        <v>1922</v>
      </c>
      <c r="G353">
        <v>1829</v>
      </c>
      <c r="H353">
        <v>1987</v>
      </c>
      <c r="I353">
        <v>1583</v>
      </c>
      <c r="J353">
        <v>2713</v>
      </c>
      <c r="K353">
        <v>2437</v>
      </c>
      <c r="L353">
        <v>0</v>
      </c>
      <c r="M353">
        <v>1795</v>
      </c>
      <c r="N353">
        <v>2383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B946-3E2F-472F-8E1F-4ECB2E3B6E00}">
  <sheetPr>
    <tabColor theme="4"/>
  </sheetPr>
  <dimension ref="A1:O354"/>
  <sheetViews>
    <sheetView zoomScale="378" zoomScaleNormal="378"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v>0</v>
      </c>
      <c r="F26">
        <v>7837</v>
      </c>
      <c r="G26">
        <v>8244</v>
      </c>
      <c r="H26">
        <v>8759</v>
      </c>
      <c r="I26">
        <v>10004</v>
      </c>
      <c r="J26">
        <v>9405</v>
      </c>
      <c r="K26">
        <v>5314</v>
      </c>
      <c r="L26">
        <v>0</v>
      </c>
      <c r="M26">
        <v>3435</v>
      </c>
      <c r="N26">
        <v>8033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v>0</v>
      </c>
      <c r="F27">
        <v>4014</v>
      </c>
      <c r="G27">
        <v>7427</v>
      </c>
      <c r="H27">
        <v>5923</v>
      </c>
      <c r="I27">
        <v>3951</v>
      </c>
      <c r="J27">
        <v>6374</v>
      </c>
      <c r="K27">
        <v>9650</v>
      </c>
      <c r="L27">
        <v>0</v>
      </c>
      <c r="M27">
        <v>6256</v>
      </c>
      <c r="N27">
        <v>7698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v>0</v>
      </c>
      <c r="F30">
        <v>1498</v>
      </c>
      <c r="G30">
        <v>2189</v>
      </c>
      <c r="H30">
        <v>3149</v>
      </c>
      <c r="I30">
        <v>3483</v>
      </c>
      <c r="J30">
        <v>3495</v>
      </c>
      <c r="K30">
        <v>2408</v>
      </c>
      <c r="L30">
        <v>0</v>
      </c>
      <c r="M30">
        <v>2495</v>
      </c>
      <c r="N30">
        <v>2593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v>0</v>
      </c>
      <c r="F54">
        <v>4053</v>
      </c>
      <c r="G54">
        <v>6893</v>
      </c>
      <c r="H54">
        <v>8734</v>
      </c>
      <c r="I54">
        <v>14725</v>
      </c>
      <c r="J54">
        <v>7576</v>
      </c>
      <c r="K54">
        <v>7901</v>
      </c>
      <c r="L54">
        <v>0</v>
      </c>
      <c r="M54">
        <v>8132</v>
      </c>
      <c r="N54">
        <v>14532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v>0</v>
      </c>
      <c r="F59">
        <v>11844</v>
      </c>
      <c r="G59">
        <v>6766</v>
      </c>
      <c r="H59">
        <v>7959</v>
      </c>
      <c r="I59">
        <v>14692</v>
      </c>
      <c r="J59">
        <v>13781</v>
      </c>
      <c r="K59">
        <v>27526</v>
      </c>
      <c r="L59">
        <v>0</v>
      </c>
      <c r="M59">
        <v>4018</v>
      </c>
      <c r="N59">
        <v>7894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v>0</v>
      </c>
      <c r="F63">
        <v>10774</v>
      </c>
      <c r="G63">
        <v>9904</v>
      </c>
      <c r="H63">
        <v>9338</v>
      </c>
      <c r="I63">
        <v>9476</v>
      </c>
      <c r="J63">
        <v>7968</v>
      </c>
      <c r="K63">
        <v>7025</v>
      </c>
      <c r="L63">
        <v>0</v>
      </c>
      <c r="M63">
        <v>4184</v>
      </c>
      <c r="N63">
        <v>6181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v>0</v>
      </c>
      <c r="F108">
        <v>13483</v>
      </c>
      <c r="G108">
        <v>10076</v>
      </c>
      <c r="H108">
        <v>8187</v>
      </c>
      <c r="I108">
        <v>9060</v>
      </c>
      <c r="J108">
        <v>10758</v>
      </c>
      <c r="K108">
        <v>8090</v>
      </c>
      <c r="L108">
        <v>0</v>
      </c>
      <c r="M108">
        <v>6456</v>
      </c>
      <c r="N108">
        <v>5931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v>0</v>
      </c>
      <c r="F112">
        <v>2051</v>
      </c>
      <c r="G112">
        <v>0</v>
      </c>
      <c r="H112">
        <v>0</v>
      </c>
      <c r="I112">
        <v>2315</v>
      </c>
      <c r="J112">
        <v>5529</v>
      </c>
      <c r="K112">
        <v>4205</v>
      </c>
      <c r="L112">
        <v>0</v>
      </c>
      <c r="M112">
        <v>2741</v>
      </c>
      <c r="N112">
        <v>3161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1654</v>
      </c>
      <c r="L143">
        <v>0</v>
      </c>
      <c r="M143">
        <v>1017</v>
      </c>
      <c r="N143">
        <v>3808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v>0</v>
      </c>
      <c r="F153">
        <v>4172</v>
      </c>
      <c r="G153">
        <v>3517</v>
      </c>
      <c r="H153">
        <v>3580</v>
      </c>
      <c r="I153">
        <v>4007</v>
      </c>
      <c r="J153">
        <v>3781</v>
      </c>
      <c r="K153">
        <v>3534</v>
      </c>
      <c r="L153">
        <v>0</v>
      </c>
      <c r="M153">
        <v>3605</v>
      </c>
      <c r="N153">
        <v>4377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v>0</v>
      </c>
      <c r="F169">
        <v>46862</v>
      </c>
      <c r="G169">
        <v>42501</v>
      </c>
      <c r="H169">
        <v>39059</v>
      </c>
      <c r="I169">
        <v>35072</v>
      </c>
      <c r="J169">
        <v>42274</v>
      </c>
      <c r="K169">
        <v>38864</v>
      </c>
      <c r="L169">
        <v>0</v>
      </c>
      <c r="M169">
        <v>29846</v>
      </c>
      <c r="N169">
        <v>38110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v>0</v>
      </c>
      <c r="F187">
        <v>4286</v>
      </c>
      <c r="G187">
        <v>4833</v>
      </c>
      <c r="H187">
        <v>3865</v>
      </c>
      <c r="I187">
        <v>4765</v>
      </c>
      <c r="J187">
        <v>4928</v>
      </c>
      <c r="K187">
        <v>7026</v>
      </c>
      <c r="L187">
        <v>0</v>
      </c>
      <c r="M187">
        <v>6612</v>
      </c>
      <c r="N187">
        <v>8694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v>0</v>
      </c>
      <c r="F198">
        <v>22998</v>
      </c>
      <c r="G198">
        <v>16143</v>
      </c>
      <c r="H198">
        <v>15344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v>0</v>
      </c>
      <c r="F202">
        <v>4836</v>
      </c>
      <c r="G202">
        <v>7049</v>
      </c>
      <c r="H202">
        <v>7426</v>
      </c>
      <c r="I202">
        <v>7813</v>
      </c>
      <c r="J202">
        <v>8686</v>
      </c>
      <c r="K202">
        <v>6294</v>
      </c>
      <c r="L202">
        <v>0</v>
      </c>
      <c r="M202">
        <v>13043</v>
      </c>
      <c r="N202">
        <v>10072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v>0</v>
      </c>
      <c r="F211">
        <v>5901</v>
      </c>
      <c r="G211">
        <v>7822</v>
      </c>
      <c r="H211">
        <v>6878</v>
      </c>
      <c r="I211">
        <v>9166</v>
      </c>
      <c r="J211">
        <v>9531</v>
      </c>
      <c r="K211">
        <v>10150</v>
      </c>
      <c r="L211">
        <v>0</v>
      </c>
      <c r="M211">
        <v>7942</v>
      </c>
      <c r="N211">
        <v>11566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v>0</v>
      </c>
      <c r="F222">
        <v>9763</v>
      </c>
      <c r="G222">
        <v>11279</v>
      </c>
      <c r="H222">
        <v>7610</v>
      </c>
      <c r="I222">
        <v>8260</v>
      </c>
      <c r="J222">
        <v>7544</v>
      </c>
      <c r="K222">
        <v>8906</v>
      </c>
      <c r="L222">
        <v>0</v>
      </c>
      <c r="M222">
        <v>8398</v>
      </c>
      <c r="N222">
        <v>14489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v>0</v>
      </c>
      <c r="F229">
        <v>3413</v>
      </c>
      <c r="G229">
        <v>5102</v>
      </c>
      <c r="H229">
        <v>4825</v>
      </c>
      <c r="I229">
        <v>3710</v>
      </c>
      <c r="J229">
        <v>6776</v>
      </c>
      <c r="K229">
        <v>4770</v>
      </c>
      <c r="L229">
        <v>0</v>
      </c>
      <c r="M229">
        <v>3433</v>
      </c>
      <c r="N229">
        <v>8351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v>0</v>
      </c>
      <c r="F230">
        <v>4718</v>
      </c>
      <c r="G230">
        <v>3920</v>
      </c>
      <c r="H230">
        <v>5357</v>
      </c>
      <c r="I230">
        <v>5411</v>
      </c>
      <c r="J230">
        <v>5811</v>
      </c>
      <c r="K230">
        <v>4441</v>
      </c>
      <c r="L230">
        <v>0</v>
      </c>
      <c r="M230">
        <v>2762</v>
      </c>
      <c r="N230">
        <v>3171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v>0</v>
      </c>
      <c r="F233">
        <v>7439</v>
      </c>
      <c r="G233">
        <v>11791</v>
      </c>
      <c r="H233">
        <v>7623</v>
      </c>
      <c r="I233">
        <v>8078</v>
      </c>
      <c r="J233">
        <v>7181</v>
      </c>
      <c r="K233">
        <v>6054</v>
      </c>
      <c r="L233">
        <v>0</v>
      </c>
      <c r="M233">
        <v>6369</v>
      </c>
      <c r="N233">
        <v>11410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v>0</v>
      </c>
      <c r="F239">
        <v>6225</v>
      </c>
      <c r="G239">
        <v>4460</v>
      </c>
      <c r="H239">
        <v>5380</v>
      </c>
      <c r="I239">
        <v>5661</v>
      </c>
      <c r="J239">
        <v>6741</v>
      </c>
      <c r="K239">
        <v>5003</v>
      </c>
      <c r="L239">
        <v>0</v>
      </c>
      <c r="M239">
        <v>0</v>
      </c>
      <c r="N239">
        <v>0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v>0</v>
      </c>
      <c r="F242">
        <v>501</v>
      </c>
      <c r="G242">
        <v>1376</v>
      </c>
      <c r="H242">
        <v>0</v>
      </c>
      <c r="I242">
        <v>2905</v>
      </c>
      <c r="J242">
        <v>1832</v>
      </c>
      <c r="K242">
        <v>1819</v>
      </c>
      <c r="L242">
        <v>0</v>
      </c>
      <c r="M242">
        <v>1428</v>
      </c>
      <c r="N242">
        <v>5728</v>
      </c>
    </row>
    <row r="243" spans="1:14" x14ac:dyDescent="0.2">
      <c r="A243" t="s">
        <v>520</v>
      </c>
      <c r="B243" t="s">
        <v>599</v>
      </c>
      <c r="C243">
        <v>215743</v>
      </c>
      <c r="D243">
        <v>11020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600</v>
      </c>
      <c r="B255" t="s">
        <v>600</v>
      </c>
      <c r="C255">
        <v>140960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201</v>
      </c>
      <c r="B265" t="s">
        <v>201</v>
      </c>
      <c r="C265">
        <v>219471</v>
      </c>
      <c r="D265">
        <v>46820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E281">
        <v>0</v>
      </c>
      <c r="F281">
        <v>5346</v>
      </c>
      <c r="G281">
        <v>4700</v>
      </c>
      <c r="H281">
        <v>2490</v>
      </c>
      <c r="I281">
        <v>3926</v>
      </c>
      <c r="J281">
        <v>4561</v>
      </c>
      <c r="K281">
        <v>4900</v>
      </c>
      <c r="L281">
        <v>0</v>
      </c>
      <c r="M281">
        <v>2763</v>
      </c>
      <c r="N281">
        <v>3702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E306">
        <v>0</v>
      </c>
      <c r="F306">
        <v>3798</v>
      </c>
      <c r="G306">
        <v>2790</v>
      </c>
      <c r="H306">
        <v>4350</v>
      </c>
      <c r="I306">
        <v>4169</v>
      </c>
      <c r="J306">
        <v>3933</v>
      </c>
      <c r="K306">
        <v>3913</v>
      </c>
      <c r="L306">
        <v>0</v>
      </c>
      <c r="M306">
        <v>4215</v>
      </c>
      <c r="N306">
        <v>12472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569</v>
      </c>
      <c r="B310" t="s">
        <v>569</v>
      </c>
      <c r="C310">
        <v>166513</v>
      </c>
      <c r="D310">
        <v>31700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 t="s">
        <v>236</v>
      </c>
      <c r="B323" t="s">
        <v>236</v>
      </c>
      <c r="C323">
        <v>230737</v>
      </c>
      <c r="D323">
        <v>39340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E330">
        <v>0</v>
      </c>
      <c r="F330">
        <v>7798</v>
      </c>
      <c r="G330">
        <v>6669</v>
      </c>
      <c r="H330">
        <v>6016</v>
      </c>
      <c r="I330">
        <v>5046</v>
      </c>
      <c r="J330">
        <v>6075</v>
      </c>
      <c r="K330">
        <v>4795</v>
      </c>
      <c r="L330">
        <v>0</v>
      </c>
      <c r="M330">
        <v>7165</v>
      </c>
      <c r="N330">
        <v>11203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E348">
        <v>0</v>
      </c>
      <c r="F348">
        <v>36523</v>
      </c>
      <c r="G348">
        <v>42398</v>
      </c>
      <c r="H348">
        <v>55315</v>
      </c>
      <c r="I348">
        <v>38505</v>
      </c>
      <c r="J348">
        <v>51347</v>
      </c>
      <c r="K348">
        <v>43910</v>
      </c>
      <c r="L348">
        <v>0</v>
      </c>
      <c r="M348">
        <v>35944</v>
      </c>
      <c r="N348">
        <v>52321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E353">
        <v>0</v>
      </c>
      <c r="F353">
        <v>5404</v>
      </c>
      <c r="G353">
        <v>4891</v>
      </c>
      <c r="H353">
        <v>5183</v>
      </c>
      <c r="I353">
        <v>5072</v>
      </c>
      <c r="J353">
        <v>5354</v>
      </c>
      <c r="K353">
        <v>4971</v>
      </c>
      <c r="L353">
        <v>0</v>
      </c>
      <c r="M353">
        <v>8077</v>
      </c>
      <c r="N353">
        <v>11390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9F10-37DE-4537-81BB-3CC6E24C7170}">
  <sheetPr>
    <tabColor theme="4"/>
  </sheetPr>
  <dimension ref="A1:O354"/>
  <sheetViews>
    <sheetView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0</v>
      </c>
      <c r="F2">
        <v>4309</v>
      </c>
      <c r="G2">
        <v>3596</v>
      </c>
      <c r="H2">
        <v>2645</v>
      </c>
      <c r="I2">
        <v>3238</v>
      </c>
      <c r="J2">
        <v>3820</v>
      </c>
      <c r="K2">
        <v>1082</v>
      </c>
      <c r="L2">
        <v>1679</v>
      </c>
      <c r="M2">
        <v>2438</v>
      </c>
      <c r="N2">
        <v>2444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2623</v>
      </c>
      <c r="F3">
        <v>2817</v>
      </c>
      <c r="G3">
        <v>3375</v>
      </c>
      <c r="H3">
        <v>4500</v>
      </c>
      <c r="I3">
        <v>2257</v>
      </c>
      <c r="J3">
        <v>4643</v>
      </c>
      <c r="K3">
        <v>912</v>
      </c>
      <c r="L3">
        <v>1903</v>
      </c>
      <c r="M3">
        <v>3045</v>
      </c>
      <c r="N3">
        <v>2599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2167</v>
      </c>
      <c r="F4">
        <v>2762</v>
      </c>
      <c r="G4">
        <v>3300</v>
      </c>
      <c r="H4">
        <v>2181</v>
      </c>
      <c r="I4">
        <v>3329</v>
      </c>
      <c r="J4">
        <v>2403</v>
      </c>
      <c r="K4">
        <v>3077</v>
      </c>
      <c r="L4">
        <v>450</v>
      </c>
      <c r="M4">
        <v>1195</v>
      </c>
      <c r="N4">
        <v>1428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3062</v>
      </c>
      <c r="F5">
        <v>4153</v>
      </c>
      <c r="G5">
        <v>4732</v>
      </c>
      <c r="H5">
        <v>3069</v>
      </c>
      <c r="I5">
        <v>4430</v>
      </c>
      <c r="J5">
        <v>3124</v>
      </c>
      <c r="K5">
        <v>1621</v>
      </c>
      <c r="L5">
        <v>412</v>
      </c>
      <c r="M5">
        <v>1358</v>
      </c>
      <c r="N5">
        <v>2212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5534</v>
      </c>
      <c r="F6">
        <v>6768</v>
      </c>
      <c r="G6">
        <v>7192</v>
      </c>
      <c r="H6">
        <v>5752</v>
      </c>
      <c r="I6">
        <v>6465</v>
      </c>
      <c r="J6">
        <v>5578</v>
      </c>
      <c r="K6">
        <v>4236</v>
      </c>
      <c r="L6">
        <v>1066</v>
      </c>
      <c r="M6">
        <v>4717</v>
      </c>
      <c r="N6">
        <v>13642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0</v>
      </c>
      <c r="F7">
        <v>409</v>
      </c>
      <c r="G7">
        <v>350</v>
      </c>
      <c r="H7">
        <v>221</v>
      </c>
      <c r="I7">
        <v>1182</v>
      </c>
      <c r="J7">
        <v>304</v>
      </c>
      <c r="K7">
        <v>45</v>
      </c>
      <c r="L7">
        <v>119</v>
      </c>
      <c r="M7">
        <v>264</v>
      </c>
      <c r="N7">
        <v>441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1189</v>
      </c>
      <c r="F8">
        <v>740</v>
      </c>
      <c r="G8">
        <v>632</v>
      </c>
      <c r="H8">
        <v>1137</v>
      </c>
      <c r="I8">
        <v>1148</v>
      </c>
      <c r="J8">
        <v>636</v>
      </c>
      <c r="K8">
        <v>0</v>
      </c>
      <c r="L8">
        <v>530</v>
      </c>
      <c r="M8">
        <v>480</v>
      </c>
      <c r="N8">
        <v>585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245</v>
      </c>
      <c r="F9">
        <v>298</v>
      </c>
      <c r="G9">
        <v>95</v>
      </c>
      <c r="H9">
        <v>289</v>
      </c>
      <c r="I9">
        <v>749</v>
      </c>
      <c r="J9">
        <v>491</v>
      </c>
      <c r="K9">
        <v>382</v>
      </c>
      <c r="L9">
        <v>387</v>
      </c>
      <c r="M9">
        <v>560</v>
      </c>
      <c r="N9">
        <v>779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0</v>
      </c>
      <c r="F10">
        <v>1696</v>
      </c>
      <c r="G10">
        <v>1888</v>
      </c>
      <c r="H10">
        <v>2227</v>
      </c>
      <c r="I10">
        <v>1944</v>
      </c>
      <c r="J10">
        <v>1934</v>
      </c>
      <c r="K10">
        <v>1653</v>
      </c>
      <c r="L10">
        <v>0</v>
      </c>
      <c r="M10">
        <v>1786</v>
      </c>
      <c r="N10">
        <v>2263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2811</v>
      </c>
      <c r="F11">
        <v>2990</v>
      </c>
      <c r="G11">
        <v>3508</v>
      </c>
      <c r="H11">
        <v>2426</v>
      </c>
      <c r="I11">
        <v>2585</v>
      </c>
      <c r="J11">
        <v>2255</v>
      </c>
      <c r="K11">
        <v>2737</v>
      </c>
      <c r="L11">
        <v>190</v>
      </c>
      <c r="M11">
        <v>3186</v>
      </c>
      <c r="N11">
        <v>2641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5613</v>
      </c>
      <c r="F12">
        <v>5024</v>
      </c>
      <c r="G12">
        <v>10080</v>
      </c>
      <c r="H12">
        <v>5822</v>
      </c>
      <c r="I12">
        <v>7125</v>
      </c>
      <c r="J12">
        <v>9314</v>
      </c>
      <c r="K12">
        <v>9594</v>
      </c>
      <c r="L12">
        <v>0</v>
      </c>
      <c r="M12">
        <v>5547</v>
      </c>
      <c r="N12">
        <v>5311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0</v>
      </c>
      <c r="F13">
        <v>9085</v>
      </c>
      <c r="G13">
        <v>5797</v>
      </c>
      <c r="H13">
        <v>6529</v>
      </c>
      <c r="I13">
        <v>7452</v>
      </c>
      <c r="J13">
        <v>7282</v>
      </c>
      <c r="K13">
        <v>7712</v>
      </c>
      <c r="L13">
        <v>1029</v>
      </c>
      <c r="M13">
        <v>6557</v>
      </c>
      <c r="N13">
        <v>9333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463</v>
      </c>
      <c r="F14">
        <v>594</v>
      </c>
      <c r="G14">
        <v>238</v>
      </c>
      <c r="H14">
        <v>672</v>
      </c>
      <c r="I14">
        <v>371</v>
      </c>
      <c r="J14">
        <v>517</v>
      </c>
      <c r="K14">
        <v>91</v>
      </c>
      <c r="L14">
        <v>110</v>
      </c>
      <c r="M14">
        <v>340</v>
      </c>
      <c r="N14">
        <v>1098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10786</v>
      </c>
      <c r="F15">
        <v>12231</v>
      </c>
      <c r="G15">
        <v>12835</v>
      </c>
      <c r="H15">
        <v>15115</v>
      </c>
      <c r="I15">
        <v>13538</v>
      </c>
      <c r="J15">
        <v>9804</v>
      </c>
      <c r="K15">
        <v>10561</v>
      </c>
      <c r="L15">
        <v>1818</v>
      </c>
      <c r="M15">
        <v>16912</v>
      </c>
      <c r="N15">
        <v>17126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910</v>
      </c>
      <c r="F16">
        <v>1083</v>
      </c>
      <c r="G16">
        <v>1317</v>
      </c>
      <c r="H16">
        <v>1313</v>
      </c>
      <c r="I16">
        <v>1238</v>
      </c>
      <c r="J16">
        <v>1327</v>
      </c>
      <c r="K16">
        <v>488</v>
      </c>
      <c r="L16">
        <v>1905</v>
      </c>
      <c r="M16">
        <v>1747</v>
      </c>
      <c r="N16">
        <v>2000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v>5175</v>
      </c>
      <c r="F17">
        <v>6383</v>
      </c>
      <c r="G17">
        <v>4148</v>
      </c>
      <c r="H17">
        <v>2351</v>
      </c>
      <c r="I17">
        <v>5115</v>
      </c>
      <c r="J17">
        <v>6017</v>
      </c>
      <c r="K17">
        <v>2637</v>
      </c>
      <c r="L17">
        <v>305</v>
      </c>
      <c r="M17">
        <v>2469</v>
      </c>
      <c r="N17">
        <v>3927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v>6764</v>
      </c>
      <c r="F18">
        <v>5462</v>
      </c>
      <c r="G18">
        <v>6508</v>
      </c>
      <c r="H18">
        <v>8407</v>
      </c>
      <c r="I18">
        <v>4857</v>
      </c>
      <c r="J18">
        <v>5359</v>
      </c>
      <c r="K18">
        <v>3090</v>
      </c>
      <c r="L18">
        <v>1542</v>
      </c>
      <c r="M18">
        <v>7228</v>
      </c>
      <c r="N18">
        <v>8370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v>2139</v>
      </c>
      <c r="F19">
        <v>3528</v>
      </c>
      <c r="G19">
        <v>3048</v>
      </c>
      <c r="H19">
        <v>3192</v>
      </c>
      <c r="I19">
        <v>2935</v>
      </c>
      <c r="J19">
        <v>1666</v>
      </c>
      <c r="K19">
        <v>100</v>
      </c>
      <c r="L19">
        <v>842</v>
      </c>
      <c r="M19">
        <v>1592</v>
      </c>
      <c r="N19">
        <v>2763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v>2842</v>
      </c>
      <c r="F20">
        <v>3043</v>
      </c>
      <c r="G20">
        <v>2982</v>
      </c>
      <c r="H20">
        <v>3960</v>
      </c>
      <c r="I20">
        <v>3088</v>
      </c>
      <c r="J20">
        <v>1718</v>
      </c>
      <c r="K20">
        <v>1246</v>
      </c>
      <c r="L20">
        <v>307</v>
      </c>
      <c r="M20">
        <v>1048</v>
      </c>
      <c r="N20">
        <v>1639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v>6064</v>
      </c>
      <c r="F21">
        <v>5980</v>
      </c>
      <c r="G21">
        <v>4659</v>
      </c>
      <c r="H21">
        <v>4618</v>
      </c>
      <c r="I21">
        <v>5452</v>
      </c>
      <c r="J21">
        <v>10639</v>
      </c>
      <c r="K21">
        <v>4795</v>
      </c>
      <c r="L21">
        <v>2238</v>
      </c>
      <c r="M21">
        <v>4435</v>
      </c>
      <c r="N21">
        <v>4213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v>1363</v>
      </c>
      <c r="F22">
        <v>2067</v>
      </c>
      <c r="G22">
        <v>2111</v>
      </c>
      <c r="H22">
        <v>2426</v>
      </c>
      <c r="I22">
        <v>4224</v>
      </c>
      <c r="J22">
        <v>3047</v>
      </c>
      <c r="K22">
        <v>2108</v>
      </c>
      <c r="L22">
        <v>359</v>
      </c>
      <c r="M22">
        <v>1151</v>
      </c>
      <c r="N22">
        <v>1096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v>1541</v>
      </c>
      <c r="F24">
        <v>4199</v>
      </c>
      <c r="G24">
        <v>2837</v>
      </c>
      <c r="H24">
        <v>4342</v>
      </c>
      <c r="I24">
        <v>3169</v>
      </c>
      <c r="J24">
        <v>1894</v>
      </c>
      <c r="K24">
        <v>1904</v>
      </c>
      <c r="L24">
        <v>160</v>
      </c>
      <c r="M24">
        <v>1928</v>
      </c>
      <c r="N24">
        <v>3601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v>3066</v>
      </c>
      <c r="F25">
        <v>3149</v>
      </c>
      <c r="G25">
        <v>4356</v>
      </c>
      <c r="H25">
        <v>3736</v>
      </c>
      <c r="I25">
        <v>4111</v>
      </c>
      <c r="J25">
        <v>5431</v>
      </c>
      <c r="K25">
        <v>5334</v>
      </c>
      <c r="L25">
        <v>637</v>
      </c>
      <c r="M25">
        <v>4904</v>
      </c>
      <c r="N25">
        <v>7278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v>8001</v>
      </c>
      <c r="F26">
        <v>2440</v>
      </c>
      <c r="G26">
        <v>5315</v>
      </c>
      <c r="H26">
        <v>5110</v>
      </c>
      <c r="I26">
        <v>5244</v>
      </c>
      <c r="J26">
        <v>6230</v>
      </c>
      <c r="K26">
        <v>5023</v>
      </c>
      <c r="L26">
        <v>59</v>
      </c>
      <c r="M26">
        <v>2708</v>
      </c>
      <c r="N26">
        <v>3601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v>0</v>
      </c>
      <c r="F27">
        <v>2779</v>
      </c>
      <c r="G27">
        <v>2311</v>
      </c>
      <c r="H27">
        <v>3618</v>
      </c>
      <c r="I27">
        <v>2285</v>
      </c>
      <c r="J27">
        <v>5430</v>
      </c>
      <c r="K27">
        <v>6680</v>
      </c>
      <c r="L27">
        <v>0</v>
      </c>
      <c r="M27">
        <v>7537</v>
      </c>
      <c r="N27">
        <v>6164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v>3441</v>
      </c>
      <c r="F28">
        <v>2205</v>
      </c>
      <c r="G28">
        <v>3790</v>
      </c>
      <c r="H28">
        <v>3506</v>
      </c>
      <c r="I28">
        <v>3074</v>
      </c>
      <c r="J28">
        <v>5108</v>
      </c>
      <c r="K28">
        <v>4604</v>
      </c>
      <c r="L28">
        <v>970</v>
      </c>
      <c r="M28">
        <v>4322</v>
      </c>
      <c r="N28">
        <v>3799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v>0</v>
      </c>
      <c r="F30">
        <v>2308</v>
      </c>
      <c r="G30">
        <v>5094</v>
      </c>
      <c r="H30">
        <v>4037</v>
      </c>
      <c r="I30">
        <v>3555</v>
      </c>
      <c r="J30">
        <v>4070</v>
      </c>
      <c r="K30">
        <v>5762</v>
      </c>
      <c r="L30">
        <v>0</v>
      </c>
      <c r="M30">
        <v>4000</v>
      </c>
      <c r="N30">
        <v>5305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v>0</v>
      </c>
      <c r="F31">
        <v>1549</v>
      </c>
      <c r="G31">
        <v>466</v>
      </c>
      <c r="H31">
        <v>675</v>
      </c>
      <c r="I31">
        <v>1813</v>
      </c>
      <c r="J31">
        <v>1140</v>
      </c>
      <c r="K31">
        <v>1717</v>
      </c>
      <c r="L31">
        <v>70</v>
      </c>
      <c r="M31">
        <v>1415</v>
      </c>
      <c r="N31">
        <v>1628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v>4305</v>
      </c>
      <c r="F32">
        <v>2450</v>
      </c>
      <c r="G32">
        <v>3775</v>
      </c>
      <c r="H32">
        <v>4466</v>
      </c>
      <c r="I32">
        <v>3770</v>
      </c>
      <c r="J32">
        <v>2985</v>
      </c>
      <c r="K32">
        <v>4235</v>
      </c>
      <c r="L32">
        <v>260</v>
      </c>
      <c r="M32">
        <v>3896</v>
      </c>
      <c r="N32">
        <v>3486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v>0</v>
      </c>
      <c r="F33">
        <v>3244</v>
      </c>
      <c r="G33">
        <v>3114</v>
      </c>
      <c r="H33">
        <v>2028</v>
      </c>
      <c r="I33">
        <v>1713</v>
      </c>
      <c r="J33">
        <v>2959</v>
      </c>
      <c r="K33">
        <v>960</v>
      </c>
      <c r="L33">
        <v>75</v>
      </c>
      <c r="M33">
        <v>2068</v>
      </c>
      <c r="N33">
        <v>4257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v>0</v>
      </c>
      <c r="F34">
        <v>2800</v>
      </c>
      <c r="G34">
        <v>4854</v>
      </c>
      <c r="H34">
        <v>3393</v>
      </c>
      <c r="I34">
        <v>4230</v>
      </c>
      <c r="J34">
        <v>3574</v>
      </c>
      <c r="K34">
        <v>1982</v>
      </c>
      <c r="L34">
        <v>780</v>
      </c>
      <c r="M34">
        <v>3755</v>
      </c>
      <c r="N34">
        <v>4879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v>33532</v>
      </c>
      <c r="F35">
        <v>26237</v>
      </c>
      <c r="G35">
        <v>38466</v>
      </c>
      <c r="H35">
        <v>29574</v>
      </c>
      <c r="I35">
        <v>33067</v>
      </c>
      <c r="J35">
        <v>16668</v>
      </c>
      <c r="K35">
        <v>35339</v>
      </c>
      <c r="L35">
        <v>2195</v>
      </c>
      <c r="M35">
        <v>32670</v>
      </c>
      <c r="N35">
        <v>35041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v>3671</v>
      </c>
      <c r="F36">
        <v>4978</v>
      </c>
      <c r="G36">
        <v>10808</v>
      </c>
      <c r="H36">
        <v>3672</v>
      </c>
      <c r="I36">
        <v>5965</v>
      </c>
      <c r="J36">
        <v>7023</v>
      </c>
      <c r="K36">
        <v>5935</v>
      </c>
      <c r="L36">
        <v>0</v>
      </c>
      <c r="M36">
        <v>7723</v>
      </c>
      <c r="N36">
        <v>9377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v>8233</v>
      </c>
      <c r="F37">
        <v>7942</v>
      </c>
      <c r="G37">
        <v>6948</v>
      </c>
      <c r="H37">
        <v>6874</v>
      </c>
      <c r="I37">
        <v>5461</v>
      </c>
      <c r="J37">
        <v>5548</v>
      </c>
      <c r="K37">
        <v>6601</v>
      </c>
      <c r="L37">
        <v>0</v>
      </c>
      <c r="M37">
        <v>10799</v>
      </c>
      <c r="N37">
        <v>7887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v>4844</v>
      </c>
      <c r="F38">
        <v>6429</v>
      </c>
      <c r="G38">
        <v>4161</v>
      </c>
      <c r="H38">
        <v>8022</v>
      </c>
      <c r="I38">
        <v>5535</v>
      </c>
      <c r="J38">
        <v>5544</v>
      </c>
      <c r="K38">
        <v>4515</v>
      </c>
      <c r="L38">
        <v>98</v>
      </c>
      <c r="M38">
        <v>3944</v>
      </c>
      <c r="N38">
        <v>7266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2112</v>
      </c>
      <c r="K39">
        <v>1481</v>
      </c>
      <c r="L39">
        <v>0</v>
      </c>
      <c r="M39">
        <v>967</v>
      </c>
      <c r="N39">
        <v>6206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v>0</v>
      </c>
      <c r="F40">
        <v>2356</v>
      </c>
      <c r="G40">
        <v>2188</v>
      </c>
      <c r="H40">
        <v>2966</v>
      </c>
      <c r="I40">
        <v>3317</v>
      </c>
      <c r="J40">
        <v>1892</v>
      </c>
      <c r="K40">
        <v>2540</v>
      </c>
      <c r="L40">
        <v>530</v>
      </c>
      <c r="M40">
        <v>2667</v>
      </c>
      <c r="N40">
        <v>2398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v>1914</v>
      </c>
      <c r="F41">
        <v>2245</v>
      </c>
      <c r="G41">
        <v>1780</v>
      </c>
      <c r="H41">
        <v>2031</v>
      </c>
      <c r="I41">
        <v>2726</v>
      </c>
      <c r="J41">
        <v>2191</v>
      </c>
      <c r="K41">
        <v>1888</v>
      </c>
      <c r="L41">
        <v>275</v>
      </c>
      <c r="M41">
        <v>1465</v>
      </c>
      <c r="N41">
        <v>1503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v>2500</v>
      </c>
      <c r="F42">
        <v>1473</v>
      </c>
      <c r="G42">
        <v>2976</v>
      </c>
      <c r="H42">
        <v>3623</v>
      </c>
      <c r="I42">
        <v>2799</v>
      </c>
      <c r="J42">
        <v>2686</v>
      </c>
      <c r="K42">
        <v>1849</v>
      </c>
      <c r="L42">
        <v>1503</v>
      </c>
      <c r="M42">
        <v>1806</v>
      </c>
      <c r="N42">
        <v>2127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v>4918</v>
      </c>
      <c r="F43">
        <v>7632</v>
      </c>
      <c r="G43">
        <v>5265</v>
      </c>
      <c r="H43">
        <v>3751</v>
      </c>
      <c r="I43">
        <v>5922</v>
      </c>
      <c r="J43">
        <v>7977</v>
      </c>
      <c r="K43">
        <v>6428</v>
      </c>
      <c r="L43">
        <v>0</v>
      </c>
      <c r="M43">
        <v>3800</v>
      </c>
      <c r="N43">
        <v>2866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v>2932</v>
      </c>
      <c r="F44">
        <v>1345</v>
      </c>
      <c r="G44">
        <v>1910</v>
      </c>
      <c r="H44">
        <v>2044</v>
      </c>
      <c r="I44">
        <v>2102</v>
      </c>
      <c r="J44">
        <v>2328</v>
      </c>
      <c r="K44">
        <v>1610</v>
      </c>
      <c r="L44">
        <v>250</v>
      </c>
      <c r="M44">
        <v>1835</v>
      </c>
      <c r="N44">
        <v>1748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v>1307</v>
      </c>
      <c r="F45">
        <v>1128</v>
      </c>
      <c r="G45">
        <v>1487</v>
      </c>
      <c r="H45">
        <v>1276</v>
      </c>
      <c r="I45">
        <v>1402</v>
      </c>
      <c r="J45">
        <v>1500</v>
      </c>
      <c r="K45">
        <v>961</v>
      </c>
      <c r="L45">
        <v>410</v>
      </c>
      <c r="M45">
        <v>642</v>
      </c>
      <c r="N45">
        <v>797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v>8014</v>
      </c>
      <c r="F46">
        <v>4619</v>
      </c>
      <c r="G46">
        <v>6930</v>
      </c>
      <c r="H46">
        <v>5880</v>
      </c>
      <c r="I46">
        <v>8084</v>
      </c>
      <c r="J46">
        <v>6821</v>
      </c>
      <c r="K46">
        <v>6979</v>
      </c>
      <c r="L46">
        <v>701</v>
      </c>
      <c r="M46">
        <v>4680</v>
      </c>
      <c r="N46">
        <v>5430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v>5240</v>
      </c>
      <c r="F47">
        <v>2070</v>
      </c>
      <c r="G47">
        <v>1787</v>
      </c>
      <c r="H47">
        <v>2565</v>
      </c>
      <c r="I47">
        <v>1726</v>
      </c>
      <c r="J47">
        <v>2696</v>
      </c>
      <c r="K47">
        <v>1578</v>
      </c>
      <c r="L47">
        <v>894</v>
      </c>
      <c r="M47">
        <v>2520</v>
      </c>
      <c r="N47">
        <v>2455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v>0</v>
      </c>
      <c r="F48">
        <v>813</v>
      </c>
      <c r="G48">
        <v>803</v>
      </c>
      <c r="H48">
        <v>569</v>
      </c>
      <c r="I48">
        <v>478</v>
      </c>
      <c r="J48">
        <v>521</v>
      </c>
      <c r="K48">
        <v>412</v>
      </c>
      <c r="L48">
        <v>15</v>
      </c>
      <c r="M48">
        <v>401</v>
      </c>
      <c r="N48">
        <v>275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v>2978</v>
      </c>
      <c r="F49">
        <v>5930</v>
      </c>
      <c r="G49">
        <v>6740</v>
      </c>
      <c r="H49">
        <v>9809</v>
      </c>
      <c r="I49">
        <v>6761</v>
      </c>
      <c r="J49">
        <v>3976</v>
      </c>
      <c r="K49">
        <v>7264</v>
      </c>
      <c r="L49">
        <v>2022</v>
      </c>
      <c r="M49">
        <v>3708</v>
      </c>
      <c r="N49">
        <v>5359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v>5300</v>
      </c>
      <c r="F50">
        <v>7059</v>
      </c>
      <c r="G50">
        <v>7864</v>
      </c>
      <c r="H50">
        <v>5780</v>
      </c>
      <c r="I50">
        <v>11515</v>
      </c>
      <c r="J50">
        <v>8059</v>
      </c>
      <c r="K50">
        <v>10083</v>
      </c>
      <c r="L50">
        <v>2665</v>
      </c>
      <c r="M50">
        <v>4048</v>
      </c>
      <c r="N50">
        <v>5828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v>1963</v>
      </c>
      <c r="F51">
        <v>1658</v>
      </c>
      <c r="G51">
        <v>1467</v>
      </c>
      <c r="H51">
        <v>1307</v>
      </c>
      <c r="I51">
        <v>1337</v>
      </c>
      <c r="J51">
        <v>2138</v>
      </c>
      <c r="K51">
        <v>1606</v>
      </c>
      <c r="L51">
        <v>0</v>
      </c>
      <c r="M51">
        <v>2014</v>
      </c>
      <c r="N51">
        <v>1920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v>2299</v>
      </c>
      <c r="F52">
        <v>2324</v>
      </c>
      <c r="G52">
        <v>1248</v>
      </c>
      <c r="H52">
        <v>1876</v>
      </c>
      <c r="I52">
        <v>1304</v>
      </c>
      <c r="J52">
        <v>488</v>
      </c>
      <c r="K52">
        <v>1095</v>
      </c>
      <c r="L52">
        <v>727</v>
      </c>
      <c r="M52">
        <v>2012</v>
      </c>
      <c r="N52">
        <v>1864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v>2285</v>
      </c>
      <c r="F53">
        <v>2393</v>
      </c>
      <c r="G53">
        <v>2920</v>
      </c>
      <c r="H53">
        <v>2559</v>
      </c>
      <c r="I53">
        <v>2640</v>
      </c>
      <c r="J53">
        <v>2903</v>
      </c>
      <c r="K53">
        <v>2775</v>
      </c>
      <c r="L53">
        <v>627</v>
      </c>
      <c r="M53">
        <v>2259</v>
      </c>
      <c r="N53">
        <v>2412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v>2597</v>
      </c>
      <c r="F54">
        <v>4626</v>
      </c>
      <c r="G54">
        <v>2210</v>
      </c>
      <c r="H54">
        <v>4637</v>
      </c>
      <c r="I54">
        <v>3804</v>
      </c>
      <c r="J54">
        <v>3443</v>
      </c>
      <c r="K54">
        <v>2315</v>
      </c>
      <c r="L54">
        <v>0</v>
      </c>
      <c r="M54">
        <v>1813</v>
      </c>
      <c r="N54">
        <v>2351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v>10522</v>
      </c>
      <c r="F55">
        <v>11950</v>
      </c>
      <c r="G55">
        <v>8229</v>
      </c>
      <c r="H55">
        <v>11402</v>
      </c>
      <c r="I55">
        <v>10497</v>
      </c>
      <c r="J55">
        <v>9805</v>
      </c>
      <c r="K55">
        <v>11048</v>
      </c>
      <c r="L55">
        <v>574</v>
      </c>
      <c r="M55">
        <v>7501</v>
      </c>
      <c r="N55">
        <v>10571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3023</v>
      </c>
      <c r="G56">
        <v>5507</v>
      </c>
      <c r="H56">
        <v>4316</v>
      </c>
      <c r="I56">
        <v>7018</v>
      </c>
      <c r="J56">
        <v>8256</v>
      </c>
      <c r="K56">
        <v>1164</v>
      </c>
      <c r="L56">
        <v>0</v>
      </c>
      <c r="M56">
        <v>5886</v>
      </c>
      <c r="N56">
        <v>2346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v>1747</v>
      </c>
      <c r="F57">
        <v>1528</v>
      </c>
      <c r="G57">
        <v>1639</v>
      </c>
      <c r="H57">
        <v>748</v>
      </c>
      <c r="I57">
        <v>3354</v>
      </c>
      <c r="J57">
        <v>2111</v>
      </c>
      <c r="K57">
        <v>1648</v>
      </c>
      <c r="L57">
        <v>0</v>
      </c>
      <c r="M57">
        <v>1355</v>
      </c>
      <c r="N57">
        <v>1528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v>1440</v>
      </c>
      <c r="F59">
        <v>1599</v>
      </c>
      <c r="G59">
        <v>1412</v>
      </c>
      <c r="H59">
        <v>1316</v>
      </c>
      <c r="I59">
        <v>1258</v>
      </c>
      <c r="J59">
        <v>1281</v>
      </c>
      <c r="K59">
        <v>943</v>
      </c>
      <c r="L59">
        <v>0</v>
      </c>
      <c r="M59">
        <v>1411</v>
      </c>
      <c r="N59">
        <v>1229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v>6080</v>
      </c>
      <c r="F60">
        <v>4421</v>
      </c>
      <c r="G60">
        <v>5232</v>
      </c>
      <c r="H60">
        <v>6399</v>
      </c>
      <c r="I60">
        <v>6166</v>
      </c>
      <c r="J60">
        <v>3914</v>
      </c>
      <c r="K60">
        <v>9308</v>
      </c>
      <c r="L60">
        <v>551</v>
      </c>
      <c r="M60">
        <v>5151</v>
      </c>
      <c r="N60">
        <v>4194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v>3166</v>
      </c>
      <c r="F61">
        <v>1841</v>
      </c>
      <c r="G61">
        <v>5495</v>
      </c>
      <c r="H61">
        <v>4671</v>
      </c>
      <c r="I61">
        <v>3581</v>
      </c>
      <c r="J61">
        <v>2710</v>
      </c>
      <c r="K61">
        <v>2018</v>
      </c>
      <c r="L61">
        <v>0</v>
      </c>
      <c r="M61">
        <v>3098</v>
      </c>
      <c r="N61">
        <v>3003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v>3818</v>
      </c>
      <c r="F62">
        <v>4575</v>
      </c>
      <c r="G62">
        <v>3708</v>
      </c>
      <c r="H62">
        <v>4552</v>
      </c>
      <c r="I62">
        <v>4893</v>
      </c>
      <c r="J62">
        <v>3501</v>
      </c>
      <c r="K62">
        <v>4132</v>
      </c>
      <c r="L62">
        <v>0</v>
      </c>
      <c r="M62">
        <v>2797</v>
      </c>
      <c r="N62">
        <v>2281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v>3533</v>
      </c>
      <c r="F63">
        <v>4410</v>
      </c>
      <c r="G63">
        <v>3241</v>
      </c>
      <c r="H63">
        <v>4977</v>
      </c>
      <c r="I63">
        <v>1599</v>
      </c>
      <c r="J63">
        <v>2679</v>
      </c>
      <c r="K63">
        <v>2187</v>
      </c>
      <c r="L63">
        <v>0</v>
      </c>
      <c r="M63">
        <v>2784</v>
      </c>
      <c r="N63">
        <v>2786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v>4188</v>
      </c>
      <c r="F64">
        <v>4588</v>
      </c>
      <c r="G64">
        <v>4003</v>
      </c>
      <c r="H64">
        <v>4040</v>
      </c>
      <c r="I64">
        <v>4560</v>
      </c>
      <c r="J64">
        <v>2966</v>
      </c>
      <c r="K64">
        <v>3868</v>
      </c>
      <c r="L64">
        <v>424</v>
      </c>
      <c r="M64">
        <v>4065</v>
      </c>
      <c r="N64">
        <v>5541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v>3653</v>
      </c>
      <c r="F65">
        <v>9716</v>
      </c>
      <c r="G65">
        <v>8331</v>
      </c>
      <c r="H65">
        <v>4311</v>
      </c>
      <c r="I65">
        <v>3156</v>
      </c>
      <c r="J65">
        <v>4768</v>
      </c>
      <c r="K65">
        <v>4778</v>
      </c>
      <c r="L65">
        <v>916</v>
      </c>
      <c r="M65">
        <v>3318</v>
      </c>
      <c r="N65">
        <v>5456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v>1832</v>
      </c>
      <c r="F66">
        <v>2809</v>
      </c>
      <c r="G66">
        <v>2744</v>
      </c>
      <c r="H66">
        <v>2700</v>
      </c>
      <c r="I66">
        <v>3100</v>
      </c>
      <c r="J66">
        <v>1497</v>
      </c>
      <c r="K66">
        <v>2079</v>
      </c>
      <c r="L66">
        <v>180</v>
      </c>
      <c r="M66">
        <v>2873</v>
      </c>
      <c r="N66">
        <v>2138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v>716</v>
      </c>
      <c r="F67">
        <v>1138</v>
      </c>
      <c r="G67">
        <v>872</v>
      </c>
      <c r="H67">
        <v>681</v>
      </c>
      <c r="I67">
        <v>552</v>
      </c>
      <c r="J67">
        <v>1301</v>
      </c>
      <c r="K67">
        <v>1210</v>
      </c>
      <c r="L67">
        <v>0</v>
      </c>
      <c r="M67">
        <v>1350</v>
      </c>
      <c r="N67">
        <v>1854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v>5788</v>
      </c>
      <c r="F68">
        <v>5343</v>
      </c>
      <c r="G68">
        <v>5109</v>
      </c>
      <c r="H68">
        <v>4243</v>
      </c>
      <c r="I68">
        <v>5598</v>
      </c>
      <c r="J68">
        <v>4843</v>
      </c>
      <c r="K68">
        <v>2929</v>
      </c>
      <c r="L68">
        <v>422</v>
      </c>
      <c r="M68">
        <v>7654</v>
      </c>
      <c r="N68">
        <v>5810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v>2723</v>
      </c>
      <c r="F69">
        <v>3134</v>
      </c>
      <c r="G69">
        <v>3861</v>
      </c>
      <c r="H69">
        <v>1883</v>
      </c>
      <c r="I69">
        <v>1747</v>
      </c>
      <c r="J69">
        <v>2068</v>
      </c>
      <c r="K69">
        <v>2052</v>
      </c>
      <c r="L69">
        <v>125</v>
      </c>
      <c r="M69">
        <v>2930</v>
      </c>
      <c r="N69">
        <v>2490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v>649</v>
      </c>
      <c r="F70">
        <v>733</v>
      </c>
      <c r="G70">
        <v>1294</v>
      </c>
      <c r="H70">
        <v>1079</v>
      </c>
      <c r="I70">
        <v>1479</v>
      </c>
      <c r="J70">
        <v>949</v>
      </c>
      <c r="K70">
        <v>1220</v>
      </c>
      <c r="L70">
        <v>75</v>
      </c>
      <c r="M70">
        <v>997</v>
      </c>
      <c r="N70">
        <v>1420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v>0</v>
      </c>
      <c r="F71">
        <v>2294</v>
      </c>
      <c r="G71">
        <v>2628</v>
      </c>
      <c r="H71">
        <v>1290</v>
      </c>
      <c r="I71">
        <v>1850</v>
      </c>
      <c r="J71">
        <v>833</v>
      </c>
      <c r="K71">
        <v>3775</v>
      </c>
      <c r="L71">
        <v>334</v>
      </c>
      <c r="M71">
        <v>2199</v>
      </c>
      <c r="N71">
        <v>1603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v>1508</v>
      </c>
      <c r="F72">
        <v>2405</v>
      </c>
      <c r="G72">
        <v>1541</v>
      </c>
      <c r="H72">
        <v>2527</v>
      </c>
      <c r="I72">
        <v>2244</v>
      </c>
      <c r="J72">
        <v>2442</v>
      </c>
      <c r="K72">
        <v>3375</v>
      </c>
      <c r="L72">
        <v>50</v>
      </c>
      <c r="M72">
        <v>1822</v>
      </c>
      <c r="N72">
        <v>2666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v>9440</v>
      </c>
      <c r="F73">
        <v>7736</v>
      </c>
      <c r="G73">
        <v>6753</v>
      </c>
      <c r="H73">
        <v>11921</v>
      </c>
      <c r="I73">
        <v>10170</v>
      </c>
      <c r="J73">
        <v>10076</v>
      </c>
      <c r="K73">
        <v>7959</v>
      </c>
      <c r="L73">
        <v>0</v>
      </c>
      <c r="M73">
        <v>13148</v>
      </c>
      <c r="N73">
        <v>11762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v>2370</v>
      </c>
      <c r="F74">
        <v>1565</v>
      </c>
      <c r="G74">
        <v>2939</v>
      </c>
      <c r="H74">
        <v>2288</v>
      </c>
      <c r="I74">
        <v>3216</v>
      </c>
      <c r="J74">
        <v>2018</v>
      </c>
      <c r="K74">
        <v>1918</v>
      </c>
      <c r="L74">
        <v>815</v>
      </c>
      <c r="M74">
        <v>2679</v>
      </c>
      <c r="N74">
        <v>2665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v>3083</v>
      </c>
      <c r="F75">
        <v>5429</v>
      </c>
      <c r="G75">
        <v>6283</v>
      </c>
      <c r="H75">
        <v>4102</v>
      </c>
      <c r="I75">
        <v>4031</v>
      </c>
      <c r="J75">
        <v>3444</v>
      </c>
      <c r="K75">
        <v>3557</v>
      </c>
      <c r="L75">
        <v>905</v>
      </c>
      <c r="M75">
        <v>3600</v>
      </c>
      <c r="N75">
        <v>4075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v>1365</v>
      </c>
      <c r="F76">
        <v>2153</v>
      </c>
      <c r="G76">
        <v>1713</v>
      </c>
      <c r="H76">
        <v>1450</v>
      </c>
      <c r="I76">
        <v>1574</v>
      </c>
      <c r="J76">
        <v>2035</v>
      </c>
      <c r="K76">
        <v>1857</v>
      </c>
      <c r="L76">
        <v>361</v>
      </c>
      <c r="M76">
        <v>1027</v>
      </c>
      <c r="N76">
        <v>1170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v>1891</v>
      </c>
      <c r="F77">
        <v>1440</v>
      </c>
      <c r="G77">
        <v>1923</v>
      </c>
      <c r="H77">
        <v>2358</v>
      </c>
      <c r="I77">
        <v>2045</v>
      </c>
      <c r="J77">
        <v>2663</v>
      </c>
      <c r="K77">
        <v>3105</v>
      </c>
      <c r="L77">
        <v>496</v>
      </c>
      <c r="M77">
        <v>2935</v>
      </c>
      <c r="N77">
        <v>1841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v>2282</v>
      </c>
      <c r="F78">
        <v>1919</v>
      </c>
      <c r="G78">
        <v>2562</v>
      </c>
      <c r="H78">
        <v>3922</v>
      </c>
      <c r="I78">
        <v>2534</v>
      </c>
      <c r="J78">
        <v>3890</v>
      </c>
      <c r="K78">
        <v>1206</v>
      </c>
      <c r="L78">
        <v>275</v>
      </c>
      <c r="M78">
        <v>1688</v>
      </c>
      <c r="N78">
        <v>2374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v>1111</v>
      </c>
      <c r="F79">
        <v>1535</v>
      </c>
      <c r="G79">
        <v>782</v>
      </c>
      <c r="H79">
        <v>1112</v>
      </c>
      <c r="I79">
        <v>1568</v>
      </c>
      <c r="J79">
        <v>1503</v>
      </c>
      <c r="K79">
        <v>1516</v>
      </c>
      <c r="L79">
        <v>202</v>
      </c>
      <c r="M79">
        <v>819</v>
      </c>
      <c r="N79">
        <v>1020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v>0</v>
      </c>
      <c r="F80">
        <v>1908</v>
      </c>
      <c r="G80">
        <v>3126</v>
      </c>
      <c r="H80">
        <v>2993</v>
      </c>
      <c r="I80">
        <v>3714</v>
      </c>
      <c r="J80">
        <v>3110</v>
      </c>
      <c r="K80">
        <v>5401</v>
      </c>
      <c r="L80">
        <v>194</v>
      </c>
      <c r="M80">
        <v>2758</v>
      </c>
      <c r="N80">
        <v>4563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v>2355</v>
      </c>
      <c r="F81">
        <v>3478</v>
      </c>
      <c r="G81">
        <v>1795</v>
      </c>
      <c r="H81">
        <v>4769</v>
      </c>
      <c r="I81">
        <v>2476</v>
      </c>
      <c r="J81">
        <v>4525</v>
      </c>
      <c r="K81">
        <v>4480</v>
      </c>
      <c r="L81">
        <v>891</v>
      </c>
      <c r="M81">
        <v>2056</v>
      </c>
      <c r="N81">
        <v>3184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v>3813</v>
      </c>
      <c r="F82">
        <v>2990</v>
      </c>
      <c r="G82">
        <v>2969</v>
      </c>
      <c r="H82">
        <v>1885</v>
      </c>
      <c r="I82">
        <v>3023</v>
      </c>
      <c r="J82">
        <v>3044</v>
      </c>
      <c r="K82">
        <v>2004</v>
      </c>
      <c r="L82">
        <v>0</v>
      </c>
      <c r="M82">
        <v>1915</v>
      </c>
      <c r="N82">
        <v>2054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v>0</v>
      </c>
      <c r="F83">
        <v>2010</v>
      </c>
      <c r="G83">
        <v>2310</v>
      </c>
      <c r="H83">
        <v>1474</v>
      </c>
      <c r="I83">
        <v>2412</v>
      </c>
      <c r="J83">
        <v>2073</v>
      </c>
      <c r="K83">
        <v>2781</v>
      </c>
      <c r="L83">
        <v>42</v>
      </c>
      <c r="M83">
        <v>2613</v>
      </c>
      <c r="N83">
        <v>4917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v>0</v>
      </c>
      <c r="F84">
        <v>3141</v>
      </c>
      <c r="G84">
        <v>3789</v>
      </c>
      <c r="H84">
        <v>979</v>
      </c>
      <c r="I84">
        <v>1411</v>
      </c>
      <c r="J84">
        <v>1088</v>
      </c>
      <c r="K84">
        <v>778</v>
      </c>
      <c r="L84">
        <v>0</v>
      </c>
      <c r="M84">
        <v>1451</v>
      </c>
      <c r="N84">
        <v>3609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v>4739</v>
      </c>
      <c r="F85">
        <v>7783</v>
      </c>
      <c r="G85">
        <v>5527</v>
      </c>
      <c r="H85">
        <v>4590</v>
      </c>
      <c r="I85">
        <v>3152</v>
      </c>
      <c r="J85">
        <v>4288</v>
      </c>
      <c r="K85">
        <v>1885</v>
      </c>
      <c r="L85">
        <v>1834</v>
      </c>
      <c r="M85">
        <v>3460</v>
      </c>
      <c r="N85">
        <v>2598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v>0</v>
      </c>
      <c r="F86">
        <v>2524</v>
      </c>
      <c r="G86">
        <v>3026</v>
      </c>
      <c r="H86">
        <v>1564</v>
      </c>
      <c r="I86">
        <v>1412</v>
      </c>
      <c r="J86">
        <v>1929</v>
      </c>
      <c r="K86">
        <v>1565</v>
      </c>
      <c r="L86">
        <v>521</v>
      </c>
      <c r="M86">
        <v>929</v>
      </c>
      <c r="N86">
        <v>1551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v>0</v>
      </c>
      <c r="F87">
        <v>2732</v>
      </c>
      <c r="G87">
        <v>2513</v>
      </c>
      <c r="H87">
        <v>3253</v>
      </c>
      <c r="I87">
        <v>4741</v>
      </c>
      <c r="J87">
        <v>3473</v>
      </c>
      <c r="K87">
        <v>3523</v>
      </c>
      <c r="L87">
        <v>974</v>
      </c>
      <c r="M87">
        <v>2858</v>
      </c>
      <c r="N87">
        <v>2534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v>16369</v>
      </c>
      <c r="F88">
        <v>10817</v>
      </c>
      <c r="G88">
        <v>12581</v>
      </c>
      <c r="H88">
        <v>11387</v>
      </c>
      <c r="I88">
        <v>7987</v>
      </c>
      <c r="J88">
        <v>6422</v>
      </c>
      <c r="K88">
        <v>5808</v>
      </c>
      <c r="L88">
        <v>2576</v>
      </c>
      <c r="M88">
        <v>4479</v>
      </c>
      <c r="N88">
        <v>3545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v>17087</v>
      </c>
      <c r="F90">
        <v>18054</v>
      </c>
      <c r="G90">
        <v>18971</v>
      </c>
      <c r="H90">
        <v>10371</v>
      </c>
      <c r="I90">
        <v>10679</v>
      </c>
      <c r="J90">
        <v>23944</v>
      </c>
      <c r="K90">
        <v>16445</v>
      </c>
      <c r="L90">
        <v>1313</v>
      </c>
      <c r="M90">
        <v>20619</v>
      </c>
      <c r="N90">
        <v>17404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v>1818</v>
      </c>
      <c r="F91">
        <v>1821</v>
      </c>
      <c r="G91">
        <v>1385</v>
      </c>
      <c r="H91">
        <v>1992</v>
      </c>
      <c r="I91">
        <v>2507</v>
      </c>
      <c r="J91">
        <v>2566</v>
      </c>
      <c r="K91">
        <v>1443</v>
      </c>
      <c r="L91">
        <v>0</v>
      </c>
      <c r="M91">
        <v>2320</v>
      </c>
      <c r="N91">
        <v>1426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v>0</v>
      </c>
      <c r="F92">
        <v>4325</v>
      </c>
      <c r="G92">
        <v>4834</v>
      </c>
      <c r="H92">
        <v>5061</v>
      </c>
      <c r="I92">
        <v>4504</v>
      </c>
      <c r="J92">
        <v>4186</v>
      </c>
      <c r="K92">
        <v>8285</v>
      </c>
      <c r="L92">
        <v>0</v>
      </c>
      <c r="M92">
        <v>3877</v>
      </c>
      <c r="N92">
        <v>4543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v>3963</v>
      </c>
      <c r="F93">
        <v>5114</v>
      </c>
      <c r="G93">
        <v>7836</v>
      </c>
      <c r="H93">
        <v>5125</v>
      </c>
      <c r="I93">
        <v>5692</v>
      </c>
      <c r="J93">
        <v>3521</v>
      </c>
      <c r="K93">
        <v>3948</v>
      </c>
      <c r="L93">
        <v>829</v>
      </c>
      <c r="M93">
        <v>3331</v>
      </c>
      <c r="N93">
        <v>5029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v>2996</v>
      </c>
      <c r="F94">
        <v>1695</v>
      </c>
      <c r="G94">
        <v>2099</v>
      </c>
      <c r="H94">
        <v>2046</v>
      </c>
      <c r="I94">
        <v>2245</v>
      </c>
      <c r="J94">
        <v>1998</v>
      </c>
      <c r="K94">
        <v>1423</v>
      </c>
      <c r="L94">
        <v>1472</v>
      </c>
      <c r="M94">
        <v>1198</v>
      </c>
      <c r="N94">
        <v>1092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v>1708</v>
      </c>
      <c r="F95">
        <v>1172</v>
      </c>
      <c r="G95">
        <v>3059</v>
      </c>
      <c r="H95">
        <v>3842</v>
      </c>
      <c r="I95">
        <v>2124</v>
      </c>
      <c r="J95">
        <v>2376</v>
      </c>
      <c r="K95">
        <v>2698</v>
      </c>
      <c r="L95">
        <v>100</v>
      </c>
      <c r="M95">
        <v>1295</v>
      </c>
      <c r="N95">
        <v>1499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v>3958</v>
      </c>
      <c r="F96">
        <v>3451</v>
      </c>
      <c r="G96">
        <v>3830</v>
      </c>
      <c r="H96">
        <v>3484</v>
      </c>
      <c r="I96">
        <v>4267</v>
      </c>
      <c r="J96">
        <v>1828</v>
      </c>
      <c r="K96">
        <v>2533</v>
      </c>
      <c r="L96">
        <v>715</v>
      </c>
      <c r="M96">
        <v>4021</v>
      </c>
      <c r="N96">
        <v>2722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v>1061</v>
      </c>
      <c r="F97">
        <v>1476</v>
      </c>
      <c r="G97">
        <v>920</v>
      </c>
      <c r="H97">
        <v>1582</v>
      </c>
      <c r="I97">
        <v>2043</v>
      </c>
      <c r="J97">
        <v>2752</v>
      </c>
      <c r="K97">
        <v>2055</v>
      </c>
      <c r="L97">
        <v>0</v>
      </c>
      <c r="M97">
        <v>1175</v>
      </c>
      <c r="N97">
        <v>1385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v>0</v>
      </c>
      <c r="F98">
        <v>3071</v>
      </c>
      <c r="G98">
        <v>7006</v>
      </c>
      <c r="H98">
        <v>10185</v>
      </c>
      <c r="I98">
        <v>6141</v>
      </c>
      <c r="J98">
        <v>10084</v>
      </c>
      <c r="K98">
        <v>7084</v>
      </c>
      <c r="L98">
        <v>0</v>
      </c>
      <c r="M98">
        <v>2184</v>
      </c>
      <c r="N98">
        <v>2891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v>17150</v>
      </c>
      <c r="F99">
        <v>13884</v>
      </c>
      <c r="G99">
        <v>11918</v>
      </c>
      <c r="H99">
        <v>12339</v>
      </c>
      <c r="I99">
        <v>11460</v>
      </c>
      <c r="J99">
        <v>11974</v>
      </c>
      <c r="K99">
        <v>9703</v>
      </c>
      <c r="L99">
        <v>1037</v>
      </c>
      <c r="M99">
        <v>8601</v>
      </c>
      <c r="N99">
        <v>13122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v>1575</v>
      </c>
      <c r="F100">
        <v>2042</v>
      </c>
      <c r="G100">
        <v>2185</v>
      </c>
      <c r="H100">
        <v>1085</v>
      </c>
      <c r="I100">
        <v>1187</v>
      </c>
      <c r="J100">
        <v>1600</v>
      </c>
      <c r="K100">
        <v>1372</v>
      </c>
      <c r="L100">
        <v>1297</v>
      </c>
      <c r="M100">
        <v>2522</v>
      </c>
      <c r="N100">
        <v>1952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v>3654</v>
      </c>
      <c r="F102">
        <v>4421</v>
      </c>
      <c r="G102">
        <v>5148</v>
      </c>
      <c r="H102">
        <v>3582</v>
      </c>
      <c r="I102">
        <v>5814</v>
      </c>
      <c r="J102">
        <v>2875</v>
      </c>
      <c r="K102">
        <v>5544</v>
      </c>
      <c r="L102">
        <v>591</v>
      </c>
      <c r="M102">
        <v>5469</v>
      </c>
      <c r="N102">
        <v>8048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v>0</v>
      </c>
      <c r="F103">
        <v>487</v>
      </c>
      <c r="G103">
        <v>322</v>
      </c>
      <c r="H103">
        <v>482</v>
      </c>
      <c r="I103">
        <v>1127</v>
      </c>
      <c r="J103">
        <v>870</v>
      </c>
      <c r="K103">
        <v>631</v>
      </c>
      <c r="L103">
        <v>148</v>
      </c>
      <c r="M103">
        <v>666</v>
      </c>
      <c r="N103">
        <v>475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v>0</v>
      </c>
      <c r="F104">
        <v>2239</v>
      </c>
      <c r="G104">
        <v>6968</v>
      </c>
      <c r="H104">
        <v>5857</v>
      </c>
      <c r="I104">
        <v>8701</v>
      </c>
      <c r="J104">
        <v>5615</v>
      </c>
      <c r="K104">
        <v>4382</v>
      </c>
      <c r="L104">
        <v>1657</v>
      </c>
      <c r="M104">
        <v>4830</v>
      </c>
      <c r="N104">
        <v>9316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v>1293</v>
      </c>
      <c r="F105">
        <v>2048</v>
      </c>
      <c r="G105">
        <v>1364</v>
      </c>
      <c r="H105">
        <v>1946</v>
      </c>
      <c r="I105">
        <v>1550</v>
      </c>
      <c r="J105">
        <v>1955</v>
      </c>
      <c r="K105">
        <v>1768</v>
      </c>
      <c r="L105">
        <v>4</v>
      </c>
      <c r="M105">
        <v>1366</v>
      </c>
      <c r="N105">
        <v>1498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50</v>
      </c>
      <c r="H106">
        <v>463</v>
      </c>
      <c r="I106">
        <v>556</v>
      </c>
      <c r="J106">
        <v>403</v>
      </c>
      <c r="K106">
        <v>350</v>
      </c>
      <c r="L106">
        <v>0</v>
      </c>
      <c r="M106">
        <v>450</v>
      </c>
      <c r="N106">
        <v>564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v>4092</v>
      </c>
      <c r="F107">
        <v>5444</v>
      </c>
      <c r="G107">
        <v>4261</v>
      </c>
      <c r="H107">
        <v>2109</v>
      </c>
      <c r="I107">
        <v>3926</v>
      </c>
      <c r="J107">
        <v>2423</v>
      </c>
      <c r="K107">
        <v>2844</v>
      </c>
      <c r="L107">
        <v>0</v>
      </c>
      <c r="M107">
        <v>2500</v>
      </c>
      <c r="N107">
        <v>1197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v>1792</v>
      </c>
      <c r="F108">
        <v>3700</v>
      </c>
      <c r="G108">
        <v>3521</v>
      </c>
      <c r="H108">
        <v>2390</v>
      </c>
      <c r="I108">
        <v>3002</v>
      </c>
      <c r="J108">
        <v>2828</v>
      </c>
      <c r="K108">
        <v>6135</v>
      </c>
      <c r="L108">
        <v>0</v>
      </c>
      <c r="M108">
        <v>3924</v>
      </c>
      <c r="N108">
        <v>5079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v>10108</v>
      </c>
      <c r="F109">
        <v>12775</v>
      </c>
      <c r="G109">
        <v>8398</v>
      </c>
      <c r="H109">
        <v>10627</v>
      </c>
      <c r="I109">
        <v>4997</v>
      </c>
      <c r="J109">
        <v>8150</v>
      </c>
      <c r="K109">
        <v>5147</v>
      </c>
      <c r="L109">
        <v>0</v>
      </c>
      <c r="M109">
        <v>472</v>
      </c>
      <c r="N109">
        <v>4236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v>3330</v>
      </c>
      <c r="F110">
        <v>5552</v>
      </c>
      <c r="G110">
        <v>6032</v>
      </c>
      <c r="H110">
        <v>5274</v>
      </c>
      <c r="I110">
        <v>4869</v>
      </c>
      <c r="J110">
        <v>4735</v>
      </c>
      <c r="K110">
        <v>4394</v>
      </c>
      <c r="L110">
        <v>736</v>
      </c>
      <c r="M110">
        <v>4508</v>
      </c>
      <c r="N110">
        <v>4264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v>3896</v>
      </c>
      <c r="F111">
        <v>2696</v>
      </c>
      <c r="G111">
        <v>4175</v>
      </c>
      <c r="H111">
        <v>2853</v>
      </c>
      <c r="I111">
        <v>3671</v>
      </c>
      <c r="J111">
        <v>2850</v>
      </c>
      <c r="K111">
        <v>2015</v>
      </c>
      <c r="L111">
        <v>20</v>
      </c>
      <c r="M111">
        <v>5914</v>
      </c>
      <c r="N111">
        <v>2721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v>3219</v>
      </c>
      <c r="F112">
        <v>4375</v>
      </c>
      <c r="G112">
        <v>2472</v>
      </c>
      <c r="H112">
        <v>3134</v>
      </c>
      <c r="I112">
        <v>2176</v>
      </c>
      <c r="J112">
        <v>2331</v>
      </c>
      <c r="K112">
        <v>464</v>
      </c>
      <c r="L112">
        <v>0</v>
      </c>
      <c r="M112">
        <v>1391</v>
      </c>
      <c r="N112">
        <v>2218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v>2931</v>
      </c>
      <c r="F113">
        <v>1527</v>
      </c>
      <c r="G113">
        <v>1494</v>
      </c>
      <c r="H113">
        <v>1929</v>
      </c>
      <c r="I113">
        <v>3501</v>
      </c>
      <c r="J113">
        <v>1907</v>
      </c>
      <c r="K113">
        <v>1020</v>
      </c>
      <c r="L113">
        <v>686</v>
      </c>
      <c r="M113">
        <v>1727</v>
      </c>
      <c r="N113">
        <v>2318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v>0</v>
      </c>
      <c r="F114">
        <v>1999</v>
      </c>
      <c r="G114">
        <v>2418</v>
      </c>
      <c r="H114">
        <v>1546</v>
      </c>
      <c r="I114">
        <v>1972</v>
      </c>
      <c r="J114">
        <v>1609</v>
      </c>
      <c r="K114">
        <v>1600</v>
      </c>
      <c r="L114">
        <v>1307</v>
      </c>
      <c r="M114">
        <v>1818</v>
      </c>
      <c r="N114">
        <v>1474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v>0</v>
      </c>
      <c r="F115">
        <v>773</v>
      </c>
      <c r="G115">
        <v>1024</v>
      </c>
      <c r="H115">
        <v>1238</v>
      </c>
      <c r="I115">
        <v>1361</v>
      </c>
      <c r="J115">
        <v>679</v>
      </c>
      <c r="K115">
        <v>911</v>
      </c>
      <c r="L115">
        <v>0</v>
      </c>
      <c r="M115">
        <v>7514</v>
      </c>
      <c r="N115">
        <v>1067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v>1893</v>
      </c>
      <c r="F116">
        <v>3278</v>
      </c>
      <c r="G116">
        <v>3661</v>
      </c>
      <c r="H116">
        <v>3600</v>
      </c>
      <c r="I116">
        <v>9270</v>
      </c>
      <c r="J116">
        <v>3481</v>
      </c>
      <c r="K116">
        <v>3433</v>
      </c>
      <c r="L116">
        <v>706</v>
      </c>
      <c r="M116">
        <v>1484</v>
      </c>
      <c r="N116">
        <v>2357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v>3654</v>
      </c>
      <c r="F117">
        <v>3284</v>
      </c>
      <c r="G117">
        <v>3023</v>
      </c>
      <c r="H117">
        <v>3785</v>
      </c>
      <c r="I117">
        <v>2404</v>
      </c>
      <c r="J117">
        <v>2427</v>
      </c>
      <c r="K117">
        <v>2053</v>
      </c>
      <c r="L117">
        <v>458</v>
      </c>
      <c r="M117">
        <v>1803</v>
      </c>
      <c r="N117">
        <v>2150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v>6746</v>
      </c>
      <c r="F118">
        <v>5273</v>
      </c>
      <c r="G118">
        <v>6707</v>
      </c>
      <c r="H118">
        <v>5495</v>
      </c>
      <c r="I118">
        <v>5186</v>
      </c>
      <c r="J118">
        <v>5861</v>
      </c>
      <c r="K118">
        <v>3416</v>
      </c>
      <c r="L118">
        <v>100</v>
      </c>
      <c r="M118">
        <v>4439</v>
      </c>
      <c r="N118">
        <v>7606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v>2892</v>
      </c>
      <c r="F119">
        <v>3752</v>
      </c>
      <c r="G119">
        <v>3042</v>
      </c>
      <c r="H119">
        <v>5018</v>
      </c>
      <c r="I119">
        <v>2978</v>
      </c>
      <c r="J119">
        <v>2878</v>
      </c>
      <c r="K119">
        <v>2154</v>
      </c>
      <c r="L119">
        <v>355</v>
      </c>
      <c r="M119">
        <v>2463</v>
      </c>
      <c r="N119">
        <v>2493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v>3886</v>
      </c>
      <c r="F120">
        <v>3540</v>
      </c>
      <c r="G120">
        <v>3620</v>
      </c>
      <c r="H120">
        <v>4604</v>
      </c>
      <c r="I120">
        <v>4923</v>
      </c>
      <c r="J120">
        <v>4692</v>
      </c>
      <c r="K120">
        <v>1227</v>
      </c>
      <c r="L120">
        <v>0</v>
      </c>
      <c r="M120">
        <v>5169</v>
      </c>
      <c r="N120">
        <v>2868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v>0</v>
      </c>
      <c r="F121">
        <v>1244</v>
      </c>
      <c r="G121">
        <v>2676</v>
      </c>
      <c r="H121">
        <v>2011</v>
      </c>
      <c r="I121">
        <v>2650</v>
      </c>
      <c r="J121">
        <v>2581</v>
      </c>
      <c r="K121">
        <v>1160</v>
      </c>
      <c r="L121">
        <v>417</v>
      </c>
      <c r="M121">
        <v>950</v>
      </c>
      <c r="N121">
        <v>1284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v>2904</v>
      </c>
      <c r="F122">
        <v>2112</v>
      </c>
      <c r="G122">
        <v>1450</v>
      </c>
      <c r="H122">
        <v>1341</v>
      </c>
      <c r="I122">
        <v>1926</v>
      </c>
      <c r="J122">
        <v>839</v>
      </c>
      <c r="K122">
        <v>986</v>
      </c>
      <c r="L122">
        <v>0</v>
      </c>
      <c r="M122">
        <v>1888</v>
      </c>
      <c r="N122">
        <v>2422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v>5220</v>
      </c>
      <c r="F123">
        <v>4830</v>
      </c>
      <c r="G123">
        <v>7135</v>
      </c>
      <c r="H123">
        <v>5432</v>
      </c>
      <c r="I123">
        <v>6410</v>
      </c>
      <c r="J123">
        <v>4484</v>
      </c>
      <c r="K123">
        <v>6668</v>
      </c>
      <c r="L123">
        <v>533</v>
      </c>
      <c r="M123">
        <v>3996</v>
      </c>
      <c r="N123">
        <v>3487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v>6369</v>
      </c>
      <c r="F124">
        <v>6384</v>
      </c>
      <c r="G124">
        <v>3137</v>
      </c>
      <c r="H124">
        <v>3992</v>
      </c>
      <c r="I124">
        <v>3625</v>
      </c>
      <c r="J124">
        <v>4792</v>
      </c>
      <c r="K124">
        <v>2136</v>
      </c>
      <c r="L124">
        <v>0</v>
      </c>
      <c r="M124">
        <v>2271</v>
      </c>
      <c r="N124">
        <v>5136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E125">
        <v>3437</v>
      </c>
      <c r="F125">
        <v>3095</v>
      </c>
      <c r="G125">
        <v>3974</v>
      </c>
      <c r="H125">
        <v>2643</v>
      </c>
      <c r="I125">
        <v>3126</v>
      </c>
      <c r="J125">
        <v>2235</v>
      </c>
      <c r="K125">
        <v>4069</v>
      </c>
      <c r="L125">
        <v>272</v>
      </c>
      <c r="M125">
        <v>1956</v>
      </c>
      <c r="N125">
        <v>3364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v>850</v>
      </c>
      <c r="F126">
        <v>1087</v>
      </c>
      <c r="G126">
        <v>2045</v>
      </c>
      <c r="H126">
        <v>311</v>
      </c>
      <c r="I126">
        <v>754</v>
      </c>
      <c r="J126">
        <v>450</v>
      </c>
      <c r="K126">
        <v>246</v>
      </c>
      <c r="L126">
        <v>280</v>
      </c>
      <c r="M126">
        <v>800</v>
      </c>
      <c r="N126">
        <v>501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v>2117</v>
      </c>
      <c r="F127">
        <v>1565</v>
      </c>
      <c r="G127">
        <v>2321</v>
      </c>
      <c r="H127">
        <v>1129</v>
      </c>
      <c r="I127">
        <v>1421</v>
      </c>
      <c r="J127">
        <v>2318</v>
      </c>
      <c r="K127">
        <v>1498</v>
      </c>
      <c r="L127">
        <v>304</v>
      </c>
      <c r="M127">
        <v>668</v>
      </c>
      <c r="N127">
        <v>1431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v>2577</v>
      </c>
      <c r="F128">
        <v>2514</v>
      </c>
      <c r="G128">
        <v>3442</v>
      </c>
      <c r="H128">
        <v>2878</v>
      </c>
      <c r="I128">
        <v>1761</v>
      </c>
      <c r="J128">
        <v>1509</v>
      </c>
      <c r="K128">
        <v>2017</v>
      </c>
      <c r="L128">
        <v>833</v>
      </c>
      <c r="M128">
        <v>1579</v>
      </c>
      <c r="N128">
        <v>1380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v>4136</v>
      </c>
      <c r="F129">
        <v>4054</v>
      </c>
      <c r="G129">
        <v>3748</v>
      </c>
      <c r="H129">
        <v>3759</v>
      </c>
      <c r="I129">
        <v>4321</v>
      </c>
      <c r="J129">
        <v>4230</v>
      </c>
      <c r="K129">
        <v>2613</v>
      </c>
      <c r="L129">
        <v>393</v>
      </c>
      <c r="M129">
        <v>2191</v>
      </c>
      <c r="N129">
        <v>1756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v>4355</v>
      </c>
      <c r="F130">
        <v>9030</v>
      </c>
      <c r="G130">
        <v>5611</v>
      </c>
      <c r="H130">
        <v>8367</v>
      </c>
      <c r="I130">
        <v>8058</v>
      </c>
      <c r="J130">
        <v>7482</v>
      </c>
      <c r="K130">
        <v>8607</v>
      </c>
      <c r="L130">
        <v>1711</v>
      </c>
      <c r="M130">
        <v>5052</v>
      </c>
      <c r="N130">
        <v>5372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v>3108</v>
      </c>
      <c r="F131">
        <v>2274</v>
      </c>
      <c r="G131">
        <v>2840</v>
      </c>
      <c r="H131">
        <v>3439</v>
      </c>
      <c r="I131">
        <v>1293</v>
      </c>
      <c r="J131">
        <v>6048</v>
      </c>
      <c r="K131">
        <v>2397</v>
      </c>
      <c r="L131">
        <v>346</v>
      </c>
      <c r="M131">
        <v>1946</v>
      </c>
      <c r="N131">
        <v>2197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v>0</v>
      </c>
      <c r="F132">
        <v>0</v>
      </c>
      <c r="G132">
        <v>0</v>
      </c>
      <c r="H132">
        <v>9059</v>
      </c>
      <c r="I132">
        <v>13505</v>
      </c>
      <c r="J132">
        <v>11147</v>
      </c>
      <c r="K132">
        <v>7505</v>
      </c>
      <c r="L132">
        <v>2174</v>
      </c>
      <c r="M132">
        <v>7449</v>
      </c>
      <c r="N132">
        <v>7946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v>6537</v>
      </c>
      <c r="F133">
        <v>4387</v>
      </c>
      <c r="G133">
        <v>3029</v>
      </c>
      <c r="H133">
        <v>4614</v>
      </c>
      <c r="I133">
        <v>5713</v>
      </c>
      <c r="J133">
        <v>5304</v>
      </c>
      <c r="K133">
        <v>1717</v>
      </c>
      <c r="L133">
        <v>1136</v>
      </c>
      <c r="M133">
        <v>1551</v>
      </c>
      <c r="N133">
        <v>2526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v>2429</v>
      </c>
      <c r="F134">
        <v>2226</v>
      </c>
      <c r="G134">
        <v>2768</v>
      </c>
      <c r="H134">
        <v>1497</v>
      </c>
      <c r="I134">
        <v>2695</v>
      </c>
      <c r="J134">
        <v>2028</v>
      </c>
      <c r="K134">
        <v>2273</v>
      </c>
      <c r="L134">
        <v>110</v>
      </c>
      <c r="M134">
        <v>1275</v>
      </c>
      <c r="N134">
        <v>2306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v>7852</v>
      </c>
      <c r="F135">
        <v>8924</v>
      </c>
      <c r="G135">
        <v>17629</v>
      </c>
      <c r="H135">
        <v>13495</v>
      </c>
      <c r="I135">
        <v>13562</v>
      </c>
      <c r="J135">
        <v>11275</v>
      </c>
      <c r="K135">
        <v>6769</v>
      </c>
      <c r="L135">
        <v>365</v>
      </c>
      <c r="M135">
        <v>5202</v>
      </c>
      <c r="N135">
        <v>9371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v>2115</v>
      </c>
      <c r="F136">
        <v>2780</v>
      </c>
      <c r="G136">
        <v>1443</v>
      </c>
      <c r="H136">
        <v>1528</v>
      </c>
      <c r="I136">
        <v>3598</v>
      </c>
      <c r="J136">
        <v>3121</v>
      </c>
      <c r="K136">
        <v>1708</v>
      </c>
      <c r="L136">
        <v>316</v>
      </c>
      <c r="M136">
        <v>1349</v>
      </c>
      <c r="N136">
        <v>2190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v>1812</v>
      </c>
      <c r="F137">
        <v>2608</v>
      </c>
      <c r="G137">
        <v>3122</v>
      </c>
      <c r="H137">
        <v>2782</v>
      </c>
      <c r="I137">
        <v>3429</v>
      </c>
      <c r="J137">
        <v>2317</v>
      </c>
      <c r="K137">
        <v>2496</v>
      </c>
      <c r="L137">
        <v>40</v>
      </c>
      <c r="M137">
        <v>550</v>
      </c>
      <c r="N137">
        <v>1044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v>2573</v>
      </c>
      <c r="F138">
        <v>2374</v>
      </c>
      <c r="G138">
        <v>2934</v>
      </c>
      <c r="H138">
        <v>2500</v>
      </c>
      <c r="I138">
        <v>2395</v>
      </c>
      <c r="J138">
        <v>3863</v>
      </c>
      <c r="K138">
        <v>2941</v>
      </c>
      <c r="L138">
        <v>450</v>
      </c>
      <c r="M138">
        <v>1373</v>
      </c>
      <c r="N138">
        <v>3944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v>0</v>
      </c>
      <c r="F139">
        <v>1724</v>
      </c>
      <c r="G139">
        <v>2792</v>
      </c>
      <c r="H139">
        <v>2660</v>
      </c>
      <c r="I139">
        <v>2093</v>
      </c>
      <c r="J139">
        <v>1925</v>
      </c>
      <c r="K139">
        <v>2525</v>
      </c>
      <c r="L139">
        <v>379</v>
      </c>
      <c r="M139">
        <v>2005</v>
      </c>
      <c r="N139">
        <v>2557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v>3227</v>
      </c>
      <c r="F140">
        <v>1781</v>
      </c>
      <c r="G140">
        <v>3911</v>
      </c>
      <c r="H140">
        <v>5063</v>
      </c>
      <c r="I140">
        <v>2895</v>
      </c>
      <c r="J140">
        <v>2641</v>
      </c>
      <c r="K140">
        <v>1959</v>
      </c>
      <c r="L140">
        <v>700</v>
      </c>
      <c r="M140">
        <v>2007</v>
      </c>
      <c r="N140">
        <v>3934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v>2026</v>
      </c>
      <c r="F141">
        <v>1692</v>
      </c>
      <c r="G141">
        <v>2234</v>
      </c>
      <c r="H141">
        <v>2621</v>
      </c>
      <c r="I141">
        <v>2261</v>
      </c>
      <c r="J141">
        <v>2438</v>
      </c>
      <c r="K141">
        <v>1155</v>
      </c>
      <c r="L141">
        <v>946</v>
      </c>
      <c r="M141">
        <v>2999</v>
      </c>
      <c r="N141">
        <v>1884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v>0</v>
      </c>
      <c r="F142">
        <v>4837</v>
      </c>
      <c r="G142">
        <v>3513</v>
      </c>
      <c r="H142">
        <v>3779</v>
      </c>
      <c r="I142">
        <v>3124</v>
      </c>
      <c r="J142">
        <v>2910</v>
      </c>
      <c r="K142">
        <v>846</v>
      </c>
      <c r="L142">
        <v>670</v>
      </c>
      <c r="M142">
        <v>1232</v>
      </c>
      <c r="N142">
        <v>1653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v>1059</v>
      </c>
      <c r="F143">
        <v>1372</v>
      </c>
      <c r="G143">
        <v>900</v>
      </c>
      <c r="H143">
        <v>1048</v>
      </c>
      <c r="I143">
        <v>411</v>
      </c>
      <c r="J143">
        <v>966</v>
      </c>
      <c r="K143">
        <v>1379</v>
      </c>
      <c r="L143">
        <v>5</v>
      </c>
      <c r="M143">
        <v>640</v>
      </c>
      <c r="N143">
        <v>1130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v>3377</v>
      </c>
      <c r="F144">
        <v>3073</v>
      </c>
      <c r="G144">
        <v>5767</v>
      </c>
      <c r="H144">
        <v>4362</v>
      </c>
      <c r="I144">
        <v>3957</v>
      </c>
      <c r="J144">
        <v>3806</v>
      </c>
      <c r="K144">
        <v>3585</v>
      </c>
      <c r="L144">
        <v>14</v>
      </c>
      <c r="M144">
        <v>3648</v>
      </c>
      <c r="N144">
        <v>2806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v>6581</v>
      </c>
      <c r="F145">
        <v>7500</v>
      </c>
      <c r="G145">
        <v>8919</v>
      </c>
      <c r="H145">
        <v>9632</v>
      </c>
      <c r="I145">
        <v>8922</v>
      </c>
      <c r="J145">
        <v>8320</v>
      </c>
      <c r="K145">
        <v>8315</v>
      </c>
      <c r="L145">
        <v>0</v>
      </c>
      <c r="M145">
        <v>5386</v>
      </c>
      <c r="N145">
        <v>9255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v>2405</v>
      </c>
      <c r="F146">
        <v>5598</v>
      </c>
      <c r="G146">
        <v>4031</v>
      </c>
      <c r="H146">
        <v>3423</v>
      </c>
      <c r="I146">
        <v>2886</v>
      </c>
      <c r="J146">
        <v>2049</v>
      </c>
      <c r="K146">
        <v>2972</v>
      </c>
      <c r="L146">
        <v>90</v>
      </c>
      <c r="M146">
        <v>899</v>
      </c>
      <c r="N146">
        <v>3177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v>2638</v>
      </c>
      <c r="F147">
        <v>2142</v>
      </c>
      <c r="G147">
        <v>1871</v>
      </c>
      <c r="H147">
        <v>2086</v>
      </c>
      <c r="I147">
        <v>1490</v>
      </c>
      <c r="J147">
        <v>2277</v>
      </c>
      <c r="K147">
        <v>2276</v>
      </c>
      <c r="L147">
        <v>2577</v>
      </c>
      <c r="M147">
        <v>4245</v>
      </c>
      <c r="N147">
        <v>1617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v>1740</v>
      </c>
      <c r="F148">
        <v>2297</v>
      </c>
      <c r="G148">
        <v>2023</v>
      </c>
      <c r="H148">
        <v>2164</v>
      </c>
      <c r="I148">
        <v>1923</v>
      </c>
      <c r="J148">
        <v>1621</v>
      </c>
      <c r="K148">
        <v>89</v>
      </c>
      <c r="L148">
        <v>296</v>
      </c>
      <c r="M148">
        <v>1610</v>
      </c>
      <c r="N148">
        <v>2508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v>10766</v>
      </c>
      <c r="F149">
        <v>23541</v>
      </c>
      <c r="G149">
        <v>15522</v>
      </c>
      <c r="H149">
        <v>16171</v>
      </c>
      <c r="I149">
        <v>12588</v>
      </c>
      <c r="J149">
        <v>10092</v>
      </c>
      <c r="K149">
        <v>10394</v>
      </c>
      <c r="L149">
        <v>1278</v>
      </c>
      <c r="M149">
        <v>4564</v>
      </c>
      <c r="N149">
        <v>4249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v>2077</v>
      </c>
      <c r="F150">
        <v>1713</v>
      </c>
      <c r="G150">
        <v>1974</v>
      </c>
      <c r="H150">
        <v>1908</v>
      </c>
      <c r="I150">
        <v>2966</v>
      </c>
      <c r="J150">
        <v>2907</v>
      </c>
      <c r="K150">
        <v>2578</v>
      </c>
      <c r="L150">
        <v>197</v>
      </c>
      <c r="M150">
        <v>3314</v>
      </c>
      <c r="N150">
        <v>2918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v>1775</v>
      </c>
      <c r="F151">
        <v>3545</v>
      </c>
      <c r="G151">
        <v>2114</v>
      </c>
      <c r="H151">
        <v>4069</v>
      </c>
      <c r="I151">
        <v>2447</v>
      </c>
      <c r="J151">
        <v>3395</v>
      </c>
      <c r="K151">
        <v>4395</v>
      </c>
      <c r="L151">
        <v>45</v>
      </c>
      <c r="M151">
        <v>4030</v>
      </c>
      <c r="N151">
        <v>3250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v>9094</v>
      </c>
      <c r="F152">
        <v>7039</v>
      </c>
      <c r="G152">
        <v>11385</v>
      </c>
      <c r="H152">
        <v>5884</v>
      </c>
      <c r="I152">
        <v>5444</v>
      </c>
      <c r="J152">
        <v>6950</v>
      </c>
      <c r="K152">
        <v>4361</v>
      </c>
      <c r="L152">
        <v>2121</v>
      </c>
      <c r="M152">
        <v>9341</v>
      </c>
      <c r="N152">
        <v>9923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v>1236</v>
      </c>
      <c r="F153">
        <v>1668</v>
      </c>
      <c r="G153">
        <v>1716</v>
      </c>
      <c r="H153">
        <v>628</v>
      </c>
      <c r="I153">
        <v>1347</v>
      </c>
      <c r="J153">
        <v>1285</v>
      </c>
      <c r="K153">
        <v>1536</v>
      </c>
      <c r="L153">
        <v>0</v>
      </c>
      <c r="M153">
        <v>1432</v>
      </c>
      <c r="N153">
        <v>2028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v>1867</v>
      </c>
      <c r="F154">
        <v>1615</v>
      </c>
      <c r="G154">
        <v>2619</v>
      </c>
      <c r="H154">
        <v>2301</v>
      </c>
      <c r="I154">
        <v>2582</v>
      </c>
      <c r="J154">
        <v>1738</v>
      </c>
      <c r="K154">
        <v>1701</v>
      </c>
      <c r="L154">
        <v>0</v>
      </c>
      <c r="M154">
        <v>1277</v>
      </c>
      <c r="N154">
        <v>2692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v>2501</v>
      </c>
      <c r="F155">
        <v>3275</v>
      </c>
      <c r="G155">
        <v>3008</v>
      </c>
      <c r="H155">
        <v>3491</v>
      </c>
      <c r="I155">
        <v>3968</v>
      </c>
      <c r="J155">
        <v>3192</v>
      </c>
      <c r="K155">
        <v>1695</v>
      </c>
      <c r="L155">
        <v>0</v>
      </c>
      <c r="M155">
        <v>1771</v>
      </c>
      <c r="N155">
        <v>3649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v>4013</v>
      </c>
      <c r="F156">
        <v>6015</v>
      </c>
      <c r="G156">
        <v>4968</v>
      </c>
      <c r="H156">
        <v>4902</v>
      </c>
      <c r="I156">
        <v>6208</v>
      </c>
      <c r="J156">
        <v>3811</v>
      </c>
      <c r="K156">
        <v>3103</v>
      </c>
      <c r="L156">
        <v>0</v>
      </c>
      <c r="M156">
        <v>3019</v>
      </c>
      <c r="N156">
        <v>3756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v>5550</v>
      </c>
      <c r="F157">
        <v>3244</v>
      </c>
      <c r="G157">
        <v>3056</v>
      </c>
      <c r="H157">
        <v>2246</v>
      </c>
      <c r="I157">
        <v>2159</v>
      </c>
      <c r="J157">
        <v>2198</v>
      </c>
      <c r="K157">
        <v>2651</v>
      </c>
      <c r="L157">
        <v>449</v>
      </c>
      <c r="M157">
        <v>2405</v>
      </c>
      <c r="N157">
        <v>4695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v>11245</v>
      </c>
      <c r="F158">
        <v>7270</v>
      </c>
      <c r="G158">
        <v>8242</v>
      </c>
      <c r="H158">
        <v>6464</v>
      </c>
      <c r="I158">
        <v>5885</v>
      </c>
      <c r="J158">
        <v>6865</v>
      </c>
      <c r="K158">
        <v>4965</v>
      </c>
      <c r="L158">
        <v>370</v>
      </c>
      <c r="M158">
        <v>6551</v>
      </c>
      <c r="N158">
        <v>7863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v>2385</v>
      </c>
      <c r="F159">
        <v>1798</v>
      </c>
      <c r="G159">
        <v>2394</v>
      </c>
      <c r="H159">
        <v>1637</v>
      </c>
      <c r="I159">
        <v>3436</v>
      </c>
      <c r="J159">
        <v>2572</v>
      </c>
      <c r="K159">
        <v>2102</v>
      </c>
      <c r="L159">
        <v>193</v>
      </c>
      <c r="M159">
        <v>2411</v>
      </c>
      <c r="N159">
        <v>3151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v>2618</v>
      </c>
      <c r="F160">
        <v>2553</v>
      </c>
      <c r="G160">
        <v>1983</v>
      </c>
      <c r="H160">
        <v>2085</v>
      </c>
      <c r="I160">
        <v>1859</v>
      </c>
      <c r="J160">
        <v>1970</v>
      </c>
      <c r="K160">
        <v>1869</v>
      </c>
      <c r="L160">
        <v>480</v>
      </c>
      <c r="M160">
        <v>1790</v>
      </c>
      <c r="N160">
        <v>1551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v>5322</v>
      </c>
      <c r="F161">
        <v>4039</v>
      </c>
      <c r="G161">
        <v>5435</v>
      </c>
      <c r="H161">
        <v>4725</v>
      </c>
      <c r="I161">
        <v>3216</v>
      </c>
      <c r="J161">
        <v>3519</v>
      </c>
      <c r="K161">
        <v>3968</v>
      </c>
      <c r="L161">
        <v>423</v>
      </c>
      <c r="M161">
        <v>5507</v>
      </c>
      <c r="N161">
        <v>2620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v>4170</v>
      </c>
      <c r="F162">
        <v>3518</v>
      </c>
      <c r="G162">
        <v>4255</v>
      </c>
      <c r="H162">
        <v>3764</v>
      </c>
      <c r="I162">
        <v>3084</v>
      </c>
      <c r="J162">
        <v>2328</v>
      </c>
      <c r="K162">
        <v>2494</v>
      </c>
      <c r="L162">
        <v>1470</v>
      </c>
      <c r="M162">
        <v>2048</v>
      </c>
      <c r="N162">
        <v>3053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v>0</v>
      </c>
      <c r="F163">
        <v>2808</v>
      </c>
      <c r="G163">
        <v>2525</v>
      </c>
      <c r="H163">
        <v>3188</v>
      </c>
      <c r="I163">
        <v>2132</v>
      </c>
      <c r="J163">
        <v>5022</v>
      </c>
      <c r="K163">
        <v>1750</v>
      </c>
      <c r="L163">
        <v>270</v>
      </c>
      <c r="M163">
        <v>2485</v>
      </c>
      <c r="N163">
        <v>3345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v>2219</v>
      </c>
      <c r="F164">
        <v>1904</v>
      </c>
      <c r="G164">
        <v>1839</v>
      </c>
      <c r="H164">
        <v>1653</v>
      </c>
      <c r="I164">
        <v>1497</v>
      </c>
      <c r="J164">
        <v>1093</v>
      </c>
      <c r="K164">
        <v>1939</v>
      </c>
      <c r="L164">
        <v>0</v>
      </c>
      <c r="M164">
        <v>710</v>
      </c>
      <c r="N164">
        <v>1204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v>11985</v>
      </c>
      <c r="F165">
        <v>9323</v>
      </c>
      <c r="G165">
        <v>9057</v>
      </c>
      <c r="H165">
        <v>11161</v>
      </c>
      <c r="I165">
        <v>7284</v>
      </c>
      <c r="J165">
        <v>8202</v>
      </c>
      <c r="K165">
        <v>9092</v>
      </c>
      <c r="L165">
        <v>365</v>
      </c>
      <c r="M165">
        <v>14727</v>
      </c>
      <c r="N165">
        <v>8595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v>5272</v>
      </c>
      <c r="F166">
        <v>5943</v>
      </c>
      <c r="G166">
        <v>6537</v>
      </c>
      <c r="H166">
        <v>6284</v>
      </c>
      <c r="I166">
        <v>8992</v>
      </c>
      <c r="J166">
        <v>5465</v>
      </c>
      <c r="K166">
        <v>7004</v>
      </c>
      <c r="L166">
        <v>272</v>
      </c>
      <c r="M166">
        <v>9741</v>
      </c>
      <c r="N166">
        <v>23171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v>4285</v>
      </c>
      <c r="F167">
        <v>5743</v>
      </c>
      <c r="G167">
        <v>2924</v>
      </c>
      <c r="H167">
        <v>4217</v>
      </c>
      <c r="I167">
        <v>4972</v>
      </c>
      <c r="J167">
        <v>4591</v>
      </c>
      <c r="K167">
        <v>1728</v>
      </c>
      <c r="L167">
        <v>416</v>
      </c>
      <c r="M167">
        <v>2867</v>
      </c>
      <c r="N167">
        <v>3118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v>4794</v>
      </c>
      <c r="F168">
        <v>2560</v>
      </c>
      <c r="G168">
        <v>6432</v>
      </c>
      <c r="H168">
        <v>4544</v>
      </c>
      <c r="I168">
        <v>4089</v>
      </c>
      <c r="J168">
        <v>2887</v>
      </c>
      <c r="K168">
        <v>3433</v>
      </c>
      <c r="L168">
        <v>661</v>
      </c>
      <c r="M168">
        <v>5457</v>
      </c>
      <c r="N168">
        <v>2413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v>7595</v>
      </c>
      <c r="F169">
        <v>6545</v>
      </c>
      <c r="G169">
        <v>9074</v>
      </c>
      <c r="H169">
        <v>9558</v>
      </c>
      <c r="I169">
        <v>8238</v>
      </c>
      <c r="J169">
        <v>8513</v>
      </c>
      <c r="K169">
        <v>6867</v>
      </c>
      <c r="L169">
        <v>228</v>
      </c>
      <c r="M169">
        <v>8883</v>
      </c>
      <c r="N169">
        <v>7549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v>4878</v>
      </c>
      <c r="F170">
        <v>7446</v>
      </c>
      <c r="G170">
        <v>7940</v>
      </c>
      <c r="H170">
        <v>7265</v>
      </c>
      <c r="I170">
        <v>8496</v>
      </c>
      <c r="J170">
        <v>6831</v>
      </c>
      <c r="K170">
        <v>7062</v>
      </c>
      <c r="L170">
        <v>2200</v>
      </c>
      <c r="M170">
        <v>4026</v>
      </c>
      <c r="N170">
        <v>8509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v>885</v>
      </c>
      <c r="F171">
        <v>585</v>
      </c>
      <c r="G171">
        <v>929</v>
      </c>
      <c r="H171">
        <v>649</v>
      </c>
      <c r="I171">
        <v>520</v>
      </c>
      <c r="J171">
        <v>1017</v>
      </c>
      <c r="K171">
        <v>315</v>
      </c>
      <c r="L171">
        <v>0</v>
      </c>
      <c r="M171">
        <v>298</v>
      </c>
      <c r="N171">
        <v>666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v>6219</v>
      </c>
      <c r="F172">
        <v>4354</v>
      </c>
      <c r="G172">
        <v>8185</v>
      </c>
      <c r="H172">
        <v>5939</v>
      </c>
      <c r="I172">
        <v>4395</v>
      </c>
      <c r="J172">
        <v>3361</v>
      </c>
      <c r="K172">
        <v>5281</v>
      </c>
      <c r="L172">
        <v>1661</v>
      </c>
      <c r="M172">
        <v>3495</v>
      </c>
      <c r="N172">
        <v>5286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v>0</v>
      </c>
      <c r="F173">
        <v>2547</v>
      </c>
      <c r="G173">
        <v>3028</v>
      </c>
      <c r="H173">
        <v>2966</v>
      </c>
      <c r="I173">
        <v>2701</v>
      </c>
      <c r="J173">
        <v>1570</v>
      </c>
      <c r="K173">
        <v>2989</v>
      </c>
      <c r="L173">
        <v>1519</v>
      </c>
      <c r="M173">
        <v>1073</v>
      </c>
      <c r="N173">
        <v>2238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v>3010</v>
      </c>
      <c r="F174">
        <v>2518</v>
      </c>
      <c r="G174">
        <v>6034</v>
      </c>
      <c r="H174">
        <v>3413</v>
      </c>
      <c r="I174">
        <v>2747</v>
      </c>
      <c r="J174">
        <v>2845</v>
      </c>
      <c r="K174">
        <v>1568</v>
      </c>
      <c r="L174">
        <v>266</v>
      </c>
      <c r="M174">
        <v>4349</v>
      </c>
      <c r="N174">
        <v>3170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v>2872</v>
      </c>
      <c r="F175">
        <v>3809</v>
      </c>
      <c r="G175">
        <v>4565</v>
      </c>
      <c r="H175">
        <v>2512</v>
      </c>
      <c r="I175">
        <v>3101</v>
      </c>
      <c r="J175">
        <v>3757</v>
      </c>
      <c r="K175">
        <v>2082</v>
      </c>
      <c r="L175">
        <v>1646</v>
      </c>
      <c r="M175">
        <v>2891</v>
      </c>
      <c r="N175">
        <v>4585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v>2126</v>
      </c>
      <c r="F177">
        <v>2942</v>
      </c>
      <c r="G177">
        <v>3292</v>
      </c>
      <c r="H177">
        <v>1969</v>
      </c>
      <c r="I177">
        <v>2046</v>
      </c>
      <c r="J177">
        <v>3061</v>
      </c>
      <c r="K177">
        <v>3402</v>
      </c>
      <c r="L177">
        <v>810</v>
      </c>
      <c r="M177">
        <v>1431</v>
      </c>
      <c r="N177">
        <v>1660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v>1815</v>
      </c>
      <c r="F179">
        <v>1648</v>
      </c>
      <c r="G179">
        <v>2418</v>
      </c>
      <c r="H179">
        <v>2548</v>
      </c>
      <c r="I179">
        <v>2840</v>
      </c>
      <c r="J179">
        <v>1450</v>
      </c>
      <c r="K179">
        <v>2116</v>
      </c>
      <c r="L179">
        <v>160</v>
      </c>
      <c r="M179">
        <v>2094</v>
      </c>
      <c r="N179">
        <v>2699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v>1161</v>
      </c>
      <c r="F180">
        <v>2345</v>
      </c>
      <c r="G180">
        <v>2230</v>
      </c>
      <c r="H180">
        <v>1845</v>
      </c>
      <c r="I180">
        <v>2654</v>
      </c>
      <c r="J180">
        <v>1225</v>
      </c>
      <c r="K180">
        <v>1496</v>
      </c>
      <c r="L180">
        <v>857</v>
      </c>
      <c r="M180">
        <v>1327</v>
      </c>
      <c r="N180">
        <v>1740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v>6577</v>
      </c>
      <c r="F183">
        <v>6185</v>
      </c>
      <c r="G183">
        <v>7750</v>
      </c>
      <c r="H183">
        <v>6950</v>
      </c>
      <c r="I183">
        <v>7332</v>
      </c>
      <c r="J183">
        <v>8104</v>
      </c>
      <c r="K183">
        <v>8236</v>
      </c>
      <c r="L183">
        <v>1066</v>
      </c>
      <c r="M183">
        <v>7219</v>
      </c>
      <c r="N183">
        <v>5893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v>6986</v>
      </c>
      <c r="F184">
        <v>5404</v>
      </c>
      <c r="G184">
        <v>4731</v>
      </c>
      <c r="H184">
        <v>4546</v>
      </c>
      <c r="I184">
        <v>4487</v>
      </c>
      <c r="J184">
        <v>6733</v>
      </c>
      <c r="K184">
        <v>3388</v>
      </c>
      <c r="L184">
        <v>468</v>
      </c>
      <c r="M184">
        <v>4290</v>
      </c>
      <c r="N184">
        <v>8941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v>4680</v>
      </c>
      <c r="F185">
        <v>4368</v>
      </c>
      <c r="G185">
        <v>12427</v>
      </c>
      <c r="H185">
        <v>13002</v>
      </c>
      <c r="I185">
        <v>9579</v>
      </c>
      <c r="J185">
        <v>10287</v>
      </c>
      <c r="K185">
        <v>8129</v>
      </c>
      <c r="L185">
        <v>704</v>
      </c>
      <c r="M185">
        <v>5355</v>
      </c>
      <c r="N185">
        <v>12124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v>0</v>
      </c>
      <c r="F186">
        <v>3097</v>
      </c>
      <c r="G186">
        <v>4405</v>
      </c>
      <c r="H186">
        <v>2941</v>
      </c>
      <c r="I186">
        <v>1186</v>
      </c>
      <c r="J186">
        <v>1391</v>
      </c>
      <c r="K186">
        <v>1696</v>
      </c>
      <c r="L186">
        <v>252</v>
      </c>
      <c r="M186">
        <v>850</v>
      </c>
      <c r="N186">
        <v>2063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v>0</v>
      </c>
      <c r="F187">
        <v>1712</v>
      </c>
      <c r="G187">
        <v>1664</v>
      </c>
      <c r="H187">
        <v>1688</v>
      </c>
      <c r="I187">
        <v>1819</v>
      </c>
      <c r="J187">
        <v>1582</v>
      </c>
      <c r="K187">
        <v>2408</v>
      </c>
      <c r="L187">
        <v>0</v>
      </c>
      <c r="M187">
        <v>1158</v>
      </c>
      <c r="N187">
        <v>2506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v>14313</v>
      </c>
      <c r="F188">
        <v>7816</v>
      </c>
      <c r="G188">
        <v>9143</v>
      </c>
      <c r="H188">
        <v>6348</v>
      </c>
      <c r="I188">
        <v>7843</v>
      </c>
      <c r="J188">
        <v>9311</v>
      </c>
      <c r="K188">
        <v>3373</v>
      </c>
      <c r="L188">
        <v>4198</v>
      </c>
      <c r="M188">
        <v>5615</v>
      </c>
      <c r="N188">
        <v>8005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v>3933</v>
      </c>
      <c r="F189">
        <v>3145</v>
      </c>
      <c r="G189">
        <v>7168</v>
      </c>
      <c r="H189">
        <v>4007</v>
      </c>
      <c r="I189">
        <v>4944</v>
      </c>
      <c r="J189">
        <v>3914</v>
      </c>
      <c r="K189">
        <v>2600</v>
      </c>
      <c r="L189">
        <v>382</v>
      </c>
      <c r="M189">
        <v>3776</v>
      </c>
      <c r="N189">
        <v>3743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v>1100</v>
      </c>
      <c r="F191">
        <v>2154</v>
      </c>
      <c r="G191">
        <v>1651</v>
      </c>
      <c r="H191">
        <v>1867</v>
      </c>
      <c r="I191">
        <v>1722</v>
      </c>
      <c r="J191">
        <v>1758</v>
      </c>
      <c r="K191">
        <v>682</v>
      </c>
      <c r="L191">
        <v>140</v>
      </c>
      <c r="M191">
        <v>987</v>
      </c>
      <c r="N191">
        <v>1953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v>0</v>
      </c>
      <c r="F192">
        <v>1955</v>
      </c>
      <c r="G192">
        <v>4331</v>
      </c>
      <c r="H192">
        <v>1674</v>
      </c>
      <c r="I192">
        <v>1567</v>
      </c>
      <c r="J192">
        <v>1191</v>
      </c>
      <c r="K192">
        <v>434</v>
      </c>
      <c r="L192">
        <v>771</v>
      </c>
      <c r="M192">
        <v>719</v>
      </c>
      <c r="N192">
        <v>2534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v>2426</v>
      </c>
      <c r="F193">
        <v>2307</v>
      </c>
      <c r="G193">
        <v>2828</v>
      </c>
      <c r="H193">
        <v>1926</v>
      </c>
      <c r="I193">
        <v>2270</v>
      </c>
      <c r="J193">
        <v>1794</v>
      </c>
      <c r="K193">
        <v>1912</v>
      </c>
      <c r="L193">
        <v>401</v>
      </c>
      <c r="M193">
        <v>1875</v>
      </c>
      <c r="N193">
        <v>2235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v>3284</v>
      </c>
      <c r="F194">
        <v>3600</v>
      </c>
      <c r="G194">
        <v>3331</v>
      </c>
      <c r="H194">
        <v>2508</v>
      </c>
      <c r="I194">
        <v>3207</v>
      </c>
      <c r="J194">
        <v>2603</v>
      </c>
      <c r="K194">
        <v>1015</v>
      </c>
      <c r="L194">
        <v>0</v>
      </c>
      <c r="M194">
        <v>2163</v>
      </c>
      <c r="N194">
        <v>2326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2332</v>
      </c>
      <c r="K196">
        <v>1123</v>
      </c>
      <c r="L196">
        <v>501</v>
      </c>
      <c r="M196">
        <v>1602</v>
      </c>
      <c r="N196">
        <v>2552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v>21512</v>
      </c>
      <c r="F197">
        <v>16645</v>
      </c>
      <c r="G197">
        <v>16661</v>
      </c>
      <c r="H197">
        <v>13639</v>
      </c>
      <c r="I197">
        <v>9058</v>
      </c>
      <c r="J197">
        <v>8538</v>
      </c>
      <c r="K197">
        <v>33378</v>
      </c>
      <c r="L197">
        <v>560</v>
      </c>
      <c r="M197">
        <v>25858</v>
      </c>
      <c r="N197">
        <v>30760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v>0</v>
      </c>
      <c r="F198">
        <v>962</v>
      </c>
      <c r="G198">
        <v>1624</v>
      </c>
      <c r="H198">
        <v>1410</v>
      </c>
      <c r="I198">
        <v>1568</v>
      </c>
      <c r="J198">
        <v>1792</v>
      </c>
      <c r="K198">
        <v>1825</v>
      </c>
      <c r="L198">
        <v>1024</v>
      </c>
      <c r="M198">
        <v>1019</v>
      </c>
      <c r="N198">
        <v>1831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v>1783</v>
      </c>
      <c r="F199">
        <v>1237</v>
      </c>
      <c r="G199">
        <v>2633</v>
      </c>
      <c r="H199">
        <v>1975</v>
      </c>
      <c r="I199">
        <v>3653</v>
      </c>
      <c r="J199">
        <v>1865</v>
      </c>
      <c r="K199">
        <v>2584</v>
      </c>
      <c r="L199">
        <v>0</v>
      </c>
      <c r="M199">
        <v>2131</v>
      </c>
      <c r="N199">
        <v>2256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v>1667</v>
      </c>
      <c r="F200">
        <v>5171</v>
      </c>
      <c r="G200">
        <v>2190</v>
      </c>
      <c r="H200">
        <v>2801</v>
      </c>
      <c r="I200">
        <v>2058</v>
      </c>
      <c r="J200">
        <v>2368</v>
      </c>
      <c r="K200">
        <v>2132</v>
      </c>
      <c r="L200">
        <v>1477</v>
      </c>
      <c r="M200">
        <v>2721</v>
      </c>
      <c r="N200">
        <v>1305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v>7047</v>
      </c>
      <c r="F201">
        <v>4444</v>
      </c>
      <c r="G201">
        <v>2881</v>
      </c>
      <c r="H201">
        <v>2506</v>
      </c>
      <c r="I201">
        <v>3593</v>
      </c>
      <c r="J201">
        <v>2884</v>
      </c>
      <c r="K201">
        <v>4604</v>
      </c>
      <c r="L201">
        <v>1089</v>
      </c>
      <c r="M201">
        <v>3154</v>
      </c>
      <c r="N201">
        <v>4908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v>1710</v>
      </c>
      <c r="F202">
        <v>2755</v>
      </c>
      <c r="G202">
        <v>2411</v>
      </c>
      <c r="H202">
        <v>2903</v>
      </c>
      <c r="I202">
        <v>1738</v>
      </c>
      <c r="J202">
        <v>2065</v>
      </c>
      <c r="K202">
        <v>1785</v>
      </c>
      <c r="L202">
        <v>0</v>
      </c>
      <c r="M202">
        <v>2143</v>
      </c>
      <c r="N202">
        <v>2062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v>5470</v>
      </c>
      <c r="F203">
        <v>4297</v>
      </c>
      <c r="G203">
        <v>7679</v>
      </c>
      <c r="H203">
        <v>3954</v>
      </c>
      <c r="I203">
        <v>5482</v>
      </c>
      <c r="J203">
        <v>6322</v>
      </c>
      <c r="K203">
        <v>3211</v>
      </c>
      <c r="L203">
        <v>2</v>
      </c>
      <c r="M203">
        <v>4672</v>
      </c>
      <c r="N203">
        <v>6971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v>2070</v>
      </c>
      <c r="F204">
        <v>2912</v>
      </c>
      <c r="G204">
        <v>2292</v>
      </c>
      <c r="H204">
        <v>2069</v>
      </c>
      <c r="I204">
        <v>3039</v>
      </c>
      <c r="J204">
        <v>2034</v>
      </c>
      <c r="K204">
        <v>538</v>
      </c>
      <c r="L204">
        <v>350</v>
      </c>
      <c r="M204">
        <v>2100</v>
      </c>
      <c r="N204">
        <v>3452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v>1565</v>
      </c>
      <c r="F205">
        <v>2923</v>
      </c>
      <c r="G205">
        <v>2573</v>
      </c>
      <c r="H205">
        <v>2557</v>
      </c>
      <c r="I205">
        <v>3261</v>
      </c>
      <c r="J205">
        <v>2883</v>
      </c>
      <c r="K205">
        <v>1892</v>
      </c>
      <c r="L205">
        <v>305</v>
      </c>
      <c r="M205">
        <v>3808</v>
      </c>
      <c r="N205">
        <v>3431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v>4946</v>
      </c>
      <c r="F206">
        <v>4325</v>
      </c>
      <c r="G206">
        <v>3428</v>
      </c>
      <c r="H206">
        <v>6192</v>
      </c>
      <c r="I206">
        <v>5056</v>
      </c>
      <c r="J206">
        <v>3409</v>
      </c>
      <c r="K206">
        <v>3625</v>
      </c>
      <c r="L206">
        <v>28</v>
      </c>
      <c r="M206">
        <v>4399</v>
      </c>
      <c r="N206">
        <v>7494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v>2150</v>
      </c>
      <c r="F207">
        <v>3084</v>
      </c>
      <c r="G207">
        <v>3608</v>
      </c>
      <c r="H207">
        <v>2086</v>
      </c>
      <c r="I207">
        <v>1867</v>
      </c>
      <c r="J207">
        <v>1981</v>
      </c>
      <c r="K207">
        <v>238</v>
      </c>
      <c r="L207">
        <v>740</v>
      </c>
      <c r="M207">
        <v>1564</v>
      </c>
      <c r="N207">
        <v>1250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v>14881</v>
      </c>
      <c r="F208">
        <v>14305</v>
      </c>
      <c r="G208">
        <v>12283</v>
      </c>
      <c r="H208">
        <v>12036</v>
      </c>
      <c r="I208">
        <v>10699</v>
      </c>
      <c r="J208">
        <v>7161</v>
      </c>
      <c r="K208">
        <v>3775</v>
      </c>
      <c r="L208">
        <v>349</v>
      </c>
      <c r="M208">
        <v>4833</v>
      </c>
      <c r="N208">
        <v>9089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v>1860</v>
      </c>
      <c r="F209">
        <v>3014</v>
      </c>
      <c r="G209">
        <v>4065</v>
      </c>
      <c r="H209">
        <v>4148</v>
      </c>
      <c r="I209">
        <v>2820</v>
      </c>
      <c r="J209">
        <v>3043</v>
      </c>
      <c r="K209">
        <v>3155</v>
      </c>
      <c r="L209">
        <v>0</v>
      </c>
      <c r="M209">
        <v>3093</v>
      </c>
      <c r="N209">
        <v>1869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v>3128</v>
      </c>
      <c r="F210">
        <v>3006</v>
      </c>
      <c r="G210">
        <v>2249</v>
      </c>
      <c r="H210">
        <v>3019</v>
      </c>
      <c r="I210">
        <v>2803</v>
      </c>
      <c r="J210">
        <v>3101</v>
      </c>
      <c r="K210">
        <v>2568</v>
      </c>
      <c r="L210">
        <v>1</v>
      </c>
      <c r="M210">
        <v>3864</v>
      </c>
      <c r="N210">
        <v>2799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v>6718</v>
      </c>
      <c r="F211">
        <v>6188</v>
      </c>
      <c r="G211">
        <v>7633</v>
      </c>
      <c r="H211">
        <v>8220</v>
      </c>
      <c r="I211">
        <v>9561</v>
      </c>
      <c r="J211">
        <v>4534</v>
      </c>
      <c r="K211">
        <v>5103</v>
      </c>
      <c r="L211">
        <v>200</v>
      </c>
      <c r="M211">
        <v>6461</v>
      </c>
      <c r="N211">
        <v>7067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v>5507</v>
      </c>
      <c r="F212">
        <v>7381</v>
      </c>
      <c r="G212">
        <v>5482</v>
      </c>
      <c r="H212">
        <v>6805</v>
      </c>
      <c r="I212">
        <v>5513</v>
      </c>
      <c r="J212">
        <v>4616</v>
      </c>
      <c r="K212">
        <v>4181</v>
      </c>
      <c r="L212">
        <v>1151</v>
      </c>
      <c r="M212">
        <v>4256</v>
      </c>
      <c r="N212">
        <v>9812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v>7963</v>
      </c>
      <c r="F213">
        <v>6409</v>
      </c>
      <c r="G213">
        <v>6938</v>
      </c>
      <c r="H213">
        <v>4773</v>
      </c>
      <c r="I213">
        <v>5489</v>
      </c>
      <c r="J213">
        <v>13384</v>
      </c>
      <c r="K213">
        <v>9533</v>
      </c>
      <c r="L213">
        <v>4868</v>
      </c>
      <c r="M213">
        <v>7632</v>
      </c>
      <c r="N213">
        <v>6137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v>3586</v>
      </c>
      <c r="F214">
        <v>4291</v>
      </c>
      <c r="G214">
        <v>3193</v>
      </c>
      <c r="H214">
        <v>3956</v>
      </c>
      <c r="I214">
        <v>2858</v>
      </c>
      <c r="J214">
        <v>4773</v>
      </c>
      <c r="K214">
        <v>3432</v>
      </c>
      <c r="L214">
        <v>1330</v>
      </c>
      <c r="M214">
        <v>3210</v>
      </c>
      <c r="N214">
        <v>2579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v>9675</v>
      </c>
      <c r="F215">
        <v>8643</v>
      </c>
      <c r="G215">
        <v>11087</v>
      </c>
      <c r="H215">
        <v>10049</v>
      </c>
      <c r="I215">
        <v>7618</v>
      </c>
      <c r="J215">
        <v>7780</v>
      </c>
      <c r="K215">
        <v>6894</v>
      </c>
      <c r="L215">
        <v>2354</v>
      </c>
      <c r="M215">
        <v>5888</v>
      </c>
      <c r="N215">
        <v>9396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v>0</v>
      </c>
      <c r="F216">
        <v>3148</v>
      </c>
      <c r="G216">
        <v>4044</v>
      </c>
      <c r="H216">
        <v>4809</v>
      </c>
      <c r="I216">
        <v>2327</v>
      </c>
      <c r="J216">
        <v>2870</v>
      </c>
      <c r="K216">
        <v>2137</v>
      </c>
      <c r="L216">
        <v>1618</v>
      </c>
      <c r="M216">
        <v>2166</v>
      </c>
      <c r="N216">
        <v>3411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v>4194</v>
      </c>
      <c r="F217">
        <v>2826</v>
      </c>
      <c r="G217">
        <v>6514</v>
      </c>
      <c r="H217">
        <v>3732</v>
      </c>
      <c r="I217">
        <v>5590</v>
      </c>
      <c r="J217">
        <v>2938</v>
      </c>
      <c r="K217">
        <v>3868</v>
      </c>
      <c r="L217">
        <v>1490</v>
      </c>
      <c r="M217">
        <v>3687</v>
      </c>
      <c r="N217">
        <v>4750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v>9325</v>
      </c>
      <c r="F218">
        <v>5153</v>
      </c>
      <c r="G218">
        <v>5488</v>
      </c>
      <c r="H218">
        <v>5163</v>
      </c>
      <c r="I218">
        <v>4092</v>
      </c>
      <c r="J218">
        <v>7300</v>
      </c>
      <c r="K218">
        <v>4488</v>
      </c>
      <c r="L218">
        <v>0</v>
      </c>
      <c r="M218">
        <v>3619</v>
      </c>
      <c r="N218">
        <v>6313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v>4235</v>
      </c>
      <c r="F219">
        <v>4602</v>
      </c>
      <c r="G219">
        <v>3665</v>
      </c>
      <c r="H219">
        <v>4840</v>
      </c>
      <c r="I219">
        <v>3935</v>
      </c>
      <c r="J219">
        <v>3747</v>
      </c>
      <c r="K219">
        <v>5001</v>
      </c>
      <c r="L219">
        <v>316</v>
      </c>
      <c r="M219">
        <v>5062</v>
      </c>
      <c r="N219">
        <v>5008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v>2524</v>
      </c>
      <c r="F220">
        <v>3311</v>
      </c>
      <c r="G220">
        <v>3426</v>
      </c>
      <c r="H220">
        <v>2018</v>
      </c>
      <c r="I220">
        <v>1826</v>
      </c>
      <c r="J220">
        <v>3000</v>
      </c>
      <c r="K220">
        <v>509</v>
      </c>
      <c r="L220">
        <v>0</v>
      </c>
      <c r="M220">
        <v>1665</v>
      </c>
      <c r="N220">
        <v>3548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v>0</v>
      </c>
      <c r="F221">
        <v>1549</v>
      </c>
      <c r="G221">
        <v>2047</v>
      </c>
      <c r="H221">
        <v>2139</v>
      </c>
      <c r="I221">
        <v>2858</v>
      </c>
      <c r="J221">
        <v>2644</v>
      </c>
      <c r="K221">
        <v>2691</v>
      </c>
      <c r="L221">
        <v>0</v>
      </c>
      <c r="M221">
        <v>2827</v>
      </c>
      <c r="N221">
        <v>2665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v>18170</v>
      </c>
      <c r="F222">
        <v>19034</v>
      </c>
      <c r="G222">
        <v>21856</v>
      </c>
      <c r="H222">
        <v>17274</v>
      </c>
      <c r="I222">
        <v>15384</v>
      </c>
      <c r="J222">
        <v>20774</v>
      </c>
      <c r="K222">
        <v>14147</v>
      </c>
      <c r="L222">
        <v>1157</v>
      </c>
      <c r="M222">
        <v>9314</v>
      </c>
      <c r="N222">
        <v>10577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v>4676</v>
      </c>
      <c r="F223">
        <v>5229</v>
      </c>
      <c r="G223">
        <v>3469</v>
      </c>
      <c r="H223">
        <v>4880</v>
      </c>
      <c r="I223">
        <v>3361</v>
      </c>
      <c r="J223">
        <v>5192</v>
      </c>
      <c r="K223">
        <v>3042</v>
      </c>
      <c r="L223">
        <v>14</v>
      </c>
      <c r="M223">
        <v>2665</v>
      </c>
      <c r="N223">
        <v>4339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v>5423</v>
      </c>
      <c r="F224">
        <v>4789</v>
      </c>
      <c r="G224">
        <v>2825</v>
      </c>
      <c r="H224">
        <v>3961</v>
      </c>
      <c r="I224">
        <v>3655</v>
      </c>
      <c r="J224">
        <v>5207</v>
      </c>
      <c r="K224">
        <v>3922</v>
      </c>
      <c r="L224">
        <v>471</v>
      </c>
      <c r="M224">
        <v>6060</v>
      </c>
      <c r="N224">
        <v>6632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v>35243</v>
      </c>
      <c r="F225">
        <v>23765</v>
      </c>
      <c r="G225">
        <v>18523</v>
      </c>
      <c r="H225">
        <v>14901</v>
      </c>
      <c r="I225">
        <v>13097</v>
      </c>
      <c r="J225">
        <v>18474</v>
      </c>
      <c r="K225">
        <v>10719</v>
      </c>
      <c r="L225">
        <v>448</v>
      </c>
      <c r="M225">
        <v>6717</v>
      </c>
      <c r="N225">
        <v>15222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v>1864</v>
      </c>
      <c r="F226">
        <v>1526</v>
      </c>
      <c r="G226">
        <v>666</v>
      </c>
      <c r="H226">
        <v>730</v>
      </c>
      <c r="I226">
        <v>730</v>
      </c>
      <c r="J226">
        <v>671</v>
      </c>
      <c r="K226">
        <v>1295</v>
      </c>
      <c r="L226">
        <v>336</v>
      </c>
      <c r="M226">
        <v>1056</v>
      </c>
      <c r="N226">
        <v>1449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v>778</v>
      </c>
      <c r="F227">
        <v>1392</v>
      </c>
      <c r="G227">
        <v>1225</v>
      </c>
      <c r="H227">
        <v>580</v>
      </c>
      <c r="I227">
        <v>1564</v>
      </c>
      <c r="J227">
        <v>1191</v>
      </c>
      <c r="K227">
        <v>1091</v>
      </c>
      <c r="L227">
        <v>367</v>
      </c>
      <c r="M227">
        <v>1939</v>
      </c>
      <c r="N227">
        <v>1203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v>2070</v>
      </c>
      <c r="F228">
        <v>1419</v>
      </c>
      <c r="G228">
        <v>1340</v>
      </c>
      <c r="H228">
        <v>1150</v>
      </c>
      <c r="I228">
        <v>1227</v>
      </c>
      <c r="J228">
        <v>1115</v>
      </c>
      <c r="K228">
        <v>805</v>
      </c>
      <c r="L228">
        <v>198</v>
      </c>
      <c r="M228">
        <v>1244</v>
      </c>
      <c r="N228">
        <v>2672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v>2830</v>
      </c>
      <c r="F229">
        <v>3251</v>
      </c>
      <c r="G229">
        <v>4078</v>
      </c>
      <c r="H229">
        <v>2239</v>
      </c>
      <c r="I229">
        <v>3691</v>
      </c>
      <c r="J229">
        <v>3523</v>
      </c>
      <c r="K229">
        <v>3824</v>
      </c>
      <c r="L229">
        <v>0</v>
      </c>
      <c r="M229">
        <v>9789</v>
      </c>
      <c r="N229">
        <v>7099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v>2029</v>
      </c>
      <c r="F230">
        <v>4403</v>
      </c>
      <c r="G230">
        <v>4029</v>
      </c>
      <c r="H230">
        <v>4469</v>
      </c>
      <c r="I230">
        <v>5122</v>
      </c>
      <c r="J230">
        <v>3481</v>
      </c>
      <c r="K230">
        <v>863</v>
      </c>
      <c r="L230">
        <v>302</v>
      </c>
      <c r="M230">
        <v>2922</v>
      </c>
      <c r="N230">
        <v>3393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v>5589</v>
      </c>
      <c r="F231">
        <v>5293</v>
      </c>
      <c r="G231">
        <v>6845</v>
      </c>
      <c r="H231">
        <v>6551</v>
      </c>
      <c r="I231">
        <v>5306</v>
      </c>
      <c r="J231">
        <v>6440</v>
      </c>
      <c r="K231">
        <v>6339</v>
      </c>
      <c r="L231">
        <v>0</v>
      </c>
      <c r="M231">
        <v>9578</v>
      </c>
      <c r="N231">
        <v>7400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v>2691</v>
      </c>
      <c r="F232">
        <v>1478</v>
      </c>
      <c r="G232">
        <v>1527</v>
      </c>
      <c r="H232">
        <v>1058</v>
      </c>
      <c r="I232">
        <v>1609</v>
      </c>
      <c r="J232">
        <v>1251</v>
      </c>
      <c r="K232">
        <v>697</v>
      </c>
      <c r="L232">
        <v>290</v>
      </c>
      <c r="M232">
        <v>1772</v>
      </c>
      <c r="N232">
        <v>2172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v>2255</v>
      </c>
      <c r="F233">
        <v>1720</v>
      </c>
      <c r="G233">
        <v>2622</v>
      </c>
      <c r="H233">
        <v>2187</v>
      </c>
      <c r="I233">
        <v>3731</v>
      </c>
      <c r="J233">
        <v>3734</v>
      </c>
      <c r="K233">
        <v>1824</v>
      </c>
      <c r="L233">
        <v>652</v>
      </c>
      <c r="M233">
        <v>2196</v>
      </c>
      <c r="N233">
        <v>3027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v>2277</v>
      </c>
      <c r="F234">
        <v>2608</v>
      </c>
      <c r="G234">
        <v>3388</v>
      </c>
      <c r="H234">
        <v>1635</v>
      </c>
      <c r="I234">
        <v>2677</v>
      </c>
      <c r="J234">
        <v>2218</v>
      </c>
      <c r="K234">
        <v>3575</v>
      </c>
      <c r="L234">
        <v>1525</v>
      </c>
      <c r="M234">
        <v>2350</v>
      </c>
      <c r="N234">
        <v>2652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v>0</v>
      </c>
      <c r="F235">
        <v>3621</v>
      </c>
      <c r="G235">
        <v>1480</v>
      </c>
      <c r="H235">
        <v>1675</v>
      </c>
      <c r="I235">
        <v>2575</v>
      </c>
      <c r="J235">
        <v>884</v>
      </c>
      <c r="K235">
        <v>820</v>
      </c>
      <c r="L235">
        <v>20</v>
      </c>
      <c r="M235">
        <v>1375</v>
      </c>
      <c r="N235">
        <v>1460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v>3179</v>
      </c>
      <c r="F236">
        <v>2995</v>
      </c>
      <c r="G236">
        <v>3643</v>
      </c>
      <c r="H236">
        <v>2716</v>
      </c>
      <c r="I236">
        <v>3270</v>
      </c>
      <c r="J236">
        <v>4383</v>
      </c>
      <c r="K236">
        <v>4583</v>
      </c>
      <c r="L236">
        <v>2507</v>
      </c>
      <c r="M236">
        <v>5156</v>
      </c>
      <c r="N236">
        <v>2861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v>0</v>
      </c>
      <c r="F237">
        <v>1245</v>
      </c>
      <c r="G237">
        <v>1227</v>
      </c>
      <c r="H237">
        <v>2519</v>
      </c>
      <c r="I237">
        <v>2655</v>
      </c>
      <c r="J237">
        <v>1039</v>
      </c>
      <c r="K237">
        <v>1397</v>
      </c>
      <c r="L237">
        <v>320</v>
      </c>
      <c r="M237">
        <v>1915</v>
      </c>
      <c r="N237">
        <v>2522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v>787</v>
      </c>
      <c r="F238">
        <v>1571</v>
      </c>
      <c r="G238">
        <v>1139</v>
      </c>
      <c r="H238">
        <v>4011</v>
      </c>
      <c r="I238">
        <v>2213</v>
      </c>
      <c r="J238">
        <v>2335</v>
      </c>
      <c r="K238">
        <v>0</v>
      </c>
      <c r="L238">
        <v>89</v>
      </c>
      <c r="M238">
        <v>1968</v>
      </c>
      <c r="N238">
        <v>1417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v>1907</v>
      </c>
      <c r="F239">
        <v>2141</v>
      </c>
      <c r="G239">
        <v>1768</v>
      </c>
      <c r="H239">
        <v>1131</v>
      </c>
      <c r="I239">
        <v>1464</v>
      </c>
      <c r="J239">
        <v>1780</v>
      </c>
      <c r="K239">
        <v>367</v>
      </c>
      <c r="L239">
        <v>16</v>
      </c>
      <c r="M239">
        <v>477</v>
      </c>
      <c r="N239">
        <v>1103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v>7519</v>
      </c>
      <c r="F240">
        <v>6853</v>
      </c>
      <c r="G240">
        <v>10769</v>
      </c>
      <c r="H240">
        <v>8162</v>
      </c>
      <c r="I240">
        <v>6902</v>
      </c>
      <c r="J240">
        <v>8393</v>
      </c>
      <c r="K240">
        <v>6726</v>
      </c>
      <c r="L240">
        <v>372</v>
      </c>
      <c r="M240">
        <v>27394</v>
      </c>
      <c r="N240">
        <v>11569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v>2204</v>
      </c>
      <c r="F241">
        <v>2761</v>
      </c>
      <c r="G241">
        <v>2305</v>
      </c>
      <c r="H241">
        <v>3160</v>
      </c>
      <c r="I241">
        <v>2180</v>
      </c>
      <c r="J241">
        <v>3172</v>
      </c>
      <c r="K241">
        <v>2483</v>
      </c>
      <c r="L241">
        <v>282</v>
      </c>
      <c r="M241">
        <v>1240</v>
      </c>
      <c r="N241">
        <v>1733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v>0</v>
      </c>
      <c r="F242">
        <v>1477</v>
      </c>
      <c r="G242">
        <v>1137</v>
      </c>
      <c r="H242">
        <v>880</v>
      </c>
      <c r="I242">
        <v>911</v>
      </c>
      <c r="J242">
        <v>1259</v>
      </c>
      <c r="K242">
        <v>662</v>
      </c>
      <c r="L242">
        <v>132</v>
      </c>
      <c r="M242">
        <v>873</v>
      </c>
      <c r="N242">
        <v>1519</v>
      </c>
    </row>
    <row r="243" spans="1:14" x14ac:dyDescent="0.2">
      <c r="A243" t="s">
        <v>520</v>
      </c>
      <c r="B243" t="s">
        <v>599</v>
      </c>
      <c r="C243">
        <v>215743</v>
      </c>
      <c r="D243">
        <v>11020</v>
      </c>
      <c r="E243">
        <v>1613</v>
      </c>
      <c r="F243">
        <v>1171</v>
      </c>
      <c r="G243">
        <v>1011</v>
      </c>
      <c r="H243">
        <v>2636</v>
      </c>
      <c r="I243">
        <v>1336</v>
      </c>
      <c r="J243">
        <v>1256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v>3198</v>
      </c>
      <c r="F244">
        <v>2596</v>
      </c>
      <c r="G244">
        <v>2368</v>
      </c>
      <c r="H244">
        <v>3098</v>
      </c>
      <c r="I244">
        <v>2059</v>
      </c>
      <c r="J244">
        <v>910</v>
      </c>
      <c r="K244">
        <v>1630</v>
      </c>
      <c r="L244">
        <v>891</v>
      </c>
      <c r="M244">
        <v>1853</v>
      </c>
      <c r="N244">
        <v>1225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v>6537</v>
      </c>
      <c r="F245">
        <v>2274</v>
      </c>
      <c r="G245">
        <v>7211</v>
      </c>
      <c r="H245">
        <v>5510</v>
      </c>
      <c r="I245">
        <v>9551</v>
      </c>
      <c r="J245">
        <v>8668</v>
      </c>
      <c r="K245">
        <v>11388</v>
      </c>
      <c r="L245">
        <v>42</v>
      </c>
      <c r="M245">
        <v>11430</v>
      </c>
      <c r="N245">
        <v>18863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v>2686</v>
      </c>
      <c r="F246">
        <v>2802</v>
      </c>
      <c r="G246">
        <v>3580</v>
      </c>
      <c r="H246">
        <v>1664</v>
      </c>
      <c r="I246">
        <v>2168</v>
      </c>
      <c r="J246">
        <v>2681</v>
      </c>
      <c r="K246">
        <v>2356</v>
      </c>
      <c r="L246">
        <v>120</v>
      </c>
      <c r="M246">
        <v>3358</v>
      </c>
      <c r="N246">
        <v>3929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v>1163</v>
      </c>
      <c r="F247">
        <v>624</v>
      </c>
      <c r="G247">
        <v>1175</v>
      </c>
      <c r="H247">
        <v>500</v>
      </c>
      <c r="I247">
        <v>1419</v>
      </c>
      <c r="J247">
        <v>1031</v>
      </c>
      <c r="K247">
        <v>520</v>
      </c>
      <c r="L247">
        <v>118</v>
      </c>
      <c r="M247">
        <v>1030</v>
      </c>
      <c r="N247">
        <v>913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v>2435</v>
      </c>
      <c r="F248">
        <v>2609</v>
      </c>
      <c r="G248">
        <v>1931</v>
      </c>
      <c r="H248">
        <v>1828</v>
      </c>
      <c r="I248">
        <v>3894</v>
      </c>
      <c r="J248">
        <v>1880</v>
      </c>
      <c r="K248">
        <v>1453</v>
      </c>
      <c r="L248">
        <v>679</v>
      </c>
      <c r="M248">
        <v>1814</v>
      </c>
      <c r="N248">
        <v>1506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v>9139</v>
      </c>
      <c r="F249">
        <v>4606</v>
      </c>
      <c r="G249">
        <v>6826</v>
      </c>
      <c r="H249">
        <v>4778</v>
      </c>
      <c r="I249">
        <v>5159</v>
      </c>
      <c r="J249">
        <v>3381</v>
      </c>
      <c r="K249">
        <v>4941</v>
      </c>
      <c r="L249">
        <v>1444</v>
      </c>
      <c r="M249">
        <v>2733</v>
      </c>
      <c r="N249">
        <v>3648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v>5528</v>
      </c>
      <c r="F250">
        <v>6591</v>
      </c>
      <c r="G250">
        <v>4820</v>
      </c>
      <c r="H250">
        <v>4813</v>
      </c>
      <c r="I250">
        <v>3935</v>
      </c>
      <c r="J250">
        <v>2787</v>
      </c>
      <c r="K250">
        <v>1645</v>
      </c>
      <c r="L250">
        <v>0</v>
      </c>
      <c r="M250">
        <v>3812</v>
      </c>
      <c r="N250">
        <v>4452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v>5402</v>
      </c>
      <c r="F251">
        <v>6383</v>
      </c>
      <c r="G251">
        <v>5714</v>
      </c>
      <c r="H251">
        <v>6186</v>
      </c>
      <c r="I251">
        <v>5128</v>
      </c>
      <c r="J251">
        <v>4357</v>
      </c>
      <c r="K251">
        <v>2867</v>
      </c>
      <c r="L251">
        <v>0</v>
      </c>
      <c r="M251">
        <v>6023</v>
      </c>
      <c r="N251">
        <v>7325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v>2668</v>
      </c>
      <c r="F252">
        <v>2026</v>
      </c>
      <c r="G252">
        <v>3864</v>
      </c>
      <c r="H252">
        <v>2172</v>
      </c>
      <c r="I252">
        <v>2629</v>
      </c>
      <c r="J252">
        <v>3377</v>
      </c>
      <c r="K252">
        <v>4631</v>
      </c>
      <c r="L252">
        <v>0</v>
      </c>
      <c r="M252">
        <v>6437</v>
      </c>
      <c r="N252">
        <v>4225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v>1566</v>
      </c>
      <c r="F253">
        <v>2336</v>
      </c>
      <c r="G253">
        <v>1490</v>
      </c>
      <c r="H253">
        <v>2071</v>
      </c>
      <c r="I253">
        <v>3359</v>
      </c>
      <c r="J253">
        <v>3189</v>
      </c>
      <c r="K253">
        <v>3898</v>
      </c>
      <c r="L253">
        <v>0</v>
      </c>
      <c r="M253">
        <v>3011</v>
      </c>
      <c r="N253">
        <v>4540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v>0</v>
      </c>
      <c r="F254">
        <v>7795</v>
      </c>
      <c r="G254">
        <v>6811</v>
      </c>
      <c r="H254">
        <v>5562</v>
      </c>
      <c r="I254">
        <v>10451</v>
      </c>
      <c r="J254">
        <v>11960</v>
      </c>
      <c r="K254">
        <v>14729</v>
      </c>
      <c r="L254">
        <v>0</v>
      </c>
      <c r="M254">
        <v>16014</v>
      </c>
      <c r="N254">
        <v>11343</v>
      </c>
    </row>
    <row r="255" spans="1:14" x14ac:dyDescent="0.2">
      <c r="A255" t="s">
        <v>600</v>
      </c>
      <c r="B255" t="s">
        <v>600</v>
      </c>
      <c r="C255">
        <v>140960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E256">
        <v>2677</v>
      </c>
      <c r="F256">
        <v>4283</v>
      </c>
      <c r="G256">
        <v>1572</v>
      </c>
      <c r="H256">
        <v>2497</v>
      </c>
      <c r="I256">
        <v>1987</v>
      </c>
      <c r="J256">
        <v>4469</v>
      </c>
      <c r="K256">
        <v>4858</v>
      </c>
      <c r="L256">
        <v>200</v>
      </c>
      <c r="M256">
        <v>3053</v>
      </c>
      <c r="N256">
        <v>3966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E257">
        <v>5118</v>
      </c>
      <c r="F257">
        <v>3461</v>
      </c>
      <c r="G257">
        <v>2988</v>
      </c>
      <c r="H257">
        <v>3494</v>
      </c>
      <c r="I257">
        <v>2337</v>
      </c>
      <c r="J257">
        <v>2731</v>
      </c>
      <c r="K257">
        <v>1263</v>
      </c>
      <c r="L257">
        <v>150</v>
      </c>
      <c r="M257">
        <v>1816</v>
      </c>
      <c r="N257">
        <v>3783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E258">
        <v>5171</v>
      </c>
      <c r="F258">
        <v>6989</v>
      </c>
      <c r="G258">
        <v>3240</v>
      </c>
      <c r="H258">
        <v>3340</v>
      </c>
      <c r="I258">
        <v>1986</v>
      </c>
      <c r="J258">
        <v>2219</v>
      </c>
      <c r="K258">
        <v>1819</v>
      </c>
      <c r="L258">
        <v>2186</v>
      </c>
      <c r="M258">
        <v>1937</v>
      </c>
      <c r="N258">
        <v>3097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E259">
        <v>1882</v>
      </c>
      <c r="F259">
        <v>1963</v>
      </c>
      <c r="G259">
        <v>2781</v>
      </c>
      <c r="H259">
        <v>1992</v>
      </c>
      <c r="I259">
        <v>1636</v>
      </c>
      <c r="J259">
        <v>2354</v>
      </c>
      <c r="K259">
        <v>2251</v>
      </c>
      <c r="L259">
        <v>760</v>
      </c>
      <c r="M259">
        <v>2739</v>
      </c>
      <c r="N259">
        <v>2515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E260">
        <v>3107</v>
      </c>
      <c r="F260">
        <v>2344</v>
      </c>
      <c r="G260">
        <v>2876</v>
      </c>
      <c r="H260">
        <v>3781</v>
      </c>
      <c r="I260">
        <v>2611</v>
      </c>
      <c r="J260">
        <v>1683</v>
      </c>
      <c r="K260">
        <v>1685</v>
      </c>
      <c r="L260">
        <v>250</v>
      </c>
      <c r="M260">
        <v>1722</v>
      </c>
      <c r="N260">
        <v>2613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E261">
        <v>3375</v>
      </c>
      <c r="F261">
        <v>4224</v>
      </c>
      <c r="G261">
        <v>5086</v>
      </c>
      <c r="H261">
        <v>4774</v>
      </c>
      <c r="I261">
        <v>7187</v>
      </c>
      <c r="J261">
        <v>2969</v>
      </c>
      <c r="K261">
        <v>5442</v>
      </c>
      <c r="L261">
        <v>0</v>
      </c>
      <c r="M261">
        <v>6050</v>
      </c>
      <c r="N261">
        <v>6438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E262">
        <v>2325</v>
      </c>
      <c r="F262">
        <v>5002</v>
      </c>
      <c r="G262">
        <v>3774</v>
      </c>
      <c r="H262">
        <v>4135</v>
      </c>
      <c r="I262">
        <v>2264</v>
      </c>
      <c r="J262">
        <v>2817</v>
      </c>
      <c r="K262">
        <v>2934</v>
      </c>
      <c r="L262">
        <v>1059</v>
      </c>
      <c r="M262">
        <v>925</v>
      </c>
      <c r="N262">
        <v>1700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E263">
        <v>14997</v>
      </c>
      <c r="F263">
        <v>32197</v>
      </c>
      <c r="G263">
        <v>29206</v>
      </c>
      <c r="H263">
        <v>38209</v>
      </c>
      <c r="I263">
        <v>24773</v>
      </c>
      <c r="J263">
        <v>27599</v>
      </c>
      <c r="K263">
        <v>23276</v>
      </c>
      <c r="L263">
        <v>3124</v>
      </c>
      <c r="M263">
        <v>12528</v>
      </c>
      <c r="N263">
        <v>29884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E264">
        <v>0</v>
      </c>
      <c r="F264">
        <v>1103</v>
      </c>
      <c r="G264">
        <v>724</v>
      </c>
      <c r="H264">
        <v>608</v>
      </c>
      <c r="I264">
        <v>317</v>
      </c>
      <c r="J264">
        <v>558</v>
      </c>
      <c r="K264">
        <v>596</v>
      </c>
      <c r="L264">
        <v>0</v>
      </c>
      <c r="M264">
        <v>540</v>
      </c>
      <c r="N264">
        <v>921</v>
      </c>
    </row>
    <row r="265" spans="1:14" x14ac:dyDescent="0.2">
      <c r="A265" t="s">
        <v>201</v>
      </c>
      <c r="B265" t="s">
        <v>201</v>
      </c>
      <c r="C265">
        <v>219471</v>
      </c>
      <c r="D265">
        <v>46820</v>
      </c>
      <c r="E265">
        <v>0</v>
      </c>
      <c r="F265">
        <v>1031</v>
      </c>
      <c r="G265">
        <v>1462</v>
      </c>
      <c r="H265">
        <v>1578</v>
      </c>
      <c r="I265">
        <v>1641</v>
      </c>
      <c r="J265">
        <v>1497</v>
      </c>
      <c r="K265">
        <v>1310</v>
      </c>
      <c r="L265">
        <v>717</v>
      </c>
      <c r="M265">
        <v>1241</v>
      </c>
      <c r="N265">
        <v>1112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E266">
        <v>2459</v>
      </c>
      <c r="F266">
        <v>1984</v>
      </c>
      <c r="G266">
        <v>2821</v>
      </c>
      <c r="H266">
        <v>2810</v>
      </c>
      <c r="I266">
        <v>2060</v>
      </c>
      <c r="J266">
        <v>2905</v>
      </c>
      <c r="K266">
        <v>2411</v>
      </c>
      <c r="L266">
        <v>1422</v>
      </c>
      <c r="M266">
        <v>2626</v>
      </c>
      <c r="N266">
        <v>3995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E267">
        <v>8102</v>
      </c>
      <c r="F267">
        <v>7676</v>
      </c>
      <c r="G267">
        <v>6172</v>
      </c>
      <c r="H267">
        <v>5297</v>
      </c>
      <c r="I267">
        <v>5723</v>
      </c>
      <c r="J267">
        <v>5668</v>
      </c>
      <c r="K267">
        <v>4994</v>
      </c>
      <c r="L267">
        <v>4</v>
      </c>
      <c r="M267">
        <v>10532</v>
      </c>
      <c r="N267">
        <v>5033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E268">
        <v>2081</v>
      </c>
      <c r="F268">
        <v>2503</v>
      </c>
      <c r="G268">
        <v>3264</v>
      </c>
      <c r="H268">
        <v>4004</v>
      </c>
      <c r="I268">
        <v>3215</v>
      </c>
      <c r="J268">
        <v>2807</v>
      </c>
      <c r="K268">
        <v>3178</v>
      </c>
      <c r="L268">
        <v>1058</v>
      </c>
      <c r="M268">
        <v>2228</v>
      </c>
      <c r="N268">
        <v>2848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E269">
        <v>1443</v>
      </c>
      <c r="F269">
        <v>1276</v>
      </c>
      <c r="G269">
        <v>1236</v>
      </c>
      <c r="H269">
        <v>1612</v>
      </c>
      <c r="I269">
        <v>1592</v>
      </c>
      <c r="J269">
        <v>1415</v>
      </c>
      <c r="K269">
        <v>1430</v>
      </c>
      <c r="L269">
        <v>1327</v>
      </c>
      <c r="M269">
        <v>1430</v>
      </c>
      <c r="N269">
        <v>1008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E270">
        <v>5311</v>
      </c>
      <c r="F270">
        <v>13312</v>
      </c>
      <c r="G270">
        <v>3532</v>
      </c>
      <c r="H270">
        <v>13771</v>
      </c>
      <c r="I270">
        <v>4438</v>
      </c>
      <c r="J270">
        <v>3723</v>
      </c>
      <c r="K270">
        <v>5478</v>
      </c>
      <c r="L270">
        <v>217</v>
      </c>
      <c r="M270">
        <v>5385</v>
      </c>
      <c r="N270">
        <v>5747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451</v>
      </c>
      <c r="L271">
        <v>650</v>
      </c>
      <c r="M271">
        <v>1046</v>
      </c>
      <c r="N271">
        <v>3700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E272">
        <v>2917</v>
      </c>
      <c r="F272">
        <v>2187</v>
      </c>
      <c r="G272">
        <v>2324</v>
      </c>
      <c r="H272">
        <v>2355</v>
      </c>
      <c r="I272">
        <v>2284</v>
      </c>
      <c r="J272">
        <v>915</v>
      </c>
      <c r="K272">
        <v>1382</v>
      </c>
      <c r="L272">
        <v>709</v>
      </c>
      <c r="M272">
        <v>1993</v>
      </c>
      <c r="N272">
        <v>1447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E273">
        <v>938</v>
      </c>
      <c r="F273">
        <v>535</v>
      </c>
      <c r="G273">
        <v>467</v>
      </c>
      <c r="H273">
        <v>446</v>
      </c>
      <c r="I273">
        <v>440</v>
      </c>
      <c r="J273">
        <v>960</v>
      </c>
      <c r="K273">
        <v>249</v>
      </c>
      <c r="L273">
        <v>1354</v>
      </c>
      <c r="M273">
        <v>574</v>
      </c>
      <c r="N273">
        <v>1175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E274">
        <v>0</v>
      </c>
      <c r="F274">
        <v>2072</v>
      </c>
      <c r="G274">
        <v>1376</v>
      </c>
      <c r="H274">
        <v>1600</v>
      </c>
      <c r="I274">
        <v>2210</v>
      </c>
      <c r="J274">
        <v>1300</v>
      </c>
      <c r="K274">
        <v>0</v>
      </c>
      <c r="L274">
        <v>875</v>
      </c>
      <c r="M274">
        <v>1125</v>
      </c>
      <c r="N274">
        <v>1425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E275">
        <v>973</v>
      </c>
      <c r="F275">
        <v>2287</v>
      </c>
      <c r="G275">
        <v>1429</v>
      </c>
      <c r="H275">
        <v>1845</v>
      </c>
      <c r="I275">
        <v>1864</v>
      </c>
      <c r="J275">
        <v>2272</v>
      </c>
      <c r="K275">
        <v>2245</v>
      </c>
      <c r="L275">
        <v>177</v>
      </c>
      <c r="M275">
        <v>720</v>
      </c>
      <c r="N275">
        <v>849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314</v>
      </c>
      <c r="L276">
        <v>0</v>
      </c>
      <c r="M276">
        <v>1086</v>
      </c>
      <c r="N276">
        <v>548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E277">
        <v>7342</v>
      </c>
      <c r="F277">
        <v>5639</v>
      </c>
      <c r="G277">
        <v>5506</v>
      </c>
      <c r="H277">
        <v>5549</v>
      </c>
      <c r="I277">
        <v>5572</v>
      </c>
      <c r="J277">
        <v>4609</v>
      </c>
      <c r="K277">
        <v>2129</v>
      </c>
      <c r="L277">
        <v>5</v>
      </c>
      <c r="M277">
        <v>3162</v>
      </c>
      <c r="N277">
        <v>3101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E278">
        <v>17093</v>
      </c>
      <c r="F278">
        <v>21054</v>
      </c>
      <c r="G278">
        <v>23521</v>
      </c>
      <c r="H278">
        <v>18611</v>
      </c>
      <c r="I278">
        <v>17836</v>
      </c>
      <c r="J278">
        <v>22606</v>
      </c>
      <c r="K278">
        <v>22594</v>
      </c>
      <c r="L278">
        <v>194</v>
      </c>
      <c r="M278">
        <v>14473</v>
      </c>
      <c r="N278">
        <v>18525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E279">
        <v>1409</v>
      </c>
      <c r="F279">
        <v>3399</v>
      </c>
      <c r="G279">
        <v>2585</v>
      </c>
      <c r="H279">
        <v>3855</v>
      </c>
      <c r="I279">
        <v>2151</v>
      </c>
      <c r="J279">
        <v>1403</v>
      </c>
      <c r="K279">
        <v>1644</v>
      </c>
      <c r="L279">
        <v>275</v>
      </c>
      <c r="M279">
        <v>1095</v>
      </c>
      <c r="N279">
        <v>1757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E280">
        <v>1871</v>
      </c>
      <c r="F280">
        <v>2120</v>
      </c>
      <c r="G280">
        <v>3268</v>
      </c>
      <c r="H280">
        <v>2094</v>
      </c>
      <c r="I280">
        <v>2971</v>
      </c>
      <c r="J280">
        <v>2099</v>
      </c>
      <c r="K280">
        <v>2222</v>
      </c>
      <c r="L280">
        <v>0</v>
      </c>
      <c r="M280">
        <v>3774</v>
      </c>
      <c r="N280">
        <v>2728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E281">
        <v>4377</v>
      </c>
      <c r="F281">
        <v>3270</v>
      </c>
      <c r="G281">
        <v>5145</v>
      </c>
      <c r="H281">
        <v>3860</v>
      </c>
      <c r="I281">
        <v>4651</v>
      </c>
      <c r="J281">
        <v>2451</v>
      </c>
      <c r="K281">
        <v>1707</v>
      </c>
      <c r="L281">
        <v>4</v>
      </c>
      <c r="M281">
        <v>736</v>
      </c>
      <c r="N281">
        <v>2763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E282">
        <v>11711</v>
      </c>
      <c r="F282">
        <v>12916</v>
      </c>
      <c r="G282">
        <v>12372</v>
      </c>
      <c r="H282">
        <v>16909</v>
      </c>
      <c r="I282">
        <v>13371</v>
      </c>
      <c r="J282">
        <v>13018</v>
      </c>
      <c r="K282">
        <v>11519</v>
      </c>
      <c r="L282">
        <v>2919</v>
      </c>
      <c r="M282">
        <v>16180</v>
      </c>
      <c r="N282">
        <v>17109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E283">
        <v>1126</v>
      </c>
      <c r="F283">
        <v>1590</v>
      </c>
      <c r="G283">
        <v>2194</v>
      </c>
      <c r="H283">
        <v>3263</v>
      </c>
      <c r="I283">
        <v>4315</v>
      </c>
      <c r="J283">
        <v>3194</v>
      </c>
      <c r="K283">
        <v>2142</v>
      </c>
      <c r="L283">
        <v>96</v>
      </c>
      <c r="M283">
        <v>1422</v>
      </c>
      <c r="N283">
        <v>1744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E284">
        <v>10989</v>
      </c>
      <c r="F284">
        <v>10222</v>
      </c>
      <c r="G284">
        <v>12923</v>
      </c>
      <c r="H284">
        <v>12118</v>
      </c>
      <c r="I284">
        <v>12961</v>
      </c>
      <c r="J284">
        <v>12045</v>
      </c>
      <c r="K284">
        <v>9519</v>
      </c>
      <c r="L284">
        <v>3597</v>
      </c>
      <c r="M284">
        <v>9124</v>
      </c>
      <c r="N284">
        <v>12644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E286">
        <v>4128</v>
      </c>
      <c r="F286">
        <v>3214</v>
      </c>
      <c r="G286">
        <v>5456</v>
      </c>
      <c r="H286">
        <v>4597</v>
      </c>
      <c r="I286">
        <v>3152</v>
      </c>
      <c r="J286">
        <v>3235</v>
      </c>
      <c r="K286">
        <v>2515</v>
      </c>
      <c r="L286">
        <v>1632</v>
      </c>
      <c r="M286">
        <v>2539</v>
      </c>
      <c r="N286">
        <v>5170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E287">
        <v>9210</v>
      </c>
      <c r="F287">
        <v>9369</v>
      </c>
      <c r="G287">
        <v>6508</v>
      </c>
      <c r="H287">
        <v>8168</v>
      </c>
      <c r="I287">
        <v>11974</v>
      </c>
      <c r="J287">
        <v>12867</v>
      </c>
      <c r="K287">
        <v>12142</v>
      </c>
      <c r="L287">
        <v>2806</v>
      </c>
      <c r="M287">
        <v>8536</v>
      </c>
      <c r="N287">
        <v>14486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E288">
        <v>31937</v>
      </c>
      <c r="F288">
        <v>44141</v>
      </c>
      <c r="G288">
        <v>31677</v>
      </c>
      <c r="H288">
        <v>36480</v>
      </c>
      <c r="I288">
        <v>29634</v>
      </c>
      <c r="J288">
        <v>33310</v>
      </c>
      <c r="K288">
        <v>27108</v>
      </c>
      <c r="L288">
        <v>5280</v>
      </c>
      <c r="M288">
        <v>23289</v>
      </c>
      <c r="N288">
        <v>22530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E289">
        <v>292</v>
      </c>
      <c r="F289">
        <v>710</v>
      </c>
      <c r="G289">
        <v>616</v>
      </c>
      <c r="H289">
        <v>1319</v>
      </c>
      <c r="I289">
        <v>1602</v>
      </c>
      <c r="J289">
        <v>744</v>
      </c>
      <c r="K289">
        <v>276</v>
      </c>
      <c r="L289">
        <v>121</v>
      </c>
      <c r="M289">
        <v>127</v>
      </c>
      <c r="N289">
        <v>355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E290">
        <v>2569</v>
      </c>
      <c r="F290">
        <v>5738</v>
      </c>
      <c r="G290">
        <v>4630</v>
      </c>
      <c r="H290">
        <v>5218</v>
      </c>
      <c r="I290">
        <v>4505</v>
      </c>
      <c r="J290">
        <v>3306</v>
      </c>
      <c r="K290">
        <v>4282</v>
      </c>
      <c r="L290">
        <v>1517</v>
      </c>
      <c r="M290">
        <v>2052</v>
      </c>
      <c r="N290">
        <v>3276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E291">
        <v>10887</v>
      </c>
      <c r="F291">
        <v>10457</v>
      </c>
      <c r="G291">
        <v>13627</v>
      </c>
      <c r="H291">
        <v>10602</v>
      </c>
      <c r="I291">
        <v>7220</v>
      </c>
      <c r="J291">
        <v>9560</v>
      </c>
      <c r="K291">
        <v>10003</v>
      </c>
      <c r="L291">
        <v>2208</v>
      </c>
      <c r="M291">
        <v>8507</v>
      </c>
      <c r="N291">
        <v>6126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E292">
        <v>2052</v>
      </c>
      <c r="F292">
        <v>2147</v>
      </c>
      <c r="G292">
        <v>848</v>
      </c>
      <c r="H292">
        <v>2373</v>
      </c>
      <c r="I292">
        <v>1481</v>
      </c>
      <c r="J292">
        <v>1521</v>
      </c>
      <c r="K292">
        <v>2142</v>
      </c>
      <c r="L292">
        <v>984</v>
      </c>
      <c r="M292">
        <v>1070</v>
      </c>
      <c r="N292">
        <v>1304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E293">
        <v>2676</v>
      </c>
      <c r="F293">
        <v>2760</v>
      </c>
      <c r="G293">
        <v>1290</v>
      </c>
      <c r="H293">
        <v>1912</v>
      </c>
      <c r="I293">
        <v>2986</v>
      </c>
      <c r="J293">
        <v>2169</v>
      </c>
      <c r="K293">
        <v>2662</v>
      </c>
      <c r="L293">
        <v>0</v>
      </c>
      <c r="M293">
        <v>3019</v>
      </c>
      <c r="N293">
        <v>1329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E294">
        <v>0</v>
      </c>
      <c r="F294">
        <v>2524</v>
      </c>
      <c r="G294">
        <v>2301</v>
      </c>
      <c r="H294">
        <v>1497</v>
      </c>
      <c r="I294">
        <v>2162</v>
      </c>
      <c r="J294">
        <v>1688</v>
      </c>
      <c r="K294">
        <v>3549</v>
      </c>
      <c r="L294">
        <v>200</v>
      </c>
      <c r="M294">
        <v>4261</v>
      </c>
      <c r="N294">
        <v>3512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E295">
        <v>1689</v>
      </c>
      <c r="F295">
        <v>3049</v>
      </c>
      <c r="G295">
        <v>5220</v>
      </c>
      <c r="H295">
        <v>4510</v>
      </c>
      <c r="I295">
        <v>3380</v>
      </c>
      <c r="J295">
        <v>2531</v>
      </c>
      <c r="K295">
        <v>379</v>
      </c>
      <c r="L295">
        <v>984</v>
      </c>
      <c r="M295">
        <v>2112</v>
      </c>
      <c r="N295">
        <v>1007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E297">
        <v>2268</v>
      </c>
      <c r="F297">
        <v>8674</v>
      </c>
      <c r="G297">
        <v>3904</v>
      </c>
      <c r="H297">
        <v>3095</v>
      </c>
      <c r="I297">
        <v>1784</v>
      </c>
      <c r="J297">
        <v>2518</v>
      </c>
      <c r="K297">
        <v>2106</v>
      </c>
      <c r="L297">
        <v>400</v>
      </c>
      <c r="M297">
        <v>1422</v>
      </c>
      <c r="N297">
        <v>2513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E298">
        <v>2675</v>
      </c>
      <c r="F298">
        <v>949</v>
      </c>
      <c r="G298">
        <v>2913</v>
      </c>
      <c r="H298">
        <v>1665</v>
      </c>
      <c r="I298">
        <v>2523</v>
      </c>
      <c r="J298">
        <v>2658</v>
      </c>
      <c r="K298">
        <v>1973</v>
      </c>
      <c r="L298">
        <v>1290</v>
      </c>
      <c r="M298">
        <v>1702</v>
      </c>
      <c r="N298">
        <v>1873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E299">
        <v>1385</v>
      </c>
      <c r="F299">
        <v>1993</v>
      </c>
      <c r="G299">
        <v>1433</v>
      </c>
      <c r="H299">
        <v>1791</v>
      </c>
      <c r="I299">
        <v>1053</v>
      </c>
      <c r="J299">
        <v>2423</v>
      </c>
      <c r="K299">
        <v>362</v>
      </c>
      <c r="L299">
        <v>200</v>
      </c>
      <c r="M299">
        <v>2153</v>
      </c>
      <c r="N299">
        <v>1796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E300">
        <v>2462</v>
      </c>
      <c r="F300">
        <v>3706</v>
      </c>
      <c r="G300">
        <v>4447</v>
      </c>
      <c r="H300">
        <v>2765</v>
      </c>
      <c r="I300">
        <v>4092</v>
      </c>
      <c r="J300">
        <v>2762</v>
      </c>
      <c r="K300">
        <v>3777</v>
      </c>
      <c r="L300">
        <v>0</v>
      </c>
      <c r="M300">
        <v>2382</v>
      </c>
      <c r="N300">
        <v>2758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E301">
        <v>4844</v>
      </c>
      <c r="F301">
        <v>5151</v>
      </c>
      <c r="G301">
        <v>3669</v>
      </c>
      <c r="H301">
        <v>3551</v>
      </c>
      <c r="I301">
        <v>5603</v>
      </c>
      <c r="J301">
        <v>5800</v>
      </c>
      <c r="K301">
        <v>3998</v>
      </c>
      <c r="L301">
        <v>0</v>
      </c>
      <c r="M301">
        <v>5970</v>
      </c>
      <c r="N301">
        <v>7424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E302">
        <v>3237</v>
      </c>
      <c r="F302">
        <v>3125</v>
      </c>
      <c r="G302">
        <v>4403</v>
      </c>
      <c r="H302">
        <v>3691</v>
      </c>
      <c r="I302">
        <v>3195</v>
      </c>
      <c r="J302">
        <v>3922</v>
      </c>
      <c r="K302">
        <v>2222</v>
      </c>
      <c r="L302">
        <v>0</v>
      </c>
      <c r="M302">
        <v>2343</v>
      </c>
      <c r="N302">
        <v>1929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E303">
        <v>3212</v>
      </c>
      <c r="F303">
        <v>2727</v>
      </c>
      <c r="G303">
        <v>2504</v>
      </c>
      <c r="H303">
        <v>3281</v>
      </c>
      <c r="I303">
        <v>3258</v>
      </c>
      <c r="J303">
        <v>2586</v>
      </c>
      <c r="K303">
        <v>3645</v>
      </c>
      <c r="L303">
        <v>0</v>
      </c>
      <c r="M303">
        <v>3494</v>
      </c>
      <c r="N303">
        <v>2992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E304">
        <v>6981</v>
      </c>
      <c r="F304">
        <v>3687</v>
      </c>
      <c r="G304">
        <v>5122</v>
      </c>
      <c r="H304">
        <v>4055</v>
      </c>
      <c r="I304">
        <v>4936</v>
      </c>
      <c r="J304">
        <v>2524</v>
      </c>
      <c r="K304">
        <v>3718</v>
      </c>
      <c r="L304">
        <v>650</v>
      </c>
      <c r="M304">
        <v>2986</v>
      </c>
      <c r="N304">
        <v>3789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E305">
        <v>15105</v>
      </c>
      <c r="F305">
        <v>23273</v>
      </c>
      <c r="G305">
        <v>18092</v>
      </c>
      <c r="H305">
        <v>18005</v>
      </c>
      <c r="I305">
        <v>37383</v>
      </c>
      <c r="J305">
        <v>15436</v>
      </c>
      <c r="K305">
        <v>16226</v>
      </c>
      <c r="L305">
        <v>0</v>
      </c>
      <c r="M305">
        <v>13871</v>
      </c>
      <c r="N305">
        <v>19726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E306">
        <v>10629</v>
      </c>
      <c r="F306">
        <v>7473</v>
      </c>
      <c r="G306">
        <v>8130</v>
      </c>
      <c r="H306">
        <v>9748</v>
      </c>
      <c r="I306">
        <v>6513</v>
      </c>
      <c r="J306">
        <v>6930</v>
      </c>
      <c r="K306">
        <v>4979</v>
      </c>
      <c r="L306">
        <v>283</v>
      </c>
      <c r="M306">
        <v>6058</v>
      </c>
      <c r="N306">
        <v>10025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E307">
        <v>0</v>
      </c>
      <c r="F307">
        <v>2417</v>
      </c>
      <c r="G307">
        <v>2333</v>
      </c>
      <c r="H307">
        <v>2644</v>
      </c>
      <c r="I307">
        <v>1960</v>
      </c>
      <c r="J307">
        <v>1845</v>
      </c>
      <c r="K307">
        <v>1855</v>
      </c>
      <c r="L307">
        <v>130</v>
      </c>
      <c r="M307">
        <v>1300</v>
      </c>
      <c r="N307">
        <v>2673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E308">
        <v>2997</v>
      </c>
      <c r="F308">
        <v>1642</v>
      </c>
      <c r="G308">
        <v>1546</v>
      </c>
      <c r="H308">
        <v>2466</v>
      </c>
      <c r="I308">
        <v>1274</v>
      </c>
      <c r="J308">
        <v>1283</v>
      </c>
      <c r="K308">
        <v>530</v>
      </c>
      <c r="L308">
        <v>655</v>
      </c>
      <c r="M308">
        <v>765</v>
      </c>
      <c r="N308">
        <v>553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E309">
        <v>2262</v>
      </c>
      <c r="F309">
        <v>1721</v>
      </c>
      <c r="G309">
        <v>2939</v>
      </c>
      <c r="H309">
        <v>700</v>
      </c>
      <c r="I309">
        <v>887</v>
      </c>
      <c r="J309">
        <v>950</v>
      </c>
      <c r="K309">
        <v>723</v>
      </c>
      <c r="L309">
        <v>706</v>
      </c>
      <c r="M309">
        <v>791</v>
      </c>
      <c r="N309">
        <v>1317</v>
      </c>
    </row>
    <row r="310" spans="1:14" x14ac:dyDescent="0.2">
      <c r="A310" t="s">
        <v>569</v>
      </c>
      <c r="B310" t="s">
        <v>569</v>
      </c>
      <c r="C310">
        <v>166513</v>
      </c>
      <c r="D310">
        <v>31700</v>
      </c>
      <c r="E310">
        <v>1069</v>
      </c>
      <c r="F310">
        <v>1690</v>
      </c>
      <c r="G310">
        <v>2064</v>
      </c>
      <c r="H310">
        <v>2589</v>
      </c>
      <c r="I310">
        <v>3172</v>
      </c>
      <c r="J310">
        <v>1834</v>
      </c>
      <c r="K310">
        <v>223</v>
      </c>
      <c r="L310">
        <v>160</v>
      </c>
      <c r="M310">
        <v>2693</v>
      </c>
      <c r="N310">
        <v>2616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E311">
        <v>5031</v>
      </c>
      <c r="F311">
        <v>4600</v>
      </c>
      <c r="G311">
        <v>3940</v>
      </c>
      <c r="H311">
        <v>2606</v>
      </c>
      <c r="I311">
        <v>1919</v>
      </c>
      <c r="J311">
        <v>2623</v>
      </c>
      <c r="K311">
        <v>2867</v>
      </c>
      <c r="L311">
        <v>229</v>
      </c>
      <c r="M311">
        <v>4294</v>
      </c>
      <c r="N311">
        <v>3291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E313">
        <v>1970</v>
      </c>
      <c r="F313">
        <v>3669</v>
      </c>
      <c r="G313">
        <v>2817</v>
      </c>
      <c r="H313">
        <v>2705</v>
      </c>
      <c r="I313">
        <v>2629</v>
      </c>
      <c r="J313">
        <v>3623</v>
      </c>
      <c r="K313">
        <v>1210</v>
      </c>
      <c r="L313">
        <v>118</v>
      </c>
      <c r="M313">
        <v>879</v>
      </c>
      <c r="N313">
        <v>1072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E314">
        <v>3715</v>
      </c>
      <c r="F314">
        <v>4991</v>
      </c>
      <c r="G314">
        <v>6648</v>
      </c>
      <c r="H314">
        <v>4521</v>
      </c>
      <c r="I314">
        <v>4763</v>
      </c>
      <c r="J314">
        <v>3642</v>
      </c>
      <c r="K314">
        <v>5217</v>
      </c>
      <c r="L314">
        <v>584</v>
      </c>
      <c r="M314">
        <v>4759</v>
      </c>
      <c r="N314">
        <v>3894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E315">
        <v>2937</v>
      </c>
      <c r="F315">
        <v>3243</v>
      </c>
      <c r="G315">
        <v>4975</v>
      </c>
      <c r="H315">
        <v>4927</v>
      </c>
      <c r="I315">
        <v>5379</v>
      </c>
      <c r="J315">
        <v>3107</v>
      </c>
      <c r="K315">
        <v>4895</v>
      </c>
      <c r="L315">
        <v>606</v>
      </c>
      <c r="M315">
        <v>3344</v>
      </c>
      <c r="N315">
        <v>4221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E316">
        <v>0</v>
      </c>
      <c r="F316">
        <v>2545</v>
      </c>
      <c r="G316">
        <v>2263</v>
      </c>
      <c r="H316">
        <v>2925</v>
      </c>
      <c r="I316">
        <v>2924</v>
      </c>
      <c r="J316">
        <v>1902</v>
      </c>
      <c r="K316">
        <v>239</v>
      </c>
      <c r="L316">
        <v>600</v>
      </c>
      <c r="M316">
        <v>3400</v>
      </c>
      <c r="N316">
        <v>1871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E317">
        <v>4579</v>
      </c>
      <c r="F317">
        <v>4008</v>
      </c>
      <c r="G317">
        <v>5875</v>
      </c>
      <c r="H317">
        <v>5977</v>
      </c>
      <c r="I317">
        <v>5567</v>
      </c>
      <c r="J317">
        <v>4495</v>
      </c>
      <c r="K317">
        <v>4199</v>
      </c>
      <c r="L317">
        <v>310</v>
      </c>
      <c r="M317">
        <v>2970</v>
      </c>
      <c r="N317">
        <v>3790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E318">
        <v>1494</v>
      </c>
      <c r="F318">
        <v>936</v>
      </c>
      <c r="G318">
        <v>1046</v>
      </c>
      <c r="H318">
        <v>910</v>
      </c>
      <c r="I318">
        <v>1155</v>
      </c>
      <c r="J318">
        <v>1315</v>
      </c>
      <c r="K318">
        <v>1989</v>
      </c>
      <c r="L318">
        <v>1960</v>
      </c>
      <c r="M318">
        <v>1305</v>
      </c>
      <c r="N318">
        <v>1831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E320">
        <v>3875</v>
      </c>
      <c r="F320">
        <v>1928</v>
      </c>
      <c r="G320">
        <v>1664</v>
      </c>
      <c r="H320">
        <v>2539</v>
      </c>
      <c r="I320">
        <v>1873</v>
      </c>
      <c r="J320">
        <v>3301</v>
      </c>
      <c r="K320">
        <v>1088</v>
      </c>
      <c r="L320">
        <v>1302</v>
      </c>
      <c r="M320">
        <v>3676</v>
      </c>
      <c r="N320">
        <v>1969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E321">
        <v>12391</v>
      </c>
      <c r="F321">
        <v>12542</v>
      </c>
      <c r="G321">
        <v>10768</v>
      </c>
      <c r="H321">
        <v>12172</v>
      </c>
      <c r="I321">
        <v>12990</v>
      </c>
      <c r="J321">
        <v>11904</v>
      </c>
      <c r="K321">
        <v>10927</v>
      </c>
      <c r="L321">
        <v>774</v>
      </c>
      <c r="M321">
        <v>12697</v>
      </c>
      <c r="N321">
        <v>11499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E322">
        <v>6467</v>
      </c>
      <c r="F322">
        <v>5547</v>
      </c>
      <c r="G322">
        <v>4537</v>
      </c>
      <c r="H322">
        <v>6703</v>
      </c>
      <c r="I322">
        <v>4176</v>
      </c>
      <c r="J322">
        <v>4532</v>
      </c>
      <c r="K322">
        <v>3581</v>
      </c>
      <c r="L322">
        <v>830</v>
      </c>
      <c r="M322">
        <v>4640</v>
      </c>
      <c r="N322">
        <v>7159</v>
      </c>
    </row>
    <row r="323" spans="1:14" x14ac:dyDescent="0.2">
      <c r="A323" t="s">
        <v>236</v>
      </c>
      <c r="B323" t="s">
        <v>236</v>
      </c>
      <c r="C323">
        <v>230737</v>
      </c>
      <c r="D323">
        <v>39340</v>
      </c>
      <c r="E323">
        <v>4032</v>
      </c>
      <c r="F323">
        <v>9493</v>
      </c>
      <c r="G323">
        <v>10739</v>
      </c>
      <c r="H323">
        <v>9195</v>
      </c>
      <c r="I323">
        <v>5077</v>
      </c>
      <c r="J323">
        <v>9150</v>
      </c>
      <c r="K323">
        <v>13189</v>
      </c>
      <c r="L323">
        <v>1853</v>
      </c>
      <c r="M323">
        <v>14828</v>
      </c>
      <c r="N323">
        <v>11721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E324">
        <v>6575</v>
      </c>
      <c r="F324">
        <v>6542</v>
      </c>
      <c r="G324">
        <v>5127</v>
      </c>
      <c r="H324">
        <v>5401</v>
      </c>
      <c r="I324">
        <v>3440</v>
      </c>
      <c r="J324">
        <v>3462</v>
      </c>
      <c r="K324">
        <v>2908</v>
      </c>
      <c r="L324">
        <v>480</v>
      </c>
      <c r="M324">
        <v>1560</v>
      </c>
      <c r="N324">
        <v>1595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E325">
        <v>0</v>
      </c>
      <c r="F325">
        <v>4373</v>
      </c>
      <c r="G325">
        <v>3813</v>
      </c>
      <c r="H325">
        <v>3001</v>
      </c>
      <c r="I325">
        <v>3828</v>
      </c>
      <c r="J325">
        <v>2306</v>
      </c>
      <c r="K325">
        <v>1740</v>
      </c>
      <c r="L325">
        <v>659</v>
      </c>
      <c r="M325">
        <v>2737</v>
      </c>
      <c r="N325">
        <v>1793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E326">
        <v>2220</v>
      </c>
      <c r="F326">
        <v>2031</v>
      </c>
      <c r="G326">
        <v>1847</v>
      </c>
      <c r="H326">
        <v>2163</v>
      </c>
      <c r="I326">
        <v>2706</v>
      </c>
      <c r="J326">
        <v>1801</v>
      </c>
      <c r="K326">
        <v>3712</v>
      </c>
      <c r="L326">
        <v>502</v>
      </c>
      <c r="M326">
        <v>4789</v>
      </c>
      <c r="N326">
        <v>4357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E327">
        <v>2652</v>
      </c>
      <c r="F327">
        <v>3831</v>
      </c>
      <c r="G327">
        <v>2567</v>
      </c>
      <c r="H327">
        <v>1453</v>
      </c>
      <c r="I327">
        <v>2787</v>
      </c>
      <c r="J327">
        <v>2332</v>
      </c>
      <c r="K327">
        <v>1690</v>
      </c>
      <c r="L327">
        <v>362</v>
      </c>
      <c r="M327">
        <v>2247</v>
      </c>
      <c r="N327">
        <v>3053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E328">
        <v>3386</v>
      </c>
      <c r="F328">
        <v>4235</v>
      </c>
      <c r="G328">
        <v>4504</v>
      </c>
      <c r="H328">
        <v>4590</v>
      </c>
      <c r="I328">
        <v>3761</v>
      </c>
      <c r="J328">
        <v>5880</v>
      </c>
      <c r="K328">
        <v>4767</v>
      </c>
      <c r="L328">
        <v>390</v>
      </c>
      <c r="M328">
        <v>6396</v>
      </c>
      <c r="N328">
        <v>5178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E329">
        <v>3057</v>
      </c>
      <c r="F329">
        <v>3291</v>
      </c>
      <c r="G329">
        <v>6148</v>
      </c>
      <c r="H329">
        <v>4233</v>
      </c>
      <c r="I329">
        <v>4530</v>
      </c>
      <c r="J329">
        <v>3845</v>
      </c>
      <c r="K329">
        <v>4053</v>
      </c>
      <c r="L329">
        <v>1169</v>
      </c>
      <c r="M329">
        <v>2973</v>
      </c>
      <c r="N329">
        <v>3832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E330">
        <v>2551</v>
      </c>
      <c r="F330">
        <v>1897</v>
      </c>
      <c r="G330">
        <v>1260</v>
      </c>
      <c r="H330">
        <v>2828</v>
      </c>
      <c r="I330">
        <v>2362</v>
      </c>
      <c r="J330">
        <v>2378</v>
      </c>
      <c r="K330">
        <v>1560</v>
      </c>
      <c r="L330">
        <v>19</v>
      </c>
      <c r="M330">
        <v>4482</v>
      </c>
      <c r="N330">
        <v>4201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E331">
        <v>4396</v>
      </c>
      <c r="F331">
        <v>2108</v>
      </c>
      <c r="G331">
        <v>1571</v>
      </c>
      <c r="H331">
        <v>1402</v>
      </c>
      <c r="I331">
        <v>2459</v>
      </c>
      <c r="J331">
        <v>3641</v>
      </c>
      <c r="K331">
        <v>3491</v>
      </c>
      <c r="L331">
        <v>159</v>
      </c>
      <c r="M331">
        <v>3961</v>
      </c>
      <c r="N331">
        <v>3193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E332">
        <v>34616</v>
      </c>
      <c r="F332">
        <v>20944</v>
      </c>
      <c r="G332">
        <v>26046</v>
      </c>
      <c r="H332">
        <v>22084</v>
      </c>
      <c r="I332">
        <v>20109</v>
      </c>
      <c r="J332">
        <v>14483</v>
      </c>
      <c r="K332">
        <v>20776</v>
      </c>
      <c r="L332">
        <v>1503</v>
      </c>
      <c r="M332">
        <v>17718</v>
      </c>
      <c r="N332">
        <v>20206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E333">
        <v>13528</v>
      </c>
      <c r="F333">
        <v>9935</v>
      </c>
      <c r="G333">
        <v>8943</v>
      </c>
      <c r="H333">
        <v>8523</v>
      </c>
      <c r="I333">
        <v>5685</v>
      </c>
      <c r="J333">
        <v>4504</v>
      </c>
      <c r="K333">
        <v>6872</v>
      </c>
      <c r="L333">
        <v>1526</v>
      </c>
      <c r="M333">
        <v>8023</v>
      </c>
      <c r="N333">
        <v>7889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E334">
        <v>0</v>
      </c>
      <c r="F334">
        <v>1290</v>
      </c>
      <c r="G334">
        <v>1368</v>
      </c>
      <c r="H334">
        <v>2088</v>
      </c>
      <c r="I334">
        <v>1618</v>
      </c>
      <c r="J334">
        <v>1905</v>
      </c>
      <c r="K334">
        <v>1570</v>
      </c>
      <c r="L334">
        <v>542</v>
      </c>
      <c r="M334">
        <v>1669</v>
      </c>
      <c r="N334">
        <v>1750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E335">
        <v>1796</v>
      </c>
      <c r="F335">
        <v>2288</v>
      </c>
      <c r="G335">
        <v>687</v>
      </c>
      <c r="H335">
        <v>742</v>
      </c>
      <c r="I335">
        <v>1179</v>
      </c>
      <c r="J335">
        <v>1360</v>
      </c>
      <c r="K335">
        <v>1417</v>
      </c>
      <c r="L335">
        <v>0</v>
      </c>
      <c r="M335">
        <v>1031</v>
      </c>
      <c r="N335">
        <v>1325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E336">
        <v>7813</v>
      </c>
      <c r="F336">
        <v>2971</v>
      </c>
      <c r="G336">
        <v>7311</v>
      </c>
      <c r="H336">
        <v>7616</v>
      </c>
      <c r="I336">
        <v>6567</v>
      </c>
      <c r="J336">
        <v>6081</v>
      </c>
      <c r="K336">
        <v>6229</v>
      </c>
      <c r="L336">
        <v>740</v>
      </c>
      <c r="M336">
        <v>9015</v>
      </c>
      <c r="N336">
        <v>6055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E337">
        <v>0</v>
      </c>
      <c r="F337">
        <v>7759</v>
      </c>
      <c r="G337">
        <v>9336</v>
      </c>
      <c r="H337">
        <v>2966</v>
      </c>
      <c r="I337">
        <v>10475</v>
      </c>
      <c r="J337">
        <v>6727</v>
      </c>
      <c r="K337">
        <v>11811</v>
      </c>
      <c r="L337">
        <v>0</v>
      </c>
      <c r="M337">
        <v>7659</v>
      </c>
      <c r="N337">
        <v>9082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E338">
        <v>7085</v>
      </c>
      <c r="F338">
        <v>7295</v>
      </c>
      <c r="G338">
        <v>11177</v>
      </c>
      <c r="H338">
        <v>12474</v>
      </c>
      <c r="I338">
        <v>10520</v>
      </c>
      <c r="J338">
        <v>13651</v>
      </c>
      <c r="K338">
        <v>10441</v>
      </c>
      <c r="L338">
        <v>300</v>
      </c>
      <c r="M338">
        <v>12383</v>
      </c>
      <c r="N338">
        <v>11829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E339">
        <v>1929</v>
      </c>
      <c r="F339">
        <v>3055</v>
      </c>
      <c r="G339">
        <v>2743</v>
      </c>
      <c r="H339">
        <v>2340</v>
      </c>
      <c r="I339">
        <v>5375</v>
      </c>
      <c r="J339">
        <v>5439</v>
      </c>
      <c r="K339">
        <v>1146</v>
      </c>
      <c r="L339">
        <v>453</v>
      </c>
      <c r="M339">
        <v>2053</v>
      </c>
      <c r="N339">
        <v>1282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E340">
        <v>10418</v>
      </c>
      <c r="F340">
        <v>10708</v>
      </c>
      <c r="G340">
        <v>13137</v>
      </c>
      <c r="H340">
        <v>23131</v>
      </c>
      <c r="I340">
        <v>16082</v>
      </c>
      <c r="J340">
        <v>11536</v>
      </c>
      <c r="K340">
        <v>14115</v>
      </c>
      <c r="L340">
        <v>1690</v>
      </c>
      <c r="M340">
        <v>11685</v>
      </c>
      <c r="N340">
        <v>9476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E341">
        <v>3560</v>
      </c>
      <c r="F341">
        <v>2988</v>
      </c>
      <c r="G341">
        <v>3519</v>
      </c>
      <c r="H341">
        <v>3599</v>
      </c>
      <c r="I341">
        <v>2940</v>
      </c>
      <c r="J341">
        <v>2900</v>
      </c>
      <c r="K341">
        <v>2027</v>
      </c>
      <c r="L341">
        <v>784</v>
      </c>
      <c r="M341">
        <v>1790</v>
      </c>
      <c r="N341">
        <v>3241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E342">
        <v>1471</v>
      </c>
      <c r="F342">
        <v>1375</v>
      </c>
      <c r="G342">
        <v>1136</v>
      </c>
      <c r="H342">
        <v>574</v>
      </c>
      <c r="I342">
        <v>1398</v>
      </c>
      <c r="J342">
        <v>932</v>
      </c>
      <c r="K342">
        <v>1509</v>
      </c>
      <c r="L342">
        <v>122</v>
      </c>
      <c r="M342">
        <v>563</v>
      </c>
      <c r="N342">
        <v>1063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E343">
        <v>2703</v>
      </c>
      <c r="F343">
        <v>1874</v>
      </c>
      <c r="G343">
        <v>2524</v>
      </c>
      <c r="H343">
        <v>2576</v>
      </c>
      <c r="I343">
        <v>2473</v>
      </c>
      <c r="J343">
        <v>1552</v>
      </c>
      <c r="K343">
        <v>1228</v>
      </c>
      <c r="L343">
        <v>808</v>
      </c>
      <c r="M343">
        <v>1952</v>
      </c>
      <c r="N343">
        <v>2753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E344">
        <v>0</v>
      </c>
      <c r="F344">
        <v>2221</v>
      </c>
      <c r="G344">
        <v>3435</v>
      </c>
      <c r="H344">
        <v>3600</v>
      </c>
      <c r="I344">
        <v>3500</v>
      </c>
      <c r="J344">
        <v>3466</v>
      </c>
      <c r="K344">
        <v>2200</v>
      </c>
      <c r="L344">
        <v>452</v>
      </c>
      <c r="M344">
        <v>2536</v>
      </c>
      <c r="N344">
        <v>1550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E346">
        <v>2231</v>
      </c>
      <c r="F346">
        <v>2182</v>
      </c>
      <c r="G346">
        <v>2487</v>
      </c>
      <c r="H346">
        <v>2591</v>
      </c>
      <c r="I346">
        <v>1965</v>
      </c>
      <c r="J346">
        <v>2484</v>
      </c>
      <c r="K346">
        <v>1404</v>
      </c>
      <c r="L346">
        <v>0</v>
      </c>
      <c r="M346">
        <v>2923</v>
      </c>
      <c r="N346">
        <v>2802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E347">
        <v>2636</v>
      </c>
      <c r="F347">
        <v>1942</v>
      </c>
      <c r="G347">
        <v>1743</v>
      </c>
      <c r="H347">
        <v>1973</v>
      </c>
      <c r="I347">
        <v>1735</v>
      </c>
      <c r="J347">
        <v>1621</v>
      </c>
      <c r="K347">
        <v>625</v>
      </c>
      <c r="L347">
        <v>459</v>
      </c>
      <c r="M347">
        <v>969</v>
      </c>
      <c r="N347">
        <v>1264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E348">
        <v>0</v>
      </c>
      <c r="F348">
        <v>6538</v>
      </c>
      <c r="G348">
        <v>7541</v>
      </c>
      <c r="H348">
        <v>6671</v>
      </c>
      <c r="I348">
        <v>5183</v>
      </c>
      <c r="J348">
        <v>4633</v>
      </c>
      <c r="K348">
        <v>4660</v>
      </c>
      <c r="L348">
        <v>141</v>
      </c>
      <c r="M348">
        <v>5133</v>
      </c>
      <c r="N348">
        <v>5155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E349">
        <v>2506</v>
      </c>
      <c r="F349">
        <v>2101</v>
      </c>
      <c r="G349">
        <v>3472</v>
      </c>
      <c r="H349">
        <v>2283</v>
      </c>
      <c r="I349">
        <v>1783</v>
      </c>
      <c r="J349">
        <v>2989</v>
      </c>
      <c r="K349">
        <v>898</v>
      </c>
      <c r="L349">
        <v>810</v>
      </c>
      <c r="M349">
        <v>1576</v>
      </c>
      <c r="N349">
        <v>2043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E350">
        <v>2951</v>
      </c>
      <c r="F350">
        <v>3704</v>
      </c>
      <c r="G350">
        <v>2980</v>
      </c>
      <c r="H350">
        <v>3408</v>
      </c>
      <c r="I350">
        <v>3481</v>
      </c>
      <c r="J350">
        <v>3121</v>
      </c>
      <c r="K350">
        <v>2812</v>
      </c>
      <c r="L350">
        <v>225</v>
      </c>
      <c r="M350">
        <v>2649</v>
      </c>
      <c r="N350">
        <v>3104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E351">
        <v>2289</v>
      </c>
      <c r="F351">
        <v>1565</v>
      </c>
      <c r="G351">
        <v>3026</v>
      </c>
      <c r="H351">
        <v>2846</v>
      </c>
      <c r="I351">
        <v>3369</v>
      </c>
      <c r="J351">
        <v>3526</v>
      </c>
      <c r="K351">
        <v>2524</v>
      </c>
      <c r="L351">
        <v>921</v>
      </c>
      <c r="M351">
        <v>2529</v>
      </c>
      <c r="N351">
        <v>2059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E352">
        <v>4140</v>
      </c>
      <c r="F352">
        <v>2908</v>
      </c>
      <c r="G352">
        <v>5025</v>
      </c>
      <c r="H352">
        <v>2565</v>
      </c>
      <c r="I352">
        <v>6498</v>
      </c>
      <c r="J352">
        <v>4521</v>
      </c>
      <c r="K352">
        <v>4494</v>
      </c>
      <c r="L352">
        <v>126</v>
      </c>
      <c r="M352">
        <v>8609</v>
      </c>
      <c r="N352">
        <v>6352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E353">
        <v>2827</v>
      </c>
      <c r="F353">
        <v>3679</v>
      </c>
      <c r="G353">
        <v>4170</v>
      </c>
      <c r="H353">
        <v>3586</v>
      </c>
      <c r="I353">
        <v>4228</v>
      </c>
      <c r="J353">
        <v>2468</v>
      </c>
      <c r="K353">
        <v>4352</v>
      </c>
      <c r="L353">
        <v>0</v>
      </c>
      <c r="M353">
        <v>3766</v>
      </c>
      <c r="N353">
        <v>3373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E354">
        <v>1863</v>
      </c>
      <c r="F354">
        <v>2062</v>
      </c>
      <c r="G354">
        <v>2707</v>
      </c>
      <c r="H354">
        <v>1193</v>
      </c>
      <c r="I354">
        <v>1987</v>
      </c>
      <c r="J354">
        <v>1895</v>
      </c>
      <c r="K354">
        <v>2742</v>
      </c>
      <c r="L354">
        <v>630</v>
      </c>
      <c r="M354">
        <v>2534</v>
      </c>
      <c r="N354">
        <v>2632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201A-2E13-45EE-99F0-D97788A9960F}">
  <sheetPr>
    <tabColor theme="4"/>
  </sheetPr>
  <dimension ref="A1:O354"/>
  <sheetViews>
    <sheetView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565</v>
      </c>
      <c r="L5">
        <v>417</v>
      </c>
      <c r="M5">
        <v>622</v>
      </c>
      <c r="N5">
        <v>779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1904</v>
      </c>
      <c r="F10">
        <v>1187</v>
      </c>
      <c r="G10">
        <v>1522</v>
      </c>
      <c r="H10">
        <v>2160</v>
      </c>
      <c r="I10">
        <v>2297</v>
      </c>
      <c r="J10">
        <v>1383</v>
      </c>
      <c r="K10">
        <v>247</v>
      </c>
      <c r="L10">
        <v>0</v>
      </c>
      <c r="M10">
        <v>2239</v>
      </c>
      <c r="N10">
        <v>1571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0</v>
      </c>
      <c r="F13">
        <v>0</v>
      </c>
      <c r="G13">
        <v>0</v>
      </c>
      <c r="H13">
        <v>0</v>
      </c>
      <c r="I13">
        <v>2530</v>
      </c>
      <c r="J13">
        <v>1917</v>
      </c>
      <c r="K13">
        <v>605</v>
      </c>
      <c r="L13">
        <v>0</v>
      </c>
      <c r="M13">
        <v>2232</v>
      </c>
      <c r="N13">
        <v>3091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v>0</v>
      </c>
      <c r="F17">
        <v>0</v>
      </c>
      <c r="G17">
        <v>8237</v>
      </c>
      <c r="H17">
        <v>4680</v>
      </c>
      <c r="I17">
        <v>18261</v>
      </c>
      <c r="J17">
        <v>3781</v>
      </c>
      <c r="K17">
        <v>498</v>
      </c>
      <c r="L17">
        <v>457</v>
      </c>
      <c r="M17">
        <v>2527</v>
      </c>
      <c r="N17">
        <v>6873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v>1460</v>
      </c>
      <c r="F24">
        <v>885</v>
      </c>
      <c r="G24">
        <v>1100</v>
      </c>
      <c r="H24">
        <v>2425</v>
      </c>
      <c r="I24">
        <v>250</v>
      </c>
      <c r="J24">
        <v>2754</v>
      </c>
      <c r="K24">
        <v>1195</v>
      </c>
      <c r="L24">
        <v>270</v>
      </c>
      <c r="M24">
        <v>1847</v>
      </c>
      <c r="N24">
        <v>2078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v>4594</v>
      </c>
      <c r="F26">
        <v>3923</v>
      </c>
      <c r="G26">
        <v>4481</v>
      </c>
      <c r="H26">
        <v>3375</v>
      </c>
      <c r="I26">
        <v>6000</v>
      </c>
      <c r="J26">
        <v>13918</v>
      </c>
      <c r="K26">
        <v>769</v>
      </c>
      <c r="L26">
        <v>819</v>
      </c>
      <c r="M26">
        <v>18291</v>
      </c>
      <c r="N26">
        <v>8315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v>1438</v>
      </c>
      <c r="F27">
        <v>868</v>
      </c>
      <c r="G27">
        <v>2480</v>
      </c>
      <c r="H27">
        <v>2645</v>
      </c>
      <c r="I27">
        <v>2457</v>
      </c>
      <c r="J27">
        <v>3243</v>
      </c>
      <c r="K27">
        <v>596</v>
      </c>
      <c r="L27">
        <v>0</v>
      </c>
      <c r="M27">
        <v>3334</v>
      </c>
      <c r="N27">
        <v>2484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v>2259</v>
      </c>
      <c r="F30">
        <v>1899</v>
      </c>
      <c r="G30">
        <v>2130</v>
      </c>
      <c r="H30">
        <v>2493</v>
      </c>
      <c r="I30">
        <v>2258</v>
      </c>
      <c r="J30">
        <v>3228</v>
      </c>
      <c r="K30">
        <v>690</v>
      </c>
      <c r="L30">
        <v>0</v>
      </c>
      <c r="M30">
        <v>2472</v>
      </c>
      <c r="N30">
        <v>2027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v>1450</v>
      </c>
      <c r="F31">
        <v>2667</v>
      </c>
      <c r="G31">
        <v>2124</v>
      </c>
      <c r="H31">
        <v>2511</v>
      </c>
      <c r="I31">
        <v>3607</v>
      </c>
      <c r="J31">
        <v>2854</v>
      </c>
      <c r="K31">
        <v>807</v>
      </c>
      <c r="L31">
        <v>575</v>
      </c>
      <c r="M31">
        <v>2888</v>
      </c>
      <c r="N31">
        <v>1162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v>1192</v>
      </c>
      <c r="F32">
        <v>1158</v>
      </c>
      <c r="G32">
        <v>1852</v>
      </c>
      <c r="H32">
        <v>1340</v>
      </c>
      <c r="I32">
        <v>977</v>
      </c>
      <c r="J32">
        <v>2055</v>
      </c>
      <c r="K32">
        <v>227</v>
      </c>
      <c r="L32">
        <v>439</v>
      </c>
      <c r="M32">
        <v>1207</v>
      </c>
      <c r="N32">
        <v>1240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v>0</v>
      </c>
      <c r="F34">
        <v>0</v>
      </c>
      <c r="G34">
        <v>0</v>
      </c>
      <c r="H34">
        <v>1320</v>
      </c>
      <c r="I34">
        <v>1424</v>
      </c>
      <c r="J34">
        <v>1116</v>
      </c>
      <c r="K34">
        <v>479</v>
      </c>
      <c r="L34">
        <v>850</v>
      </c>
      <c r="M34">
        <v>1676</v>
      </c>
      <c r="N34">
        <v>1514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v>1073</v>
      </c>
      <c r="F38">
        <v>1730</v>
      </c>
      <c r="G38">
        <v>873</v>
      </c>
      <c r="H38">
        <v>1273</v>
      </c>
      <c r="I38">
        <v>1392</v>
      </c>
      <c r="J38">
        <v>1403</v>
      </c>
      <c r="K38">
        <v>314</v>
      </c>
      <c r="L38">
        <v>307</v>
      </c>
      <c r="M38">
        <v>2314</v>
      </c>
      <c r="N38">
        <v>1540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v>1223</v>
      </c>
      <c r="F40">
        <v>1368</v>
      </c>
      <c r="G40">
        <v>1020</v>
      </c>
      <c r="H40">
        <v>2171</v>
      </c>
      <c r="I40">
        <v>2547</v>
      </c>
      <c r="J40">
        <v>1211</v>
      </c>
      <c r="K40">
        <v>2823</v>
      </c>
      <c r="L40">
        <v>490</v>
      </c>
      <c r="M40">
        <v>1031</v>
      </c>
      <c r="N40">
        <v>1995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v>2402</v>
      </c>
      <c r="F41">
        <v>3595</v>
      </c>
      <c r="G41">
        <v>2753</v>
      </c>
      <c r="H41">
        <v>2083</v>
      </c>
      <c r="I41">
        <v>2878</v>
      </c>
      <c r="J41">
        <v>1675</v>
      </c>
      <c r="K41">
        <v>154</v>
      </c>
      <c r="L41">
        <v>371</v>
      </c>
      <c r="M41">
        <v>1670</v>
      </c>
      <c r="N41">
        <v>1543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v>2477</v>
      </c>
      <c r="F43">
        <v>1284</v>
      </c>
      <c r="G43">
        <v>1914</v>
      </c>
      <c r="H43">
        <v>1546</v>
      </c>
      <c r="I43">
        <v>1186</v>
      </c>
      <c r="J43">
        <v>659</v>
      </c>
      <c r="K43">
        <v>524</v>
      </c>
      <c r="L43">
        <v>0</v>
      </c>
      <c r="M43">
        <v>827</v>
      </c>
      <c r="N43">
        <v>484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v>0</v>
      </c>
      <c r="F44">
        <v>0</v>
      </c>
      <c r="G44">
        <v>1715</v>
      </c>
      <c r="H44">
        <v>1018</v>
      </c>
      <c r="I44">
        <v>607</v>
      </c>
      <c r="J44">
        <v>978</v>
      </c>
      <c r="K44">
        <v>194</v>
      </c>
      <c r="L44">
        <v>475</v>
      </c>
      <c r="M44">
        <v>1189</v>
      </c>
      <c r="N44">
        <v>488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v>2626</v>
      </c>
      <c r="F49">
        <v>1475</v>
      </c>
      <c r="G49">
        <v>2234</v>
      </c>
      <c r="H49">
        <v>2077</v>
      </c>
      <c r="I49">
        <v>2566</v>
      </c>
      <c r="J49">
        <v>2624</v>
      </c>
      <c r="K49">
        <v>942</v>
      </c>
      <c r="L49">
        <v>2769</v>
      </c>
      <c r="M49">
        <v>2130</v>
      </c>
      <c r="N49">
        <v>1935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6458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v>1402</v>
      </c>
      <c r="F52">
        <v>1314</v>
      </c>
      <c r="G52">
        <v>1453</v>
      </c>
      <c r="H52">
        <v>2156</v>
      </c>
      <c r="I52">
        <v>1446</v>
      </c>
      <c r="J52">
        <v>1933</v>
      </c>
      <c r="K52">
        <v>0</v>
      </c>
      <c r="L52">
        <v>929</v>
      </c>
      <c r="M52">
        <v>1844</v>
      </c>
      <c r="N52">
        <v>2423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v>975</v>
      </c>
      <c r="F54">
        <v>1732</v>
      </c>
      <c r="G54">
        <v>1352</v>
      </c>
      <c r="H54">
        <v>2026</v>
      </c>
      <c r="I54">
        <v>1898</v>
      </c>
      <c r="J54">
        <v>1787</v>
      </c>
      <c r="K54">
        <v>593</v>
      </c>
      <c r="L54">
        <v>0</v>
      </c>
      <c r="M54">
        <v>2662</v>
      </c>
      <c r="N54">
        <v>841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v>2582</v>
      </c>
      <c r="F55">
        <v>1772</v>
      </c>
      <c r="G55">
        <v>2037</v>
      </c>
      <c r="H55">
        <v>3873</v>
      </c>
      <c r="I55">
        <v>3763</v>
      </c>
      <c r="J55">
        <v>2281</v>
      </c>
      <c r="K55">
        <v>784</v>
      </c>
      <c r="L55">
        <v>65</v>
      </c>
      <c r="M55">
        <v>2692</v>
      </c>
      <c r="N55">
        <v>2791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v>649</v>
      </c>
      <c r="F57">
        <v>842</v>
      </c>
      <c r="G57">
        <v>1445</v>
      </c>
      <c r="H57">
        <v>1706</v>
      </c>
      <c r="I57">
        <v>980</v>
      </c>
      <c r="J57">
        <v>1598</v>
      </c>
      <c r="K57">
        <v>378</v>
      </c>
      <c r="L57">
        <v>0</v>
      </c>
      <c r="M57">
        <v>677</v>
      </c>
      <c r="N57">
        <v>1097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v>1966</v>
      </c>
      <c r="F59">
        <v>1812</v>
      </c>
      <c r="G59">
        <v>2620</v>
      </c>
      <c r="H59">
        <v>1823</v>
      </c>
      <c r="I59">
        <v>1264</v>
      </c>
      <c r="J59">
        <v>1365</v>
      </c>
      <c r="K59">
        <v>351</v>
      </c>
      <c r="L59">
        <v>0</v>
      </c>
      <c r="M59">
        <v>1950</v>
      </c>
      <c r="N59">
        <v>1478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v>1528</v>
      </c>
      <c r="F63">
        <v>2490</v>
      </c>
      <c r="G63">
        <v>2374</v>
      </c>
      <c r="H63">
        <v>2021</v>
      </c>
      <c r="I63">
        <v>1709</v>
      </c>
      <c r="J63">
        <v>2040</v>
      </c>
      <c r="K63">
        <v>691</v>
      </c>
      <c r="L63">
        <v>0</v>
      </c>
      <c r="M63">
        <v>1367</v>
      </c>
      <c r="N63">
        <v>1921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v>1137</v>
      </c>
      <c r="F64">
        <v>1655</v>
      </c>
      <c r="G64">
        <v>1936</v>
      </c>
      <c r="H64">
        <v>1444</v>
      </c>
      <c r="I64">
        <v>1403</v>
      </c>
      <c r="J64">
        <v>1386</v>
      </c>
      <c r="K64">
        <v>245</v>
      </c>
      <c r="L64">
        <v>550</v>
      </c>
      <c r="M64">
        <v>2667</v>
      </c>
      <c r="N64">
        <v>2207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v>2731</v>
      </c>
      <c r="F66">
        <v>5168</v>
      </c>
      <c r="G66">
        <v>4328</v>
      </c>
      <c r="H66">
        <v>5469</v>
      </c>
      <c r="I66">
        <v>4395</v>
      </c>
      <c r="J66">
        <v>2555</v>
      </c>
      <c r="K66">
        <v>614</v>
      </c>
      <c r="L66">
        <v>260</v>
      </c>
      <c r="M66">
        <v>3423</v>
      </c>
      <c r="N66">
        <v>4236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v>360</v>
      </c>
      <c r="F67">
        <v>300</v>
      </c>
      <c r="G67">
        <v>255</v>
      </c>
      <c r="H67">
        <v>554</v>
      </c>
      <c r="I67">
        <v>620</v>
      </c>
      <c r="J67">
        <v>553</v>
      </c>
      <c r="K67">
        <v>208</v>
      </c>
      <c r="L67">
        <v>67</v>
      </c>
      <c r="M67">
        <v>863</v>
      </c>
      <c r="N67">
        <v>2313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v>3183</v>
      </c>
      <c r="F68">
        <v>3135</v>
      </c>
      <c r="G68">
        <v>1789</v>
      </c>
      <c r="H68">
        <v>2158</v>
      </c>
      <c r="I68">
        <v>2995</v>
      </c>
      <c r="J68">
        <v>2061</v>
      </c>
      <c r="K68">
        <v>1532</v>
      </c>
      <c r="L68">
        <v>698</v>
      </c>
      <c r="M68">
        <v>3999</v>
      </c>
      <c r="N68">
        <v>5319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v>1047</v>
      </c>
      <c r="F70">
        <v>589</v>
      </c>
      <c r="G70">
        <v>1551</v>
      </c>
      <c r="H70">
        <v>1076</v>
      </c>
      <c r="I70">
        <v>1109</v>
      </c>
      <c r="J70">
        <v>932</v>
      </c>
      <c r="K70">
        <v>369</v>
      </c>
      <c r="L70">
        <v>159</v>
      </c>
      <c r="M70">
        <v>1188</v>
      </c>
      <c r="N70">
        <v>929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v>1823</v>
      </c>
      <c r="F72">
        <v>2118</v>
      </c>
      <c r="G72">
        <v>2547</v>
      </c>
      <c r="H72">
        <v>3392</v>
      </c>
      <c r="I72">
        <v>1454</v>
      </c>
      <c r="J72">
        <v>2705</v>
      </c>
      <c r="K72">
        <v>1412</v>
      </c>
      <c r="L72">
        <v>259</v>
      </c>
      <c r="M72">
        <v>3657</v>
      </c>
      <c r="N72">
        <v>2528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v>2769</v>
      </c>
      <c r="F73">
        <v>4232</v>
      </c>
      <c r="G73">
        <v>2158</v>
      </c>
      <c r="H73">
        <v>3625</v>
      </c>
      <c r="I73">
        <v>5389</v>
      </c>
      <c r="J73">
        <v>3680</v>
      </c>
      <c r="K73">
        <v>1650</v>
      </c>
      <c r="L73">
        <v>282</v>
      </c>
      <c r="M73">
        <v>4385</v>
      </c>
      <c r="N73">
        <v>3425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v>1316</v>
      </c>
      <c r="F74">
        <v>1787</v>
      </c>
      <c r="G74">
        <v>1875</v>
      </c>
      <c r="H74">
        <v>1522</v>
      </c>
      <c r="I74">
        <v>1668</v>
      </c>
      <c r="J74">
        <v>2440</v>
      </c>
      <c r="K74">
        <v>223</v>
      </c>
      <c r="L74">
        <v>1000</v>
      </c>
      <c r="M74">
        <v>2450</v>
      </c>
      <c r="N74">
        <v>1680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v>0</v>
      </c>
      <c r="F75">
        <v>0</v>
      </c>
      <c r="G75">
        <v>0</v>
      </c>
      <c r="H75">
        <v>0</v>
      </c>
      <c r="I75">
        <v>1932</v>
      </c>
      <c r="J75">
        <v>2602</v>
      </c>
      <c r="K75">
        <v>1048</v>
      </c>
      <c r="L75">
        <v>1560</v>
      </c>
      <c r="M75">
        <v>1918</v>
      </c>
      <c r="N75">
        <v>1738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1192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v>1157</v>
      </c>
      <c r="F80">
        <v>1079</v>
      </c>
      <c r="G80">
        <v>1812</v>
      </c>
      <c r="H80">
        <v>2874</v>
      </c>
      <c r="I80">
        <v>1229</v>
      </c>
      <c r="J80">
        <v>1423</v>
      </c>
      <c r="K80">
        <v>562</v>
      </c>
      <c r="L80">
        <v>394</v>
      </c>
      <c r="M80">
        <v>2198</v>
      </c>
      <c r="N80">
        <v>1221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v>1010</v>
      </c>
      <c r="F83">
        <v>3249</v>
      </c>
      <c r="G83">
        <v>1617</v>
      </c>
      <c r="H83">
        <v>2106</v>
      </c>
      <c r="I83">
        <v>3046</v>
      </c>
      <c r="J83">
        <v>3084</v>
      </c>
      <c r="K83">
        <v>796</v>
      </c>
      <c r="L83">
        <v>1315</v>
      </c>
      <c r="M83">
        <v>2993</v>
      </c>
      <c r="N83">
        <v>3511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1105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v>5286</v>
      </c>
      <c r="F88">
        <v>5077</v>
      </c>
      <c r="G88">
        <v>5843</v>
      </c>
      <c r="H88">
        <v>4999</v>
      </c>
      <c r="I88">
        <v>5833</v>
      </c>
      <c r="J88">
        <v>3500</v>
      </c>
      <c r="K88">
        <v>2377</v>
      </c>
      <c r="L88">
        <v>3053</v>
      </c>
      <c r="M88">
        <v>3601</v>
      </c>
      <c r="N88">
        <v>4674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v>779</v>
      </c>
      <c r="F92">
        <v>1195</v>
      </c>
      <c r="G92">
        <v>1069</v>
      </c>
      <c r="H92">
        <v>1433</v>
      </c>
      <c r="I92">
        <v>1049</v>
      </c>
      <c r="J92">
        <v>882</v>
      </c>
      <c r="K92">
        <v>413</v>
      </c>
      <c r="L92">
        <v>442</v>
      </c>
      <c r="M92">
        <v>0</v>
      </c>
      <c r="N92">
        <v>0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v>0</v>
      </c>
      <c r="F93">
        <v>755</v>
      </c>
      <c r="G93">
        <v>1274</v>
      </c>
      <c r="H93">
        <v>2043</v>
      </c>
      <c r="I93">
        <v>2199</v>
      </c>
      <c r="J93">
        <v>2641</v>
      </c>
      <c r="K93">
        <v>683</v>
      </c>
      <c r="L93">
        <v>1250</v>
      </c>
      <c r="M93">
        <v>1190</v>
      </c>
      <c r="N93">
        <v>481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v>0</v>
      </c>
      <c r="F95">
        <v>2295</v>
      </c>
      <c r="G95">
        <v>2437</v>
      </c>
      <c r="H95">
        <v>872</v>
      </c>
      <c r="I95">
        <v>1009</v>
      </c>
      <c r="J95">
        <v>583</v>
      </c>
      <c r="K95">
        <v>976</v>
      </c>
      <c r="L95">
        <v>606</v>
      </c>
      <c r="M95">
        <v>728</v>
      </c>
      <c r="N95">
        <v>735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v>775</v>
      </c>
      <c r="F96">
        <v>650</v>
      </c>
      <c r="G96">
        <v>928</v>
      </c>
      <c r="H96">
        <v>1639</v>
      </c>
      <c r="I96">
        <v>1131</v>
      </c>
      <c r="J96">
        <v>1180</v>
      </c>
      <c r="K96">
        <v>431</v>
      </c>
      <c r="L96">
        <v>631</v>
      </c>
      <c r="M96">
        <v>916</v>
      </c>
      <c r="N96">
        <v>1314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v>779</v>
      </c>
      <c r="F97">
        <v>1021</v>
      </c>
      <c r="G97">
        <v>1008</v>
      </c>
      <c r="H97">
        <v>1714</v>
      </c>
      <c r="I97">
        <v>1851</v>
      </c>
      <c r="J97">
        <v>1840</v>
      </c>
      <c r="K97">
        <v>954</v>
      </c>
      <c r="L97">
        <v>0</v>
      </c>
      <c r="M97">
        <v>590</v>
      </c>
      <c r="N97">
        <v>439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v>5880</v>
      </c>
      <c r="F98">
        <v>4139</v>
      </c>
      <c r="G98">
        <v>3553</v>
      </c>
      <c r="H98">
        <v>3557</v>
      </c>
      <c r="I98">
        <v>4029</v>
      </c>
      <c r="J98">
        <v>3594</v>
      </c>
      <c r="K98">
        <v>1257</v>
      </c>
      <c r="L98">
        <v>0</v>
      </c>
      <c r="M98">
        <v>3604</v>
      </c>
      <c r="N98">
        <v>3647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v>0</v>
      </c>
      <c r="F107">
        <v>0</v>
      </c>
      <c r="G107">
        <v>0</v>
      </c>
      <c r="H107">
        <v>0</v>
      </c>
      <c r="I107">
        <v>2695</v>
      </c>
      <c r="J107">
        <v>3202</v>
      </c>
      <c r="K107">
        <v>843</v>
      </c>
      <c r="L107">
        <v>567</v>
      </c>
      <c r="M107">
        <v>0</v>
      </c>
      <c r="N107">
        <v>810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v>2927</v>
      </c>
      <c r="F108">
        <v>2023</v>
      </c>
      <c r="G108">
        <v>2323</v>
      </c>
      <c r="H108">
        <v>1697</v>
      </c>
      <c r="I108">
        <v>3938</v>
      </c>
      <c r="J108">
        <v>2978</v>
      </c>
      <c r="K108">
        <v>978</v>
      </c>
      <c r="L108">
        <v>0</v>
      </c>
      <c r="M108">
        <v>4794</v>
      </c>
      <c r="N108">
        <v>3631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v>2930</v>
      </c>
      <c r="F110">
        <v>3876</v>
      </c>
      <c r="G110">
        <v>3895</v>
      </c>
      <c r="H110">
        <v>4465</v>
      </c>
      <c r="I110">
        <v>5761</v>
      </c>
      <c r="J110">
        <v>5615</v>
      </c>
      <c r="K110">
        <v>1932</v>
      </c>
      <c r="L110">
        <v>1554</v>
      </c>
      <c r="M110">
        <v>4827</v>
      </c>
      <c r="N110">
        <v>3700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v>2234</v>
      </c>
      <c r="F111">
        <v>3044</v>
      </c>
      <c r="G111">
        <v>2524</v>
      </c>
      <c r="H111">
        <v>2667</v>
      </c>
      <c r="I111">
        <v>2161</v>
      </c>
      <c r="J111">
        <v>4575</v>
      </c>
      <c r="K111">
        <v>3573</v>
      </c>
      <c r="L111">
        <v>400</v>
      </c>
      <c r="M111">
        <v>3756</v>
      </c>
      <c r="N111">
        <v>2950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v>1950</v>
      </c>
      <c r="F112">
        <v>1399</v>
      </c>
      <c r="G112">
        <v>3143</v>
      </c>
      <c r="H112">
        <v>3002</v>
      </c>
      <c r="I112">
        <v>2390</v>
      </c>
      <c r="J112">
        <v>1855</v>
      </c>
      <c r="K112">
        <v>1009</v>
      </c>
      <c r="L112">
        <v>102</v>
      </c>
      <c r="M112">
        <v>2407</v>
      </c>
      <c r="N112">
        <v>2022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v>379</v>
      </c>
      <c r="F115">
        <v>422</v>
      </c>
      <c r="G115">
        <v>655</v>
      </c>
      <c r="H115">
        <v>1016</v>
      </c>
      <c r="I115">
        <v>753</v>
      </c>
      <c r="J115">
        <v>557</v>
      </c>
      <c r="K115">
        <v>445</v>
      </c>
      <c r="L115">
        <v>0</v>
      </c>
      <c r="M115">
        <v>472</v>
      </c>
      <c r="N115">
        <v>678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v>1373</v>
      </c>
      <c r="F122">
        <v>1348</v>
      </c>
      <c r="G122">
        <v>984</v>
      </c>
      <c r="H122">
        <v>1163</v>
      </c>
      <c r="I122">
        <v>1209</v>
      </c>
      <c r="J122">
        <v>1451</v>
      </c>
      <c r="K122">
        <v>1223</v>
      </c>
      <c r="L122">
        <v>395</v>
      </c>
      <c r="M122">
        <v>1909</v>
      </c>
      <c r="N122">
        <v>1811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v>2146</v>
      </c>
      <c r="F127">
        <v>2297</v>
      </c>
      <c r="G127">
        <v>788</v>
      </c>
      <c r="H127">
        <v>2575</v>
      </c>
      <c r="I127">
        <v>3096</v>
      </c>
      <c r="J127">
        <v>2414</v>
      </c>
      <c r="K127">
        <v>396</v>
      </c>
      <c r="L127">
        <v>1300</v>
      </c>
      <c r="M127">
        <v>1742</v>
      </c>
      <c r="N127">
        <v>3383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v>1892</v>
      </c>
      <c r="F129">
        <v>2143</v>
      </c>
      <c r="G129">
        <v>1976</v>
      </c>
      <c r="H129">
        <v>2276</v>
      </c>
      <c r="I129">
        <v>5091</v>
      </c>
      <c r="J129">
        <v>4710</v>
      </c>
      <c r="K129">
        <v>1061</v>
      </c>
      <c r="L129">
        <v>1662</v>
      </c>
      <c r="M129">
        <v>2275</v>
      </c>
      <c r="N129">
        <v>4300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v>2166</v>
      </c>
      <c r="F133">
        <v>2092</v>
      </c>
      <c r="G133">
        <v>2805</v>
      </c>
      <c r="H133">
        <v>3444</v>
      </c>
      <c r="I133">
        <v>3134</v>
      </c>
      <c r="J133">
        <v>1650</v>
      </c>
      <c r="K133">
        <v>1417</v>
      </c>
      <c r="L133">
        <v>1069</v>
      </c>
      <c r="M133">
        <v>1393</v>
      </c>
      <c r="N133">
        <v>985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732</v>
      </c>
      <c r="K134">
        <v>295</v>
      </c>
      <c r="L134">
        <v>471</v>
      </c>
      <c r="M134">
        <v>1312</v>
      </c>
      <c r="N134">
        <v>1471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v>1614</v>
      </c>
      <c r="F136">
        <v>1584</v>
      </c>
      <c r="G136">
        <v>1173</v>
      </c>
      <c r="H136">
        <v>1935</v>
      </c>
      <c r="I136">
        <v>2720</v>
      </c>
      <c r="J136">
        <v>1272</v>
      </c>
      <c r="K136">
        <v>250</v>
      </c>
      <c r="L136">
        <v>310</v>
      </c>
      <c r="M136">
        <v>1649</v>
      </c>
      <c r="N136">
        <v>773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v>1579</v>
      </c>
      <c r="F137">
        <v>1541</v>
      </c>
      <c r="G137">
        <v>1751</v>
      </c>
      <c r="H137">
        <v>1368</v>
      </c>
      <c r="I137">
        <v>1681</v>
      </c>
      <c r="J137">
        <v>1769</v>
      </c>
      <c r="K137">
        <v>491</v>
      </c>
      <c r="L137">
        <v>86</v>
      </c>
      <c r="M137">
        <v>1349</v>
      </c>
      <c r="N137">
        <v>1963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v>1769</v>
      </c>
      <c r="F139">
        <v>1454</v>
      </c>
      <c r="G139">
        <v>2340</v>
      </c>
      <c r="H139">
        <v>1769</v>
      </c>
      <c r="I139">
        <v>2033</v>
      </c>
      <c r="J139">
        <v>1791</v>
      </c>
      <c r="K139">
        <v>590</v>
      </c>
      <c r="L139">
        <v>725</v>
      </c>
      <c r="M139">
        <v>1966</v>
      </c>
      <c r="N139">
        <v>1764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v>1770</v>
      </c>
      <c r="F140">
        <v>1930</v>
      </c>
      <c r="G140">
        <v>1747</v>
      </c>
      <c r="H140">
        <v>2152</v>
      </c>
      <c r="I140">
        <v>1820</v>
      </c>
      <c r="J140">
        <v>1699</v>
      </c>
      <c r="K140">
        <v>609</v>
      </c>
      <c r="L140">
        <v>498</v>
      </c>
      <c r="M140">
        <v>1897</v>
      </c>
      <c r="N140">
        <v>2179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v>753</v>
      </c>
      <c r="F143">
        <v>1048</v>
      </c>
      <c r="G143">
        <v>684</v>
      </c>
      <c r="H143">
        <v>650</v>
      </c>
      <c r="I143">
        <v>1126</v>
      </c>
      <c r="J143">
        <v>1015</v>
      </c>
      <c r="K143">
        <v>912</v>
      </c>
      <c r="L143">
        <v>81</v>
      </c>
      <c r="M143">
        <v>1494</v>
      </c>
      <c r="N143">
        <v>1322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v>1493</v>
      </c>
      <c r="F146">
        <v>1543</v>
      </c>
      <c r="G146">
        <v>776</v>
      </c>
      <c r="H146">
        <v>1492</v>
      </c>
      <c r="I146">
        <v>2399</v>
      </c>
      <c r="J146">
        <v>610</v>
      </c>
      <c r="K146">
        <v>593</v>
      </c>
      <c r="L146">
        <v>95</v>
      </c>
      <c r="M146">
        <v>1473</v>
      </c>
      <c r="N146">
        <v>1382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v>2086</v>
      </c>
      <c r="F149">
        <v>1990</v>
      </c>
      <c r="G149">
        <v>3374</v>
      </c>
      <c r="H149">
        <v>2220</v>
      </c>
      <c r="I149">
        <v>1314</v>
      </c>
      <c r="J149">
        <v>1853</v>
      </c>
      <c r="K149">
        <v>1138</v>
      </c>
      <c r="L149">
        <v>637</v>
      </c>
      <c r="M149">
        <v>2151</v>
      </c>
      <c r="N149">
        <v>2227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v>5221</v>
      </c>
      <c r="F151">
        <v>7048</v>
      </c>
      <c r="G151">
        <v>6084</v>
      </c>
      <c r="H151">
        <v>6579</v>
      </c>
      <c r="I151">
        <v>7889</v>
      </c>
      <c r="J151">
        <v>6395</v>
      </c>
      <c r="K151">
        <v>3919</v>
      </c>
      <c r="L151">
        <v>745</v>
      </c>
      <c r="M151">
        <v>7323</v>
      </c>
      <c r="N151">
        <v>11999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v>1372</v>
      </c>
      <c r="F154">
        <v>1390</v>
      </c>
      <c r="G154">
        <v>2176</v>
      </c>
      <c r="H154">
        <v>1480</v>
      </c>
      <c r="I154">
        <v>1748</v>
      </c>
      <c r="J154">
        <v>1933</v>
      </c>
      <c r="K154">
        <v>610</v>
      </c>
      <c r="L154">
        <v>195</v>
      </c>
      <c r="M154">
        <v>1220</v>
      </c>
      <c r="N154">
        <v>1585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v>1824</v>
      </c>
      <c r="F155">
        <v>1454</v>
      </c>
      <c r="G155">
        <v>1788</v>
      </c>
      <c r="H155">
        <v>1696</v>
      </c>
      <c r="I155">
        <v>1518</v>
      </c>
      <c r="J155">
        <v>1391</v>
      </c>
      <c r="K155">
        <v>908</v>
      </c>
      <c r="L155">
        <v>0</v>
      </c>
      <c r="M155">
        <v>1143</v>
      </c>
      <c r="N155">
        <v>1159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v>2161</v>
      </c>
      <c r="F156">
        <v>1330</v>
      </c>
      <c r="G156">
        <v>3451</v>
      </c>
      <c r="H156">
        <v>2282</v>
      </c>
      <c r="I156">
        <v>3078</v>
      </c>
      <c r="J156">
        <v>2699</v>
      </c>
      <c r="K156">
        <v>934</v>
      </c>
      <c r="L156">
        <v>235</v>
      </c>
      <c r="M156">
        <v>1569</v>
      </c>
      <c r="N156">
        <v>1971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v>8059</v>
      </c>
      <c r="F158">
        <v>11809</v>
      </c>
      <c r="G158">
        <v>13017</v>
      </c>
      <c r="H158">
        <v>16440</v>
      </c>
      <c r="I158">
        <v>11972</v>
      </c>
      <c r="J158">
        <v>20658</v>
      </c>
      <c r="K158">
        <v>3366</v>
      </c>
      <c r="L158">
        <v>800</v>
      </c>
      <c r="M158">
        <v>9099</v>
      </c>
      <c r="N158">
        <v>11259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v>2744</v>
      </c>
      <c r="F159">
        <v>2136</v>
      </c>
      <c r="G159">
        <v>2696</v>
      </c>
      <c r="H159">
        <v>3764</v>
      </c>
      <c r="I159">
        <v>2667</v>
      </c>
      <c r="J159">
        <v>2804</v>
      </c>
      <c r="K159">
        <v>418</v>
      </c>
      <c r="L159">
        <v>864</v>
      </c>
      <c r="M159">
        <v>3375</v>
      </c>
      <c r="N159">
        <v>1337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v>0</v>
      </c>
      <c r="F162">
        <v>992</v>
      </c>
      <c r="G162">
        <v>1207</v>
      </c>
      <c r="H162">
        <v>1290</v>
      </c>
      <c r="I162">
        <v>1421</v>
      </c>
      <c r="J162">
        <v>800</v>
      </c>
      <c r="K162">
        <v>339</v>
      </c>
      <c r="L162">
        <v>1571</v>
      </c>
      <c r="M162">
        <v>1219</v>
      </c>
      <c r="N162">
        <v>2098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v>2892</v>
      </c>
      <c r="F165">
        <v>1670</v>
      </c>
      <c r="G165">
        <v>4162</v>
      </c>
      <c r="H165">
        <v>3274</v>
      </c>
      <c r="I165">
        <v>2019</v>
      </c>
      <c r="J165">
        <v>3211</v>
      </c>
      <c r="K165">
        <v>682</v>
      </c>
      <c r="L165">
        <v>455</v>
      </c>
      <c r="M165">
        <v>2306</v>
      </c>
      <c r="N165">
        <v>2705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v>1758</v>
      </c>
      <c r="F174">
        <v>1740</v>
      </c>
      <c r="G174">
        <v>1730</v>
      </c>
      <c r="H174">
        <v>1388</v>
      </c>
      <c r="I174">
        <v>2384</v>
      </c>
      <c r="J174">
        <v>2079</v>
      </c>
      <c r="K174">
        <v>892</v>
      </c>
      <c r="L174">
        <v>601</v>
      </c>
      <c r="M174">
        <v>2050</v>
      </c>
      <c r="N174">
        <v>2134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v>1202</v>
      </c>
      <c r="F179">
        <v>2131</v>
      </c>
      <c r="G179">
        <v>1520</v>
      </c>
      <c r="H179">
        <v>1647</v>
      </c>
      <c r="I179">
        <v>1634</v>
      </c>
      <c r="J179">
        <v>4172</v>
      </c>
      <c r="K179">
        <v>1043</v>
      </c>
      <c r="L179">
        <v>1008</v>
      </c>
      <c r="M179">
        <v>1774</v>
      </c>
      <c r="N179">
        <v>1395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v>9154</v>
      </c>
      <c r="F183">
        <v>12985</v>
      </c>
      <c r="G183">
        <v>4733</v>
      </c>
      <c r="H183">
        <v>5951</v>
      </c>
      <c r="I183">
        <v>7141</v>
      </c>
      <c r="J183">
        <v>18335</v>
      </c>
      <c r="K183">
        <v>1201</v>
      </c>
      <c r="L183">
        <v>1296</v>
      </c>
      <c r="M183">
        <v>7921</v>
      </c>
      <c r="N183">
        <v>3380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v>1323</v>
      </c>
      <c r="F187">
        <v>867</v>
      </c>
      <c r="G187">
        <v>1406</v>
      </c>
      <c r="H187">
        <v>905</v>
      </c>
      <c r="I187">
        <v>964</v>
      </c>
      <c r="J187">
        <v>1168</v>
      </c>
      <c r="K187">
        <v>465</v>
      </c>
      <c r="L187">
        <v>0</v>
      </c>
      <c r="M187">
        <v>1139</v>
      </c>
      <c r="N187">
        <v>832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v>1830</v>
      </c>
      <c r="F191">
        <v>709</v>
      </c>
      <c r="G191">
        <v>1451</v>
      </c>
      <c r="H191">
        <v>1409</v>
      </c>
      <c r="I191">
        <v>1977</v>
      </c>
      <c r="J191">
        <v>1299</v>
      </c>
      <c r="K191">
        <v>202</v>
      </c>
      <c r="L191">
        <v>591</v>
      </c>
      <c r="M191">
        <v>1168</v>
      </c>
      <c r="N191">
        <v>1585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v>8749</v>
      </c>
      <c r="F197">
        <v>5476</v>
      </c>
      <c r="G197">
        <v>6191</v>
      </c>
      <c r="H197">
        <v>7831</v>
      </c>
      <c r="I197">
        <v>6156</v>
      </c>
      <c r="J197">
        <v>8245</v>
      </c>
      <c r="K197">
        <v>2737</v>
      </c>
      <c r="L197">
        <v>6394</v>
      </c>
      <c r="M197">
        <v>22769</v>
      </c>
      <c r="N197">
        <v>11786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v>11880</v>
      </c>
      <c r="F206">
        <v>6554</v>
      </c>
      <c r="G206">
        <v>8363</v>
      </c>
      <c r="H206">
        <v>5169</v>
      </c>
      <c r="I206">
        <v>5715</v>
      </c>
      <c r="J206">
        <v>7394</v>
      </c>
      <c r="K206">
        <v>5073</v>
      </c>
      <c r="L206">
        <v>1167</v>
      </c>
      <c r="M206">
        <v>8507</v>
      </c>
      <c r="N206">
        <v>11206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v>8335</v>
      </c>
      <c r="F208">
        <v>2669</v>
      </c>
      <c r="G208">
        <v>10609</v>
      </c>
      <c r="H208">
        <v>2673</v>
      </c>
      <c r="I208">
        <v>1864</v>
      </c>
      <c r="J208">
        <v>2206</v>
      </c>
      <c r="K208">
        <v>1142</v>
      </c>
      <c r="L208">
        <v>1366</v>
      </c>
      <c r="M208">
        <v>2753</v>
      </c>
      <c r="N208">
        <v>2569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v>3543</v>
      </c>
      <c r="F211">
        <v>3052</v>
      </c>
      <c r="G211">
        <v>4028</v>
      </c>
      <c r="H211">
        <v>3270</v>
      </c>
      <c r="I211">
        <v>2598</v>
      </c>
      <c r="J211">
        <v>4010</v>
      </c>
      <c r="K211">
        <v>1439</v>
      </c>
      <c r="L211">
        <v>364</v>
      </c>
      <c r="M211">
        <v>3360</v>
      </c>
      <c r="N211">
        <v>5503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v>1665</v>
      </c>
      <c r="F214">
        <v>1293</v>
      </c>
      <c r="G214">
        <v>1438</v>
      </c>
      <c r="H214">
        <v>1294</v>
      </c>
      <c r="I214">
        <v>2796</v>
      </c>
      <c r="J214">
        <v>1789</v>
      </c>
      <c r="K214">
        <v>865</v>
      </c>
      <c r="L214">
        <v>1749</v>
      </c>
      <c r="M214">
        <v>2448</v>
      </c>
      <c r="N214">
        <v>922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v>2484</v>
      </c>
      <c r="F218">
        <v>1796</v>
      </c>
      <c r="G218">
        <v>2832</v>
      </c>
      <c r="H218">
        <v>1844</v>
      </c>
      <c r="I218">
        <v>1352</v>
      </c>
      <c r="J218">
        <v>1715</v>
      </c>
      <c r="K218">
        <v>620</v>
      </c>
      <c r="L218">
        <v>0</v>
      </c>
      <c r="M218">
        <v>1422</v>
      </c>
      <c r="N218">
        <v>1933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v>2448</v>
      </c>
      <c r="F221">
        <v>3496</v>
      </c>
      <c r="G221">
        <v>3780</v>
      </c>
      <c r="H221">
        <v>3272</v>
      </c>
      <c r="I221">
        <v>3451</v>
      </c>
      <c r="J221">
        <v>2417</v>
      </c>
      <c r="K221">
        <v>1297</v>
      </c>
      <c r="L221">
        <v>0</v>
      </c>
      <c r="M221">
        <v>2688</v>
      </c>
      <c r="N221">
        <v>3766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v>4803</v>
      </c>
      <c r="F222">
        <v>3404</v>
      </c>
      <c r="G222">
        <v>4651</v>
      </c>
      <c r="H222">
        <v>6590</v>
      </c>
      <c r="I222">
        <v>4707</v>
      </c>
      <c r="J222">
        <v>4023</v>
      </c>
      <c r="K222">
        <v>1326</v>
      </c>
      <c r="L222">
        <v>841</v>
      </c>
      <c r="M222">
        <v>2304</v>
      </c>
      <c r="N222">
        <v>4567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4105</v>
      </c>
      <c r="N224">
        <v>2310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v>998</v>
      </c>
      <c r="F228">
        <v>743</v>
      </c>
      <c r="G228">
        <v>1086</v>
      </c>
      <c r="H228">
        <v>1511</v>
      </c>
      <c r="I228">
        <v>583</v>
      </c>
      <c r="J228">
        <v>406</v>
      </c>
      <c r="K228">
        <v>406</v>
      </c>
      <c r="L228">
        <v>194</v>
      </c>
      <c r="M228">
        <v>787</v>
      </c>
      <c r="N228">
        <v>1003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v>4034</v>
      </c>
      <c r="F229">
        <v>3947</v>
      </c>
      <c r="G229">
        <v>4445</v>
      </c>
      <c r="H229">
        <v>6017</v>
      </c>
      <c r="I229">
        <v>5050</v>
      </c>
      <c r="J229">
        <v>5865</v>
      </c>
      <c r="K229">
        <v>952</v>
      </c>
      <c r="L229">
        <v>0</v>
      </c>
      <c r="M229">
        <v>6584</v>
      </c>
      <c r="N229">
        <v>4150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v>1513</v>
      </c>
      <c r="F233">
        <v>800</v>
      </c>
      <c r="G233">
        <v>1460</v>
      </c>
      <c r="H233">
        <v>1341</v>
      </c>
      <c r="I233">
        <v>2402</v>
      </c>
      <c r="J233">
        <v>1792</v>
      </c>
      <c r="K233">
        <v>326</v>
      </c>
      <c r="L233">
        <v>516</v>
      </c>
      <c r="M233">
        <v>1345</v>
      </c>
      <c r="N233">
        <v>2455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v>0</v>
      </c>
      <c r="F234">
        <v>0</v>
      </c>
      <c r="G234">
        <v>906</v>
      </c>
      <c r="H234">
        <v>760</v>
      </c>
      <c r="I234">
        <v>844</v>
      </c>
      <c r="J234">
        <v>1051</v>
      </c>
      <c r="K234">
        <v>496</v>
      </c>
      <c r="L234">
        <v>1500</v>
      </c>
      <c r="M234">
        <v>625</v>
      </c>
      <c r="N234">
        <v>1610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v>2039</v>
      </c>
      <c r="F237">
        <v>844</v>
      </c>
      <c r="G237">
        <v>1533</v>
      </c>
      <c r="H237">
        <v>1909</v>
      </c>
      <c r="I237">
        <v>2689</v>
      </c>
      <c r="J237">
        <v>2027</v>
      </c>
      <c r="K237">
        <v>1011</v>
      </c>
      <c r="L237">
        <v>3000</v>
      </c>
      <c r="M237">
        <v>2303</v>
      </c>
      <c r="N237">
        <v>1633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v>881</v>
      </c>
      <c r="F239">
        <v>860</v>
      </c>
      <c r="G239">
        <v>645</v>
      </c>
      <c r="H239">
        <v>1931</v>
      </c>
      <c r="I239">
        <v>1303</v>
      </c>
      <c r="J239">
        <v>1537</v>
      </c>
      <c r="K239">
        <v>619</v>
      </c>
      <c r="L239">
        <v>625</v>
      </c>
      <c r="M239">
        <v>777</v>
      </c>
      <c r="N239">
        <v>1998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v>2587</v>
      </c>
      <c r="F240">
        <v>2517</v>
      </c>
      <c r="G240">
        <v>3554</v>
      </c>
      <c r="H240">
        <v>4471</v>
      </c>
      <c r="I240">
        <v>4109</v>
      </c>
      <c r="J240">
        <v>5467</v>
      </c>
      <c r="K240">
        <v>1775</v>
      </c>
      <c r="L240">
        <v>1203</v>
      </c>
      <c r="M240">
        <v>6986</v>
      </c>
      <c r="N240">
        <v>3224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v>435</v>
      </c>
      <c r="F242">
        <v>908</v>
      </c>
      <c r="G242">
        <v>718</v>
      </c>
      <c r="H242">
        <v>1410</v>
      </c>
      <c r="I242">
        <v>810</v>
      </c>
      <c r="J242">
        <v>759</v>
      </c>
      <c r="K242">
        <v>423</v>
      </c>
      <c r="L242">
        <v>202</v>
      </c>
      <c r="M242">
        <v>1947</v>
      </c>
      <c r="N242">
        <v>2324</v>
      </c>
    </row>
    <row r="243" spans="1:14" x14ac:dyDescent="0.2">
      <c r="A243" t="s">
        <v>520</v>
      </c>
      <c r="B243" t="s">
        <v>599</v>
      </c>
      <c r="C243">
        <v>215743</v>
      </c>
      <c r="D243">
        <v>11020</v>
      </c>
      <c r="E243">
        <v>1218</v>
      </c>
      <c r="F243">
        <v>897</v>
      </c>
      <c r="G243">
        <v>1106</v>
      </c>
      <c r="H243">
        <v>628</v>
      </c>
      <c r="I243">
        <v>790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v>1360</v>
      </c>
      <c r="F244">
        <v>1882</v>
      </c>
      <c r="G244">
        <v>3009</v>
      </c>
      <c r="H244">
        <v>6160</v>
      </c>
      <c r="I244">
        <v>7056</v>
      </c>
      <c r="J244">
        <v>7010</v>
      </c>
      <c r="K244">
        <v>1417</v>
      </c>
      <c r="L244">
        <v>1766</v>
      </c>
      <c r="M244">
        <v>3545</v>
      </c>
      <c r="N244">
        <v>4461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v>1222</v>
      </c>
      <c r="F246">
        <v>908</v>
      </c>
      <c r="G246">
        <v>825</v>
      </c>
      <c r="H246">
        <v>582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v>2046</v>
      </c>
      <c r="F251">
        <v>2836</v>
      </c>
      <c r="G251">
        <v>2576</v>
      </c>
      <c r="H251">
        <v>1885</v>
      </c>
      <c r="I251">
        <v>1859</v>
      </c>
      <c r="J251">
        <v>1234</v>
      </c>
      <c r="K251">
        <v>820</v>
      </c>
      <c r="L251">
        <v>243</v>
      </c>
      <c r="M251">
        <v>1121</v>
      </c>
      <c r="N251">
        <v>3170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600</v>
      </c>
      <c r="B255" t="s">
        <v>600</v>
      </c>
      <c r="C255">
        <v>140960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E259">
        <v>1255</v>
      </c>
      <c r="F259">
        <v>2058</v>
      </c>
      <c r="G259">
        <v>1814</v>
      </c>
      <c r="H259">
        <v>803</v>
      </c>
      <c r="I259">
        <v>1639</v>
      </c>
      <c r="J259">
        <v>1798</v>
      </c>
      <c r="K259">
        <v>529</v>
      </c>
      <c r="L259">
        <v>938</v>
      </c>
      <c r="M259">
        <v>2891</v>
      </c>
      <c r="N259">
        <v>1374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201</v>
      </c>
      <c r="B265" t="s">
        <v>201</v>
      </c>
      <c r="C265">
        <v>219471</v>
      </c>
      <c r="D265">
        <v>46820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E270">
        <v>1546</v>
      </c>
      <c r="F270">
        <v>1972</v>
      </c>
      <c r="G270">
        <v>2242</v>
      </c>
      <c r="H270">
        <v>1717</v>
      </c>
      <c r="I270">
        <v>1348</v>
      </c>
      <c r="J270">
        <v>2639</v>
      </c>
      <c r="K270">
        <v>1669</v>
      </c>
      <c r="L270">
        <v>120</v>
      </c>
      <c r="M270">
        <v>1800</v>
      </c>
      <c r="N270">
        <v>2271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E275">
        <v>450</v>
      </c>
      <c r="F275">
        <v>1147</v>
      </c>
      <c r="G275">
        <v>702</v>
      </c>
      <c r="H275">
        <v>848</v>
      </c>
      <c r="I275">
        <v>720</v>
      </c>
      <c r="J275">
        <v>778</v>
      </c>
      <c r="K275">
        <v>187</v>
      </c>
      <c r="L275">
        <v>215</v>
      </c>
      <c r="M275">
        <v>725</v>
      </c>
      <c r="N275">
        <v>1195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E278">
        <v>3456</v>
      </c>
      <c r="F278">
        <v>1952</v>
      </c>
      <c r="G278">
        <v>3831</v>
      </c>
      <c r="H278">
        <v>2045</v>
      </c>
      <c r="I278">
        <v>3216</v>
      </c>
      <c r="J278">
        <v>3221</v>
      </c>
      <c r="K278">
        <v>691</v>
      </c>
      <c r="L278">
        <v>811</v>
      </c>
      <c r="M278">
        <v>3082</v>
      </c>
      <c r="N278">
        <v>2143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E279">
        <v>1108</v>
      </c>
      <c r="F279">
        <v>1514</v>
      </c>
      <c r="G279">
        <v>2132</v>
      </c>
      <c r="H279">
        <v>1681</v>
      </c>
      <c r="I279">
        <v>1570</v>
      </c>
      <c r="J279">
        <v>1842</v>
      </c>
      <c r="K279">
        <v>134</v>
      </c>
      <c r="L279">
        <v>175</v>
      </c>
      <c r="M279">
        <v>1404</v>
      </c>
      <c r="N279">
        <v>941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E280">
        <v>3841</v>
      </c>
      <c r="F280">
        <v>6842</v>
      </c>
      <c r="G280">
        <v>10070</v>
      </c>
      <c r="H280">
        <v>11495</v>
      </c>
      <c r="I280">
        <v>12902</v>
      </c>
      <c r="J280">
        <v>7964</v>
      </c>
      <c r="K280">
        <v>2928</v>
      </c>
      <c r="L280">
        <v>1248</v>
      </c>
      <c r="M280">
        <v>6259</v>
      </c>
      <c r="N280">
        <v>5635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E281">
        <v>11529</v>
      </c>
      <c r="F281">
        <v>8789</v>
      </c>
      <c r="G281">
        <v>10261</v>
      </c>
      <c r="H281">
        <v>8838</v>
      </c>
      <c r="I281">
        <v>6038</v>
      </c>
      <c r="J281">
        <v>7496</v>
      </c>
      <c r="K281">
        <v>1996</v>
      </c>
      <c r="L281">
        <v>2210</v>
      </c>
      <c r="M281">
        <v>23126</v>
      </c>
      <c r="N281">
        <v>20662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E283">
        <v>2579</v>
      </c>
      <c r="F283">
        <v>1860</v>
      </c>
      <c r="G283">
        <v>4404</v>
      </c>
      <c r="H283">
        <v>3780</v>
      </c>
      <c r="I283">
        <v>4150</v>
      </c>
      <c r="J283">
        <v>3025</v>
      </c>
      <c r="K283">
        <v>2319</v>
      </c>
      <c r="L283">
        <v>352</v>
      </c>
      <c r="M283">
        <v>2916</v>
      </c>
      <c r="N283">
        <v>3346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E294">
        <v>2901</v>
      </c>
      <c r="F294">
        <v>3489</v>
      </c>
      <c r="G294">
        <v>7099</v>
      </c>
      <c r="H294">
        <v>5002</v>
      </c>
      <c r="I294">
        <v>3808</v>
      </c>
      <c r="J294">
        <v>2560</v>
      </c>
      <c r="K294">
        <v>1133</v>
      </c>
      <c r="L294">
        <v>1045</v>
      </c>
      <c r="M294">
        <v>3446</v>
      </c>
      <c r="N294">
        <v>3840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E299">
        <v>1672</v>
      </c>
      <c r="F299">
        <v>1702</v>
      </c>
      <c r="G299">
        <v>1593</v>
      </c>
      <c r="H299">
        <v>1322</v>
      </c>
      <c r="I299">
        <v>2072</v>
      </c>
      <c r="J299">
        <v>1475</v>
      </c>
      <c r="K299">
        <v>106</v>
      </c>
      <c r="L299">
        <v>600</v>
      </c>
      <c r="M299">
        <v>3314</v>
      </c>
      <c r="N299">
        <v>3348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E300">
        <v>1415</v>
      </c>
      <c r="F300">
        <v>1488</v>
      </c>
      <c r="G300">
        <v>1111</v>
      </c>
      <c r="H300">
        <v>1175</v>
      </c>
      <c r="I300">
        <v>1014</v>
      </c>
      <c r="J300">
        <v>1216</v>
      </c>
      <c r="K300">
        <v>979</v>
      </c>
      <c r="L300">
        <v>1464</v>
      </c>
      <c r="M300">
        <v>1482</v>
      </c>
      <c r="N300">
        <v>1392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E306">
        <v>1080</v>
      </c>
      <c r="F306">
        <v>1724</v>
      </c>
      <c r="G306">
        <v>1762</v>
      </c>
      <c r="H306">
        <v>2673</v>
      </c>
      <c r="I306">
        <v>2113</v>
      </c>
      <c r="J306">
        <v>1736</v>
      </c>
      <c r="K306">
        <v>784</v>
      </c>
      <c r="L306">
        <v>0</v>
      </c>
      <c r="M306">
        <v>1913</v>
      </c>
      <c r="N306">
        <v>2958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569</v>
      </c>
      <c r="B310" t="s">
        <v>569</v>
      </c>
      <c r="C310">
        <v>166513</v>
      </c>
      <c r="D310">
        <v>31700</v>
      </c>
      <c r="E310">
        <v>0</v>
      </c>
      <c r="F310">
        <v>1548</v>
      </c>
      <c r="G310">
        <v>1791</v>
      </c>
      <c r="H310">
        <v>2172</v>
      </c>
      <c r="I310">
        <v>2934</v>
      </c>
      <c r="J310">
        <v>1064</v>
      </c>
      <c r="K310">
        <v>482</v>
      </c>
      <c r="L310">
        <v>60</v>
      </c>
      <c r="M310">
        <v>1634</v>
      </c>
      <c r="N310">
        <v>1526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E311">
        <v>2148</v>
      </c>
      <c r="F311">
        <v>2881</v>
      </c>
      <c r="G311">
        <v>3843</v>
      </c>
      <c r="H311">
        <v>1669</v>
      </c>
      <c r="I311">
        <v>2526</v>
      </c>
      <c r="J311">
        <v>4154</v>
      </c>
      <c r="K311">
        <v>1314</v>
      </c>
      <c r="L311">
        <v>335</v>
      </c>
      <c r="M311">
        <v>3644</v>
      </c>
      <c r="N311">
        <v>2757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 t="s">
        <v>236</v>
      </c>
      <c r="B323" t="s">
        <v>236</v>
      </c>
      <c r="C323">
        <v>230737</v>
      </c>
      <c r="D323">
        <v>39340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E328">
        <v>2245</v>
      </c>
      <c r="F328">
        <v>1387</v>
      </c>
      <c r="G328">
        <v>1745</v>
      </c>
      <c r="H328">
        <v>1475</v>
      </c>
      <c r="I328">
        <v>2470</v>
      </c>
      <c r="J328">
        <v>1982</v>
      </c>
      <c r="K328">
        <v>1672</v>
      </c>
      <c r="L328">
        <v>787</v>
      </c>
      <c r="M328">
        <v>2302</v>
      </c>
      <c r="N328">
        <v>3627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E329">
        <v>0</v>
      </c>
      <c r="F329">
        <v>0</v>
      </c>
      <c r="G329">
        <v>2851</v>
      </c>
      <c r="H329">
        <v>2642</v>
      </c>
      <c r="I329">
        <v>2012</v>
      </c>
      <c r="J329">
        <v>3567</v>
      </c>
      <c r="K329">
        <v>641</v>
      </c>
      <c r="L329">
        <v>400</v>
      </c>
      <c r="M329">
        <v>1222</v>
      </c>
      <c r="N329">
        <v>1817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E330">
        <v>1251</v>
      </c>
      <c r="F330">
        <v>1429</v>
      </c>
      <c r="G330">
        <v>1097</v>
      </c>
      <c r="H330">
        <v>926</v>
      </c>
      <c r="I330">
        <v>977</v>
      </c>
      <c r="J330">
        <v>963</v>
      </c>
      <c r="K330">
        <v>231</v>
      </c>
      <c r="L330">
        <v>210</v>
      </c>
      <c r="M330">
        <v>1148</v>
      </c>
      <c r="N330">
        <v>1819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E331">
        <v>1761</v>
      </c>
      <c r="F331">
        <v>1796</v>
      </c>
      <c r="G331">
        <v>2014</v>
      </c>
      <c r="H331">
        <v>1768</v>
      </c>
      <c r="I331">
        <v>1345</v>
      </c>
      <c r="J331">
        <v>1764</v>
      </c>
      <c r="K331">
        <v>500</v>
      </c>
      <c r="L331">
        <v>478</v>
      </c>
      <c r="M331">
        <v>1737</v>
      </c>
      <c r="N331">
        <v>3371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E332">
        <v>4732</v>
      </c>
      <c r="F332">
        <v>5411</v>
      </c>
      <c r="G332">
        <v>3731</v>
      </c>
      <c r="H332">
        <v>5844</v>
      </c>
      <c r="I332">
        <v>5148</v>
      </c>
      <c r="J332">
        <v>6141</v>
      </c>
      <c r="K332">
        <v>1355</v>
      </c>
      <c r="L332">
        <v>1756</v>
      </c>
      <c r="M332">
        <v>6345</v>
      </c>
      <c r="N332">
        <v>4659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E333">
        <v>2087</v>
      </c>
      <c r="F333">
        <v>1389</v>
      </c>
      <c r="G333">
        <v>2190</v>
      </c>
      <c r="H333">
        <v>2468</v>
      </c>
      <c r="I333">
        <v>3142</v>
      </c>
      <c r="J333">
        <v>2879</v>
      </c>
      <c r="K333">
        <v>3397</v>
      </c>
      <c r="L333">
        <v>2050</v>
      </c>
      <c r="M333">
        <v>3002</v>
      </c>
      <c r="N333">
        <v>3053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E335">
        <v>945</v>
      </c>
      <c r="F335">
        <v>2559</v>
      </c>
      <c r="G335">
        <v>1572</v>
      </c>
      <c r="H335">
        <v>1850</v>
      </c>
      <c r="I335">
        <v>2633</v>
      </c>
      <c r="J335">
        <v>1894</v>
      </c>
      <c r="K335">
        <v>2297</v>
      </c>
      <c r="L335">
        <v>345</v>
      </c>
      <c r="M335">
        <v>1550</v>
      </c>
      <c r="N335">
        <v>2360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E346">
        <v>1977</v>
      </c>
      <c r="F346">
        <v>1431</v>
      </c>
      <c r="G346">
        <v>1665</v>
      </c>
      <c r="H346">
        <v>2100</v>
      </c>
      <c r="I346">
        <v>1656</v>
      </c>
      <c r="J346">
        <v>1115</v>
      </c>
      <c r="K346">
        <v>1128</v>
      </c>
      <c r="L346">
        <v>555</v>
      </c>
      <c r="M346">
        <v>2237</v>
      </c>
      <c r="N346">
        <v>1885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E347">
        <v>1134</v>
      </c>
      <c r="F347">
        <v>1500</v>
      </c>
      <c r="G347">
        <v>1848</v>
      </c>
      <c r="H347">
        <v>1104</v>
      </c>
      <c r="I347">
        <v>1206</v>
      </c>
      <c r="J347">
        <v>1001</v>
      </c>
      <c r="K347">
        <v>378</v>
      </c>
      <c r="L347">
        <v>370</v>
      </c>
      <c r="M347">
        <v>442</v>
      </c>
      <c r="N347">
        <v>546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E349">
        <v>0</v>
      </c>
      <c r="F349">
        <v>0</v>
      </c>
      <c r="G349">
        <v>0</v>
      </c>
      <c r="H349">
        <v>0</v>
      </c>
      <c r="I349">
        <v>1223</v>
      </c>
      <c r="J349">
        <v>1087</v>
      </c>
      <c r="K349">
        <v>434</v>
      </c>
      <c r="L349">
        <v>462</v>
      </c>
      <c r="M349">
        <v>1494</v>
      </c>
      <c r="N349">
        <v>1389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1560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E353">
        <v>2717</v>
      </c>
      <c r="F353">
        <v>2245</v>
      </c>
      <c r="G353">
        <v>2772</v>
      </c>
      <c r="H353">
        <v>2207</v>
      </c>
      <c r="I353">
        <v>3299</v>
      </c>
      <c r="J353">
        <v>1974</v>
      </c>
      <c r="K353">
        <v>643</v>
      </c>
      <c r="L353">
        <v>0</v>
      </c>
      <c r="M353">
        <v>2580</v>
      </c>
      <c r="N353">
        <v>1564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389</v>
      </c>
      <c r="M354">
        <v>1519</v>
      </c>
      <c r="N354">
        <v>1730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0753-2A8A-45BA-AFAF-ED16BB1F26BD}">
  <sheetPr>
    <tabColor theme="4"/>
  </sheetPr>
  <dimension ref="A1:O354"/>
  <sheetViews>
    <sheetView workbookViewId="0">
      <selection activeCell="H12" sqref="H12"/>
    </sheetView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0</v>
      </c>
      <c r="F2">
        <v>0</v>
      </c>
      <c r="G2">
        <v>3381</v>
      </c>
      <c r="H2">
        <v>3583</v>
      </c>
      <c r="I2">
        <v>3285</v>
      </c>
      <c r="J2">
        <v>3346</v>
      </c>
      <c r="K2">
        <v>722</v>
      </c>
      <c r="L2">
        <v>2944</v>
      </c>
      <c r="M2">
        <v>2682</v>
      </c>
      <c r="N2">
        <v>2461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0</v>
      </c>
      <c r="F3">
        <v>0</v>
      </c>
      <c r="G3">
        <v>4619</v>
      </c>
      <c r="H3">
        <v>4208</v>
      </c>
      <c r="I3">
        <v>5300</v>
      </c>
      <c r="J3">
        <v>5390</v>
      </c>
      <c r="K3">
        <v>286</v>
      </c>
      <c r="L3">
        <v>3352</v>
      </c>
      <c r="M3">
        <v>2133</v>
      </c>
      <c r="N3">
        <v>5303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0</v>
      </c>
      <c r="F5">
        <v>0</v>
      </c>
      <c r="G5">
        <v>3390</v>
      </c>
      <c r="H5">
        <v>3915</v>
      </c>
      <c r="I5">
        <v>1513</v>
      </c>
      <c r="J5">
        <v>2454</v>
      </c>
      <c r="K5">
        <v>0</v>
      </c>
      <c r="L5">
        <v>959</v>
      </c>
      <c r="M5">
        <v>767</v>
      </c>
      <c r="N5">
        <v>2381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0</v>
      </c>
      <c r="F6">
        <v>0</v>
      </c>
      <c r="G6">
        <v>77627</v>
      </c>
      <c r="H6">
        <v>79218</v>
      </c>
      <c r="I6">
        <v>71035</v>
      </c>
      <c r="J6">
        <v>81423</v>
      </c>
      <c r="K6">
        <v>45048</v>
      </c>
      <c r="L6">
        <v>61991</v>
      </c>
      <c r="M6">
        <v>114680</v>
      </c>
      <c r="N6">
        <v>127270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0</v>
      </c>
      <c r="F7">
        <v>0</v>
      </c>
      <c r="G7">
        <v>470</v>
      </c>
      <c r="H7">
        <v>1182</v>
      </c>
      <c r="I7">
        <v>649</v>
      </c>
      <c r="J7">
        <v>1163</v>
      </c>
      <c r="K7">
        <v>0</v>
      </c>
      <c r="L7">
        <v>527</v>
      </c>
      <c r="M7">
        <v>632</v>
      </c>
      <c r="N7">
        <v>840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0</v>
      </c>
      <c r="F8">
        <v>0</v>
      </c>
      <c r="G8">
        <v>2172</v>
      </c>
      <c r="H8">
        <v>6612</v>
      </c>
      <c r="I8">
        <v>4899</v>
      </c>
      <c r="J8">
        <v>4120</v>
      </c>
      <c r="K8">
        <v>1063</v>
      </c>
      <c r="L8">
        <v>1393</v>
      </c>
      <c r="M8">
        <v>3696</v>
      </c>
      <c r="N8">
        <v>3946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0</v>
      </c>
      <c r="F9">
        <v>0</v>
      </c>
      <c r="G9">
        <v>776</v>
      </c>
      <c r="H9">
        <v>1967</v>
      </c>
      <c r="I9">
        <v>1321</v>
      </c>
      <c r="J9">
        <v>1771</v>
      </c>
      <c r="K9">
        <v>0</v>
      </c>
      <c r="L9">
        <v>588</v>
      </c>
      <c r="M9">
        <v>2265</v>
      </c>
      <c r="N9">
        <v>1486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0</v>
      </c>
      <c r="F11">
        <v>0</v>
      </c>
      <c r="G11">
        <v>1827</v>
      </c>
      <c r="H11">
        <v>1419</v>
      </c>
      <c r="I11">
        <v>2140</v>
      </c>
      <c r="J11">
        <v>2471</v>
      </c>
      <c r="K11">
        <v>0</v>
      </c>
      <c r="L11">
        <v>800</v>
      </c>
      <c r="M11">
        <v>3029</v>
      </c>
      <c r="N11">
        <v>3433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0</v>
      </c>
      <c r="F12">
        <v>0</v>
      </c>
      <c r="G12">
        <v>50119</v>
      </c>
      <c r="H12">
        <v>66402</v>
      </c>
      <c r="I12">
        <v>57769</v>
      </c>
      <c r="J12">
        <v>72405</v>
      </c>
      <c r="K12">
        <v>18456</v>
      </c>
      <c r="L12">
        <v>6217</v>
      </c>
      <c r="M12">
        <v>74028</v>
      </c>
      <c r="N12">
        <v>64168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0</v>
      </c>
      <c r="F13">
        <v>0</v>
      </c>
      <c r="G13">
        <v>42431</v>
      </c>
      <c r="H13">
        <v>32042</v>
      </c>
      <c r="I13">
        <v>48027</v>
      </c>
      <c r="J13">
        <v>39120</v>
      </c>
      <c r="K13">
        <v>16943</v>
      </c>
      <c r="L13">
        <v>13276</v>
      </c>
      <c r="M13">
        <v>39428</v>
      </c>
      <c r="N13">
        <v>36175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0</v>
      </c>
      <c r="F14">
        <v>0</v>
      </c>
      <c r="G14">
        <v>902</v>
      </c>
      <c r="H14">
        <v>815</v>
      </c>
      <c r="I14">
        <v>906</v>
      </c>
      <c r="J14">
        <v>842</v>
      </c>
      <c r="K14">
        <v>50</v>
      </c>
      <c r="L14">
        <v>702</v>
      </c>
      <c r="M14">
        <v>1547</v>
      </c>
      <c r="N14">
        <v>2363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0</v>
      </c>
      <c r="F15">
        <v>0</v>
      </c>
      <c r="G15">
        <v>14908</v>
      </c>
      <c r="H15">
        <v>14916</v>
      </c>
      <c r="I15">
        <v>25023</v>
      </c>
      <c r="J15">
        <v>17539</v>
      </c>
      <c r="K15">
        <v>9471</v>
      </c>
      <c r="L15">
        <v>31602</v>
      </c>
      <c r="M15">
        <v>64492</v>
      </c>
      <c r="N15">
        <v>96725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v>0</v>
      </c>
      <c r="F17">
        <v>0</v>
      </c>
      <c r="G17">
        <v>1141</v>
      </c>
      <c r="H17">
        <v>927</v>
      </c>
      <c r="I17">
        <v>1608</v>
      </c>
      <c r="J17">
        <v>1800</v>
      </c>
      <c r="K17">
        <v>0</v>
      </c>
      <c r="L17">
        <v>229</v>
      </c>
      <c r="M17">
        <v>851</v>
      </c>
      <c r="N17">
        <v>1941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v>0</v>
      </c>
      <c r="F18">
        <v>0</v>
      </c>
      <c r="G18">
        <v>70065</v>
      </c>
      <c r="H18">
        <v>78563</v>
      </c>
      <c r="I18">
        <v>63324</v>
      </c>
      <c r="J18">
        <v>59244</v>
      </c>
      <c r="K18">
        <v>20689</v>
      </c>
      <c r="L18">
        <v>12334</v>
      </c>
      <c r="M18">
        <v>51989</v>
      </c>
      <c r="N18">
        <v>53872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v>0</v>
      </c>
      <c r="F19">
        <v>0</v>
      </c>
      <c r="G19">
        <v>1390</v>
      </c>
      <c r="H19">
        <v>845</v>
      </c>
      <c r="I19">
        <v>1380</v>
      </c>
      <c r="J19">
        <v>1020</v>
      </c>
      <c r="K19">
        <v>674</v>
      </c>
      <c r="L19">
        <v>1542</v>
      </c>
      <c r="M19">
        <v>2755</v>
      </c>
      <c r="N19">
        <v>2538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v>0</v>
      </c>
      <c r="F20">
        <v>0</v>
      </c>
      <c r="G20">
        <v>1234</v>
      </c>
      <c r="H20">
        <v>1794</v>
      </c>
      <c r="I20">
        <v>964</v>
      </c>
      <c r="J20">
        <v>1567</v>
      </c>
      <c r="K20">
        <v>0</v>
      </c>
      <c r="L20">
        <v>0</v>
      </c>
      <c r="M20">
        <v>1758</v>
      </c>
      <c r="N20">
        <v>2380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v>0</v>
      </c>
      <c r="F21">
        <v>0</v>
      </c>
      <c r="G21">
        <v>28636</v>
      </c>
      <c r="H21">
        <v>28067</v>
      </c>
      <c r="I21">
        <v>15883</v>
      </c>
      <c r="J21">
        <v>25769</v>
      </c>
      <c r="K21">
        <v>3840</v>
      </c>
      <c r="L21">
        <v>7210</v>
      </c>
      <c r="M21">
        <v>17588</v>
      </c>
      <c r="N21">
        <v>20629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v>0</v>
      </c>
      <c r="F22">
        <v>0</v>
      </c>
      <c r="G22">
        <v>2227</v>
      </c>
      <c r="H22">
        <v>3386</v>
      </c>
      <c r="I22">
        <v>2817</v>
      </c>
      <c r="J22">
        <v>1837</v>
      </c>
      <c r="K22">
        <v>622</v>
      </c>
      <c r="L22">
        <v>1072</v>
      </c>
      <c r="M22">
        <v>1456</v>
      </c>
      <c r="N22">
        <v>1058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v>0</v>
      </c>
      <c r="F23">
        <v>0</v>
      </c>
      <c r="G23">
        <v>2149</v>
      </c>
      <c r="H23">
        <v>1770</v>
      </c>
      <c r="I23">
        <v>1515</v>
      </c>
      <c r="J23">
        <v>1872</v>
      </c>
      <c r="K23">
        <v>404</v>
      </c>
      <c r="L23">
        <v>0</v>
      </c>
      <c r="M23">
        <v>1159</v>
      </c>
      <c r="N23">
        <v>1726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v>0</v>
      </c>
      <c r="F24">
        <v>0</v>
      </c>
      <c r="G24">
        <v>2640</v>
      </c>
      <c r="H24">
        <v>2932</v>
      </c>
      <c r="I24">
        <v>1650</v>
      </c>
      <c r="J24">
        <v>2942</v>
      </c>
      <c r="K24">
        <v>0</v>
      </c>
      <c r="L24">
        <v>0</v>
      </c>
      <c r="M24">
        <v>2511</v>
      </c>
      <c r="N24">
        <v>3957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v>0</v>
      </c>
      <c r="F25">
        <v>0</v>
      </c>
      <c r="G25">
        <v>2846</v>
      </c>
      <c r="H25">
        <v>3013</v>
      </c>
      <c r="I25">
        <v>3422</v>
      </c>
      <c r="J25">
        <v>6681</v>
      </c>
      <c r="K25">
        <v>0</v>
      </c>
      <c r="L25">
        <v>2424</v>
      </c>
      <c r="M25">
        <v>4922</v>
      </c>
      <c r="N25">
        <v>7518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v>0</v>
      </c>
      <c r="F26">
        <v>0</v>
      </c>
      <c r="G26">
        <v>1387</v>
      </c>
      <c r="H26">
        <v>3538</v>
      </c>
      <c r="I26">
        <v>4964</v>
      </c>
      <c r="J26">
        <v>2972</v>
      </c>
      <c r="K26">
        <v>0</v>
      </c>
      <c r="L26">
        <v>445</v>
      </c>
      <c r="M26">
        <v>2934</v>
      </c>
      <c r="N26">
        <v>4616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v>0</v>
      </c>
      <c r="F27">
        <v>0</v>
      </c>
      <c r="G27">
        <v>677</v>
      </c>
      <c r="H27">
        <v>763</v>
      </c>
      <c r="I27">
        <v>941</v>
      </c>
      <c r="J27">
        <v>1578</v>
      </c>
      <c r="K27">
        <v>0</v>
      </c>
      <c r="L27">
        <v>0</v>
      </c>
      <c r="M27">
        <v>1900</v>
      </c>
      <c r="N27">
        <v>1859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v>0</v>
      </c>
      <c r="F28">
        <v>0</v>
      </c>
      <c r="G28">
        <v>3415</v>
      </c>
      <c r="H28">
        <v>2235</v>
      </c>
      <c r="I28">
        <v>3659</v>
      </c>
      <c r="J28">
        <v>1873</v>
      </c>
      <c r="K28">
        <v>140</v>
      </c>
      <c r="L28">
        <v>2325</v>
      </c>
      <c r="M28">
        <v>2887</v>
      </c>
      <c r="N28">
        <v>2486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v>0</v>
      </c>
      <c r="F29">
        <v>0</v>
      </c>
      <c r="G29">
        <v>1225</v>
      </c>
      <c r="H29">
        <v>2050</v>
      </c>
      <c r="I29">
        <v>3117</v>
      </c>
      <c r="J29">
        <v>1466</v>
      </c>
      <c r="K29">
        <v>0</v>
      </c>
      <c r="L29">
        <v>533</v>
      </c>
      <c r="M29">
        <v>1367</v>
      </c>
      <c r="N29">
        <v>1141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v>0</v>
      </c>
      <c r="F30">
        <v>0</v>
      </c>
      <c r="G30">
        <v>1401</v>
      </c>
      <c r="H30">
        <v>2131</v>
      </c>
      <c r="I30">
        <v>1304</v>
      </c>
      <c r="J30">
        <v>1909</v>
      </c>
      <c r="K30">
        <v>0</v>
      </c>
      <c r="L30">
        <v>0</v>
      </c>
      <c r="M30">
        <v>2075</v>
      </c>
      <c r="N30">
        <v>1612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v>0</v>
      </c>
      <c r="F31">
        <v>0</v>
      </c>
      <c r="G31">
        <v>2249</v>
      </c>
      <c r="H31">
        <v>2335</v>
      </c>
      <c r="I31">
        <v>2351</v>
      </c>
      <c r="J31">
        <v>1325</v>
      </c>
      <c r="K31">
        <v>0</v>
      </c>
      <c r="L31">
        <v>224</v>
      </c>
      <c r="M31">
        <v>0</v>
      </c>
      <c r="N31">
        <v>1000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v>0</v>
      </c>
      <c r="F32">
        <v>0</v>
      </c>
      <c r="G32">
        <v>1102</v>
      </c>
      <c r="H32">
        <v>993</v>
      </c>
      <c r="I32">
        <v>1695</v>
      </c>
      <c r="J32">
        <v>1704</v>
      </c>
      <c r="K32">
        <v>0</v>
      </c>
      <c r="L32">
        <v>523</v>
      </c>
      <c r="M32">
        <v>1187</v>
      </c>
      <c r="N32">
        <v>1253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v>0</v>
      </c>
      <c r="F33">
        <v>0</v>
      </c>
      <c r="G33">
        <v>1450</v>
      </c>
      <c r="H33">
        <v>781</v>
      </c>
      <c r="I33">
        <v>1597</v>
      </c>
      <c r="J33">
        <v>1001</v>
      </c>
      <c r="K33">
        <v>224</v>
      </c>
      <c r="L33">
        <v>0</v>
      </c>
      <c r="M33">
        <v>1038</v>
      </c>
      <c r="N33">
        <v>895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v>0</v>
      </c>
      <c r="F34">
        <v>0</v>
      </c>
      <c r="G34">
        <v>2732</v>
      </c>
      <c r="H34">
        <v>1851</v>
      </c>
      <c r="I34">
        <v>1477</v>
      </c>
      <c r="J34">
        <v>1852</v>
      </c>
      <c r="K34">
        <v>0</v>
      </c>
      <c r="L34">
        <v>1179</v>
      </c>
      <c r="M34">
        <v>2266</v>
      </c>
      <c r="N34">
        <v>3185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v>0</v>
      </c>
      <c r="F35">
        <v>0</v>
      </c>
      <c r="G35">
        <v>11428</v>
      </c>
      <c r="H35">
        <v>13379</v>
      </c>
      <c r="I35">
        <v>8823</v>
      </c>
      <c r="J35">
        <v>6269</v>
      </c>
      <c r="K35">
        <v>0</v>
      </c>
      <c r="L35">
        <v>5182</v>
      </c>
      <c r="M35">
        <v>7548</v>
      </c>
      <c r="N35">
        <v>7426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v>0</v>
      </c>
      <c r="F36">
        <v>0</v>
      </c>
      <c r="G36">
        <v>5061</v>
      </c>
      <c r="H36">
        <v>5397</v>
      </c>
      <c r="I36">
        <v>4953</v>
      </c>
      <c r="J36">
        <v>3964</v>
      </c>
      <c r="K36">
        <v>0</v>
      </c>
      <c r="L36">
        <v>2000</v>
      </c>
      <c r="M36">
        <v>7005</v>
      </c>
      <c r="N36">
        <v>12422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v>0</v>
      </c>
      <c r="F37">
        <v>0</v>
      </c>
      <c r="G37">
        <v>16454</v>
      </c>
      <c r="H37">
        <v>10423</v>
      </c>
      <c r="I37">
        <v>15697</v>
      </c>
      <c r="J37">
        <v>11816</v>
      </c>
      <c r="K37">
        <v>8513</v>
      </c>
      <c r="L37">
        <v>1628</v>
      </c>
      <c r="M37">
        <v>13029</v>
      </c>
      <c r="N37">
        <v>13227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v>0</v>
      </c>
      <c r="F38">
        <v>0</v>
      </c>
      <c r="G38">
        <v>7514</v>
      </c>
      <c r="H38">
        <v>4129</v>
      </c>
      <c r="I38">
        <v>6348</v>
      </c>
      <c r="J38">
        <v>6252</v>
      </c>
      <c r="K38">
        <v>0</v>
      </c>
      <c r="L38">
        <v>0</v>
      </c>
      <c r="M38">
        <v>8614</v>
      </c>
      <c r="N38">
        <v>7797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4888</v>
      </c>
      <c r="K39">
        <v>579</v>
      </c>
      <c r="L39">
        <v>1157</v>
      </c>
      <c r="M39">
        <v>8245</v>
      </c>
      <c r="N39">
        <v>8810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v>0</v>
      </c>
      <c r="F40">
        <v>0</v>
      </c>
      <c r="G40">
        <v>2905</v>
      </c>
      <c r="H40">
        <v>5262</v>
      </c>
      <c r="I40">
        <v>5185</v>
      </c>
      <c r="J40">
        <v>3723</v>
      </c>
      <c r="K40">
        <v>1016</v>
      </c>
      <c r="L40">
        <v>458</v>
      </c>
      <c r="M40">
        <v>4155</v>
      </c>
      <c r="N40">
        <v>3573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v>0</v>
      </c>
      <c r="F41">
        <v>0</v>
      </c>
      <c r="G41">
        <v>1524</v>
      </c>
      <c r="H41">
        <v>1681</v>
      </c>
      <c r="I41">
        <v>1017</v>
      </c>
      <c r="J41">
        <v>2065</v>
      </c>
      <c r="K41">
        <v>85</v>
      </c>
      <c r="L41">
        <v>1047</v>
      </c>
      <c r="M41">
        <v>3013</v>
      </c>
      <c r="N41">
        <v>4162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v>0</v>
      </c>
      <c r="F42">
        <v>0</v>
      </c>
      <c r="G42">
        <v>5672</v>
      </c>
      <c r="H42">
        <v>5792</v>
      </c>
      <c r="I42">
        <v>6965</v>
      </c>
      <c r="J42">
        <v>7658</v>
      </c>
      <c r="K42">
        <v>3205</v>
      </c>
      <c r="L42">
        <v>4022</v>
      </c>
      <c r="M42">
        <v>6208</v>
      </c>
      <c r="N42">
        <v>10396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v>0</v>
      </c>
      <c r="F43">
        <v>0</v>
      </c>
      <c r="G43">
        <v>2876</v>
      </c>
      <c r="H43">
        <v>1589</v>
      </c>
      <c r="I43">
        <v>2532</v>
      </c>
      <c r="J43">
        <v>1220</v>
      </c>
      <c r="K43">
        <v>0</v>
      </c>
      <c r="L43">
        <v>0</v>
      </c>
      <c r="M43">
        <v>800</v>
      </c>
      <c r="N43">
        <v>627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v>0</v>
      </c>
      <c r="F44">
        <v>0</v>
      </c>
      <c r="G44">
        <v>2152</v>
      </c>
      <c r="H44">
        <v>2902</v>
      </c>
      <c r="I44">
        <v>1567</v>
      </c>
      <c r="J44">
        <v>2943</v>
      </c>
      <c r="K44">
        <v>0</v>
      </c>
      <c r="L44">
        <v>1500</v>
      </c>
      <c r="M44">
        <v>2446</v>
      </c>
      <c r="N44">
        <v>2794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v>0</v>
      </c>
      <c r="F45">
        <v>0</v>
      </c>
      <c r="G45">
        <v>2732</v>
      </c>
      <c r="H45">
        <v>1834</v>
      </c>
      <c r="I45">
        <v>2349</v>
      </c>
      <c r="J45">
        <v>2528</v>
      </c>
      <c r="K45">
        <v>378</v>
      </c>
      <c r="L45">
        <v>1169</v>
      </c>
      <c r="M45">
        <v>3873</v>
      </c>
      <c r="N45">
        <v>3597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v>0</v>
      </c>
      <c r="F46">
        <v>0</v>
      </c>
      <c r="G46">
        <v>3203</v>
      </c>
      <c r="H46">
        <v>5557</v>
      </c>
      <c r="I46">
        <v>5243</v>
      </c>
      <c r="J46">
        <v>4983</v>
      </c>
      <c r="K46">
        <v>3279</v>
      </c>
      <c r="L46">
        <v>1122</v>
      </c>
      <c r="M46">
        <v>8509</v>
      </c>
      <c r="N46">
        <v>7463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v>0</v>
      </c>
      <c r="F47">
        <v>0</v>
      </c>
      <c r="G47">
        <v>6207</v>
      </c>
      <c r="H47">
        <v>5250</v>
      </c>
      <c r="I47">
        <v>9947</v>
      </c>
      <c r="J47">
        <v>5179</v>
      </c>
      <c r="K47">
        <v>3335</v>
      </c>
      <c r="L47">
        <v>4469</v>
      </c>
      <c r="M47">
        <v>8965</v>
      </c>
      <c r="N47">
        <v>4069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24860</v>
      </c>
      <c r="L50">
        <v>10452</v>
      </c>
      <c r="M50">
        <v>47296</v>
      </c>
      <c r="N50">
        <v>59691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v>0</v>
      </c>
      <c r="F51">
        <v>0</v>
      </c>
      <c r="G51">
        <v>1734</v>
      </c>
      <c r="H51">
        <v>895</v>
      </c>
      <c r="I51">
        <v>1490</v>
      </c>
      <c r="J51">
        <v>641</v>
      </c>
      <c r="K51">
        <v>60</v>
      </c>
      <c r="L51">
        <v>0</v>
      </c>
      <c r="M51">
        <v>1538</v>
      </c>
      <c r="N51">
        <v>790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v>0</v>
      </c>
      <c r="F52">
        <v>0</v>
      </c>
      <c r="G52">
        <v>5627</v>
      </c>
      <c r="H52">
        <v>10802</v>
      </c>
      <c r="I52">
        <v>5805</v>
      </c>
      <c r="J52">
        <v>7090</v>
      </c>
      <c r="K52">
        <v>5841</v>
      </c>
      <c r="L52">
        <v>2294</v>
      </c>
      <c r="M52">
        <v>7102</v>
      </c>
      <c r="N52">
        <v>8180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v>0</v>
      </c>
      <c r="F53">
        <v>0</v>
      </c>
      <c r="G53">
        <v>2813</v>
      </c>
      <c r="H53">
        <v>5016</v>
      </c>
      <c r="I53">
        <v>4948</v>
      </c>
      <c r="J53">
        <v>7020</v>
      </c>
      <c r="K53">
        <v>3653</v>
      </c>
      <c r="L53">
        <v>1200</v>
      </c>
      <c r="M53">
        <v>3720</v>
      </c>
      <c r="N53">
        <v>3820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v>0</v>
      </c>
      <c r="F54">
        <v>0</v>
      </c>
      <c r="G54">
        <v>1149</v>
      </c>
      <c r="H54">
        <v>1341</v>
      </c>
      <c r="I54">
        <v>1170</v>
      </c>
      <c r="J54">
        <v>875</v>
      </c>
      <c r="K54">
        <v>0</v>
      </c>
      <c r="L54">
        <v>0</v>
      </c>
      <c r="M54">
        <v>819</v>
      </c>
      <c r="N54">
        <v>737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v>0</v>
      </c>
      <c r="F56">
        <v>0</v>
      </c>
      <c r="G56">
        <v>1666</v>
      </c>
      <c r="H56">
        <v>3857</v>
      </c>
      <c r="I56">
        <v>3140</v>
      </c>
      <c r="J56">
        <v>11630</v>
      </c>
      <c r="K56">
        <v>2445</v>
      </c>
      <c r="L56">
        <v>690</v>
      </c>
      <c r="M56">
        <v>7907</v>
      </c>
      <c r="N56">
        <v>3751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v>0</v>
      </c>
      <c r="F57">
        <v>0</v>
      </c>
      <c r="G57">
        <v>1473</v>
      </c>
      <c r="H57">
        <v>1129</v>
      </c>
      <c r="I57">
        <v>853</v>
      </c>
      <c r="J57">
        <v>1493</v>
      </c>
      <c r="K57">
        <v>100</v>
      </c>
      <c r="L57">
        <v>0</v>
      </c>
      <c r="M57">
        <v>1261</v>
      </c>
      <c r="N57">
        <v>2190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v>0</v>
      </c>
      <c r="F58">
        <v>0</v>
      </c>
      <c r="G58">
        <v>701</v>
      </c>
      <c r="H58">
        <v>1419</v>
      </c>
      <c r="I58">
        <v>1333</v>
      </c>
      <c r="J58">
        <v>1188</v>
      </c>
      <c r="K58">
        <v>70</v>
      </c>
      <c r="L58">
        <v>1029</v>
      </c>
      <c r="M58">
        <v>1526</v>
      </c>
      <c r="N58">
        <v>1175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v>0</v>
      </c>
      <c r="F59">
        <v>0</v>
      </c>
      <c r="G59">
        <v>1470</v>
      </c>
      <c r="H59">
        <v>1972</v>
      </c>
      <c r="I59">
        <v>1090</v>
      </c>
      <c r="J59">
        <v>1650</v>
      </c>
      <c r="K59">
        <v>0</v>
      </c>
      <c r="L59">
        <v>0</v>
      </c>
      <c r="M59">
        <v>1279</v>
      </c>
      <c r="N59">
        <v>1107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v>0</v>
      </c>
      <c r="F60">
        <v>0</v>
      </c>
      <c r="G60">
        <v>2363</v>
      </c>
      <c r="H60">
        <v>2129</v>
      </c>
      <c r="I60">
        <v>2669</v>
      </c>
      <c r="J60">
        <v>2801</v>
      </c>
      <c r="K60">
        <v>0</v>
      </c>
      <c r="L60">
        <v>898</v>
      </c>
      <c r="M60">
        <v>1347</v>
      </c>
      <c r="N60">
        <v>1609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v>0</v>
      </c>
      <c r="F61">
        <v>0</v>
      </c>
      <c r="G61">
        <v>2831</v>
      </c>
      <c r="H61">
        <v>2652</v>
      </c>
      <c r="I61">
        <v>2356</v>
      </c>
      <c r="J61">
        <v>2409</v>
      </c>
      <c r="K61">
        <v>0</v>
      </c>
      <c r="L61">
        <v>0</v>
      </c>
      <c r="M61">
        <v>3744</v>
      </c>
      <c r="N61">
        <v>3114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v>0</v>
      </c>
      <c r="F62">
        <v>0</v>
      </c>
      <c r="G62">
        <v>6066</v>
      </c>
      <c r="H62">
        <v>4818</v>
      </c>
      <c r="I62">
        <v>5465</v>
      </c>
      <c r="J62">
        <v>5254</v>
      </c>
      <c r="K62">
        <v>165</v>
      </c>
      <c r="L62">
        <v>190</v>
      </c>
      <c r="M62">
        <v>3005</v>
      </c>
      <c r="N62">
        <v>3348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v>0</v>
      </c>
      <c r="F63">
        <v>0</v>
      </c>
      <c r="G63">
        <v>1224</v>
      </c>
      <c r="H63">
        <v>1257</v>
      </c>
      <c r="I63">
        <v>526</v>
      </c>
      <c r="J63">
        <v>913</v>
      </c>
      <c r="K63">
        <v>0</v>
      </c>
      <c r="L63">
        <v>0</v>
      </c>
      <c r="M63">
        <v>1283</v>
      </c>
      <c r="N63">
        <v>593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v>0</v>
      </c>
      <c r="F65">
        <v>0</v>
      </c>
      <c r="G65">
        <v>3139</v>
      </c>
      <c r="H65">
        <v>3480</v>
      </c>
      <c r="I65">
        <v>2069</v>
      </c>
      <c r="J65">
        <v>1766</v>
      </c>
      <c r="K65">
        <v>0</v>
      </c>
      <c r="L65">
        <v>881</v>
      </c>
      <c r="M65">
        <v>2206</v>
      </c>
      <c r="N65">
        <v>2330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v>0</v>
      </c>
      <c r="F66">
        <v>0</v>
      </c>
      <c r="G66">
        <v>3815</v>
      </c>
      <c r="H66">
        <v>2935</v>
      </c>
      <c r="I66">
        <v>3120</v>
      </c>
      <c r="J66">
        <v>2905</v>
      </c>
      <c r="K66">
        <v>0</v>
      </c>
      <c r="L66">
        <v>745</v>
      </c>
      <c r="M66">
        <v>3891</v>
      </c>
      <c r="N66">
        <v>3620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v>0</v>
      </c>
      <c r="F67">
        <v>0</v>
      </c>
      <c r="G67">
        <v>867</v>
      </c>
      <c r="H67">
        <v>1044</v>
      </c>
      <c r="I67">
        <v>871</v>
      </c>
      <c r="J67">
        <v>951</v>
      </c>
      <c r="K67">
        <v>0</v>
      </c>
      <c r="L67">
        <v>0</v>
      </c>
      <c r="M67">
        <v>914</v>
      </c>
      <c r="N67">
        <v>1854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v>0</v>
      </c>
      <c r="F69">
        <v>0</v>
      </c>
      <c r="G69">
        <v>3008</v>
      </c>
      <c r="H69">
        <v>3019</v>
      </c>
      <c r="I69">
        <v>3496</v>
      </c>
      <c r="J69">
        <v>1025</v>
      </c>
      <c r="K69">
        <v>0</v>
      </c>
      <c r="L69">
        <v>480</v>
      </c>
      <c r="M69">
        <v>3106</v>
      </c>
      <c r="N69">
        <v>3770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v>0</v>
      </c>
      <c r="F70">
        <v>0</v>
      </c>
      <c r="G70">
        <v>1386</v>
      </c>
      <c r="H70">
        <v>1579</v>
      </c>
      <c r="I70">
        <v>1265</v>
      </c>
      <c r="J70">
        <v>2020</v>
      </c>
      <c r="K70">
        <v>0</v>
      </c>
      <c r="L70">
        <v>0</v>
      </c>
      <c r="M70">
        <v>1723</v>
      </c>
      <c r="N70">
        <v>1370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v>0</v>
      </c>
      <c r="F71">
        <v>0</v>
      </c>
      <c r="G71">
        <v>1693</v>
      </c>
      <c r="H71">
        <v>1740</v>
      </c>
      <c r="I71">
        <v>2267</v>
      </c>
      <c r="J71">
        <v>2684</v>
      </c>
      <c r="K71">
        <v>0</v>
      </c>
      <c r="L71">
        <v>1010</v>
      </c>
      <c r="M71">
        <v>3012</v>
      </c>
      <c r="N71">
        <v>2934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v>0</v>
      </c>
      <c r="F72">
        <v>0</v>
      </c>
      <c r="G72">
        <v>825</v>
      </c>
      <c r="H72">
        <v>792</v>
      </c>
      <c r="I72">
        <v>2304</v>
      </c>
      <c r="J72">
        <v>1329</v>
      </c>
      <c r="K72">
        <v>0</v>
      </c>
      <c r="L72">
        <v>620</v>
      </c>
      <c r="M72">
        <v>789</v>
      </c>
      <c r="N72">
        <v>1143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v>0</v>
      </c>
      <c r="F73">
        <v>0</v>
      </c>
      <c r="G73">
        <v>0</v>
      </c>
      <c r="H73">
        <v>0</v>
      </c>
      <c r="I73">
        <v>10348</v>
      </c>
      <c r="J73">
        <v>7861</v>
      </c>
      <c r="K73">
        <v>2983</v>
      </c>
      <c r="L73">
        <v>0</v>
      </c>
      <c r="M73">
        <v>7408</v>
      </c>
      <c r="N73">
        <v>10178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v>0</v>
      </c>
      <c r="F75">
        <v>0</v>
      </c>
      <c r="G75">
        <v>8361</v>
      </c>
      <c r="H75">
        <v>10383</v>
      </c>
      <c r="I75">
        <v>6187</v>
      </c>
      <c r="J75">
        <v>6041</v>
      </c>
      <c r="K75">
        <v>960</v>
      </c>
      <c r="L75">
        <v>2282</v>
      </c>
      <c r="M75">
        <v>7252</v>
      </c>
      <c r="N75">
        <v>3118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v>0</v>
      </c>
      <c r="F76">
        <v>0</v>
      </c>
      <c r="G76">
        <v>1241</v>
      </c>
      <c r="H76">
        <v>1082</v>
      </c>
      <c r="I76">
        <v>1489</v>
      </c>
      <c r="J76">
        <v>1356</v>
      </c>
      <c r="K76">
        <v>0</v>
      </c>
      <c r="L76">
        <v>1900</v>
      </c>
      <c r="M76">
        <v>2954</v>
      </c>
      <c r="N76">
        <v>2105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v>0</v>
      </c>
      <c r="F77">
        <v>0</v>
      </c>
      <c r="G77">
        <v>4324</v>
      </c>
      <c r="H77">
        <v>2850</v>
      </c>
      <c r="I77">
        <v>3235</v>
      </c>
      <c r="J77">
        <v>2805</v>
      </c>
      <c r="K77">
        <v>455</v>
      </c>
      <c r="L77">
        <v>2120</v>
      </c>
      <c r="M77">
        <v>2861</v>
      </c>
      <c r="N77">
        <v>3664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v>0</v>
      </c>
      <c r="F78">
        <v>0</v>
      </c>
      <c r="G78">
        <v>2994</v>
      </c>
      <c r="H78">
        <v>2968</v>
      </c>
      <c r="I78">
        <v>1766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v>0</v>
      </c>
      <c r="F80">
        <v>0</v>
      </c>
      <c r="G80">
        <v>4357</v>
      </c>
      <c r="H80">
        <v>4771</v>
      </c>
      <c r="I80">
        <v>3378</v>
      </c>
      <c r="J80">
        <v>4066</v>
      </c>
      <c r="K80">
        <v>1698</v>
      </c>
      <c r="L80">
        <v>1083</v>
      </c>
      <c r="M80">
        <v>5716</v>
      </c>
      <c r="N80">
        <v>3809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v>0</v>
      </c>
      <c r="F81">
        <v>0</v>
      </c>
      <c r="G81">
        <v>2847</v>
      </c>
      <c r="H81">
        <v>4097</v>
      </c>
      <c r="I81">
        <v>2557</v>
      </c>
      <c r="J81">
        <v>2331</v>
      </c>
      <c r="K81">
        <v>625</v>
      </c>
      <c r="L81">
        <v>3532</v>
      </c>
      <c r="M81">
        <v>2549</v>
      </c>
      <c r="N81">
        <v>2430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v>0</v>
      </c>
      <c r="F82">
        <v>0</v>
      </c>
      <c r="G82">
        <v>3733</v>
      </c>
      <c r="H82">
        <v>5009</v>
      </c>
      <c r="I82">
        <v>2903</v>
      </c>
      <c r="J82">
        <v>3347</v>
      </c>
      <c r="K82">
        <v>131</v>
      </c>
      <c r="L82">
        <v>0</v>
      </c>
      <c r="M82">
        <v>4675</v>
      </c>
      <c r="N82">
        <v>6647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v>0</v>
      </c>
      <c r="F83">
        <v>0</v>
      </c>
      <c r="G83">
        <v>1282</v>
      </c>
      <c r="H83">
        <v>1255</v>
      </c>
      <c r="I83">
        <v>1343</v>
      </c>
      <c r="J83">
        <v>1226</v>
      </c>
      <c r="K83">
        <v>0</v>
      </c>
      <c r="L83">
        <v>0</v>
      </c>
      <c r="M83">
        <v>1444</v>
      </c>
      <c r="N83">
        <v>1873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v>0</v>
      </c>
      <c r="F84">
        <v>0</v>
      </c>
      <c r="G84">
        <v>995</v>
      </c>
      <c r="H84">
        <v>1185</v>
      </c>
      <c r="I84">
        <v>489</v>
      </c>
      <c r="J84">
        <v>834</v>
      </c>
      <c r="K84">
        <v>55</v>
      </c>
      <c r="L84">
        <v>355</v>
      </c>
      <c r="M84">
        <v>1784</v>
      </c>
      <c r="N84">
        <v>1440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v>0</v>
      </c>
      <c r="F85">
        <v>0</v>
      </c>
      <c r="G85">
        <v>7114</v>
      </c>
      <c r="H85">
        <v>5395</v>
      </c>
      <c r="I85">
        <v>4080</v>
      </c>
      <c r="J85">
        <v>5265</v>
      </c>
      <c r="K85">
        <v>3396</v>
      </c>
      <c r="L85">
        <v>2214</v>
      </c>
      <c r="M85">
        <v>6408</v>
      </c>
      <c r="N85">
        <v>6729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v>0</v>
      </c>
      <c r="F86">
        <v>0</v>
      </c>
      <c r="G86">
        <v>8485</v>
      </c>
      <c r="H86">
        <v>5709</v>
      </c>
      <c r="I86">
        <v>8013</v>
      </c>
      <c r="J86">
        <v>4002</v>
      </c>
      <c r="K86">
        <v>1699</v>
      </c>
      <c r="L86">
        <v>1759</v>
      </c>
      <c r="M86">
        <v>11377</v>
      </c>
      <c r="N86">
        <v>5407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v>0</v>
      </c>
      <c r="F87">
        <v>0</v>
      </c>
      <c r="G87">
        <v>13055</v>
      </c>
      <c r="H87">
        <v>9747</v>
      </c>
      <c r="I87">
        <v>12646</v>
      </c>
      <c r="J87">
        <v>11749</v>
      </c>
      <c r="K87">
        <v>3734</v>
      </c>
      <c r="L87">
        <v>1916</v>
      </c>
      <c r="M87">
        <v>10605</v>
      </c>
      <c r="N87">
        <v>7550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v>0</v>
      </c>
      <c r="F88">
        <v>0</v>
      </c>
      <c r="G88">
        <v>39963</v>
      </c>
      <c r="H88">
        <v>50954</v>
      </c>
      <c r="I88">
        <v>55608</v>
      </c>
      <c r="J88">
        <v>48915</v>
      </c>
      <c r="K88">
        <v>25851</v>
      </c>
      <c r="L88">
        <v>19871</v>
      </c>
      <c r="M88">
        <v>43632</v>
      </c>
      <c r="N88">
        <v>48051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v>0</v>
      </c>
      <c r="F89">
        <v>0</v>
      </c>
      <c r="G89">
        <v>1717</v>
      </c>
      <c r="H89">
        <v>1358</v>
      </c>
      <c r="I89">
        <v>2292</v>
      </c>
      <c r="J89">
        <v>921</v>
      </c>
      <c r="K89">
        <v>1696</v>
      </c>
      <c r="L89">
        <v>760</v>
      </c>
      <c r="M89">
        <v>2478</v>
      </c>
      <c r="N89">
        <v>3027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v>0</v>
      </c>
      <c r="F90">
        <v>0</v>
      </c>
      <c r="G90">
        <v>21417</v>
      </c>
      <c r="H90">
        <v>27044</v>
      </c>
      <c r="I90">
        <v>32430</v>
      </c>
      <c r="J90">
        <v>33617</v>
      </c>
      <c r="K90">
        <v>8166</v>
      </c>
      <c r="L90">
        <v>5951</v>
      </c>
      <c r="M90">
        <v>35461</v>
      </c>
      <c r="N90">
        <v>44529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v>0</v>
      </c>
      <c r="F91">
        <v>0</v>
      </c>
      <c r="G91">
        <v>3726</v>
      </c>
      <c r="H91">
        <v>5851</v>
      </c>
      <c r="I91">
        <v>4942</v>
      </c>
      <c r="J91">
        <v>3443</v>
      </c>
      <c r="K91">
        <v>81</v>
      </c>
      <c r="L91">
        <v>602</v>
      </c>
      <c r="M91">
        <v>2882</v>
      </c>
      <c r="N91">
        <v>2378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v>0</v>
      </c>
      <c r="F92">
        <v>0</v>
      </c>
      <c r="G92">
        <v>23774</v>
      </c>
      <c r="H92">
        <v>27513</v>
      </c>
      <c r="I92">
        <v>27853</v>
      </c>
      <c r="J92">
        <v>29945</v>
      </c>
      <c r="K92">
        <v>9870</v>
      </c>
      <c r="L92">
        <v>3030</v>
      </c>
      <c r="M92">
        <v>21645</v>
      </c>
      <c r="N92">
        <v>22860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v>0</v>
      </c>
      <c r="F93">
        <v>0</v>
      </c>
      <c r="G93">
        <v>3692</v>
      </c>
      <c r="H93">
        <v>3037</v>
      </c>
      <c r="I93">
        <v>3628</v>
      </c>
      <c r="J93">
        <v>1613</v>
      </c>
      <c r="K93">
        <v>80</v>
      </c>
      <c r="L93">
        <v>942</v>
      </c>
      <c r="M93">
        <v>2826</v>
      </c>
      <c r="N93">
        <v>3565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v>0</v>
      </c>
      <c r="F94">
        <v>0</v>
      </c>
      <c r="G94">
        <v>5028</v>
      </c>
      <c r="H94">
        <v>5691</v>
      </c>
      <c r="I94">
        <v>3640</v>
      </c>
      <c r="J94">
        <v>7789</v>
      </c>
      <c r="K94">
        <v>2186</v>
      </c>
      <c r="L94">
        <v>1959</v>
      </c>
      <c r="M94">
        <v>5997</v>
      </c>
      <c r="N94">
        <v>6504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v>0</v>
      </c>
      <c r="F95">
        <v>0</v>
      </c>
      <c r="G95">
        <v>3024</v>
      </c>
      <c r="H95">
        <v>4139</v>
      </c>
      <c r="I95">
        <v>4324</v>
      </c>
      <c r="J95">
        <v>4612</v>
      </c>
      <c r="K95">
        <v>255</v>
      </c>
      <c r="L95">
        <v>854</v>
      </c>
      <c r="M95">
        <v>2251</v>
      </c>
      <c r="N95">
        <v>2089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v>0</v>
      </c>
      <c r="F96">
        <v>0</v>
      </c>
      <c r="G96">
        <v>2770</v>
      </c>
      <c r="H96">
        <v>3638</v>
      </c>
      <c r="I96">
        <v>0</v>
      </c>
      <c r="J96">
        <v>4020</v>
      </c>
      <c r="K96">
        <v>1065</v>
      </c>
      <c r="L96">
        <v>116</v>
      </c>
      <c r="M96">
        <v>4649</v>
      </c>
      <c r="N96">
        <v>2921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v>0</v>
      </c>
      <c r="F97">
        <v>0</v>
      </c>
      <c r="G97">
        <v>1831</v>
      </c>
      <c r="H97">
        <v>1918</v>
      </c>
      <c r="I97">
        <v>3266</v>
      </c>
      <c r="J97">
        <v>3725</v>
      </c>
      <c r="K97">
        <v>1274</v>
      </c>
      <c r="L97">
        <v>0</v>
      </c>
      <c r="M97">
        <v>2381</v>
      </c>
      <c r="N97">
        <v>1803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v>0</v>
      </c>
      <c r="F98">
        <v>0</v>
      </c>
      <c r="G98">
        <v>2965</v>
      </c>
      <c r="H98">
        <v>1074</v>
      </c>
      <c r="I98">
        <v>928</v>
      </c>
      <c r="J98">
        <v>1139</v>
      </c>
      <c r="K98">
        <v>0</v>
      </c>
      <c r="L98">
        <v>0</v>
      </c>
      <c r="M98">
        <v>1284</v>
      </c>
      <c r="N98">
        <v>2744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v>0</v>
      </c>
      <c r="F99">
        <v>0</v>
      </c>
      <c r="G99">
        <v>20769</v>
      </c>
      <c r="H99">
        <v>21688</v>
      </c>
      <c r="I99">
        <v>30373</v>
      </c>
      <c r="J99">
        <v>28748</v>
      </c>
      <c r="K99">
        <v>7940</v>
      </c>
      <c r="L99">
        <v>10409</v>
      </c>
      <c r="M99">
        <v>33871</v>
      </c>
      <c r="N99">
        <v>31450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v>0</v>
      </c>
      <c r="F100">
        <v>0</v>
      </c>
      <c r="G100">
        <v>6704</v>
      </c>
      <c r="H100">
        <v>6317</v>
      </c>
      <c r="I100">
        <v>5483</v>
      </c>
      <c r="J100">
        <v>3845</v>
      </c>
      <c r="K100">
        <v>1401</v>
      </c>
      <c r="L100">
        <v>5465</v>
      </c>
      <c r="M100">
        <v>1947</v>
      </c>
      <c r="N100">
        <v>5502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v>0</v>
      </c>
      <c r="F101">
        <v>0</v>
      </c>
      <c r="G101">
        <v>10377</v>
      </c>
      <c r="H101">
        <v>10350</v>
      </c>
      <c r="I101">
        <v>9344</v>
      </c>
      <c r="J101">
        <v>5316</v>
      </c>
      <c r="K101">
        <v>2836</v>
      </c>
      <c r="L101">
        <v>2816</v>
      </c>
      <c r="M101">
        <v>12453</v>
      </c>
      <c r="N101">
        <v>11108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v>0</v>
      </c>
      <c r="F103">
        <v>0</v>
      </c>
      <c r="G103">
        <v>542</v>
      </c>
      <c r="H103">
        <v>716</v>
      </c>
      <c r="I103">
        <v>1420</v>
      </c>
      <c r="J103">
        <v>1985</v>
      </c>
      <c r="K103">
        <v>65</v>
      </c>
      <c r="L103">
        <v>639</v>
      </c>
      <c r="M103">
        <v>1869</v>
      </c>
      <c r="N103">
        <v>1734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v>0</v>
      </c>
      <c r="F104">
        <v>0</v>
      </c>
      <c r="G104">
        <v>4824</v>
      </c>
      <c r="H104">
        <v>13270</v>
      </c>
      <c r="I104">
        <v>18344</v>
      </c>
      <c r="J104">
        <v>22461</v>
      </c>
      <c r="K104">
        <v>7564</v>
      </c>
      <c r="L104">
        <v>2186</v>
      </c>
      <c r="M104">
        <v>6316</v>
      </c>
      <c r="N104">
        <v>8344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v>0</v>
      </c>
      <c r="F105">
        <v>0</v>
      </c>
      <c r="G105">
        <v>875</v>
      </c>
      <c r="H105">
        <v>1090</v>
      </c>
      <c r="I105">
        <v>137</v>
      </c>
      <c r="J105">
        <v>2014</v>
      </c>
      <c r="K105">
        <v>0</v>
      </c>
      <c r="L105">
        <v>0</v>
      </c>
      <c r="M105">
        <v>1817</v>
      </c>
      <c r="N105">
        <v>1767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v>0</v>
      </c>
      <c r="F106">
        <v>0</v>
      </c>
      <c r="G106">
        <v>957</v>
      </c>
      <c r="H106">
        <v>1171</v>
      </c>
      <c r="I106">
        <v>2628</v>
      </c>
      <c r="J106">
        <v>2627</v>
      </c>
      <c r="K106">
        <v>1093</v>
      </c>
      <c r="L106">
        <v>0</v>
      </c>
      <c r="M106">
        <v>4266</v>
      </c>
      <c r="N106">
        <v>2002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v>0</v>
      </c>
      <c r="F107">
        <v>0</v>
      </c>
      <c r="G107">
        <v>2216</v>
      </c>
      <c r="H107">
        <v>1091</v>
      </c>
      <c r="I107">
        <v>2046</v>
      </c>
      <c r="J107">
        <v>1648</v>
      </c>
      <c r="K107">
        <v>107</v>
      </c>
      <c r="L107">
        <v>297</v>
      </c>
      <c r="M107">
        <v>839</v>
      </c>
      <c r="N107">
        <v>1600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v>0</v>
      </c>
      <c r="F108">
        <v>0</v>
      </c>
      <c r="G108">
        <v>1293</v>
      </c>
      <c r="H108">
        <v>1754</v>
      </c>
      <c r="I108">
        <v>2035</v>
      </c>
      <c r="J108">
        <v>1975</v>
      </c>
      <c r="K108">
        <v>0</v>
      </c>
      <c r="L108">
        <v>0</v>
      </c>
      <c r="M108">
        <v>2030</v>
      </c>
      <c r="N108">
        <v>2011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v>0</v>
      </c>
      <c r="F109">
        <v>0</v>
      </c>
      <c r="G109">
        <v>9620</v>
      </c>
      <c r="H109">
        <v>10998</v>
      </c>
      <c r="I109">
        <v>10059</v>
      </c>
      <c r="J109">
        <v>13648</v>
      </c>
      <c r="K109">
        <v>7115</v>
      </c>
      <c r="L109">
        <v>0</v>
      </c>
      <c r="M109">
        <v>7049</v>
      </c>
      <c r="N109">
        <v>11228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v>0</v>
      </c>
      <c r="F111">
        <v>0</v>
      </c>
      <c r="G111">
        <v>2050</v>
      </c>
      <c r="H111">
        <v>3089</v>
      </c>
      <c r="I111">
        <v>3936</v>
      </c>
      <c r="J111">
        <v>2418</v>
      </c>
      <c r="K111">
        <v>75</v>
      </c>
      <c r="L111">
        <v>265</v>
      </c>
      <c r="M111">
        <v>2995</v>
      </c>
      <c r="N111">
        <v>3736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v>0</v>
      </c>
      <c r="F112">
        <v>0</v>
      </c>
      <c r="G112">
        <v>917</v>
      </c>
      <c r="H112">
        <v>1906</v>
      </c>
      <c r="I112">
        <v>1621</v>
      </c>
      <c r="J112">
        <v>1642</v>
      </c>
      <c r="K112">
        <v>0</v>
      </c>
      <c r="L112">
        <v>270</v>
      </c>
      <c r="M112">
        <v>1232</v>
      </c>
      <c r="N112">
        <v>1774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v>0</v>
      </c>
      <c r="F113">
        <v>0</v>
      </c>
      <c r="G113">
        <v>12644</v>
      </c>
      <c r="H113">
        <v>10279</v>
      </c>
      <c r="I113">
        <v>8418</v>
      </c>
      <c r="J113">
        <v>13605</v>
      </c>
      <c r="K113">
        <v>8214</v>
      </c>
      <c r="L113">
        <v>2231</v>
      </c>
      <c r="M113">
        <v>13957</v>
      </c>
      <c r="N113">
        <v>12159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v>0</v>
      </c>
      <c r="F114">
        <v>0</v>
      </c>
      <c r="G114">
        <v>2976</v>
      </c>
      <c r="H114">
        <v>3647</v>
      </c>
      <c r="I114">
        <v>1777</v>
      </c>
      <c r="J114">
        <v>1498</v>
      </c>
      <c r="K114">
        <v>671</v>
      </c>
      <c r="L114">
        <v>1443</v>
      </c>
      <c r="M114">
        <v>3421</v>
      </c>
      <c r="N114">
        <v>3025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v>0</v>
      </c>
      <c r="F115">
        <v>0</v>
      </c>
      <c r="G115">
        <v>1026</v>
      </c>
      <c r="H115">
        <v>959</v>
      </c>
      <c r="I115">
        <v>619</v>
      </c>
      <c r="J115">
        <v>755</v>
      </c>
      <c r="K115">
        <v>184</v>
      </c>
      <c r="L115">
        <v>160</v>
      </c>
      <c r="M115">
        <v>2456</v>
      </c>
      <c r="N115">
        <v>1148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v>0</v>
      </c>
      <c r="F117">
        <v>0</v>
      </c>
      <c r="G117">
        <v>2331</v>
      </c>
      <c r="H117">
        <v>1764</v>
      </c>
      <c r="I117">
        <v>3035</v>
      </c>
      <c r="J117">
        <v>2130</v>
      </c>
      <c r="K117">
        <v>0</v>
      </c>
      <c r="L117">
        <v>1638</v>
      </c>
      <c r="M117">
        <v>2619</v>
      </c>
      <c r="N117">
        <v>636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v>0</v>
      </c>
      <c r="F118">
        <v>0</v>
      </c>
      <c r="G118">
        <v>4385</v>
      </c>
      <c r="H118">
        <v>7789</v>
      </c>
      <c r="I118">
        <v>5965</v>
      </c>
      <c r="J118">
        <v>9039</v>
      </c>
      <c r="K118">
        <v>0</v>
      </c>
      <c r="L118">
        <v>1526</v>
      </c>
      <c r="M118">
        <v>6402</v>
      </c>
      <c r="N118">
        <v>8508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v>0</v>
      </c>
      <c r="F119">
        <v>0</v>
      </c>
      <c r="G119">
        <v>4682</v>
      </c>
      <c r="H119">
        <v>3965</v>
      </c>
      <c r="I119">
        <v>2510</v>
      </c>
      <c r="J119">
        <v>1939</v>
      </c>
      <c r="K119">
        <v>0</v>
      </c>
      <c r="L119">
        <v>875</v>
      </c>
      <c r="M119">
        <v>1621</v>
      </c>
      <c r="N119">
        <v>3050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v>0</v>
      </c>
      <c r="F120">
        <v>0</v>
      </c>
      <c r="G120">
        <v>6722</v>
      </c>
      <c r="H120">
        <v>6179</v>
      </c>
      <c r="I120">
        <v>7895</v>
      </c>
      <c r="J120">
        <v>8282</v>
      </c>
      <c r="K120">
        <v>267</v>
      </c>
      <c r="L120">
        <v>360</v>
      </c>
      <c r="M120">
        <v>9697</v>
      </c>
      <c r="N120">
        <v>12953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v>0</v>
      </c>
      <c r="F121">
        <v>0</v>
      </c>
      <c r="G121">
        <v>1737</v>
      </c>
      <c r="H121">
        <v>1564</v>
      </c>
      <c r="I121">
        <v>1987</v>
      </c>
      <c r="J121">
        <v>2295</v>
      </c>
      <c r="K121">
        <v>0</v>
      </c>
      <c r="L121">
        <v>1290</v>
      </c>
      <c r="M121">
        <v>1394</v>
      </c>
      <c r="N121">
        <v>2167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v>0</v>
      </c>
      <c r="F122">
        <v>0</v>
      </c>
      <c r="G122">
        <v>1178</v>
      </c>
      <c r="H122">
        <v>2290</v>
      </c>
      <c r="I122">
        <v>2014</v>
      </c>
      <c r="J122">
        <v>1368</v>
      </c>
      <c r="K122">
        <v>0</v>
      </c>
      <c r="L122">
        <v>1128</v>
      </c>
      <c r="M122">
        <v>2079</v>
      </c>
      <c r="N122">
        <v>2010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v>0</v>
      </c>
      <c r="F123">
        <v>0</v>
      </c>
      <c r="G123">
        <v>9027</v>
      </c>
      <c r="H123">
        <v>7406</v>
      </c>
      <c r="I123">
        <v>8953</v>
      </c>
      <c r="J123">
        <v>8517</v>
      </c>
      <c r="K123">
        <v>0</v>
      </c>
      <c r="L123">
        <v>6309</v>
      </c>
      <c r="M123">
        <v>8334</v>
      </c>
      <c r="N123">
        <v>9256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v>0</v>
      </c>
      <c r="F124">
        <v>0</v>
      </c>
      <c r="G124">
        <v>5396</v>
      </c>
      <c r="H124">
        <v>2932</v>
      </c>
      <c r="I124">
        <v>1899</v>
      </c>
      <c r="J124">
        <v>6553</v>
      </c>
      <c r="K124">
        <v>0</v>
      </c>
      <c r="L124">
        <v>3207</v>
      </c>
      <c r="M124">
        <v>4344</v>
      </c>
      <c r="N124">
        <v>8204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E125">
        <v>0</v>
      </c>
      <c r="F125">
        <v>0</v>
      </c>
      <c r="G125">
        <v>1335</v>
      </c>
      <c r="H125">
        <v>799</v>
      </c>
      <c r="I125">
        <v>939</v>
      </c>
      <c r="J125">
        <v>1057</v>
      </c>
      <c r="K125">
        <v>0</v>
      </c>
      <c r="L125">
        <v>737</v>
      </c>
      <c r="M125">
        <v>1501</v>
      </c>
      <c r="N125">
        <v>2269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v>0</v>
      </c>
      <c r="F126">
        <v>0</v>
      </c>
      <c r="G126">
        <v>388</v>
      </c>
      <c r="H126">
        <v>2106</v>
      </c>
      <c r="I126">
        <v>930</v>
      </c>
      <c r="J126">
        <v>697</v>
      </c>
      <c r="K126">
        <v>0</v>
      </c>
      <c r="L126">
        <v>1055</v>
      </c>
      <c r="M126">
        <v>1092</v>
      </c>
      <c r="N126">
        <v>911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v>0</v>
      </c>
      <c r="F127">
        <v>0</v>
      </c>
      <c r="G127">
        <v>4649</v>
      </c>
      <c r="H127">
        <v>5827</v>
      </c>
      <c r="I127">
        <v>6948</v>
      </c>
      <c r="J127">
        <v>3887</v>
      </c>
      <c r="K127">
        <v>2641</v>
      </c>
      <c r="L127">
        <v>2127</v>
      </c>
      <c r="M127">
        <v>4217</v>
      </c>
      <c r="N127">
        <v>1932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v>0</v>
      </c>
      <c r="F128">
        <v>0</v>
      </c>
      <c r="G128">
        <v>17032</v>
      </c>
      <c r="H128">
        <v>15906</v>
      </c>
      <c r="I128">
        <v>7433</v>
      </c>
      <c r="J128">
        <v>7941</v>
      </c>
      <c r="K128">
        <v>2080</v>
      </c>
      <c r="L128">
        <v>7718</v>
      </c>
      <c r="M128">
        <v>7875</v>
      </c>
      <c r="N128">
        <v>11477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v>0</v>
      </c>
      <c r="F129">
        <v>0</v>
      </c>
      <c r="G129">
        <v>18826</v>
      </c>
      <c r="H129">
        <v>8719</v>
      </c>
      <c r="I129">
        <v>6551</v>
      </c>
      <c r="J129">
        <v>15771</v>
      </c>
      <c r="K129">
        <v>545</v>
      </c>
      <c r="L129">
        <v>4681</v>
      </c>
      <c r="M129">
        <v>2939</v>
      </c>
      <c r="N129">
        <v>7415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v>0</v>
      </c>
      <c r="F130">
        <v>0</v>
      </c>
      <c r="G130">
        <v>13915</v>
      </c>
      <c r="H130">
        <v>13920</v>
      </c>
      <c r="I130">
        <v>9165</v>
      </c>
      <c r="J130">
        <v>17418</v>
      </c>
      <c r="K130">
        <v>1659</v>
      </c>
      <c r="L130">
        <v>5081</v>
      </c>
      <c r="M130">
        <v>10774</v>
      </c>
      <c r="N130">
        <v>8249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v>0</v>
      </c>
      <c r="F131">
        <v>0</v>
      </c>
      <c r="G131">
        <v>1321</v>
      </c>
      <c r="H131">
        <v>966</v>
      </c>
      <c r="I131">
        <v>0</v>
      </c>
      <c r="J131">
        <v>2462</v>
      </c>
      <c r="K131">
        <v>0</v>
      </c>
      <c r="L131">
        <v>1685</v>
      </c>
      <c r="M131">
        <v>2259</v>
      </c>
      <c r="N131">
        <v>2584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v>0</v>
      </c>
      <c r="F133">
        <v>0</v>
      </c>
      <c r="G133">
        <v>7255</v>
      </c>
      <c r="H133">
        <v>10502</v>
      </c>
      <c r="I133">
        <v>4714</v>
      </c>
      <c r="J133">
        <v>5269</v>
      </c>
      <c r="K133">
        <v>2286</v>
      </c>
      <c r="L133">
        <v>2033</v>
      </c>
      <c r="M133">
        <v>8370</v>
      </c>
      <c r="N133">
        <v>4172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v>0</v>
      </c>
      <c r="F134">
        <v>0</v>
      </c>
      <c r="G134">
        <v>2031</v>
      </c>
      <c r="H134">
        <v>1445</v>
      </c>
      <c r="I134">
        <v>2283</v>
      </c>
      <c r="J134">
        <v>1627</v>
      </c>
      <c r="K134">
        <v>509</v>
      </c>
      <c r="L134">
        <v>1892</v>
      </c>
      <c r="M134">
        <v>2741</v>
      </c>
      <c r="N134">
        <v>1527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v>0</v>
      </c>
      <c r="F135">
        <v>0</v>
      </c>
      <c r="G135">
        <v>20447</v>
      </c>
      <c r="H135">
        <v>21659</v>
      </c>
      <c r="I135">
        <v>22537</v>
      </c>
      <c r="J135">
        <v>23343</v>
      </c>
      <c r="K135">
        <v>3033</v>
      </c>
      <c r="L135">
        <v>13151</v>
      </c>
      <c r="M135">
        <v>21331</v>
      </c>
      <c r="N135">
        <v>23507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v>0</v>
      </c>
      <c r="F136">
        <v>0</v>
      </c>
      <c r="G136">
        <v>1725</v>
      </c>
      <c r="H136">
        <v>1226</v>
      </c>
      <c r="I136">
        <v>595</v>
      </c>
      <c r="J136">
        <v>950</v>
      </c>
      <c r="K136">
        <v>0</v>
      </c>
      <c r="L136">
        <v>577</v>
      </c>
      <c r="M136">
        <v>0</v>
      </c>
      <c r="N136">
        <v>0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v>0</v>
      </c>
      <c r="F137">
        <v>0</v>
      </c>
      <c r="G137">
        <v>1169</v>
      </c>
      <c r="H137">
        <v>1613</v>
      </c>
      <c r="I137">
        <v>1239</v>
      </c>
      <c r="J137">
        <v>1265</v>
      </c>
      <c r="K137">
        <v>0</v>
      </c>
      <c r="L137">
        <v>388</v>
      </c>
      <c r="M137">
        <v>1231</v>
      </c>
      <c r="N137">
        <v>1384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v>0</v>
      </c>
      <c r="F138">
        <v>0</v>
      </c>
      <c r="G138">
        <v>6165</v>
      </c>
      <c r="H138">
        <v>6327</v>
      </c>
      <c r="I138">
        <v>5940</v>
      </c>
      <c r="J138">
        <v>4730</v>
      </c>
      <c r="K138">
        <v>3081</v>
      </c>
      <c r="L138">
        <v>2167</v>
      </c>
      <c r="M138">
        <v>5230</v>
      </c>
      <c r="N138">
        <v>5523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v>0</v>
      </c>
      <c r="F139">
        <v>0</v>
      </c>
      <c r="G139">
        <v>3494</v>
      </c>
      <c r="H139">
        <v>3760</v>
      </c>
      <c r="I139">
        <v>2130</v>
      </c>
      <c r="J139">
        <v>2180</v>
      </c>
      <c r="K139">
        <v>0</v>
      </c>
      <c r="L139">
        <v>564</v>
      </c>
      <c r="M139">
        <v>1848</v>
      </c>
      <c r="N139">
        <v>2175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v>0</v>
      </c>
      <c r="F140">
        <v>0</v>
      </c>
      <c r="G140">
        <v>6986</v>
      </c>
      <c r="H140">
        <v>10860</v>
      </c>
      <c r="I140">
        <v>7198</v>
      </c>
      <c r="J140">
        <v>8321</v>
      </c>
      <c r="K140">
        <v>1160</v>
      </c>
      <c r="L140">
        <v>4090</v>
      </c>
      <c r="M140">
        <v>10259</v>
      </c>
      <c r="N140">
        <v>10179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v>0</v>
      </c>
      <c r="F141">
        <v>0</v>
      </c>
      <c r="G141">
        <v>2893</v>
      </c>
      <c r="H141">
        <v>3566</v>
      </c>
      <c r="I141">
        <v>2679</v>
      </c>
      <c r="J141">
        <v>2583</v>
      </c>
      <c r="K141">
        <v>1081</v>
      </c>
      <c r="L141">
        <v>1812</v>
      </c>
      <c r="M141">
        <v>5071</v>
      </c>
      <c r="N141">
        <v>3716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v>0</v>
      </c>
      <c r="F143">
        <v>0</v>
      </c>
      <c r="G143">
        <v>1110</v>
      </c>
      <c r="H143">
        <v>891</v>
      </c>
      <c r="I143">
        <v>1393</v>
      </c>
      <c r="J143">
        <v>3004</v>
      </c>
      <c r="K143">
        <v>0</v>
      </c>
      <c r="L143">
        <v>363</v>
      </c>
      <c r="M143">
        <v>601</v>
      </c>
      <c r="N143">
        <v>1287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v>0</v>
      </c>
      <c r="F144">
        <v>0</v>
      </c>
      <c r="G144">
        <v>2863</v>
      </c>
      <c r="H144">
        <v>1990</v>
      </c>
      <c r="I144">
        <v>1984</v>
      </c>
      <c r="J144">
        <v>2735</v>
      </c>
      <c r="K144">
        <v>538</v>
      </c>
      <c r="L144">
        <v>355</v>
      </c>
      <c r="M144">
        <v>859</v>
      </c>
      <c r="N144">
        <v>3606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v>0</v>
      </c>
      <c r="F145">
        <v>0</v>
      </c>
      <c r="G145">
        <v>6671</v>
      </c>
      <c r="H145">
        <v>7666</v>
      </c>
      <c r="I145">
        <v>8582</v>
      </c>
      <c r="J145">
        <v>8837</v>
      </c>
      <c r="K145">
        <v>1537</v>
      </c>
      <c r="L145">
        <v>900</v>
      </c>
      <c r="M145">
        <v>8642</v>
      </c>
      <c r="N145">
        <v>10187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v>0</v>
      </c>
      <c r="F146">
        <v>0</v>
      </c>
      <c r="G146">
        <v>6514</v>
      </c>
      <c r="H146">
        <v>8431</v>
      </c>
      <c r="I146">
        <v>5674</v>
      </c>
      <c r="J146">
        <v>5209</v>
      </c>
      <c r="K146">
        <v>308</v>
      </c>
      <c r="L146">
        <v>330</v>
      </c>
      <c r="M146">
        <v>3282</v>
      </c>
      <c r="N146">
        <v>3595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v>0</v>
      </c>
      <c r="F147">
        <v>0</v>
      </c>
      <c r="G147">
        <v>31261</v>
      </c>
      <c r="H147">
        <v>43878</v>
      </c>
      <c r="I147">
        <v>42313</v>
      </c>
      <c r="J147">
        <v>39686</v>
      </c>
      <c r="K147">
        <v>13123</v>
      </c>
      <c r="L147">
        <v>6678</v>
      </c>
      <c r="M147">
        <v>41081</v>
      </c>
      <c r="N147">
        <v>33878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v>0</v>
      </c>
      <c r="F148">
        <v>0</v>
      </c>
      <c r="G148">
        <v>8299</v>
      </c>
      <c r="H148">
        <v>7569</v>
      </c>
      <c r="I148">
        <v>4817</v>
      </c>
      <c r="J148">
        <v>7180</v>
      </c>
      <c r="K148">
        <v>0</v>
      </c>
      <c r="L148">
        <v>6120</v>
      </c>
      <c r="M148">
        <v>8411</v>
      </c>
      <c r="N148">
        <v>15905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v>0</v>
      </c>
      <c r="F149">
        <v>0</v>
      </c>
      <c r="G149">
        <v>6089</v>
      </c>
      <c r="H149">
        <v>7052</v>
      </c>
      <c r="I149">
        <v>4912</v>
      </c>
      <c r="J149">
        <v>6038</v>
      </c>
      <c r="K149">
        <v>1123</v>
      </c>
      <c r="L149">
        <v>4123</v>
      </c>
      <c r="M149">
        <v>7019</v>
      </c>
      <c r="N149">
        <v>5734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v>0</v>
      </c>
      <c r="F150">
        <v>0</v>
      </c>
      <c r="G150">
        <v>1736</v>
      </c>
      <c r="H150">
        <v>2394</v>
      </c>
      <c r="I150">
        <v>2234</v>
      </c>
      <c r="J150">
        <v>1347</v>
      </c>
      <c r="K150">
        <v>100</v>
      </c>
      <c r="L150">
        <v>646</v>
      </c>
      <c r="M150">
        <v>1737</v>
      </c>
      <c r="N150">
        <v>2407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v>0</v>
      </c>
      <c r="F152">
        <v>0</v>
      </c>
      <c r="G152">
        <v>75094</v>
      </c>
      <c r="H152">
        <v>65580</v>
      </c>
      <c r="I152">
        <v>52171</v>
      </c>
      <c r="J152">
        <v>56839</v>
      </c>
      <c r="K152">
        <v>27088</v>
      </c>
      <c r="L152">
        <v>32601</v>
      </c>
      <c r="M152">
        <v>64741</v>
      </c>
      <c r="N152">
        <v>67619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v>0</v>
      </c>
      <c r="F153">
        <v>0</v>
      </c>
      <c r="G153">
        <v>1254</v>
      </c>
      <c r="H153">
        <v>813</v>
      </c>
      <c r="I153">
        <v>859</v>
      </c>
      <c r="J153">
        <v>1121</v>
      </c>
      <c r="K153">
        <v>0</v>
      </c>
      <c r="L153">
        <v>0</v>
      </c>
      <c r="M153">
        <v>1867</v>
      </c>
      <c r="N153">
        <v>2469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v>0</v>
      </c>
      <c r="F154">
        <v>0</v>
      </c>
      <c r="G154">
        <v>1894</v>
      </c>
      <c r="H154">
        <v>1755</v>
      </c>
      <c r="I154">
        <v>1747</v>
      </c>
      <c r="J154">
        <v>731</v>
      </c>
      <c r="K154">
        <v>75</v>
      </c>
      <c r="L154">
        <v>296</v>
      </c>
      <c r="M154">
        <v>2213</v>
      </c>
      <c r="N154">
        <v>2120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v>0</v>
      </c>
      <c r="F155">
        <v>0</v>
      </c>
      <c r="G155">
        <v>2976</v>
      </c>
      <c r="H155">
        <v>2160</v>
      </c>
      <c r="I155">
        <v>2329</v>
      </c>
      <c r="J155">
        <v>2450</v>
      </c>
      <c r="K155">
        <v>0</v>
      </c>
      <c r="L155">
        <v>0</v>
      </c>
      <c r="M155">
        <v>1905</v>
      </c>
      <c r="N155">
        <v>1350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v>0</v>
      </c>
      <c r="F157">
        <v>0</v>
      </c>
      <c r="G157">
        <v>6540</v>
      </c>
      <c r="H157">
        <v>8745</v>
      </c>
      <c r="I157">
        <v>4876</v>
      </c>
      <c r="J157">
        <v>8325</v>
      </c>
      <c r="K157">
        <v>2500</v>
      </c>
      <c r="L157">
        <v>5445</v>
      </c>
      <c r="M157">
        <v>5240</v>
      </c>
      <c r="N157">
        <v>14632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v>0</v>
      </c>
      <c r="F158">
        <v>0</v>
      </c>
      <c r="G158">
        <v>6226</v>
      </c>
      <c r="H158">
        <v>6902</v>
      </c>
      <c r="I158">
        <v>8606</v>
      </c>
      <c r="J158">
        <v>11099</v>
      </c>
      <c r="K158">
        <v>0</v>
      </c>
      <c r="L158">
        <v>1100</v>
      </c>
      <c r="M158">
        <v>5003</v>
      </c>
      <c r="N158">
        <v>9163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v>0</v>
      </c>
      <c r="F159">
        <v>0</v>
      </c>
      <c r="G159">
        <v>1085</v>
      </c>
      <c r="H159">
        <v>603</v>
      </c>
      <c r="I159">
        <v>1895</v>
      </c>
      <c r="J159">
        <v>2122</v>
      </c>
      <c r="K159">
        <v>69</v>
      </c>
      <c r="L159">
        <v>615</v>
      </c>
      <c r="M159">
        <v>2603</v>
      </c>
      <c r="N159">
        <v>2206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v>0</v>
      </c>
      <c r="F160">
        <v>0</v>
      </c>
      <c r="G160">
        <v>4070</v>
      </c>
      <c r="H160">
        <v>5495</v>
      </c>
      <c r="I160">
        <v>11237</v>
      </c>
      <c r="J160">
        <v>7631</v>
      </c>
      <c r="K160">
        <v>3180</v>
      </c>
      <c r="L160">
        <v>8002</v>
      </c>
      <c r="M160">
        <v>10951</v>
      </c>
      <c r="N160">
        <v>17822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v>0</v>
      </c>
      <c r="F161">
        <v>0</v>
      </c>
      <c r="G161">
        <v>2758</v>
      </c>
      <c r="H161">
        <v>4316</v>
      </c>
      <c r="I161">
        <v>4120</v>
      </c>
      <c r="J161">
        <v>4316</v>
      </c>
      <c r="K161">
        <v>1520</v>
      </c>
      <c r="L161">
        <v>2893</v>
      </c>
      <c r="M161">
        <v>5832</v>
      </c>
      <c r="N161">
        <v>5253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v>0</v>
      </c>
      <c r="F162">
        <v>0</v>
      </c>
      <c r="G162">
        <v>2614</v>
      </c>
      <c r="H162">
        <v>4556</v>
      </c>
      <c r="I162">
        <v>4637</v>
      </c>
      <c r="J162">
        <v>5203</v>
      </c>
      <c r="K162">
        <v>2263</v>
      </c>
      <c r="L162">
        <v>2774</v>
      </c>
      <c r="M162">
        <v>1892</v>
      </c>
      <c r="N162">
        <v>1392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v>0</v>
      </c>
      <c r="F164">
        <v>0</v>
      </c>
      <c r="G164">
        <v>3294</v>
      </c>
      <c r="H164">
        <v>2684</v>
      </c>
      <c r="I164">
        <v>2250</v>
      </c>
      <c r="J164">
        <v>2493</v>
      </c>
      <c r="K164">
        <v>536</v>
      </c>
      <c r="L164">
        <v>0</v>
      </c>
      <c r="M164">
        <v>3818</v>
      </c>
      <c r="N164">
        <v>5057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v>0</v>
      </c>
      <c r="F165">
        <v>0</v>
      </c>
      <c r="G165">
        <v>45741</v>
      </c>
      <c r="H165">
        <v>26871</v>
      </c>
      <c r="I165">
        <v>25813</v>
      </c>
      <c r="J165">
        <v>29451</v>
      </c>
      <c r="K165">
        <v>0</v>
      </c>
      <c r="L165">
        <v>1551</v>
      </c>
      <c r="M165">
        <v>24236</v>
      </c>
      <c r="N165">
        <v>19481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v>0</v>
      </c>
      <c r="F166">
        <v>0</v>
      </c>
      <c r="G166">
        <v>7450</v>
      </c>
      <c r="H166">
        <v>6554</v>
      </c>
      <c r="I166">
        <v>11223</v>
      </c>
      <c r="J166">
        <v>10392</v>
      </c>
      <c r="K166">
        <v>0</v>
      </c>
      <c r="L166">
        <v>0</v>
      </c>
      <c r="M166">
        <v>5249</v>
      </c>
      <c r="N166">
        <v>6603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v>0</v>
      </c>
      <c r="F167">
        <v>0</v>
      </c>
      <c r="G167">
        <v>3744</v>
      </c>
      <c r="H167">
        <v>2940</v>
      </c>
      <c r="I167">
        <v>3703</v>
      </c>
      <c r="J167">
        <v>3738</v>
      </c>
      <c r="K167">
        <v>446</v>
      </c>
      <c r="L167">
        <v>1388</v>
      </c>
      <c r="M167">
        <v>4311</v>
      </c>
      <c r="N167">
        <v>3194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v>0</v>
      </c>
      <c r="F169">
        <v>0</v>
      </c>
      <c r="G169">
        <v>5682</v>
      </c>
      <c r="H169">
        <v>14346</v>
      </c>
      <c r="I169">
        <v>10034</v>
      </c>
      <c r="J169">
        <v>16335</v>
      </c>
      <c r="K169">
        <v>0</v>
      </c>
      <c r="L169">
        <v>178</v>
      </c>
      <c r="M169">
        <v>9950</v>
      </c>
      <c r="N169">
        <v>10588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v>0</v>
      </c>
      <c r="F170">
        <v>0</v>
      </c>
      <c r="G170">
        <v>20819</v>
      </c>
      <c r="H170">
        <v>16584</v>
      </c>
      <c r="I170">
        <v>15446</v>
      </c>
      <c r="J170">
        <v>12441</v>
      </c>
      <c r="K170">
        <v>5096</v>
      </c>
      <c r="L170">
        <v>5636</v>
      </c>
      <c r="M170">
        <v>18350</v>
      </c>
      <c r="N170">
        <v>12650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v>0</v>
      </c>
      <c r="F171">
        <v>0</v>
      </c>
      <c r="G171">
        <v>1035</v>
      </c>
      <c r="H171">
        <v>1163</v>
      </c>
      <c r="I171">
        <v>1354</v>
      </c>
      <c r="J171">
        <v>664</v>
      </c>
      <c r="K171">
        <v>922</v>
      </c>
      <c r="L171">
        <v>0</v>
      </c>
      <c r="M171">
        <v>1029</v>
      </c>
      <c r="N171">
        <v>729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v>0</v>
      </c>
      <c r="F172">
        <v>0</v>
      </c>
      <c r="G172">
        <v>17386</v>
      </c>
      <c r="H172">
        <v>26068</v>
      </c>
      <c r="I172">
        <v>19694</v>
      </c>
      <c r="J172">
        <v>19803</v>
      </c>
      <c r="K172">
        <v>9045</v>
      </c>
      <c r="L172">
        <v>15643</v>
      </c>
      <c r="M172">
        <v>36367</v>
      </c>
      <c r="N172">
        <v>48666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v>0</v>
      </c>
      <c r="F173">
        <v>0</v>
      </c>
      <c r="G173">
        <v>2169</v>
      </c>
      <c r="H173">
        <v>1474</v>
      </c>
      <c r="I173">
        <v>2639</v>
      </c>
      <c r="J173">
        <v>3415</v>
      </c>
      <c r="K173">
        <v>0</v>
      </c>
      <c r="L173">
        <v>2030</v>
      </c>
      <c r="M173">
        <v>4588</v>
      </c>
      <c r="N173">
        <v>2589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v>0</v>
      </c>
      <c r="F174">
        <v>0</v>
      </c>
      <c r="G174">
        <v>3087</v>
      </c>
      <c r="H174">
        <v>2068</v>
      </c>
      <c r="I174">
        <v>1276</v>
      </c>
      <c r="J174">
        <v>3447</v>
      </c>
      <c r="K174">
        <v>0</v>
      </c>
      <c r="L174">
        <v>1484</v>
      </c>
      <c r="M174">
        <v>1495</v>
      </c>
      <c r="N174">
        <v>1663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v>0</v>
      </c>
      <c r="F175">
        <v>0</v>
      </c>
      <c r="G175">
        <v>7629</v>
      </c>
      <c r="H175">
        <v>6597</v>
      </c>
      <c r="I175">
        <v>7030</v>
      </c>
      <c r="J175">
        <v>5597</v>
      </c>
      <c r="K175">
        <v>0</v>
      </c>
      <c r="L175">
        <v>4433</v>
      </c>
      <c r="M175">
        <v>5725</v>
      </c>
      <c r="N175">
        <v>4788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v>0</v>
      </c>
      <c r="F177">
        <v>0</v>
      </c>
      <c r="G177">
        <v>1116</v>
      </c>
      <c r="H177">
        <v>984</v>
      </c>
      <c r="I177">
        <v>2495</v>
      </c>
      <c r="J177">
        <v>1233</v>
      </c>
      <c r="K177">
        <v>110</v>
      </c>
      <c r="L177">
        <v>551</v>
      </c>
      <c r="M177">
        <v>543</v>
      </c>
      <c r="N177">
        <v>780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v>0</v>
      </c>
      <c r="F178">
        <v>0</v>
      </c>
      <c r="G178">
        <v>491</v>
      </c>
      <c r="H178">
        <v>669</v>
      </c>
      <c r="I178">
        <v>1506</v>
      </c>
      <c r="J178">
        <v>428</v>
      </c>
      <c r="K178">
        <v>150</v>
      </c>
      <c r="L178">
        <v>0</v>
      </c>
      <c r="M178">
        <v>883</v>
      </c>
      <c r="N178">
        <v>761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v>0</v>
      </c>
      <c r="F179">
        <v>0</v>
      </c>
      <c r="G179">
        <v>956</v>
      </c>
      <c r="H179">
        <v>1440</v>
      </c>
      <c r="I179">
        <v>495</v>
      </c>
      <c r="J179">
        <v>1120</v>
      </c>
      <c r="K179">
        <v>0</v>
      </c>
      <c r="L179">
        <v>596</v>
      </c>
      <c r="M179">
        <v>1599</v>
      </c>
      <c r="N179">
        <v>2023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v>0</v>
      </c>
      <c r="F180">
        <v>0</v>
      </c>
      <c r="G180">
        <v>2523</v>
      </c>
      <c r="H180">
        <v>3300</v>
      </c>
      <c r="I180">
        <v>2939</v>
      </c>
      <c r="J180">
        <v>2212</v>
      </c>
      <c r="K180">
        <v>150</v>
      </c>
      <c r="L180">
        <v>3172</v>
      </c>
      <c r="M180">
        <v>2296</v>
      </c>
      <c r="N180">
        <v>4322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v>0</v>
      </c>
      <c r="F181">
        <v>0</v>
      </c>
      <c r="G181">
        <v>1333</v>
      </c>
      <c r="H181">
        <v>1197</v>
      </c>
      <c r="I181">
        <v>1250</v>
      </c>
      <c r="J181">
        <v>874</v>
      </c>
      <c r="K181">
        <v>225</v>
      </c>
      <c r="L181">
        <v>597</v>
      </c>
      <c r="M181">
        <v>1889</v>
      </c>
      <c r="N181">
        <v>1364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v>0</v>
      </c>
      <c r="F182">
        <v>0</v>
      </c>
      <c r="G182">
        <v>688</v>
      </c>
      <c r="H182">
        <v>872</v>
      </c>
      <c r="I182">
        <v>458</v>
      </c>
      <c r="J182">
        <v>816</v>
      </c>
      <c r="K182">
        <v>33</v>
      </c>
      <c r="L182">
        <v>491</v>
      </c>
      <c r="M182">
        <v>1091</v>
      </c>
      <c r="N182">
        <v>623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v>0</v>
      </c>
      <c r="F184">
        <v>0</v>
      </c>
      <c r="G184">
        <v>8674</v>
      </c>
      <c r="H184">
        <v>8341</v>
      </c>
      <c r="I184">
        <v>6998</v>
      </c>
      <c r="J184">
        <v>6837</v>
      </c>
      <c r="K184">
        <v>4335</v>
      </c>
      <c r="L184">
        <v>0</v>
      </c>
      <c r="M184">
        <v>11016</v>
      </c>
      <c r="N184">
        <v>10884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v>0</v>
      </c>
      <c r="F185">
        <v>0</v>
      </c>
      <c r="G185">
        <v>12079</v>
      </c>
      <c r="H185">
        <v>10877</v>
      </c>
      <c r="I185">
        <v>9545</v>
      </c>
      <c r="J185">
        <v>11417</v>
      </c>
      <c r="K185">
        <v>0</v>
      </c>
      <c r="L185">
        <v>4288</v>
      </c>
      <c r="M185">
        <v>12651</v>
      </c>
      <c r="N185">
        <v>14000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v>0</v>
      </c>
      <c r="F186">
        <v>0</v>
      </c>
      <c r="G186">
        <v>3022</v>
      </c>
      <c r="H186">
        <v>4327</v>
      </c>
      <c r="I186">
        <v>3579</v>
      </c>
      <c r="J186">
        <v>4101</v>
      </c>
      <c r="K186">
        <v>585</v>
      </c>
      <c r="L186">
        <v>1135</v>
      </c>
      <c r="M186">
        <v>3144</v>
      </c>
      <c r="N186">
        <v>6864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v>0</v>
      </c>
      <c r="F188">
        <v>0</v>
      </c>
      <c r="G188">
        <v>11312</v>
      </c>
      <c r="H188">
        <v>8911</v>
      </c>
      <c r="I188">
        <v>9363</v>
      </c>
      <c r="J188">
        <v>7744</v>
      </c>
      <c r="K188">
        <v>5485</v>
      </c>
      <c r="L188">
        <v>4108</v>
      </c>
      <c r="M188">
        <v>10201</v>
      </c>
      <c r="N188">
        <v>7263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v>0</v>
      </c>
      <c r="F189">
        <v>0</v>
      </c>
      <c r="G189">
        <v>9059</v>
      </c>
      <c r="H189">
        <v>9394</v>
      </c>
      <c r="I189">
        <v>10440</v>
      </c>
      <c r="J189">
        <v>16000</v>
      </c>
      <c r="K189">
        <v>4312</v>
      </c>
      <c r="L189">
        <v>1303</v>
      </c>
      <c r="M189">
        <v>10133</v>
      </c>
      <c r="N189">
        <v>12003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v>0</v>
      </c>
      <c r="F191">
        <v>0</v>
      </c>
      <c r="G191">
        <v>1150</v>
      </c>
      <c r="H191">
        <v>1359</v>
      </c>
      <c r="I191">
        <v>1999</v>
      </c>
      <c r="J191">
        <v>1657</v>
      </c>
      <c r="K191">
        <v>0</v>
      </c>
      <c r="L191">
        <v>921</v>
      </c>
      <c r="M191">
        <v>1038</v>
      </c>
      <c r="N191">
        <v>1535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v>0</v>
      </c>
      <c r="F192">
        <v>0</v>
      </c>
      <c r="G192">
        <v>9092</v>
      </c>
      <c r="H192">
        <v>4294</v>
      </c>
      <c r="I192">
        <v>4084</v>
      </c>
      <c r="J192">
        <v>4872</v>
      </c>
      <c r="K192">
        <v>597</v>
      </c>
      <c r="L192">
        <v>3009</v>
      </c>
      <c r="M192">
        <v>2026</v>
      </c>
      <c r="N192">
        <v>3276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v>0</v>
      </c>
      <c r="F193">
        <v>0</v>
      </c>
      <c r="G193">
        <v>1907</v>
      </c>
      <c r="H193">
        <v>2469</v>
      </c>
      <c r="I193">
        <v>2262</v>
      </c>
      <c r="J193">
        <v>1707</v>
      </c>
      <c r="K193">
        <v>859</v>
      </c>
      <c r="L193">
        <v>3321</v>
      </c>
      <c r="M193">
        <v>1648</v>
      </c>
      <c r="N193">
        <v>1708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v>0</v>
      </c>
      <c r="F195">
        <v>0</v>
      </c>
      <c r="G195">
        <v>2228</v>
      </c>
      <c r="H195">
        <v>2065</v>
      </c>
      <c r="I195">
        <v>3236</v>
      </c>
      <c r="J195">
        <v>2868</v>
      </c>
      <c r="K195">
        <v>1762</v>
      </c>
      <c r="L195">
        <v>2259</v>
      </c>
      <c r="M195">
        <v>4097</v>
      </c>
      <c r="N195">
        <v>4589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2407</v>
      </c>
      <c r="K196">
        <v>1134</v>
      </c>
      <c r="L196">
        <v>1719</v>
      </c>
      <c r="M196">
        <v>2564</v>
      </c>
      <c r="N196">
        <v>6573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v>0</v>
      </c>
      <c r="F197">
        <v>0</v>
      </c>
      <c r="G197">
        <v>13917</v>
      </c>
      <c r="H197">
        <v>15551</v>
      </c>
      <c r="I197">
        <v>8931</v>
      </c>
      <c r="J197">
        <v>7695</v>
      </c>
      <c r="K197">
        <v>3722</v>
      </c>
      <c r="L197">
        <v>1740</v>
      </c>
      <c r="M197">
        <v>7425</v>
      </c>
      <c r="N197">
        <v>7862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v>0</v>
      </c>
      <c r="F198">
        <v>0</v>
      </c>
      <c r="G198">
        <v>789</v>
      </c>
      <c r="H198">
        <v>1098</v>
      </c>
      <c r="I198">
        <v>1369</v>
      </c>
      <c r="J198">
        <v>996</v>
      </c>
      <c r="K198">
        <v>0</v>
      </c>
      <c r="L198">
        <v>1527</v>
      </c>
      <c r="M198">
        <v>76</v>
      </c>
      <c r="N198">
        <v>215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v>0</v>
      </c>
      <c r="F199">
        <v>0</v>
      </c>
      <c r="G199">
        <v>2373</v>
      </c>
      <c r="H199">
        <v>2661</v>
      </c>
      <c r="I199">
        <v>2598</v>
      </c>
      <c r="J199">
        <v>4027</v>
      </c>
      <c r="K199">
        <v>0</v>
      </c>
      <c r="L199">
        <v>1406</v>
      </c>
      <c r="M199">
        <v>1074</v>
      </c>
      <c r="N199">
        <v>840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v>0</v>
      </c>
      <c r="F200">
        <v>0</v>
      </c>
      <c r="G200">
        <v>3380</v>
      </c>
      <c r="H200">
        <v>2965</v>
      </c>
      <c r="I200">
        <v>2674</v>
      </c>
      <c r="J200">
        <v>2778</v>
      </c>
      <c r="K200">
        <v>1234</v>
      </c>
      <c r="L200">
        <v>1524</v>
      </c>
      <c r="M200">
        <v>6259</v>
      </c>
      <c r="N200">
        <v>3968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v>0</v>
      </c>
      <c r="F201">
        <v>0</v>
      </c>
      <c r="G201">
        <v>4528</v>
      </c>
      <c r="H201">
        <v>4014</v>
      </c>
      <c r="I201">
        <v>5651</v>
      </c>
      <c r="J201">
        <v>3676</v>
      </c>
      <c r="K201">
        <v>1801</v>
      </c>
      <c r="L201">
        <v>1866</v>
      </c>
      <c r="M201">
        <v>5025</v>
      </c>
      <c r="N201">
        <v>5507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v>0</v>
      </c>
      <c r="F204">
        <v>0</v>
      </c>
      <c r="G204">
        <v>1582</v>
      </c>
      <c r="H204">
        <v>1236</v>
      </c>
      <c r="I204">
        <v>1619</v>
      </c>
      <c r="J204">
        <v>1150</v>
      </c>
      <c r="K204">
        <v>977</v>
      </c>
      <c r="L204">
        <v>1507</v>
      </c>
      <c r="M204">
        <v>1807</v>
      </c>
      <c r="N204">
        <v>1601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v>0</v>
      </c>
      <c r="F205">
        <v>0</v>
      </c>
      <c r="G205">
        <v>706</v>
      </c>
      <c r="H205">
        <v>1181</v>
      </c>
      <c r="I205">
        <v>794</v>
      </c>
      <c r="J205">
        <v>1149</v>
      </c>
      <c r="K205">
        <v>0</v>
      </c>
      <c r="L205">
        <v>1955</v>
      </c>
      <c r="M205">
        <v>1324</v>
      </c>
      <c r="N205">
        <v>1251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v>0</v>
      </c>
      <c r="F206">
        <v>0</v>
      </c>
      <c r="G206">
        <v>4027</v>
      </c>
      <c r="H206">
        <v>3736</v>
      </c>
      <c r="I206">
        <v>2821</v>
      </c>
      <c r="J206">
        <v>4644</v>
      </c>
      <c r="K206">
        <v>0</v>
      </c>
      <c r="L206">
        <v>238</v>
      </c>
      <c r="M206">
        <v>10320</v>
      </c>
      <c r="N206">
        <v>8189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v>0</v>
      </c>
      <c r="F207">
        <v>0</v>
      </c>
      <c r="G207">
        <v>6972</v>
      </c>
      <c r="H207">
        <v>6966</v>
      </c>
      <c r="I207">
        <v>8976</v>
      </c>
      <c r="J207">
        <v>7002</v>
      </c>
      <c r="K207">
        <v>1847</v>
      </c>
      <c r="L207">
        <v>3018</v>
      </c>
      <c r="M207">
        <v>3769</v>
      </c>
      <c r="N207">
        <v>4420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v>0</v>
      </c>
      <c r="F208">
        <v>0</v>
      </c>
      <c r="G208">
        <v>6368</v>
      </c>
      <c r="H208">
        <v>7598</v>
      </c>
      <c r="I208">
        <v>4894</v>
      </c>
      <c r="J208">
        <v>4731</v>
      </c>
      <c r="K208">
        <v>0</v>
      </c>
      <c r="L208">
        <v>1055</v>
      </c>
      <c r="M208">
        <v>4815</v>
      </c>
      <c r="N208">
        <v>6203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v>0</v>
      </c>
      <c r="F209">
        <v>0</v>
      </c>
      <c r="G209">
        <v>881</v>
      </c>
      <c r="H209">
        <v>425</v>
      </c>
      <c r="I209">
        <v>402</v>
      </c>
      <c r="J209">
        <v>1287</v>
      </c>
      <c r="K209">
        <v>172</v>
      </c>
      <c r="L209">
        <v>863</v>
      </c>
      <c r="M209">
        <v>637</v>
      </c>
      <c r="N209">
        <v>2048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v>0</v>
      </c>
      <c r="F210">
        <v>0</v>
      </c>
      <c r="G210">
        <v>4223</v>
      </c>
      <c r="H210">
        <v>4706</v>
      </c>
      <c r="I210">
        <v>3780</v>
      </c>
      <c r="J210">
        <v>1076</v>
      </c>
      <c r="K210">
        <v>175</v>
      </c>
      <c r="L210">
        <v>0</v>
      </c>
      <c r="M210">
        <v>3199</v>
      </c>
      <c r="N210">
        <v>1801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v>0</v>
      </c>
      <c r="F211">
        <v>0</v>
      </c>
      <c r="G211">
        <v>9609</v>
      </c>
      <c r="H211">
        <v>13851</v>
      </c>
      <c r="I211">
        <v>10889</v>
      </c>
      <c r="J211">
        <v>11602</v>
      </c>
      <c r="K211">
        <v>0</v>
      </c>
      <c r="L211">
        <v>2469</v>
      </c>
      <c r="M211">
        <v>10006</v>
      </c>
      <c r="N211">
        <v>16531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v>0</v>
      </c>
      <c r="F212">
        <v>0</v>
      </c>
      <c r="G212">
        <v>33278</v>
      </c>
      <c r="H212">
        <v>34017</v>
      </c>
      <c r="I212">
        <v>45376</v>
      </c>
      <c r="J212">
        <v>30978</v>
      </c>
      <c r="K212">
        <v>12660</v>
      </c>
      <c r="L212">
        <v>10341</v>
      </c>
      <c r="M212">
        <v>27161</v>
      </c>
      <c r="N212">
        <v>39574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v>0</v>
      </c>
      <c r="F213">
        <v>0</v>
      </c>
      <c r="G213">
        <v>4378</v>
      </c>
      <c r="H213">
        <v>10356</v>
      </c>
      <c r="I213">
        <v>9402</v>
      </c>
      <c r="J213">
        <v>11750</v>
      </c>
      <c r="K213">
        <v>7144</v>
      </c>
      <c r="L213">
        <v>11079</v>
      </c>
      <c r="M213">
        <v>22114</v>
      </c>
      <c r="N213">
        <v>24630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v>0</v>
      </c>
      <c r="F215">
        <v>0</v>
      </c>
      <c r="G215">
        <v>13506</v>
      </c>
      <c r="H215">
        <v>18258</v>
      </c>
      <c r="I215">
        <v>12325</v>
      </c>
      <c r="J215">
        <v>22218</v>
      </c>
      <c r="K215">
        <v>1702</v>
      </c>
      <c r="L215">
        <v>8705</v>
      </c>
      <c r="M215">
        <v>9679</v>
      </c>
      <c r="N215">
        <v>11511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v>0</v>
      </c>
      <c r="F216">
        <v>0</v>
      </c>
      <c r="G216">
        <v>1858</v>
      </c>
      <c r="H216">
        <v>631</v>
      </c>
      <c r="I216">
        <v>945</v>
      </c>
      <c r="J216">
        <v>1877</v>
      </c>
      <c r="K216">
        <v>0</v>
      </c>
      <c r="L216">
        <v>3484</v>
      </c>
      <c r="M216">
        <v>3740</v>
      </c>
      <c r="N216">
        <v>4591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v>0</v>
      </c>
      <c r="F218">
        <v>0</v>
      </c>
      <c r="G218">
        <v>40145</v>
      </c>
      <c r="H218">
        <v>52988</v>
      </c>
      <c r="I218">
        <v>55808</v>
      </c>
      <c r="J218">
        <v>32734</v>
      </c>
      <c r="K218">
        <v>6582</v>
      </c>
      <c r="L218">
        <v>3875</v>
      </c>
      <c r="M218">
        <v>30095</v>
      </c>
      <c r="N218">
        <v>28357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v>0</v>
      </c>
      <c r="F219">
        <v>0</v>
      </c>
      <c r="G219">
        <v>5459</v>
      </c>
      <c r="H219">
        <v>5525</v>
      </c>
      <c r="I219">
        <v>8511</v>
      </c>
      <c r="J219">
        <v>4586</v>
      </c>
      <c r="K219">
        <v>0</v>
      </c>
      <c r="L219">
        <v>1394</v>
      </c>
      <c r="M219">
        <v>9565</v>
      </c>
      <c r="N219">
        <v>7786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v>0</v>
      </c>
      <c r="F220">
        <v>0</v>
      </c>
      <c r="G220">
        <v>5829</v>
      </c>
      <c r="H220">
        <v>4165</v>
      </c>
      <c r="I220">
        <v>2708</v>
      </c>
      <c r="J220">
        <v>4203</v>
      </c>
      <c r="K220">
        <v>812</v>
      </c>
      <c r="L220">
        <v>79</v>
      </c>
      <c r="M220">
        <v>4021</v>
      </c>
      <c r="N220">
        <v>2753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v>0</v>
      </c>
      <c r="F221">
        <v>0</v>
      </c>
      <c r="G221">
        <v>3942</v>
      </c>
      <c r="H221">
        <v>2719</v>
      </c>
      <c r="I221">
        <v>884</v>
      </c>
      <c r="J221">
        <v>1132</v>
      </c>
      <c r="K221">
        <v>83</v>
      </c>
      <c r="L221">
        <v>0</v>
      </c>
      <c r="M221">
        <v>2311</v>
      </c>
      <c r="N221">
        <v>927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v>0</v>
      </c>
      <c r="F222">
        <v>0</v>
      </c>
      <c r="G222">
        <v>10732</v>
      </c>
      <c r="H222">
        <v>8210</v>
      </c>
      <c r="I222">
        <v>12074</v>
      </c>
      <c r="J222">
        <v>9579</v>
      </c>
      <c r="K222">
        <v>0</v>
      </c>
      <c r="L222">
        <v>1503</v>
      </c>
      <c r="M222">
        <v>12302</v>
      </c>
      <c r="N222">
        <v>15187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v>0</v>
      </c>
      <c r="F224">
        <v>0</v>
      </c>
      <c r="G224">
        <v>3584</v>
      </c>
      <c r="H224">
        <v>3781</v>
      </c>
      <c r="I224">
        <v>3953</v>
      </c>
      <c r="J224">
        <v>2692</v>
      </c>
      <c r="K224">
        <v>0</v>
      </c>
      <c r="L224">
        <v>474</v>
      </c>
      <c r="M224">
        <v>5590</v>
      </c>
      <c r="N224">
        <v>6382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v>0</v>
      </c>
      <c r="F226">
        <v>0</v>
      </c>
      <c r="G226">
        <v>2929</v>
      </c>
      <c r="H226">
        <v>3389</v>
      </c>
      <c r="I226">
        <v>1823</v>
      </c>
      <c r="J226">
        <v>1565</v>
      </c>
      <c r="K226">
        <v>0</v>
      </c>
      <c r="L226">
        <v>1009</v>
      </c>
      <c r="M226">
        <v>1360</v>
      </c>
      <c r="N226">
        <v>2221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v>0</v>
      </c>
      <c r="F227">
        <v>0</v>
      </c>
      <c r="G227">
        <v>1391</v>
      </c>
      <c r="H227">
        <v>1751</v>
      </c>
      <c r="I227">
        <v>1445</v>
      </c>
      <c r="J227">
        <v>1628</v>
      </c>
      <c r="K227">
        <v>0</v>
      </c>
      <c r="L227">
        <v>804</v>
      </c>
      <c r="M227">
        <v>1515</v>
      </c>
      <c r="N227">
        <v>2781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v>0</v>
      </c>
      <c r="F228">
        <v>0</v>
      </c>
      <c r="G228">
        <v>2422</v>
      </c>
      <c r="H228">
        <v>3053</v>
      </c>
      <c r="I228">
        <v>2151</v>
      </c>
      <c r="J228">
        <v>1898</v>
      </c>
      <c r="K228">
        <v>614</v>
      </c>
      <c r="L228">
        <v>422</v>
      </c>
      <c r="M228">
        <v>2174</v>
      </c>
      <c r="N228">
        <v>5225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v>0</v>
      </c>
      <c r="F229">
        <v>0</v>
      </c>
      <c r="G229">
        <v>1692</v>
      </c>
      <c r="H229">
        <v>2375</v>
      </c>
      <c r="I229">
        <v>1103</v>
      </c>
      <c r="J229">
        <v>1420</v>
      </c>
      <c r="K229">
        <v>0</v>
      </c>
      <c r="L229">
        <v>0</v>
      </c>
      <c r="M229">
        <v>2789</v>
      </c>
      <c r="N229">
        <v>3418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v>0</v>
      </c>
      <c r="F230">
        <v>0</v>
      </c>
      <c r="G230">
        <v>2370</v>
      </c>
      <c r="H230">
        <v>1527</v>
      </c>
      <c r="I230">
        <v>1538</v>
      </c>
      <c r="J230">
        <v>1243</v>
      </c>
      <c r="K230">
        <v>0</v>
      </c>
      <c r="L230">
        <v>488</v>
      </c>
      <c r="M230">
        <v>1748</v>
      </c>
      <c r="N230">
        <v>2595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v>0</v>
      </c>
      <c r="F231">
        <v>0</v>
      </c>
      <c r="G231">
        <v>7718</v>
      </c>
      <c r="H231">
        <v>6643</v>
      </c>
      <c r="I231">
        <v>6569</v>
      </c>
      <c r="J231">
        <v>9871</v>
      </c>
      <c r="K231">
        <v>0</v>
      </c>
      <c r="L231">
        <v>3106</v>
      </c>
      <c r="M231">
        <v>6777</v>
      </c>
      <c r="N231">
        <v>6831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v>0</v>
      </c>
      <c r="F232">
        <v>0</v>
      </c>
      <c r="G232">
        <v>823</v>
      </c>
      <c r="H232">
        <v>1551</v>
      </c>
      <c r="I232">
        <v>1281</v>
      </c>
      <c r="J232">
        <v>1780</v>
      </c>
      <c r="K232">
        <v>0</v>
      </c>
      <c r="L232">
        <v>1305</v>
      </c>
      <c r="M232">
        <v>2386</v>
      </c>
      <c r="N232">
        <v>2180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v>0</v>
      </c>
      <c r="F233">
        <v>0</v>
      </c>
      <c r="G233">
        <v>2551</v>
      </c>
      <c r="H233">
        <v>1216</v>
      </c>
      <c r="I233">
        <v>1811</v>
      </c>
      <c r="J233">
        <v>1016</v>
      </c>
      <c r="K233">
        <v>145</v>
      </c>
      <c r="L233">
        <v>1160</v>
      </c>
      <c r="M233">
        <v>993</v>
      </c>
      <c r="N233">
        <v>2090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v>0</v>
      </c>
      <c r="F234">
        <v>0</v>
      </c>
      <c r="G234">
        <v>4820</v>
      </c>
      <c r="H234">
        <v>4973</v>
      </c>
      <c r="I234">
        <v>4698</v>
      </c>
      <c r="J234">
        <v>3399</v>
      </c>
      <c r="K234">
        <v>0</v>
      </c>
      <c r="L234">
        <v>1157</v>
      </c>
      <c r="M234">
        <v>2038</v>
      </c>
      <c r="N234">
        <v>1647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v>0</v>
      </c>
      <c r="F235">
        <v>0</v>
      </c>
      <c r="G235">
        <v>1244</v>
      </c>
      <c r="H235">
        <v>1232</v>
      </c>
      <c r="I235">
        <v>1336</v>
      </c>
      <c r="J235">
        <v>2453</v>
      </c>
      <c r="K235">
        <v>0</v>
      </c>
      <c r="L235">
        <v>228</v>
      </c>
      <c r="M235">
        <v>1723</v>
      </c>
      <c r="N235">
        <v>3586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v>0</v>
      </c>
      <c r="F238">
        <v>0</v>
      </c>
      <c r="G238">
        <v>2229</v>
      </c>
      <c r="H238">
        <v>2692</v>
      </c>
      <c r="I238">
        <v>3576</v>
      </c>
      <c r="J238">
        <v>1940</v>
      </c>
      <c r="K238">
        <v>0</v>
      </c>
      <c r="L238">
        <v>811</v>
      </c>
      <c r="M238">
        <v>1947</v>
      </c>
      <c r="N238">
        <v>2123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v>0</v>
      </c>
      <c r="F239">
        <v>0</v>
      </c>
      <c r="G239">
        <v>1195</v>
      </c>
      <c r="H239">
        <v>3193</v>
      </c>
      <c r="I239">
        <v>1955</v>
      </c>
      <c r="J239">
        <v>1502</v>
      </c>
      <c r="K239">
        <v>0</v>
      </c>
      <c r="L239">
        <v>0</v>
      </c>
      <c r="M239">
        <v>1485</v>
      </c>
      <c r="N239">
        <v>1702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v>0</v>
      </c>
      <c r="F240">
        <v>0</v>
      </c>
      <c r="G240">
        <v>3043</v>
      </c>
      <c r="H240">
        <v>2388</v>
      </c>
      <c r="I240">
        <v>2811</v>
      </c>
      <c r="J240">
        <v>1746</v>
      </c>
      <c r="K240">
        <v>0</v>
      </c>
      <c r="L240">
        <v>0</v>
      </c>
      <c r="M240">
        <v>2192</v>
      </c>
      <c r="N240">
        <v>1271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v>0</v>
      </c>
      <c r="F241">
        <v>0</v>
      </c>
      <c r="G241">
        <v>2642</v>
      </c>
      <c r="H241">
        <v>2922</v>
      </c>
      <c r="I241">
        <v>4606</v>
      </c>
      <c r="J241">
        <v>5431</v>
      </c>
      <c r="K241">
        <v>2165</v>
      </c>
      <c r="L241">
        <v>568</v>
      </c>
      <c r="M241">
        <v>4193</v>
      </c>
      <c r="N241">
        <v>4614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v>0</v>
      </c>
      <c r="F242">
        <v>0</v>
      </c>
      <c r="G242">
        <v>776</v>
      </c>
      <c r="H242">
        <v>2263</v>
      </c>
      <c r="I242">
        <v>2085</v>
      </c>
      <c r="J242">
        <v>1872</v>
      </c>
      <c r="K242">
        <v>0</v>
      </c>
      <c r="L242">
        <v>214</v>
      </c>
      <c r="M242">
        <v>1290</v>
      </c>
      <c r="N242">
        <v>2010</v>
      </c>
    </row>
    <row r="243" spans="1:14" x14ac:dyDescent="0.2">
      <c r="A243" t="s">
        <v>520</v>
      </c>
      <c r="B243" t="s">
        <v>599</v>
      </c>
      <c r="C243">
        <v>215743</v>
      </c>
      <c r="D243">
        <v>11020</v>
      </c>
      <c r="E243">
        <v>0</v>
      </c>
      <c r="F243">
        <v>0</v>
      </c>
      <c r="G243">
        <v>883</v>
      </c>
      <c r="H243">
        <v>1356</v>
      </c>
      <c r="I243">
        <v>1446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v>0</v>
      </c>
      <c r="F244">
        <v>0</v>
      </c>
      <c r="G244">
        <v>1525</v>
      </c>
      <c r="H244">
        <v>774</v>
      </c>
      <c r="I244">
        <v>1382</v>
      </c>
      <c r="J244">
        <v>1224</v>
      </c>
      <c r="K244">
        <v>0</v>
      </c>
      <c r="L244">
        <v>1519</v>
      </c>
      <c r="M244">
        <v>1180</v>
      </c>
      <c r="N244">
        <v>1393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v>0</v>
      </c>
      <c r="F245">
        <v>0</v>
      </c>
      <c r="G245">
        <v>2834</v>
      </c>
      <c r="H245">
        <v>1180</v>
      </c>
      <c r="I245">
        <v>1718</v>
      </c>
      <c r="J245">
        <v>1238</v>
      </c>
      <c r="K245">
        <v>133</v>
      </c>
      <c r="L245">
        <v>1105</v>
      </c>
      <c r="M245">
        <v>2180</v>
      </c>
      <c r="N245">
        <v>1900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v>0</v>
      </c>
      <c r="F246">
        <v>0</v>
      </c>
      <c r="G246">
        <v>2745</v>
      </c>
      <c r="H246">
        <v>1613</v>
      </c>
      <c r="I246">
        <v>1210</v>
      </c>
      <c r="J246">
        <v>2032</v>
      </c>
      <c r="K246">
        <v>731</v>
      </c>
      <c r="L246">
        <v>615</v>
      </c>
      <c r="M246">
        <v>1390</v>
      </c>
      <c r="N246">
        <v>3510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v>0</v>
      </c>
      <c r="F247">
        <v>0</v>
      </c>
      <c r="G247">
        <v>830</v>
      </c>
      <c r="H247">
        <v>630</v>
      </c>
      <c r="I247">
        <v>2190</v>
      </c>
      <c r="J247">
        <v>1073</v>
      </c>
      <c r="K247">
        <v>55</v>
      </c>
      <c r="L247">
        <v>654</v>
      </c>
      <c r="M247">
        <v>1151</v>
      </c>
      <c r="N247">
        <v>662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v>0</v>
      </c>
      <c r="F248">
        <v>0</v>
      </c>
      <c r="G248">
        <v>6624</v>
      </c>
      <c r="H248">
        <v>5271</v>
      </c>
      <c r="I248">
        <v>6750</v>
      </c>
      <c r="J248">
        <v>5008</v>
      </c>
      <c r="K248">
        <v>4228</v>
      </c>
      <c r="L248">
        <v>2432</v>
      </c>
      <c r="M248">
        <v>5150</v>
      </c>
      <c r="N248">
        <v>7450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v>0</v>
      </c>
      <c r="F249">
        <v>0</v>
      </c>
      <c r="G249">
        <v>5300</v>
      </c>
      <c r="H249">
        <v>4446</v>
      </c>
      <c r="I249">
        <v>4647</v>
      </c>
      <c r="J249">
        <v>3974</v>
      </c>
      <c r="K249">
        <v>3087</v>
      </c>
      <c r="L249">
        <v>3118</v>
      </c>
      <c r="M249">
        <v>4075</v>
      </c>
      <c r="N249">
        <v>5750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v>0</v>
      </c>
      <c r="F250">
        <v>0</v>
      </c>
      <c r="G250">
        <v>2757</v>
      </c>
      <c r="H250">
        <v>2762</v>
      </c>
      <c r="I250">
        <v>4758</v>
      </c>
      <c r="J250">
        <v>6950</v>
      </c>
      <c r="K250">
        <v>1737</v>
      </c>
      <c r="L250">
        <v>240</v>
      </c>
      <c r="M250">
        <v>2730</v>
      </c>
      <c r="N250">
        <v>4134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v>0</v>
      </c>
      <c r="F251">
        <v>0</v>
      </c>
      <c r="G251">
        <v>6378</v>
      </c>
      <c r="H251">
        <v>6249</v>
      </c>
      <c r="I251">
        <v>6878</v>
      </c>
      <c r="J251">
        <v>7524</v>
      </c>
      <c r="K251">
        <v>3831</v>
      </c>
      <c r="L251">
        <v>372</v>
      </c>
      <c r="M251">
        <v>9815</v>
      </c>
      <c r="N251">
        <v>11594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v>0</v>
      </c>
      <c r="F253">
        <v>0</v>
      </c>
      <c r="G253">
        <v>2264</v>
      </c>
      <c r="H253">
        <v>1606</v>
      </c>
      <c r="I253">
        <v>2417</v>
      </c>
      <c r="J253">
        <v>4972</v>
      </c>
      <c r="K253">
        <v>2446</v>
      </c>
      <c r="L253">
        <v>150</v>
      </c>
      <c r="M253">
        <v>3835</v>
      </c>
      <c r="N253">
        <v>4634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v>0</v>
      </c>
      <c r="F254">
        <v>0</v>
      </c>
      <c r="G254">
        <v>1848</v>
      </c>
      <c r="H254">
        <v>3547</v>
      </c>
      <c r="I254">
        <v>1750</v>
      </c>
      <c r="J254">
        <v>2541</v>
      </c>
      <c r="K254">
        <v>1530</v>
      </c>
      <c r="L254">
        <v>110</v>
      </c>
      <c r="M254">
        <v>1480</v>
      </c>
      <c r="N254">
        <v>2485</v>
      </c>
    </row>
    <row r="255" spans="1:14" x14ac:dyDescent="0.2">
      <c r="A255" t="s">
        <v>600</v>
      </c>
      <c r="B255" t="s">
        <v>600</v>
      </c>
      <c r="C255">
        <v>140960</v>
      </c>
      <c r="E255">
        <v>0</v>
      </c>
      <c r="F255">
        <v>0</v>
      </c>
      <c r="G255">
        <v>2200</v>
      </c>
      <c r="H255">
        <v>914</v>
      </c>
      <c r="I255">
        <v>1049</v>
      </c>
      <c r="J255">
        <v>1399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E256">
        <v>0</v>
      </c>
      <c r="F256">
        <v>0</v>
      </c>
      <c r="G256">
        <v>3305</v>
      </c>
      <c r="H256">
        <v>1012</v>
      </c>
      <c r="I256">
        <v>1847</v>
      </c>
      <c r="J256">
        <v>2684</v>
      </c>
      <c r="K256">
        <v>0</v>
      </c>
      <c r="L256">
        <v>500</v>
      </c>
      <c r="M256">
        <v>1025</v>
      </c>
      <c r="N256">
        <v>2111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E257">
        <v>0</v>
      </c>
      <c r="F257">
        <v>0</v>
      </c>
      <c r="G257">
        <v>1254</v>
      </c>
      <c r="H257">
        <v>2323</v>
      </c>
      <c r="I257">
        <v>1563</v>
      </c>
      <c r="J257">
        <v>3501</v>
      </c>
      <c r="K257">
        <v>0</v>
      </c>
      <c r="L257">
        <v>885</v>
      </c>
      <c r="M257">
        <v>1735</v>
      </c>
      <c r="N257">
        <v>1894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E258">
        <v>0</v>
      </c>
      <c r="F258">
        <v>0</v>
      </c>
      <c r="G258">
        <v>4263</v>
      </c>
      <c r="H258">
        <v>2560</v>
      </c>
      <c r="I258">
        <v>5854</v>
      </c>
      <c r="J258">
        <v>4591</v>
      </c>
      <c r="K258">
        <v>0</v>
      </c>
      <c r="L258">
        <v>2576</v>
      </c>
      <c r="M258">
        <v>2914</v>
      </c>
      <c r="N258">
        <v>2326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E259">
        <v>0</v>
      </c>
      <c r="F259">
        <v>0</v>
      </c>
      <c r="G259">
        <v>1796</v>
      </c>
      <c r="H259">
        <v>753</v>
      </c>
      <c r="I259">
        <v>1059</v>
      </c>
      <c r="J259">
        <v>1399</v>
      </c>
      <c r="K259">
        <v>0</v>
      </c>
      <c r="L259">
        <v>275</v>
      </c>
      <c r="M259">
        <v>773</v>
      </c>
      <c r="N259">
        <v>1547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E260">
        <v>0</v>
      </c>
      <c r="F260">
        <v>0</v>
      </c>
      <c r="G260">
        <v>1860</v>
      </c>
      <c r="H260">
        <v>1901</v>
      </c>
      <c r="I260">
        <v>1963</v>
      </c>
      <c r="J260">
        <v>1477</v>
      </c>
      <c r="K260">
        <v>42</v>
      </c>
      <c r="L260">
        <v>1325</v>
      </c>
      <c r="M260">
        <v>1626</v>
      </c>
      <c r="N260">
        <v>1534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E262">
        <v>0</v>
      </c>
      <c r="F262">
        <v>0</v>
      </c>
      <c r="G262">
        <v>8232</v>
      </c>
      <c r="H262">
        <v>15901</v>
      </c>
      <c r="I262">
        <v>10666</v>
      </c>
      <c r="J262">
        <v>11303</v>
      </c>
      <c r="K262">
        <v>4581</v>
      </c>
      <c r="L262">
        <v>4000</v>
      </c>
      <c r="M262">
        <v>5060</v>
      </c>
      <c r="N262">
        <v>11324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E263">
        <v>0</v>
      </c>
      <c r="F263">
        <v>0</v>
      </c>
      <c r="G263">
        <v>33201</v>
      </c>
      <c r="H263">
        <v>37686</v>
      </c>
      <c r="I263">
        <v>40209</v>
      </c>
      <c r="J263">
        <v>36139</v>
      </c>
      <c r="K263">
        <v>18875</v>
      </c>
      <c r="L263">
        <v>8700</v>
      </c>
      <c r="M263">
        <v>49675</v>
      </c>
      <c r="N263">
        <v>50637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E264">
        <v>0</v>
      </c>
      <c r="F264">
        <v>0</v>
      </c>
      <c r="G264">
        <v>492</v>
      </c>
      <c r="H264">
        <v>899</v>
      </c>
      <c r="I264">
        <v>1030</v>
      </c>
      <c r="J264">
        <v>357</v>
      </c>
      <c r="K264">
        <v>0</v>
      </c>
      <c r="L264">
        <v>1397</v>
      </c>
      <c r="M264">
        <v>1203</v>
      </c>
      <c r="N264">
        <v>1446</v>
      </c>
    </row>
    <row r="265" spans="1:14" x14ac:dyDescent="0.2">
      <c r="A265" t="s">
        <v>201</v>
      </c>
      <c r="B265" t="s">
        <v>201</v>
      </c>
      <c r="C265">
        <v>219471</v>
      </c>
      <c r="D265">
        <v>46820</v>
      </c>
      <c r="E265">
        <v>0</v>
      </c>
      <c r="F265">
        <v>0</v>
      </c>
      <c r="G265">
        <v>441</v>
      </c>
      <c r="H265">
        <v>1111</v>
      </c>
      <c r="I265">
        <v>598</v>
      </c>
      <c r="J265">
        <v>1022</v>
      </c>
      <c r="K265">
        <v>0</v>
      </c>
      <c r="L265">
        <v>591</v>
      </c>
      <c r="M265">
        <v>1398</v>
      </c>
      <c r="N265">
        <v>406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E266">
        <v>0</v>
      </c>
      <c r="F266">
        <v>0</v>
      </c>
      <c r="G266">
        <v>1249</v>
      </c>
      <c r="H266">
        <v>1012</v>
      </c>
      <c r="I266">
        <v>426</v>
      </c>
      <c r="J266">
        <v>1623</v>
      </c>
      <c r="K266">
        <v>0</v>
      </c>
      <c r="L266">
        <v>1804</v>
      </c>
      <c r="M266">
        <v>1423</v>
      </c>
      <c r="N266">
        <v>2249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E267">
        <v>0</v>
      </c>
      <c r="F267">
        <v>0</v>
      </c>
      <c r="G267">
        <v>24264</v>
      </c>
      <c r="H267">
        <v>17519</v>
      </c>
      <c r="I267">
        <v>22181</v>
      </c>
      <c r="J267">
        <v>31298</v>
      </c>
      <c r="K267">
        <v>8246</v>
      </c>
      <c r="L267">
        <v>1714</v>
      </c>
      <c r="M267">
        <v>28284</v>
      </c>
      <c r="N267">
        <v>34376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E268">
        <v>0</v>
      </c>
      <c r="F268">
        <v>0</v>
      </c>
      <c r="G268">
        <v>2720</v>
      </c>
      <c r="H268">
        <v>2765</v>
      </c>
      <c r="I268">
        <v>2742</v>
      </c>
      <c r="J268">
        <v>3492</v>
      </c>
      <c r="K268">
        <v>836</v>
      </c>
      <c r="L268">
        <v>3870</v>
      </c>
      <c r="M268">
        <v>3649</v>
      </c>
      <c r="N268">
        <v>2716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E269">
        <v>0</v>
      </c>
      <c r="F269">
        <v>0</v>
      </c>
      <c r="G269">
        <v>9789</v>
      </c>
      <c r="H269">
        <v>5715</v>
      </c>
      <c r="I269">
        <v>8665</v>
      </c>
      <c r="J269">
        <v>10799</v>
      </c>
      <c r="K269">
        <v>2675</v>
      </c>
      <c r="L269">
        <v>5734</v>
      </c>
      <c r="M269">
        <v>6131</v>
      </c>
      <c r="N269">
        <v>4900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E271">
        <v>0</v>
      </c>
      <c r="F271">
        <v>0</v>
      </c>
      <c r="G271">
        <v>5058</v>
      </c>
      <c r="H271">
        <v>3801</v>
      </c>
      <c r="I271">
        <v>3812</v>
      </c>
      <c r="J271">
        <v>2998</v>
      </c>
      <c r="K271">
        <v>1718</v>
      </c>
      <c r="L271">
        <v>855</v>
      </c>
      <c r="M271">
        <v>2262</v>
      </c>
      <c r="N271">
        <v>4615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E272">
        <v>0</v>
      </c>
      <c r="F272">
        <v>0</v>
      </c>
      <c r="G272">
        <v>15371</v>
      </c>
      <c r="H272">
        <v>12038</v>
      </c>
      <c r="I272">
        <v>15665</v>
      </c>
      <c r="J272">
        <v>11193</v>
      </c>
      <c r="K272">
        <v>5507</v>
      </c>
      <c r="L272">
        <v>0</v>
      </c>
      <c r="M272">
        <v>17575</v>
      </c>
      <c r="N272">
        <v>10491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E273">
        <v>0</v>
      </c>
      <c r="F273">
        <v>0</v>
      </c>
      <c r="G273">
        <v>305</v>
      </c>
      <c r="H273">
        <v>653</v>
      </c>
      <c r="I273">
        <v>504</v>
      </c>
      <c r="J273">
        <v>1711</v>
      </c>
      <c r="K273">
        <v>0</v>
      </c>
      <c r="L273">
        <v>175</v>
      </c>
      <c r="M273">
        <v>2430</v>
      </c>
      <c r="N273">
        <v>1430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E274">
        <v>0</v>
      </c>
      <c r="F274">
        <v>0</v>
      </c>
      <c r="G274">
        <v>1646</v>
      </c>
      <c r="H274">
        <v>1875</v>
      </c>
      <c r="I274">
        <v>1250</v>
      </c>
      <c r="J274">
        <v>1450</v>
      </c>
      <c r="K274">
        <v>0</v>
      </c>
      <c r="L274">
        <v>1100</v>
      </c>
      <c r="M274">
        <v>728</v>
      </c>
      <c r="N274">
        <v>696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E275">
        <v>0</v>
      </c>
      <c r="F275">
        <v>0</v>
      </c>
      <c r="G275">
        <v>2593</v>
      </c>
      <c r="H275">
        <v>1963</v>
      </c>
      <c r="I275">
        <v>1238</v>
      </c>
      <c r="J275">
        <v>1899</v>
      </c>
      <c r="K275">
        <v>0</v>
      </c>
      <c r="L275">
        <v>573</v>
      </c>
      <c r="M275">
        <v>2547</v>
      </c>
      <c r="N275">
        <v>3810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E277">
        <v>0</v>
      </c>
      <c r="F277">
        <v>0</v>
      </c>
      <c r="G277">
        <v>1862</v>
      </c>
      <c r="H277">
        <v>2809</v>
      </c>
      <c r="I277">
        <v>2064</v>
      </c>
      <c r="J277">
        <v>944</v>
      </c>
      <c r="K277">
        <v>0</v>
      </c>
      <c r="L277">
        <v>283</v>
      </c>
      <c r="M277">
        <v>1883</v>
      </c>
      <c r="N277">
        <v>1700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E278">
        <v>0</v>
      </c>
      <c r="F278">
        <v>0</v>
      </c>
      <c r="G278">
        <v>9085</v>
      </c>
      <c r="H278">
        <v>8320</v>
      </c>
      <c r="I278">
        <v>10995</v>
      </c>
      <c r="J278">
        <v>13174</v>
      </c>
      <c r="K278">
        <v>5650</v>
      </c>
      <c r="L278">
        <v>1563</v>
      </c>
      <c r="M278">
        <v>15675</v>
      </c>
      <c r="N278">
        <v>15473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E279">
        <v>0</v>
      </c>
      <c r="F279">
        <v>0</v>
      </c>
      <c r="G279">
        <v>4816</v>
      </c>
      <c r="H279">
        <v>6354</v>
      </c>
      <c r="I279">
        <v>5604</v>
      </c>
      <c r="J279">
        <v>3231</v>
      </c>
      <c r="K279">
        <v>2892</v>
      </c>
      <c r="L279">
        <v>450</v>
      </c>
      <c r="M279">
        <v>5780</v>
      </c>
      <c r="N279">
        <v>5740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E280">
        <v>0</v>
      </c>
      <c r="F280">
        <v>0</v>
      </c>
      <c r="G280">
        <v>1596</v>
      </c>
      <c r="H280">
        <v>1460</v>
      </c>
      <c r="I280">
        <v>1432</v>
      </c>
      <c r="J280">
        <v>1428</v>
      </c>
      <c r="K280">
        <v>0</v>
      </c>
      <c r="L280">
        <v>0</v>
      </c>
      <c r="M280">
        <v>2442</v>
      </c>
      <c r="N280">
        <v>1940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E281">
        <v>0</v>
      </c>
      <c r="F281">
        <v>0</v>
      </c>
      <c r="G281">
        <v>2472</v>
      </c>
      <c r="H281">
        <v>2061</v>
      </c>
      <c r="I281">
        <v>3154</v>
      </c>
      <c r="J281">
        <v>4571</v>
      </c>
      <c r="K281">
        <v>0</v>
      </c>
      <c r="L281">
        <v>144</v>
      </c>
      <c r="M281">
        <v>2817</v>
      </c>
      <c r="N281">
        <v>1162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E284">
        <v>0</v>
      </c>
      <c r="F284">
        <v>0</v>
      </c>
      <c r="G284">
        <v>37475</v>
      </c>
      <c r="H284">
        <v>55217</v>
      </c>
      <c r="I284">
        <v>37316</v>
      </c>
      <c r="J284">
        <v>48058</v>
      </c>
      <c r="K284">
        <v>10587</v>
      </c>
      <c r="L284">
        <v>15244</v>
      </c>
      <c r="M284">
        <v>46673</v>
      </c>
      <c r="N284">
        <v>51027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E285">
        <v>0</v>
      </c>
      <c r="F285">
        <v>0</v>
      </c>
      <c r="G285">
        <v>4085</v>
      </c>
      <c r="H285">
        <v>3014</v>
      </c>
      <c r="I285">
        <v>2580</v>
      </c>
      <c r="J285">
        <v>2429</v>
      </c>
      <c r="K285">
        <v>398</v>
      </c>
      <c r="L285">
        <v>1449</v>
      </c>
      <c r="M285">
        <v>1099</v>
      </c>
      <c r="N285">
        <v>3270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E286">
        <v>0</v>
      </c>
      <c r="F286">
        <v>0</v>
      </c>
      <c r="G286">
        <v>2416</v>
      </c>
      <c r="H286">
        <v>675</v>
      </c>
      <c r="I286">
        <v>1483</v>
      </c>
      <c r="J286">
        <v>1682</v>
      </c>
      <c r="K286">
        <v>0</v>
      </c>
      <c r="L286">
        <v>1964</v>
      </c>
      <c r="M286">
        <v>3015</v>
      </c>
      <c r="N286">
        <v>3245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E287">
        <v>0</v>
      </c>
      <c r="F287">
        <v>0</v>
      </c>
      <c r="G287">
        <v>14412</v>
      </c>
      <c r="H287">
        <v>15547</v>
      </c>
      <c r="I287">
        <v>16869</v>
      </c>
      <c r="J287">
        <v>29653</v>
      </c>
      <c r="K287">
        <v>17731</v>
      </c>
      <c r="L287">
        <v>13951</v>
      </c>
      <c r="M287">
        <v>29052</v>
      </c>
      <c r="N287">
        <v>54745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E288">
        <v>0</v>
      </c>
      <c r="F288">
        <v>0</v>
      </c>
      <c r="G288">
        <v>33270</v>
      </c>
      <c r="H288">
        <v>39913</v>
      </c>
      <c r="I288">
        <v>52742</v>
      </c>
      <c r="J288">
        <v>49564</v>
      </c>
      <c r="K288">
        <v>20863</v>
      </c>
      <c r="L288">
        <v>13295</v>
      </c>
      <c r="M288">
        <v>50810</v>
      </c>
      <c r="N288">
        <v>39725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E289">
        <v>0</v>
      </c>
      <c r="F289">
        <v>0</v>
      </c>
      <c r="G289">
        <v>1036</v>
      </c>
      <c r="H289">
        <v>1646</v>
      </c>
      <c r="I289">
        <v>2083</v>
      </c>
      <c r="J289">
        <v>2629</v>
      </c>
      <c r="K289">
        <v>185</v>
      </c>
      <c r="L289">
        <v>640</v>
      </c>
      <c r="M289">
        <v>2271</v>
      </c>
      <c r="N289">
        <v>1452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E290">
        <v>0</v>
      </c>
      <c r="F290">
        <v>0</v>
      </c>
      <c r="G290">
        <v>15844</v>
      </c>
      <c r="H290">
        <v>15612</v>
      </c>
      <c r="I290">
        <v>15724</v>
      </c>
      <c r="J290">
        <v>11794</v>
      </c>
      <c r="K290">
        <v>2617</v>
      </c>
      <c r="L290">
        <v>7602</v>
      </c>
      <c r="M290">
        <v>9625</v>
      </c>
      <c r="N290">
        <v>13923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E291">
        <v>0</v>
      </c>
      <c r="F291">
        <v>0</v>
      </c>
      <c r="G291">
        <v>7238</v>
      </c>
      <c r="H291">
        <v>6287</v>
      </c>
      <c r="I291">
        <v>5471</v>
      </c>
      <c r="J291">
        <v>10347</v>
      </c>
      <c r="K291">
        <v>3127</v>
      </c>
      <c r="L291">
        <v>5330</v>
      </c>
      <c r="M291">
        <v>9927</v>
      </c>
      <c r="N291">
        <v>9029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E293">
        <v>0</v>
      </c>
      <c r="F293">
        <v>0</v>
      </c>
      <c r="G293">
        <v>1704</v>
      </c>
      <c r="H293">
        <v>665</v>
      </c>
      <c r="I293">
        <v>2274</v>
      </c>
      <c r="J293">
        <v>1963</v>
      </c>
      <c r="K293">
        <v>0</v>
      </c>
      <c r="L293">
        <v>0</v>
      </c>
      <c r="M293">
        <v>847</v>
      </c>
      <c r="N293">
        <v>1327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E294">
        <v>0</v>
      </c>
      <c r="F294">
        <v>0</v>
      </c>
      <c r="G294">
        <v>3875</v>
      </c>
      <c r="H294">
        <v>2153</v>
      </c>
      <c r="I294">
        <v>5261</v>
      </c>
      <c r="J294">
        <v>2253</v>
      </c>
      <c r="K294">
        <v>654</v>
      </c>
      <c r="L294">
        <v>779</v>
      </c>
      <c r="M294">
        <v>2978</v>
      </c>
      <c r="N294">
        <v>3353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E295">
        <v>0</v>
      </c>
      <c r="F295">
        <v>0</v>
      </c>
      <c r="G295">
        <v>10002</v>
      </c>
      <c r="H295">
        <v>12262</v>
      </c>
      <c r="I295">
        <v>13130</v>
      </c>
      <c r="J295">
        <v>12386</v>
      </c>
      <c r="K295">
        <v>1986</v>
      </c>
      <c r="L295">
        <v>5281</v>
      </c>
      <c r="M295">
        <v>8473</v>
      </c>
      <c r="N295">
        <v>8617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E297">
        <v>0</v>
      </c>
      <c r="F297">
        <v>0</v>
      </c>
      <c r="G297">
        <v>8435</v>
      </c>
      <c r="H297">
        <v>5016</v>
      </c>
      <c r="I297">
        <v>4960</v>
      </c>
      <c r="J297">
        <v>5216</v>
      </c>
      <c r="K297">
        <v>1586</v>
      </c>
      <c r="L297">
        <v>2300</v>
      </c>
      <c r="M297">
        <v>3842</v>
      </c>
      <c r="N297">
        <v>12550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E298">
        <v>0</v>
      </c>
      <c r="F298">
        <v>0</v>
      </c>
      <c r="G298">
        <v>8740</v>
      </c>
      <c r="H298">
        <v>7118</v>
      </c>
      <c r="I298">
        <v>4703</v>
      </c>
      <c r="J298">
        <v>4087</v>
      </c>
      <c r="K298">
        <v>1733</v>
      </c>
      <c r="L298">
        <v>5823</v>
      </c>
      <c r="M298">
        <v>5296</v>
      </c>
      <c r="N298">
        <v>6533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E299">
        <v>0</v>
      </c>
      <c r="F299">
        <v>0</v>
      </c>
      <c r="G299">
        <v>1276</v>
      </c>
      <c r="H299">
        <v>410</v>
      </c>
      <c r="I299">
        <v>639</v>
      </c>
      <c r="J299">
        <v>1760</v>
      </c>
      <c r="K299">
        <v>0</v>
      </c>
      <c r="L299">
        <v>340</v>
      </c>
      <c r="M299">
        <v>1235</v>
      </c>
      <c r="N299">
        <v>1122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E300">
        <v>0</v>
      </c>
      <c r="F300">
        <v>0</v>
      </c>
      <c r="G300">
        <v>5973</v>
      </c>
      <c r="H300">
        <v>3610</v>
      </c>
      <c r="I300">
        <v>3074</v>
      </c>
      <c r="J300">
        <v>2551</v>
      </c>
      <c r="K300">
        <v>1311</v>
      </c>
      <c r="L300">
        <v>299</v>
      </c>
      <c r="M300">
        <v>2666</v>
      </c>
      <c r="N300">
        <v>3278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E302">
        <v>0</v>
      </c>
      <c r="F302">
        <v>0</v>
      </c>
      <c r="G302">
        <v>3876</v>
      </c>
      <c r="H302">
        <v>6684</v>
      </c>
      <c r="I302">
        <v>5671</v>
      </c>
      <c r="J302">
        <v>5042</v>
      </c>
      <c r="K302">
        <v>2528</v>
      </c>
      <c r="L302">
        <v>0</v>
      </c>
      <c r="M302">
        <v>2674</v>
      </c>
      <c r="N302">
        <v>2643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E303">
        <v>0</v>
      </c>
      <c r="F303">
        <v>0</v>
      </c>
      <c r="G303">
        <v>3177</v>
      </c>
      <c r="H303">
        <v>3120</v>
      </c>
      <c r="I303">
        <v>3358</v>
      </c>
      <c r="J303">
        <v>2425</v>
      </c>
      <c r="K303">
        <v>1281</v>
      </c>
      <c r="L303">
        <v>340</v>
      </c>
      <c r="M303">
        <v>3467</v>
      </c>
      <c r="N303">
        <v>2748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E304">
        <v>0</v>
      </c>
      <c r="F304">
        <v>0</v>
      </c>
      <c r="G304">
        <v>14760</v>
      </c>
      <c r="H304">
        <v>10949</v>
      </c>
      <c r="I304">
        <v>6792</v>
      </c>
      <c r="J304">
        <v>14926</v>
      </c>
      <c r="K304">
        <v>6205</v>
      </c>
      <c r="L304">
        <v>3999</v>
      </c>
      <c r="M304">
        <v>23678</v>
      </c>
      <c r="N304">
        <v>17633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E305">
        <v>0</v>
      </c>
      <c r="F305">
        <v>0</v>
      </c>
      <c r="G305">
        <v>18465</v>
      </c>
      <c r="H305">
        <v>23005</v>
      </c>
      <c r="I305">
        <v>25287</v>
      </c>
      <c r="J305">
        <v>25344</v>
      </c>
      <c r="K305">
        <v>4998</v>
      </c>
      <c r="L305">
        <v>2528</v>
      </c>
      <c r="M305">
        <v>24822</v>
      </c>
      <c r="N305">
        <v>20416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E306">
        <v>0</v>
      </c>
      <c r="F306">
        <v>0</v>
      </c>
      <c r="G306">
        <v>1571</v>
      </c>
      <c r="H306">
        <v>1584</v>
      </c>
      <c r="I306">
        <v>1642</v>
      </c>
      <c r="J306">
        <v>1748</v>
      </c>
      <c r="K306">
        <v>0</v>
      </c>
      <c r="L306">
        <v>796</v>
      </c>
      <c r="M306">
        <v>5876</v>
      </c>
      <c r="N306">
        <v>6258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E307">
        <v>0</v>
      </c>
      <c r="F307">
        <v>0</v>
      </c>
      <c r="G307">
        <v>1887</v>
      </c>
      <c r="H307">
        <v>2528</v>
      </c>
      <c r="I307">
        <v>1969</v>
      </c>
      <c r="J307">
        <v>3169</v>
      </c>
      <c r="K307">
        <v>0</v>
      </c>
      <c r="L307">
        <v>324</v>
      </c>
      <c r="M307">
        <v>4059</v>
      </c>
      <c r="N307">
        <v>1072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E308">
        <v>0</v>
      </c>
      <c r="F308">
        <v>0</v>
      </c>
      <c r="G308">
        <v>2992</v>
      </c>
      <c r="H308">
        <v>3409</v>
      </c>
      <c r="I308">
        <v>2260</v>
      </c>
      <c r="J308">
        <v>2626</v>
      </c>
      <c r="K308">
        <v>2916</v>
      </c>
      <c r="L308">
        <v>1090</v>
      </c>
      <c r="M308">
        <v>3509</v>
      </c>
      <c r="N308">
        <v>3326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E309">
        <v>0</v>
      </c>
      <c r="F309">
        <v>0</v>
      </c>
      <c r="G309">
        <v>4487</v>
      </c>
      <c r="H309">
        <v>2762</v>
      </c>
      <c r="I309">
        <v>2620</v>
      </c>
      <c r="J309">
        <v>3989</v>
      </c>
      <c r="K309">
        <v>1429</v>
      </c>
      <c r="L309">
        <v>2340</v>
      </c>
      <c r="M309">
        <v>8096</v>
      </c>
      <c r="N309">
        <v>14331</v>
      </c>
    </row>
    <row r="310" spans="1:14" x14ac:dyDescent="0.2">
      <c r="A310" t="s">
        <v>569</v>
      </c>
      <c r="B310" t="s">
        <v>569</v>
      </c>
      <c r="C310">
        <v>166513</v>
      </c>
      <c r="D310">
        <v>31700</v>
      </c>
      <c r="E310">
        <v>0</v>
      </c>
      <c r="F310">
        <v>0</v>
      </c>
      <c r="G310">
        <v>1575</v>
      </c>
      <c r="H310">
        <v>1877</v>
      </c>
      <c r="I310">
        <v>2031</v>
      </c>
      <c r="J310">
        <v>1998</v>
      </c>
      <c r="K310">
        <v>0</v>
      </c>
      <c r="L310">
        <v>452</v>
      </c>
      <c r="M310">
        <v>1897</v>
      </c>
      <c r="N310">
        <v>1099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E311">
        <v>0</v>
      </c>
      <c r="F311">
        <v>0</v>
      </c>
      <c r="G311">
        <v>2520</v>
      </c>
      <c r="H311">
        <v>2047</v>
      </c>
      <c r="I311">
        <v>1277</v>
      </c>
      <c r="J311">
        <v>2637</v>
      </c>
      <c r="K311">
        <v>358</v>
      </c>
      <c r="L311">
        <v>1777</v>
      </c>
      <c r="M311">
        <v>6573</v>
      </c>
      <c r="N311">
        <v>9457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E312">
        <v>0</v>
      </c>
      <c r="F312">
        <v>0</v>
      </c>
      <c r="G312">
        <v>527</v>
      </c>
      <c r="H312">
        <v>445</v>
      </c>
      <c r="I312">
        <v>800</v>
      </c>
      <c r="J312">
        <v>900</v>
      </c>
      <c r="K312">
        <v>320</v>
      </c>
      <c r="L312">
        <v>0</v>
      </c>
      <c r="M312">
        <v>2001</v>
      </c>
      <c r="N312">
        <v>316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E314">
        <v>0</v>
      </c>
      <c r="F314">
        <v>0</v>
      </c>
      <c r="G314">
        <v>4679</v>
      </c>
      <c r="H314">
        <v>3373</v>
      </c>
      <c r="I314">
        <v>5269</v>
      </c>
      <c r="J314">
        <v>4311</v>
      </c>
      <c r="K314">
        <v>2715</v>
      </c>
      <c r="L314">
        <v>2160</v>
      </c>
      <c r="M314">
        <v>6291</v>
      </c>
      <c r="N314">
        <v>6306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E315">
        <v>0</v>
      </c>
      <c r="F315">
        <v>0</v>
      </c>
      <c r="G315">
        <v>8031</v>
      </c>
      <c r="H315">
        <v>8932</v>
      </c>
      <c r="I315">
        <v>8328</v>
      </c>
      <c r="J315">
        <v>9811</v>
      </c>
      <c r="K315">
        <v>1073</v>
      </c>
      <c r="L315">
        <v>1615</v>
      </c>
      <c r="M315">
        <v>4679</v>
      </c>
      <c r="N315">
        <v>4889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E316">
        <v>0</v>
      </c>
      <c r="F316">
        <v>0</v>
      </c>
      <c r="G316">
        <v>5167</v>
      </c>
      <c r="H316">
        <v>2476</v>
      </c>
      <c r="I316">
        <v>2105</v>
      </c>
      <c r="J316">
        <v>3330</v>
      </c>
      <c r="K316">
        <v>747</v>
      </c>
      <c r="L316">
        <v>1412</v>
      </c>
      <c r="M316">
        <v>1631</v>
      </c>
      <c r="N316">
        <v>2368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E317">
        <v>0</v>
      </c>
      <c r="F317">
        <v>0</v>
      </c>
      <c r="G317">
        <v>11266</v>
      </c>
      <c r="H317">
        <v>6005</v>
      </c>
      <c r="I317">
        <v>8415</v>
      </c>
      <c r="J317">
        <v>8845</v>
      </c>
      <c r="K317">
        <v>3714</v>
      </c>
      <c r="L317">
        <v>300</v>
      </c>
      <c r="M317">
        <v>10458</v>
      </c>
      <c r="N317">
        <v>9816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E318">
        <v>0</v>
      </c>
      <c r="F318">
        <v>0</v>
      </c>
      <c r="G318">
        <v>3161</v>
      </c>
      <c r="H318">
        <v>2700</v>
      </c>
      <c r="I318">
        <v>2906</v>
      </c>
      <c r="J318">
        <v>4424</v>
      </c>
      <c r="K318">
        <v>2057</v>
      </c>
      <c r="L318">
        <v>3677</v>
      </c>
      <c r="M318">
        <v>6768</v>
      </c>
      <c r="N318">
        <v>4261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E319">
        <v>0</v>
      </c>
      <c r="F319">
        <v>0</v>
      </c>
      <c r="G319">
        <v>8611</v>
      </c>
      <c r="H319">
        <v>6784</v>
      </c>
      <c r="I319">
        <v>4962</v>
      </c>
      <c r="J319">
        <v>8322</v>
      </c>
      <c r="K319">
        <v>4026</v>
      </c>
      <c r="L319">
        <v>2808</v>
      </c>
      <c r="M319">
        <v>6062</v>
      </c>
      <c r="N319">
        <v>9178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E320">
        <v>0</v>
      </c>
      <c r="F320">
        <v>0</v>
      </c>
      <c r="G320">
        <v>1603</v>
      </c>
      <c r="H320">
        <v>3128</v>
      </c>
      <c r="I320">
        <v>2907</v>
      </c>
      <c r="J320">
        <v>3709</v>
      </c>
      <c r="K320">
        <v>711</v>
      </c>
      <c r="L320">
        <v>2997</v>
      </c>
      <c r="M320">
        <v>2989</v>
      </c>
      <c r="N320">
        <v>3081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E321">
        <v>0</v>
      </c>
      <c r="F321">
        <v>0</v>
      </c>
      <c r="G321">
        <v>5122</v>
      </c>
      <c r="H321">
        <v>9840</v>
      </c>
      <c r="I321">
        <v>8202</v>
      </c>
      <c r="J321">
        <v>9732</v>
      </c>
      <c r="K321">
        <v>0</v>
      </c>
      <c r="L321">
        <v>2970</v>
      </c>
      <c r="M321">
        <v>7975</v>
      </c>
      <c r="N321">
        <v>23936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E322">
        <v>0</v>
      </c>
      <c r="F322">
        <v>0</v>
      </c>
      <c r="G322">
        <v>4719</v>
      </c>
      <c r="H322">
        <v>3755</v>
      </c>
      <c r="I322">
        <v>4168</v>
      </c>
      <c r="J322">
        <v>3310</v>
      </c>
      <c r="K322">
        <v>0</v>
      </c>
      <c r="L322">
        <v>2444</v>
      </c>
      <c r="M322">
        <v>4528</v>
      </c>
      <c r="N322">
        <v>2501</v>
      </c>
    </row>
    <row r="323" spans="1:14" x14ac:dyDescent="0.2">
      <c r="A323" t="s">
        <v>236</v>
      </c>
      <c r="B323" t="s">
        <v>236</v>
      </c>
      <c r="C323">
        <v>230737</v>
      </c>
      <c r="D323">
        <v>39340</v>
      </c>
      <c r="E323">
        <v>0</v>
      </c>
      <c r="F323">
        <v>0</v>
      </c>
      <c r="G323">
        <v>2063</v>
      </c>
      <c r="H323">
        <v>2030</v>
      </c>
      <c r="I323">
        <v>2387</v>
      </c>
      <c r="J323">
        <v>2891</v>
      </c>
      <c r="K323">
        <v>0</v>
      </c>
      <c r="L323">
        <v>1922</v>
      </c>
      <c r="M323">
        <v>2475</v>
      </c>
      <c r="N323">
        <v>2271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E324">
        <v>0</v>
      </c>
      <c r="F324">
        <v>0</v>
      </c>
      <c r="G324">
        <v>5885</v>
      </c>
      <c r="H324">
        <v>3594</v>
      </c>
      <c r="I324">
        <v>5384</v>
      </c>
      <c r="J324">
        <v>5264</v>
      </c>
      <c r="K324">
        <v>1795</v>
      </c>
      <c r="L324">
        <v>2214</v>
      </c>
      <c r="M324">
        <v>5128</v>
      </c>
      <c r="N324">
        <v>5291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E326">
        <v>0</v>
      </c>
      <c r="F326">
        <v>0</v>
      </c>
      <c r="G326">
        <v>3944</v>
      </c>
      <c r="H326">
        <v>5110</v>
      </c>
      <c r="I326">
        <v>4647</v>
      </c>
      <c r="J326">
        <v>3377</v>
      </c>
      <c r="K326">
        <v>835</v>
      </c>
      <c r="L326">
        <v>788</v>
      </c>
      <c r="M326">
        <v>3105</v>
      </c>
      <c r="N326">
        <v>3447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E327">
        <v>0</v>
      </c>
      <c r="F327">
        <v>0</v>
      </c>
      <c r="G327">
        <v>1425</v>
      </c>
      <c r="H327">
        <v>1914</v>
      </c>
      <c r="I327">
        <v>1670</v>
      </c>
      <c r="J327">
        <v>1534</v>
      </c>
      <c r="K327">
        <v>0</v>
      </c>
      <c r="L327">
        <v>524</v>
      </c>
      <c r="M327">
        <v>1300</v>
      </c>
      <c r="N327">
        <v>1868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E331">
        <v>0</v>
      </c>
      <c r="F331">
        <v>0</v>
      </c>
      <c r="G331">
        <v>2850</v>
      </c>
      <c r="H331">
        <v>2456</v>
      </c>
      <c r="I331">
        <v>1959</v>
      </c>
      <c r="J331">
        <v>1479</v>
      </c>
      <c r="K331">
        <v>450</v>
      </c>
      <c r="L331">
        <v>680</v>
      </c>
      <c r="M331">
        <v>4105</v>
      </c>
      <c r="N331">
        <v>3862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E332">
        <v>0</v>
      </c>
      <c r="F332">
        <v>0</v>
      </c>
      <c r="G332">
        <v>1775</v>
      </c>
      <c r="H332">
        <v>2823</v>
      </c>
      <c r="I332">
        <v>3709</v>
      </c>
      <c r="J332">
        <v>3947</v>
      </c>
      <c r="K332">
        <v>3480</v>
      </c>
      <c r="L332">
        <v>2793</v>
      </c>
      <c r="M332">
        <v>14637</v>
      </c>
      <c r="N332">
        <v>18262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E333">
        <v>0</v>
      </c>
      <c r="F333">
        <v>0</v>
      </c>
      <c r="G333">
        <v>10456</v>
      </c>
      <c r="H333">
        <v>7644</v>
      </c>
      <c r="I333">
        <v>4299</v>
      </c>
      <c r="J333">
        <v>7295</v>
      </c>
      <c r="K333">
        <v>0</v>
      </c>
      <c r="L333">
        <v>3900</v>
      </c>
      <c r="M333">
        <v>23878</v>
      </c>
      <c r="N333">
        <v>17062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E335">
        <v>0</v>
      </c>
      <c r="F335">
        <v>0</v>
      </c>
      <c r="G335">
        <v>1099</v>
      </c>
      <c r="H335">
        <v>1749</v>
      </c>
      <c r="I335">
        <v>926</v>
      </c>
      <c r="J335">
        <v>1185</v>
      </c>
      <c r="K335">
        <v>0</v>
      </c>
      <c r="L335">
        <v>361</v>
      </c>
      <c r="M335">
        <v>1155</v>
      </c>
      <c r="N335">
        <v>1443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E337">
        <v>0</v>
      </c>
      <c r="F337">
        <v>0</v>
      </c>
      <c r="G337">
        <v>15997</v>
      </c>
      <c r="H337">
        <v>25901</v>
      </c>
      <c r="I337">
        <v>29757</v>
      </c>
      <c r="J337">
        <v>28339</v>
      </c>
      <c r="K337">
        <v>0</v>
      </c>
      <c r="L337">
        <v>2400</v>
      </c>
      <c r="M337">
        <v>31833</v>
      </c>
      <c r="N337">
        <v>30810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E339">
        <v>0</v>
      </c>
      <c r="F339">
        <v>0</v>
      </c>
      <c r="G339">
        <v>5250</v>
      </c>
      <c r="H339">
        <v>7697</v>
      </c>
      <c r="I339">
        <v>3180</v>
      </c>
      <c r="J339">
        <v>2899</v>
      </c>
      <c r="K339">
        <v>0</v>
      </c>
      <c r="L339">
        <v>1704</v>
      </c>
      <c r="M339">
        <v>4399</v>
      </c>
      <c r="N339">
        <v>2232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E341">
        <v>0</v>
      </c>
      <c r="F341">
        <v>0</v>
      </c>
      <c r="G341">
        <v>5210</v>
      </c>
      <c r="H341">
        <v>2171</v>
      </c>
      <c r="I341">
        <v>1960</v>
      </c>
      <c r="J341">
        <v>4897</v>
      </c>
      <c r="K341">
        <v>777</v>
      </c>
      <c r="L341">
        <v>872</v>
      </c>
      <c r="M341">
        <v>2606</v>
      </c>
      <c r="N341">
        <v>3857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E342">
        <v>0</v>
      </c>
      <c r="F342">
        <v>0</v>
      </c>
      <c r="G342">
        <v>2952</v>
      </c>
      <c r="H342">
        <v>1374</v>
      </c>
      <c r="I342">
        <v>2084</v>
      </c>
      <c r="J342">
        <v>1051</v>
      </c>
      <c r="K342">
        <v>0</v>
      </c>
      <c r="L342">
        <v>735</v>
      </c>
      <c r="M342">
        <v>1778</v>
      </c>
      <c r="N342">
        <v>1114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E343">
        <v>0</v>
      </c>
      <c r="F343">
        <v>0</v>
      </c>
      <c r="G343">
        <v>6588</v>
      </c>
      <c r="H343">
        <v>4516</v>
      </c>
      <c r="I343">
        <v>5821</v>
      </c>
      <c r="J343">
        <v>5341</v>
      </c>
      <c r="K343">
        <v>3242</v>
      </c>
      <c r="L343">
        <v>3199</v>
      </c>
      <c r="M343">
        <v>6967</v>
      </c>
      <c r="N343">
        <v>6505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E344">
        <v>0</v>
      </c>
      <c r="F344">
        <v>0</v>
      </c>
      <c r="G344">
        <v>2551</v>
      </c>
      <c r="H344">
        <v>2351</v>
      </c>
      <c r="I344">
        <v>2103</v>
      </c>
      <c r="J344">
        <v>2258</v>
      </c>
      <c r="K344">
        <v>0</v>
      </c>
      <c r="L344">
        <v>1178</v>
      </c>
      <c r="M344">
        <v>1819</v>
      </c>
      <c r="N344">
        <v>2206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E345">
        <v>0</v>
      </c>
      <c r="F345">
        <v>0</v>
      </c>
      <c r="G345">
        <v>2757</v>
      </c>
      <c r="H345">
        <v>6655</v>
      </c>
      <c r="I345">
        <v>5174</v>
      </c>
      <c r="J345">
        <v>8641</v>
      </c>
      <c r="K345">
        <v>0</v>
      </c>
      <c r="L345">
        <v>10459</v>
      </c>
      <c r="M345">
        <v>6877</v>
      </c>
      <c r="N345">
        <v>18594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E347">
        <v>0</v>
      </c>
      <c r="F347">
        <v>0</v>
      </c>
      <c r="G347">
        <v>1913</v>
      </c>
      <c r="H347">
        <v>2210</v>
      </c>
      <c r="I347">
        <v>2236</v>
      </c>
      <c r="J347">
        <v>1458</v>
      </c>
      <c r="K347">
        <v>525</v>
      </c>
      <c r="L347">
        <v>1106</v>
      </c>
      <c r="M347">
        <v>1811</v>
      </c>
      <c r="N347">
        <v>2250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E348">
        <v>0</v>
      </c>
      <c r="F348">
        <v>0</v>
      </c>
      <c r="G348">
        <v>7403</v>
      </c>
      <c r="H348">
        <v>8781</v>
      </c>
      <c r="I348">
        <v>9590</v>
      </c>
      <c r="J348">
        <v>8331</v>
      </c>
      <c r="K348">
        <v>0</v>
      </c>
      <c r="L348">
        <v>1433</v>
      </c>
      <c r="M348">
        <v>8307</v>
      </c>
      <c r="N348">
        <v>6960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E350">
        <v>0</v>
      </c>
      <c r="F350">
        <v>0</v>
      </c>
      <c r="G350">
        <v>2228</v>
      </c>
      <c r="H350">
        <v>1754</v>
      </c>
      <c r="I350">
        <v>3139</v>
      </c>
      <c r="J350">
        <v>1457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E353">
        <v>0</v>
      </c>
      <c r="F353">
        <v>0</v>
      </c>
      <c r="G353">
        <v>1510</v>
      </c>
      <c r="H353">
        <v>1375</v>
      </c>
      <c r="I353">
        <v>1300</v>
      </c>
      <c r="J353">
        <v>1965</v>
      </c>
      <c r="K353">
        <v>0</v>
      </c>
      <c r="L353">
        <v>0</v>
      </c>
      <c r="M353">
        <v>1251</v>
      </c>
      <c r="N353">
        <v>2258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E354">
        <v>0</v>
      </c>
      <c r="F354">
        <v>0</v>
      </c>
      <c r="G354">
        <v>2732</v>
      </c>
      <c r="H354">
        <v>4143</v>
      </c>
      <c r="I354">
        <v>2795</v>
      </c>
      <c r="J354">
        <v>3199</v>
      </c>
      <c r="K354">
        <v>0</v>
      </c>
      <c r="L354">
        <v>7025</v>
      </c>
      <c r="M354">
        <v>6051</v>
      </c>
      <c r="N354">
        <v>4054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5632-FA3B-4E7E-9A7C-9C9517737E85}">
  <sheetPr>
    <tabColor theme="4"/>
  </sheetPr>
  <dimension ref="A1:O354"/>
  <sheetViews>
    <sheetView workbookViewId="0"/>
  </sheetViews>
  <sheetFormatPr baseColWidth="10" defaultColWidth="9.1640625" defaultRowHeight="15" x14ac:dyDescent="0.2"/>
  <sheetData>
    <row r="1" spans="1:15" x14ac:dyDescent="0.2">
      <c r="A1" t="s">
        <v>17</v>
      </c>
      <c r="B1" t="s">
        <v>331</v>
      </c>
      <c r="C1" t="s">
        <v>15</v>
      </c>
      <c r="D1" t="s">
        <v>327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</row>
    <row r="2" spans="1:15" x14ac:dyDescent="0.2">
      <c r="A2" t="s">
        <v>332</v>
      </c>
      <c r="B2" t="s">
        <v>332</v>
      </c>
      <c r="C2">
        <v>224147</v>
      </c>
      <c r="D2">
        <v>18580</v>
      </c>
      <c r="E2">
        <v>9115</v>
      </c>
      <c r="F2">
        <v>6833</v>
      </c>
      <c r="G2">
        <v>9856</v>
      </c>
      <c r="H2">
        <v>6441</v>
      </c>
      <c r="I2">
        <v>7052</v>
      </c>
      <c r="J2">
        <v>5628</v>
      </c>
      <c r="K2">
        <v>3452</v>
      </c>
      <c r="L2">
        <v>1362</v>
      </c>
      <c r="M2">
        <v>5949</v>
      </c>
      <c r="N2">
        <v>7204</v>
      </c>
    </row>
    <row r="3" spans="1:15" x14ac:dyDescent="0.2">
      <c r="A3" t="s">
        <v>333</v>
      </c>
      <c r="B3" t="s">
        <v>333</v>
      </c>
      <c r="C3">
        <v>222178</v>
      </c>
      <c r="D3">
        <v>10180</v>
      </c>
      <c r="E3">
        <v>3992</v>
      </c>
      <c r="F3">
        <v>3859</v>
      </c>
      <c r="G3">
        <v>2972</v>
      </c>
      <c r="H3">
        <v>4150</v>
      </c>
      <c r="I3">
        <v>4575</v>
      </c>
      <c r="J3">
        <v>6787</v>
      </c>
      <c r="K3">
        <v>3064</v>
      </c>
      <c r="L3">
        <v>1579</v>
      </c>
      <c r="M3">
        <v>4377</v>
      </c>
      <c r="N3">
        <v>4361</v>
      </c>
    </row>
    <row r="4" spans="1:15" x14ac:dyDescent="0.2">
      <c r="A4" t="s">
        <v>38</v>
      </c>
      <c r="B4" t="s">
        <v>38</v>
      </c>
      <c r="C4">
        <v>500002</v>
      </c>
      <c r="D4">
        <v>17820</v>
      </c>
      <c r="E4">
        <v>6002</v>
      </c>
      <c r="F4">
        <v>5422</v>
      </c>
      <c r="G4">
        <v>4884</v>
      </c>
      <c r="H4">
        <v>4512</v>
      </c>
      <c r="I4">
        <v>5519</v>
      </c>
      <c r="J4">
        <v>7755</v>
      </c>
      <c r="K4">
        <v>4818</v>
      </c>
      <c r="L4">
        <v>418</v>
      </c>
      <c r="M4">
        <v>3156</v>
      </c>
      <c r="N4">
        <v>5218</v>
      </c>
    </row>
    <row r="5" spans="1:15" x14ac:dyDescent="0.2">
      <c r="A5" t="s">
        <v>39</v>
      </c>
      <c r="B5" t="s">
        <v>39</v>
      </c>
      <c r="C5">
        <v>200800</v>
      </c>
      <c r="D5">
        <v>10420</v>
      </c>
      <c r="E5">
        <v>2933</v>
      </c>
      <c r="F5">
        <v>2889</v>
      </c>
      <c r="G5">
        <v>4186</v>
      </c>
      <c r="H5">
        <v>3497</v>
      </c>
      <c r="I5">
        <v>3918</v>
      </c>
      <c r="J5">
        <v>3579</v>
      </c>
      <c r="K5">
        <v>2399</v>
      </c>
      <c r="L5">
        <v>428</v>
      </c>
      <c r="M5">
        <v>2809</v>
      </c>
      <c r="N5">
        <v>2860</v>
      </c>
    </row>
    <row r="6" spans="1:15" x14ac:dyDescent="0.2">
      <c r="A6" t="s">
        <v>40</v>
      </c>
      <c r="B6" t="s">
        <v>40</v>
      </c>
      <c r="C6">
        <v>100751</v>
      </c>
      <c r="D6">
        <v>46220</v>
      </c>
      <c r="E6">
        <v>12376</v>
      </c>
      <c r="F6">
        <v>12289</v>
      </c>
      <c r="G6">
        <v>15003</v>
      </c>
      <c r="H6">
        <v>13961</v>
      </c>
      <c r="I6">
        <v>11632</v>
      </c>
      <c r="J6">
        <v>9776</v>
      </c>
      <c r="K6">
        <v>8753</v>
      </c>
      <c r="L6">
        <v>892</v>
      </c>
      <c r="M6">
        <v>6416</v>
      </c>
      <c r="N6">
        <v>9048</v>
      </c>
    </row>
    <row r="7" spans="1:15" x14ac:dyDescent="0.2">
      <c r="A7" t="s">
        <v>334</v>
      </c>
      <c r="B7" t="s">
        <v>334</v>
      </c>
      <c r="C7">
        <v>100654</v>
      </c>
      <c r="D7">
        <v>26620</v>
      </c>
      <c r="E7">
        <v>1146</v>
      </c>
      <c r="F7">
        <v>1335</v>
      </c>
      <c r="G7">
        <v>1360</v>
      </c>
      <c r="H7">
        <v>1722</v>
      </c>
      <c r="I7">
        <v>1783</v>
      </c>
      <c r="J7">
        <v>1694</v>
      </c>
      <c r="K7">
        <v>1941</v>
      </c>
      <c r="L7">
        <v>0</v>
      </c>
      <c r="M7">
        <v>795</v>
      </c>
      <c r="N7">
        <v>773</v>
      </c>
    </row>
    <row r="8" spans="1:15" x14ac:dyDescent="0.2">
      <c r="A8" t="s">
        <v>335</v>
      </c>
      <c r="B8" t="s">
        <v>335</v>
      </c>
      <c r="C8">
        <v>100724</v>
      </c>
      <c r="D8">
        <v>33860</v>
      </c>
      <c r="E8">
        <v>1804</v>
      </c>
      <c r="F8">
        <v>3495</v>
      </c>
      <c r="G8">
        <v>805</v>
      </c>
      <c r="H8">
        <v>3098</v>
      </c>
      <c r="I8">
        <v>3818</v>
      </c>
      <c r="J8">
        <v>1911</v>
      </c>
      <c r="K8">
        <v>1852</v>
      </c>
      <c r="L8">
        <v>0</v>
      </c>
      <c r="M8">
        <v>1613</v>
      </c>
      <c r="N8">
        <v>2096</v>
      </c>
    </row>
    <row r="9" spans="1:15" x14ac:dyDescent="0.2">
      <c r="A9" t="s">
        <v>336</v>
      </c>
      <c r="B9" t="s">
        <v>336</v>
      </c>
      <c r="C9">
        <v>175342</v>
      </c>
      <c r="D9">
        <v>35020</v>
      </c>
      <c r="E9">
        <v>612</v>
      </c>
      <c r="F9">
        <v>1053</v>
      </c>
      <c r="G9">
        <v>1077</v>
      </c>
      <c r="H9">
        <v>850</v>
      </c>
      <c r="I9">
        <v>1721</v>
      </c>
      <c r="J9">
        <v>864</v>
      </c>
      <c r="K9">
        <v>585</v>
      </c>
      <c r="L9">
        <v>258</v>
      </c>
      <c r="M9">
        <v>541</v>
      </c>
      <c r="N9">
        <v>975</v>
      </c>
    </row>
    <row r="10" spans="1:15" x14ac:dyDescent="0.2">
      <c r="A10" t="s">
        <v>337</v>
      </c>
      <c r="B10" t="s">
        <v>337</v>
      </c>
      <c r="C10">
        <v>131159</v>
      </c>
      <c r="D10">
        <v>47900</v>
      </c>
      <c r="E10">
        <v>5700</v>
      </c>
      <c r="F10">
        <v>7923</v>
      </c>
      <c r="G10">
        <v>6366</v>
      </c>
      <c r="H10">
        <v>4839</v>
      </c>
      <c r="I10">
        <v>5793</v>
      </c>
      <c r="J10">
        <v>7243</v>
      </c>
      <c r="K10">
        <v>4490</v>
      </c>
      <c r="L10">
        <v>4</v>
      </c>
      <c r="M10">
        <v>5156</v>
      </c>
      <c r="N10">
        <v>5197</v>
      </c>
    </row>
    <row r="11" spans="1:15" x14ac:dyDescent="0.2">
      <c r="A11" t="s">
        <v>338</v>
      </c>
      <c r="B11" t="s">
        <v>339</v>
      </c>
      <c r="C11">
        <v>197869</v>
      </c>
      <c r="D11">
        <v>14380</v>
      </c>
      <c r="E11">
        <v>4432</v>
      </c>
      <c r="F11">
        <v>5174</v>
      </c>
      <c r="G11">
        <v>5894</v>
      </c>
      <c r="H11">
        <v>3844</v>
      </c>
      <c r="I11">
        <v>2388</v>
      </c>
      <c r="J11">
        <v>3937</v>
      </c>
      <c r="K11">
        <v>4810</v>
      </c>
      <c r="L11">
        <v>200</v>
      </c>
      <c r="M11">
        <v>5746</v>
      </c>
      <c r="N11">
        <v>4572</v>
      </c>
    </row>
    <row r="12" spans="1:15" x14ac:dyDescent="0.2">
      <c r="A12" t="s">
        <v>45</v>
      </c>
      <c r="B12" t="s">
        <v>45</v>
      </c>
      <c r="C12">
        <v>104179</v>
      </c>
      <c r="D12">
        <v>46060</v>
      </c>
      <c r="E12">
        <v>19887</v>
      </c>
      <c r="F12">
        <v>27266</v>
      </c>
      <c r="G12">
        <v>23391</v>
      </c>
      <c r="H12">
        <v>18595</v>
      </c>
      <c r="I12">
        <v>24356</v>
      </c>
      <c r="J12">
        <v>20066</v>
      </c>
      <c r="K12">
        <v>20759</v>
      </c>
      <c r="L12">
        <v>0</v>
      </c>
      <c r="M12">
        <v>13688</v>
      </c>
      <c r="N12">
        <v>21547</v>
      </c>
    </row>
    <row r="13" spans="1:15" x14ac:dyDescent="0.2">
      <c r="A13" t="s">
        <v>340</v>
      </c>
      <c r="B13" t="s">
        <v>340</v>
      </c>
      <c r="C13">
        <v>104151</v>
      </c>
      <c r="D13">
        <v>38060</v>
      </c>
      <c r="E13">
        <v>17544</v>
      </c>
      <c r="F13">
        <v>22373</v>
      </c>
      <c r="G13">
        <v>28182</v>
      </c>
      <c r="H13">
        <v>16525</v>
      </c>
      <c r="I13">
        <v>17101</v>
      </c>
      <c r="J13">
        <v>22321</v>
      </c>
      <c r="K13">
        <v>17528</v>
      </c>
      <c r="L13">
        <v>2162</v>
      </c>
      <c r="M13">
        <v>23483</v>
      </c>
      <c r="N13">
        <v>25464</v>
      </c>
    </row>
    <row r="14" spans="1:15" x14ac:dyDescent="0.2">
      <c r="A14" t="s">
        <v>341</v>
      </c>
      <c r="B14" t="s">
        <v>341</v>
      </c>
      <c r="C14">
        <v>106412</v>
      </c>
      <c r="D14">
        <v>38220</v>
      </c>
      <c r="E14">
        <v>911</v>
      </c>
      <c r="F14">
        <v>774</v>
      </c>
      <c r="G14">
        <v>902</v>
      </c>
      <c r="H14">
        <v>913</v>
      </c>
      <c r="I14">
        <v>1199</v>
      </c>
      <c r="J14">
        <v>526</v>
      </c>
      <c r="K14">
        <v>414</v>
      </c>
      <c r="L14">
        <v>282</v>
      </c>
      <c r="M14">
        <v>836</v>
      </c>
      <c r="N14">
        <v>810</v>
      </c>
    </row>
    <row r="15" spans="1:15" x14ac:dyDescent="0.2">
      <c r="A15" t="s">
        <v>47</v>
      </c>
      <c r="B15" t="s">
        <v>47</v>
      </c>
      <c r="C15">
        <v>106397</v>
      </c>
      <c r="D15">
        <v>22220</v>
      </c>
      <c r="E15">
        <v>12395</v>
      </c>
      <c r="F15">
        <v>15265</v>
      </c>
      <c r="G15">
        <v>14697</v>
      </c>
      <c r="H15">
        <v>9932</v>
      </c>
      <c r="I15">
        <v>12919</v>
      </c>
      <c r="J15">
        <v>8117</v>
      </c>
      <c r="K15">
        <v>8479</v>
      </c>
      <c r="L15">
        <v>5675</v>
      </c>
      <c r="M15">
        <v>10023</v>
      </c>
      <c r="N15">
        <v>19607</v>
      </c>
    </row>
    <row r="16" spans="1:15" x14ac:dyDescent="0.2">
      <c r="A16" t="s">
        <v>342</v>
      </c>
      <c r="B16" t="s">
        <v>342</v>
      </c>
      <c r="C16">
        <v>106458</v>
      </c>
      <c r="D16">
        <v>27860</v>
      </c>
      <c r="E16">
        <v>4137</v>
      </c>
      <c r="F16">
        <v>3742</v>
      </c>
      <c r="G16">
        <v>6600</v>
      </c>
      <c r="H16">
        <v>4582</v>
      </c>
      <c r="I16">
        <v>6234</v>
      </c>
      <c r="J16">
        <v>3752</v>
      </c>
      <c r="K16">
        <v>2794</v>
      </c>
      <c r="L16">
        <v>1308</v>
      </c>
      <c r="M16">
        <v>2068</v>
      </c>
      <c r="N16">
        <v>2472</v>
      </c>
    </row>
    <row r="17" spans="1:14" x14ac:dyDescent="0.2">
      <c r="A17" t="s">
        <v>343</v>
      </c>
      <c r="B17" t="s">
        <v>343</v>
      </c>
      <c r="C17">
        <v>500001</v>
      </c>
      <c r="D17">
        <v>35620</v>
      </c>
      <c r="E17">
        <v>3909</v>
      </c>
      <c r="F17">
        <v>1921</v>
      </c>
      <c r="G17">
        <v>2915</v>
      </c>
      <c r="H17">
        <v>3451</v>
      </c>
      <c r="I17">
        <v>3341</v>
      </c>
      <c r="J17">
        <v>3817</v>
      </c>
      <c r="K17">
        <v>3884</v>
      </c>
      <c r="L17">
        <v>31</v>
      </c>
      <c r="M17">
        <v>1637</v>
      </c>
      <c r="N17">
        <v>3134</v>
      </c>
    </row>
    <row r="18" spans="1:14" x14ac:dyDescent="0.2">
      <c r="A18" t="s">
        <v>51</v>
      </c>
      <c r="B18" t="s">
        <v>51</v>
      </c>
      <c r="C18">
        <v>100858</v>
      </c>
      <c r="D18">
        <v>12220</v>
      </c>
      <c r="E18">
        <v>8694</v>
      </c>
      <c r="F18">
        <v>11835</v>
      </c>
      <c r="G18">
        <v>9436</v>
      </c>
      <c r="H18">
        <v>13035</v>
      </c>
      <c r="I18">
        <v>8624</v>
      </c>
      <c r="J18">
        <v>9514</v>
      </c>
      <c r="K18">
        <v>9027</v>
      </c>
      <c r="L18">
        <v>1730</v>
      </c>
      <c r="M18">
        <v>10564</v>
      </c>
      <c r="N18">
        <v>12970</v>
      </c>
    </row>
    <row r="19" spans="1:14" x14ac:dyDescent="0.2">
      <c r="A19" t="s">
        <v>344</v>
      </c>
      <c r="B19" t="s">
        <v>344</v>
      </c>
      <c r="C19">
        <v>219602</v>
      </c>
      <c r="D19">
        <v>17300</v>
      </c>
      <c r="E19">
        <v>3066</v>
      </c>
      <c r="F19">
        <v>2860</v>
      </c>
      <c r="G19">
        <v>3990</v>
      </c>
      <c r="H19">
        <v>3322</v>
      </c>
      <c r="I19">
        <v>5859</v>
      </c>
      <c r="J19">
        <v>5999</v>
      </c>
      <c r="K19">
        <v>2565</v>
      </c>
      <c r="L19">
        <v>752</v>
      </c>
      <c r="M19">
        <v>1931</v>
      </c>
      <c r="N19">
        <v>3638</v>
      </c>
    </row>
    <row r="20" spans="1:14" x14ac:dyDescent="0.2">
      <c r="A20" t="s">
        <v>345</v>
      </c>
      <c r="B20" t="s">
        <v>345</v>
      </c>
      <c r="C20">
        <v>150136</v>
      </c>
      <c r="D20">
        <v>34620</v>
      </c>
      <c r="E20">
        <v>8288</v>
      </c>
      <c r="F20">
        <v>6403</v>
      </c>
      <c r="G20">
        <v>7504</v>
      </c>
      <c r="H20">
        <v>9037</v>
      </c>
      <c r="I20">
        <v>7046</v>
      </c>
      <c r="J20">
        <v>7739</v>
      </c>
      <c r="K20">
        <v>6019</v>
      </c>
      <c r="L20">
        <v>0</v>
      </c>
      <c r="M20">
        <v>5258</v>
      </c>
      <c r="N20">
        <v>11122</v>
      </c>
    </row>
    <row r="21" spans="1:14" x14ac:dyDescent="0.2">
      <c r="A21" t="s">
        <v>346</v>
      </c>
      <c r="B21" t="s">
        <v>346</v>
      </c>
      <c r="C21">
        <v>223232</v>
      </c>
      <c r="D21">
        <v>47380</v>
      </c>
      <c r="E21">
        <v>11470</v>
      </c>
      <c r="F21">
        <v>9660</v>
      </c>
      <c r="G21">
        <v>10757</v>
      </c>
      <c r="H21">
        <v>10244</v>
      </c>
      <c r="I21">
        <v>19185</v>
      </c>
      <c r="J21">
        <v>17850</v>
      </c>
      <c r="K21">
        <v>34649</v>
      </c>
      <c r="L21">
        <v>9623</v>
      </c>
      <c r="M21">
        <v>20273</v>
      </c>
      <c r="N21">
        <v>19965</v>
      </c>
    </row>
    <row r="22" spans="1:14" x14ac:dyDescent="0.2">
      <c r="A22" t="s">
        <v>347</v>
      </c>
      <c r="B22" t="s">
        <v>347</v>
      </c>
      <c r="C22">
        <v>219709</v>
      </c>
      <c r="D22">
        <v>34980</v>
      </c>
      <c r="E22">
        <v>5356</v>
      </c>
      <c r="F22">
        <v>4978</v>
      </c>
      <c r="G22">
        <v>3825</v>
      </c>
      <c r="H22">
        <v>4042</v>
      </c>
      <c r="I22">
        <v>6752</v>
      </c>
      <c r="J22">
        <v>5249</v>
      </c>
      <c r="K22">
        <v>4194</v>
      </c>
      <c r="L22">
        <v>661</v>
      </c>
      <c r="M22">
        <v>2604</v>
      </c>
      <c r="N22">
        <v>2905</v>
      </c>
    </row>
    <row r="23" spans="1:14" x14ac:dyDescent="0.2">
      <c r="A23" t="s">
        <v>348</v>
      </c>
      <c r="B23" t="s">
        <v>348</v>
      </c>
      <c r="C23">
        <v>132602</v>
      </c>
      <c r="D23">
        <v>19660</v>
      </c>
      <c r="E23">
        <v>2555</v>
      </c>
      <c r="F23">
        <v>2281</v>
      </c>
      <c r="G23">
        <v>2969</v>
      </c>
      <c r="H23">
        <v>1962</v>
      </c>
      <c r="I23">
        <v>2366</v>
      </c>
      <c r="J23">
        <v>1740</v>
      </c>
      <c r="K23">
        <v>2172</v>
      </c>
      <c r="L23">
        <v>0</v>
      </c>
      <c r="M23">
        <v>978</v>
      </c>
      <c r="N23">
        <v>592</v>
      </c>
    </row>
    <row r="24" spans="1:14" x14ac:dyDescent="0.2">
      <c r="A24" t="s">
        <v>55</v>
      </c>
      <c r="B24" t="s">
        <v>55</v>
      </c>
      <c r="C24">
        <v>196079</v>
      </c>
      <c r="D24">
        <v>13780</v>
      </c>
      <c r="E24">
        <v>1596</v>
      </c>
      <c r="F24">
        <v>1382</v>
      </c>
      <c r="G24">
        <v>1694</v>
      </c>
      <c r="H24">
        <v>1983</v>
      </c>
      <c r="I24">
        <v>1278</v>
      </c>
      <c r="J24">
        <v>986</v>
      </c>
      <c r="K24">
        <v>1272</v>
      </c>
      <c r="L24">
        <v>0</v>
      </c>
      <c r="M24">
        <v>1240</v>
      </c>
      <c r="N24">
        <v>1592</v>
      </c>
    </row>
    <row r="25" spans="1:14" x14ac:dyDescent="0.2">
      <c r="A25" t="s">
        <v>349</v>
      </c>
      <c r="B25" t="s">
        <v>349</v>
      </c>
      <c r="C25">
        <v>142115</v>
      </c>
      <c r="D25">
        <v>14260</v>
      </c>
      <c r="E25">
        <v>7557</v>
      </c>
      <c r="F25">
        <v>7150</v>
      </c>
      <c r="G25">
        <v>8079</v>
      </c>
      <c r="H25">
        <v>10146</v>
      </c>
      <c r="I25">
        <v>11297</v>
      </c>
      <c r="J25">
        <v>8655</v>
      </c>
      <c r="K25">
        <v>5127</v>
      </c>
      <c r="L25">
        <v>627</v>
      </c>
      <c r="M25">
        <v>8472</v>
      </c>
      <c r="N25">
        <v>12855</v>
      </c>
    </row>
    <row r="26" spans="1:14" x14ac:dyDescent="0.2">
      <c r="A26" t="s">
        <v>350</v>
      </c>
      <c r="B26" t="s">
        <v>350</v>
      </c>
      <c r="C26">
        <v>164924</v>
      </c>
      <c r="D26">
        <v>14460</v>
      </c>
      <c r="E26">
        <v>4311</v>
      </c>
      <c r="F26">
        <v>3921</v>
      </c>
      <c r="G26">
        <v>4847</v>
      </c>
      <c r="H26">
        <v>5859</v>
      </c>
      <c r="I26">
        <v>5952</v>
      </c>
      <c r="J26">
        <v>3795</v>
      </c>
      <c r="K26">
        <v>2450</v>
      </c>
      <c r="L26">
        <v>0</v>
      </c>
      <c r="M26">
        <v>2707</v>
      </c>
      <c r="N26">
        <v>4787</v>
      </c>
    </row>
    <row r="27" spans="1:14" x14ac:dyDescent="0.2">
      <c r="A27" t="s">
        <v>351</v>
      </c>
      <c r="B27" t="s">
        <v>351</v>
      </c>
      <c r="C27">
        <v>164988</v>
      </c>
      <c r="D27">
        <v>14380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57</v>
      </c>
      <c r="B28" t="s">
        <v>57</v>
      </c>
      <c r="C28">
        <v>201441</v>
      </c>
      <c r="D28">
        <v>45780</v>
      </c>
      <c r="E28">
        <v>9115</v>
      </c>
      <c r="F28">
        <v>7651</v>
      </c>
      <c r="G28">
        <v>5614</v>
      </c>
      <c r="H28">
        <v>8500</v>
      </c>
      <c r="I28">
        <v>7414</v>
      </c>
      <c r="J28">
        <v>8067</v>
      </c>
      <c r="K28">
        <v>11403</v>
      </c>
      <c r="L28">
        <v>3868</v>
      </c>
      <c r="M28">
        <v>5129</v>
      </c>
      <c r="N28">
        <v>10646</v>
      </c>
    </row>
    <row r="29" spans="1:14" x14ac:dyDescent="0.2">
      <c r="A29" t="s">
        <v>352</v>
      </c>
      <c r="B29" t="s">
        <v>352</v>
      </c>
      <c r="C29">
        <v>143358</v>
      </c>
      <c r="D29">
        <v>37900</v>
      </c>
      <c r="E29">
        <v>5533</v>
      </c>
      <c r="F29">
        <v>4115</v>
      </c>
      <c r="G29">
        <v>5705</v>
      </c>
      <c r="H29">
        <v>3759</v>
      </c>
      <c r="I29">
        <v>7096</v>
      </c>
      <c r="J29">
        <v>7768</v>
      </c>
      <c r="K29">
        <v>6067</v>
      </c>
      <c r="L29">
        <v>100</v>
      </c>
      <c r="M29">
        <v>5114</v>
      </c>
      <c r="N29">
        <v>5004</v>
      </c>
    </row>
    <row r="30" spans="1:14" x14ac:dyDescent="0.2">
      <c r="A30" t="s">
        <v>353</v>
      </c>
      <c r="B30" t="s">
        <v>353</v>
      </c>
      <c r="C30">
        <v>217156</v>
      </c>
      <c r="D30">
        <v>39300</v>
      </c>
      <c r="E30">
        <v>1343</v>
      </c>
      <c r="F30">
        <v>1631</v>
      </c>
      <c r="G30">
        <v>1793</v>
      </c>
      <c r="H30">
        <v>2181</v>
      </c>
      <c r="I30">
        <v>1611</v>
      </c>
      <c r="J30">
        <v>1557</v>
      </c>
      <c r="K30">
        <v>1637</v>
      </c>
      <c r="L30">
        <v>0</v>
      </c>
      <c r="M30">
        <v>3455</v>
      </c>
      <c r="N30">
        <v>5518</v>
      </c>
    </row>
    <row r="31" spans="1:14" x14ac:dyDescent="0.2">
      <c r="A31" t="s">
        <v>354</v>
      </c>
      <c r="B31" t="s">
        <v>354</v>
      </c>
      <c r="C31">
        <v>217165</v>
      </c>
      <c r="D31">
        <v>39300</v>
      </c>
      <c r="E31">
        <v>1522</v>
      </c>
      <c r="F31">
        <v>4157</v>
      </c>
      <c r="G31">
        <v>2460</v>
      </c>
      <c r="H31">
        <v>2436</v>
      </c>
      <c r="I31">
        <v>4295</v>
      </c>
      <c r="J31">
        <v>5633</v>
      </c>
      <c r="K31">
        <v>4338</v>
      </c>
      <c r="L31">
        <v>0</v>
      </c>
      <c r="M31">
        <v>3260</v>
      </c>
      <c r="N31">
        <v>3168</v>
      </c>
    </row>
    <row r="32" spans="1:14" x14ac:dyDescent="0.2">
      <c r="A32" t="s">
        <v>355</v>
      </c>
      <c r="B32" t="s">
        <v>355</v>
      </c>
      <c r="C32">
        <v>211291</v>
      </c>
      <c r="D32">
        <v>30260</v>
      </c>
      <c r="E32">
        <v>3480</v>
      </c>
      <c r="F32">
        <v>1800</v>
      </c>
      <c r="G32">
        <v>1936</v>
      </c>
      <c r="H32">
        <v>1829</v>
      </c>
      <c r="I32">
        <v>2169</v>
      </c>
      <c r="J32">
        <v>2520</v>
      </c>
      <c r="K32">
        <v>2772</v>
      </c>
      <c r="L32">
        <v>2</v>
      </c>
      <c r="M32">
        <v>1249</v>
      </c>
      <c r="N32">
        <v>1985</v>
      </c>
    </row>
    <row r="33" spans="1:14" x14ac:dyDescent="0.2">
      <c r="A33" t="s">
        <v>58</v>
      </c>
      <c r="B33" t="s">
        <v>58</v>
      </c>
      <c r="C33">
        <v>196088</v>
      </c>
      <c r="D33">
        <v>15380</v>
      </c>
      <c r="E33">
        <v>6145</v>
      </c>
      <c r="F33">
        <v>3338</v>
      </c>
      <c r="G33">
        <v>2435</v>
      </c>
      <c r="H33">
        <v>1850</v>
      </c>
      <c r="I33">
        <v>3208</v>
      </c>
      <c r="J33">
        <v>3659</v>
      </c>
      <c r="K33">
        <v>5255</v>
      </c>
      <c r="L33">
        <v>0</v>
      </c>
      <c r="M33">
        <v>3010</v>
      </c>
      <c r="N33">
        <v>6657</v>
      </c>
    </row>
    <row r="34" spans="1:14" x14ac:dyDescent="0.2">
      <c r="A34" t="s">
        <v>356</v>
      </c>
      <c r="B34" t="s">
        <v>356</v>
      </c>
      <c r="C34">
        <v>150163</v>
      </c>
      <c r="D34">
        <v>26900</v>
      </c>
      <c r="E34">
        <v>9951</v>
      </c>
      <c r="F34">
        <v>4356</v>
      </c>
      <c r="G34">
        <v>7804</v>
      </c>
      <c r="H34">
        <v>7940</v>
      </c>
      <c r="I34">
        <v>7850</v>
      </c>
      <c r="J34">
        <v>6078</v>
      </c>
      <c r="K34">
        <v>5261</v>
      </c>
      <c r="L34">
        <v>1334</v>
      </c>
      <c r="M34">
        <v>8376</v>
      </c>
      <c r="N34">
        <v>7386</v>
      </c>
    </row>
    <row r="35" spans="1:14" x14ac:dyDescent="0.2">
      <c r="A35" t="s">
        <v>357</v>
      </c>
      <c r="B35" t="s">
        <v>357</v>
      </c>
      <c r="C35">
        <v>230038</v>
      </c>
      <c r="D35">
        <v>39340</v>
      </c>
      <c r="E35">
        <v>12157</v>
      </c>
      <c r="F35">
        <v>20649</v>
      </c>
      <c r="G35">
        <v>26205</v>
      </c>
      <c r="H35">
        <v>32217</v>
      </c>
      <c r="I35">
        <v>33792</v>
      </c>
      <c r="J35">
        <v>58295</v>
      </c>
      <c r="K35">
        <v>46214</v>
      </c>
      <c r="L35">
        <v>1850</v>
      </c>
      <c r="M35">
        <v>57059</v>
      </c>
      <c r="N35">
        <v>48277</v>
      </c>
    </row>
    <row r="36" spans="1:14" x14ac:dyDescent="0.2">
      <c r="A36" t="s">
        <v>59</v>
      </c>
      <c r="B36" t="s">
        <v>59</v>
      </c>
      <c r="C36">
        <v>110422</v>
      </c>
      <c r="D36">
        <v>42020</v>
      </c>
      <c r="E36">
        <v>7125</v>
      </c>
      <c r="F36">
        <v>6217</v>
      </c>
      <c r="G36">
        <v>7218</v>
      </c>
      <c r="H36">
        <v>7511</v>
      </c>
      <c r="I36">
        <v>16352</v>
      </c>
      <c r="J36">
        <v>17239</v>
      </c>
      <c r="K36">
        <v>17961</v>
      </c>
      <c r="L36">
        <v>0</v>
      </c>
      <c r="M36">
        <v>13223</v>
      </c>
      <c r="N36">
        <v>15455</v>
      </c>
    </row>
    <row r="37" spans="1:14" x14ac:dyDescent="0.2">
      <c r="A37" t="s">
        <v>358</v>
      </c>
      <c r="B37" t="s">
        <v>358</v>
      </c>
      <c r="C37">
        <v>110565</v>
      </c>
      <c r="D37">
        <v>31080</v>
      </c>
      <c r="E37">
        <v>4558</v>
      </c>
      <c r="F37">
        <v>5110</v>
      </c>
      <c r="G37">
        <v>3321</v>
      </c>
      <c r="H37">
        <v>4674</v>
      </c>
      <c r="I37">
        <v>3370</v>
      </c>
      <c r="J37">
        <v>2904</v>
      </c>
      <c r="K37">
        <v>1770</v>
      </c>
      <c r="L37">
        <v>0</v>
      </c>
      <c r="M37">
        <v>3374</v>
      </c>
      <c r="N37">
        <v>3149</v>
      </c>
    </row>
    <row r="38" spans="1:14" x14ac:dyDescent="0.2">
      <c r="A38" t="s">
        <v>63</v>
      </c>
      <c r="B38" t="s">
        <v>63</v>
      </c>
      <c r="C38">
        <v>110635</v>
      </c>
      <c r="D38">
        <v>41860</v>
      </c>
      <c r="E38">
        <v>11376</v>
      </c>
      <c r="F38">
        <v>9197</v>
      </c>
      <c r="G38">
        <v>9642</v>
      </c>
      <c r="H38">
        <v>10426</v>
      </c>
      <c r="I38">
        <v>12248</v>
      </c>
      <c r="J38">
        <v>11870</v>
      </c>
      <c r="K38">
        <v>12099</v>
      </c>
      <c r="L38">
        <v>0</v>
      </c>
      <c r="M38">
        <v>7608</v>
      </c>
      <c r="N38">
        <v>8662</v>
      </c>
    </row>
    <row r="39" spans="1:14" x14ac:dyDescent="0.2">
      <c r="A39" t="s">
        <v>359</v>
      </c>
      <c r="B39" t="s">
        <v>359</v>
      </c>
      <c r="C39">
        <v>110361</v>
      </c>
      <c r="D39">
        <v>40140</v>
      </c>
      <c r="E39">
        <v>0</v>
      </c>
      <c r="F39">
        <v>0</v>
      </c>
      <c r="G39">
        <v>0</v>
      </c>
      <c r="H39">
        <v>0</v>
      </c>
      <c r="I39">
        <v>0</v>
      </c>
      <c r="J39">
        <v>8381</v>
      </c>
      <c r="K39">
        <v>6783</v>
      </c>
      <c r="L39">
        <v>0</v>
      </c>
      <c r="M39">
        <v>5624</v>
      </c>
      <c r="N39">
        <v>6037</v>
      </c>
    </row>
    <row r="40" spans="1:14" x14ac:dyDescent="0.2">
      <c r="A40" t="s">
        <v>360</v>
      </c>
      <c r="B40" t="s">
        <v>360</v>
      </c>
      <c r="C40">
        <v>198136</v>
      </c>
      <c r="D40">
        <v>15820</v>
      </c>
      <c r="E40">
        <v>2949</v>
      </c>
      <c r="F40">
        <v>5375</v>
      </c>
      <c r="G40">
        <v>2402</v>
      </c>
      <c r="H40">
        <v>4415</v>
      </c>
      <c r="I40">
        <v>5993</v>
      </c>
      <c r="J40">
        <v>3245</v>
      </c>
      <c r="K40">
        <v>3874</v>
      </c>
      <c r="L40">
        <v>400</v>
      </c>
      <c r="M40">
        <v>4768</v>
      </c>
      <c r="N40">
        <v>3565</v>
      </c>
    </row>
    <row r="41" spans="1:14" x14ac:dyDescent="0.2">
      <c r="A41" t="s">
        <v>361</v>
      </c>
      <c r="B41" t="s">
        <v>361</v>
      </c>
      <c r="C41">
        <v>189705</v>
      </c>
      <c r="D41">
        <v>15380</v>
      </c>
      <c r="E41">
        <v>4345</v>
      </c>
      <c r="F41">
        <v>1888</v>
      </c>
      <c r="G41">
        <v>2837</v>
      </c>
      <c r="H41">
        <v>2127</v>
      </c>
      <c r="I41">
        <v>2339</v>
      </c>
      <c r="J41">
        <v>3523</v>
      </c>
      <c r="K41">
        <v>2966</v>
      </c>
      <c r="L41">
        <v>258</v>
      </c>
      <c r="M41">
        <v>1584</v>
      </c>
      <c r="N41">
        <v>2149</v>
      </c>
    </row>
    <row r="42" spans="1:14" x14ac:dyDescent="0.2">
      <c r="A42" t="s">
        <v>362</v>
      </c>
      <c r="B42" t="s">
        <v>362</v>
      </c>
      <c r="C42">
        <v>106704</v>
      </c>
      <c r="D42">
        <v>30780</v>
      </c>
      <c r="E42">
        <v>4186</v>
      </c>
      <c r="F42">
        <v>4821</v>
      </c>
      <c r="G42">
        <v>4299</v>
      </c>
      <c r="H42">
        <v>3576</v>
      </c>
      <c r="I42">
        <v>5305</v>
      </c>
      <c r="J42">
        <v>3476</v>
      </c>
      <c r="K42">
        <v>4515</v>
      </c>
      <c r="L42">
        <v>961</v>
      </c>
      <c r="M42">
        <v>1499</v>
      </c>
      <c r="N42">
        <v>2883</v>
      </c>
    </row>
    <row r="43" spans="1:14" x14ac:dyDescent="0.2">
      <c r="A43" t="s">
        <v>363</v>
      </c>
      <c r="B43" t="s">
        <v>363</v>
      </c>
      <c r="C43">
        <v>128771</v>
      </c>
      <c r="D43">
        <v>25540</v>
      </c>
      <c r="E43">
        <v>1874</v>
      </c>
      <c r="F43">
        <v>1580</v>
      </c>
      <c r="G43">
        <v>1993</v>
      </c>
      <c r="H43">
        <v>1534</v>
      </c>
      <c r="I43">
        <v>1312</v>
      </c>
      <c r="J43">
        <v>1891</v>
      </c>
      <c r="K43">
        <v>2477</v>
      </c>
      <c r="L43">
        <v>0</v>
      </c>
      <c r="M43">
        <v>1537</v>
      </c>
      <c r="N43">
        <v>2036</v>
      </c>
    </row>
    <row r="44" spans="1:14" x14ac:dyDescent="0.2">
      <c r="A44" t="s">
        <v>364</v>
      </c>
      <c r="B44" t="s">
        <v>364</v>
      </c>
      <c r="C44">
        <v>169248</v>
      </c>
      <c r="D44">
        <v>34380</v>
      </c>
      <c r="E44">
        <v>4687</v>
      </c>
      <c r="F44">
        <v>3540</v>
      </c>
      <c r="G44">
        <v>4928</v>
      </c>
      <c r="H44">
        <v>3170</v>
      </c>
      <c r="I44">
        <v>4585</v>
      </c>
      <c r="J44">
        <v>4356</v>
      </c>
      <c r="K44">
        <v>3185</v>
      </c>
      <c r="L44">
        <v>1</v>
      </c>
      <c r="M44">
        <v>2795</v>
      </c>
      <c r="N44">
        <v>4215</v>
      </c>
    </row>
    <row r="45" spans="1:14" x14ac:dyDescent="0.2">
      <c r="A45" t="s">
        <v>365</v>
      </c>
      <c r="B45" t="s">
        <v>365</v>
      </c>
      <c r="C45">
        <v>217688</v>
      </c>
      <c r="D45">
        <v>16700</v>
      </c>
      <c r="E45">
        <v>2364</v>
      </c>
      <c r="F45">
        <v>3413</v>
      </c>
      <c r="G45">
        <v>2754</v>
      </c>
      <c r="H45">
        <v>3137</v>
      </c>
      <c r="I45">
        <v>1354</v>
      </c>
      <c r="J45">
        <v>3294</v>
      </c>
      <c r="K45">
        <v>1172</v>
      </c>
      <c r="L45">
        <v>180</v>
      </c>
      <c r="M45">
        <v>1519</v>
      </c>
      <c r="N45">
        <v>2045</v>
      </c>
    </row>
    <row r="46" spans="1:14" x14ac:dyDescent="0.2">
      <c r="A46" t="s">
        <v>67</v>
      </c>
      <c r="B46" t="s">
        <v>67</v>
      </c>
      <c r="C46">
        <v>199139</v>
      </c>
      <c r="D46">
        <v>16740</v>
      </c>
      <c r="E46">
        <v>6581</v>
      </c>
      <c r="F46">
        <v>6439</v>
      </c>
      <c r="G46">
        <v>7765</v>
      </c>
      <c r="H46">
        <v>6407</v>
      </c>
      <c r="I46">
        <v>8687</v>
      </c>
      <c r="J46">
        <v>8424</v>
      </c>
      <c r="K46">
        <v>6830</v>
      </c>
      <c r="L46">
        <v>492</v>
      </c>
      <c r="M46">
        <v>4458</v>
      </c>
      <c r="N46">
        <v>7144</v>
      </c>
    </row>
    <row r="47" spans="1:14" x14ac:dyDescent="0.2">
      <c r="A47" t="s">
        <v>366</v>
      </c>
      <c r="B47" t="s">
        <v>366</v>
      </c>
      <c r="C47">
        <v>221740</v>
      </c>
      <c r="D47">
        <v>16860</v>
      </c>
      <c r="E47">
        <v>3900</v>
      </c>
      <c r="F47">
        <v>2625</v>
      </c>
      <c r="G47">
        <v>4192</v>
      </c>
      <c r="H47">
        <v>5732</v>
      </c>
      <c r="I47">
        <v>6606</v>
      </c>
      <c r="J47">
        <v>3905</v>
      </c>
      <c r="K47">
        <v>2934</v>
      </c>
      <c r="L47">
        <v>208</v>
      </c>
      <c r="M47">
        <v>3091</v>
      </c>
      <c r="N47">
        <v>2714</v>
      </c>
    </row>
    <row r="48" spans="1:14" x14ac:dyDescent="0.2">
      <c r="A48" t="s">
        <v>367</v>
      </c>
      <c r="B48" t="s">
        <v>367</v>
      </c>
      <c r="C48">
        <v>144005</v>
      </c>
      <c r="D48">
        <v>16980</v>
      </c>
      <c r="E48">
        <v>3352</v>
      </c>
      <c r="F48">
        <v>1988</v>
      </c>
      <c r="G48">
        <v>1026</v>
      </c>
      <c r="H48">
        <v>1247</v>
      </c>
      <c r="I48">
        <v>1153</v>
      </c>
      <c r="J48">
        <v>2048</v>
      </c>
      <c r="K48">
        <v>1322</v>
      </c>
      <c r="L48">
        <v>1</v>
      </c>
      <c r="M48">
        <v>647</v>
      </c>
      <c r="N48">
        <v>422</v>
      </c>
    </row>
    <row r="49" spans="1:14" x14ac:dyDescent="0.2">
      <c r="A49" t="s">
        <v>69</v>
      </c>
      <c r="B49" t="s">
        <v>69</v>
      </c>
      <c r="C49">
        <v>201885</v>
      </c>
      <c r="D49">
        <v>17140</v>
      </c>
      <c r="E49">
        <v>5870</v>
      </c>
      <c r="F49">
        <v>6470</v>
      </c>
      <c r="G49">
        <v>7538</v>
      </c>
      <c r="H49">
        <v>7632</v>
      </c>
      <c r="I49">
        <v>4323</v>
      </c>
      <c r="J49">
        <v>8154</v>
      </c>
      <c r="K49">
        <v>7899</v>
      </c>
      <c r="L49">
        <v>3170</v>
      </c>
      <c r="M49">
        <v>7706</v>
      </c>
      <c r="N49">
        <v>9486</v>
      </c>
    </row>
    <row r="50" spans="1:14" x14ac:dyDescent="0.2">
      <c r="A50" t="s">
        <v>71</v>
      </c>
      <c r="B50" t="s">
        <v>71</v>
      </c>
      <c r="C50">
        <v>217882</v>
      </c>
      <c r="D50">
        <v>42860</v>
      </c>
      <c r="E50">
        <v>14708</v>
      </c>
      <c r="F50">
        <v>14559</v>
      </c>
      <c r="G50">
        <v>11735</v>
      </c>
      <c r="H50">
        <v>14442</v>
      </c>
      <c r="I50">
        <v>18488</v>
      </c>
      <c r="J50">
        <v>17364</v>
      </c>
      <c r="K50">
        <v>17283</v>
      </c>
      <c r="L50">
        <v>2515</v>
      </c>
      <c r="M50">
        <v>6096</v>
      </c>
      <c r="N50">
        <v>10377</v>
      </c>
    </row>
    <row r="51" spans="1:14" x14ac:dyDescent="0.2">
      <c r="A51" t="s">
        <v>368</v>
      </c>
      <c r="B51" t="s">
        <v>368</v>
      </c>
      <c r="C51">
        <v>202134</v>
      </c>
      <c r="D51">
        <v>17460</v>
      </c>
      <c r="E51">
        <v>2535</v>
      </c>
      <c r="F51">
        <v>3266</v>
      </c>
      <c r="G51">
        <v>3924</v>
      </c>
      <c r="H51">
        <v>3746</v>
      </c>
      <c r="I51">
        <v>3736</v>
      </c>
      <c r="J51">
        <v>3222</v>
      </c>
      <c r="K51">
        <v>2525</v>
      </c>
      <c r="L51">
        <v>0</v>
      </c>
      <c r="M51">
        <v>2680</v>
      </c>
      <c r="N51">
        <v>3594</v>
      </c>
    </row>
    <row r="52" spans="1:14" x14ac:dyDescent="0.2">
      <c r="A52" t="s">
        <v>369</v>
      </c>
      <c r="B52" t="s">
        <v>73</v>
      </c>
      <c r="C52">
        <v>218724</v>
      </c>
      <c r="D52">
        <v>34820</v>
      </c>
      <c r="E52">
        <v>3937</v>
      </c>
      <c r="F52">
        <v>3997</v>
      </c>
      <c r="G52">
        <v>3596</v>
      </c>
      <c r="H52">
        <v>5047</v>
      </c>
      <c r="I52">
        <v>2929</v>
      </c>
      <c r="J52">
        <v>2971</v>
      </c>
      <c r="K52">
        <v>4611</v>
      </c>
      <c r="L52">
        <v>1028</v>
      </c>
      <c r="M52">
        <v>3170</v>
      </c>
      <c r="N52">
        <v>3887</v>
      </c>
    </row>
    <row r="53" spans="1:14" x14ac:dyDescent="0.2">
      <c r="A53" t="s">
        <v>370</v>
      </c>
      <c r="B53" t="s">
        <v>370</v>
      </c>
      <c r="C53">
        <v>217819</v>
      </c>
      <c r="D53">
        <v>16700</v>
      </c>
      <c r="E53">
        <v>8308</v>
      </c>
      <c r="F53">
        <v>6929</v>
      </c>
      <c r="G53">
        <v>7263</v>
      </c>
      <c r="H53">
        <v>5894</v>
      </c>
      <c r="I53">
        <v>7975</v>
      </c>
      <c r="J53">
        <v>8295</v>
      </c>
      <c r="K53">
        <v>7138</v>
      </c>
      <c r="L53">
        <v>1145</v>
      </c>
      <c r="M53">
        <v>4550</v>
      </c>
      <c r="N53">
        <v>3076</v>
      </c>
    </row>
    <row r="54" spans="1:14" x14ac:dyDescent="0.2">
      <c r="A54" t="s">
        <v>371</v>
      </c>
      <c r="B54" t="s">
        <v>371</v>
      </c>
      <c r="C54">
        <v>190099</v>
      </c>
      <c r="D54">
        <v>45060</v>
      </c>
      <c r="E54">
        <v>2645</v>
      </c>
      <c r="F54">
        <v>1593</v>
      </c>
      <c r="G54">
        <v>2052</v>
      </c>
      <c r="H54">
        <v>3253</v>
      </c>
      <c r="I54">
        <v>3357</v>
      </c>
      <c r="J54">
        <v>5815</v>
      </c>
      <c r="K54">
        <v>3132</v>
      </c>
      <c r="L54">
        <v>0</v>
      </c>
      <c r="M54">
        <v>3296</v>
      </c>
      <c r="N54">
        <v>3160</v>
      </c>
    </row>
    <row r="55" spans="1:14" x14ac:dyDescent="0.2">
      <c r="A55" t="s">
        <v>75</v>
      </c>
      <c r="B55" t="s">
        <v>75</v>
      </c>
      <c r="C55">
        <v>126614</v>
      </c>
      <c r="D55">
        <v>14500</v>
      </c>
      <c r="E55">
        <v>12525</v>
      </c>
      <c r="F55">
        <v>18378</v>
      </c>
      <c r="G55">
        <v>21244</v>
      </c>
      <c r="H55">
        <v>24014</v>
      </c>
      <c r="I55">
        <v>18291</v>
      </c>
      <c r="J55">
        <v>20486</v>
      </c>
      <c r="K55">
        <v>19672</v>
      </c>
      <c r="L55">
        <v>344</v>
      </c>
      <c r="M55">
        <v>15204</v>
      </c>
      <c r="N55">
        <v>21414</v>
      </c>
    </row>
    <row r="56" spans="1:14" x14ac:dyDescent="0.2">
      <c r="A56" t="s">
        <v>372</v>
      </c>
      <c r="B56" t="s">
        <v>372</v>
      </c>
      <c r="C56">
        <v>126818</v>
      </c>
      <c r="D56">
        <v>22660</v>
      </c>
      <c r="E56">
        <v>49240</v>
      </c>
      <c r="F56">
        <v>54926</v>
      </c>
      <c r="G56">
        <v>38584</v>
      </c>
      <c r="H56">
        <v>31427</v>
      </c>
      <c r="I56">
        <v>48698</v>
      </c>
      <c r="J56">
        <v>37918</v>
      </c>
      <c r="K56">
        <v>41282</v>
      </c>
      <c r="L56">
        <v>315</v>
      </c>
      <c r="M56">
        <v>36778</v>
      </c>
      <c r="N56">
        <v>52429</v>
      </c>
    </row>
    <row r="57" spans="1:14" x14ac:dyDescent="0.2">
      <c r="A57" t="s">
        <v>373</v>
      </c>
      <c r="B57" t="s">
        <v>373</v>
      </c>
      <c r="C57">
        <v>190150</v>
      </c>
      <c r="D57">
        <v>35620</v>
      </c>
      <c r="E57">
        <v>3297</v>
      </c>
      <c r="F57">
        <v>2477</v>
      </c>
      <c r="G57">
        <v>1098</v>
      </c>
      <c r="H57">
        <v>2243</v>
      </c>
      <c r="I57">
        <v>1740</v>
      </c>
      <c r="J57">
        <v>2265</v>
      </c>
      <c r="K57">
        <v>1925</v>
      </c>
      <c r="L57">
        <v>0</v>
      </c>
      <c r="M57">
        <v>1125</v>
      </c>
      <c r="N57">
        <v>2222</v>
      </c>
    </row>
    <row r="58" spans="1:14" x14ac:dyDescent="0.2">
      <c r="A58" t="s">
        <v>374</v>
      </c>
      <c r="B58" t="s">
        <v>374</v>
      </c>
      <c r="C58">
        <v>162283</v>
      </c>
      <c r="D58">
        <v>12580</v>
      </c>
      <c r="E58">
        <v>1194</v>
      </c>
      <c r="F58">
        <v>2375</v>
      </c>
      <c r="G58">
        <v>1336</v>
      </c>
      <c r="H58">
        <v>620</v>
      </c>
      <c r="I58">
        <v>1190</v>
      </c>
      <c r="J58">
        <v>917</v>
      </c>
      <c r="K58">
        <v>1664</v>
      </c>
      <c r="L58">
        <v>0</v>
      </c>
      <c r="M58">
        <v>1389</v>
      </c>
      <c r="N58">
        <v>2376</v>
      </c>
    </row>
    <row r="59" spans="1:14" x14ac:dyDescent="0.2">
      <c r="A59" t="s">
        <v>375</v>
      </c>
      <c r="B59" t="s">
        <v>375</v>
      </c>
      <c r="C59">
        <v>190415</v>
      </c>
      <c r="D59">
        <v>27060</v>
      </c>
      <c r="E59">
        <v>2928</v>
      </c>
      <c r="F59">
        <v>1814</v>
      </c>
      <c r="G59">
        <v>1475</v>
      </c>
      <c r="H59">
        <v>2435</v>
      </c>
      <c r="I59">
        <v>2567</v>
      </c>
      <c r="J59">
        <v>2270</v>
      </c>
      <c r="K59">
        <v>2215</v>
      </c>
      <c r="L59">
        <v>0</v>
      </c>
      <c r="M59">
        <v>1996</v>
      </c>
      <c r="N59">
        <v>1716</v>
      </c>
    </row>
    <row r="60" spans="1:14" x14ac:dyDescent="0.2">
      <c r="A60" t="s">
        <v>376</v>
      </c>
      <c r="B60" t="s">
        <v>376</v>
      </c>
      <c r="C60">
        <v>181002</v>
      </c>
      <c r="D60">
        <v>36540</v>
      </c>
      <c r="E60">
        <v>17506</v>
      </c>
      <c r="F60">
        <v>19239</v>
      </c>
      <c r="G60">
        <v>29905</v>
      </c>
      <c r="H60">
        <v>16052</v>
      </c>
      <c r="I60">
        <v>24346</v>
      </c>
      <c r="J60">
        <v>47632</v>
      </c>
      <c r="K60">
        <v>25615</v>
      </c>
      <c r="L60">
        <v>2458</v>
      </c>
      <c r="M60">
        <v>30211</v>
      </c>
      <c r="N60">
        <v>41805</v>
      </c>
    </row>
    <row r="61" spans="1:14" x14ac:dyDescent="0.2">
      <c r="A61" t="s">
        <v>377</v>
      </c>
      <c r="B61" t="s">
        <v>377</v>
      </c>
      <c r="C61">
        <v>110486</v>
      </c>
      <c r="D61">
        <v>12540</v>
      </c>
      <c r="E61">
        <v>2207</v>
      </c>
      <c r="F61">
        <v>3766</v>
      </c>
      <c r="G61">
        <v>3604</v>
      </c>
      <c r="H61">
        <v>5029</v>
      </c>
      <c r="I61">
        <v>4417</v>
      </c>
      <c r="J61">
        <v>5398</v>
      </c>
      <c r="K61">
        <v>3735</v>
      </c>
      <c r="L61">
        <v>0</v>
      </c>
      <c r="M61">
        <v>4679</v>
      </c>
      <c r="N61">
        <v>7062</v>
      </c>
    </row>
    <row r="62" spans="1:14" x14ac:dyDescent="0.2">
      <c r="A62" t="s">
        <v>378</v>
      </c>
      <c r="B62" t="s">
        <v>378</v>
      </c>
      <c r="C62">
        <v>110608</v>
      </c>
      <c r="D62">
        <v>31080</v>
      </c>
      <c r="E62">
        <v>4569</v>
      </c>
      <c r="F62">
        <v>5134</v>
      </c>
      <c r="G62">
        <v>4764</v>
      </c>
      <c r="H62">
        <v>4040</v>
      </c>
      <c r="I62">
        <v>4167</v>
      </c>
      <c r="J62">
        <v>4475</v>
      </c>
      <c r="K62">
        <v>3731</v>
      </c>
      <c r="L62">
        <v>0</v>
      </c>
      <c r="M62">
        <v>2635</v>
      </c>
      <c r="N62">
        <v>3320</v>
      </c>
    </row>
    <row r="63" spans="1:14" x14ac:dyDescent="0.2">
      <c r="A63" t="s">
        <v>379</v>
      </c>
      <c r="B63" t="s">
        <v>379</v>
      </c>
      <c r="C63">
        <v>182670</v>
      </c>
      <c r="D63">
        <v>30100</v>
      </c>
      <c r="E63">
        <v>2958</v>
      </c>
      <c r="F63">
        <v>1298</v>
      </c>
      <c r="G63">
        <v>1851</v>
      </c>
      <c r="H63">
        <v>2525</v>
      </c>
      <c r="I63">
        <v>2138</v>
      </c>
      <c r="J63">
        <v>2398</v>
      </c>
      <c r="K63">
        <v>1608</v>
      </c>
      <c r="L63">
        <v>0</v>
      </c>
      <c r="M63">
        <v>1684</v>
      </c>
      <c r="N63">
        <v>1949</v>
      </c>
    </row>
    <row r="64" spans="1:14" x14ac:dyDescent="0.2">
      <c r="A64" t="s">
        <v>380</v>
      </c>
      <c r="B64" t="s">
        <v>380</v>
      </c>
      <c r="C64">
        <v>198385</v>
      </c>
      <c r="D64">
        <v>16740</v>
      </c>
      <c r="E64">
        <v>5391</v>
      </c>
      <c r="F64">
        <v>4320</v>
      </c>
      <c r="G64">
        <v>4471</v>
      </c>
      <c r="H64">
        <v>5250</v>
      </c>
      <c r="I64">
        <v>3853</v>
      </c>
      <c r="J64">
        <v>4804</v>
      </c>
      <c r="K64">
        <v>4632</v>
      </c>
      <c r="L64">
        <v>100</v>
      </c>
      <c r="M64">
        <v>2696</v>
      </c>
      <c r="N64">
        <v>6121</v>
      </c>
    </row>
    <row r="65" spans="1:14" x14ac:dyDescent="0.2">
      <c r="A65" t="s">
        <v>381</v>
      </c>
      <c r="B65" t="s">
        <v>381</v>
      </c>
      <c r="C65">
        <v>202480</v>
      </c>
      <c r="D65">
        <v>19430</v>
      </c>
      <c r="E65">
        <v>9741</v>
      </c>
      <c r="F65">
        <v>10567</v>
      </c>
      <c r="G65">
        <v>9104</v>
      </c>
      <c r="H65">
        <v>11472</v>
      </c>
      <c r="I65">
        <v>6259</v>
      </c>
      <c r="J65">
        <v>9531</v>
      </c>
      <c r="K65">
        <v>7455</v>
      </c>
      <c r="L65">
        <v>567</v>
      </c>
      <c r="M65">
        <v>7821</v>
      </c>
      <c r="N65">
        <v>7505</v>
      </c>
    </row>
    <row r="66" spans="1:14" x14ac:dyDescent="0.2">
      <c r="A66" t="s">
        <v>382</v>
      </c>
      <c r="B66" t="s">
        <v>382</v>
      </c>
      <c r="C66">
        <v>130943</v>
      </c>
      <c r="D66">
        <v>37980</v>
      </c>
      <c r="E66">
        <v>5318</v>
      </c>
      <c r="F66">
        <v>6038</v>
      </c>
      <c r="G66">
        <v>4498</v>
      </c>
      <c r="H66">
        <v>4899</v>
      </c>
      <c r="I66">
        <v>2483</v>
      </c>
      <c r="J66">
        <v>2936</v>
      </c>
      <c r="K66">
        <v>3635</v>
      </c>
      <c r="L66">
        <v>40</v>
      </c>
      <c r="M66">
        <v>2503</v>
      </c>
      <c r="N66">
        <v>3123</v>
      </c>
    </row>
    <row r="67" spans="1:14" x14ac:dyDescent="0.2">
      <c r="A67" t="s">
        <v>383</v>
      </c>
      <c r="B67" t="s">
        <v>383</v>
      </c>
      <c r="C67">
        <v>130934</v>
      </c>
      <c r="D67">
        <v>20100</v>
      </c>
      <c r="E67">
        <v>695</v>
      </c>
      <c r="F67">
        <v>875</v>
      </c>
      <c r="G67">
        <v>677</v>
      </c>
      <c r="H67">
        <v>956</v>
      </c>
      <c r="I67">
        <v>645</v>
      </c>
      <c r="J67">
        <v>1148</v>
      </c>
      <c r="K67">
        <v>978</v>
      </c>
      <c r="L67">
        <v>0</v>
      </c>
      <c r="M67">
        <v>1780</v>
      </c>
      <c r="N67">
        <v>4201</v>
      </c>
    </row>
    <row r="68" spans="1:14" x14ac:dyDescent="0.2">
      <c r="A68" t="s">
        <v>384</v>
      </c>
      <c r="B68" t="s">
        <v>384</v>
      </c>
      <c r="C68">
        <v>127060</v>
      </c>
      <c r="D68">
        <v>19740</v>
      </c>
      <c r="E68">
        <v>4872</v>
      </c>
      <c r="F68">
        <v>3836</v>
      </c>
      <c r="G68">
        <v>4988</v>
      </c>
      <c r="H68">
        <v>4333</v>
      </c>
      <c r="I68">
        <v>3356</v>
      </c>
      <c r="J68">
        <v>6649</v>
      </c>
      <c r="K68">
        <v>6474</v>
      </c>
      <c r="L68">
        <v>256</v>
      </c>
      <c r="M68">
        <v>4723</v>
      </c>
      <c r="N68">
        <v>4203</v>
      </c>
    </row>
    <row r="69" spans="1:14" x14ac:dyDescent="0.2">
      <c r="A69" t="s">
        <v>385</v>
      </c>
      <c r="B69" t="s">
        <v>385</v>
      </c>
      <c r="C69">
        <v>144740</v>
      </c>
      <c r="D69">
        <v>16980</v>
      </c>
      <c r="E69">
        <v>6167</v>
      </c>
      <c r="F69">
        <v>4520</v>
      </c>
      <c r="G69">
        <v>4031</v>
      </c>
      <c r="H69">
        <v>5944</v>
      </c>
      <c r="I69">
        <v>3263</v>
      </c>
      <c r="J69">
        <v>3200</v>
      </c>
      <c r="K69">
        <v>4253</v>
      </c>
      <c r="L69">
        <v>0</v>
      </c>
      <c r="M69">
        <v>4503</v>
      </c>
      <c r="N69">
        <v>5802</v>
      </c>
    </row>
    <row r="70" spans="1:14" x14ac:dyDescent="0.2">
      <c r="A70" t="s">
        <v>386</v>
      </c>
      <c r="B70" t="s">
        <v>386</v>
      </c>
      <c r="C70">
        <v>169716</v>
      </c>
      <c r="D70">
        <v>19820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387</v>
      </c>
      <c r="B71" t="s">
        <v>387</v>
      </c>
      <c r="C71">
        <v>153269</v>
      </c>
      <c r="D71">
        <v>19780</v>
      </c>
      <c r="E71">
        <v>3713</v>
      </c>
      <c r="F71">
        <v>3542</v>
      </c>
      <c r="G71">
        <v>4079</v>
      </c>
      <c r="H71">
        <v>3879</v>
      </c>
      <c r="I71">
        <v>6175</v>
      </c>
      <c r="J71">
        <v>5471</v>
      </c>
      <c r="K71">
        <v>5801</v>
      </c>
      <c r="L71">
        <v>1546</v>
      </c>
      <c r="M71">
        <v>3065</v>
      </c>
      <c r="N71">
        <v>7112</v>
      </c>
    </row>
    <row r="72" spans="1:14" x14ac:dyDescent="0.2">
      <c r="A72" t="s">
        <v>388</v>
      </c>
      <c r="B72" t="s">
        <v>388</v>
      </c>
      <c r="C72">
        <v>212054</v>
      </c>
      <c r="D72">
        <v>37980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389</v>
      </c>
      <c r="B73" t="s">
        <v>389</v>
      </c>
      <c r="C73">
        <v>198419</v>
      </c>
      <c r="D73">
        <v>20500</v>
      </c>
      <c r="E73">
        <v>29723</v>
      </c>
      <c r="F73">
        <v>19943</v>
      </c>
      <c r="G73">
        <v>18318</v>
      </c>
      <c r="H73">
        <v>23593</v>
      </c>
      <c r="I73">
        <v>15516</v>
      </c>
      <c r="J73">
        <v>16622</v>
      </c>
      <c r="K73">
        <v>11455</v>
      </c>
      <c r="L73">
        <v>0</v>
      </c>
      <c r="M73">
        <v>10011</v>
      </c>
      <c r="N73">
        <v>8181</v>
      </c>
    </row>
    <row r="74" spans="1:14" x14ac:dyDescent="0.2">
      <c r="A74" t="s">
        <v>390</v>
      </c>
      <c r="B74" t="s">
        <v>390</v>
      </c>
      <c r="C74">
        <v>212106</v>
      </c>
      <c r="D74">
        <v>38300</v>
      </c>
      <c r="E74">
        <v>1632</v>
      </c>
      <c r="F74">
        <v>1762</v>
      </c>
      <c r="G74">
        <v>1828</v>
      </c>
      <c r="H74">
        <v>1609</v>
      </c>
      <c r="I74">
        <v>2258</v>
      </c>
      <c r="J74">
        <v>2608</v>
      </c>
      <c r="K74">
        <v>2146</v>
      </c>
      <c r="L74">
        <v>928</v>
      </c>
      <c r="M74">
        <v>3595</v>
      </c>
      <c r="N74">
        <v>1801</v>
      </c>
    </row>
    <row r="75" spans="1:14" x14ac:dyDescent="0.2">
      <c r="A75" t="s">
        <v>79</v>
      </c>
      <c r="B75" t="s">
        <v>79</v>
      </c>
      <c r="C75">
        <v>198464</v>
      </c>
      <c r="D75">
        <v>24780</v>
      </c>
      <c r="E75">
        <v>3281</v>
      </c>
      <c r="F75">
        <v>5546</v>
      </c>
      <c r="G75">
        <v>6987</v>
      </c>
      <c r="H75">
        <v>5214</v>
      </c>
      <c r="I75">
        <v>7359</v>
      </c>
      <c r="J75">
        <v>5845</v>
      </c>
      <c r="K75">
        <v>6305</v>
      </c>
      <c r="L75">
        <v>2100</v>
      </c>
      <c r="M75">
        <v>6739</v>
      </c>
      <c r="N75">
        <v>4820</v>
      </c>
    </row>
    <row r="76" spans="1:14" x14ac:dyDescent="0.2">
      <c r="A76" t="s">
        <v>391</v>
      </c>
      <c r="B76" t="s">
        <v>391</v>
      </c>
      <c r="C76">
        <v>144892</v>
      </c>
      <c r="D76">
        <v>16660</v>
      </c>
      <c r="E76">
        <v>3794</v>
      </c>
      <c r="F76">
        <v>2471</v>
      </c>
      <c r="G76">
        <v>3733</v>
      </c>
      <c r="H76">
        <v>1919</v>
      </c>
      <c r="I76">
        <v>2968</v>
      </c>
      <c r="J76">
        <v>2632</v>
      </c>
      <c r="K76">
        <v>2600</v>
      </c>
      <c r="L76">
        <v>280</v>
      </c>
      <c r="M76">
        <v>2023</v>
      </c>
      <c r="N76">
        <v>4062</v>
      </c>
    </row>
    <row r="77" spans="1:14" x14ac:dyDescent="0.2">
      <c r="A77" t="s">
        <v>392</v>
      </c>
      <c r="B77" t="s">
        <v>392</v>
      </c>
      <c r="C77">
        <v>156620</v>
      </c>
      <c r="D77">
        <v>40080</v>
      </c>
      <c r="E77">
        <v>1820</v>
      </c>
      <c r="F77">
        <v>1510</v>
      </c>
      <c r="G77">
        <v>1179</v>
      </c>
      <c r="H77">
        <v>1322</v>
      </c>
      <c r="I77">
        <v>1760</v>
      </c>
      <c r="J77">
        <v>1425</v>
      </c>
      <c r="K77">
        <v>3235</v>
      </c>
      <c r="L77">
        <v>1360</v>
      </c>
      <c r="M77">
        <v>2173</v>
      </c>
      <c r="N77">
        <v>3805</v>
      </c>
    </row>
    <row r="78" spans="1:14" x14ac:dyDescent="0.2">
      <c r="A78" t="s">
        <v>393</v>
      </c>
      <c r="B78" t="s">
        <v>393</v>
      </c>
      <c r="C78">
        <v>169798</v>
      </c>
      <c r="D78">
        <v>11460</v>
      </c>
      <c r="E78">
        <v>2630</v>
      </c>
      <c r="F78">
        <v>2072</v>
      </c>
      <c r="G78">
        <v>2191</v>
      </c>
      <c r="H78">
        <v>3229</v>
      </c>
      <c r="I78">
        <v>1823</v>
      </c>
      <c r="J78">
        <v>4109</v>
      </c>
      <c r="K78">
        <v>2134</v>
      </c>
      <c r="L78">
        <v>775</v>
      </c>
      <c r="M78">
        <v>4253</v>
      </c>
      <c r="N78">
        <v>1848</v>
      </c>
    </row>
    <row r="79" spans="1:14" x14ac:dyDescent="0.2">
      <c r="A79" t="s">
        <v>394</v>
      </c>
      <c r="B79" t="s">
        <v>394</v>
      </c>
      <c r="C79">
        <v>235097</v>
      </c>
      <c r="D79">
        <v>44060</v>
      </c>
      <c r="E79">
        <v>5302</v>
      </c>
      <c r="F79">
        <v>5568</v>
      </c>
      <c r="G79">
        <v>2677</v>
      </c>
      <c r="H79">
        <v>2913</v>
      </c>
      <c r="I79">
        <v>1659</v>
      </c>
      <c r="J79">
        <v>3035</v>
      </c>
      <c r="K79">
        <v>2428</v>
      </c>
      <c r="L79">
        <v>128</v>
      </c>
      <c r="M79">
        <v>2461</v>
      </c>
      <c r="N79">
        <v>2692</v>
      </c>
    </row>
    <row r="80" spans="1:14" x14ac:dyDescent="0.2">
      <c r="A80" t="s">
        <v>395</v>
      </c>
      <c r="B80" t="s">
        <v>395</v>
      </c>
      <c r="C80">
        <v>198516</v>
      </c>
      <c r="D80">
        <v>24660</v>
      </c>
      <c r="E80">
        <v>2402</v>
      </c>
      <c r="F80">
        <v>1795</v>
      </c>
      <c r="G80">
        <v>2828</v>
      </c>
      <c r="H80">
        <v>4690</v>
      </c>
      <c r="I80">
        <v>4654</v>
      </c>
      <c r="J80">
        <v>6259</v>
      </c>
      <c r="K80">
        <v>5768</v>
      </c>
      <c r="L80">
        <v>251</v>
      </c>
      <c r="M80">
        <v>5421</v>
      </c>
      <c r="N80">
        <v>5145</v>
      </c>
    </row>
    <row r="81" spans="1:14" x14ac:dyDescent="0.2">
      <c r="A81" t="s">
        <v>396</v>
      </c>
      <c r="B81" t="s">
        <v>396</v>
      </c>
      <c r="C81">
        <v>220075</v>
      </c>
      <c r="D81">
        <v>27740</v>
      </c>
      <c r="E81">
        <v>3531</v>
      </c>
      <c r="F81">
        <v>3149</v>
      </c>
      <c r="G81">
        <v>2013</v>
      </c>
      <c r="H81">
        <v>2466</v>
      </c>
      <c r="I81">
        <v>1841</v>
      </c>
      <c r="J81">
        <v>5177</v>
      </c>
      <c r="K81">
        <v>3557</v>
      </c>
      <c r="L81">
        <v>1529</v>
      </c>
      <c r="M81">
        <v>815</v>
      </c>
      <c r="N81">
        <v>3467</v>
      </c>
    </row>
    <row r="82" spans="1:14" x14ac:dyDescent="0.2">
      <c r="A82" t="s">
        <v>397</v>
      </c>
      <c r="B82" t="s">
        <v>397</v>
      </c>
      <c r="C82">
        <v>150534</v>
      </c>
      <c r="D82">
        <v>21780</v>
      </c>
      <c r="E82">
        <v>3476</v>
      </c>
      <c r="F82">
        <v>4666</v>
      </c>
      <c r="G82">
        <v>2300</v>
      </c>
      <c r="H82">
        <v>2670</v>
      </c>
      <c r="I82">
        <v>3809</v>
      </c>
      <c r="J82">
        <v>3717</v>
      </c>
      <c r="K82">
        <v>4352</v>
      </c>
      <c r="L82">
        <v>0</v>
      </c>
      <c r="M82">
        <v>3172</v>
      </c>
      <c r="N82">
        <v>5626</v>
      </c>
    </row>
    <row r="83" spans="1:14" x14ac:dyDescent="0.2">
      <c r="A83" t="s">
        <v>398</v>
      </c>
      <c r="B83" t="s">
        <v>398</v>
      </c>
      <c r="C83">
        <v>129242</v>
      </c>
      <c r="D83">
        <v>35620</v>
      </c>
      <c r="E83">
        <v>1348</v>
      </c>
      <c r="F83">
        <v>1672</v>
      </c>
      <c r="G83">
        <v>1781</v>
      </c>
      <c r="H83">
        <v>3159</v>
      </c>
      <c r="I83">
        <v>4001</v>
      </c>
      <c r="J83">
        <v>3960</v>
      </c>
      <c r="K83">
        <v>3234</v>
      </c>
      <c r="L83">
        <v>0</v>
      </c>
      <c r="M83">
        <v>2482</v>
      </c>
      <c r="N83">
        <v>2804</v>
      </c>
    </row>
    <row r="84" spans="1:14" x14ac:dyDescent="0.2">
      <c r="A84" t="s">
        <v>399</v>
      </c>
      <c r="B84" t="s">
        <v>400</v>
      </c>
      <c r="C84">
        <v>184603</v>
      </c>
      <c r="D84">
        <v>35620</v>
      </c>
      <c r="E84">
        <v>1155</v>
      </c>
      <c r="F84">
        <v>1828</v>
      </c>
      <c r="G84">
        <v>1824</v>
      </c>
      <c r="H84">
        <v>1278</v>
      </c>
      <c r="I84">
        <v>988</v>
      </c>
      <c r="J84">
        <v>1059</v>
      </c>
      <c r="K84">
        <v>1697</v>
      </c>
      <c r="L84">
        <v>0</v>
      </c>
      <c r="M84">
        <v>2150</v>
      </c>
      <c r="N84">
        <v>1348</v>
      </c>
    </row>
    <row r="85" spans="1:14" x14ac:dyDescent="0.2">
      <c r="A85" t="s">
        <v>401</v>
      </c>
      <c r="B85" t="s">
        <v>401</v>
      </c>
      <c r="C85">
        <v>433660</v>
      </c>
      <c r="D85">
        <v>15980</v>
      </c>
      <c r="E85">
        <v>9557</v>
      </c>
      <c r="F85">
        <v>6940</v>
      </c>
      <c r="G85">
        <v>7650</v>
      </c>
      <c r="H85">
        <v>7892</v>
      </c>
      <c r="I85">
        <v>8454</v>
      </c>
      <c r="J85">
        <v>6070</v>
      </c>
      <c r="K85">
        <v>7442</v>
      </c>
      <c r="L85">
        <v>1553</v>
      </c>
      <c r="M85">
        <v>7416</v>
      </c>
      <c r="N85">
        <v>5940</v>
      </c>
    </row>
    <row r="86" spans="1:14" x14ac:dyDescent="0.2">
      <c r="A86" t="s">
        <v>402</v>
      </c>
      <c r="B86" t="s">
        <v>402</v>
      </c>
      <c r="C86">
        <v>133951</v>
      </c>
      <c r="D86">
        <v>33100</v>
      </c>
      <c r="E86">
        <v>3402</v>
      </c>
      <c r="F86">
        <v>1545</v>
      </c>
      <c r="G86">
        <v>2497</v>
      </c>
      <c r="H86">
        <v>2421</v>
      </c>
      <c r="I86">
        <v>1156</v>
      </c>
      <c r="J86">
        <v>1954</v>
      </c>
      <c r="K86">
        <v>1429</v>
      </c>
      <c r="L86">
        <v>492</v>
      </c>
      <c r="M86">
        <v>1077</v>
      </c>
      <c r="N86">
        <v>1238</v>
      </c>
    </row>
    <row r="87" spans="1:14" x14ac:dyDescent="0.2">
      <c r="A87" t="s">
        <v>403</v>
      </c>
      <c r="B87" t="s">
        <v>403</v>
      </c>
      <c r="C87">
        <v>133669</v>
      </c>
      <c r="D87">
        <v>33100</v>
      </c>
      <c r="E87">
        <v>2230</v>
      </c>
      <c r="F87">
        <v>2883</v>
      </c>
      <c r="G87">
        <v>2899</v>
      </c>
      <c r="H87">
        <v>2241</v>
      </c>
      <c r="I87">
        <v>1614</v>
      </c>
      <c r="J87">
        <v>2670</v>
      </c>
      <c r="K87">
        <v>213</v>
      </c>
      <c r="L87">
        <v>473</v>
      </c>
      <c r="M87">
        <v>3685</v>
      </c>
      <c r="N87">
        <v>3220</v>
      </c>
    </row>
    <row r="88" spans="1:14" x14ac:dyDescent="0.2">
      <c r="A88" t="s">
        <v>85</v>
      </c>
      <c r="B88" t="s">
        <v>85</v>
      </c>
      <c r="C88">
        <v>134130</v>
      </c>
      <c r="D88">
        <v>23540</v>
      </c>
      <c r="E88">
        <v>45843</v>
      </c>
      <c r="F88">
        <v>40833</v>
      </c>
      <c r="G88">
        <v>29267</v>
      </c>
      <c r="H88">
        <v>10420</v>
      </c>
      <c r="I88">
        <v>61740</v>
      </c>
      <c r="J88">
        <v>44261</v>
      </c>
      <c r="K88">
        <v>54643</v>
      </c>
      <c r="L88">
        <v>17258</v>
      </c>
      <c r="M88">
        <v>39771</v>
      </c>
      <c r="N88">
        <v>59623</v>
      </c>
    </row>
    <row r="89" spans="1:14" x14ac:dyDescent="0.2">
      <c r="A89" t="s">
        <v>404</v>
      </c>
      <c r="B89" t="s">
        <v>404</v>
      </c>
      <c r="C89">
        <v>133650</v>
      </c>
      <c r="D89">
        <v>45220</v>
      </c>
      <c r="E89">
        <v>1061</v>
      </c>
      <c r="F89">
        <v>804</v>
      </c>
      <c r="G89">
        <v>1736</v>
      </c>
      <c r="H89">
        <v>832</v>
      </c>
      <c r="I89">
        <v>841</v>
      </c>
      <c r="J89">
        <v>1001</v>
      </c>
      <c r="K89">
        <v>1719</v>
      </c>
      <c r="L89">
        <v>0</v>
      </c>
      <c r="M89">
        <v>0</v>
      </c>
      <c r="N89">
        <v>672</v>
      </c>
    </row>
    <row r="90" spans="1:14" x14ac:dyDescent="0.2">
      <c r="A90" t="s">
        <v>405</v>
      </c>
      <c r="B90" t="s">
        <v>405</v>
      </c>
      <c r="C90">
        <v>134097</v>
      </c>
      <c r="D90">
        <v>45220</v>
      </c>
      <c r="E90">
        <v>13181</v>
      </c>
      <c r="F90">
        <v>16268</v>
      </c>
      <c r="G90">
        <v>13076</v>
      </c>
      <c r="H90">
        <v>15675</v>
      </c>
      <c r="I90">
        <v>12929</v>
      </c>
      <c r="J90">
        <v>11280</v>
      </c>
      <c r="K90">
        <v>9611</v>
      </c>
      <c r="L90">
        <v>1000</v>
      </c>
      <c r="M90">
        <v>8463</v>
      </c>
      <c r="N90">
        <v>8057</v>
      </c>
    </row>
    <row r="91" spans="1:14" x14ac:dyDescent="0.2">
      <c r="A91" t="s">
        <v>406</v>
      </c>
      <c r="B91" t="s">
        <v>406</v>
      </c>
      <c r="C91">
        <v>191241</v>
      </c>
      <c r="D91">
        <v>35620</v>
      </c>
      <c r="E91">
        <v>1552</v>
      </c>
      <c r="F91">
        <v>1723</v>
      </c>
      <c r="G91">
        <v>1888</v>
      </c>
      <c r="H91">
        <v>3295</v>
      </c>
      <c r="I91">
        <v>3294</v>
      </c>
      <c r="J91">
        <v>4337</v>
      </c>
      <c r="K91">
        <v>1534</v>
      </c>
      <c r="L91">
        <v>1</v>
      </c>
      <c r="M91">
        <v>1363</v>
      </c>
      <c r="N91">
        <v>1638</v>
      </c>
    </row>
    <row r="92" spans="1:14" x14ac:dyDescent="0.2">
      <c r="A92" t="s">
        <v>407</v>
      </c>
      <c r="B92" t="s">
        <v>407</v>
      </c>
      <c r="C92">
        <v>110556</v>
      </c>
      <c r="D92">
        <v>23420</v>
      </c>
      <c r="E92">
        <v>13057</v>
      </c>
      <c r="F92">
        <v>7773</v>
      </c>
      <c r="G92">
        <v>10574</v>
      </c>
      <c r="H92">
        <v>10371</v>
      </c>
      <c r="I92">
        <v>8008</v>
      </c>
      <c r="J92">
        <v>13593</v>
      </c>
      <c r="K92">
        <v>13230</v>
      </c>
      <c r="L92">
        <v>0</v>
      </c>
      <c r="M92">
        <v>8641</v>
      </c>
      <c r="N92">
        <v>6491</v>
      </c>
    </row>
    <row r="93" spans="1:14" x14ac:dyDescent="0.2">
      <c r="A93" t="s">
        <v>408</v>
      </c>
      <c r="B93" t="s">
        <v>408</v>
      </c>
      <c r="C93">
        <v>218070</v>
      </c>
      <c r="D93">
        <v>24860</v>
      </c>
      <c r="E93">
        <v>5456</v>
      </c>
      <c r="F93">
        <v>4004</v>
      </c>
      <c r="G93">
        <v>4077</v>
      </c>
      <c r="H93">
        <v>3618</v>
      </c>
      <c r="I93">
        <v>3238</v>
      </c>
      <c r="J93">
        <v>4139</v>
      </c>
      <c r="K93">
        <v>2466</v>
      </c>
      <c r="L93">
        <v>240</v>
      </c>
      <c r="M93">
        <v>2995</v>
      </c>
      <c r="N93">
        <v>6651</v>
      </c>
    </row>
    <row r="94" spans="1:14" x14ac:dyDescent="0.2">
      <c r="A94" t="s">
        <v>409</v>
      </c>
      <c r="B94" t="s">
        <v>409</v>
      </c>
      <c r="C94">
        <v>139931</v>
      </c>
      <c r="D94">
        <v>44340</v>
      </c>
      <c r="E94">
        <v>4951</v>
      </c>
      <c r="F94">
        <v>1977</v>
      </c>
      <c r="G94">
        <v>3261</v>
      </c>
      <c r="H94">
        <v>4329</v>
      </c>
      <c r="I94">
        <v>4476</v>
      </c>
      <c r="J94">
        <v>3299</v>
      </c>
      <c r="K94">
        <v>4253</v>
      </c>
      <c r="L94">
        <v>1177</v>
      </c>
      <c r="M94">
        <v>5216</v>
      </c>
      <c r="N94">
        <v>4526</v>
      </c>
    </row>
    <row r="95" spans="1:14" x14ac:dyDescent="0.2">
      <c r="A95" t="s">
        <v>410</v>
      </c>
      <c r="B95" t="s">
        <v>410</v>
      </c>
      <c r="C95">
        <v>198561</v>
      </c>
      <c r="D95">
        <v>23500</v>
      </c>
      <c r="E95">
        <v>3640</v>
      </c>
      <c r="F95">
        <v>5229</v>
      </c>
      <c r="G95">
        <v>6825</v>
      </c>
      <c r="H95">
        <v>5766</v>
      </c>
      <c r="I95">
        <v>2129</v>
      </c>
      <c r="J95">
        <v>1262</v>
      </c>
      <c r="K95">
        <v>1805</v>
      </c>
      <c r="L95">
        <v>331</v>
      </c>
      <c r="M95">
        <v>2209</v>
      </c>
      <c r="N95">
        <v>1861</v>
      </c>
    </row>
    <row r="96" spans="1:14" x14ac:dyDescent="0.2">
      <c r="A96" t="s">
        <v>91</v>
      </c>
      <c r="B96" t="s">
        <v>91</v>
      </c>
      <c r="C96">
        <v>232186</v>
      </c>
      <c r="D96">
        <v>47900</v>
      </c>
      <c r="E96">
        <v>2908</v>
      </c>
      <c r="F96">
        <v>3200</v>
      </c>
      <c r="G96">
        <v>2558</v>
      </c>
      <c r="H96">
        <v>3887</v>
      </c>
      <c r="I96">
        <v>2926</v>
      </c>
      <c r="J96">
        <v>2030</v>
      </c>
      <c r="K96">
        <v>3902</v>
      </c>
      <c r="L96">
        <v>1</v>
      </c>
      <c r="M96">
        <v>2437</v>
      </c>
      <c r="N96">
        <v>4107</v>
      </c>
    </row>
    <row r="97" spans="1:14" x14ac:dyDescent="0.2">
      <c r="A97" t="s">
        <v>411</v>
      </c>
      <c r="B97" t="s">
        <v>411</v>
      </c>
      <c r="C97">
        <v>131469</v>
      </c>
      <c r="D97">
        <v>47900</v>
      </c>
      <c r="E97">
        <v>2847</v>
      </c>
      <c r="F97">
        <v>3753</v>
      </c>
      <c r="G97">
        <v>6104</v>
      </c>
      <c r="H97">
        <v>2914</v>
      </c>
      <c r="I97">
        <v>3597</v>
      </c>
      <c r="J97">
        <v>5063</v>
      </c>
      <c r="K97">
        <v>5003</v>
      </c>
      <c r="L97">
        <v>0</v>
      </c>
      <c r="M97">
        <v>3339</v>
      </c>
      <c r="N97">
        <v>2575</v>
      </c>
    </row>
    <row r="98" spans="1:14" x14ac:dyDescent="0.2">
      <c r="A98" t="s">
        <v>412</v>
      </c>
      <c r="B98" t="s">
        <v>412</v>
      </c>
      <c r="C98">
        <v>131496</v>
      </c>
      <c r="D98">
        <v>47900</v>
      </c>
      <c r="E98">
        <v>1784</v>
      </c>
      <c r="F98">
        <v>2400</v>
      </c>
      <c r="G98">
        <v>1943</v>
      </c>
      <c r="H98">
        <v>2884</v>
      </c>
      <c r="I98">
        <v>3039</v>
      </c>
      <c r="J98">
        <v>5121</v>
      </c>
      <c r="K98">
        <v>5059</v>
      </c>
      <c r="L98">
        <v>0</v>
      </c>
      <c r="M98">
        <v>3254</v>
      </c>
      <c r="N98">
        <v>2790</v>
      </c>
    </row>
    <row r="99" spans="1:14" x14ac:dyDescent="0.2">
      <c r="A99" t="s">
        <v>92</v>
      </c>
      <c r="B99" t="s">
        <v>92</v>
      </c>
      <c r="C99">
        <v>139959</v>
      </c>
      <c r="D99">
        <v>12020</v>
      </c>
      <c r="E99">
        <v>16544</v>
      </c>
      <c r="F99">
        <v>15264</v>
      </c>
      <c r="G99">
        <v>15472</v>
      </c>
      <c r="H99">
        <v>12670</v>
      </c>
      <c r="I99">
        <v>21029</v>
      </c>
      <c r="J99">
        <v>14274</v>
      </c>
      <c r="K99">
        <v>19630</v>
      </c>
      <c r="L99">
        <v>4800</v>
      </c>
      <c r="M99">
        <v>11017</v>
      </c>
      <c r="N99">
        <v>16827</v>
      </c>
    </row>
    <row r="100" spans="1:14" x14ac:dyDescent="0.2">
      <c r="A100" t="s">
        <v>413</v>
      </c>
      <c r="B100" t="s">
        <v>413</v>
      </c>
      <c r="C100">
        <v>139940</v>
      </c>
      <c r="D100">
        <v>12060</v>
      </c>
      <c r="E100">
        <v>2683</v>
      </c>
      <c r="F100">
        <v>3350</v>
      </c>
      <c r="G100">
        <v>3396</v>
      </c>
      <c r="H100">
        <v>2808</v>
      </c>
      <c r="I100">
        <v>2381</v>
      </c>
      <c r="J100">
        <v>2551</v>
      </c>
      <c r="K100">
        <v>1910</v>
      </c>
      <c r="L100">
        <v>649</v>
      </c>
      <c r="M100">
        <v>1676</v>
      </c>
      <c r="N100">
        <v>2546</v>
      </c>
    </row>
    <row r="101" spans="1:14" x14ac:dyDescent="0.2">
      <c r="A101" t="s">
        <v>95</v>
      </c>
      <c r="B101" t="s">
        <v>95</v>
      </c>
      <c r="C101">
        <v>139755</v>
      </c>
      <c r="D101">
        <v>12060</v>
      </c>
      <c r="E101">
        <v>12150</v>
      </c>
      <c r="F101">
        <v>9565</v>
      </c>
      <c r="G101">
        <v>12095</v>
      </c>
      <c r="H101">
        <v>9405</v>
      </c>
      <c r="I101">
        <v>10540</v>
      </c>
      <c r="J101">
        <v>11440</v>
      </c>
      <c r="K101">
        <v>12156</v>
      </c>
      <c r="L101">
        <v>885</v>
      </c>
      <c r="M101">
        <v>15277</v>
      </c>
      <c r="N101">
        <v>19018</v>
      </c>
    </row>
    <row r="102" spans="1:14" x14ac:dyDescent="0.2">
      <c r="A102" t="s">
        <v>414</v>
      </c>
      <c r="B102" t="s">
        <v>414</v>
      </c>
      <c r="C102">
        <v>235316</v>
      </c>
      <c r="D102">
        <v>44060</v>
      </c>
      <c r="E102">
        <v>6402</v>
      </c>
      <c r="F102">
        <v>6150</v>
      </c>
      <c r="G102">
        <v>8695</v>
      </c>
      <c r="H102">
        <v>5427</v>
      </c>
      <c r="I102">
        <v>6536</v>
      </c>
      <c r="J102">
        <v>5201</v>
      </c>
      <c r="K102">
        <v>6820</v>
      </c>
      <c r="L102">
        <v>672</v>
      </c>
      <c r="M102">
        <v>5092</v>
      </c>
      <c r="N102">
        <v>3763</v>
      </c>
    </row>
    <row r="103" spans="1:14" x14ac:dyDescent="0.2">
      <c r="A103" t="s">
        <v>415</v>
      </c>
      <c r="B103" t="s">
        <v>415</v>
      </c>
      <c r="C103">
        <v>159009</v>
      </c>
      <c r="D103">
        <v>33740</v>
      </c>
      <c r="E103">
        <v>1781</v>
      </c>
      <c r="F103">
        <v>1583</v>
      </c>
      <c r="G103">
        <v>1853</v>
      </c>
      <c r="H103">
        <v>2970</v>
      </c>
      <c r="I103">
        <v>1351</v>
      </c>
      <c r="J103">
        <v>1831</v>
      </c>
      <c r="K103">
        <v>1249</v>
      </c>
      <c r="L103">
        <v>968</v>
      </c>
      <c r="M103">
        <v>1990</v>
      </c>
      <c r="N103">
        <v>1068</v>
      </c>
    </row>
    <row r="104" spans="1:14" x14ac:dyDescent="0.2">
      <c r="A104" t="s">
        <v>416</v>
      </c>
      <c r="B104" t="s">
        <v>416</v>
      </c>
      <c r="C104">
        <v>104717</v>
      </c>
      <c r="D104">
        <v>38060</v>
      </c>
      <c r="E104">
        <v>4652</v>
      </c>
      <c r="F104">
        <v>3779</v>
      </c>
      <c r="G104">
        <v>7814</v>
      </c>
      <c r="H104">
        <v>7833</v>
      </c>
      <c r="I104">
        <v>10007</v>
      </c>
      <c r="J104">
        <v>10111</v>
      </c>
      <c r="K104">
        <v>10676</v>
      </c>
      <c r="L104">
        <v>1109</v>
      </c>
      <c r="M104">
        <v>15668</v>
      </c>
      <c r="N104">
        <v>16314</v>
      </c>
    </row>
    <row r="105" spans="1:14" x14ac:dyDescent="0.2">
      <c r="A105" t="s">
        <v>417</v>
      </c>
      <c r="B105" t="s">
        <v>417</v>
      </c>
      <c r="C105">
        <v>240277</v>
      </c>
      <c r="D105">
        <v>24580</v>
      </c>
      <c r="E105">
        <v>3825</v>
      </c>
      <c r="F105">
        <v>3484</v>
      </c>
      <c r="G105">
        <v>3447</v>
      </c>
      <c r="H105">
        <v>3956</v>
      </c>
      <c r="I105">
        <v>4153</v>
      </c>
      <c r="J105">
        <v>3974</v>
      </c>
      <c r="K105">
        <v>5697</v>
      </c>
      <c r="L105">
        <v>2</v>
      </c>
      <c r="M105">
        <v>3927</v>
      </c>
      <c r="N105">
        <v>5703</v>
      </c>
    </row>
    <row r="106" spans="1:14" x14ac:dyDescent="0.2">
      <c r="A106" t="s">
        <v>418</v>
      </c>
      <c r="B106" t="s">
        <v>418</v>
      </c>
      <c r="C106">
        <v>232265</v>
      </c>
      <c r="D106">
        <v>47260</v>
      </c>
      <c r="E106">
        <v>2140</v>
      </c>
      <c r="F106">
        <v>3220</v>
      </c>
      <c r="G106">
        <v>1400</v>
      </c>
      <c r="H106">
        <v>1191</v>
      </c>
      <c r="I106">
        <v>1421</v>
      </c>
      <c r="J106">
        <v>2013</v>
      </c>
      <c r="K106">
        <v>1363</v>
      </c>
      <c r="L106">
        <v>0</v>
      </c>
      <c r="M106">
        <v>1470</v>
      </c>
      <c r="N106">
        <v>2264</v>
      </c>
    </row>
    <row r="107" spans="1:14" x14ac:dyDescent="0.2">
      <c r="A107" t="s">
        <v>419</v>
      </c>
      <c r="B107" t="s">
        <v>419</v>
      </c>
      <c r="C107">
        <v>129525</v>
      </c>
      <c r="D107">
        <v>25540</v>
      </c>
      <c r="E107">
        <v>1413</v>
      </c>
      <c r="F107">
        <v>1935</v>
      </c>
      <c r="G107">
        <v>3023</v>
      </c>
      <c r="H107">
        <v>3481</v>
      </c>
      <c r="I107">
        <v>2561</v>
      </c>
      <c r="J107">
        <v>1905</v>
      </c>
      <c r="K107">
        <v>2076</v>
      </c>
      <c r="L107">
        <v>3</v>
      </c>
      <c r="M107">
        <v>1405</v>
      </c>
      <c r="N107">
        <v>876</v>
      </c>
    </row>
    <row r="108" spans="1:14" x14ac:dyDescent="0.2">
      <c r="A108" t="s">
        <v>420</v>
      </c>
      <c r="B108" t="s">
        <v>420</v>
      </c>
      <c r="C108">
        <v>166027</v>
      </c>
      <c r="D108">
        <v>14460</v>
      </c>
      <c r="E108">
        <v>3193</v>
      </c>
      <c r="F108">
        <v>4101</v>
      </c>
      <c r="G108">
        <v>4011</v>
      </c>
      <c r="H108">
        <v>2972</v>
      </c>
      <c r="I108">
        <v>2479</v>
      </c>
      <c r="J108">
        <v>1091</v>
      </c>
      <c r="K108">
        <v>2719</v>
      </c>
      <c r="L108">
        <v>0</v>
      </c>
      <c r="M108">
        <v>2301</v>
      </c>
      <c r="N108">
        <v>1803</v>
      </c>
    </row>
    <row r="109" spans="1:14" x14ac:dyDescent="0.2">
      <c r="A109" t="s">
        <v>97</v>
      </c>
      <c r="B109" t="s">
        <v>97</v>
      </c>
      <c r="C109">
        <v>141574</v>
      </c>
      <c r="D109">
        <v>46520</v>
      </c>
      <c r="E109">
        <v>144235</v>
      </c>
      <c r="F109">
        <v>120776</v>
      </c>
      <c r="G109">
        <v>131187</v>
      </c>
      <c r="H109">
        <v>128414</v>
      </c>
      <c r="I109">
        <v>121523</v>
      </c>
      <c r="J109">
        <v>93537</v>
      </c>
      <c r="K109">
        <v>120318</v>
      </c>
      <c r="L109">
        <v>0</v>
      </c>
      <c r="M109">
        <v>12593</v>
      </c>
      <c r="N109">
        <v>89450</v>
      </c>
    </row>
    <row r="110" spans="1:14" x14ac:dyDescent="0.2">
      <c r="A110" t="s">
        <v>421</v>
      </c>
      <c r="B110" t="s">
        <v>421</v>
      </c>
      <c r="C110">
        <v>198695</v>
      </c>
      <c r="D110">
        <v>24660</v>
      </c>
      <c r="E110">
        <v>5384</v>
      </c>
      <c r="F110">
        <v>6450</v>
      </c>
      <c r="G110">
        <v>6769</v>
      </c>
      <c r="H110">
        <v>6531</v>
      </c>
      <c r="I110">
        <v>4685</v>
      </c>
      <c r="J110">
        <v>5428</v>
      </c>
      <c r="K110">
        <v>4860</v>
      </c>
      <c r="L110">
        <v>698</v>
      </c>
      <c r="M110">
        <v>3810</v>
      </c>
      <c r="N110">
        <v>7498</v>
      </c>
    </row>
    <row r="111" spans="1:14" x14ac:dyDescent="0.2">
      <c r="A111" t="s">
        <v>422</v>
      </c>
      <c r="B111" t="s">
        <v>422</v>
      </c>
      <c r="C111">
        <v>191649</v>
      </c>
      <c r="D111">
        <v>35620</v>
      </c>
      <c r="E111">
        <v>2290</v>
      </c>
      <c r="F111">
        <v>3887</v>
      </c>
      <c r="G111">
        <v>2123</v>
      </c>
      <c r="H111">
        <v>2561</v>
      </c>
      <c r="I111">
        <v>2333</v>
      </c>
      <c r="J111">
        <v>3579</v>
      </c>
      <c r="K111">
        <v>3544</v>
      </c>
      <c r="L111">
        <v>31</v>
      </c>
      <c r="M111">
        <v>1543</v>
      </c>
      <c r="N111">
        <v>2960</v>
      </c>
    </row>
    <row r="112" spans="1:14" x14ac:dyDescent="0.2">
      <c r="A112" t="s">
        <v>423</v>
      </c>
      <c r="B112" t="s">
        <v>423</v>
      </c>
      <c r="C112">
        <v>166124</v>
      </c>
      <c r="D112">
        <v>49340</v>
      </c>
      <c r="E112">
        <v>1639</v>
      </c>
      <c r="F112">
        <v>1800</v>
      </c>
      <c r="G112">
        <v>962</v>
      </c>
      <c r="H112">
        <v>3280</v>
      </c>
      <c r="I112">
        <v>1351</v>
      </c>
      <c r="J112">
        <v>1704</v>
      </c>
      <c r="K112">
        <v>1424</v>
      </c>
      <c r="L112">
        <v>6</v>
      </c>
      <c r="M112">
        <v>970</v>
      </c>
      <c r="N112">
        <v>1011</v>
      </c>
    </row>
    <row r="113" spans="1:14" x14ac:dyDescent="0.2">
      <c r="A113" t="s">
        <v>98</v>
      </c>
      <c r="B113" t="s">
        <v>98</v>
      </c>
      <c r="C113">
        <v>225511</v>
      </c>
      <c r="D113">
        <v>26420</v>
      </c>
      <c r="E113">
        <v>7922</v>
      </c>
      <c r="F113">
        <v>5973</v>
      </c>
      <c r="G113">
        <v>4591</v>
      </c>
      <c r="H113">
        <v>6614</v>
      </c>
      <c r="I113">
        <v>4134</v>
      </c>
      <c r="J113">
        <v>5073</v>
      </c>
      <c r="K113">
        <v>4893</v>
      </c>
      <c r="L113">
        <v>1114</v>
      </c>
      <c r="M113">
        <v>6742</v>
      </c>
      <c r="N113">
        <v>12954</v>
      </c>
    </row>
    <row r="114" spans="1:14" x14ac:dyDescent="0.2">
      <c r="A114" t="s">
        <v>424</v>
      </c>
      <c r="B114" t="s">
        <v>425</v>
      </c>
      <c r="C114">
        <v>225399</v>
      </c>
      <c r="D114">
        <v>26420</v>
      </c>
      <c r="E114">
        <v>4889</v>
      </c>
      <c r="F114">
        <v>5678</v>
      </c>
      <c r="G114">
        <v>6686</v>
      </c>
      <c r="H114">
        <v>5297</v>
      </c>
      <c r="I114">
        <v>3675</v>
      </c>
      <c r="J114">
        <v>4776</v>
      </c>
      <c r="K114">
        <v>2123</v>
      </c>
      <c r="L114">
        <v>825</v>
      </c>
      <c r="M114">
        <v>2150</v>
      </c>
      <c r="N114">
        <v>4425</v>
      </c>
    </row>
    <row r="115" spans="1:14" x14ac:dyDescent="0.2">
      <c r="A115" t="s">
        <v>426</v>
      </c>
      <c r="B115" t="s">
        <v>426</v>
      </c>
      <c r="C115">
        <v>131520</v>
      </c>
      <c r="D115">
        <v>47900</v>
      </c>
      <c r="E115">
        <v>895</v>
      </c>
      <c r="F115">
        <v>939</v>
      </c>
      <c r="G115">
        <v>1222</v>
      </c>
      <c r="H115">
        <v>1839</v>
      </c>
      <c r="I115">
        <v>1019</v>
      </c>
      <c r="J115">
        <v>9616</v>
      </c>
      <c r="K115">
        <v>1900</v>
      </c>
      <c r="L115">
        <v>0</v>
      </c>
      <c r="M115">
        <v>5369</v>
      </c>
      <c r="N115">
        <v>3251</v>
      </c>
    </row>
    <row r="116" spans="1:14" x14ac:dyDescent="0.2">
      <c r="A116" t="s">
        <v>99</v>
      </c>
      <c r="B116" t="s">
        <v>99</v>
      </c>
      <c r="C116">
        <v>142285</v>
      </c>
      <c r="D116">
        <v>34140</v>
      </c>
      <c r="E116">
        <v>5157</v>
      </c>
      <c r="F116">
        <v>7499</v>
      </c>
      <c r="G116">
        <v>4938</v>
      </c>
      <c r="H116">
        <v>5117</v>
      </c>
      <c r="I116">
        <v>3969</v>
      </c>
      <c r="J116">
        <v>5328</v>
      </c>
      <c r="K116">
        <v>5464</v>
      </c>
      <c r="L116">
        <v>6</v>
      </c>
      <c r="M116">
        <v>5812</v>
      </c>
      <c r="N116">
        <v>3311</v>
      </c>
    </row>
    <row r="117" spans="1:14" x14ac:dyDescent="0.2">
      <c r="A117" t="s">
        <v>427</v>
      </c>
      <c r="B117" t="s">
        <v>427</v>
      </c>
      <c r="C117">
        <v>142276</v>
      </c>
      <c r="D117">
        <v>38540</v>
      </c>
      <c r="E117">
        <v>5652</v>
      </c>
      <c r="F117">
        <v>8859</v>
      </c>
      <c r="G117">
        <v>6392</v>
      </c>
      <c r="H117">
        <v>6387</v>
      </c>
      <c r="I117">
        <v>4933</v>
      </c>
      <c r="J117">
        <v>6323</v>
      </c>
      <c r="K117">
        <v>4753</v>
      </c>
      <c r="L117">
        <v>210</v>
      </c>
      <c r="M117">
        <v>3851</v>
      </c>
      <c r="N117">
        <v>4615</v>
      </c>
    </row>
    <row r="118" spans="1:14" x14ac:dyDescent="0.2">
      <c r="A118" t="s">
        <v>101</v>
      </c>
      <c r="B118" t="s">
        <v>101</v>
      </c>
      <c r="C118">
        <v>145637</v>
      </c>
      <c r="D118">
        <v>16580</v>
      </c>
      <c r="E118">
        <v>49871</v>
      </c>
      <c r="F118">
        <v>45410</v>
      </c>
      <c r="G118">
        <v>39260</v>
      </c>
      <c r="H118">
        <v>33614</v>
      </c>
      <c r="I118">
        <v>30287</v>
      </c>
      <c r="J118">
        <v>48551</v>
      </c>
      <c r="K118">
        <v>33003</v>
      </c>
      <c r="L118">
        <v>64</v>
      </c>
      <c r="M118">
        <v>27848</v>
      </c>
      <c r="N118">
        <v>25655</v>
      </c>
    </row>
    <row r="119" spans="1:14" x14ac:dyDescent="0.2">
      <c r="A119" t="s">
        <v>428</v>
      </c>
      <c r="B119" t="s">
        <v>428</v>
      </c>
      <c r="C119">
        <v>145813</v>
      </c>
      <c r="D119">
        <v>14010</v>
      </c>
      <c r="E119">
        <v>8427</v>
      </c>
      <c r="F119">
        <v>10638</v>
      </c>
      <c r="G119">
        <v>11674</v>
      </c>
      <c r="H119">
        <v>9966</v>
      </c>
      <c r="I119">
        <v>11307</v>
      </c>
      <c r="J119">
        <v>7711</v>
      </c>
      <c r="K119">
        <v>10741</v>
      </c>
      <c r="L119">
        <v>1803</v>
      </c>
      <c r="M119">
        <v>10134</v>
      </c>
      <c r="N119">
        <v>12014</v>
      </c>
    </row>
    <row r="120" spans="1:14" x14ac:dyDescent="0.2">
      <c r="A120" t="s">
        <v>104</v>
      </c>
      <c r="B120" t="s">
        <v>104</v>
      </c>
      <c r="C120">
        <v>151351</v>
      </c>
      <c r="D120">
        <v>14020</v>
      </c>
      <c r="E120">
        <v>13130</v>
      </c>
      <c r="F120">
        <v>13510</v>
      </c>
      <c r="G120">
        <v>11687</v>
      </c>
      <c r="H120">
        <v>14092</v>
      </c>
      <c r="I120">
        <v>12487</v>
      </c>
      <c r="J120">
        <v>12623</v>
      </c>
      <c r="K120">
        <v>27362</v>
      </c>
      <c r="L120">
        <v>0</v>
      </c>
      <c r="M120">
        <v>18206</v>
      </c>
      <c r="N120">
        <v>17755</v>
      </c>
    </row>
    <row r="121" spans="1:14" x14ac:dyDescent="0.2">
      <c r="A121" t="s">
        <v>429</v>
      </c>
      <c r="B121" t="s">
        <v>429</v>
      </c>
      <c r="C121">
        <v>151324</v>
      </c>
      <c r="D121">
        <v>45460</v>
      </c>
      <c r="E121">
        <v>2025</v>
      </c>
      <c r="F121">
        <v>3555</v>
      </c>
      <c r="G121">
        <v>5510</v>
      </c>
      <c r="H121">
        <v>2904</v>
      </c>
      <c r="I121">
        <v>2628</v>
      </c>
      <c r="J121">
        <v>3335</v>
      </c>
      <c r="K121">
        <v>1512</v>
      </c>
      <c r="L121">
        <v>635</v>
      </c>
      <c r="M121">
        <v>3034</v>
      </c>
      <c r="N121">
        <v>1795</v>
      </c>
    </row>
    <row r="122" spans="1:14" x14ac:dyDescent="0.2">
      <c r="A122" t="s">
        <v>430</v>
      </c>
      <c r="B122" t="s">
        <v>430</v>
      </c>
      <c r="C122">
        <v>191931</v>
      </c>
      <c r="D122">
        <v>35620</v>
      </c>
      <c r="E122">
        <v>2042</v>
      </c>
      <c r="F122">
        <v>2139</v>
      </c>
      <c r="G122">
        <v>1673</v>
      </c>
      <c r="H122">
        <v>1622</v>
      </c>
      <c r="I122">
        <v>1155</v>
      </c>
      <c r="J122">
        <v>1868</v>
      </c>
      <c r="K122">
        <v>2058</v>
      </c>
      <c r="L122">
        <v>8</v>
      </c>
      <c r="M122">
        <v>1241</v>
      </c>
      <c r="N122">
        <v>2707</v>
      </c>
    </row>
    <row r="123" spans="1:14" x14ac:dyDescent="0.2">
      <c r="A123" t="s">
        <v>106</v>
      </c>
      <c r="B123" t="s">
        <v>106</v>
      </c>
      <c r="C123">
        <v>153658</v>
      </c>
      <c r="D123">
        <v>26980</v>
      </c>
      <c r="E123">
        <v>16628</v>
      </c>
      <c r="F123">
        <v>13752</v>
      </c>
      <c r="G123">
        <v>22754</v>
      </c>
      <c r="H123">
        <v>30695</v>
      </c>
      <c r="I123">
        <v>30807</v>
      </c>
      <c r="J123">
        <v>22276</v>
      </c>
      <c r="K123">
        <v>20790</v>
      </c>
      <c r="L123">
        <v>1801</v>
      </c>
      <c r="M123">
        <v>17024</v>
      </c>
      <c r="N123">
        <v>21395</v>
      </c>
    </row>
    <row r="124" spans="1:14" x14ac:dyDescent="0.2">
      <c r="A124" t="s">
        <v>431</v>
      </c>
      <c r="B124" t="s">
        <v>431</v>
      </c>
      <c r="C124">
        <v>153603</v>
      </c>
      <c r="D124">
        <v>11180</v>
      </c>
      <c r="E124">
        <v>29703</v>
      </c>
      <c r="F124">
        <v>34172</v>
      </c>
      <c r="G124">
        <v>34113</v>
      </c>
      <c r="H124">
        <v>31543</v>
      </c>
      <c r="I124">
        <v>38934</v>
      </c>
      <c r="J124">
        <v>37867</v>
      </c>
      <c r="K124">
        <v>27077</v>
      </c>
      <c r="L124">
        <v>1285</v>
      </c>
      <c r="M124">
        <v>21489</v>
      </c>
      <c r="N124">
        <v>38882</v>
      </c>
    </row>
    <row r="125" spans="1:14" x14ac:dyDescent="0.2">
      <c r="A125" t="s">
        <v>108</v>
      </c>
      <c r="B125" t="s">
        <v>598</v>
      </c>
      <c r="C125">
        <v>151111</v>
      </c>
      <c r="D125">
        <v>26900</v>
      </c>
      <c r="E125">
        <v>4803</v>
      </c>
      <c r="F125">
        <v>4902</v>
      </c>
      <c r="G125">
        <v>3499</v>
      </c>
      <c r="H125">
        <v>3043</v>
      </c>
      <c r="I125">
        <v>3610</v>
      </c>
      <c r="J125">
        <v>3333</v>
      </c>
      <c r="K125">
        <v>2201</v>
      </c>
      <c r="L125">
        <v>1</v>
      </c>
      <c r="M125">
        <v>2686</v>
      </c>
      <c r="N125">
        <v>2555</v>
      </c>
    </row>
    <row r="126" spans="1:14" x14ac:dyDescent="0.2">
      <c r="A126" t="s">
        <v>432</v>
      </c>
      <c r="B126" t="s">
        <v>432</v>
      </c>
      <c r="C126">
        <v>175856</v>
      </c>
      <c r="D126">
        <v>27140</v>
      </c>
      <c r="E126">
        <v>2650</v>
      </c>
      <c r="F126">
        <v>3291</v>
      </c>
      <c r="G126">
        <v>3086</v>
      </c>
      <c r="H126">
        <v>2501</v>
      </c>
      <c r="I126">
        <v>1827</v>
      </c>
      <c r="J126">
        <v>951</v>
      </c>
      <c r="K126">
        <v>1324</v>
      </c>
      <c r="L126">
        <v>787</v>
      </c>
      <c r="M126">
        <v>666</v>
      </c>
      <c r="N126">
        <v>1022</v>
      </c>
    </row>
    <row r="127" spans="1:14" x14ac:dyDescent="0.2">
      <c r="A127" t="s">
        <v>433</v>
      </c>
      <c r="B127" t="s">
        <v>433</v>
      </c>
      <c r="C127">
        <v>134945</v>
      </c>
      <c r="D127">
        <v>27260</v>
      </c>
      <c r="E127">
        <v>2542</v>
      </c>
      <c r="F127">
        <v>2075</v>
      </c>
      <c r="G127">
        <v>2288</v>
      </c>
      <c r="H127">
        <v>2999</v>
      </c>
      <c r="I127">
        <v>1594</v>
      </c>
      <c r="J127">
        <v>1202</v>
      </c>
      <c r="K127">
        <v>2094</v>
      </c>
      <c r="L127">
        <v>588</v>
      </c>
      <c r="M127">
        <v>1423</v>
      </c>
      <c r="N127">
        <v>1560</v>
      </c>
    </row>
    <row r="128" spans="1:14" x14ac:dyDescent="0.2">
      <c r="A128" t="s">
        <v>434</v>
      </c>
      <c r="B128" t="s">
        <v>434</v>
      </c>
      <c r="C128">
        <v>101480</v>
      </c>
      <c r="D128">
        <v>11500</v>
      </c>
      <c r="E128">
        <v>1617</v>
      </c>
      <c r="F128">
        <v>3384</v>
      </c>
      <c r="G128">
        <v>3731</v>
      </c>
      <c r="H128">
        <v>10464</v>
      </c>
      <c r="I128">
        <v>3085</v>
      </c>
      <c r="J128">
        <v>1848</v>
      </c>
      <c r="K128">
        <v>3384</v>
      </c>
      <c r="L128">
        <v>1120</v>
      </c>
      <c r="M128">
        <v>4451</v>
      </c>
      <c r="N128">
        <v>7307</v>
      </c>
    </row>
    <row r="129" spans="1:14" x14ac:dyDescent="0.2">
      <c r="A129" t="s">
        <v>110</v>
      </c>
      <c r="B129" t="s">
        <v>110</v>
      </c>
      <c r="C129">
        <v>232423</v>
      </c>
      <c r="D129">
        <v>25500</v>
      </c>
      <c r="E129">
        <v>4423</v>
      </c>
      <c r="F129">
        <v>4338</v>
      </c>
      <c r="G129">
        <v>3694</v>
      </c>
      <c r="H129">
        <v>4867</v>
      </c>
      <c r="I129">
        <v>4140</v>
      </c>
      <c r="J129">
        <v>3591</v>
      </c>
      <c r="K129">
        <v>3327</v>
      </c>
      <c r="L129">
        <v>555</v>
      </c>
      <c r="M129">
        <v>2459</v>
      </c>
      <c r="N129">
        <v>4148</v>
      </c>
    </row>
    <row r="130" spans="1:14" x14ac:dyDescent="0.2">
      <c r="A130" t="s">
        <v>111</v>
      </c>
      <c r="B130" t="s">
        <v>111</v>
      </c>
      <c r="C130">
        <v>155317</v>
      </c>
      <c r="D130">
        <v>29940</v>
      </c>
      <c r="E130">
        <v>24733</v>
      </c>
      <c r="F130">
        <v>19283</v>
      </c>
      <c r="G130">
        <v>22324</v>
      </c>
      <c r="H130">
        <v>17968</v>
      </c>
      <c r="I130">
        <v>15624</v>
      </c>
      <c r="J130">
        <v>19395</v>
      </c>
      <c r="K130">
        <v>19360</v>
      </c>
      <c r="L130">
        <v>1473</v>
      </c>
      <c r="M130">
        <v>17097</v>
      </c>
      <c r="N130">
        <v>20942</v>
      </c>
    </row>
    <row r="131" spans="1:14" x14ac:dyDescent="0.2">
      <c r="A131" t="s">
        <v>435</v>
      </c>
      <c r="B131" t="s">
        <v>436</v>
      </c>
      <c r="C131">
        <v>178402</v>
      </c>
      <c r="D131">
        <v>28140</v>
      </c>
      <c r="E131">
        <v>3637</v>
      </c>
      <c r="F131">
        <v>3796</v>
      </c>
      <c r="G131">
        <v>2893</v>
      </c>
      <c r="H131">
        <v>2210</v>
      </c>
      <c r="I131">
        <v>1527</v>
      </c>
      <c r="J131">
        <v>4632</v>
      </c>
      <c r="K131">
        <v>3407</v>
      </c>
      <c r="L131">
        <v>210</v>
      </c>
      <c r="M131">
        <v>1831</v>
      </c>
      <c r="N131">
        <v>4840</v>
      </c>
    </row>
    <row r="132" spans="1:14" x14ac:dyDescent="0.2">
      <c r="A132" t="s">
        <v>437</v>
      </c>
      <c r="B132" t="s">
        <v>437</v>
      </c>
      <c r="C132">
        <v>155399</v>
      </c>
      <c r="D132">
        <v>31740</v>
      </c>
      <c r="E132">
        <v>26573</v>
      </c>
      <c r="F132">
        <v>30759</v>
      </c>
      <c r="G132">
        <v>22362</v>
      </c>
      <c r="H132">
        <v>36063</v>
      </c>
      <c r="I132">
        <v>20183</v>
      </c>
      <c r="J132">
        <v>16134</v>
      </c>
      <c r="K132">
        <v>12236</v>
      </c>
      <c r="L132">
        <v>4050</v>
      </c>
      <c r="M132">
        <v>13522</v>
      </c>
      <c r="N132">
        <v>15985</v>
      </c>
    </row>
    <row r="133" spans="1:14" x14ac:dyDescent="0.2">
      <c r="A133" t="s">
        <v>438</v>
      </c>
      <c r="B133" t="s">
        <v>438</v>
      </c>
      <c r="C133">
        <v>486840</v>
      </c>
      <c r="D133">
        <v>12060</v>
      </c>
      <c r="E133">
        <v>5325</v>
      </c>
      <c r="F133">
        <v>5176</v>
      </c>
      <c r="G133">
        <v>7023</v>
      </c>
      <c r="H133">
        <v>6511</v>
      </c>
      <c r="I133">
        <v>7968</v>
      </c>
      <c r="J133">
        <v>7511</v>
      </c>
      <c r="K133">
        <v>5302</v>
      </c>
      <c r="L133">
        <v>1742</v>
      </c>
      <c r="M133">
        <v>4914</v>
      </c>
      <c r="N133">
        <v>4874</v>
      </c>
    </row>
    <row r="134" spans="1:14" x14ac:dyDescent="0.2">
      <c r="A134" t="s">
        <v>439</v>
      </c>
      <c r="B134" t="s">
        <v>439</v>
      </c>
      <c r="C134">
        <v>203517</v>
      </c>
      <c r="D134">
        <v>10420</v>
      </c>
      <c r="E134">
        <v>3972</v>
      </c>
      <c r="F134">
        <v>3968</v>
      </c>
      <c r="G134">
        <v>4849</v>
      </c>
      <c r="H134">
        <v>5897</v>
      </c>
      <c r="I134">
        <v>4903</v>
      </c>
      <c r="J134">
        <v>4631</v>
      </c>
      <c r="K134">
        <v>4630</v>
      </c>
      <c r="L134">
        <v>269</v>
      </c>
      <c r="M134">
        <v>3414</v>
      </c>
      <c r="N134">
        <v>4531</v>
      </c>
    </row>
    <row r="135" spans="1:14" x14ac:dyDescent="0.2">
      <c r="A135" t="s">
        <v>115</v>
      </c>
      <c r="B135" t="s">
        <v>115</v>
      </c>
      <c r="C135">
        <v>157085</v>
      </c>
      <c r="D135">
        <v>30460</v>
      </c>
      <c r="E135">
        <v>26806</v>
      </c>
      <c r="F135">
        <v>30453</v>
      </c>
      <c r="G135">
        <v>24334</v>
      </c>
      <c r="H135">
        <v>20194</v>
      </c>
      <c r="I135">
        <v>45394</v>
      </c>
      <c r="J135">
        <v>31918</v>
      </c>
      <c r="K135">
        <v>32554</v>
      </c>
      <c r="L135">
        <v>4524</v>
      </c>
      <c r="M135">
        <v>31904</v>
      </c>
      <c r="N135">
        <v>40137</v>
      </c>
    </row>
    <row r="136" spans="1:14" x14ac:dyDescent="0.2">
      <c r="A136" t="s">
        <v>440</v>
      </c>
      <c r="B136" t="s">
        <v>440</v>
      </c>
      <c r="C136">
        <v>213367</v>
      </c>
      <c r="D136">
        <v>37980</v>
      </c>
      <c r="E136">
        <v>1021</v>
      </c>
      <c r="F136">
        <v>1184</v>
      </c>
      <c r="G136">
        <v>1026</v>
      </c>
      <c r="H136">
        <v>1387</v>
      </c>
      <c r="I136">
        <v>1578</v>
      </c>
      <c r="J136">
        <v>919</v>
      </c>
      <c r="K136">
        <v>886</v>
      </c>
      <c r="L136">
        <v>31</v>
      </c>
      <c r="M136">
        <v>0</v>
      </c>
      <c r="N136">
        <v>0</v>
      </c>
    </row>
    <row r="137" spans="1:14" x14ac:dyDescent="0.2">
      <c r="A137" t="s">
        <v>441</v>
      </c>
      <c r="B137" t="s">
        <v>441</v>
      </c>
      <c r="C137">
        <v>213385</v>
      </c>
      <c r="D137">
        <v>10900</v>
      </c>
      <c r="E137">
        <v>1887</v>
      </c>
      <c r="F137">
        <v>1710</v>
      </c>
      <c r="G137">
        <v>1851</v>
      </c>
      <c r="H137">
        <v>2170</v>
      </c>
      <c r="I137">
        <v>2253</v>
      </c>
      <c r="J137">
        <v>4563</v>
      </c>
      <c r="K137">
        <v>1642</v>
      </c>
      <c r="L137">
        <v>1</v>
      </c>
      <c r="M137">
        <v>1499</v>
      </c>
      <c r="N137">
        <v>2732</v>
      </c>
    </row>
    <row r="138" spans="1:14" x14ac:dyDescent="0.2">
      <c r="A138" t="s">
        <v>442</v>
      </c>
      <c r="B138" t="s">
        <v>442</v>
      </c>
      <c r="C138">
        <v>226091</v>
      </c>
      <c r="D138">
        <v>13140</v>
      </c>
      <c r="E138">
        <v>3963</v>
      </c>
      <c r="F138">
        <v>2167</v>
      </c>
      <c r="G138">
        <v>3380</v>
      </c>
      <c r="H138">
        <v>2302</v>
      </c>
      <c r="I138">
        <v>2627</v>
      </c>
      <c r="J138">
        <v>3354</v>
      </c>
      <c r="K138">
        <v>2427</v>
      </c>
      <c r="L138">
        <v>2497</v>
      </c>
      <c r="M138">
        <v>3430</v>
      </c>
      <c r="N138">
        <v>3779</v>
      </c>
    </row>
    <row r="139" spans="1:14" x14ac:dyDescent="0.2">
      <c r="A139" t="s">
        <v>443</v>
      </c>
      <c r="B139" t="s">
        <v>443</v>
      </c>
      <c r="C139">
        <v>213543</v>
      </c>
      <c r="D139">
        <v>10900</v>
      </c>
      <c r="E139">
        <v>0</v>
      </c>
      <c r="F139">
        <v>2293</v>
      </c>
      <c r="G139">
        <v>2561</v>
      </c>
      <c r="H139">
        <v>1980</v>
      </c>
      <c r="I139">
        <v>2607</v>
      </c>
      <c r="J139">
        <v>2642</v>
      </c>
      <c r="K139">
        <v>1847</v>
      </c>
      <c r="L139">
        <v>8</v>
      </c>
      <c r="M139">
        <v>2295</v>
      </c>
      <c r="N139">
        <v>2757</v>
      </c>
    </row>
    <row r="140" spans="1:14" x14ac:dyDescent="0.2">
      <c r="A140" t="s">
        <v>444</v>
      </c>
      <c r="B140" t="s">
        <v>444</v>
      </c>
      <c r="C140">
        <v>232557</v>
      </c>
      <c r="D140">
        <v>31340</v>
      </c>
      <c r="E140">
        <v>5814</v>
      </c>
      <c r="F140">
        <v>4678</v>
      </c>
      <c r="G140">
        <v>6625</v>
      </c>
      <c r="H140">
        <v>11187</v>
      </c>
      <c r="I140">
        <v>6936</v>
      </c>
      <c r="J140">
        <v>2986</v>
      </c>
      <c r="K140">
        <v>3788</v>
      </c>
      <c r="L140">
        <v>1750</v>
      </c>
      <c r="M140">
        <v>4045</v>
      </c>
      <c r="N140">
        <v>8466</v>
      </c>
    </row>
    <row r="141" spans="1:14" x14ac:dyDescent="0.2">
      <c r="A141" t="s">
        <v>445</v>
      </c>
      <c r="B141" t="s">
        <v>445</v>
      </c>
      <c r="C141">
        <v>219976</v>
      </c>
      <c r="D141">
        <v>34980</v>
      </c>
      <c r="E141">
        <v>3959</v>
      </c>
      <c r="F141">
        <v>3410</v>
      </c>
      <c r="G141">
        <v>3000</v>
      </c>
      <c r="H141">
        <v>4297</v>
      </c>
      <c r="I141">
        <v>4090</v>
      </c>
      <c r="J141">
        <v>3642</v>
      </c>
      <c r="K141">
        <v>3122</v>
      </c>
      <c r="L141">
        <v>2815</v>
      </c>
      <c r="M141">
        <v>4205</v>
      </c>
      <c r="N141">
        <v>8842</v>
      </c>
    </row>
    <row r="142" spans="1:14" x14ac:dyDescent="0.2">
      <c r="A142" t="s">
        <v>446</v>
      </c>
      <c r="B142" t="s">
        <v>446</v>
      </c>
      <c r="C142">
        <v>106245</v>
      </c>
      <c r="D142">
        <v>30780</v>
      </c>
      <c r="E142">
        <v>2864</v>
      </c>
      <c r="F142">
        <v>4634</v>
      </c>
      <c r="G142">
        <v>3806</v>
      </c>
      <c r="H142">
        <v>4794</v>
      </c>
      <c r="I142">
        <v>4287</v>
      </c>
      <c r="J142">
        <v>2981</v>
      </c>
      <c r="K142">
        <v>1957</v>
      </c>
      <c r="L142">
        <v>1030</v>
      </c>
      <c r="M142">
        <v>2136</v>
      </c>
      <c r="N142">
        <v>2053</v>
      </c>
    </row>
    <row r="143" spans="1:14" x14ac:dyDescent="0.2">
      <c r="A143" t="s">
        <v>447</v>
      </c>
      <c r="B143" t="s">
        <v>448</v>
      </c>
      <c r="C143">
        <v>192448</v>
      </c>
      <c r="D143">
        <v>35620</v>
      </c>
      <c r="E143">
        <v>2112</v>
      </c>
      <c r="F143">
        <v>2705</v>
      </c>
      <c r="G143">
        <v>2766</v>
      </c>
      <c r="H143">
        <v>1628</v>
      </c>
      <c r="I143">
        <v>1135</v>
      </c>
      <c r="J143">
        <v>1892</v>
      </c>
      <c r="K143">
        <v>1206</v>
      </c>
      <c r="L143">
        <v>1</v>
      </c>
      <c r="M143">
        <v>742</v>
      </c>
      <c r="N143">
        <v>1269</v>
      </c>
    </row>
    <row r="144" spans="1:14" x14ac:dyDescent="0.2">
      <c r="A144" t="s">
        <v>449</v>
      </c>
      <c r="B144" t="s">
        <v>450</v>
      </c>
      <c r="C144">
        <v>117946</v>
      </c>
      <c r="D144">
        <v>31080</v>
      </c>
      <c r="E144">
        <v>4010</v>
      </c>
      <c r="F144">
        <v>4708</v>
      </c>
      <c r="G144">
        <v>5435</v>
      </c>
      <c r="H144">
        <v>7693</v>
      </c>
      <c r="I144">
        <v>4383</v>
      </c>
      <c r="J144">
        <v>3021</v>
      </c>
      <c r="K144">
        <v>3330</v>
      </c>
      <c r="L144">
        <v>3</v>
      </c>
      <c r="M144">
        <v>2492</v>
      </c>
      <c r="N144">
        <v>3991</v>
      </c>
    </row>
    <row r="145" spans="1:14" x14ac:dyDescent="0.2">
      <c r="A145" t="s">
        <v>451</v>
      </c>
      <c r="B145" t="s">
        <v>451</v>
      </c>
      <c r="C145">
        <v>110583</v>
      </c>
      <c r="D145">
        <v>31080</v>
      </c>
      <c r="E145">
        <v>18006</v>
      </c>
      <c r="F145">
        <v>17708</v>
      </c>
      <c r="G145">
        <v>17291</v>
      </c>
      <c r="H145">
        <v>17583</v>
      </c>
      <c r="I145">
        <v>13083</v>
      </c>
      <c r="J145">
        <v>12929</v>
      </c>
      <c r="K145">
        <v>12026</v>
      </c>
      <c r="L145">
        <v>0</v>
      </c>
      <c r="M145">
        <v>13093</v>
      </c>
      <c r="N145">
        <v>16690</v>
      </c>
    </row>
    <row r="146" spans="1:14" x14ac:dyDescent="0.2">
      <c r="A146" t="s">
        <v>118</v>
      </c>
      <c r="B146" t="s">
        <v>118</v>
      </c>
      <c r="C146">
        <v>232566</v>
      </c>
      <c r="D146">
        <v>40060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452</v>
      </c>
      <c r="B147" t="s">
        <v>452</v>
      </c>
      <c r="C147">
        <v>160658</v>
      </c>
      <c r="D147">
        <v>29180</v>
      </c>
      <c r="E147">
        <v>4834</v>
      </c>
      <c r="F147">
        <v>5060</v>
      </c>
      <c r="G147">
        <v>3785</v>
      </c>
      <c r="H147">
        <v>4459</v>
      </c>
      <c r="I147">
        <v>6280</v>
      </c>
      <c r="J147">
        <v>6429</v>
      </c>
      <c r="K147">
        <v>6266</v>
      </c>
      <c r="L147">
        <v>1301</v>
      </c>
      <c r="M147">
        <v>5488</v>
      </c>
      <c r="N147">
        <v>6426</v>
      </c>
    </row>
    <row r="148" spans="1:14" x14ac:dyDescent="0.2">
      <c r="A148" t="s">
        <v>121</v>
      </c>
      <c r="B148" t="s">
        <v>121</v>
      </c>
      <c r="C148">
        <v>159647</v>
      </c>
      <c r="D148">
        <v>40820</v>
      </c>
      <c r="E148">
        <v>2308</v>
      </c>
      <c r="F148">
        <v>2314</v>
      </c>
      <c r="G148">
        <v>2747</v>
      </c>
      <c r="H148">
        <v>3072</v>
      </c>
      <c r="I148">
        <v>3870</v>
      </c>
      <c r="J148">
        <v>2399</v>
      </c>
      <c r="K148">
        <v>2344</v>
      </c>
      <c r="L148">
        <v>1232</v>
      </c>
      <c r="M148">
        <v>1488</v>
      </c>
      <c r="N148">
        <v>2675</v>
      </c>
    </row>
    <row r="149" spans="1:14" x14ac:dyDescent="0.2">
      <c r="A149" t="s">
        <v>122</v>
      </c>
      <c r="B149" t="s">
        <v>122</v>
      </c>
      <c r="C149">
        <v>157289</v>
      </c>
      <c r="D149">
        <v>31140</v>
      </c>
      <c r="E149">
        <v>20193</v>
      </c>
      <c r="F149">
        <v>26352</v>
      </c>
      <c r="G149">
        <v>34334</v>
      </c>
      <c r="H149">
        <v>29482</v>
      </c>
      <c r="I149">
        <v>13326</v>
      </c>
      <c r="J149">
        <v>11248</v>
      </c>
      <c r="K149">
        <v>12102</v>
      </c>
      <c r="L149">
        <v>1072</v>
      </c>
      <c r="M149">
        <v>24514</v>
      </c>
      <c r="N149">
        <v>36715</v>
      </c>
    </row>
    <row r="150" spans="1:14" x14ac:dyDescent="0.2">
      <c r="A150" t="s">
        <v>453</v>
      </c>
      <c r="B150" t="s">
        <v>453</v>
      </c>
      <c r="C150">
        <v>146719</v>
      </c>
      <c r="D150">
        <v>16980</v>
      </c>
      <c r="E150">
        <v>3247</v>
      </c>
      <c r="F150">
        <v>2772</v>
      </c>
      <c r="G150">
        <v>4144</v>
      </c>
      <c r="H150">
        <v>3380</v>
      </c>
      <c r="I150">
        <v>4678</v>
      </c>
      <c r="J150">
        <v>5282</v>
      </c>
      <c r="K150">
        <v>5421</v>
      </c>
      <c r="L150">
        <v>0</v>
      </c>
      <c r="M150">
        <v>4381</v>
      </c>
      <c r="N150">
        <v>5057</v>
      </c>
    </row>
    <row r="151" spans="1:14" x14ac:dyDescent="0.2">
      <c r="A151" t="s">
        <v>454</v>
      </c>
      <c r="B151" t="s">
        <v>454</v>
      </c>
      <c r="C151">
        <v>163046</v>
      </c>
      <c r="D151">
        <v>12580</v>
      </c>
      <c r="E151">
        <v>1842</v>
      </c>
      <c r="F151">
        <v>1558</v>
      </c>
      <c r="G151">
        <v>1894</v>
      </c>
      <c r="H151">
        <v>1751</v>
      </c>
      <c r="I151">
        <v>2045</v>
      </c>
      <c r="J151">
        <v>2247</v>
      </c>
      <c r="K151">
        <v>2699</v>
      </c>
      <c r="L151">
        <v>0</v>
      </c>
      <c r="M151">
        <v>1629</v>
      </c>
      <c r="N151">
        <v>2389</v>
      </c>
    </row>
    <row r="152" spans="1:14" x14ac:dyDescent="0.2">
      <c r="A152" t="s">
        <v>123</v>
      </c>
      <c r="B152" t="s">
        <v>123</v>
      </c>
      <c r="C152">
        <v>159391</v>
      </c>
      <c r="D152">
        <v>12940</v>
      </c>
      <c r="E152">
        <v>11541</v>
      </c>
      <c r="F152">
        <v>9027</v>
      </c>
      <c r="G152">
        <v>12673</v>
      </c>
      <c r="H152">
        <v>12988</v>
      </c>
      <c r="I152">
        <v>11686</v>
      </c>
      <c r="J152">
        <v>12908</v>
      </c>
      <c r="K152">
        <v>10868</v>
      </c>
      <c r="L152">
        <v>3590</v>
      </c>
      <c r="M152">
        <v>8373</v>
      </c>
      <c r="N152">
        <v>15594</v>
      </c>
    </row>
    <row r="153" spans="1:14" x14ac:dyDescent="0.2">
      <c r="A153" t="s">
        <v>124</v>
      </c>
      <c r="B153" t="s">
        <v>124</v>
      </c>
      <c r="C153">
        <v>161253</v>
      </c>
      <c r="D153">
        <v>12620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455</v>
      </c>
      <c r="B154" t="s">
        <v>455</v>
      </c>
      <c r="C154">
        <v>192703</v>
      </c>
      <c r="D154">
        <v>35620</v>
      </c>
      <c r="E154">
        <v>1826</v>
      </c>
      <c r="F154">
        <v>1966</v>
      </c>
      <c r="G154">
        <v>2310</v>
      </c>
      <c r="H154">
        <v>2359</v>
      </c>
      <c r="I154">
        <v>2370</v>
      </c>
      <c r="J154">
        <v>1991</v>
      </c>
      <c r="K154">
        <v>1814</v>
      </c>
      <c r="L154">
        <v>0</v>
      </c>
      <c r="M154">
        <v>615</v>
      </c>
      <c r="N154">
        <v>1609</v>
      </c>
    </row>
    <row r="155" spans="1:14" x14ac:dyDescent="0.2">
      <c r="A155" t="s">
        <v>456</v>
      </c>
      <c r="B155" t="s">
        <v>456</v>
      </c>
      <c r="C155">
        <v>192819</v>
      </c>
      <c r="D155">
        <v>39100</v>
      </c>
      <c r="E155">
        <v>2643</v>
      </c>
      <c r="F155">
        <v>2472</v>
      </c>
      <c r="G155">
        <v>2343</v>
      </c>
      <c r="H155">
        <v>1952</v>
      </c>
      <c r="I155">
        <v>1968</v>
      </c>
      <c r="J155">
        <v>2410</v>
      </c>
      <c r="K155">
        <v>5451</v>
      </c>
      <c r="L155">
        <v>0</v>
      </c>
      <c r="M155">
        <v>5389</v>
      </c>
      <c r="N155">
        <v>2300</v>
      </c>
    </row>
    <row r="156" spans="1:14" x14ac:dyDescent="0.2">
      <c r="A156" t="s">
        <v>457</v>
      </c>
      <c r="B156" t="s">
        <v>457</v>
      </c>
      <c r="C156">
        <v>239105</v>
      </c>
      <c r="D156">
        <v>33340</v>
      </c>
      <c r="E156">
        <v>6964</v>
      </c>
      <c r="F156">
        <v>10487</v>
      </c>
      <c r="G156">
        <v>7579</v>
      </c>
      <c r="H156">
        <v>8875</v>
      </c>
      <c r="I156">
        <v>10981</v>
      </c>
      <c r="J156">
        <v>17338</v>
      </c>
      <c r="K156">
        <v>16789</v>
      </c>
      <c r="L156">
        <v>128</v>
      </c>
      <c r="M156">
        <v>13149</v>
      </c>
      <c r="N156">
        <v>21881</v>
      </c>
    </row>
    <row r="157" spans="1:14" x14ac:dyDescent="0.2">
      <c r="A157" t="s">
        <v>125</v>
      </c>
      <c r="B157" t="s">
        <v>125</v>
      </c>
      <c r="C157">
        <v>237525</v>
      </c>
      <c r="D157">
        <v>26580</v>
      </c>
      <c r="E157">
        <v>4611</v>
      </c>
      <c r="F157">
        <v>6642</v>
      </c>
      <c r="G157">
        <v>4204</v>
      </c>
      <c r="H157">
        <v>4099</v>
      </c>
      <c r="I157">
        <v>6106</v>
      </c>
      <c r="J157">
        <v>4622</v>
      </c>
      <c r="K157">
        <v>3652</v>
      </c>
      <c r="L157">
        <v>1670</v>
      </c>
      <c r="M157">
        <v>3974</v>
      </c>
      <c r="N157">
        <v>3981</v>
      </c>
    </row>
    <row r="158" spans="1:14" x14ac:dyDescent="0.2">
      <c r="A158" t="s">
        <v>126</v>
      </c>
      <c r="B158" t="s">
        <v>126</v>
      </c>
      <c r="C158">
        <v>163286</v>
      </c>
      <c r="D158">
        <v>47900</v>
      </c>
      <c r="E158">
        <v>5375</v>
      </c>
      <c r="F158">
        <v>15387</v>
      </c>
      <c r="G158">
        <v>20027</v>
      </c>
      <c r="H158">
        <v>14922</v>
      </c>
      <c r="I158">
        <v>22637</v>
      </c>
      <c r="J158">
        <v>11734</v>
      </c>
      <c r="K158">
        <v>17331</v>
      </c>
      <c r="L158">
        <v>851</v>
      </c>
      <c r="M158">
        <v>18524</v>
      </c>
      <c r="N158">
        <v>17686</v>
      </c>
    </row>
    <row r="159" spans="1:14" x14ac:dyDescent="0.2">
      <c r="A159" t="s">
        <v>129</v>
      </c>
      <c r="B159" t="s">
        <v>129</v>
      </c>
      <c r="C159">
        <v>166629</v>
      </c>
      <c r="D159">
        <v>44140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 t="s">
        <v>458</v>
      </c>
      <c r="B160" t="s">
        <v>458</v>
      </c>
      <c r="C160">
        <v>159717</v>
      </c>
      <c r="D160">
        <v>29340</v>
      </c>
      <c r="E160">
        <v>2501</v>
      </c>
      <c r="F160">
        <v>2825</v>
      </c>
      <c r="G160">
        <v>3224</v>
      </c>
      <c r="H160">
        <v>2018</v>
      </c>
      <c r="I160">
        <v>2368</v>
      </c>
      <c r="J160">
        <v>2485</v>
      </c>
      <c r="K160">
        <v>3320</v>
      </c>
      <c r="L160">
        <v>574</v>
      </c>
      <c r="M160">
        <v>1611</v>
      </c>
      <c r="N160">
        <v>2484</v>
      </c>
    </row>
    <row r="161" spans="1:14" x14ac:dyDescent="0.2">
      <c r="A161" t="s">
        <v>132</v>
      </c>
      <c r="B161" t="s">
        <v>132</v>
      </c>
      <c r="C161">
        <v>220862</v>
      </c>
      <c r="D161">
        <v>32820</v>
      </c>
      <c r="E161">
        <v>5529</v>
      </c>
      <c r="F161">
        <v>9108</v>
      </c>
      <c r="G161">
        <v>8964</v>
      </c>
      <c r="H161">
        <v>6563</v>
      </c>
      <c r="I161">
        <v>3602</v>
      </c>
      <c r="J161">
        <v>4361</v>
      </c>
      <c r="K161">
        <v>5100</v>
      </c>
      <c r="L161">
        <v>483</v>
      </c>
      <c r="M161">
        <v>2648</v>
      </c>
      <c r="N161">
        <v>5390</v>
      </c>
    </row>
    <row r="162" spans="1:14" x14ac:dyDescent="0.2">
      <c r="A162" t="s">
        <v>459</v>
      </c>
      <c r="B162" t="s">
        <v>459</v>
      </c>
      <c r="C162">
        <v>140447</v>
      </c>
      <c r="D162">
        <v>31420</v>
      </c>
      <c r="E162">
        <v>1322</v>
      </c>
      <c r="F162">
        <v>1718</v>
      </c>
      <c r="G162">
        <v>2658</v>
      </c>
      <c r="H162">
        <v>3941</v>
      </c>
      <c r="I162">
        <v>2820</v>
      </c>
      <c r="J162">
        <v>2495</v>
      </c>
      <c r="K162">
        <v>1361</v>
      </c>
      <c r="L162">
        <v>1200</v>
      </c>
      <c r="M162">
        <v>1655</v>
      </c>
      <c r="N162">
        <v>1105</v>
      </c>
    </row>
    <row r="163" spans="1:14" x14ac:dyDescent="0.2">
      <c r="A163" t="s">
        <v>460</v>
      </c>
      <c r="B163" t="s">
        <v>461</v>
      </c>
      <c r="C163">
        <v>135726</v>
      </c>
      <c r="D163">
        <v>33100</v>
      </c>
      <c r="E163">
        <v>4871</v>
      </c>
      <c r="F163">
        <v>5875</v>
      </c>
      <c r="G163">
        <v>7544</v>
      </c>
      <c r="H163">
        <v>4732</v>
      </c>
      <c r="I163">
        <v>5287</v>
      </c>
      <c r="J163">
        <v>6409</v>
      </c>
      <c r="K163">
        <v>5194</v>
      </c>
      <c r="L163">
        <v>1</v>
      </c>
      <c r="M163">
        <v>4014</v>
      </c>
      <c r="N163">
        <v>6640</v>
      </c>
    </row>
    <row r="164" spans="1:14" x14ac:dyDescent="0.2">
      <c r="A164" t="s">
        <v>462</v>
      </c>
      <c r="B164" t="s">
        <v>463</v>
      </c>
      <c r="C164">
        <v>204024</v>
      </c>
      <c r="D164">
        <v>17140</v>
      </c>
      <c r="E164">
        <v>2628</v>
      </c>
      <c r="F164">
        <v>2984</v>
      </c>
      <c r="G164">
        <v>3637</v>
      </c>
      <c r="H164">
        <v>4877</v>
      </c>
      <c r="I164">
        <v>7202</v>
      </c>
      <c r="J164">
        <v>8460</v>
      </c>
      <c r="K164">
        <v>5300</v>
      </c>
      <c r="L164">
        <v>0</v>
      </c>
      <c r="M164">
        <v>3521</v>
      </c>
      <c r="N164">
        <v>4045</v>
      </c>
    </row>
    <row r="165" spans="1:14" x14ac:dyDescent="0.2">
      <c r="A165" t="s">
        <v>134</v>
      </c>
      <c r="B165" t="s">
        <v>134</v>
      </c>
      <c r="C165">
        <v>170976</v>
      </c>
      <c r="D165">
        <v>11460</v>
      </c>
      <c r="E165">
        <v>21423</v>
      </c>
      <c r="F165">
        <v>19040</v>
      </c>
      <c r="G165">
        <v>23021</v>
      </c>
      <c r="H165">
        <v>25905</v>
      </c>
      <c r="I165">
        <v>26401</v>
      </c>
      <c r="J165">
        <v>33479</v>
      </c>
      <c r="K165">
        <v>30884</v>
      </c>
      <c r="L165">
        <v>562</v>
      </c>
      <c r="M165">
        <v>25154</v>
      </c>
      <c r="N165">
        <v>34640</v>
      </c>
    </row>
    <row r="166" spans="1:14" x14ac:dyDescent="0.2">
      <c r="A166" t="s">
        <v>464</v>
      </c>
      <c r="B166" t="s">
        <v>464</v>
      </c>
      <c r="C166">
        <v>171100</v>
      </c>
      <c r="D166">
        <v>29620</v>
      </c>
      <c r="E166">
        <v>43368</v>
      </c>
      <c r="F166">
        <v>43918</v>
      </c>
      <c r="G166">
        <v>37333</v>
      </c>
      <c r="H166">
        <v>53895</v>
      </c>
      <c r="I166">
        <v>40834</v>
      </c>
      <c r="J166">
        <v>39901</v>
      </c>
      <c r="K166">
        <v>46510</v>
      </c>
      <c r="L166">
        <v>0</v>
      </c>
      <c r="M166">
        <v>44079</v>
      </c>
      <c r="N166">
        <v>51320</v>
      </c>
    </row>
    <row r="167" spans="1:14" x14ac:dyDescent="0.2">
      <c r="A167" t="s">
        <v>465</v>
      </c>
      <c r="B167" t="s">
        <v>465</v>
      </c>
      <c r="C167">
        <v>220978</v>
      </c>
      <c r="D167">
        <v>34980</v>
      </c>
      <c r="E167">
        <v>7429</v>
      </c>
      <c r="F167">
        <v>4800</v>
      </c>
      <c r="G167">
        <v>4400</v>
      </c>
      <c r="H167">
        <v>2543</v>
      </c>
      <c r="I167">
        <v>2828</v>
      </c>
      <c r="J167">
        <v>1798</v>
      </c>
      <c r="K167">
        <v>1927</v>
      </c>
      <c r="L167">
        <v>817</v>
      </c>
      <c r="M167">
        <v>1549</v>
      </c>
      <c r="N167">
        <v>1565</v>
      </c>
    </row>
    <row r="168" spans="1:14" x14ac:dyDescent="0.2">
      <c r="A168" t="s">
        <v>466</v>
      </c>
      <c r="B168" t="s">
        <v>466</v>
      </c>
      <c r="C168">
        <v>240453</v>
      </c>
      <c r="D168">
        <v>33340</v>
      </c>
      <c r="E168">
        <v>4656</v>
      </c>
      <c r="F168">
        <v>4883</v>
      </c>
      <c r="G168">
        <v>4626</v>
      </c>
      <c r="H168">
        <v>3537</v>
      </c>
      <c r="I168">
        <v>4914</v>
      </c>
      <c r="J168">
        <v>3129</v>
      </c>
      <c r="K168">
        <v>4588</v>
      </c>
      <c r="L168">
        <v>1</v>
      </c>
      <c r="M168">
        <v>3790</v>
      </c>
      <c r="N168">
        <v>3145</v>
      </c>
    </row>
    <row r="169" spans="1:14" x14ac:dyDescent="0.2">
      <c r="A169" t="s">
        <v>137</v>
      </c>
      <c r="B169" t="s">
        <v>137</v>
      </c>
      <c r="C169">
        <v>174066</v>
      </c>
      <c r="D169">
        <v>33460</v>
      </c>
      <c r="E169">
        <v>59130</v>
      </c>
      <c r="F169">
        <v>50149</v>
      </c>
      <c r="G169">
        <v>62574</v>
      </c>
      <c r="H169">
        <v>82190</v>
      </c>
      <c r="I169">
        <v>74563</v>
      </c>
      <c r="J169">
        <v>90399</v>
      </c>
      <c r="K169">
        <v>82065</v>
      </c>
      <c r="L169">
        <v>0</v>
      </c>
      <c r="M169">
        <v>70924</v>
      </c>
      <c r="N169">
        <v>80886</v>
      </c>
    </row>
    <row r="170" spans="1:14" x14ac:dyDescent="0.2">
      <c r="A170" t="s">
        <v>467</v>
      </c>
      <c r="B170" t="s">
        <v>467</v>
      </c>
      <c r="C170">
        <v>176080</v>
      </c>
      <c r="D170">
        <v>44260</v>
      </c>
      <c r="E170">
        <v>8021</v>
      </c>
      <c r="F170">
        <v>8112</v>
      </c>
      <c r="G170">
        <v>9161</v>
      </c>
      <c r="H170">
        <v>9308</v>
      </c>
      <c r="I170">
        <v>6615</v>
      </c>
      <c r="J170">
        <v>6357</v>
      </c>
      <c r="K170">
        <v>4901</v>
      </c>
      <c r="L170">
        <v>1650</v>
      </c>
      <c r="M170">
        <v>8915</v>
      </c>
      <c r="N170">
        <v>7964</v>
      </c>
    </row>
    <row r="171" spans="1:14" x14ac:dyDescent="0.2">
      <c r="A171" t="s">
        <v>468</v>
      </c>
      <c r="B171" t="s">
        <v>468</v>
      </c>
      <c r="C171">
        <v>176044</v>
      </c>
      <c r="D171">
        <v>24900</v>
      </c>
      <c r="E171">
        <v>1727</v>
      </c>
      <c r="F171">
        <v>2152</v>
      </c>
      <c r="G171">
        <v>1507</v>
      </c>
      <c r="H171">
        <v>1963</v>
      </c>
      <c r="I171">
        <v>1833</v>
      </c>
      <c r="J171">
        <v>764</v>
      </c>
      <c r="K171">
        <v>1991</v>
      </c>
      <c r="L171">
        <v>230</v>
      </c>
      <c r="M171">
        <v>783</v>
      </c>
      <c r="N171">
        <v>1489</v>
      </c>
    </row>
    <row r="172" spans="1:14" x14ac:dyDescent="0.2">
      <c r="A172" t="s">
        <v>141</v>
      </c>
      <c r="B172" t="s">
        <v>141</v>
      </c>
      <c r="C172">
        <v>178396</v>
      </c>
      <c r="D172">
        <v>17860</v>
      </c>
      <c r="E172">
        <v>62717</v>
      </c>
      <c r="F172">
        <v>26505</v>
      </c>
      <c r="G172">
        <v>32477</v>
      </c>
      <c r="H172">
        <v>35652</v>
      </c>
      <c r="I172">
        <v>14394</v>
      </c>
      <c r="J172">
        <v>20965</v>
      </c>
      <c r="K172">
        <v>19660</v>
      </c>
      <c r="L172">
        <v>8054</v>
      </c>
      <c r="M172">
        <v>9920</v>
      </c>
      <c r="N172">
        <v>5496</v>
      </c>
    </row>
    <row r="173" spans="1:14" x14ac:dyDescent="0.2">
      <c r="A173" t="s">
        <v>469</v>
      </c>
      <c r="B173" t="s">
        <v>469</v>
      </c>
      <c r="C173">
        <v>179566</v>
      </c>
      <c r="D173">
        <v>44180</v>
      </c>
      <c r="E173">
        <v>9425</v>
      </c>
      <c r="F173">
        <v>7804</v>
      </c>
      <c r="G173">
        <v>9214</v>
      </c>
      <c r="H173">
        <v>11069</v>
      </c>
      <c r="I173">
        <v>13920</v>
      </c>
      <c r="J173">
        <v>8288</v>
      </c>
      <c r="K173">
        <v>5301</v>
      </c>
      <c r="L173">
        <v>3565</v>
      </c>
      <c r="M173">
        <v>4770</v>
      </c>
      <c r="N173">
        <v>5161</v>
      </c>
    </row>
    <row r="174" spans="1:14" x14ac:dyDescent="0.2">
      <c r="A174" t="s">
        <v>470</v>
      </c>
      <c r="B174" t="s">
        <v>470</v>
      </c>
      <c r="C174">
        <v>185572</v>
      </c>
      <c r="D174">
        <v>35620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144</v>
      </c>
      <c r="B175" t="s">
        <v>144</v>
      </c>
      <c r="C175">
        <v>180489</v>
      </c>
      <c r="D175">
        <v>33540</v>
      </c>
      <c r="E175">
        <v>5125</v>
      </c>
      <c r="F175">
        <v>6079</v>
      </c>
      <c r="G175">
        <v>3898</v>
      </c>
      <c r="H175">
        <v>3903</v>
      </c>
      <c r="I175">
        <v>3896</v>
      </c>
      <c r="J175">
        <v>6824</v>
      </c>
      <c r="K175">
        <v>4793</v>
      </c>
      <c r="L175">
        <v>0</v>
      </c>
      <c r="M175">
        <v>4528</v>
      </c>
      <c r="N175">
        <v>6815</v>
      </c>
    </row>
    <row r="176" spans="1:14" x14ac:dyDescent="0.2">
      <c r="A176" t="s">
        <v>471</v>
      </c>
      <c r="B176" t="s">
        <v>471</v>
      </c>
      <c r="C176">
        <v>180461</v>
      </c>
      <c r="D176">
        <v>14580</v>
      </c>
      <c r="E176">
        <v>10717</v>
      </c>
      <c r="F176">
        <v>6053</v>
      </c>
      <c r="G176">
        <v>7044</v>
      </c>
      <c r="H176">
        <v>8351</v>
      </c>
      <c r="I176">
        <v>9599</v>
      </c>
      <c r="J176">
        <v>9491</v>
      </c>
      <c r="K176">
        <v>9887</v>
      </c>
      <c r="L176">
        <v>125</v>
      </c>
      <c r="M176">
        <v>9297</v>
      </c>
      <c r="N176">
        <v>18088</v>
      </c>
    </row>
    <row r="177" spans="1:14" x14ac:dyDescent="0.2">
      <c r="A177" t="s">
        <v>472</v>
      </c>
      <c r="B177" t="s">
        <v>472</v>
      </c>
      <c r="C177">
        <v>157386</v>
      </c>
      <c r="D177">
        <v>30460</v>
      </c>
      <c r="E177">
        <v>11567</v>
      </c>
      <c r="F177">
        <v>8974</v>
      </c>
      <c r="G177">
        <v>6393</v>
      </c>
      <c r="H177">
        <v>7737</v>
      </c>
      <c r="I177">
        <v>4604</v>
      </c>
      <c r="J177">
        <v>5211</v>
      </c>
      <c r="K177">
        <v>7024</v>
      </c>
      <c r="L177">
        <v>2264</v>
      </c>
      <c r="M177">
        <v>4262</v>
      </c>
      <c r="N177">
        <v>3013</v>
      </c>
    </row>
    <row r="178" spans="1:14" x14ac:dyDescent="0.2">
      <c r="A178" t="s">
        <v>473</v>
      </c>
      <c r="B178" t="s">
        <v>473</v>
      </c>
      <c r="C178">
        <v>163453</v>
      </c>
      <c r="D178">
        <v>12580</v>
      </c>
      <c r="E178">
        <v>1679</v>
      </c>
      <c r="F178">
        <v>1232</v>
      </c>
      <c r="G178">
        <v>1861</v>
      </c>
      <c r="H178">
        <v>1898</v>
      </c>
      <c r="I178">
        <v>4230</v>
      </c>
      <c r="J178">
        <v>1489</v>
      </c>
      <c r="K178">
        <v>2355</v>
      </c>
      <c r="L178">
        <v>0</v>
      </c>
      <c r="M178">
        <v>2114</v>
      </c>
      <c r="N178">
        <v>1433</v>
      </c>
    </row>
    <row r="179" spans="1:14" x14ac:dyDescent="0.2">
      <c r="A179" t="s">
        <v>474</v>
      </c>
      <c r="B179" t="s">
        <v>474</v>
      </c>
      <c r="C179">
        <v>163462</v>
      </c>
      <c r="D179">
        <v>23900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475</v>
      </c>
      <c r="B180" t="s">
        <v>475</v>
      </c>
      <c r="C180">
        <v>157401</v>
      </c>
      <c r="D180">
        <v>34660</v>
      </c>
      <c r="E180">
        <v>1425</v>
      </c>
      <c r="F180">
        <v>5566</v>
      </c>
      <c r="G180">
        <v>5207</v>
      </c>
      <c r="H180">
        <v>4608</v>
      </c>
      <c r="I180">
        <v>2221</v>
      </c>
      <c r="J180">
        <v>1467</v>
      </c>
      <c r="K180">
        <v>2162</v>
      </c>
      <c r="L180">
        <v>700</v>
      </c>
      <c r="M180">
        <v>1831</v>
      </c>
      <c r="N180">
        <v>1538</v>
      </c>
    </row>
    <row r="181" spans="1:14" x14ac:dyDescent="0.2">
      <c r="A181" t="s">
        <v>476</v>
      </c>
      <c r="B181" t="s">
        <v>476</v>
      </c>
      <c r="C181">
        <v>199102</v>
      </c>
      <c r="D181">
        <v>24660</v>
      </c>
      <c r="E181">
        <v>1133</v>
      </c>
      <c r="F181">
        <v>1082</v>
      </c>
      <c r="G181">
        <v>1453</v>
      </c>
      <c r="H181">
        <v>1158</v>
      </c>
      <c r="I181">
        <v>1721</v>
      </c>
      <c r="J181">
        <v>1771</v>
      </c>
      <c r="K181">
        <v>1111</v>
      </c>
      <c r="L181">
        <v>151</v>
      </c>
      <c r="M181">
        <v>2834</v>
      </c>
      <c r="N181">
        <v>1547</v>
      </c>
    </row>
    <row r="182" spans="1:14" x14ac:dyDescent="0.2">
      <c r="A182" t="s">
        <v>477</v>
      </c>
      <c r="B182" t="s">
        <v>477</v>
      </c>
      <c r="C182">
        <v>199157</v>
      </c>
      <c r="D182">
        <v>20500</v>
      </c>
      <c r="E182">
        <v>1776</v>
      </c>
      <c r="F182">
        <v>2702</v>
      </c>
      <c r="G182">
        <v>2847</v>
      </c>
      <c r="H182">
        <v>1731</v>
      </c>
      <c r="I182">
        <v>1607</v>
      </c>
      <c r="J182">
        <v>3098</v>
      </c>
      <c r="K182">
        <v>2094</v>
      </c>
      <c r="L182">
        <v>130</v>
      </c>
      <c r="M182">
        <v>2665</v>
      </c>
      <c r="N182">
        <v>3580</v>
      </c>
    </row>
    <row r="183" spans="1:14" x14ac:dyDescent="0.2">
      <c r="A183" t="s">
        <v>149</v>
      </c>
      <c r="B183" t="s">
        <v>149</v>
      </c>
      <c r="C183">
        <v>500000</v>
      </c>
      <c r="D183">
        <v>47900</v>
      </c>
      <c r="E183">
        <v>4112</v>
      </c>
      <c r="F183">
        <v>3377</v>
      </c>
      <c r="G183">
        <v>4906</v>
      </c>
      <c r="H183">
        <v>4310</v>
      </c>
      <c r="I183">
        <v>4488</v>
      </c>
      <c r="J183">
        <v>4149</v>
      </c>
      <c r="K183">
        <v>3883</v>
      </c>
      <c r="L183">
        <v>0</v>
      </c>
      <c r="M183">
        <v>4803</v>
      </c>
      <c r="N183">
        <v>5119</v>
      </c>
    </row>
    <row r="184" spans="1:14" x14ac:dyDescent="0.2">
      <c r="A184" t="s">
        <v>478</v>
      </c>
      <c r="B184" t="s">
        <v>478</v>
      </c>
      <c r="C184">
        <v>199193</v>
      </c>
      <c r="D184">
        <v>39580</v>
      </c>
      <c r="E184">
        <v>11897</v>
      </c>
      <c r="F184">
        <v>9879</v>
      </c>
      <c r="G184">
        <v>8712</v>
      </c>
      <c r="H184">
        <v>16228</v>
      </c>
      <c r="I184">
        <v>14835</v>
      </c>
      <c r="J184">
        <v>15252</v>
      </c>
      <c r="K184">
        <v>11749</v>
      </c>
      <c r="L184">
        <v>0</v>
      </c>
      <c r="M184">
        <v>10990</v>
      </c>
      <c r="N184">
        <v>17037</v>
      </c>
    </row>
    <row r="185" spans="1:14" x14ac:dyDescent="0.2">
      <c r="A185" t="s">
        <v>150</v>
      </c>
      <c r="B185" t="s">
        <v>150</v>
      </c>
      <c r="C185">
        <v>181464</v>
      </c>
      <c r="D185">
        <v>30700</v>
      </c>
      <c r="E185">
        <v>155324</v>
      </c>
      <c r="F185">
        <v>145493</v>
      </c>
      <c r="G185">
        <v>147714</v>
      </c>
      <c r="H185">
        <v>155986</v>
      </c>
      <c r="I185">
        <v>139432</v>
      </c>
      <c r="J185">
        <v>172307</v>
      </c>
      <c r="K185">
        <v>155531</v>
      </c>
      <c r="L185">
        <v>700</v>
      </c>
      <c r="M185">
        <v>147104</v>
      </c>
      <c r="N185">
        <v>155618</v>
      </c>
    </row>
    <row r="186" spans="1:14" x14ac:dyDescent="0.2">
      <c r="A186" t="s">
        <v>152</v>
      </c>
      <c r="B186" t="s">
        <v>152</v>
      </c>
      <c r="C186">
        <v>182290</v>
      </c>
      <c r="D186">
        <v>39900</v>
      </c>
      <c r="E186">
        <v>3260</v>
      </c>
      <c r="F186">
        <v>4382</v>
      </c>
      <c r="G186">
        <v>4268</v>
      </c>
      <c r="H186">
        <v>4560</v>
      </c>
      <c r="I186">
        <v>3917</v>
      </c>
      <c r="J186">
        <v>2858</v>
      </c>
      <c r="K186">
        <v>4162</v>
      </c>
      <c r="L186">
        <v>350</v>
      </c>
      <c r="M186">
        <v>2799</v>
      </c>
      <c r="N186">
        <v>3191</v>
      </c>
    </row>
    <row r="187" spans="1:14" x14ac:dyDescent="0.2">
      <c r="A187" t="s">
        <v>153</v>
      </c>
      <c r="B187" t="s">
        <v>153</v>
      </c>
      <c r="C187">
        <v>183044</v>
      </c>
      <c r="D187">
        <v>18180</v>
      </c>
      <c r="E187">
        <v>4159</v>
      </c>
      <c r="F187">
        <v>5357</v>
      </c>
      <c r="G187">
        <v>6282</v>
      </c>
      <c r="H187">
        <v>5520</v>
      </c>
      <c r="I187">
        <v>3746</v>
      </c>
      <c r="J187">
        <v>1802</v>
      </c>
      <c r="K187">
        <v>2039</v>
      </c>
      <c r="L187">
        <v>0</v>
      </c>
      <c r="M187">
        <v>2105</v>
      </c>
      <c r="N187">
        <v>2730</v>
      </c>
    </row>
    <row r="188" spans="1:14" x14ac:dyDescent="0.2">
      <c r="A188" t="s">
        <v>154</v>
      </c>
      <c r="B188" t="s">
        <v>154</v>
      </c>
      <c r="C188">
        <v>187985</v>
      </c>
      <c r="D188">
        <v>10740</v>
      </c>
      <c r="E188">
        <v>22693</v>
      </c>
      <c r="F188">
        <v>21085</v>
      </c>
      <c r="G188">
        <v>16494</v>
      </c>
      <c r="H188">
        <v>19961</v>
      </c>
      <c r="I188">
        <v>10821</v>
      </c>
      <c r="J188">
        <v>7319</v>
      </c>
      <c r="K188">
        <v>3335</v>
      </c>
      <c r="L188">
        <v>7</v>
      </c>
      <c r="M188">
        <v>7481</v>
      </c>
      <c r="N188">
        <v>10094</v>
      </c>
    </row>
    <row r="189" spans="1:14" x14ac:dyDescent="0.2">
      <c r="A189" t="s">
        <v>479</v>
      </c>
      <c r="B189" t="s">
        <v>479</v>
      </c>
      <c r="C189">
        <v>188030</v>
      </c>
      <c r="D189">
        <v>29740</v>
      </c>
      <c r="E189">
        <v>18103</v>
      </c>
      <c r="F189">
        <v>9299</v>
      </c>
      <c r="G189">
        <v>15299</v>
      </c>
      <c r="H189">
        <v>12503</v>
      </c>
      <c r="I189">
        <v>13471</v>
      </c>
      <c r="J189">
        <v>12053</v>
      </c>
      <c r="K189">
        <v>12660</v>
      </c>
      <c r="L189">
        <v>16</v>
      </c>
      <c r="M189">
        <v>7517</v>
      </c>
      <c r="N189">
        <v>7477</v>
      </c>
    </row>
    <row r="190" spans="1:14" x14ac:dyDescent="0.2">
      <c r="A190" t="s">
        <v>156</v>
      </c>
      <c r="B190" t="s">
        <v>156</v>
      </c>
      <c r="C190">
        <v>159939</v>
      </c>
      <c r="D190">
        <v>35380</v>
      </c>
      <c r="E190">
        <v>3503</v>
      </c>
      <c r="F190">
        <v>4106</v>
      </c>
      <c r="G190">
        <v>4992</v>
      </c>
      <c r="H190">
        <v>2216</v>
      </c>
      <c r="I190">
        <v>2475</v>
      </c>
      <c r="J190">
        <v>4860</v>
      </c>
      <c r="K190">
        <v>3935</v>
      </c>
      <c r="L190">
        <v>413</v>
      </c>
      <c r="M190">
        <v>1292</v>
      </c>
      <c r="N190">
        <v>1169</v>
      </c>
    </row>
    <row r="191" spans="1:14" x14ac:dyDescent="0.2">
      <c r="A191" t="s">
        <v>480</v>
      </c>
      <c r="B191" t="s">
        <v>480</v>
      </c>
      <c r="C191">
        <v>193973</v>
      </c>
      <c r="D191">
        <v>15380</v>
      </c>
      <c r="E191">
        <v>580</v>
      </c>
      <c r="F191">
        <v>1552</v>
      </c>
      <c r="G191">
        <v>1115</v>
      </c>
      <c r="H191">
        <v>1414</v>
      </c>
      <c r="I191">
        <v>1370</v>
      </c>
      <c r="J191">
        <v>1096</v>
      </c>
      <c r="K191">
        <v>1074</v>
      </c>
      <c r="L191">
        <v>0</v>
      </c>
      <c r="M191">
        <v>1043</v>
      </c>
      <c r="N191">
        <v>1781</v>
      </c>
    </row>
    <row r="192" spans="1:14" x14ac:dyDescent="0.2">
      <c r="A192" t="s">
        <v>481</v>
      </c>
      <c r="B192" t="s">
        <v>482</v>
      </c>
      <c r="C192">
        <v>159966</v>
      </c>
      <c r="D192">
        <v>26380</v>
      </c>
      <c r="E192">
        <v>1348</v>
      </c>
      <c r="F192">
        <v>2349</v>
      </c>
      <c r="G192">
        <v>3691</v>
      </c>
      <c r="H192">
        <v>2298</v>
      </c>
      <c r="I192">
        <v>1584</v>
      </c>
      <c r="J192">
        <v>893</v>
      </c>
      <c r="K192">
        <v>2562</v>
      </c>
      <c r="L192">
        <v>830</v>
      </c>
      <c r="M192">
        <v>1866</v>
      </c>
      <c r="N192">
        <v>2244</v>
      </c>
    </row>
    <row r="193" spans="1:14" x14ac:dyDescent="0.2">
      <c r="A193" t="s">
        <v>483</v>
      </c>
      <c r="B193" t="s">
        <v>484</v>
      </c>
      <c r="C193">
        <v>147703</v>
      </c>
      <c r="D193">
        <v>16980</v>
      </c>
      <c r="E193">
        <v>7511</v>
      </c>
      <c r="F193">
        <v>6142</v>
      </c>
      <c r="G193">
        <v>6704</v>
      </c>
      <c r="H193">
        <v>7137</v>
      </c>
      <c r="I193">
        <v>5429</v>
      </c>
      <c r="J193">
        <v>5383</v>
      </c>
      <c r="K193">
        <v>2694</v>
      </c>
      <c r="L193">
        <v>315</v>
      </c>
      <c r="M193">
        <v>3606</v>
      </c>
      <c r="N193">
        <v>3105</v>
      </c>
    </row>
    <row r="194" spans="1:14" x14ac:dyDescent="0.2">
      <c r="A194" t="s">
        <v>158</v>
      </c>
      <c r="B194" t="s">
        <v>158</v>
      </c>
      <c r="C194">
        <v>185828</v>
      </c>
      <c r="D194">
        <v>35620</v>
      </c>
      <c r="E194">
        <v>1988</v>
      </c>
      <c r="F194">
        <v>2514</v>
      </c>
      <c r="G194">
        <v>2097</v>
      </c>
      <c r="H194">
        <v>1930</v>
      </c>
      <c r="I194">
        <v>1661</v>
      </c>
      <c r="J194">
        <v>2699</v>
      </c>
      <c r="K194">
        <v>1166</v>
      </c>
      <c r="L194">
        <v>0</v>
      </c>
      <c r="M194">
        <v>1702</v>
      </c>
      <c r="N194">
        <v>1553</v>
      </c>
    </row>
    <row r="195" spans="1:14" x14ac:dyDescent="0.2">
      <c r="A195" t="s">
        <v>485</v>
      </c>
      <c r="B195" t="s">
        <v>485</v>
      </c>
      <c r="C195">
        <v>232937</v>
      </c>
      <c r="D195">
        <v>47260</v>
      </c>
      <c r="E195">
        <v>1718</v>
      </c>
      <c r="F195">
        <v>913</v>
      </c>
      <c r="G195">
        <v>921</v>
      </c>
      <c r="H195">
        <v>874</v>
      </c>
      <c r="I195">
        <v>1233</v>
      </c>
      <c r="J195">
        <v>1886</v>
      </c>
      <c r="K195">
        <v>2163</v>
      </c>
      <c r="L195">
        <v>345</v>
      </c>
      <c r="M195">
        <v>1775</v>
      </c>
      <c r="N195">
        <v>2296</v>
      </c>
    </row>
    <row r="196" spans="1:14" x14ac:dyDescent="0.2">
      <c r="A196" t="s">
        <v>486</v>
      </c>
      <c r="B196" t="s">
        <v>487</v>
      </c>
      <c r="C196">
        <v>101879</v>
      </c>
      <c r="D196">
        <v>26620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2016</v>
      </c>
      <c r="K196">
        <v>1778</v>
      </c>
      <c r="L196">
        <v>793</v>
      </c>
      <c r="M196">
        <v>2068</v>
      </c>
      <c r="N196">
        <v>3708</v>
      </c>
    </row>
    <row r="197" spans="1:14" x14ac:dyDescent="0.2">
      <c r="A197" t="s">
        <v>160</v>
      </c>
      <c r="B197" t="s">
        <v>160</v>
      </c>
      <c r="C197">
        <v>199120</v>
      </c>
      <c r="D197">
        <v>20500</v>
      </c>
      <c r="E197">
        <v>34856</v>
      </c>
      <c r="F197">
        <v>31939</v>
      </c>
      <c r="G197">
        <v>23629</v>
      </c>
      <c r="H197">
        <v>31506</v>
      </c>
      <c r="I197">
        <v>40226</v>
      </c>
      <c r="J197">
        <v>22749</v>
      </c>
      <c r="K197">
        <v>13534</v>
      </c>
      <c r="L197">
        <v>628</v>
      </c>
      <c r="M197">
        <v>11649</v>
      </c>
      <c r="N197">
        <v>17302</v>
      </c>
    </row>
    <row r="198" spans="1:14" x14ac:dyDescent="0.2">
      <c r="A198" t="s">
        <v>167</v>
      </c>
      <c r="B198" t="s">
        <v>167</v>
      </c>
      <c r="C198">
        <v>200280</v>
      </c>
      <c r="D198">
        <v>24220</v>
      </c>
      <c r="E198">
        <v>15831</v>
      </c>
      <c r="F198">
        <v>12458</v>
      </c>
      <c r="G198">
        <v>13562</v>
      </c>
      <c r="H198">
        <v>17433</v>
      </c>
      <c r="I198">
        <v>16787</v>
      </c>
      <c r="J198">
        <v>10014</v>
      </c>
      <c r="K198">
        <v>7427</v>
      </c>
      <c r="L198">
        <v>2211</v>
      </c>
      <c r="M198">
        <v>6118</v>
      </c>
      <c r="N198">
        <v>7395</v>
      </c>
    </row>
    <row r="199" spans="1:14" x14ac:dyDescent="0.2">
      <c r="A199" t="s">
        <v>488</v>
      </c>
      <c r="B199" t="s">
        <v>488</v>
      </c>
      <c r="C199">
        <v>200332</v>
      </c>
      <c r="D199">
        <v>22020</v>
      </c>
      <c r="E199">
        <v>7500</v>
      </c>
      <c r="F199">
        <v>6835</v>
      </c>
      <c r="G199">
        <v>7905</v>
      </c>
      <c r="H199">
        <v>9023</v>
      </c>
      <c r="I199">
        <v>9147</v>
      </c>
      <c r="J199">
        <v>8446</v>
      </c>
      <c r="K199">
        <v>8576</v>
      </c>
      <c r="L199">
        <v>2608</v>
      </c>
      <c r="M199">
        <v>5823</v>
      </c>
      <c r="N199">
        <v>7028</v>
      </c>
    </row>
    <row r="200" spans="1:14" x14ac:dyDescent="0.2">
      <c r="A200" t="s">
        <v>169</v>
      </c>
      <c r="B200" t="s">
        <v>169</v>
      </c>
      <c r="C200">
        <v>136172</v>
      </c>
      <c r="D200">
        <v>27260</v>
      </c>
      <c r="E200">
        <v>5085</v>
      </c>
      <c r="F200">
        <v>4119</v>
      </c>
      <c r="G200">
        <v>4517</v>
      </c>
      <c r="H200">
        <v>3641</v>
      </c>
      <c r="I200">
        <v>3666</v>
      </c>
      <c r="J200">
        <v>4199</v>
      </c>
      <c r="K200">
        <v>5611</v>
      </c>
      <c r="L200">
        <v>1396</v>
      </c>
      <c r="M200">
        <v>4912</v>
      </c>
      <c r="N200">
        <v>1383</v>
      </c>
    </row>
    <row r="201" spans="1:14" x14ac:dyDescent="0.2">
      <c r="A201" t="s">
        <v>170</v>
      </c>
      <c r="B201" t="s">
        <v>170</v>
      </c>
      <c r="C201">
        <v>227216</v>
      </c>
      <c r="D201">
        <v>19100</v>
      </c>
      <c r="E201">
        <v>7601</v>
      </c>
      <c r="F201">
        <v>6986</v>
      </c>
      <c r="G201">
        <v>4039</v>
      </c>
      <c r="H201">
        <v>6440</v>
      </c>
      <c r="I201">
        <v>6134</v>
      </c>
      <c r="J201">
        <v>6773</v>
      </c>
      <c r="K201">
        <v>3567</v>
      </c>
      <c r="L201">
        <v>846</v>
      </c>
      <c r="M201">
        <v>2904</v>
      </c>
      <c r="N201">
        <v>4310</v>
      </c>
    </row>
    <row r="202" spans="1:14" x14ac:dyDescent="0.2">
      <c r="A202" t="s">
        <v>489</v>
      </c>
      <c r="B202" t="s">
        <v>489</v>
      </c>
      <c r="C202">
        <v>167358</v>
      </c>
      <c r="D202">
        <v>14460</v>
      </c>
      <c r="E202">
        <v>3026</v>
      </c>
      <c r="F202">
        <v>3246</v>
      </c>
      <c r="G202">
        <v>2134</v>
      </c>
      <c r="H202">
        <v>2543</v>
      </c>
      <c r="I202">
        <v>2572</v>
      </c>
      <c r="J202">
        <v>1880</v>
      </c>
      <c r="K202">
        <v>2071</v>
      </c>
      <c r="L202">
        <v>0</v>
      </c>
      <c r="M202">
        <v>4114</v>
      </c>
      <c r="N202">
        <v>2267</v>
      </c>
    </row>
    <row r="203" spans="1:14" x14ac:dyDescent="0.2">
      <c r="A203" t="s">
        <v>490</v>
      </c>
      <c r="B203" t="s">
        <v>490</v>
      </c>
      <c r="C203">
        <v>105330</v>
      </c>
      <c r="D203">
        <v>22380</v>
      </c>
      <c r="E203">
        <v>6037</v>
      </c>
      <c r="F203">
        <v>4505</v>
      </c>
      <c r="G203">
        <v>9190</v>
      </c>
      <c r="H203">
        <v>5454</v>
      </c>
      <c r="I203">
        <v>5504</v>
      </c>
      <c r="J203">
        <v>5785</v>
      </c>
      <c r="K203">
        <v>5512</v>
      </c>
      <c r="L203">
        <v>1</v>
      </c>
      <c r="M203">
        <v>5647</v>
      </c>
      <c r="N203">
        <v>5698</v>
      </c>
    </row>
    <row r="204" spans="1:14" x14ac:dyDescent="0.2">
      <c r="A204" t="s">
        <v>491</v>
      </c>
      <c r="B204" t="s">
        <v>491</v>
      </c>
      <c r="C204">
        <v>127741</v>
      </c>
      <c r="D204">
        <v>24540</v>
      </c>
      <c r="E204">
        <v>10868</v>
      </c>
      <c r="F204">
        <v>12548</v>
      </c>
      <c r="G204">
        <v>12288</v>
      </c>
      <c r="H204">
        <v>11036</v>
      </c>
      <c r="I204">
        <v>11284</v>
      </c>
      <c r="J204">
        <v>15016</v>
      </c>
      <c r="K204">
        <v>14054</v>
      </c>
      <c r="L204">
        <v>650</v>
      </c>
      <c r="M204">
        <v>10805</v>
      </c>
      <c r="N204">
        <v>12415</v>
      </c>
    </row>
    <row r="205" spans="1:14" x14ac:dyDescent="0.2">
      <c r="A205" t="s">
        <v>492</v>
      </c>
      <c r="B205" t="s">
        <v>492</v>
      </c>
      <c r="C205">
        <v>157447</v>
      </c>
      <c r="D205">
        <v>17140</v>
      </c>
      <c r="E205">
        <v>2684</v>
      </c>
      <c r="F205">
        <v>2574</v>
      </c>
      <c r="G205">
        <v>1787</v>
      </c>
      <c r="H205">
        <v>2117</v>
      </c>
      <c r="I205">
        <v>2839</v>
      </c>
      <c r="J205">
        <v>2220</v>
      </c>
      <c r="K205">
        <v>3402</v>
      </c>
      <c r="L205">
        <v>0</v>
      </c>
      <c r="M205">
        <v>2228</v>
      </c>
      <c r="N205">
        <v>2688</v>
      </c>
    </row>
    <row r="206" spans="1:14" x14ac:dyDescent="0.2">
      <c r="A206" t="s">
        <v>493</v>
      </c>
      <c r="B206" t="s">
        <v>493</v>
      </c>
      <c r="C206">
        <v>147767</v>
      </c>
      <c r="D206">
        <v>16980</v>
      </c>
      <c r="E206">
        <v>13851</v>
      </c>
      <c r="F206">
        <v>13764</v>
      </c>
      <c r="G206">
        <v>9716</v>
      </c>
      <c r="H206">
        <v>9615</v>
      </c>
      <c r="I206">
        <v>8303</v>
      </c>
      <c r="J206">
        <v>8649</v>
      </c>
      <c r="K206">
        <v>10928</v>
      </c>
      <c r="L206">
        <v>24</v>
      </c>
      <c r="M206">
        <v>12926</v>
      </c>
      <c r="N206">
        <v>20421</v>
      </c>
    </row>
    <row r="207" spans="1:14" x14ac:dyDescent="0.2">
      <c r="A207" t="s">
        <v>494</v>
      </c>
      <c r="B207" t="s">
        <v>494</v>
      </c>
      <c r="C207">
        <v>160038</v>
      </c>
      <c r="D207">
        <v>35060</v>
      </c>
      <c r="E207">
        <v>3621</v>
      </c>
      <c r="F207">
        <v>3857</v>
      </c>
      <c r="G207">
        <v>2902</v>
      </c>
      <c r="H207">
        <v>2489</v>
      </c>
      <c r="I207">
        <v>3057</v>
      </c>
      <c r="J207">
        <v>2511</v>
      </c>
      <c r="K207">
        <v>2891</v>
      </c>
      <c r="L207">
        <v>1100</v>
      </c>
      <c r="M207">
        <v>1167</v>
      </c>
      <c r="N207">
        <v>1333</v>
      </c>
    </row>
    <row r="208" spans="1:14" x14ac:dyDescent="0.2">
      <c r="A208" t="s">
        <v>495</v>
      </c>
      <c r="B208" t="s">
        <v>495</v>
      </c>
      <c r="C208">
        <v>152080</v>
      </c>
      <c r="D208">
        <v>43780</v>
      </c>
      <c r="E208">
        <v>19872</v>
      </c>
      <c r="F208">
        <v>16483</v>
      </c>
      <c r="G208">
        <v>14002</v>
      </c>
      <c r="H208">
        <v>16087</v>
      </c>
      <c r="I208">
        <v>15335</v>
      </c>
      <c r="J208">
        <v>12206</v>
      </c>
      <c r="K208">
        <v>12446</v>
      </c>
      <c r="L208">
        <v>655</v>
      </c>
      <c r="M208">
        <v>8023</v>
      </c>
      <c r="N208">
        <v>8621</v>
      </c>
    </row>
    <row r="209" spans="1:14" x14ac:dyDescent="0.2">
      <c r="A209" t="s">
        <v>176</v>
      </c>
      <c r="B209" t="s">
        <v>176</v>
      </c>
      <c r="C209">
        <v>171571</v>
      </c>
      <c r="D209">
        <v>19820</v>
      </c>
      <c r="E209">
        <v>3047</v>
      </c>
      <c r="F209">
        <v>6980</v>
      </c>
      <c r="G209">
        <v>3796</v>
      </c>
      <c r="H209">
        <v>3445</v>
      </c>
      <c r="I209">
        <v>2875</v>
      </c>
      <c r="J209">
        <v>4539</v>
      </c>
      <c r="K209">
        <v>4611</v>
      </c>
      <c r="L209">
        <v>1</v>
      </c>
      <c r="M209">
        <v>4034</v>
      </c>
      <c r="N209">
        <v>1854</v>
      </c>
    </row>
    <row r="210" spans="1:14" x14ac:dyDescent="0.2">
      <c r="A210" t="s">
        <v>177</v>
      </c>
      <c r="B210" t="s">
        <v>177</v>
      </c>
      <c r="C210">
        <v>204857</v>
      </c>
      <c r="D210">
        <v>11900</v>
      </c>
      <c r="E210">
        <v>18910</v>
      </c>
      <c r="F210">
        <v>23783</v>
      </c>
      <c r="G210">
        <v>30906</v>
      </c>
      <c r="H210">
        <v>23162</v>
      </c>
      <c r="I210">
        <v>5890</v>
      </c>
      <c r="J210">
        <v>5396</v>
      </c>
      <c r="K210">
        <v>5296</v>
      </c>
      <c r="L210">
        <v>10</v>
      </c>
      <c r="M210">
        <v>7707</v>
      </c>
      <c r="N210">
        <v>12891</v>
      </c>
    </row>
    <row r="211" spans="1:14" x14ac:dyDescent="0.2">
      <c r="A211" t="s">
        <v>496</v>
      </c>
      <c r="B211" t="s">
        <v>496</v>
      </c>
      <c r="C211">
        <v>204796</v>
      </c>
      <c r="D211">
        <v>18140</v>
      </c>
      <c r="E211">
        <v>26816</v>
      </c>
      <c r="F211">
        <v>23544</v>
      </c>
      <c r="G211">
        <v>27263</v>
      </c>
      <c r="H211">
        <v>22279</v>
      </c>
      <c r="I211">
        <v>23391</v>
      </c>
      <c r="J211">
        <v>27153</v>
      </c>
      <c r="K211">
        <v>28411</v>
      </c>
      <c r="L211">
        <v>724</v>
      </c>
      <c r="M211">
        <v>38003</v>
      </c>
      <c r="N211">
        <v>50530</v>
      </c>
    </row>
    <row r="212" spans="1:14" x14ac:dyDescent="0.2">
      <c r="A212" t="s">
        <v>179</v>
      </c>
      <c r="B212" t="s">
        <v>179</v>
      </c>
      <c r="C212">
        <v>207500</v>
      </c>
      <c r="D212">
        <v>36420</v>
      </c>
      <c r="E212">
        <v>10830</v>
      </c>
      <c r="F212">
        <v>12246</v>
      </c>
      <c r="G212">
        <v>11034</v>
      </c>
      <c r="H212">
        <v>10383</v>
      </c>
      <c r="I212">
        <v>8210</v>
      </c>
      <c r="J212">
        <v>8491</v>
      </c>
      <c r="K212">
        <v>11252</v>
      </c>
      <c r="L212">
        <v>954</v>
      </c>
      <c r="M212">
        <v>7296</v>
      </c>
      <c r="N212">
        <v>13719</v>
      </c>
    </row>
    <row r="213" spans="1:14" x14ac:dyDescent="0.2">
      <c r="A213" t="s">
        <v>497</v>
      </c>
      <c r="B213" t="s">
        <v>497</v>
      </c>
      <c r="C213">
        <v>207388</v>
      </c>
      <c r="D213">
        <v>44660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181</v>
      </c>
      <c r="B214" t="s">
        <v>181</v>
      </c>
      <c r="C214">
        <v>232982</v>
      </c>
      <c r="D214">
        <v>47260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1500</v>
      </c>
      <c r="M214">
        <v>3610</v>
      </c>
      <c r="N214">
        <v>3503</v>
      </c>
    </row>
    <row r="215" spans="1:14" x14ac:dyDescent="0.2">
      <c r="A215" t="s">
        <v>498</v>
      </c>
      <c r="B215" t="s">
        <v>498</v>
      </c>
      <c r="C215">
        <v>176017</v>
      </c>
      <c r="D215">
        <v>37060</v>
      </c>
      <c r="E215">
        <v>5834</v>
      </c>
      <c r="F215">
        <v>8289</v>
      </c>
      <c r="G215">
        <v>9588</v>
      </c>
      <c r="H215">
        <v>10006</v>
      </c>
      <c r="I215">
        <v>13168</v>
      </c>
      <c r="J215">
        <v>8114</v>
      </c>
      <c r="K215">
        <v>8881</v>
      </c>
      <c r="L215">
        <v>1160</v>
      </c>
      <c r="M215">
        <v>4700</v>
      </c>
      <c r="N215">
        <v>6835</v>
      </c>
    </row>
    <row r="216" spans="1:14" x14ac:dyDescent="0.2">
      <c r="A216" t="s">
        <v>499</v>
      </c>
      <c r="B216" t="s">
        <v>499</v>
      </c>
      <c r="C216">
        <v>181394</v>
      </c>
      <c r="D216">
        <v>36540</v>
      </c>
      <c r="E216">
        <v>4723</v>
      </c>
      <c r="F216">
        <v>3826</v>
      </c>
      <c r="G216">
        <v>4579</v>
      </c>
      <c r="H216">
        <v>6698</v>
      </c>
      <c r="I216">
        <v>14568</v>
      </c>
      <c r="J216">
        <v>6198</v>
      </c>
      <c r="K216">
        <v>6140</v>
      </c>
      <c r="L216">
        <v>1885</v>
      </c>
      <c r="M216">
        <v>5184</v>
      </c>
      <c r="N216">
        <v>13421</v>
      </c>
    </row>
    <row r="217" spans="1:14" x14ac:dyDescent="0.2">
      <c r="A217" t="s">
        <v>500</v>
      </c>
      <c r="B217" t="s">
        <v>500</v>
      </c>
      <c r="C217">
        <v>207582</v>
      </c>
      <c r="D217">
        <v>46140</v>
      </c>
      <c r="E217">
        <v>2986</v>
      </c>
      <c r="F217">
        <v>5283</v>
      </c>
      <c r="G217">
        <v>6300</v>
      </c>
      <c r="H217">
        <v>4459</v>
      </c>
      <c r="I217">
        <v>5797</v>
      </c>
      <c r="J217">
        <v>4462</v>
      </c>
      <c r="K217">
        <v>5500</v>
      </c>
      <c r="L217">
        <v>1536</v>
      </c>
      <c r="M217">
        <v>3806</v>
      </c>
      <c r="N217">
        <v>4275</v>
      </c>
    </row>
    <row r="218" spans="1:14" x14ac:dyDescent="0.2">
      <c r="A218" t="s">
        <v>182</v>
      </c>
      <c r="B218" t="s">
        <v>182</v>
      </c>
      <c r="C218">
        <v>209551</v>
      </c>
      <c r="D218">
        <v>21660</v>
      </c>
      <c r="E218">
        <v>22468</v>
      </c>
      <c r="F218">
        <v>31475</v>
      </c>
      <c r="G218">
        <v>15874</v>
      </c>
      <c r="H218">
        <v>29253</v>
      </c>
      <c r="I218">
        <v>25870</v>
      </c>
      <c r="J218">
        <v>31096</v>
      </c>
      <c r="K218">
        <v>25174</v>
      </c>
      <c r="L218">
        <v>0</v>
      </c>
      <c r="M218">
        <v>19520</v>
      </c>
      <c r="N218">
        <v>31916</v>
      </c>
    </row>
    <row r="219" spans="1:14" x14ac:dyDescent="0.2">
      <c r="A219" t="s">
        <v>501</v>
      </c>
      <c r="B219" t="s">
        <v>501</v>
      </c>
      <c r="C219">
        <v>209542</v>
      </c>
      <c r="D219">
        <v>18700</v>
      </c>
      <c r="E219">
        <v>9932</v>
      </c>
      <c r="F219">
        <v>13807</v>
      </c>
      <c r="G219">
        <v>11984</v>
      </c>
      <c r="H219">
        <v>12342</v>
      </c>
      <c r="I219">
        <v>15015</v>
      </c>
      <c r="J219">
        <v>14227</v>
      </c>
      <c r="K219">
        <v>12691</v>
      </c>
      <c r="L219">
        <v>1</v>
      </c>
      <c r="M219">
        <v>8329</v>
      </c>
      <c r="N219">
        <v>11323</v>
      </c>
    </row>
    <row r="220" spans="1:14" x14ac:dyDescent="0.2">
      <c r="A220" t="s">
        <v>502</v>
      </c>
      <c r="B220" t="s">
        <v>502</v>
      </c>
      <c r="C220">
        <v>120883</v>
      </c>
      <c r="D220">
        <v>44700</v>
      </c>
      <c r="E220">
        <v>8388</v>
      </c>
      <c r="F220">
        <v>8626</v>
      </c>
      <c r="G220">
        <v>7428</v>
      </c>
      <c r="H220">
        <v>11437</v>
      </c>
      <c r="I220">
        <v>7213</v>
      </c>
      <c r="J220">
        <v>4498</v>
      </c>
      <c r="K220">
        <v>4800</v>
      </c>
      <c r="L220">
        <v>0</v>
      </c>
      <c r="M220">
        <v>5927</v>
      </c>
      <c r="N220">
        <v>4441</v>
      </c>
    </row>
    <row r="221" spans="1:14" x14ac:dyDescent="0.2">
      <c r="A221" t="s">
        <v>503</v>
      </c>
      <c r="B221" t="s">
        <v>503</v>
      </c>
      <c r="C221">
        <v>215062</v>
      </c>
      <c r="D221">
        <v>37980</v>
      </c>
      <c r="E221">
        <v>2755</v>
      </c>
      <c r="F221">
        <v>2721</v>
      </c>
      <c r="G221">
        <v>2737</v>
      </c>
      <c r="H221">
        <v>3281</v>
      </c>
      <c r="I221">
        <v>2169</v>
      </c>
      <c r="J221">
        <v>3033</v>
      </c>
      <c r="K221">
        <v>2276</v>
      </c>
      <c r="L221">
        <v>0</v>
      </c>
      <c r="M221">
        <v>3156</v>
      </c>
      <c r="N221">
        <v>2995</v>
      </c>
    </row>
    <row r="222" spans="1:14" x14ac:dyDescent="0.2">
      <c r="A222" t="s">
        <v>504</v>
      </c>
      <c r="B222" t="s">
        <v>504</v>
      </c>
      <c r="C222">
        <v>214777</v>
      </c>
      <c r="D222">
        <v>44300</v>
      </c>
      <c r="E222">
        <v>50187</v>
      </c>
      <c r="F222">
        <v>56977</v>
      </c>
      <c r="G222">
        <v>66672</v>
      </c>
      <c r="H222">
        <v>60927</v>
      </c>
      <c r="I222">
        <v>60176</v>
      </c>
      <c r="J222">
        <v>56885</v>
      </c>
      <c r="K222">
        <v>63718</v>
      </c>
      <c r="L222">
        <v>1030</v>
      </c>
      <c r="M222">
        <v>36847</v>
      </c>
      <c r="N222">
        <v>48578</v>
      </c>
    </row>
    <row r="223" spans="1:14" x14ac:dyDescent="0.2">
      <c r="A223" t="s">
        <v>505</v>
      </c>
      <c r="B223" t="s">
        <v>505</v>
      </c>
      <c r="C223">
        <v>121150</v>
      </c>
      <c r="D223">
        <v>31080</v>
      </c>
      <c r="E223">
        <v>4864</v>
      </c>
      <c r="F223">
        <v>3525</v>
      </c>
      <c r="G223">
        <v>5394</v>
      </c>
      <c r="H223">
        <v>5362</v>
      </c>
      <c r="I223">
        <v>4579</v>
      </c>
      <c r="J223">
        <v>5769</v>
      </c>
      <c r="K223">
        <v>5331</v>
      </c>
      <c r="L223">
        <v>0</v>
      </c>
      <c r="M223">
        <v>4007</v>
      </c>
      <c r="N223">
        <v>4633</v>
      </c>
    </row>
    <row r="224" spans="1:14" x14ac:dyDescent="0.2">
      <c r="A224" t="s">
        <v>506</v>
      </c>
      <c r="B224" t="s">
        <v>506</v>
      </c>
      <c r="C224">
        <v>215293</v>
      </c>
      <c r="D224">
        <v>38300</v>
      </c>
      <c r="E224">
        <v>6115</v>
      </c>
      <c r="F224">
        <v>8528</v>
      </c>
      <c r="G224">
        <v>6528</v>
      </c>
      <c r="H224">
        <v>6984</v>
      </c>
      <c r="I224">
        <v>7402</v>
      </c>
      <c r="J224">
        <v>22802</v>
      </c>
      <c r="K224">
        <v>21525</v>
      </c>
      <c r="L224">
        <v>1661</v>
      </c>
      <c r="M224">
        <v>24393</v>
      </c>
      <c r="N224">
        <v>28470</v>
      </c>
    </row>
    <row r="225" spans="1:14" x14ac:dyDescent="0.2">
      <c r="A225" t="s">
        <v>507</v>
      </c>
      <c r="B225" t="s">
        <v>507</v>
      </c>
      <c r="C225">
        <v>209825</v>
      </c>
      <c r="D225">
        <v>38900</v>
      </c>
      <c r="E225">
        <v>2984</v>
      </c>
      <c r="F225">
        <v>3042</v>
      </c>
      <c r="G225">
        <v>3857</v>
      </c>
      <c r="H225">
        <v>4041</v>
      </c>
      <c r="I225">
        <v>4432</v>
      </c>
      <c r="J225">
        <v>6348</v>
      </c>
      <c r="K225">
        <v>4195</v>
      </c>
      <c r="L225">
        <v>0</v>
      </c>
      <c r="M225">
        <v>1641</v>
      </c>
      <c r="N225">
        <v>2898</v>
      </c>
    </row>
    <row r="226" spans="1:14" x14ac:dyDescent="0.2">
      <c r="A226" t="s">
        <v>508</v>
      </c>
      <c r="B226" t="s">
        <v>508</v>
      </c>
      <c r="C226">
        <v>209807</v>
      </c>
      <c r="D226">
        <v>38900</v>
      </c>
      <c r="E226">
        <v>7871</v>
      </c>
      <c r="F226">
        <v>4082</v>
      </c>
      <c r="G226">
        <v>2770</v>
      </c>
      <c r="H226">
        <v>2731</v>
      </c>
      <c r="I226">
        <v>2885</v>
      </c>
      <c r="J226">
        <v>4668</v>
      </c>
      <c r="K226">
        <v>3020</v>
      </c>
      <c r="L226">
        <v>13</v>
      </c>
      <c r="M226">
        <v>4845</v>
      </c>
      <c r="N226">
        <v>5653</v>
      </c>
    </row>
    <row r="227" spans="1:14" x14ac:dyDescent="0.2">
      <c r="A227" t="s">
        <v>509</v>
      </c>
      <c r="B227" t="s">
        <v>509</v>
      </c>
      <c r="C227">
        <v>227526</v>
      </c>
      <c r="D227">
        <v>26420</v>
      </c>
      <c r="E227">
        <v>1585</v>
      </c>
      <c r="F227">
        <v>1668</v>
      </c>
      <c r="G227">
        <v>1901</v>
      </c>
      <c r="H227">
        <v>1754</v>
      </c>
      <c r="I227">
        <v>2651</v>
      </c>
      <c r="J227">
        <v>2164</v>
      </c>
      <c r="K227">
        <v>1429</v>
      </c>
      <c r="L227">
        <v>914</v>
      </c>
      <c r="M227">
        <v>1829</v>
      </c>
      <c r="N227">
        <v>1829</v>
      </c>
    </row>
    <row r="228" spans="1:14" x14ac:dyDescent="0.2">
      <c r="A228" t="s">
        <v>510</v>
      </c>
      <c r="B228" t="s">
        <v>510</v>
      </c>
      <c r="C228">
        <v>218539</v>
      </c>
      <c r="D228">
        <v>43900</v>
      </c>
      <c r="E228">
        <v>1842</v>
      </c>
      <c r="F228">
        <v>1719</v>
      </c>
      <c r="G228">
        <v>1902</v>
      </c>
      <c r="H228">
        <v>2745</v>
      </c>
      <c r="I228">
        <v>2019</v>
      </c>
      <c r="J228">
        <v>2332</v>
      </c>
      <c r="K228">
        <v>911</v>
      </c>
      <c r="L228">
        <v>54</v>
      </c>
      <c r="M228">
        <v>902</v>
      </c>
      <c r="N228">
        <v>1242</v>
      </c>
    </row>
    <row r="229" spans="1:14" x14ac:dyDescent="0.2">
      <c r="A229" t="s">
        <v>511</v>
      </c>
      <c r="B229" t="s">
        <v>511</v>
      </c>
      <c r="C229">
        <v>186131</v>
      </c>
      <c r="D229">
        <v>45940</v>
      </c>
      <c r="E229">
        <v>1394</v>
      </c>
      <c r="F229">
        <v>2257</v>
      </c>
      <c r="G229">
        <v>2268</v>
      </c>
      <c r="H229">
        <v>3352</v>
      </c>
      <c r="I229">
        <v>2893</v>
      </c>
      <c r="J229">
        <v>2510</v>
      </c>
      <c r="K229">
        <v>2626</v>
      </c>
      <c r="L229">
        <v>0</v>
      </c>
      <c r="M229">
        <v>1260</v>
      </c>
      <c r="N229">
        <v>1890</v>
      </c>
    </row>
    <row r="230" spans="1:14" x14ac:dyDescent="0.2">
      <c r="A230" t="s">
        <v>512</v>
      </c>
      <c r="B230" t="s">
        <v>512</v>
      </c>
      <c r="C230">
        <v>217402</v>
      </c>
      <c r="D230">
        <v>39300</v>
      </c>
      <c r="E230">
        <v>1740</v>
      </c>
      <c r="F230">
        <v>1439</v>
      </c>
      <c r="G230">
        <v>2245</v>
      </c>
      <c r="H230">
        <v>2286</v>
      </c>
      <c r="I230">
        <v>2908</v>
      </c>
      <c r="J230">
        <v>2260</v>
      </c>
      <c r="K230">
        <v>1995</v>
      </c>
      <c r="L230">
        <v>4</v>
      </c>
      <c r="M230">
        <v>1385</v>
      </c>
      <c r="N230">
        <v>1899</v>
      </c>
    </row>
    <row r="231" spans="1:14" x14ac:dyDescent="0.2">
      <c r="A231" t="s">
        <v>187</v>
      </c>
      <c r="B231" t="s">
        <v>187</v>
      </c>
      <c r="C231">
        <v>243780</v>
      </c>
      <c r="D231">
        <v>29200</v>
      </c>
      <c r="E231">
        <v>40510</v>
      </c>
      <c r="F231">
        <v>40230</v>
      </c>
      <c r="G231">
        <v>40379</v>
      </c>
      <c r="H231">
        <v>40593</v>
      </c>
      <c r="I231">
        <v>35749</v>
      </c>
      <c r="J231">
        <v>39840</v>
      </c>
      <c r="K231">
        <v>34993</v>
      </c>
      <c r="L231">
        <v>1145</v>
      </c>
      <c r="M231">
        <v>39901</v>
      </c>
      <c r="N231">
        <v>35611</v>
      </c>
    </row>
    <row r="232" spans="1:14" x14ac:dyDescent="0.2">
      <c r="A232" t="s">
        <v>188</v>
      </c>
      <c r="B232" t="s">
        <v>188</v>
      </c>
      <c r="C232">
        <v>151102</v>
      </c>
      <c r="D232">
        <v>23060</v>
      </c>
      <c r="E232">
        <v>4969</v>
      </c>
      <c r="F232">
        <v>6268</v>
      </c>
      <c r="G232">
        <v>6144</v>
      </c>
      <c r="H232">
        <v>6282</v>
      </c>
      <c r="I232">
        <v>5837</v>
      </c>
      <c r="J232">
        <v>6360</v>
      </c>
      <c r="K232">
        <v>4773</v>
      </c>
      <c r="L232">
        <v>12</v>
      </c>
      <c r="M232">
        <v>3216</v>
      </c>
      <c r="N232">
        <v>3320</v>
      </c>
    </row>
    <row r="233" spans="1:14" x14ac:dyDescent="0.2">
      <c r="A233" t="s">
        <v>513</v>
      </c>
      <c r="B233" t="s">
        <v>513</v>
      </c>
      <c r="C233">
        <v>130226</v>
      </c>
      <c r="D233">
        <v>35300</v>
      </c>
      <c r="E233">
        <v>1725</v>
      </c>
      <c r="F233">
        <v>1939</v>
      </c>
      <c r="G233">
        <v>2086</v>
      </c>
      <c r="H233">
        <v>4093</v>
      </c>
      <c r="I233">
        <v>3068</v>
      </c>
      <c r="J233">
        <v>2989</v>
      </c>
      <c r="K233">
        <v>2888</v>
      </c>
      <c r="L233">
        <v>0</v>
      </c>
      <c r="M233">
        <v>1922</v>
      </c>
      <c r="N233">
        <v>2400</v>
      </c>
    </row>
    <row r="234" spans="1:14" x14ac:dyDescent="0.2">
      <c r="A234" t="s">
        <v>189</v>
      </c>
      <c r="B234" t="s">
        <v>189</v>
      </c>
      <c r="C234">
        <v>233277</v>
      </c>
      <c r="D234">
        <v>40220</v>
      </c>
      <c r="E234">
        <v>5560</v>
      </c>
      <c r="F234">
        <v>4538</v>
      </c>
      <c r="G234">
        <v>5858</v>
      </c>
      <c r="H234">
        <v>3212</v>
      </c>
      <c r="I234">
        <v>4726</v>
      </c>
      <c r="J234">
        <v>2850</v>
      </c>
      <c r="K234">
        <v>3102</v>
      </c>
      <c r="L234">
        <v>2000</v>
      </c>
      <c r="M234">
        <v>1175</v>
      </c>
      <c r="N234">
        <v>1419</v>
      </c>
    </row>
    <row r="235" spans="1:14" x14ac:dyDescent="0.2">
      <c r="A235" t="s">
        <v>190</v>
      </c>
      <c r="B235" t="s">
        <v>190</v>
      </c>
      <c r="C235">
        <v>217484</v>
      </c>
      <c r="D235">
        <v>39300</v>
      </c>
      <c r="E235">
        <v>3169</v>
      </c>
      <c r="F235">
        <v>4161</v>
      </c>
      <c r="G235">
        <v>1644</v>
      </c>
      <c r="H235">
        <v>4078</v>
      </c>
      <c r="I235">
        <v>2188</v>
      </c>
      <c r="J235">
        <v>1112</v>
      </c>
      <c r="K235">
        <v>1390</v>
      </c>
      <c r="L235">
        <v>21</v>
      </c>
      <c r="M235">
        <v>1610</v>
      </c>
      <c r="N235">
        <v>1194</v>
      </c>
    </row>
    <row r="236" spans="1:14" x14ac:dyDescent="0.2">
      <c r="A236" t="s">
        <v>514</v>
      </c>
      <c r="B236" t="s">
        <v>514</v>
      </c>
      <c r="C236">
        <v>227757</v>
      </c>
      <c r="D236">
        <v>26420</v>
      </c>
      <c r="E236">
        <v>3867</v>
      </c>
      <c r="F236">
        <v>5312</v>
      </c>
      <c r="G236">
        <v>4455</v>
      </c>
      <c r="H236">
        <v>8310</v>
      </c>
      <c r="I236">
        <v>5991</v>
      </c>
      <c r="J236">
        <v>8056</v>
      </c>
      <c r="K236">
        <v>11624</v>
      </c>
      <c r="L236">
        <v>0</v>
      </c>
      <c r="M236">
        <v>9113</v>
      </c>
      <c r="N236">
        <v>8308</v>
      </c>
    </row>
    <row r="237" spans="1:14" x14ac:dyDescent="0.2">
      <c r="A237" t="s">
        <v>515</v>
      </c>
      <c r="B237" t="s">
        <v>515</v>
      </c>
      <c r="C237">
        <v>233374</v>
      </c>
      <c r="D237">
        <v>40060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 t="s">
        <v>516</v>
      </c>
      <c r="B238" t="s">
        <v>516</v>
      </c>
      <c r="C238">
        <v>186283</v>
      </c>
      <c r="D238">
        <v>45940</v>
      </c>
      <c r="E238">
        <v>2090</v>
      </c>
      <c r="F238">
        <v>2539</v>
      </c>
      <c r="G238">
        <v>2374</v>
      </c>
      <c r="H238">
        <v>2392</v>
      </c>
      <c r="I238">
        <v>3342</v>
      </c>
      <c r="J238">
        <v>3065</v>
      </c>
      <c r="K238">
        <v>3438</v>
      </c>
      <c r="L238">
        <v>44</v>
      </c>
      <c r="M238">
        <v>1936</v>
      </c>
      <c r="N238">
        <v>2360</v>
      </c>
    </row>
    <row r="239" spans="1:14" x14ac:dyDescent="0.2">
      <c r="A239" t="s">
        <v>517</v>
      </c>
      <c r="B239" t="s">
        <v>517</v>
      </c>
      <c r="C239">
        <v>215655</v>
      </c>
      <c r="D239">
        <v>38300</v>
      </c>
      <c r="E239">
        <v>1970</v>
      </c>
      <c r="F239">
        <v>2382</v>
      </c>
      <c r="G239">
        <v>2316</v>
      </c>
      <c r="H239">
        <v>1751</v>
      </c>
      <c r="I239">
        <v>1495</v>
      </c>
      <c r="J239">
        <v>1439</v>
      </c>
      <c r="K239">
        <v>2644</v>
      </c>
      <c r="L239">
        <v>0</v>
      </c>
      <c r="M239">
        <v>1702</v>
      </c>
      <c r="N239">
        <v>1735</v>
      </c>
    </row>
    <row r="240" spans="1:14" x14ac:dyDescent="0.2">
      <c r="A240" t="s">
        <v>191</v>
      </c>
      <c r="B240" t="s">
        <v>191</v>
      </c>
      <c r="C240">
        <v>186380</v>
      </c>
      <c r="D240">
        <v>35620</v>
      </c>
      <c r="E240">
        <v>1674</v>
      </c>
      <c r="F240">
        <v>2526</v>
      </c>
      <c r="G240">
        <v>3771</v>
      </c>
      <c r="H240">
        <v>3196</v>
      </c>
      <c r="I240">
        <v>4449</v>
      </c>
      <c r="J240">
        <v>4583</v>
      </c>
      <c r="K240">
        <v>5136</v>
      </c>
      <c r="L240">
        <v>118</v>
      </c>
      <c r="M240">
        <v>7757</v>
      </c>
      <c r="N240">
        <v>9522</v>
      </c>
    </row>
    <row r="241" spans="1:14" x14ac:dyDescent="0.2">
      <c r="A241" t="s">
        <v>518</v>
      </c>
      <c r="B241" t="s">
        <v>518</v>
      </c>
      <c r="C241">
        <v>110617</v>
      </c>
      <c r="D241">
        <v>40900</v>
      </c>
      <c r="E241">
        <v>3664</v>
      </c>
      <c r="F241">
        <v>2995</v>
      </c>
      <c r="G241">
        <v>3928</v>
      </c>
      <c r="H241">
        <v>3659</v>
      </c>
      <c r="I241">
        <v>4889</v>
      </c>
      <c r="J241">
        <v>4334</v>
      </c>
      <c r="K241">
        <v>4210</v>
      </c>
      <c r="L241">
        <v>0</v>
      </c>
      <c r="M241">
        <v>4699</v>
      </c>
      <c r="N241">
        <v>4659</v>
      </c>
    </row>
    <row r="242" spans="1:14" x14ac:dyDescent="0.2">
      <c r="A242" t="s">
        <v>519</v>
      </c>
      <c r="B242" t="s">
        <v>519</v>
      </c>
      <c r="C242">
        <v>130253</v>
      </c>
      <c r="D242">
        <v>35300</v>
      </c>
      <c r="E242">
        <v>3190</v>
      </c>
      <c r="F242">
        <v>2181</v>
      </c>
      <c r="G242">
        <v>1268</v>
      </c>
      <c r="H242">
        <v>3706</v>
      </c>
      <c r="I242">
        <v>1403</v>
      </c>
      <c r="J242">
        <v>1369</v>
      </c>
      <c r="K242">
        <v>1491</v>
      </c>
      <c r="L242">
        <v>0</v>
      </c>
      <c r="M242">
        <v>2212</v>
      </c>
      <c r="N242">
        <v>2761</v>
      </c>
    </row>
    <row r="243" spans="1:14" x14ac:dyDescent="0.2">
      <c r="A243" t="s">
        <v>520</v>
      </c>
      <c r="B243" t="s">
        <v>599</v>
      </c>
      <c r="C243">
        <v>215743</v>
      </c>
      <c r="D243">
        <v>11020</v>
      </c>
      <c r="E243">
        <v>1280</v>
      </c>
      <c r="F243">
        <v>1079</v>
      </c>
      <c r="G243">
        <v>1134</v>
      </c>
      <c r="H243">
        <v>1489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521</v>
      </c>
      <c r="B244" t="s">
        <v>521</v>
      </c>
      <c r="C244">
        <v>215770</v>
      </c>
      <c r="D244">
        <v>37980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522</v>
      </c>
      <c r="B245" t="s">
        <v>522</v>
      </c>
      <c r="C245">
        <v>179159</v>
      </c>
      <c r="D245">
        <v>41180</v>
      </c>
      <c r="E245">
        <v>7624</v>
      </c>
      <c r="F245">
        <v>5718</v>
      </c>
      <c r="G245">
        <v>7092</v>
      </c>
      <c r="H245">
        <v>5710</v>
      </c>
      <c r="I245">
        <v>3821</v>
      </c>
      <c r="J245">
        <v>3587</v>
      </c>
      <c r="K245">
        <v>5100</v>
      </c>
      <c r="L245">
        <v>50</v>
      </c>
      <c r="M245">
        <v>1752</v>
      </c>
      <c r="N245">
        <v>4417</v>
      </c>
    </row>
    <row r="246" spans="1:14" x14ac:dyDescent="0.2">
      <c r="A246" t="s">
        <v>523</v>
      </c>
      <c r="B246" t="s">
        <v>523</v>
      </c>
      <c r="C246">
        <v>123554</v>
      </c>
      <c r="D246">
        <v>41860</v>
      </c>
      <c r="E246">
        <v>3264</v>
      </c>
      <c r="F246">
        <v>3044</v>
      </c>
      <c r="G246">
        <v>3249</v>
      </c>
      <c r="H246">
        <v>3115</v>
      </c>
      <c r="I246">
        <v>2597</v>
      </c>
      <c r="J246">
        <v>4728</v>
      </c>
      <c r="K246">
        <v>3455</v>
      </c>
      <c r="L246">
        <v>1</v>
      </c>
      <c r="M246">
        <v>2482</v>
      </c>
      <c r="N246">
        <v>3325</v>
      </c>
    </row>
    <row r="247" spans="1:14" x14ac:dyDescent="0.2">
      <c r="A247" t="s">
        <v>524</v>
      </c>
      <c r="B247" t="s">
        <v>524</v>
      </c>
      <c r="C247">
        <v>186432</v>
      </c>
      <c r="D247">
        <v>35620</v>
      </c>
      <c r="E247">
        <v>1669</v>
      </c>
      <c r="F247">
        <v>1139</v>
      </c>
      <c r="G247">
        <v>1606</v>
      </c>
      <c r="H247">
        <v>895</v>
      </c>
      <c r="I247">
        <v>1490</v>
      </c>
      <c r="J247">
        <v>1133</v>
      </c>
      <c r="K247">
        <v>1013</v>
      </c>
      <c r="L247">
        <v>0</v>
      </c>
      <c r="M247">
        <v>874</v>
      </c>
      <c r="N247">
        <v>1078</v>
      </c>
    </row>
    <row r="248" spans="1:14" x14ac:dyDescent="0.2">
      <c r="A248" t="s">
        <v>525</v>
      </c>
      <c r="B248" t="s">
        <v>526</v>
      </c>
      <c r="C248">
        <v>227881</v>
      </c>
      <c r="D248">
        <v>26660</v>
      </c>
      <c r="E248">
        <v>5276</v>
      </c>
      <c r="F248">
        <v>4158</v>
      </c>
      <c r="G248">
        <v>6589</v>
      </c>
      <c r="H248">
        <v>2267</v>
      </c>
      <c r="I248">
        <v>5483</v>
      </c>
      <c r="J248">
        <v>4229</v>
      </c>
      <c r="K248">
        <v>4341</v>
      </c>
      <c r="L248">
        <v>2079</v>
      </c>
      <c r="M248">
        <v>3329</v>
      </c>
      <c r="N248">
        <v>4709</v>
      </c>
    </row>
    <row r="249" spans="1:14" x14ac:dyDescent="0.2">
      <c r="A249" t="s">
        <v>527</v>
      </c>
      <c r="B249" t="s">
        <v>527</v>
      </c>
      <c r="C249">
        <v>102049</v>
      </c>
      <c r="D249">
        <v>13820</v>
      </c>
      <c r="E249">
        <v>4885</v>
      </c>
      <c r="F249">
        <v>5408</v>
      </c>
      <c r="G249">
        <v>2279</v>
      </c>
      <c r="H249">
        <v>4810</v>
      </c>
      <c r="I249">
        <v>4295</v>
      </c>
      <c r="J249">
        <v>2738</v>
      </c>
      <c r="K249">
        <v>3283</v>
      </c>
      <c r="L249">
        <v>1467</v>
      </c>
      <c r="M249">
        <v>3418</v>
      </c>
      <c r="N249">
        <v>2711</v>
      </c>
    </row>
    <row r="250" spans="1:14" x14ac:dyDescent="0.2">
      <c r="A250" t="s">
        <v>528</v>
      </c>
      <c r="B250" t="s">
        <v>528</v>
      </c>
      <c r="C250">
        <v>122436</v>
      </c>
      <c r="D250">
        <v>41740</v>
      </c>
      <c r="E250">
        <v>11518</v>
      </c>
      <c r="F250">
        <v>6282</v>
      </c>
      <c r="G250">
        <v>5893</v>
      </c>
      <c r="H250">
        <v>8043</v>
      </c>
      <c r="I250">
        <v>10087</v>
      </c>
      <c r="J250">
        <v>10795</v>
      </c>
      <c r="K250">
        <v>8677</v>
      </c>
      <c r="L250">
        <v>9</v>
      </c>
      <c r="M250">
        <v>5907</v>
      </c>
      <c r="N250">
        <v>16731</v>
      </c>
    </row>
    <row r="251" spans="1:14" x14ac:dyDescent="0.2">
      <c r="A251" t="s">
        <v>529</v>
      </c>
      <c r="B251" t="s">
        <v>529</v>
      </c>
      <c r="C251">
        <v>122409</v>
      </c>
      <c r="D251">
        <v>41740</v>
      </c>
      <c r="E251">
        <v>5159</v>
      </c>
      <c r="F251">
        <v>4794</v>
      </c>
      <c r="G251">
        <v>4176</v>
      </c>
      <c r="H251">
        <v>5323</v>
      </c>
      <c r="I251">
        <v>5114</v>
      </c>
      <c r="J251">
        <v>5910</v>
      </c>
      <c r="K251">
        <v>3821</v>
      </c>
      <c r="L251">
        <v>0</v>
      </c>
      <c r="M251">
        <v>3845</v>
      </c>
      <c r="N251">
        <v>5399</v>
      </c>
    </row>
    <row r="252" spans="1:14" x14ac:dyDescent="0.2">
      <c r="A252" t="s">
        <v>530</v>
      </c>
      <c r="B252" t="s">
        <v>530</v>
      </c>
      <c r="C252">
        <v>122612</v>
      </c>
      <c r="D252">
        <v>41860</v>
      </c>
      <c r="E252">
        <v>3293</v>
      </c>
      <c r="F252">
        <v>3004</v>
      </c>
      <c r="G252">
        <v>4462</v>
      </c>
      <c r="H252">
        <v>3209</v>
      </c>
      <c r="I252">
        <v>1754</v>
      </c>
      <c r="J252">
        <v>2039</v>
      </c>
      <c r="K252">
        <v>2894</v>
      </c>
      <c r="L252">
        <v>2</v>
      </c>
      <c r="M252">
        <v>3050</v>
      </c>
      <c r="N252">
        <v>2612</v>
      </c>
    </row>
    <row r="253" spans="1:14" x14ac:dyDescent="0.2">
      <c r="A253" t="s">
        <v>531</v>
      </c>
      <c r="B253" t="s">
        <v>531</v>
      </c>
      <c r="C253">
        <v>122755</v>
      </c>
      <c r="D253">
        <v>41940</v>
      </c>
      <c r="E253">
        <v>3790</v>
      </c>
      <c r="F253">
        <v>2641</v>
      </c>
      <c r="G253">
        <v>3867</v>
      </c>
      <c r="H253">
        <v>4059</v>
      </c>
      <c r="I253">
        <v>4831</v>
      </c>
      <c r="J253">
        <v>3132</v>
      </c>
      <c r="K253">
        <v>2824</v>
      </c>
      <c r="L253">
        <v>2</v>
      </c>
      <c r="M253">
        <v>4401</v>
      </c>
      <c r="N253">
        <v>4551</v>
      </c>
    </row>
    <row r="254" spans="1:14" x14ac:dyDescent="0.2">
      <c r="A254" t="s">
        <v>532</v>
      </c>
      <c r="B254" t="s">
        <v>532</v>
      </c>
      <c r="C254">
        <v>122931</v>
      </c>
      <c r="D254">
        <v>41940</v>
      </c>
      <c r="E254">
        <v>4032</v>
      </c>
      <c r="F254">
        <v>2848</v>
      </c>
      <c r="G254">
        <v>3484</v>
      </c>
      <c r="H254">
        <v>3254</v>
      </c>
      <c r="I254">
        <v>5009</v>
      </c>
      <c r="J254">
        <v>3563</v>
      </c>
      <c r="K254">
        <v>3640</v>
      </c>
      <c r="L254">
        <v>0</v>
      </c>
      <c r="M254">
        <v>2104</v>
      </c>
      <c r="N254">
        <v>3749</v>
      </c>
    </row>
    <row r="255" spans="1:14" x14ac:dyDescent="0.2">
      <c r="A255" t="s">
        <v>600</v>
      </c>
      <c r="B255" t="s">
        <v>600</v>
      </c>
      <c r="C255">
        <v>140960</v>
      </c>
      <c r="E255">
        <v>793</v>
      </c>
      <c r="F255">
        <v>651</v>
      </c>
      <c r="G255">
        <v>1390</v>
      </c>
      <c r="H255">
        <v>1078</v>
      </c>
      <c r="I255">
        <v>1007</v>
      </c>
      <c r="J255">
        <v>525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533</v>
      </c>
      <c r="B256" t="s">
        <v>533</v>
      </c>
      <c r="C256">
        <v>236595</v>
      </c>
      <c r="D256">
        <v>42660</v>
      </c>
      <c r="E256">
        <v>1761</v>
      </c>
      <c r="F256">
        <v>2072</v>
      </c>
      <c r="G256">
        <v>1343</v>
      </c>
      <c r="H256">
        <v>1830</v>
      </c>
      <c r="I256">
        <v>1446</v>
      </c>
      <c r="J256">
        <v>2484</v>
      </c>
      <c r="K256">
        <v>2862</v>
      </c>
      <c r="L256">
        <v>0</v>
      </c>
      <c r="M256">
        <v>833</v>
      </c>
      <c r="N256">
        <v>1517</v>
      </c>
    </row>
    <row r="257" spans="1:14" x14ac:dyDescent="0.2">
      <c r="A257" t="s">
        <v>534</v>
      </c>
      <c r="B257" t="s">
        <v>534</v>
      </c>
      <c r="C257">
        <v>186584</v>
      </c>
      <c r="D257">
        <v>35620</v>
      </c>
      <c r="E257">
        <v>2274</v>
      </c>
      <c r="F257">
        <v>4250</v>
      </c>
      <c r="G257">
        <v>3792</v>
      </c>
      <c r="H257">
        <v>3668</v>
      </c>
      <c r="I257">
        <v>4470</v>
      </c>
      <c r="J257">
        <v>3170</v>
      </c>
      <c r="K257">
        <v>2803</v>
      </c>
      <c r="L257">
        <v>40</v>
      </c>
      <c r="M257">
        <v>2322</v>
      </c>
      <c r="N257">
        <v>2260</v>
      </c>
    </row>
    <row r="258" spans="1:14" x14ac:dyDescent="0.2">
      <c r="A258" t="s">
        <v>535</v>
      </c>
      <c r="B258" t="s">
        <v>535</v>
      </c>
      <c r="C258">
        <v>228431</v>
      </c>
      <c r="D258">
        <v>34860</v>
      </c>
      <c r="E258">
        <v>3424</v>
      </c>
      <c r="F258">
        <v>3728</v>
      </c>
      <c r="G258">
        <v>3893</v>
      </c>
      <c r="H258">
        <v>3696</v>
      </c>
      <c r="I258">
        <v>4174</v>
      </c>
      <c r="J258">
        <v>6714</v>
      </c>
      <c r="K258">
        <v>5082</v>
      </c>
      <c r="L258">
        <v>3140</v>
      </c>
      <c r="M258">
        <v>3995</v>
      </c>
      <c r="N258">
        <v>4905</v>
      </c>
    </row>
    <row r="259" spans="1:14" x14ac:dyDescent="0.2">
      <c r="A259" t="s">
        <v>536</v>
      </c>
      <c r="B259" t="s">
        <v>536</v>
      </c>
      <c r="C259">
        <v>195474</v>
      </c>
      <c r="D259">
        <v>10580</v>
      </c>
      <c r="E259">
        <v>1315</v>
      </c>
      <c r="F259">
        <v>1080</v>
      </c>
      <c r="G259">
        <v>1095</v>
      </c>
      <c r="H259">
        <v>1476</v>
      </c>
      <c r="I259">
        <v>850</v>
      </c>
      <c r="J259">
        <v>1229</v>
      </c>
      <c r="K259">
        <v>3983</v>
      </c>
      <c r="L259">
        <v>0</v>
      </c>
      <c r="M259">
        <v>1457</v>
      </c>
      <c r="N259">
        <v>1748</v>
      </c>
    </row>
    <row r="260" spans="1:14" x14ac:dyDescent="0.2">
      <c r="A260" t="s">
        <v>537</v>
      </c>
      <c r="B260" t="s">
        <v>537</v>
      </c>
      <c r="C260">
        <v>149231</v>
      </c>
      <c r="D260">
        <v>41180</v>
      </c>
      <c r="E260">
        <v>3446</v>
      </c>
      <c r="F260">
        <v>3487</v>
      </c>
      <c r="G260">
        <v>3240</v>
      </c>
      <c r="H260">
        <v>3073</v>
      </c>
      <c r="I260">
        <v>3636</v>
      </c>
      <c r="J260">
        <v>2556</v>
      </c>
      <c r="K260">
        <v>2450</v>
      </c>
      <c r="L260">
        <v>400</v>
      </c>
      <c r="M260">
        <v>1470</v>
      </c>
      <c r="N260">
        <v>2143</v>
      </c>
    </row>
    <row r="261" spans="1:14" x14ac:dyDescent="0.2">
      <c r="A261" t="s">
        <v>538</v>
      </c>
      <c r="B261" t="s">
        <v>538</v>
      </c>
      <c r="C261">
        <v>228246</v>
      </c>
      <c r="D261">
        <v>19100</v>
      </c>
      <c r="E261">
        <v>4130</v>
      </c>
      <c r="F261">
        <v>8625</v>
      </c>
      <c r="G261">
        <v>6222</v>
      </c>
      <c r="H261">
        <v>4905</v>
      </c>
      <c r="I261">
        <v>7301</v>
      </c>
      <c r="J261">
        <v>7104</v>
      </c>
      <c r="K261">
        <v>10890</v>
      </c>
      <c r="L261">
        <v>3721</v>
      </c>
      <c r="M261">
        <v>9484</v>
      </c>
      <c r="N261">
        <v>8753</v>
      </c>
    </row>
    <row r="262" spans="1:14" x14ac:dyDescent="0.2">
      <c r="A262" t="s">
        <v>197</v>
      </c>
      <c r="B262" t="s">
        <v>197</v>
      </c>
      <c r="C262">
        <v>102094</v>
      </c>
      <c r="D262">
        <v>33660</v>
      </c>
      <c r="E262">
        <v>2424</v>
      </c>
      <c r="F262">
        <v>2417</v>
      </c>
      <c r="G262">
        <v>3480</v>
      </c>
      <c r="H262">
        <v>1774</v>
      </c>
      <c r="I262">
        <v>4949</v>
      </c>
      <c r="J262">
        <v>4291</v>
      </c>
      <c r="K262">
        <v>4455</v>
      </c>
      <c r="L262">
        <v>1620</v>
      </c>
      <c r="M262">
        <v>3731</v>
      </c>
      <c r="N262">
        <v>5203</v>
      </c>
    </row>
    <row r="263" spans="1:14" x14ac:dyDescent="0.2">
      <c r="A263" t="s">
        <v>198</v>
      </c>
      <c r="B263" t="s">
        <v>198</v>
      </c>
      <c r="C263">
        <v>218663</v>
      </c>
      <c r="D263">
        <v>17900</v>
      </c>
      <c r="E263">
        <v>15526</v>
      </c>
      <c r="F263">
        <v>18581</v>
      </c>
      <c r="G263">
        <v>17423</v>
      </c>
      <c r="H263">
        <v>16414</v>
      </c>
      <c r="I263">
        <v>19400</v>
      </c>
      <c r="J263">
        <v>18797</v>
      </c>
      <c r="K263">
        <v>13282</v>
      </c>
      <c r="L263">
        <v>655</v>
      </c>
      <c r="M263">
        <v>16835</v>
      </c>
      <c r="N263">
        <v>15878</v>
      </c>
    </row>
    <row r="264" spans="1:14" x14ac:dyDescent="0.2">
      <c r="A264" t="s">
        <v>539</v>
      </c>
      <c r="B264" t="s">
        <v>539</v>
      </c>
      <c r="C264">
        <v>218733</v>
      </c>
      <c r="D264">
        <v>36700</v>
      </c>
      <c r="E264">
        <v>1174</v>
      </c>
      <c r="F264">
        <v>1541</v>
      </c>
      <c r="G264">
        <v>1552</v>
      </c>
      <c r="H264">
        <v>1857</v>
      </c>
      <c r="I264">
        <v>1422</v>
      </c>
      <c r="J264">
        <v>265</v>
      </c>
      <c r="K264">
        <v>449</v>
      </c>
      <c r="L264">
        <v>0</v>
      </c>
      <c r="M264">
        <v>315</v>
      </c>
      <c r="N264">
        <v>505</v>
      </c>
    </row>
    <row r="265" spans="1:14" x14ac:dyDescent="0.2">
      <c r="A265" t="s">
        <v>201</v>
      </c>
      <c r="B265" t="s">
        <v>201</v>
      </c>
      <c r="C265">
        <v>219471</v>
      </c>
      <c r="D265">
        <v>46820</v>
      </c>
      <c r="E265">
        <v>2227</v>
      </c>
      <c r="F265">
        <v>2893</v>
      </c>
      <c r="G265">
        <v>1943</v>
      </c>
      <c r="H265">
        <v>9360</v>
      </c>
      <c r="I265">
        <v>5232</v>
      </c>
      <c r="J265">
        <v>6765</v>
      </c>
      <c r="K265">
        <v>17505</v>
      </c>
      <c r="L265">
        <v>4383</v>
      </c>
      <c r="M265">
        <v>14199</v>
      </c>
      <c r="N265">
        <v>19778</v>
      </c>
    </row>
    <row r="266" spans="1:14" x14ac:dyDescent="0.2">
      <c r="A266" t="s">
        <v>540</v>
      </c>
      <c r="B266" t="s">
        <v>540</v>
      </c>
      <c r="C266">
        <v>219356</v>
      </c>
      <c r="D266">
        <v>15100</v>
      </c>
      <c r="E266">
        <v>3418</v>
      </c>
      <c r="F266">
        <v>6660</v>
      </c>
      <c r="G266">
        <v>3622</v>
      </c>
      <c r="H266">
        <v>3867</v>
      </c>
      <c r="I266">
        <v>3514</v>
      </c>
      <c r="J266">
        <v>3621</v>
      </c>
      <c r="K266">
        <v>3260</v>
      </c>
      <c r="L266">
        <v>1421</v>
      </c>
      <c r="M266">
        <v>5399</v>
      </c>
      <c r="N266">
        <v>5699</v>
      </c>
    </row>
    <row r="267" spans="1:14" x14ac:dyDescent="0.2">
      <c r="A267" t="s">
        <v>541</v>
      </c>
      <c r="B267" t="s">
        <v>541</v>
      </c>
      <c r="C267">
        <v>137351</v>
      </c>
      <c r="D267">
        <v>45300</v>
      </c>
      <c r="E267">
        <v>7398</v>
      </c>
      <c r="F267">
        <v>6281</v>
      </c>
      <c r="G267">
        <v>8507</v>
      </c>
      <c r="H267">
        <v>5801</v>
      </c>
      <c r="I267">
        <v>5137</v>
      </c>
      <c r="J267">
        <v>7119</v>
      </c>
      <c r="K267">
        <v>5118</v>
      </c>
      <c r="L267">
        <v>203</v>
      </c>
      <c r="M267">
        <v>5199</v>
      </c>
      <c r="N267">
        <v>8682</v>
      </c>
    </row>
    <row r="268" spans="1:14" x14ac:dyDescent="0.2">
      <c r="A268" t="s">
        <v>542</v>
      </c>
      <c r="B268" t="s">
        <v>542</v>
      </c>
      <c r="C268">
        <v>179557</v>
      </c>
      <c r="D268">
        <v>16020</v>
      </c>
      <c r="E268">
        <v>3908</v>
      </c>
      <c r="F268">
        <v>3277</v>
      </c>
      <c r="G268">
        <v>3749</v>
      </c>
      <c r="H268">
        <v>3453</v>
      </c>
      <c r="I268">
        <v>3974</v>
      </c>
      <c r="J268">
        <v>3315</v>
      </c>
      <c r="K268">
        <v>5194</v>
      </c>
      <c r="L268">
        <v>1167</v>
      </c>
      <c r="M268">
        <v>6229</v>
      </c>
      <c r="N268">
        <v>3870</v>
      </c>
    </row>
    <row r="269" spans="1:14" x14ac:dyDescent="0.2">
      <c r="A269" t="s">
        <v>543</v>
      </c>
      <c r="B269" t="s">
        <v>543</v>
      </c>
      <c r="C269">
        <v>160612</v>
      </c>
      <c r="D269">
        <v>25220</v>
      </c>
      <c r="E269">
        <v>2689</v>
      </c>
      <c r="F269">
        <v>2000</v>
      </c>
      <c r="G269">
        <v>2100</v>
      </c>
      <c r="H269">
        <v>1687</v>
      </c>
      <c r="I269">
        <v>1595</v>
      </c>
      <c r="J269">
        <v>1998</v>
      </c>
      <c r="K269">
        <v>3275</v>
      </c>
      <c r="L269">
        <v>875</v>
      </c>
      <c r="M269">
        <v>1153</v>
      </c>
      <c r="N269">
        <v>4346</v>
      </c>
    </row>
    <row r="270" spans="1:14" x14ac:dyDescent="0.2">
      <c r="A270" t="s">
        <v>544</v>
      </c>
      <c r="B270" t="s">
        <v>544</v>
      </c>
      <c r="C270">
        <v>123961</v>
      </c>
      <c r="D270">
        <v>31080</v>
      </c>
      <c r="E270">
        <v>22568</v>
      </c>
      <c r="F270">
        <v>12640</v>
      </c>
      <c r="G270">
        <v>32400</v>
      </c>
      <c r="H270">
        <v>13093</v>
      </c>
      <c r="I270">
        <v>19628</v>
      </c>
      <c r="J270">
        <v>16394</v>
      </c>
      <c r="K270">
        <v>16363</v>
      </c>
      <c r="L270">
        <v>4</v>
      </c>
      <c r="M270">
        <v>12573</v>
      </c>
      <c r="N270">
        <v>20186</v>
      </c>
    </row>
    <row r="271" spans="1:14" x14ac:dyDescent="0.2">
      <c r="A271" t="s">
        <v>545</v>
      </c>
      <c r="B271" t="s">
        <v>545</v>
      </c>
      <c r="C271">
        <v>149222</v>
      </c>
      <c r="D271">
        <v>16060</v>
      </c>
      <c r="E271">
        <v>4277</v>
      </c>
      <c r="F271">
        <v>4592</v>
      </c>
      <c r="G271">
        <v>5036</v>
      </c>
      <c r="H271">
        <v>5050</v>
      </c>
      <c r="I271">
        <v>6361</v>
      </c>
      <c r="J271">
        <v>5205</v>
      </c>
      <c r="K271">
        <v>5089</v>
      </c>
      <c r="L271">
        <v>410</v>
      </c>
      <c r="M271">
        <v>1515</v>
      </c>
      <c r="N271">
        <v>1850</v>
      </c>
    </row>
    <row r="272" spans="1:14" x14ac:dyDescent="0.2">
      <c r="A272" t="s">
        <v>546</v>
      </c>
      <c r="B272" t="s">
        <v>546</v>
      </c>
      <c r="C272">
        <v>176372</v>
      </c>
      <c r="D272">
        <v>25620</v>
      </c>
      <c r="E272">
        <v>3791</v>
      </c>
      <c r="F272">
        <v>3686</v>
      </c>
      <c r="G272">
        <v>4256</v>
      </c>
      <c r="H272">
        <v>3805</v>
      </c>
      <c r="I272">
        <v>4062</v>
      </c>
      <c r="J272">
        <v>3597</v>
      </c>
      <c r="K272">
        <v>3578</v>
      </c>
      <c r="L272">
        <v>1</v>
      </c>
      <c r="M272">
        <v>2463</v>
      </c>
      <c r="N272">
        <v>3250</v>
      </c>
    </row>
    <row r="273" spans="1:14" x14ac:dyDescent="0.2">
      <c r="A273" t="s">
        <v>547</v>
      </c>
      <c r="B273" t="s">
        <v>547</v>
      </c>
      <c r="C273">
        <v>160621</v>
      </c>
      <c r="D273">
        <v>12940</v>
      </c>
      <c r="E273">
        <v>1668</v>
      </c>
      <c r="F273">
        <v>2194</v>
      </c>
      <c r="G273">
        <v>1373</v>
      </c>
      <c r="H273">
        <v>985</v>
      </c>
      <c r="I273">
        <v>825</v>
      </c>
      <c r="J273">
        <v>1426</v>
      </c>
      <c r="K273">
        <v>1025</v>
      </c>
      <c r="L273">
        <v>1961</v>
      </c>
      <c r="M273">
        <v>768</v>
      </c>
      <c r="N273">
        <v>1417</v>
      </c>
    </row>
    <row r="274" spans="1:14" x14ac:dyDescent="0.2">
      <c r="A274" t="s">
        <v>209</v>
      </c>
      <c r="B274" t="s">
        <v>209</v>
      </c>
      <c r="C274">
        <v>230603</v>
      </c>
      <c r="D274">
        <v>16260</v>
      </c>
      <c r="E274">
        <v>5507</v>
      </c>
      <c r="F274">
        <v>7164</v>
      </c>
      <c r="G274">
        <v>6165</v>
      </c>
      <c r="H274">
        <v>3154</v>
      </c>
      <c r="I274">
        <v>9158</v>
      </c>
      <c r="J274">
        <v>5416</v>
      </c>
      <c r="K274">
        <v>7155</v>
      </c>
      <c r="L274">
        <v>2403</v>
      </c>
      <c r="M274">
        <v>2800</v>
      </c>
      <c r="N274">
        <v>4126</v>
      </c>
    </row>
    <row r="275" spans="1:14" x14ac:dyDescent="0.2">
      <c r="A275" t="s">
        <v>548</v>
      </c>
      <c r="B275" t="s">
        <v>548</v>
      </c>
      <c r="C275">
        <v>195164</v>
      </c>
      <c r="D275">
        <v>18500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549</v>
      </c>
      <c r="B276" t="s">
        <v>549</v>
      </c>
      <c r="C276">
        <v>195173</v>
      </c>
      <c r="D276">
        <v>15100</v>
      </c>
      <c r="E276">
        <v>1022</v>
      </c>
      <c r="F276">
        <v>1220</v>
      </c>
      <c r="G276">
        <v>958</v>
      </c>
      <c r="H276">
        <v>1416</v>
      </c>
      <c r="I276">
        <v>1154</v>
      </c>
      <c r="J276">
        <v>1629</v>
      </c>
      <c r="K276">
        <v>2597</v>
      </c>
      <c r="L276">
        <v>0</v>
      </c>
      <c r="M276">
        <v>1085</v>
      </c>
      <c r="N276">
        <v>981</v>
      </c>
    </row>
    <row r="277" spans="1:14" x14ac:dyDescent="0.2">
      <c r="A277" t="s">
        <v>550</v>
      </c>
      <c r="B277" t="s">
        <v>550</v>
      </c>
      <c r="C277">
        <v>195809</v>
      </c>
      <c r="D277">
        <v>35620</v>
      </c>
      <c r="E277">
        <v>3547</v>
      </c>
      <c r="F277">
        <v>3527</v>
      </c>
      <c r="G277">
        <v>5054</v>
      </c>
      <c r="H277">
        <v>3154</v>
      </c>
      <c r="I277">
        <v>4191</v>
      </c>
      <c r="J277">
        <v>2152</v>
      </c>
      <c r="K277">
        <v>2400</v>
      </c>
      <c r="L277">
        <v>6</v>
      </c>
      <c r="M277">
        <v>2514</v>
      </c>
      <c r="N277">
        <v>3930</v>
      </c>
    </row>
    <row r="278" spans="1:14" x14ac:dyDescent="0.2">
      <c r="A278" t="s">
        <v>551</v>
      </c>
      <c r="B278" t="s">
        <v>551</v>
      </c>
      <c r="C278">
        <v>243744</v>
      </c>
      <c r="D278">
        <v>41940</v>
      </c>
      <c r="E278">
        <v>28925</v>
      </c>
      <c r="F278">
        <v>36136</v>
      </c>
      <c r="G278">
        <v>30528</v>
      </c>
      <c r="H278">
        <v>29558</v>
      </c>
      <c r="I278">
        <v>34521</v>
      </c>
      <c r="J278">
        <v>41236</v>
      </c>
      <c r="K278">
        <v>48578</v>
      </c>
      <c r="L278">
        <v>0</v>
      </c>
      <c r="M278">
        <v>23490</v>
      </c>
      <c r="N278">
        <v>43101</v>
      </c>
    </row>
    <row r="279" spans="1:14" x14ac:dyDescent="0.2">
      <c r="A279" t="s">
        <v>552</v>
      </c>
      <c r="B279" t="s">
        <v>552</v>
      </c>
      <c r="C279">
        <v>137546</v>
      </c>
      <c r="D279">
        <v>36740</v>
      </c>
      <c r="E279">
        <v>2897</v>
      </c>
      <c r="F279">
        <v>1746</v>
      </c>
      <c r="G279">
        <v>2777</v>
      </c>
      <c r="H279">
        <v>1915</v>
      </c>
      <c r="I279">
        <v>2063</v>
      </c>
      <c r="J279">
        <v>1763</v>
      </c>
      <c r="K279">
        <v>804</v>
      </c>
      <c r="L279">
        <v>300</v>
      </c>
      <c r="M279">
        <v>994</v>
      </c>
      <c r="N279">
        <v>1705</v>
      </c>
    </row>
    <row r="280" spans="1:14" x14ac:dyDescent="0.2">
      <c r="A280" t="s">
        <v>211</v>
      </c>
      <c r="B280" t="s">
        <v>211</v>
      </c>
      <c r="C280">
        <v>196097</v>
      </c>
      <c r="D280">
        <v>35620</v>
      </c>
      <c r="E280">
        <v>2476</v>
      </c>
      <c r="F280">
        <v>3365</v>
      </c>
      <c r="G280">
        <v>3726</v>
      </c>
      <c r="H280">
        <v>3725</v>
      </c>
      <c r="I280">
        <v>1503</v>
      </c>
      <c r="J280">
        <v>2563</v>
      </c>
      <c r="K280">
        <v>2997</v>
      </c>
      <c r="L280">
        <v>0</v>
      </c>
      <c r="M280">
        <v>2727</v>
      </c>
      <c r="N280">
        <v>3111</v>
      </c>
    </row>
    <row r="281" spans="1:14" x14ac:dyDescent="0.2">
      <c r="A281" t="s">
        <v>553</v>
      </c>
      <c r="B281" t="s">
        <v>553</v>
      </c>
      <c r="C281">
        <v>196413</v>
      </c>
      <c r="D281">
        <v>45060</v>
      </c>
      <c r="E281">
        <v>4988</v>
      </c>
      <c r="F281">
        <v>2437</v>
      </c>
      <c r="G281">
        <v>3107</v>
      </c>
      <c r="H281">
        <v>3853</v>
      </c>
      <c r="I281">
        <v>3453</v>
      </c>
      <c r="J281">
        <v>5048</v>
      </c>
      <c r="K281">
        <v>2130</v>
      </c>
      <c r="L281">
        <v>8</v>
      </c>
      <c r="M281">
        <v>2579</v>
      </c>
      <c r="N281">
        <v>2280</v>
      </c>
    </row>
    <row r="282" spans="1:14" x14ac:dyDescent="0.2">
      <c r="A282" t="s">
        <v>554</v>
      </c>
      <c r="B282" t="s">
        <v>554</v>
      </c>
      <c r="C282">
        <v>228875</v>
      </c>
      <c r="D282">
        <v>19100</v>
      </c>
      <c r="E282">
        <v>17279</v>
      </c>
      <c r="F282">
        <v>16856</v>
      </c>
      <c r="G282">
        <v>19164</v>
      </c>
      <c r="H282">
        <v>21803</v>
      </c>
      <c r="I282">
        <v>22853</v>
      </c>
      <c r="J282">
        <v>23759</v>
      </c>
      <c r="K282">
        <v>27087</v>
      </c>
      <c r="L282">
        <v>5943</v>
      </c>
      <c r="M282">
        <v>21690</v>
      </c>
      <c r="N282">
        <v>24629</v>
      </c>
    </row>
    <row r="283" spans="1:14" x14ac:dyDescent="0.2">
      <c r="A283" t="s">
        <v>555</v>
      </c>
      <c r="B283" t="s">
        <v>555</v>
      </c>
      <c r="C283">
        <v>216339</v>
      </c>
      <c r="D283">
        <v>37980</v>
      </c>
      <c r="E283">
        <v>2784</v>
      </c>
      <c r="F283">
        <v>3145</v>
      </c>
      <c r="G283">
        <v>9776</v>
      </c>
      <c r="H283">
        <v>7330</v>
      </c>
      <c r="I283">
        <v>7686</v>
      </c>
      <c r="J283">
        <v>6941</v>
      </c>
      <c r="K283">
        <v>6122</v>
      </c>
      <c r="L283">
        <v>740</v>
      </c>
      <c r="M283">
        <v>5063</v>
      </c>
      <c r="N283">
        <v>2754</v>
      </c>
    </row>
    <row r="284" spans="1:14" x14ac:dyDescent="0.2">
      <c r="A284" t="s">
        <v>212</v>
      </c>
      <c r="B284" t="s">
        <v>212</v>
      </c>
      <c r="C284">
        <v>221759</v>
      </c>
      <c r="D284">
        <v>28940</v>
      </c>
      <c r="E284">
        <v>11514</v>
      </c>
      <c r="F284">
        <v>10406</v>
      </c>
      <c r="G284">
        <v>11754</v>
      </c>
      <c r="H284">
        <v>11560</v>
      </c>
      <c r="I284">
        <v>10603</v>
      </c>
      <c r="J284">
        <v>16504</v>
      </c>
      <c r="K284">
        <v>19131</v>
      </c>
      <c r="L284">
        <v>5648</v>
      </c>
      <c r="M284">
        <v>14332</v>
      </c>
      <c r="N284">
        <v>16025</v>
      </c>
    </row>
    <row r="285" spans="1:14" x14ac:dyDescent="0.2">
      <c r="A285" t="s">
        <v>556</v>
      </c>
      <c r="B285" t="s">
        <v>556</v>
      </c>
      <c r="C285">
        <v>221838</v>
      </c>
      <c r="D285">
        <v>34980</v>
      </c>
      <c r="E285">
        <v>3208</v>
      </c>
      <c r="F285">
        <v>2772</v>
      </c>
      <c r="G285">
        <v>2796</v>
      </c>
      <c r="H285">
        <v>2169</v>
      </c>
      <c r="I285">
        <v>2268</v>
      </c>
      <c r="J285">
        <v>3733</v>
      </c>
      <c r="K285">
        <v>2315</v>
      </c>
      <c r="L285">
        <v>582</v>
      </c>
      <c r="M285">
        <v>2598</v>
      </c>
      <c r="N285">
        <v>4348</v>
      </c>
    </row>
    <row r="286" spans="1:14" x14ac:dyDescent="0.2">
      <c r="A286" t="s">
        <v>215</v>
      </c>
      <c r="B286" t="s">
        <v>215</v>
      </c>
      <c r="C286">
        <v>221847</v>
      </c>
      <c r="D286">
        <v>18260</v>
      </c>
      <c r="E286">
        <v>2970</v>
      </c>
      <c r="F286">
        <v>4917</v>
      </c>
      <c r="G286">
        <v>3532</v>
      </c>
      <c r="H286">
        <v>2487</v>
      </c>
      <c r="I286">
        <v>1957</v>
      </c>
      <c r="J286">
        <v>3917</v>
      </c>
      <c r="K286">
        <v>2703</v>
      </c>
      <c r="L286">
        <v>1177</v>
      </c>
      <c r="M286">
        <v>3863</v>
      </c>
      <c r="N286">
        <v>5270</v>
      </c>
    </row>
    <row r="287" spans="1:14" x14ac:dyDescent="0.2">
      <c r="A287" t="s">
        <v>216</v>
      </c>
      <c r="B287" t="s">
        <v>216</v>
      </c>
      <c r="C287">
        <v>228778</v>
      </c>
      <c r="D287">
        <v>12420</v>
      </c>
      <c r="E287">
        <v>49137</v>
      </c>
      <c r="F287">
        <v>40378</v>
      </c>
      <c r="G287">
        <v>56257</v>
      </c>
      <c r="H287">
        <v>43806</v>
      </c>
      <c r="I287">
        <v>46892</v>
      </c>
      <c r="J287">
        <v>47198</v>
      </c>
      <c r="K287">
        <v>58099</v>
      </c>
      <c r="L287">
        <v>13578</v>
      </c>
      <c r="M287">
        <v>65261</v>
      </c>
      <c r="N287">
        <v>74196</v>
      </c>
    </row>
    <row r="288" spans="1:14" x14ac:dyDescent="0.2">
      <c r="A288" t="s">
        <v>217</v>
      </c>
      <c r="B288" t="s">
        <v>217</v>
      </c>
      <c r="C288">
        <v>228723</v>
      </c>
      <c r="D288">
        <v>17780</v>
      </c>
      <c r="E288">
        <v>14808</v>
      </c>
      <c r="F288">
        <v>19635</v>
      </c>
      <c r="G288">
        <v>25053</v>
      </c>
      <c r="H288">
        <v>17178</v>
      </c>
      <c r="I288">
        <v>21811</v>
      </c>
      <c r="J288">
        <v>19800</v>
      </c>
      <c r="K288">
        <v>24899</v>
      </c>
      <c r="L288">
        <v>5069</v>
      </c>
      <c r="M288">
        <v>26279</v>
      </c>
      <c r="N288">
        <v>25868</v>
      </c>
    </row>
    <row r="289" spans="1:14" x14ac:dyDescent="0.2">
      <c r="A289" t="s">
        <v>220</v>
      </c>
      <c r="B289" t="s">
        <v>220</v>
      </c>
      <c r="C289">
        <v>229063</v>
      </c>
      <c r="D289">
        <v>26420</v>
      </c>
      <c r="E289">
        <v>2315</v>
      </c>
      <c r="F289">
        <v>2574</v>
      </c>
      <c r="G289">
        <v>1233</v>
      </c>
      <c r="H289">
        <v>2375</v>
      </c>
      <c r="I289">
        <v>1669</v>
      </c>
      <c r="J289">
        <v>1494</v>
      </c>
      <c r="K289">
        <v>1479</v>
      </c>
      <c r="L289">
        <v>400</v>
      </c>
      <c r="M289">
        <v>1593</v>
      </c>
      <c r="N289">
        <v>2426</v>
      </c>
    </row>
    <row r="290" spans="1:14" x14ac:dyDescent="0.2">
      <c r="A290" t="s">
        <v>557</v>
      </c>
      <c r="B290" t="s">
        <v>557</v>
      </c>
      <c r="C290">
        <v>228459</v>
      </c>
      <c r="D290">
        <v>12420</v>
      </c>
      <c r="E290">
        <v>10457</v>
      </c>
      <c r="F290">
        <v>13750</v>
      </c>
      <c r="G290">
        <v>11151</v>
      </c>
      <c r="H290">
        <v>10829</v>
      </c>
      <c r="I290">
        <v>15484</v>
      </c>
      <c r="J290">
        <v>15061</v>
      </c>
      <c r="K290">
        <v>27099</v>
      </c>
      <c r="L290">
        <v>9015</v>
      </c>
      <c r="M290">
        <v>8047</v>
      </c>
      <c r="N290">
        <v>9310</v>
      </c>
    </row>
    <row r="291" spans="1:14" x14ac:dyDescent="0.2">
      <c r="A291" t="s">
        <v>222</v>
      </c>
      <c r="B291" t="s">
        <v>222</v>
      </c>
      <c r="C291">
        <v>229115</v>
      </c>
      <c r="D291">
        <v>31180</v>
      </c>
      <c r="E291">
        <v>7288</v>
      </c>
      <c r="F291">
        <v>9202</v>
      </c>
      <c r="G291">
        <v>5901</v>
      </c>
      <c r="H291">
        <v>6530</v>
      </c>
      <c r="I291">
        <v>7762</v>
      </c>
      <c r="J291">
        <v>10413</v>
      </c>
      <c r="K291">
        <v>10288</v>
      </c>
      <c r="L291">
        <v>3383</v>
      </c>
      <c r="M291">
        <v>7630</v>
      </c>
      <c r="N291">
        <v>12808</v>
      </c>
    </row>
    <row r="292" spans="1:14" x14ac:dyDescent="0.2">
      <c r="A292" t="s">
        <v>70</v>
      </c>
      <c r="B292" t="s">
        <v>558</v>
      </c>
      <c r="C292">
        <v>217864</v>
      </c>
      <c r="D292">
        <v>16700</v>
      </c>
      <c r="E292">
        <v>1739</v>
      </c>
      <c r="F292">
        <v>1184</v>
      </c>
      <c r="G292">
        <v>1303</v>
      </c>
      <c r="H292">
        <v>2219</v>
      </c>
      <c r="I292">
        <v>1724</v>
      </c>
      <c r="J292">
        <v>1288</v>
      </c>
      <c r="K292">
        <v>2078</v>
      </c>
      <c r="L292">
        <v>1624</v>
      </c>
      <c r="M292">
        <v>1625</v>
      </c>
      <c r="N292">
        <v>1095</v>
      </c>
    </row>
    <row r="293" spans="1:14" x14ac:dyDescent="0.2">
      <c r="A293" t="s">
        <v>223</v>
      </c>
      <c r="B293" t="s">
        <v>223</v>
      </c>
      <c r="C293">
        <v>206084</v>
      </c>
      <c r="D293">
        <v>45780</v>
      </c>
      <c r="E293">
        <v>6489</v>
      </c>
      <c r="F293">
        <v>3656</v>
      </c>
      <c r="G293">
        <v>4817</v>
      </c>
      <c r="H293">
        <v>4740</v>
      </c>
      <c r="I293">
        <v>4389</v>
      </c>
      <c r="J293">
        <v>2805</v>
      </c>
      <c r="K293">
        <v>2137</v>
      </c>
      <c r="L293">
        <v>0</v>
      </c>
      <c r="M293">
        <v>3300</v>
      </c>
      <c r="N293">
        <v>4871</v>
      </c>
    </row>
    <row r="294" spans="1:14" x14ac:dyDescent="0.2">
      <c r="A294" t="s">
        <v>224</v>
      </c>
      <c r="B294" t="s">
        <v>224</v>
      </c>
      <c r="C294">
        <v>164076</v>
      </c>
      <c r="D294">
        <v>12580</v>
      </c>
      <c r="E294">
        <v>2270</v>
      </c>
      <c r="F294">
        <v>3100</v>
      </c>
      <c r="G294">
        <v>4274</v>
      </c>
      <c r="H294">
        <v>1849</v>
      </c>
      <c r="I294">
        <v>2188</v>
      </c>
      <c r="J294">
        <v>3811</v>
      </c>
      <c r="K294">
        <v>4081</v>
      </c>
      <c r="L294">
        <v>1</v>
      </c>
      <c r="M294">
        <v>5038</v>
      </c>
      <c r="N294">
        <v>5690</v>
      </c>
    </row>
    <row r="295" spans="1:14" x14ac:dyDescent="0.2">
      <c r="A295" t="s">
        <v>225</v>
      </c>
      <c r="B295" t="s">
        <v>225</v>
      </c>
      <c r="C295">
        <v>102368</v>
      </c>
      <c r="D295">
        <v>45980</v>
      </c>
      <c r="E295">
        <v>4155</v>
      </c>
      <c r="F295">
        <v>4989</v>
      </c>
      <c r="G295">
        <v>7015</v>
      </c>
      <c r="H295">
        <v>7772</v>
      </c>
      <c r="I295">
        <v>5844</v>
      </c>
      <c r="J295">
        <v>5398</v>
      </c>
      <c r="K295">
        <v>5771</v>
      </c>
      <c r="L295">
        <v>1786</v>
      </c>
      <c r="M295">
        <v>5251</v>
      </c>
      <c r="N295">
        <v>2405</v>
      </c>
    </row>
    <row r="296" spans="1:14" x14ac:dyDescent="0.2">
      <c r="A296" t="s">
        <v>559</v>
      </c>
      <c r="B296" t="s">
        <v>559</v>
      </c>
      <c r="C296">
        <v>160755</v>
      </c>
      <c r="D296">
        <v>35380</v>
      </c>
      <c r="E296">
        <v>3473</v>
      </c>
      <c r="F296">
        <v>2502</v>
      </c>
      <c r="G296">
        <v>3893</v>
      </c>
      <c r="H296">
        <v>2321</v>
      </c>
      <c r="I296">
        <v>5148</v>
      </c>
      <c r="J296">
        <v>7396</v>
      </c>
      <c r="K296">
        <v>3902</v>
      </c>
      <c r="L296">
        <v>651</v>
      </c>
      <c r="M296">
        <v>3340</v>
      </c>
      <c r="N296">
        <v>3439</v>
      </c>
    </row>
    <row r="297" spans="1:14" x14ac:dyDescent="0.2">
      <c r="A297" t="s">
        <v>560</v>
      </c>
      <c r="B297" t="s">
        <v>560</v>
      </c>
      <c r="C297">
        <v>207971</v>
      </c>
      <c r="D297">
        <v>46140</v>
      </c>
      <c r="E297">
        <v>4002</v>
      </c>
      <c r="F297">
        <v>4947</v>
      </c>
      <c r="G297">
        <v>3113</v>
      </c>
      <c r="H297">
        <v>4275</v>
      </c>
      <c r="I297">
        <v>3263</v>
      </c>
      <c r="J297">
        <v>3362</v>
      </c>
      <c r="K297">
        <v>2267</v>
      </c>
      <c r="L297">
        <v>600</v>
      </c>
      <c r="M297">
        <v>1647</v>
      </c>
      <c r="N297">
        <v>1976</v>
      </c>
    </row>
    <row r="298" spans="1:14" x14ac:dyDescent="0.2">
      <c r="A298" t="s">
        <v>226</v>
      </c>
      <c r="B298" t="s">
        <v>226</v>
      </c>
      <c r="C298">
        <v>100663</v>
      </c>
      <c r="D298">
        <v>13820</v>
      </c>
      <c r="E298">
        <v>2541</v>
      </c>
      <c r="F298">
        <v>3115</v>
      </c>
      <c r="G298">
        <v>4634</v>
      </c>
      <c r="H298">
        <v>3462</v>
      </c>
      <c r="I298">
        <v>2302</v>
      </c>
      <c r="J298">
        <v>2514</v>
      </c>
      <c r="K298">
        <v>3611</v>
      </c>
      <c r="L298">
        <v>697</v>
      </c>
      <c r="M298">
        <v>1413</v>
      </c>
      <c r="N298">
        <v>3356</v>
      </c>
    </row>
    <row r="299" spans="1:14" x14ac:dyDescent="0.2">
      <c r="A299" t="s">
        <v>561</v>
      </c>
      <c r="B299" t="s">
        <v>562</v>
      </c>
      <c r="C299">
        <v>196060</v>
      </c>
      <c r="D299">
        <v>10580</v>
      </c>
      <c r="E299">
        <v>1391</v>
      </c>
      <c r="F299">
        <v>1216</v>
      </c>
      <c r="G299">
        <v>1219</v>
      </c>
      <c r="H299">
        <v>1371</v>
      </c>
      <c r="I299">
        <v>2160</v>
      </c>
      <c r="J299">
        <v>1320</v>
      </c>
      <c r="K299">
        <v>2069</v>
      </c>
      <c r="L299">
        <v>100</v>
      </c>
      <c r="M299">
        <v>3078</v>
      </c>
      <c r="N299">
        <v>725</v>
      </c>
    </row>
    <row r="300" spans="1:14" x14ac:dyDescent="0.2">
      <c r="A300" t="s">
        <v>227</v>
      </c>
      <c r="B300" t="s">
        <v>227</v>
      </c>
      <c r="C300">
        <v>110644</v>
      </c>
      <c r="D300">
        <v>40900</v>
      </c>
      <c r="E300">
        <v>4851</v>
      </c>
      <c r="F300">
        <v>5637</v>
      </c>
      <c r="G300">
        <v>5587</v>
      </c>
      <c r="H300">
        <v>3228</v>
      </c>
      <c r="I300">
        <v>4557</v>
      </c>
      <c r="J300">
        <v>4917</v>
      </c>
      <c r="K300">
        <v>4362</v>
      </c>
      <c r="L300">
        <v>0</v>
      </c>
      <c r="M300">
        <v>4871</v>
      </c>
      <c r="N300">
        <v>5606</v>
      </c>
    </row>
    <row r="301" spans="1:14" x14ac:dyDescent="0.2">
      <c r="A301" t="s">
        <v>228</v>
      </c>
      <c r="B301" t="s">
        <v>228</v>
      </c>
      <c r="C301">
        <v>110653</v>
      </c>
      <c r="D301">
        <v>31080</v>
      </c>
      <c r="E301">
        <v>4027</v>
      </c>
      <c r="F301">
        <v>4071</v>
      </c>
      <c r="G301">
        <v>3556</v>
      </c>
      <c r="H301">
        <v>4325</v>
      </c>
      <c r="I301">
        <v>5231</v>
      </c>
      <c r="J301">
        <v>5473</v>
      </c>
      <c r="K301">
        <v>5878</v>
      </c>
      <c r="L301">
        <v>0</v>
      </c>
      <c r="M301">
        <v>6646</v>
      </c>
      <c r="N301">
        <v>7446</v>
      </c>
    </row>
    <row r="302" spans="1:14" x14ac:dyDescent="0.2">
      <c r="A302" t="s">
        <v>229</v>
      </c>
      <c r="B302" t="s">
        <v>229</v>
      </c>
      <c r="C302">
        <v>110671</v>
      </c>
      <c r="D302">
        <v>40140</v>
      </c>
      <c r="E302">
        <v>2699</v>
      </c>
      <c r="F302">
        <v>2730</v>
      </c>
      <c r="G302">
        <v>2896</v>
      </c>
      <c r="H302">
        <v>2357</v>
      </c>
      <c r="I302">
        <v>3260</v>
      </c>
      <c r="J302">
        <v>1861</v>
      </c>
      <c r="K302">
        <v>2092</v>
      </c>
      <c r="L302">
        <v>0</v>
      </c>
      <c r="M302">
        <v>2763</v>
      </c>
      <c r="N302">
        <v>2158</v>
      </c>
    </row>
    <row r="303" spans="1:14" x14ac:dyDescent="0.2">
      <c r="A303" t="s">
        <v>230</v>
      </c>
      <c r="B303" t="s">
        <v>230</v>
      </c>
      <c r="C303">
        <v>110705</v>
      </c>
      <c r="D303">
        <v>42200</v>
      </c>
      <c r="E303">
        <v>3674</v>
      </c>
      <c r="F303">
        <v>3359</v>
      </c>
      <c r="G303">
        <v>2599</v>
      </c>
      <c r="H303">
        <v>3067</v>
      </c>
      <c r="I303">
        <v>3080</v>
      </c>
      <c r="J303">
        <v>3324</v>
      </c>
      <c r="K303">
        <v>5236</v>
      </c>
      <c r="L303">
        <v>0</v>
      </c>
      <c r="M303">
        <v>5192</v>
      </c>
      <c r="N303">
        <v>4113</v>
      </c>
    </row>
    <row r="304" spans="1:14" x14ac:dyDescent="0.2">
      <c r="A304" t="s">
        <v>231</v>
      </c>
      <c r="B304" t="s">
        <v>231</v>
      </c>
      <c r="C304">
        <v>132903</v>
      </c>
      <c r="D304">
        <v>36740</v>
      </c>
      <c r="E304">
        <v>7108</v>
      </c>
      <c r="F304">
        <v>6227</v>
      </c>
      <c r="G304">
        <v>5869</v>
      </c>
      <c r="H304">
        <v>5348</v>
      </c>
      <c r="I304">
        <v>4977</v>
      </c>
      <c r="J304">
        <v>9859</v>
      </c>
      <c r="K304">
        <v>11299</v>
      </c>
      <c r="L304">
        <v>2507</v>
      </c>
      <c r="M304">
        <v>8576</v>
      </c>
      <c r="N304">
        <v>12426</v>
      </c>
    </row>
    <row r="305" spans="1:14" x14ac:dyDescent="0.2">
      <c r="A305" t="s">
        <v>232</v>
      </c>
      <c r="B305" t="s">
        <v>232</v>
      </c>
      <c r="C305">
        <v>110662</v>
      </c>
      <c r="D305">
        <v>31080</v>
      </c>
      <c r="E305">
        <v>11026</v>
      </c>
      <c r="F305">
        <v>10536</v>
      </c>
      <c r="G305">
        <v>17435</v>
      </c>
      <c r="H305">
        <v>16655</v>
      </c>
      <c r="I305">
        <v>17217</v>
      </c>
      <c r="J305">
        <v>15262</v>
      </c>
      <c r="K305">
        <v>9654</v>
      </c>
      <c r="L305">
        <v>4</v>
      </c>
      <c r="M305">
        <v>18476</v>
      </c>
      <c r="N305">
        <v>16670</v>
      </c>
    </row>
    <row r="306" spans="1:14" x14ac:dyDescent="0.2">
      <c r="A306" t="s">
        <v>563</v>
      </c>
      <c r="B306" t="s">
        <v>563</v>
      </c>
      <c r="C306">
        <v>129020</v>
      </c>
      <c r="D306">
        <v>25540</v>
      </c>
      <c r="E306">
        <v>6030</v>
      </c>
      <c r="F306">
        <v>3997</v>
      </c>
      <c r="G306">
        <v>3923</v>
      </c>
      <c r="H306">
        <v>4567</v>
      </c>
      <c r="I306">
        <v>4541</v>
      </c>
      <c r="J306">
        <v>4012</v>
      </c>
      <c r="K306">
        <v>4339</v>
      </c>
      <c r="L306">
        <v>0</v>
      </c>
      <c r="M306">
        <v>5807</v>
      </c>
      <c r="N306">
        <v>4929</v>
      </c>
    </row>
    <row r="307" spans="1:14" x14ac:dyDescent="0.2">
      <c r="A307" t="s">
        <v>564</v>
      </c>
      <c r="B307" t="s">
        <v>564</v>
      </c>
      <c r="C307">
        <v>145600</v>
      </c>
      <c r="D307">
        <v>16980</v>
      </c>
      <c r="E307">
        <v>2790</v>
      </c>
      <c r="F307">
        <v>3159</v>
      </c>
      <c r="G307">
        <v>3463</v>
      </c>
      <c r="H307">
        <v>2960</v>
      </c>
      <c r="I307">
        <v>3175</v>
      </c>
      <c r="J307">
        <v>2175</v>
      </c>
      <c r="K307">
        <v>2045</v>
      </c>
      <c r="L307">
        <v>2</v>
      </c>
      <c r="M307">
        <v>1743</v>
      </c>
      <c r="N307">
        <v>2389</v>
      </c>
    </row>
    <row r="308" spans="1:14" x14ac:dyDescent="0.2">
      <c r="A308" t="s">
        <v>565</v>
      </c>
      <c r="B308" t="s">
        <v>566</v>
      </c>
      <c r="C308">
        <v>225627</v>
      </c>
      <c r="D308">
        <v>41700</v>
      </c>
      <c r="E308">
        <v>4779</v>
      </c>
      <c r="F308">
        <v>3063</v>
      </c>
      <c r="G308">
        <v>2226</v>
      </c>
      <c r="H308">
        <v>3874</v>
      </c>
      <c r="I308">
        <v>7222</v>
      </c>
      <c r="J308">
        <v>3253</v>
      </c>
      <c r="K308">
        <v>1591</v>
      </c>
      <c r="L308">
        <v>595</v>
      </c>
      <c r="M308">
        <v>1924</v>
      </c>
      <c r="N308">
        <v>2101</v>
      </c>
    </row>
    <row r="309" spans="1:14" x14ac:dyDescent="0.2">
      <c r="A309" t="s">
        <v>567</v>
      </c>
      <c r="B309" t="s">
        <v>568</v>
      </c>
      <c r="C309">
        <v>159993</v>
      </c>
      <c r="D309">
        <v>33740</v>
      </c>
      <c r="E309">
        <v>2069</v>
      </c>
      <c r="F309">
        <v>2425</v>
      </c>
      <c r="G309">
        <v>2284</v>
      </c>
      <c r="H309">
        <v>1645</v>
      </c>
      <c r="I309">
        <v>1853</v>
      </c>
      <c r="J309">
        <v>4462</v>
      </c>
      <c r="K309">
        <v>1300</v>
      </c>
      <c r="L309">
        <v>1066</v>
      </c>
      <c r="M309">
        <v>798</v>
      </c>
      <c r="N309">
        <v>1156</v>
      </c>
    </row>
    <row r="310" spans="1:14" x14ac:dyDescent="0.2">
      <c r="A310" t="s">
        <v>569</v>
      </c>
      <c r="B310" t="s">
        <v>569</v>
      </c>
      <c r="C310">
        <v>166513</v>
      </c>
      <c r="D310">
        <v>31700</v>
      </c>
      <c r="E310">
        <v>1338</v>
      </c>
      <c r="F310">
        <v>1334</v>
      </c>
      <c r="G310">
        <v>1752</v>
      </c>
      <c r="H310">
        <v>1777</v>
      </c>
      <c r="I310">
        <v>1218</v>
      </c>
      <c r="J310">
        <v>1297</v>
      </c>
      <c r="K310">
        <v>0</v>
      </c>
      <c r="L310">
        <v>0</v>
      </c>
      <c r="M310">
        <v>0</v>
      </c>
      <c r="N310">
        <v>0</v>
      </c>
    </row>
    <row r="311" spans="1:14" x14ac:dyDescent="0.2">
      <c r="A311" t="s">
        <v>570</v>
      </c>
      <c r="B311" t="s">
        <v>570</v>
      </c>
      <c r="C311">
        <v>163268</v>
      </c>
      <c r="D311">
        <v>12580</v>
      </c>
      <c r="E311">
        <v>4342</v>
      </c>
      <c r="F311">
        <v>2502</v>
      </c>
      <c r="G311">
        <v>3035</v>
      </c>
      <c r="H311">
        <v>2260</v>
      </c>
      <c r="I311">
        <v>1327</v>
      </c>
      <c r="J311">
        <v>2255</v>
      </c>
      <c r="K311">
        <v>3549</v>
      </c>
      <c r="L311">
        <v>0</v>
      </c>
      <c r="M311">
        <v>4101</v>
      </c>
      <c r="N311">
        <v>4247</v>
      </c>
    </row>
    <row r="312" spans="1:14" x14ac:dyDescent="0.2">
      <c r="A312" t="s">
        <v>571</v>
      </c>
      <c r="B312" t="s">
        <v>571</v>
      </c>
      <c r="C312">
        <v>163338</v>
      </c>
      <c r="D312">
        <v>41540</v>
      </c>
      <c r="E312">
        <v>4027</v>
      </c>
      <c r="F312">
        <v>10168</v>
      </c>
      <c r="G312">
        <v>10059</v>
      </c>
      <c r="H312">
        <v>7663</v>
      </c>
      <c r="I312">
        <v>5077</v>
      </c>
      <c r="J312">
        <v>2735</v>
      </c>
      <c r="K312">
        <v>1490</v>
      </c>
      <c r="L312">
        <v>0</v>
      </c>
      <c r="M312">
        <v>1728</v>
      </c>
      <c r="N312">
        <v>1355</v>
      </c>
    </row>
    <row r="313" spans="1:14" x14ac:dyDescent="0.2">
      <c r="A313" t="s">
        <v>572</v>
      </c>
      <c r="B313" t="s">
        <v>572</v>
      </c>
      <c r="C313">
        <v>199111</v>
      </c>
      <c r="D313">
        <v>11700</v>
      </c>
      <c r="E313">
        <v>3989</v>
      </c>
      <c r="F313">
        <v>3159</v>
      </c>
      <c r="G313">
        <v>4399</v>
      </c>
      <c r="H313">
        <v>3583</v>
      </c>
      <c r="I313">
        <v>3282</v>
      </c>
      <c r="J313">
        <v>7914</v>
      </c>
      <c r="K313">
        <v>3096</v>
      </c>
      <c r="L313">
        <v>120</v>
      </c>
      <c r="M313">
        <v>2183</v>
      </c>
      <c r="N313">
        <v>1754</v>
      </c>
    </row>
    <row r="314" spans="1:14" x14ac:dyDescent="0.2">
      <c r="A314" t="s">
        <v>573</v>
      </c>
      <c r="B314" t="s">
        <v>573</v>
      </c>
      <c r="C314">
        <v>199148</v>
      </c>
      <c r="D314">
        <v>24660</v>
      </c>
      <c r="E314">
        <v>9029</v>
      </c>
      <c r="F314">
        <v>6956</v>
      </c>
      <c r="G314">
        <v>5363</v>
      </c>
      <c r="H314">
        <v>5219</v>
      </c>
      <c r="I314">
        <v>8950</v>
      </c>
      <c r="J314">
        <v>3920</v>
      </c>
      <c r="K314">
        <v>4042</v>
      </c>
      <c r="L314">
        <v>266</v>
      </c>
      <c r="M314">
        <v>3252</v>
      </c>
      <c r="N314">
        <v>4987</v>
      </c>
    </row>
    <row r="315" spans="1:14" x14ac:dyDescent="0.2">
      <c r="A315" t="s">
        <v>574</v>
      </c>
      <c r="B315" t="s">
        <v>574</v>
      </c>
      <c r="C315">
        <v>199218</v>
      </c>
      <c r="D315">
        <v>48900</v>
      </c>
      <c r="E315">
        <v>2598</v>
      </c>
      <c r="F315">
        <v>6115</v>
      </c>
      <c r="G315">
        <v>6239</v>
      </c>
      <c r="H315">
        <v>7233</v>
      </c>
      <c r="I315">
        <v>8338</v>
      </c>
      <c r="J315">
        <v>1430</v>
      </c>
      <c r="K315">
        <v>3683</v>
      </c>
      <c r="L315">
        <v>188</v>
      </c>
      <c r="M315">
        <v>1707</v>
      </c>
      <c r="N315">
        <v>2439</v>
      </c>
    </row>
    <row r="316" spans="1:14" x14ac:dyDescent="0.2">
      <c r="A316" t="s">
        <v>575</v>
      </c>
      <c r="B316" t="s">
        <v>575</v>
      </c>
      <c r="C316">
        <v>154095</v>
      </c>
      <c r="D316">
        <v>47940</v>
      </c>
      <c r="E316">
        <v>42470</v>
      </c>
      <c r="F316">
        <v>40537</v>
      </c>
      <c r="G316">
        <v>27329</v>
      </c>
      <c r="H316">
        <v>31290</v>
      </c>
      <c r="I316">
        <v>24376</v>
      </c>
      <c r="J316">
        <v>31769</v>
      </c>
      <c r="K316">
        <v>28794</v>
      </c>
      <c r="L316">
        <v>2908</v>
      </c>
      <c r="M316">
        <v>13382</v>
      </c>
      <c r="N316">
        <v>23919</v>
      </c>
    </row>
    <row r="317" spans="1:14" x14ac:dyDescent="0.2">
      <c r="A317" t="s">
        <v>233</v>
      </c>
      <c r="B317" t="s">
        <v>233</v>
      </c>
      <c r="C317">
        <v>182281</v>
      </c>
      <c r="D317">
        <v>29820</v>
      </c>
      <c r="E317">
        <v>6332</v>
      </c>
      <c r="F317">
        <v>7768</v>
      </c>
      <c r="G317">
        <v>6870</v>
      </c>
      <c r="H317">
        <v>6768</v>
      </c>
      <c r="I317">
        <v>5534</v>
      </c>
      <c r="J317">
        <v>6692</v>
      </c>
      <c r="K317">
        <v>6978</v>
      </c>
      <c r="L317">
        <v>304</v>
      </c>
      <c r="M317">
        <v>5767</v>
      </c>
      <c r="N317">
        <v>8727</v>
      </c>
    </row>
    <row r="318" spans="1:14" x14ac:dyDescent="0.2">
      <c r="A318" t="s">
        <v>576</v>
      </c>
      <c r="B318" t="s">
        <v>576</v>
      </c>
      <c r="C318">
        <v>218742</v>
      </c>
      <c r="D318">
        <v>43900</v>
      </c>
      <c r="E318">
        <v>3308</v>
      </c>
      <c r="F318">
        <v>1410</v>
      </c>
      <c r="G318">
        <v>1972</v>
      </c>
      <c r="H318">
        <v>1491</v>
      </c>
      <c r="I318">
        <v>2149</v>
      </c>
      <c r="J318">
        <v>3083</v>
      </c>
      <c r="K318">
        <v>2632</v>
      </c>
      <c r="L318">
        <v>400</v>
      </c>
      <c r="M318">
        <v>2570</v>
      </c>
      <c r="N318">
        <v>1406</v>
      </c>
    </row>
    <row r="319" spans="1:14" x14ac:dyDescent="0.2">
      <c r="A319" t="s">
        <v>577</v>
      </c>
      <c r="B319" t="s">
        <v>577</v>
      </c>
      <c r="C319">
        <v>228769</v>
      </c>
      <c r="D319">
        <v>19100</v>
      </c>
      <c r="E319">
        <v>5958</v>
      </c>
      <c r="F319">
        <v>9505</v>
      </c>
      <c r="G319">
        <v>10176</v>
      </c>
      <c r="H319">
        <v>11630</v>
      </c>
      <c r="I319">
        <v>11315</v>
      </c>
      <c r="J319">
        <v>8271</v>
      </c>
      <c r="K319">
        <v>10203</v>
      </c>
      <c r="L319">
        <v>563</v>
      </c>
      <c r="M319">
        <v>8724</v>
      </c>
      <c r="N319">
        <v>9973</v>
      </c>
    </row>
    <row r="320" spans="1:14" x14ac:dyDescent="0.2">
      <c r="A320" t="s">
        <v>578</v>
      </c>
      <c r="B320" t="s">
        <v>578</v>
      </c>
      <c r="C320">
        <v>221768</v>
      </c>
      <c r="D320">
        <v>32280</v>
      </c>
      <c r="E320">
        <v>2139</v>
      </c>
      <c r="F320">
        <v>4359</v>
      </c>
      <c r="G320">
        <v>2641</v>
      </c>
      <c r="H320">
        <v>2859</v>
      </c>
      <c r="I320">
        <v>2751</v>
      </c>
      <c r="J320">
        <v>3315</v>
      </c>
      <c r="K320">
        <v>2537</v>
      </c>
      <c r="L320">
        <v>1126</v>
      </c>
      <c r="M320">
        <v>2388</v>
      </c>
      <c r="N320">
        <v>6555</v>
      </c>
    </row>
    <row r="321" spans="1:14" x14ac:dyDescent="0.2">
      <c r="A321" t="s">
        <v>234</v>
      </c>
      <c r="B321" t="s">
        <v>234</v>
      </c>
      <c r="C321">
        <v>230764</v>
      </c>
      <c r="D321">
        <v>41620</v>
      </c>
      <c r="E321">
        <v>14085</v>
      </c>
      <c r="F321">
        <v>13446</v>
      </c>
      <c r="G321">
        <v>13917</v>
      </c>
      <c r="H321">
        <v>20259</v>
      </c>
      <c r="I321">
        <v>32267</v>
      </c>
      <c r="J321">
        <v>36929</v>
      </c>
      <c r="K321">
        <v>31065</v>
      </c>
      <c r="L321">
        <v>2</v>
      </c>
      <c r="M321">
        <v>19602</v>
      </c>
      <c r="N321">
        <v>23103</v>
      </c>
    </row>
    <row r="322" spans="1:14" x14ac:dyDescent="0.2">
      <c r="A322" t="s">
        <v>579</v>
      </c>
      <c r="B322" t="s">
        <v>579</v>
      </c>
      <c r="C322">
        <v>230728</v>
      </c>
      <c r="D322">
        <v>30860</v>
      </c>
      <c r="E322">
        <v>12810</v>
      </c>
      <c r="F322">
        <v>13144</v>
      </c>
      <c r="G322">
        <v>12569</v>
      </c>
      <c r="H322">
        <v>13164</v>
      </c>
      <c r="I322">
        <v>8905</v>
      </c>
      <c r="J322">
        <v>5027</v>
      </c>
      <c r="K322">
        <v>5879</v>
      </c>
      <c r="L322">
        <v>1692</v>
      </c>
      <c r="M322">
        <v>7633</v>
      </c>
      <c r="N322">
        <v>12006</v>
      </c>
    </row>
    <row r="323" spans="1:14" x14ac:dyDescent="0.2">
      <c r="A323" t="s">
        <v>236</v>
      </c>
      <c r="B323" t="s">
        <v>236</v>
      </c>
      <c r="C323">
        <v>230737</v>
      </c>
      <c r="D323">
        <v>39340</v>
      </c>
      <c r="E323">
        <v>9867</v>
      </c>
      <c r="F323">
        <v>7208</v>
      </c>
      <c r="G323">
        <v>6222</v>
      </c>
      <c r="H323">
        <v>11422</v>
      </c>
      <c r="I323">
        <v>8751</v>
      </c>
      <c r="J323">
        <v>7779</v>
      </c>
      <c r="K323">
        <v>11225</v>
      </c>
      <c r="L323">
        <v>1525</v>
      </c>
      <c r="M323">
        <v>8180</v>
      </c>
      <c r="N323">
        <v>11785</v>
      </c>
    </row>
    <row r="324" spans="1:14" x14ac:dyDescent="0.2">
      <c r="A324" t="s">
        <v>237</v>
      </c>
      <c r="B324" t="s">
        <v>237</v>
      </c>
      <c r="C324">
        <v>228796</v>
      </c>
      <c r="D324">
        <v>21340</v>
      </c>
      <c r="E324">
        <v>6161</v>
      </c>
      <c r="F324">
        <v>5361</v>
      </c>
      <c r="G324">
        <v>9458</v>
      </c>
      <c r="H324">
        <v>6413</v>
      </c>
      <c r="I324">
        <v>3510</v>
      </c>
      <c r="J324">
        <v>3809</v>
      </c>
      <c r="K324">
        <v>5228</v>
      </c>
      <c r="L324">
        <v>905</v>
      </c>
      <c r="M324">
        <v>9254</v>
      </c>
      <c r="N324">
        <v>9337</v>
      </c>
    </row>
    <row r="325" spans="1:14" x14ac:dyDescent="0.2">
      <c r="A325" t="s">
        <v>238</v>
      </c>
      <c r="B325" t="s">
        <v>238</v>
      </c>
      <c r="C325">
        <v>227368</v>
      </c>
      <c r="D325">
        <v>32580</v>
      </c>
      <c r="E325">
        <v>7176</v>
      </c>
      <c r="F325">
        <v>5389</v>
      </c>
      <c r="G325">
        <v>5147</v>
      </c>
      <c r="H325">
        <v>6582</v>
      </c>
      <c r="I325">
        <v>8861</v>
      </c>
      <c r="J325">
        <v>9786</v>
      </c>
      <c r="K325">
        <v>8300</v>
      </c>
      <c r="L325">
        <v>726</v>
      </c>
      <c r="M325">
        <v>7225</v>
      </c>
      <c r="N325">
        <v>13101</v>
      </c>
    </row>
    <row r="326" spans="1:14" x14ac:dyDescent="0.2">
      <c r="A326" t="s">
        <v>239</v>
      </c>
      <c r="B326" t="s">
        <v>239</v>
      </c>
      <c r="C326">
        <v>229027</v>
      </c>
      <c r="D326">
        <v>41700</v>
      </c>
      <c r="E326">
        <v>7257</v>
      </c>
      <c r="F326">
        <v>6440</v>
      </c>
      <c r="G326">
        <v>7197</v>
      </c>
      <c r="H326">
        <v>6111</v>
      </c>
      <c r="I326">
        <v>6608</v>
      </c>
      <c r="J326">
        <v>7397</v>
      </c>
      <c r="K326">
        <v>4859</v>
      </c>
      <c r="L326">
        <v>1863</v>
      </c>
      <c r="M326">
        <v>3135</v>
      </c>
      <c r="N326">
        <v>8556</v>
      </c>
    </row>
    <row r="327" spans="1:14" x14ac:dyDescent="0.2">
      <c r="A327" t="s">
        <v>580</v>
      </c>
      <c r="B327" t="s">
        <v>580</v>
      </c>
      <c r="C327">
        <v>152600</v>
      </c>
      <c r="D327">
        <v>16980</v>
      </c>
      <c r="E327">
        <v>5590</v>
      </c>
      <c r="F327">
        <v>6997</v>
      </c>
      <c r="G327">
        <v>6328</v>
      </c>
      <c r="H327">
        <v>4325</v>
      </c>
      <c r="I327">
        <v>6340</v>
      </c>
      <c r="J327">
        <v>6306</v>
      </c>
      <c r="K327">
        <v>4173</v>
      </c>
      <c r="L327">
        <v>460</v>
      </c>
      <c r="M327">
        <v>10553</v>
      </c>
      <c r="N327">
        <v>7204</v>
      </c>
    </row>
    <row r="328" spans="1:14" x14ac:dyDescent="0.2">
      <c r="A328" t="s">
        <v>581</v>
      </c>
      <c r="B328" t="s">
        <v>581</v>
      </c>
      <c r="C328">
        <v>221999</v>
      </c>
      <c r="D328">
        <v>34980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 t="s">
        <v>240</v>
      </c>
      <c r="B329" t="s">
        <v>240</v>
      </c>
      <c r="C329">
        <v>234030</v>
      </c>
      <c r="D329">
        <v>40060</v>
      </c>
      <c r="E329">
        <v>4160</v>
      </c>
      <c r="F329">
        <v>4024</v>
      </c>
      <c r="G329">
        <v>4424</v>
      </c>
      <c r="H329">
        <v>5097</v>
      </c>
      <c r="I329">
        <v>6346</v>
      </c>
      <c r="J329">
        <v>7734</v>
      </c>
      <c r="K329">
        <v>5416</v>
      </c>
      <c r="L329">
        <v>478</v>
      </c>
      <c r="M329">
        <v>4314</v>
      </c>
      <c r="N329">
        <v>5696</v>
      </c>
    </row>
    <row r="330" spans="1:14" x14ac:dyDescent="0.2">
      <c r="A330" t="s">
        <v>241</v>
      </c>
      <c r="B330" t="s">
        <v>241</v>
      </c>
      <c r="C330">
        <v>231174</v>
      </c>
      <c r="D330">
        <v>15540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">
      <c r="A331" t="s">
        <v>582</v>
      </c>
      <c r="B331" t="s">
        <v>582</v>
      </c>
      <c r="C331">
        <v>216597</v>
      </c>
      <c r="D331">
        <v>37980</v>
      </c>
      <c r="E331">
        <v>3768</v>
      </c>
      <c r="F331">
        <v>4660</v>
      </c>
      <c r="G331">
        <v>3564</v>
      </c>
      <c r="H331">
        <v>1978</v>
      </c>
      <c r="I331">
        <v>5053</v>
      </c>
      <c r="J331">
        <v>2496</v>
      </c>
      <c r="K331">
        <v>4203</v>
      </c>
      <c r="L331">
        <v>94</v>
      </c>
      <c r="M331">
        <v>9220</v>
      </c>
      <c r="N331">
        <v>4378</v>
      </c>
    </row>
    <row r="332" spans="1:14" x14ac:dyDescent="0.2">
      <c r="A332" t="s">
        <v>242</v>
      </c>
      <c r="B332" t="s">
        <v>242</v>
      </c>
      <c r="C332">
        <v>234076</v>
      </c>
      <c r="D332">
        <v>16820</v>
      </c>
      <c r="E332">
        <v>8551</v>
      </c>
      <c r="F332">
        <v>6977</v>
      </c>
      <c r="G332">
        <v>9110</v>
      </c>
      <c r="H332">
        <v>8885</v>
      </c>
      <c r="I332">
        <v>8988</v>
      </c>
      <c r="J332">
        <v>7912</v>
      </c>
      <c r="K332">
        <v>7456</v>
      </c>
      <c r="L332">
        <v>481</v>
      </c>
      <c r="M332">
        <v>5157</v>
      </c>
      <c r="N332">
        <v>6423</v>
      </c>
    </row>
    <row r="333" spans="1:14" x14ac:dyDescent="0.2">
      <c r="A333" t="s">
        <v>243</v>
      </c>
      <c r="B333" t="s">
        <v>243</v>
      </c>
      <c r="C333">
        <v>233921</v>
      </c>
      <c r="D333">
        <v>13980</v>
      </c>
      <c r="E333">
        <v>8622</v>
      </c>
      <c r="F333">
        <v>7954</v>
      </c>
      <c r="G333">
        <v>9718</v>
      </c>
      <c r="H333">
        <v>10258</v>
      </c>
      <c r="I333">
        <v>9822</v>
      </c>
      <c r="J333">
        <v>9033</v>
      </c>
      <c r="K333">
        <v>6856</v>
      </c>
      <c r="L333">
        <v>852</v>
      </c>
      <c r="M333">
        <v>6278</v>
      </c>
      <c r="N333">
        <v>6046</v>
      </c>
    </row>
    <row r="334" spans="1:14" x14ac:dyDescent="0.2">
      <c r="A334" t="s">
        <v>583</v>
      </c>
      <c r="B334" t="s">
        <v>583</v>
      </c>
      <c r="C334">
        <v>234085</v>
      </c>
      <c r="D334">
        <v>31340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584</v>
      </c>
      <c r="B335" t="s">
        <v>584</v>
      </c>
      <c r="C335">
        <v>197197</v>
      </c>
      <c r="D335">
        <v>35620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">
      <c r="A336" t="s">
        <v>585</v>
      </c>
      <c r="B336" t="s">
        <v>585</v>
      </c>
      <c r="C336">
        <v>199847</v>
      </c>
      <c r="D336">
        <v>49180</v>
      </c>
      <c r="E336">
        <v>9444</v>
      </c>
      <c r="F336">
        <v>9069</v>
      </c>
      <c r="G336">
        <v>10561</v>
      </c>
      <c r="H336">
        <v>3819</v>
      </c>
      <c r="I336">
        <v>4520</v>
      </c>
      <c r="J336">
        <v>5184</v>
      </c>
      <c r="K336">
        <v>4597</v>
      </c>
      <c r="L336">
        <v>211</v>
      </c>
      <c r="M336">
        <v>3064</v>
      </c>
      <c r="N336">
        <v>5971</v>
      </c>
    </row>
    <row r="337" spans="1:14" x14ac:dyDescent="0.2">
      <c r="A337" t="s">
        <v>244</v>
      </c>
      <c r="B337" t="s">
        <v>244</v>
      </c>
      <c r="C337">
        <v>236948</v>
      </c>
      <c r="D337">
        <v>42660</v>
      </c>
      <c r="E337">
        <v>40174</v>
      </c>
      <c r="F337">
        <v>60829</v>
      </c>
      <c r="G337">
        <v>44680</v>
      </c>
      <c r="H337">
        <v>31628</v>
      </c>
      <c r="I337">
        <v>42933</v>
      </c>
      <c r="J337">
        <v>32019</v>
      </c>
      <c r="K337">
        <v>36582</v>
      </c>
      <c r="L337">
        <v>316</v>
      </c>
      <c r="M337">
        <v>33589</v>
      </c>
      <c r="N337">
        <v>35459</v>
      </c>
    </row>
    <row r="338" spans="1:14" x14ac:dyDescent="0.2">
      <c r="A338" t="s">
        <v>586</v>
      </c>
      <c r="B338" t="s">
        <v>586</v>
      </c>
      <c r="C338">
        <v>236939</v>
      </c>
      <c r="D338">
        <v>39420</v>
      </c>
      <c r="E338">
        <v>13326</v>
      </c>
      <c r="F338">
        <v>8740</v>
      </c>
      <c r="G338">
        <v>9639</v>
      </c>
      <c r="H338">
        <v>15193</v>
      </c>
      <c r="I338">
        <v>11491</v>
      </c>
      <c r="J338">
        <v>14063</v>
      </c>
      <c r="K338">
        <v>12920</v>
      </c>
      <c r="L338">
        <v>356</v>
      </c>
      <c r="M338">
        <v>11609</v>
      </c>
      <c r="N338">
        <v>17387</v>
      </c>
    </row>
    <row r="339" spans="1:14" x14ac:dyDescent="0.2">
      <c r="A339" t="s">
        <v>587</v>
      </c>
      <c r="B339" t="s">
        <v>587</v>
      </c>
      <c r="C339">
        <v>230782</v>
      </c>
      <c r="D339">
        <v>36260</v>
      </c>
      <c r="E339">
        <v>5433</v>
      </c>
      <c r="F339">
        <v>3696</v>
      </c>
      <c r="G339">
        <v>3838</v>
      </c>
      <c r="H339">
        <v>3180</v>
      </c>
      <c r="I339">
        <v>4049</v>
      </c>
      <c r="J339">
        <v>5169</v>
      </c>
      <c r="K339">
        <v>3803</v>
      </c>
      <c r="L339">
        <v>0</v>
      </c>
      <c r="M339">
        <v>9878</v>
      </c>
      <c r="N339">
        <v>6594</v>
      </c>
    </row>
    <row r="340" spans="1:14" x14ac:dyDescent="0.2">
      <c r="A340" t="s">
        <v>247</v>
      </c>
      <c r="B340" t="s">
        <v>247</v>
      </c>
      <c r="C340">
        <v>238032</v>
      </c>
      <c r="D340">
        <v>34060</v>
      </c>
      <c r="E340">
        <v>8698</v>
      </c>
      <c r="F340">
        <v>8714</v>
      </c>
      <c r="G340">
        <v>4254</v>
      </c>
      <c r="H340">
        <v>7300</v>
      </c>
      <c r="I340">
        <v>9521</v>
      </c>
      <c r="J340">
        <v>10683</v>
      </c>
      <c r="K340">
        <v>8094</v>
      </c>
      <c r="L340">
        <v>2675</v>
      </c>
      <c r="M340">
        <v>8428</v>
      </c>
      <c r="N340">
        <v>7450</v>
      </c>
    </row>
    <row r="341" spans="1:14" x14ac:dyDescent="0.2">
      <c r="A341" t="s">
        <v>588</v>
      </c>
      <c r="B341" t="s">
        <v>588</v>
      </c>
      <c r="C341">
        <v>200004</v>
      </c>
      <c r="D341">
        <v>19000</v>
      </c>
      <c r="E341">
        <v>2443</v>
      </c>
      <c r="F341">
        <v>2323</v>
      </c>
      <c r="G341">
        <v>2636</v>
      </c>
      <c r="H341">
        <v>2284</v>
      </c>
      <c r="I341">
        <v>2991</v>
      </c>
      <c r="J341">
        <v>1711</v>
      </c>
      <c r="K341">
        <v>1688</v>
      </c>
      <c r="L341">
        <v>300</v>
      </c>
      <c r="M341">
        <v>1309</v>
      </c>
      <c r="N341">
        <v>4045</v>
      </c>
    </row>
    <row r="342" spans="1:14" x14ac:dyDescent="0.2">
      <c r="A342" t="s">
        <v>589</v>
      </c>
      <c r="B342" t="s">
        <v>589</v>
      </c>
      <c r="C342">
        <v>149772</v>
      </c>
      <c r="D342">
        <v>31380</v>
      </c>
      <c r="E342">
        <v>2729</v>
      </c>
      <c r="F342">
        <v>3362</v>
      </c>
      <c r="G342">
        <v>3034</v>
      </c>
      <c r="H342">
        <v>2857</v>
      </c>
      <c r="I342">
        <v>3313</v>
      </c>
      <c r="J342">
        <v>2503</v>
      </c>
      <c r="K342">
        <v>1758</v>
      </c>
      <c r="L342">
        <v>280</v>
      </c>
      <c r="M342">
        <v>2202</v>
      </c>
      <c r="N342">
        <v>1157</v>
      </c>
    </row>
    <row r="343" spans="1:14" x14ac:dyDescent="0.2">
      <c r="A343" t="s">
        <v>590</v>
      </c>
      <c r="B343" t="s">
        <v>590</v>
      </c>
      <c r="C343">
        <v>157951</v>
      </c>
      <c r="D343">
        <v>14540</v>
      </c>
      <c r="E343">
        <v>10728</v>
      </c>
      <c r="F343">
        <v>9435</v>
      </c>
      <c r="G343">
        <v>8887</v>
      </c>
      <c r="H343">
        <v>11025</v>
      </c>
      <c r="I343">
        <v>7122</v>
      </c>
      <c r="J343">
        <v>8216</v>
      </c>
      <c r="K343">
        <v>18457</v>
      </c>
      <c r="L343">
        <v>5593</v>
      </c>
      <c r="M343">
        <v>10332</v>
      </c>
      <c r="N343">
        <v>15089</v>
      </c>
    </row>
    <row r="344" spans="1:14" x14ac:dyDescent="0.2">
      <c r="A344" t="s">
        <v>591</v>
      </c>
      <c r="B344" t="s">
        <v>591</v>
      </c>
      <c r="C344">
        <v>172699</v>
      </c>
      <c r="D344">
        <v>28020</v>
      </c>
      <c r="E344">
        <v>11934</v>
      </c>
      <c r="F344">
        <v>8342</v>
      </c>
      <c r="G344">
        <v>4917</v>
      </c>
      <c r="H344">
        <v>7224</v>
      </c>
      <c r="I344">
        <v>5585</v>
      </c>
      <c r="J344">
        <v>4881</v>
      </c>
      <c r="K344">
        <v>6766</v>
      </c>
      <c r="L344">
        <v>1000</v>
      </c>
      <c r="M344">
        <v>3940</v>
      </c>
      <c r="N344">
        <v>6507</v>
      </c>
    </row>
    <row r="345" spans="1:14" x14ac:dyDescent="0.2">
      <c r="A345" t="s">
        <v>592</v>
      </c>
      <c r="B345" t="s">
        <v>592</v>
      </c>
      <c r="C345">
        <v>156125</v>
      </c>
      <c r="D345">
        <v>48620</v>
      </c>
      <c r="E345">
        <v>38657</v>
      </c>
      <c r="F345">
        <v>27706</v>
      </c>
      <c r="G345">
        <v>31650</v>
      </c>
      <c r="H345">
        <v>27163</v>
      </c>
      <c r="I345">
        <v>44216</v>
      </c>
      <c r="J345">
        <v>21773</v>
      </c>
      <c r="K345">
        <v>20221</v>
      </c>
      <c r="L345">
        <v>7451</v>
      </c>
      <c r="M345">
        <v>17131</v>
      </c>
      <c r="N345">
        <v>15990</v>
      </c>
    </row>
    <row r="346" spans="1:14" x14ac:dyDescent="0.2">
      <c r="A346" t="s">
        <v>253</v>
      </c>
      <c r="B346" t="s">
        <v>253</v>
      </c>
      <c r="C346">
        <v>231624</v>
      </c>
      <c r="D346">
        <v>47260</v>
      </c>
      <c r="E346">
        <v>2526</v>
      </c>
      <c r="F346">
        <v>2209</v>
      </c>
      <c r="G346">
        <v>3218</v>
      </c>
      <c r="H346">
        <v>3127</v>
      </c>
      <c r="I346">
        <v>1978</v>
      </c>
      <c r="J346">
        <v>2246</v>
      </c>
      <c r="K346">
        <v>2854</v>
      </c>
      <c r="L346">
        <v>4</v>
      </c>
      <c r="M346">
        <v>2769</v>
      </c>
      <c r="N346">
        <v>4121</v>
      </c>
    </row>
    <row r="347" spans="1:14" x14ac:dyDescent="0.2">
      <c r="A347" t="s">
        <v>254</v>
      </c>
      <c r="B347" t="s">
        <v>254</v>
      </c>
      <c r="C347">
        <v>218964</v>
      </c>
      <c r="D347">
        <v>16740</v>
      </c>
      <c r="E347">
        <v>4716</v>
      </c>
      <c r="F347">
        <v>3209</v>
      </c>
      <c r="G347">
        <v>7404</v>
      </c>
      <c r="H347">
        <v>2791</v>
      </c>
      <c r="I347">
        <v>1997</v>
      </c>
      <c r="J347">
        <v>1482</v>
      </c>
      <c r="K347">
        <v>3841</v>
      </c>
      <c r="L347">
        <v>295</v>
      </c>
      <c r="M347">
        <v>1496</v>
      </c>
      <c r="N347">
        <v>1213</v>
      </c>
    </row>
    <row r="348" spans="1:14" x14ac:dyDescent="0.2">
      <c r="A348" t="s">
        <v>255</v>
      </c>
      <c r="B348" t="s">
        <v>255</v>
      </c>
      <c r="C348">
        <v>240444</v>
      </c>
      <c r="D348">
        <v>31540</v>
      </c>
      <c r="E348">
        <v>52685</v>
      </c>
      <c r="F348">
        <v>73999</v>
      </c>
      <c r="G348">
        <v>85774</v>
      </c>
      <c r="H348">
        <v>94829</v>
      </c>
      <c r="I348">
        <v>95680</v>
      </c>
      <c r="J348">
        <v>95581</v>
      </c>
      <c r="K348">
        <v>119884</v>
      </c>
      <c r="L348">
        <v>2</v>
      </c>
      <c r="M348">
        <v>142571</v>
      </c>
      <c r="N348">
        <v>139701</v>
      </c>
    </row>
    <row r="349" spans="1:14" x14ac:dyDescent="0.2">
      <c r="A349" t="s">
        <v>593</v>
      </c>
      <c r="B349" t="s">
        <v>593</v>
      </c>
      <c r="C349">
        <v>218973</v>
      </c>
      <c r="D349">
        <v>43900</v>
      </c>
      <c r="E349">
        <v>1968</v>
      </c>
      <c r="F349">
        <v>4531</v>
      </c>
      <c r="G349">
        <v>2260</v>
      </c>
      <c r="H349">
        <v>2840</v>
      </c>
      <c r="I349">
        <v>2946</v>
      </c>
      <c r="J349">
        <v>1671</v>
      </c>
      <c r="K349">
        <v>2060</v>
      </c>
      <c r="L349">
        <v>1</v>
      </c>
      <c r="M349">
        <v>1851</v>
      </c>
      <c r="N349">
        <v>2868</v>
      </c>
    </row>
    <row r="350" spans="1:14" x14ac:dyDescent="0.2">
      <c r="A350" t="s">
        <v>594</v>
      </c>
      <c r="B350" t="s">
        <v>594</v>
      </c>
      <c r="C350">
        <v>206604</v>
      </c>
      <c r="D350">
        <v>19430</v>
      </c>
      <c r="E350">
        <v>3592</v>
      </c>
      <c r="F350">
        <v>3534</v>
      </c>
      <c r="G350">
        <v>4426</v>
      </c>
      <c r="H350">
        <v>3556</v>
      </c>
      <c r="I350">
        <v>3800</v>
      </c>
      <c r="J350">
        <v>2297</v>
      </c>
      <c r="K350">
        <v>4266</v>
      </c>
      <c r="L350">
        <v>0</v>
      </c>
      <c r="M350">
        <v>5126</v>
      </c>
      <c r="N350">
        <v>6596</v>
      </c>
    </row>
    <row r="351" spans="1:14" x14ac:dyDescent="0.2">
      <c r="A351" t="s">
        <v>259</v>
      </c>
      <c r="B351" t="s">
        <v>259</v>
      </c>
      <c r="C351">
        <v>240727</v>
      </c>
      <c r="D351">
        <v>29660</v>
      </c>
      <c r="E351">
        <v>9850</v>
      </c>
      <c r="F351">
        <v>9879</v>
      </c>
      <c r="G351">
        <v>15500</v>
      </c>
      <c r="H351">
        <v>10626</v>
      </c>
      <c r="I351">
        <v>12913</v>
      </c>
      <c r="J351">
        <v>15534</v>
      </c>
      <c r="K351">
        <v>12076</v>
      </c>
      <c r="L351">
        <v>1390</v>
      </c>
      <c r="M351">
        <v>12103</v>
      </c>
      <c r="N351">
        <v>10784</v>
      </c>
    </row>
    <row r="352" spans="1:14" x14ac:dyDescent="0.2">
      <c r="A352" t="s">
        <v>595</v>
      </c>
      <c r="B352" t="s">
        <v>595</v>
      </c>
      <c r="C352">
        <v>206622</v>
      </c>
      <c r="D352">
        <v>17140</v>
      </c>
      <c r="E352">
        <v>7070</v>
      </c>
      <c r="F352">
        <v>8681</v>
      </c>
      <c r="G352">
        <v>9232</v>
      </c>
      <c r="H352">
        <v>6535</v>
      </c>
      <c r="I352">
        <v>9678</v>
      </c>
      <c r="J352">
        <v>6519</v>
      </c>
      <c r="K352">
        <v>6337</v>
      </c>
      <c r="L352">
        <v>1790</v>
      </c>
      <c r="M352">
        <v>7773</v>
      </c>
      <c r="N352">
        <v>5074</v>
      </c>
    </row>
    <row r="353" spans="1:14" x14ac:dyDescent="0.2">
      <c r="A353" t="s">
        <v>596</v>
      </c>
      <c r="B353" t="s">
        <v>596</v>
      </c>
      <c r="C353">
        <v>130794</v>
      </c>
      <c r="D353">
        <v>35300</v>
      </c>
      <c r="E353">
        <v>4399</v>
      </c>
      <c r="F353">
        <v>4479</v>
      </c>
      <c r="G353">
        <v>5282</v>
      </c>
      <c r="H353">
        <v>4342</v>
      </c>
      <c r="I353">
        <v>9552</v>
      </c>
      <c r="J353">
        <v>6586</v>
      </c>
      <c r="K353">
        <v>4457</v>
      </c>
      <c r="L353">
        <v>0</v>
      </c>
      <c r="M353">
        <v>4181</v>
      </c>
      <c r="N353">
        <v>3856</v>
      </c>
    </row>
    <row r="354" spans="1:14" x14ac:dyDescent="0.2">
      <c r="A354" t="s">
        <v>597</v>
      </c>
      <c r="B354" t="s">
        <v>597</v>
      </c>
      <c r="C354">
        <v>206695</v>
      </c>
      <c r="D354">
        <v>49660</v>
      </c>
      <c r="E354">
        <v>1802</v>
      </c>
      <c r="F354">
        <v>1100</v>
      </c>
      <c r="G354">
        <v>2193</v>
      </c>
      <c r="H354">
        <v>2326</v>
      </c>
      <c r="I354">
        <v>2844</v>
      </c>
      <c r="J354">
        <v>2110</v>
      </c>
      <c r="K354">
        <v>2849</v>
      </c>
      <c r="L354">
        <v>0</v>
      </c>
      <c r="M354">
        <v>2091</v>
      </c>
      <c r="N354">
        <v>3400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788ed7-08cc-47f7-87da-72fc330051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13861EAEA824B994D97C4F8928080" ma:contentTypeVersion="9" ma:contentTypeDescription="Create a new document." ma:contentTypeScope="" ma:versionID="aa56bc6971a0412d90b8f88fb6f29d6f">
  <xsd:schema xmlns:xsd="http://www.w3.org/2001/XMLSchema" xmlns:xs="http://www.w3.org/2001/XMLSchema" xmlns:p="http://schemas.microsoft.com/office/2006/metadata/properties" xmlns:ns3="ee788ed7-08cc-47f7-87da-72fc33005182" targetNamespace="http://schemas.microsoft.com/office/2006/metadata/properties" ma:root="true" ma:fieldsID="8c94580490b8d37198d16c1bc038305c" ns3:_="">
    <xsd:import namespace="ee788ed7-08cc-47f7-87da-72fc330051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88ed7-08cc-47f7-87da-72fc330051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FBF7B7-E733-4A23-9F52-C853FE6E9A08}">
  <ds:schemaRefs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ee788ed7-08cc-47f7-87da-72fc3300518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2E2C4B4-B54F-471E-AF72-0FA550E15E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8A571-77D5-4EF2-A6A6-3427E0BC1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788ed7-08cc-47f7-87da-72fc330051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Sheet1</vt:lpstr>
      <vt:lpstr>Sheet2</vt:lpstr>
      <vt:lpstr>Category 14</vt:lpstr>
      <vt:lpstr>Category 15</vt:lpstr>
      <vt:lpstr>Category 31</vt:lpstr>
      <vt:lpstr>Code</vt:lpstr>
      <vt:lpstr>unitid</vt:lpstr>
      <vt:lpstr>CPI</vt:lpstr>
      <vt:lpstr>Total</vt:lpstr>
      <vt:lpstr>MBaseball</vt:lpstr>
      <vt:lpstr>MBasketball</vt:lpstr>
      <vt:lpstr>MFootball</vt:lpstr>
      <vt:lpstr>MIceHockey</vt:lpstr>
      <vt:lpstr>MLacrosse</vt:lpstr>
      <vt:lpstr>MSoccer</vt:lpstr>
      <vt:lpstr>MVolleyball</vt:lpstr>
      <vt:lpstr>WBasketball</vt:lpstr>
      <vt:lpstr>WFieldHockey</vt:lpstr>
      <vt:lpstr>WIceHockey</vt:lpstr>
      <vt:lpstr>WSoccer</vt:lpstr>
      <vt:lpstr>WLacrosse</vt:lpstr>
      <vt:lpstr>WSoftball</vt:lpstr>
      <vt:lpstr>WVolleyball</vt:lpstr>
    </vt:vector>
  </TitlesOfParts>
  <Company>University of Central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Brook</dc:creator>
  <cp:lastModifiedBy>Tyler Berry</cp:lastModifiedBy>
  <dcterms:created xsi:type="dcterms:W3CDTF">2025-03-17T14:33:04Z</dcterms:created>
  <dcterms:modified xsi:type="dcterms:W3CDTF">2025-11-30T02:04:33Z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0x01010002F13861EAEA824B994D97C4F8928080</vt:lpwstr>
  </property>
</Properties>
</file>